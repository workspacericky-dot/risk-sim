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73485d2dbd69ef6/Documents/Mahkamah Agung/Manajemen Risiko/Risk-Sim/ref/PPG/"/>
    </mc:Choice>
  </mc:AlternateContent>
  <xr:revisionPtr revIDLastSave="16" documentId="8_{1C83029C-EC59-48DE-8AD1-AD53FD818839}" xr6:coauthVersionLast="47" xr6:coauthVersionMax="47" xr10:uidLastSave="{D58CF725-10EE-4DA1-B638-CE7B56FEE3B6}"/>
  <bookViews>
    <workbookView xWindow="-108" yWindow="-108" windowWidth="23256" windowHeight="13176" tabRatio="693" firstSheet="13" activeTab="16" xr2:uid="{00000000-000D-0000-FFFF-FFFF00000000}"/>
  </bookViews>
  <sheets>
    <sheet name="Panduan Penggunaan" sheetId="1" r:id="rId1"/>
    <sheet name="Proses Bisnis" sheetId="8" r:id="rId2"/>
    <sheet name="Master Pustaka Risiko" sheetId="2" r:id="rId3"/>
    <sheet name="Sheet1" sheetId="13" state="hidden" r:id="rId4"/>
    <sheet name="data" sheetId="11" state="hidden" r:id="rId5"/>
    <sheet name="Risk Register 2026" sheetId="9" r:id="rId6"/>
    <sheet name="RR IANA" sheetId="15" r:id="rId7"/>
    <sheet name="RR CC" sheetId="16" r:id="rId8"/>
    <sheet name="RR Idha" sheetId="17" r:id="rId9"/>
    <sheet name="RR Dml" sheetId="14" r:id="rId10"/>
    <sheet name="Matriks Risiko UPG KPK 5x5" sheetId="12" r:id="rId11"/>
    <sheet name="Kriteria Penilaian" sheetId="3" r:id="rId12"/>
    <sheet name="Matriks Risiko 5x5 MA RI" sheetId="4" r:id="rId13"/>
    <sheet name="Kategori Risiko" sheetId="5" r:id="rId14"/>
    <sheet name="Control Library" sheetId="6" r:id="rId15"/>
    <sheet name="Contoh Pengisian" sheetId="7" r:id="rId16"/>
    <sheet name="Worksheet (GOL)" sheetId="18" r:id="rId17"/>
    <sheet name="Analisis Gratifikasi" sheetId="19" r:id="rId18"/>
    <sheet name="Kamus" sheetId="20" r:id="rId19"/>
  </sheets>
  <definedNames>
    <definedName name="_xlnm._FilterDatabase" localSheetId="2" hidden="1">'Master Pustaka Risiko'!$A$2:$Z$12</definedName>
    <definedName name="_xlnm._FilterDatabase" localSheetId="5" hidden="1">'Risk Register 2026'!$A$2:$P$9</definedName>
    <definedName name="_xlnm._FilterDatabase" localSheetId="7" hidden="1">'RR CC'!$A$2:$P$13</definedName>
    <definedName name="_xlnm._FilterDatabase" localSheetId="9" hidden="1">'RR Dml'!$A$2:$P$13</definedName>
    <definedName name="_xlnm._FilterDatabase" localSheetId="8" hidden="1">'RR Idha'!$A$2:$P$13</definedName>
    <definedName name="description_level_risiko" localSheetId="4">data!$Q$11:$Q$1010</definedName>
    <definedName name="id_level_risiko" localSheetId="4">data!$R$11:$R$1010</definedName>
    <definedName name="id_level_risiko">#REF!</definedName>
    <definedName name="lower_limit_level_risiko" localSheetId="4">data!$O$11:$O$1010</definedName>
    <definedName name="upper_limit_level_risiko" localSheetId="4">data!$P$11:$P$1010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46" i="19" l="1"/>
  <c r="J146" i="19"/>
  <c r="I146" i="19"/>
  <c r="H146" i="19"/>
  <c r="G146" i="19"/>
  <c r="F146" i="19"/>
  <c r="E146" i="19"/>
  <c r="D146" i="19"/>
  <c r="C146" i="19"/>
  <c r="B146" i="19"/>
  <c r="I123" i="19"/>
  <c r="I122" i="19"/>
  <c r="I121" i="19"/>
  <c r="I120" i="19"/>
  <c r="I119" i="19"/>
  <c r="I118" i="19"/>
  <c r="I117" i="19"/>
  <c r="I116" i="19"/>
  <c r="I115" i="19"/>
  <c r="I114" i="19"/>
  <c r="I113" i="19"/>
  <c r="I112" i="19"/>
  <c r="I111" i="19"/>
  <c r="I110" i="19"/>
  <c r="I109" i="19"/>
  <c r="I108" i="19"/>
  <c r="I107" i="19"/>
  <c r="I106" i="19"/>
  <c r="I105" i="19"/>
  <c r="I104" i="19"/>
  <c r="I103" i="19"/>
  <c r="A97" i="19"/>
  <c r="A96" i="19"/>
  <c r="A95" i="19"/>
  <c r="A94" i="19"/>
  <c r="A93" i="19"/>
  <c r="A92" i="19"/>
  <c r="A75" i="19"/>
  <c r="A74" i="19"/>
  <c r="A73" i="19"/>
  <c r="A72" i="19"/>
  <c r="A71" i="19"/>
  <c r="A70" i="19"/>
  <c r="A69" i="19"/>
  <c r="A68" i="19"/>
  <c r="A67" i="19"/>
  <c r="A66" i="19"/>
  <c r="M65" i="19"/>
  <c r="L65" i="19"/>
  <c r="K65" i="19"/>
  <c r="J65" i="19"/>
  <c r="I65" i="19"/>
  <c r="H65" i="19"/>
  <c r="G65" i="19"/>
  <c r="F65" i="19"/>
  <c r="E65" i="19"/>
  <c r="D65" i="19"/>
  <c r="C65" i="19"/>
  <c r="B65" i="19"/>
  <c r="G8" i="19"/>
  <c r="C6" i="19"/>
  <c r="C5" i="19"/>
  <c r="C8" i="19" s="1"/>
  <c r="Y1080" i="18" a="1"/>
  <c r="Y1080" i="18" s="1"/>
  <c r="X1080" i="18"/>
  <c r="W1080" i="18" a="1"/>
  <c r="W1080" i="18" s="1"/>
  <c r="V1080" i="18"/>
  <c r="U1080" i="18" a="1"/>
  <c r="U1080" i="18" s="1"/>
  <c r="T1080" i="18" a="1"/>
  <c r="T1080" i="18" s="1"/>
  <c r="S1080" i="18" a="1"/>
  <c r="S1080" i="18" s="1"/>
  <c r="Y1079" i="18" a="1"/>
  <c r="Y1079" i="18" s="1"/>
  <c r="X1079" i="18"/>
  <c r="W1079" i="18" a="1"/>
  <c r="W1079" i="18" s="1"/>
  <c r="V1079" i="18"/>
  <c r="U1079" i="18" a="1"/>
  <c r="U1079" i="18" s="1"/>
  <c r="T1079" i="18" a="1"/>
  <c r="T1079" i="18" s="1"/>
  <c r="S1079" i="18" a="1"/>
  <c r="S1079" i="18" s="1"/>
  <c r="Y1078" i="18" a="1"/>
  <c r="Y1078" i="18" s="1"/>
  <c r="X1078" i="18"/>
  <c r="W1078" i="18" a="1"/>
  <c r="W1078" i="18" s="1"/>
  <c r="V1078" i="18"/>
  <c r="U1078" i="18" a="1"/>
  <c r="U1078" i="18" s="1"/>
  <c r="T1078" i="18" a="1"/>
  <c r="T1078" i="18" s="1"/>
  <c r="S1078" i="18" a="1"/>
  <c r="S1078" i="18" s="1"/>
  <c r="Y1077" i="18" a="1"/>
  <c r="Y1077" i="18" s="1"/>
  <c r="X1077" i="18"/>
  <c r="W1077" i="18" a="1"/>
  <c r="W1077" i="18" s="1"/>
  <c r="V1077" i="18"/>
  <c r="U1077" i="18" a="1"/>
  <c r="U1077" i="18" s="1"/>
  <c r="T1077" i="18" a="1"/>
  <c r="T1077" i="18" s="1"/>
  <c r="S1077" i="18" a="1"/>
  <c r="S1077" i="18" s="1"/>
  <c r="Y1076" i="18" a="1"/>
  <c r="Y1076" i="18" s="1"/>
  <c r="AA1076" i="18" s="1"/>
  <c r="X1076" i="18"/>
  <c r="W1076" i="18" a="1"/>
  <c r="W1076" i="18" s="1"/>
  <c r="V1076" i="18"/>
  <c r="U1076" i="18" a="1"/>
  <c r="U1076" i="18" s="1"/>
  <c r="T1076" i="18" a="1"/>
  <c r="T1076" i="18" s="1"/>
  <c r="S1076" i="18" a="1"/>
  <c r="S1076" i="18" s="1"/>
  <c r="Y1075" i="18" a="1"/>
  <c r="Y1075" i="18" s="1"/>
  <c r="X1075" i="18"/>
  <c r="W1075" i="18" a="1"/>
  <c r="W1075" i="18" s="1"/>
  <c r="V1075" i="18"/>
  <c r="U1075" i="18" a="1"/>
  <c r="U1075" i="18" s="1"/>
  <c r="T1075" i="18" a="1"/>
  <c r="T1075" i="18" s="1"/>
  <c r="S1075" i="18" a="1"/>
  <c r="S1075" i="18" s="1"/>
  <c r="Y1074" i="18" a="1"/>
  <c r="Y1074" i="18" s="1"/>
  <c r="X1074" i="18"/>
  <c r="W1074" i="18" a="1"/>
  <c r="W1074" i="18" s="1"/>
  <c r="V1074" i="18"/>
  <c r="U1074" i="18" a="1"/>
  <c r="U1074" i="18" s="1"/>
  <c r="T1074" i="18" a="1"/>
  <c r="T1074" i="18" s="1"/>
  <c r="S1074" i="18" a="1"/>
  <c r="S1074" i="18" s="1"/>
  <c r="Y1073" i="18" a="1"/>
  <c r="Y1073" i="18" s="1"/>
  <c r="X1073" i="18"/>
  <c r="W1073" i="18" a="1"/>
  <c r="W1073" i="18" s="1"/>
  <c r="V1073" i="18"/>
  <c r="U1073" i="18" a="1"/>
  <c r="U1073" i="18" s="1"/>
  <c r="T1073" i="18" a="1"/>
  <c r="T1073" i="18" s="1"/>
  <c r="S1073" i="18" a="1"/>
  <c r="S1073" i="18" s="1"/>
  <c r="Y1072" i="18" a="1"/>
  <c r="Y1072" i="18" s="1"/>
  <c r="X1072" i="18"/>
  <c r="W1072" i="18" a="1"/>
  <c r="W1072" i="18" s="1"/>
  <c r="V1072" i="18"/>
  <c r="U1072" i="18" a="1"/>
  <c r="U1072" i="18" s="1"/>
  <c r="T1072" i="18" a="1"/>
  <c r="T1072" i="18" s="1"/>
  <c r="S1072" i="18" a="1"/>
  <c r="S1072" i="18" s="1"/>
  <c r="Y1071" i="18" a="1"/>
  <c r="Y1071" i="18" s="1"/>
  <c r="AA1071" i="18" s="1"/>
  <c r="X1071" i="18"/>
  <c r="W1071" i="18" a="1"/>
  <c r="W1071" i="18" s="1"/>
  <c r="V1071" i="18"/>
  <c r="U1071" i="18" a="1"/>
  <c r="U1071" i="18" s="1"/>
  <c r="T1071" i="18" a="1"/>
  <c r="T1071" i="18" s="1"/>
  <c r="S1071" i="18" a="1"/>
  <c r="S1071" i="18" s="1"/>
  <c r="Y1070" i="18" a="1"/>
  <c r="Y1070" i="18" s="1"/>
  <c r="X1070" i="18"/>
  <c r="W1070" i="18" a="1"/>
  <c r="W1070" i="18" s="1"/>
  <c r="V1070" i="18"/>
  <c r="U1070" i="18" a="1"/>
  <c r="U1070" i="18" s="1"/>
  <c r="T1070" i="18" a="1"/>
  <c r="T1070" i="18" s="1"/>
  <c r="S1070" i="18" a="1"/>
  <c r="S1070" i="18" s="1"/>
  <c r="Y1069" i="18" a="1"/>
  <c r="Y1069" i="18" s="1"/>
  <c r="X1069" i="18"/>
  <c r="W1069" i="18" a="1"/>
  <c r="W1069" i="18" s="1"/>
  <c r="V1069" i="18"/>
  <c r="U1069" i="18" a="1"/>
  <c r="U1069" i="18" s="1"/>
  <c r="T1069" i="18" a="1"/>
  <c r="T1069" i="18" s="1"/>
  <c r="S1069" i="18" a="1"/>
  <c r="S1069" i="18" s="1"/>
  <c r="Y1068" i="18" a="1"/>
  <c r="Y1068" i="18" s="1"/>
  <c r="X1068" i="18"/>
  <c r="W1068" i="18" a="1"/>
  <c r="W1068" i="18" s="1"/>
  <c r="V1068" i="18"/>
  <c r="U1068" i="18" a="1"/>
  <c r="U1068" i="18" s="1"/>
  <c r="T1068" i="18" a="1"/>
  <c r="T1068" i="18" s="1"/>
  <c r="S1068" i="18" a="1"/>
  <c r="S1068" i="18" s="1"/>
  <c r="Y1067" i="18" a="1"/>
  <c r="Y1067" i="18" s="1"/>
  <c r="X1067" i="18"/>
  <c r="W1067" i="18" a="1"/>
  <c r="W1067" i="18" s="1"/>
  <c r="V1067" i="18"/>
  <c r="U1067" i="18" a="1"/>
  <c r="U1067" i="18" s="1"/>
  <c r="T1067" i="18" a="1"/>
  <c r="T1067" i="18" s="1"/>
  <c r="S1067" i="18" a="1"/>
  <c r="S1067" i="18" s="1"/>
  <c r="Y1066" i="18" a="1"/>
  <c r="Y1066" i="18" s="1"/>
  <c r="X1066" i="18"/>
  <c r="W1066" i="18" a="1"/>
  <c r="W1066" i="18" s="1"/>
  <c r="V1066" i="18"/>
  <c r="U1066" i="18" a="1"/>
  <c r="U1066" i="18" s="1"/>
  <c r="T1066" i="18" a="1"/>
  <c r="T1066" i="18" s="1"/>
  <c r="S1066" i="18" a="1"/>
  <c r="S1066" i="18" s="1"/>
  <c r="Y1065" i="18" a="1"/>
  <c r="Y1065" i="18" s="1"/>
  <c r="X1065" i="18"/>
  <c r="W1065" i="18" a="1"/>
  <c r="W1065" i="18" s="1"/>
  <c r="V1065" i="18"/>
  <c r="U1065" i="18" a="1"/>
  <c r="U1065" i="18" s="1"/>
  <c r="T1065" i="18" a="1"/>
  <c r="T1065" i="18" s="1"/>
  <c r="S1065" i="18" a="1"/>
  <c r="S1065" i="18" s="1"/>
  <c r="Y1064" i="18" a="1"/>
  <c r="Y1064" i="18" s="1"/>
  <c r="X1064" i="18"/>
  <c r="W1064" i="18" a="1"/>
  <c r="W1064" i="18" s="1"/>
  <c r="V1064" i="18"/>
  <c r="U1064" i="18" a="1"/>
  <c r="U1064" i="18" s="1"/>
  <c r="T1064" i="18" a="1"/>
  <c r="T1064" i="18" s="1"/>
  <c r="S1064" i="18" a="1"/>
  <c r="S1064" i="18" s="1"/>
  <c r="Y1063" i="18" a="1"/>
  <c r="Y1063" i="18" s="1"/>
  <c r="X1063" i="18"/>
  <c r="W1063" i="18" a="1"/>
  <c r="W1063" i="18" s="1"/>
  <c r="V1063" i="18"/>
  <c r="U1063" i="18" a="1"/>
  <c r="U1063" i="18" s="1"/>
  <c r="T1063" i="18" a="1"/>
  <c r="T1063" i="18" s="1"/>
  <c r="S1063" i="18" a="1"/>
  <c r="S1063" i="18" s="1"/>
  <c r="Y1062" i="18" a="1"/>
  <c r="Y1062" i="18" s="1"/>
  <c r="X1062" i="18"/>
  <c r="W1062" i="18" a="1"/>
  <c r="W1062" i="18" s="1"/>
  <c r="V1062" i="18"/>
  <c r="U1062" i="18" a="1"/>
  <c r="U1062" i="18" s="1"/>
  <c r="T1062" i="18" a="1"/>
  <c r="T1062" i="18" s="1"/>
  <c r="S1062" i="18" a="1"/>
  <c r="S1062" i="18" s="1"/>
  <c r="Y1061" i="18" a="1"/>
  <c r="Y1061" i="18" s="1"/>
  <c r="X1061" i="18"/>
  <c r="W1061" i="18" a="1"/>
  <c r="W1061" i="18" s="1"/>
  <c r="V1061" i="18"/>
  <c r="U1061" i="18" a="1"/>
  <c r="U1061" i="18" s="1"/>
  <c r="T1061" i="18" a="1"/>
  <c r="T1061" i="18" s="1"/>
  <c r="S1061" i="18" a="1"/>
  <c r="S1061" i="18" s="1"/>
  <c r="Y1060" i="18" a="1"/>
  <c r="Y1060" i="18" s="1"/>
  <c r="X1060" i="18"/>
  <c r="W1060" i="18" a="1"/>
  <c r="W1060" i="18" s="1"/>
  <c r="V1060" i="18"/>
  <c r="U1060" i="18" a="1"/>
  <c r="U1060" i="18" s="1"/>
  <c r="T1060" i="18" a="1"/>
  <c r="T1060" i="18" s="1"/>
  <c r="S1060" i="18" a="1"/>
  <c r="S1060" i="18" s="1"/>
  <c r="Y1059" i="18" a="1"/>
  <c r="Y1059" i="18" s="1"/>
  <c r="X1059" i="18"/>
  <c r="W1059" i="18" a="1"/>
  <c r="W1059" i="18" s="1"/>
  <c r="V1059" i="18"/>
  <c r="U1059" i="18" a="1"/>
  <c r="U1059" i="18" s="1"/>
  <c r="T1059" i="18" a="1"/>
  <c r="T1059" i="18" s="1"/>
  <c r="S1059" i="18" a="1"/>
  <c r="S1059" i="18" s="1"/>
  <c r="Y1058" i="18" a="1"/>
  <c r="Y1058" i="18" s="1"/>
  <c r="AA1058" i="18" s="1"/>
  <c r="X1058" i="18"/>
  <c r="W1058" i="18" a="1"/>
  <c r="W1058" i="18" s="1"/>
  <c r="V1058" i="18"/>
  <c r="U1058" i="18" a="1"/>
  <c r="U1058" i="18" s="1"/>
  <c r="T1058" i="18" a="1"/>
  <c r="T1058" i="18" s="1"/>
  <c r="S1058" i="18" a="1"/>
  <c r="S1058" i="18" s="1"/>
  <c r="Y1057" i="18" a="1"/>
  <c r="Y1057" i="18" s="1"/>
  <c r="X1057" i="18"/>
  <c r="W1057" i="18" a="1"/>
  <c r="W1057" i="18" s="1"/>
  <c r="V1057" i="18"/>
  <c r="U1057" i="18" a="1"/>
  <c r="U1057" i="18" s="1"/>
  <c r="T1057" i="18" a="1"/>
  <c r="T1057" i="18" s="1"/>
  <c r="S1057" i="18" a="1"/>
  <c r="S1057" i="18" s="1"/>
  <c r="Y1056" i="18" a="1"/>
  <c r="Y1056" i="18" s="1"/>
  <c r="X1056" i="18"/>
  <c r="W1056" i="18" a="1"/>
  <c r="W1056" i="18" s="1"/>
  <c r="V1056" i="18"/>
  <c r="U1056" i="18" a="1"/>
  <c r="U1056" i="18" s="1"/>
  <c r="T1056" i="18" a="1"/>
  <c r="T1056" i="18" s="1"/>
  <c r="S1056" i="18" a="1"/>
  <c r="S1056" i="18" s="1"/>
  <c r="Y1055" i="18" a="1"/>
  <c r="Y1055" i="18" s="1"/>
  <c r="X1055" i="18"/>
  <c r="W1055" i="18" a="1"/>
  <c r="W1055" i="18" s="1"/>
  <c r="V1055" i="18"/>
  <c r="U1055" i="18" a="1"/>
  <c r="U1055" i="18" s="1"/>
  <c r="T1055" i="18" a="1"/>
  <c r="T1055" i="18" s="1"/>
  <c r="S1055" i="18" a="1"/>
  <c r="S1055" i="18" s="1"/>
  <c r="Y1054" i="18" a="1"/>
  <c r="Y1054" i="18" s="1"/>
  <c r="X1054" i="18"/>
  <c r="W1054" i="18" a="1"/>
  <c r="W1054" i="18" s="1"/>
  <c r="V1054" i="18"/>
  <c r="U1054" i="18" a="1"/>
  <c r="U1054" i="18" s="1"/>
  <c r="T1054" i="18" a="1"/>
  <c r="T1054" i="18" s="1"/>
  <c r="S1054" i="18" a="1"/>
  <c r="S1054" i="18" s="1"/>
  <c r="Y1053" i="18" a="1"/>
  <c r="Y1053" i="18" s="1"/>
  <c r="X1053" i="18"/>
  <c r="W1053" i="18" a="1"/>
  <c r="W1053" i="18" s="1"/>
  <c r="V1053" i="18"/>
  <c r="U1053" i="18" a="1"/>
  <c r="U1053" i="18" s="1"/>
  <c r="T1053" i="18" a="1"/>
  <c r="T1053" i="18" s="1"/>
  <c r="S1053" i="18" a="1"/>
  <c r="S1053" i="18" s="1"/>
  <c r="Y1052" i="18" a="1"/>
  <c r="Y1052" i="18" s="1"/>
  <c r="X1052" i="18"/>
  <c r="W1052" i="18" a="1"/>
  <c r="W1052" i="18" s="1"/>
  <c r="V1052" i="18"/>
  <c r="U1052" i="18" a="1"/>
  <c r="U1052" i="18" s="1"/>
  <c r="T1052" i="18" a="1"/>
  <c r="T1052" i="18" s="1"/>
  <c r="S1052" i="18" a="1"/>
  <c r="S1052" i="18" s="1"/>
  <c r="Y1051" i="18" a="1"/>
  <c r="Y1051" i="18" s="1"/>
  <c r="X1051" i="18"/>
  <c r="W1051" i="18" a="1"/>
  <c r="W1051" i="18" s="1"/>
  <c r="V1051" i="18"/>
  <c r="U1051" i="18" a="1"/>
  <c r="U1051" i="18" s="1"/>
  <c r="T1051" i="18" a="1"/>
  <c r="T1051" i="18" s="1"/>
  <c r="S1051" i="18" a="1"/>
  <c r="S1051" i="18" s="1"/>
  <c r="Y1050" i="18" a="1"/>
  <c r="Y1050" i="18" s="1"/>
  <c r="X1050" i="18"/>
  <c r="W1050" i="18" a="1"/>
  <c r="W1050" i="18" s="1"/>
  <c r="V1050" i="18"/>
  <c r="U1050" i="18" a="1"/>
  <c r="U1050" i="18" s="1"/>
  <c r="T1050" i="18" a="1"/>
  <c r="T1050" i="18" s="1"/>
  <c r="S1050" i="18" a="1"/>
  <c r="S1050" i="18" s="1"/>
  <c r="Y1049" i="18" a="1"/>
  <c r="Y1049" i="18" s="1"/>
  <c r="X1049" i="18"/>
  <c r="W1049" i="18" a="1"/>
  <c r="W1049" i="18" s="1"/>
  <c r="V1049" i="18"/>
  <c r="U1049" i="18" a="1"/>
  <c r="U1049" i="18" s="1"/>
  <c r="T1049" i="18" a="1"/>
  <c r="T1049" i="18" s="1"/>
  <c r="S1049" i="18" a="1"/>
  <c r="S1049" i="18" s="1"/>
  <c r="Y1048" i="18" a="1"/>
  <c r="Y1048" i="18" s="1"/>
  <c r="X1048" i="18"/>
  <c r="W1048" i="18" a="1"/>
  <c r="W1048" i="18" s="1"/>
  <c r="V1048" i="18"/>
  <c r="U1048" i="18" a="1"/>
  <c r="U1048" i="18" s="1"/>
  <c r="T1048" i="18" a="1"/>
  <c r="T1048" i="18" s="1"/>
  <c r="S1048" i="18" a="1"/>
  <c r="S1048" i="18" s="1"/>
  <c r="Y1047" i="18" a="1"/>
  <c r="Y1047" i="18" s="1"/>
  <c r="AA1047" i="18" s="1"/>
  <c r="X1047" i="18"/>
  <c r="W1047" i="18" a="1"/>
  <c r="W1047" i="18" s="1"/>
  <c r="V1047" i="18"/>
  <c r="U1047" i="18" a="1"/>
  <c r="U1047" i="18" s="1"/>
  <c r="T1047" i="18" a="1"/>
  <c r="T1047" i="18" s="1"/>
  <c r="S1047" i="18" a="1"/>
  <c r="S1047" i="18" s="1"/>
  <c r="Y1046" i="18" a="1"/>
  <c r="Y1046" i="18" s="1"/>
  <c r="X1046" i="18"/>
  <c r="W1046" i="18" a="1"/>
  <c r="W1046" i="18" s="1"/>
  <c r="V1046" i="18"/>
  <c r="U1046" i="18" a="1"/>
  <c r="U1046" i="18" s="1"/>
  <c r="T1046" i="18" a="1"/>
  <c r="T1046" i="18" s="1"/>
  <c r="S1046" i="18" a="1"/>
  <c r="S1046" i="18" s="1"/>
  <c r="Y1045" i="18" a="1"/>
  <c r="Y1045" i="18" s="1"/>
  <c r="X1045" i="18"/>
  <c r="W1045" i="18" a="1"/>
  <c r="W1045" i="18" s="1"/>
  <c r="V1045" i="18"/>
  <c r="U1045" i="18" a="1"/>
  <c r="U1045" i="18" s="1"/>
  <c r="T1045" i="18" a="1"/>
  <c r="T1045" i="18" s="1"/>
  <c r="S1045" i="18" a="1"/>
  <c r="S1045" i="18" s="1"/>
  <c r="Y1044" i="18" a="1"/>
  <c r="Y1044" i="18" s="1"/>
  <c r="X1044" i="18"/>
  <c r="W1044" i="18" a="1"/>
  <c r="W1044" i="18" s="1"/>
  <c r="V1044" i="18"/>
  <c r="U1044" i="18" a="1"/>
  <c r="U1044" i="18" s="1"/>
  <c r="T1044" i="18" a="1"/>
  <c r="T1044" i="18" s="1"/>
  <c r="S1044" i="18" a="1"/>
  <c r="S1044" i="18" s="1"/>
  <c r="Y1043" i="18" a="1"/>
  <c r="Y1043" i="18" s="1"/>
  <c r="AA1043" i="18" s="1"/>
  <c r="X1043" i="18"/>
  <c r="W1043" i="18" a="1"/>
  <c r="W1043" i="18" s="1"/>
  <c r="V1043" i="18"/>
  <c r="U1043" i="18" a="1"/>
  <c r="U1043" i="18" s="1"/>
  <c r="T1043" i="18" a="1"/>
  <c r="T1043" i="18" s="1"/>
  <c r="S1043" i="18" a="1"/>
  <c r="S1043" i="18" s="1"/>
  <c r="Y1042" i="18" a="1"/>
  <c r="Y1042" i="18" s="1"/>
  <c r="X1042" i="18"/>
  <c r="W1042" i="18" a="1"/>
  <c r="W1042" i="18" s="1"/>
  <c r="V1042" i="18"/>
  <c r="U1042" i="18" a="1"/>
  <c r="U1042" i="18" s="1"/>
  <c r="T1042" i="18" a="1"/>
  <c r="T1042" i="18" s="1"/>
  <c r="S1042" i="18" a="1"/>
  <c r="S1042" i="18" s="1"/>
  <c r="Y1041" i="18" a="1"/>
  <c r="Y1041" i="18" s="1"/>
  <c r="X1041" i="18"/>
  <c r="W1041" i="18" a="1"/>
  <c r="W1041" i="18" s="1"/>
  <c r="V1041" i="18"/>
  <c r="U1041" i="18" a="1"/>
  <c r="U1041" i="18" s="1"/>
  <c r="T1041" i="18" a="1"/>
  <c r="T1041" i="18" s="1"/>
  <c r="S1041" i="18" a="1"/>
  <c r="S1041" i="18" s="1"/>
  <c r="Y1040" i="18" a="1"/>
  <c r="Y1040" i="18" s="1"/>
  <c r="X1040" i="18"/>
  <c r="W1040" i="18" a="1"/>
  <c r="W1040" i="18" s="1"/>
  <c r="V1040" i="18"/>
  <c r="U1040" i="18" a="1"/>
  <c r="U1040" i="18" s="1"/>
  <c r="T1040" i="18" a="1"/>
  <c r="T1040" i="18" s="1"/>
  <c r="S1040" i="18" a="1"/>
  <c r="S1040" i="18" s="1"/>
  <c r="Y1039" i="18" a="1"/>
  <c r="Y1039" i="18" s="1"/>
  <c r="X1039" i="18"/>
  <c r="W1039" i="18" a="1"/>
  <c r="W1039" i="18" s="1"/>
  <c r="V1039" i="18"/>
  <c r="U1039" i="18" a="1"/>
  <c r="U1039" i="18" s="1"/>
  <c r="T1039" i="18" a="1"/>
  <c r="T1039" i="18" s="1"/>
  <c r="S1039" i="18" a="1"/>
  <c r="S1039" i="18" s="1"/>
  <c r="Y1038" i="18" a="1"/>
  <c r="Y1038" i="18" s="1"/>
  <c r="X1038" i="18"/>
  <c r="W1038" i="18" a="1"/>
  <c r="W1038" i="18" s="1"/>
  <c r="V1038" i="18"/>
  <c r="U1038" i="18" a="1"/>
  <c r="U1038" i="18" s="1"/>
  <c r="T1038" i="18" a="1"/>
  <c r="T1038" i="18" s="1"/>
  <c r="S1038" i="18" a="1"/>
  <c r="S1038" i="18" s="1"/>
  <c r="Y1037" i="18" a="1"/>
  <c r="Y1037" i="18" s="1"/>
  <c r="X1037" i="18"/>
  <c r="W1037" i="18" a="1"/>
  <c r="W1037" i="18" s="1"/>
  <c r="V1037" i="18"/>
  <c r="U1037" i="18" a="1"/>
  <c r="U1037" i="18" s="1"/>
  <c r="T1037" i="18" a="1"/>
  <c r="T1037" i="18" s="1"/>
  <c r="S1037" i="18" a="1"/>
  <c r="S1037" i="18" s="1"/>
  <c r="Y1036" i="18" a="1"/>
  <c r="Y1036" i="18" s="1"/>
  <c r="AA1036" i="18" s="1"/>
  <c r="X1036" i="18"/>
  <c r="W1036" i="18" a="1"/>
  <c r="W1036" i="18" s="1"/>
  <c r="V1036" i="18"/>
  <c r="U1036" i="18" a="1"/>
  <c r="U1036" i="18" s="1"/>
  <c r="T1036" i="18" a="1"/>
  <c r="T1036" i="18" s="1"/>
  <c r="S1036" i="18" a="1"/>
  <c r="S1036" i="18" s="1"/>
  <c r="Y1035" i="18" a="1"/>
  <c r="Y1035" i="18" s="1"/>
  <c r="X1035" i="18"/>
  <c r="W1035" i="18" a="1"/>
  <c r="W1035" i="18" s="1"/>
  <c r="V1035" i="18"/>
  <c r="U1035" i="18" a="1"/>
  <c r="U1035" i="18" s="1"/>
  <c r="T1035" i="18" a="1"/>
  <c r="T1035" i="18" s="1"/>
  <c r="S1035" i="18" a="1"/>
  <c r="S1035" i="18" s="1"/>
  <c r="Y1034" i="18" a="1"/>
  <c r="Y1034" i="18" s="1"/>
  <c r="X1034" i="18"/>
  <c r="W1034" i="18" a="1"/>
  <c r="W1034" i="18" s="1"/>
  <c r="V1034" i="18"/>
  <c r="U1034" i="18" a="1"/>
  <c r="U1034" i="18" s="1"/>
  <c r="T1034" i="18" a="1"/>
  <c r="T1034" i="18" s="1"/>
  <c r="S1034" i="18" a="1"/>
  <c r="S1034" i="18" s="1"/>
  <c r="Y1033" i="18" a="1"/>
  <c r="Y1033" i="18" s="1"/>
  <c r="X1033" i="18"/>
  <c r="W1033" i="18" a="1"/>
  <c r="W1033" i="18" s="1"/>
  <c r="V1033" i="18"/>
  <c r="U1033" i="18" a="1"/>
  <c r="U1033" i="18" s="1"/>
  <c r="T1033" i="18" a="1"/>
  <c r="T1033" i="18" s="1"/>
  <c r="S1033" i="18" a="1"/>
  <c r="S1033" i="18" s="1"/>
  <c r="Y1032" i="18" a="1"/>
  <c r="Y1032" i="18" s="1"/>
  <c r="X1032" i="18"/>
  <c r="W1032" i="18" a="1"/>
  <c r="W1032" i="18" s="1"/>
  <c r="V1032" i="18"/>
  <c r="U1032" i="18" a="1"/>
  <c r="U1032" i="18" s="1"/>
  <c r="T1032" i="18" a="1"/>
  <c r="T1032" i="18" s="1"/>
  <c r="S1032" i="18" a="1"/>
  <c r="S1032" i="18" s="1"/>
  <c r="Y1031" i="18" a="1"/>
  <c r="Y1031" i="18" s="1"/>
  <c r="X1031" i="18"/>
  <c r="W1031" i="18" a="1"/>
  <c r="W1031" i="18" s="1"/>
  <c r="V1031" i="18"/>
  <c r="U1031" i="18" a="1"/>
  <c r="U1031" i="18" s="1"/>
  <c r="T1031" i="18" a="1"/>
  <c r="T1031" i="18" s="1"/>
  <c r="S1031" i="18" a="1"/>
  <c r="S1031" i="18" s="1"/>
  <c r="Y1030" i="18" a="1"/>
  <c r="Y1030" i="18" s="1"/>
  <c r="X1030" i="18"/>
  <c r="W1030" i="18" a="1"/>
  <c r="W1030" i="18" s="1"/>
  <c r="V1030" i="18"/>
  <c r="U1030" i="18" a="1"/>
  <c r="U1030" i="18" s="1"/>
  <c r="T1030" i="18" a="1"/>
  <c r="T1030" i="18" s="1"/>
  <c r="S1030" i="18" a="1"/>
  <c r="S1030" i="18" s="1"/>
  <c r="Y1029" i="18" a="1"/>
  <c r="Y1029" i="18" s="1"/>
  <c r="AA1029" i="18" s="1"/>
  <c r="X1029" i="18"/>
  <c r="W1029" i="18" a="1"/>
  <c r="W1029" i="18" s="1"/>
  <c r="V1029" i="18"/>
  <c r="U1029" i="18" a="1"/>
  <c r="U1029" i="18" s="1"/>
  <c r="T1029" i="18" a="1"/>
  <c r="T1029" i="18" s="1"/>
  <c r="S1029" i="18" a="1"/>
  <c r="S1029" i="18" s="1"/>
  <c r="Y1028" i="18" a="1"/>
  <c r="Y1028" i="18" s="1"/>
  <c r="X1028" i="18"/>
  <c r="W1028" i="18" a="1"/>
  <c r="W1028" i="18" s="1"/>
  <c r="V1028" i="18"/>
  <c r="U1028" i="18" a="1"/>
  <c r="U1028" i="18" s="1"/>
  <c r="T1028" i="18" a="1"/>
  <c r="T1028" i="18" s="1"/>
  <c r="S1028" i="18" a="1"/>
  <c r="S1028" i="18" s="1"/>
  <c r="Y1027" i="18" a="1"/>
  <c r="Y1027" i="18" s="1"/>
  <c r="X1027" i="18"/>
  <c r="W1027" i="18" a="1"/>
  <c r="W1027" i="18" s="1"/>
  <c r="V1027" i="18"/>
  <c r="U1027" i="18" a="1"/>
  <c r="U1027" i="18" s="1"/>
  <c r="T1027" i="18" a="1"/>
  <c r="T1027" i="18" s="1"/>
  <c r="S1027" i="18" a="1"/>
  <c r="S1027" i="18" s="1"/>
  <c r="Y1026" i="18" a="1"/>
  <c r="Y1026" i="18" s="1"/>
  <c r="X1026" i="18"/>
  <c r="W1026" i="18" a="1"/>
  <c r="W1026" i="18" s="1"/>
  <c r="V1026" i="18"/>
  <c r="U1026" i="18" a="1"/>
  <c r="U1026" i="18" s="1"/>
  <c r="T1026" i="18" a="1"/>
  <c r="T1026" i="18" s="1"/>
  <c r="S1026" i="18" a="1"/>
  <c r="S1026" i="18" s="1"/>
  <c r="Y1025" i="18" a="1"/>
  <c r="Y1025" i="18" s="1"/>
  <c r="X1025" i="18"/>
  <c r="W1025" i="18" a="1"/>
  <c r="W1025" i="18" s="1"/>
  <c r="V1025" i="18"/>
  <c r="U1025" i="18" a="1"/>
  <c r="U1025" i="18" s="1"/>
  <c r="T1025" i="18" a="1"/>
  <c r="T1025" i="18" s="1"/>
  <c r="S1025" i="18" a="1"/>
  <c r="S1025" i="18" s="1"/>
  <c r="Y1024" i="18" a="1"/>
  <c r="Y1024" i="18" s="1"/>
  <c r="X1024" i="18"/>
  <c r="W1024" i="18" a="1"/>
  <c r="W1024" i="18" s="1"/>
  <c r="V1024" i="18"/>
  <c r="U1024" i="18" a="1"/>
  <c r="U1024" i="18" s="1"/>
  <c r="T1024" i="18" a="1"/>
  <c r="T1024" i="18" s="1"/>
  <c r="S1024" i="18" a="1"/>
  <c r="S1024" i="18" s="1"/>
  <c r="Y1023" i="18" a="1"/>
  <c r="Y1023" i="18" s="1"/>
  <c r="AA1023" i="18" s="1"/>
  <c r="X1023" i="18"/>
  <c r="W1023" i="18" a="1"/>
  <c r="W1023" i="18" s="1"/>
  <c r="V1023" i="18"/>
  <c r="U1023" i="18" a="1"/>
  <c r="U1023" i="18" s="1"/>
  <c r="T1023" i="18" a="1"/>
  <c r="T1023" i="18" s="1"/>
  <c r="S1023" i="18" a="1"/>
  <c r="S1023" i="18" s="1"/>
  <c r="Y1022" i="18" a="1"/>
  <c r="Y1022" i="18" s="1"/>
  <c r="X1022" i="18"/>
  <c r="W1022" i="18" a="1"/>
  <c r="W1022" i="18" s="1"/>
  <c r="V1022" i="18"/>
  <c r="U1022" i="18" a="1"/>
  <c r="U1022" i="18" s="1"/>
  <c r="T1022" i="18" a="1"/>
  <c r="T1022" i="18" s="1"/>
  <c r="S1022" i="18" a="1"/>
  <c r="S1022" i="18" s="1"/>
  <c r="Y1021" i="18" a="1"/>
  <c r="Y1021" i="18" s="1"/>
  <c r="X1021" i="18"/>
  <c r="W1021" i="18" a="1"/>
  <c r="W1021" i="18" s="1"/>
  <c r="V1021" i="18"/>
  <c r="U1021" i="18" a="1"/>
  <c r="U1021" i="18" s="1"/>
  <c r="T1021" i="18" a="1"/>
  <c r="T1021" i="18" s="1"/>
  <c r="S1021" i="18" a="1"/>
  <c r="S1021" i="18" s="1"/>
  <c r="Y1020" i="18" a="1"/>
  <c r="Y1020" i="18" s="1"/>
  <c r="X1020" i="18"/>
  <c r="W1020" i="18" a="1"/>
  <c r="W1020" i="18" s="1"/>
  <c r="V1020" i="18"/>
  <c r="U1020" i="18" a="1"/>
  <c r="U1020" i="18" s="1"/>
  <c r="T1020" i="18" a="1"/>
  <c r="T1020" i="18" s="1"/>
  <c r="S1020" i="18" a="1"/>
  <c r="S1020" i="18" s="1"/>
  <c r="Y1019" i="18" a="1"/>
  <c r="Y1019" i="18" s="1"/>
  <c r="X1019" i="18"/>
  <c r="W1019" i="18" a="1"/>
  <c r="W1019" i="18" s="1"/>
  <c r="V1019" i="18"/>
  <c r="U1019" i="18" a="1"/>
  <c r="U1019" i="18" s="1"/>
  <c r="T1019" i="18" a="1"/>
  <c r="T1019" i="18" s="1"/>
  <c r="S1019" i="18" a="1"/>
  <c r="S1019" i="18" s="1"/>
  <c r="Y1018" i="18" a="1"/>
  <c r="Y1018" i="18" s="1"/>
  <c r="X1018" i="18"/>
  <c r="W1018" i="18" a="1"/>
  <c r="W1018" i="18" s="1"/>
  <c r="V1018" i="18"/>
  <c r="U1018" i="18" a="1"/>
  <c r="U1018" i="18" s="1"/>
  <c r="T1018" i="18" a="1"/>
  <c r="T1018" i="18" s="1"/>
  <c r="S1018" i="18" a="1"/>
  <c r="S1018" i="18" s="1"/>
  <c r="Y1017" i="18" a="1"/>
  <c r="Y1017" i="18" s="1"/>
  <c r="X1017" i="18"/>
  <c r="W1017" i="18" a="1"/>
  <c r="W1017" i="18" s="1"/>
  <c r="V1017" i="18"/>
  <c r="U1017" i="18" a="1"/>
  <c r="U1017" i="18" s="1"/>
  <c r="T1017" i="18" a="1"/>
  <c r="T1017" i="18" s="1"/>
  <c r="S1017" i="18" a="1"/>
  <c r="S1017" i="18" s="1"/>
  <c r="Y1016" i="18" a="1"/>
  <c r="Y1016" i="18" s="1"/>
  <c r="X1016" i="18"/>
  <c r="W1016" i="18" a="1"/>
  <c r="W1016" i="18" s="1"/>
  <c r="V1016" i="18"/>
  <c r="U1016" i="18" a="1"/>
  <c r="U1016" i="18" s="1"/>
  <c r="T1016" i="18" a="1"/>
  <c r="T1016" i="18" s="1"/>
  <c r="S1016" i="18" a="1"/>
  <c r="S1016" i="18" s="1"/>
  <c r="Y1015" i="18" a="1"/>
  <c r="Y1015" i="18" s="1"/>
  <c r="X1015" i="18"/>
  <c r="W1015" i="18" a="1"/>
  <c r="W1015" i="18" s="1"/>
  <c r="V1015" i="18"/>
  <c r="U1015" i="18" a="1"/>
  <c r="U1015" i="18" s="1"/>
  <c r="T1015" i="18" a="1"/>
  <c r="T1015" i="18" s="1"/>
  <c r="S1015" i="18" a="1"/>
  <c r="S1015" i="18" s="1"/>
  <c r="Y1014" i="18" a="1"/>
  <c r="Y1014" i="18" s="1"/>
  <c r="X1014" i="18"/>
  <c r="W1014" i="18" a="1"/>
  <c r="W1014" i="18" s="1"/>
  <c r="V1014" i="18"/>
  <c r="U1014" i="18" a="1"/>
  <c r="U1014" i="18" s="1"/>
  <c r="T1014" i="18" a="1"/>
  <c r="T1014" i="18" s="1"/>
  <c r="S1014" i="18" a="1"/>
  <c r="S1014" i="18" s="1"/>
  <c r="Y1013" i="18" a="1"/>
  <c r="Y1013" i="18" s="1"/>
  <c r="X1013" i="18"/>
  <c r="W1013" i="18" a="1"/>
  <c r="W1013" i="18" s="1"/>
  <c r="V1013" i="18"/>
  <c r="U1013" i="18" a="1"/>
  <c r="U1013" i="18" s="1"/>
  <c r="T1013" i="18" a="1"/>
  <c r="T1013" i="18" s="1"/>
  <c r="S1013" i="18" a="1"/>
  <c r="S1013" i="18" s="1"/>
  <c r="Y1012" i="18" a="1"/>
  <c r="Y1012" i="18" s="1"/>
  <c r="X1012" i="18"/>
  <c r="W1012" i="18" a="1"/>
  <c r="W1012" i="18" s="1"/>
  <c r="V1012" i="18"/>
  <c r="U1012" i="18" a="1"/>
  <c r="U1012" i="18" s="1"/>
  <c r="T1012" i="18" a="1"/>
  <c r="T1012" i="18" s="1"/>
  <c r="S1012" i="18" a="1"/>
  <c r="S1012" i="18" s="1"/>
  <c r="Y1011" i="18" a="1"/>
  <c r="Y1011" i="18" s="1"/>
  <c r="X1011" i="18"/>
  <c r="W1011" i="18" a="1"/>
  <c r="W1011" i="18" s="1"/>
  <c r="V1011" i="18"/>
  <c r="U1011" i="18" a="1"/>
  <c r="U1011" i="18" s="1"/>
  <c r="T1011" i="18" a="1"/>
  <c r="T1011" i="18" s="1"/>
  <c r="S1011" i="18" a="1"/>
  <c r="S1011" i="18" s="1"/>
  <c r="Y1010" i="18" a="1"/>
  <c r="Y1010" i="18" s="1"/>
  <c r="X1010" i="18"/>
  <c r="W1010" i="18" a="1"/>
  <c r="W1010" i="18" s="1"/>
  <c r="V1010" i="18"/>
  <c r="U1010" i="18" a="1"/>
  <c r="U1010" i="18" s="1"/>
  <c r="T1010" i="18" a="1"/>
  <c r="T1010" i="18" s="1"/>
  <c r="S1010" i="18" a="1"/>
  <c r="S1010" i="18" s="1"/>
  <c r="Y1009" i="18" a="1"/>
  <c r="Y1009" i="18" s="1"/>
  <c r="X1009" i="18"/>
  <c r="W1009" i="18" a="1"/>
  <c r="W1009" i="18" s="1"/>
  <c r="V1009" i="18"/>
  <c r="U1009" i="18" a="1"/>
  <c r="U1009" i="18" s="1"/>
  <c r="T1009" i="18" a="1"/>
  <c r="T1009" i="18" s="1"/>
  <c r="S1009" i="18" a="1"/>
  <c r="S1009" i="18" s="1"/>
  <c r="Y1008" i="18" a="1"/>
  <c r="Y1008" i="18" s="1"/>
  <c r="X1008" i="18"/>
  <c r="W1008" i="18" a="1"/>
  <c r="W1008" i="18" s="1"/>
  <c r="V1008" i="18"/>
  <c r="U1008" i="18" a="1"/>
  <c r="U1008" i="18" s="1"/>
  <c r="T1008" i="18" a="1"/>
  <c r="T1008" i="18" s="1"/>
  <c r="S1008" i="18" a="1"/>
  <c r="S1008" i="18" s="1"/>
  <c r="Y1007" i="18" a="1"/>
  <c r="Y1007" i="18" s="1"/>
  <c r="X1007" i="18"/>
  <c r="W1007" i="18" a="1"/>
  <c r="W1007" i="18" s="1"/>
  <c r="V1007" i="18"/>
  <c r="U1007" i="18" a="1"/>
  <c r="U1007" i="18" s="1"/>
  <c r="T1007" i="18" a="1"/>
  <c r="T1007" i="18" s="1"/>
  <c r="S1007" i="18" a="1"/>
  <c r="S1007" i="18" s="1"/>
  <c r="Y1006" i="18" a="1"/>
  <c r="Y1006" i="18" s="1"/>
  <c r="X1006" i="18"/>
  <c r="W1006" i="18" a="1"/>
  <c r="W1006" i="18" s="1"/>
  <c r="V1006" i="18"/>
  <c r="U1006" i="18" a="1"/>
  <c r="U1006" i="18" s="1"/>
  <c r="T1006" i="18" a="1"/>
  <c r="T1006" i="18" s="1"/>
  <c r="S1006" i="18" a="1"/>
  <c r="S1006" i="18" s="1"/>
  <c r="Y1005" i="18" a="1"/>
  <c r="Y1005" i="18" s="1"/>
  <c r="X1005" i="18"/>
  <c r="W1005" i="18" a="1"/>
  <c r="W1005" i="18" s="1"/>
  <c r="V1005" i="18"/>
  <c r="U1005" i="18" a="1"/>
  <c r="U1005" i="18" s="1"/>
  <c r="T1005" i="18" a="1"/>
  <c r="T1005" i="18" s="1"/>
  <c r="S1005" i="18" a="1"/>
  <c r="S1005" i="18" s="1"/>
  <c r="Y1004" i="18" a="1"/>
  <c r="Y1004" i="18" s="1"/>
  <c r="X1004" i="18"/>
  <c r="W1004" i="18" a="1"/>
  <c r="W1004" i="18" s="1"/>
  <c r="V1004" i="18"/>
  <c r="U1004" i="18" a="1"/>
  <c r="U1004" i="18" s="1"/>
  <c r="T1004" i="18" a="1"/>
  <c r="T1004" i="18" s="1"/>
  <c r="S1004" i="18" a="1"/>
  <c r="S1004" i="18" s="1"/>
  <c r="Y1003" i="18" a="1"/>
  <c r="Y1003" i="18" s="1"/>
  <c r="X1003" i="18"/>
  <c r="W1003" i="18" a="1"/>
  <c r="W1003" i="18" s="1"/>
  <c r="V1003" i="18"/>
  <c r="U1003" i="18" a="1"/>
  <c r="U1003" i="18" s="1"/>
  <c r="T1003" i="18" a="1"/>
  <c r="T1003" i="18" s="1"/>
  <c r="S1003" i="18" a="1"/>
  <c r="S1003" i="18" s="1"/>
  <c r="Y1002" i="18" a="1"/>
  <c r="Y1002" i="18" s="1"/>
  <c r="X1002" i="18"/>
  <c r="W1002" i="18" a="1"/>
  <c r="W1002" i="18" s="1"/>
  <c r="V1002" i="18"/>
  <c r="U1002" i="18" a="1"/>
  <c r="U1002" i="18" s="1"/>
  <c r="T1002" i="18" a="1"/>
  <c r="T1002" i="18" s="1"/>
  <c r="S1002" i="18" a="1"/>
  <c r="S1002" i="18" s="1"/>
  <c r="Y1001" i="18" a="1"/>
  <c r="Y1001" i="18" s="1"/>
  <c r="X1001" i="18"/>
  <c r="W1001" i="18" a="1"/>
  <c r="W1001" i="18" s="1"/>
  <c r="V1001" i="18"/>
  <c r="U1001" i="18" a="1"/>
  <c r="U1001" i="18" s="1"/>
  <c r="T1001" i="18" a="1"/>
  <c r="T1001" i="18" s="1"/>
  <c r="S1001" i="18" a="1"/>
  <c r="S1001" i="18" s="1"/>
  <c r="Y1000" i="18" a="1"/>
  <c r="Y1000" i="18" s="1"/>
  <c r="AA1000" i="18" s="1"/>
  <c r="X1000" i="18"/>
  <c r="W1000" i="18" a="1"/>
  <c r="W1000" i="18" s="1"/>
  <c r="V1000" i="18"/>
  <c r="U1000" i="18" a="1"/>
  <c r="U1000" i="18" s="1"/>
  <c r="T1000" i="18" a="1"/>
  <c r="T1000" i="18" s="1"/>
  <c r="S1000" i="18" a="1"/>
  <c r="S1000" i="18" s="1"/>
  <c r="Y999" i="18" a="1"/>
  <c r="Y999" i="18" s="1"/>
  <c r="X999" i="18"/>
  <c r="W999" i="18" a="1"/>
  <c r="W999" i="18" s="1"/>
  <c r="V999" i="18"/>
  <c r="U999" i="18" a="1"/>
  <c r="U999" i="18" s="1"/>
  <c r="T999" i="18" a="1"/>
  <c r="T999" i="18" s="1"/>
  <c r="S999" i="18" a="1"/>
  <c r="S999" i="18" s="1"/>
  <c r="Y998" i="18" a="1"/>
  <c r="Y998" i="18" s="1"/>
  <c r="X998" i="18"/>
  <c r="W998" i="18" a="1"/>
  <c r="W998" i="18" s="1"/>
  <c r="V998" i="18"/>
  <c r="U998" i="18" a="1"/>
  <c r="U998" i="18" s="1"/>
  <c r="T998" i="18" a="1"/>
  <c r="T998" i="18" s="1"/>
  <c r="S998" i="18" a="1"/>
  <c r="S998" i="18" s="1"/>
  <c r="Y997" i="18" a="1"/>
  <c r="Y997" i="18" s="1"/>
  <c r="X997" i="18"/>
  <c r="W997" i="18" a="1"/>
  <c r="W997" i="18" s="1"/>
  <c r="V997" i="18"/>
  <c r="U997" i="18" a="1"/>
  <c r="U997" i="18" s="1"/>
  <c r="T997" i="18" a="1"/>
  <c r="T997" i="18" s="1"/>
  <c r="S997" i="18" a="1"/>
  <c r="S997" i="18" s="1"/>
  <c r="Y996" i="18" a="1"/>
  <c r="Y996" i="18" s="1"/>
  <c r="X996" i="18"/>
  <c r="W996" i="18" a="1"/>
  <c r="W996" i="18" s="1"/>
  <c r="V996" i="18"/>
  <c r="U996" i="18" a="1"/>
  <c r="U996" i="18" s="1"/>
  <c r="T996" i="18" a="1"/>
  <c r="T996" i="18" s="1"/>
  <c r="S996" i="18" a="1"/>
  <c r="S996" i="18" s="1"/>
  <c r="Y995" i="18" a="1"/>
  <c r="Y995" i="18" s="1"/>
  <c r="X995" i="18"/>
  <c r="W995" i="18" a="1"/>
  <c r="W995" i="18" s="1"/>
  <c r="V995" i="18"/>
  <c r="U995" i="18" a="1"/>
  <c r="U995" i="18" s="1"/>
  <c r="T995" i="18" a="1"/>
  <c r="T995" i="18" s="1"/>
  <c r="S995" i="18" a="1"/>
  <c r="S995" i="18" s="1"/>
  <c r="Y994" i="18" a="1"/>
  <c r="Y994" i="18" s="1"/>
  <c r="X994" i="18"/>
  <c r="W994" i="18" a="1"/>
  <c r="W994" i="18" s="1"/>
  <c r="V994" i="18"/>
  <c r="U994" i="18" a="1"/>
  <c r="U994" i="18" s="1"/>
  <c r="T994" i="18" a="1"/>
  <c r="T994" i="18" s="1"/>
  <c r="S994" i="18" a="1"/>
  <c r="S994" i="18" s="1"/>
  <c r="Y993" i="18" a="1"/>
  <c r="Y993" i="18" s="1"/>
  <c r="X993" i="18"/>
  <c r="W993" i="18" a="1"/>
  <c r="W993" i="18" s="1"/>
  <c r="V993" i="18"/>
  <c r="U993" i="18" a="1"/>
  <c r="U993" i="18" s="1"/>
  <c r="T993" i="18" a="1"/>
  <c r="T993" i="18" s="1"/>
  <c r="S993" i="18" a="1"/>
  <c r="S993" i="18" s="1"/>
  <c r="Y992" i="18" a="1"/>
  <c r="Y992" i="18" s="1"/>
  <c r="X992" i="18"/>
  <c r="W992" i="18" a="1"/>
  <c r="W992" i="18" s="1"/>
  <c r="V992" i="18"/>
  <c r="U992" i="18" a="1"/>
  <c r="U992" i="18" s="1"/>
  <c r="T992" i="18" a="1"/>
  <c r="T992" i="18" s="1"/>
  <c r="S992" i="18" a="1"/>
  <c r="S992" i="18" s="1"/>
  <c r="Y991" i="18" a="1"/>
  <c r="Y991" i="18" s="1"/>
  <c r="X991" i="18"/>
  <c r="W991" i="18" a="1"/>
  <c r="W991" i="18" s="1"/>
  <c r="V991" i="18"/>
  <c r="U991" i="18" a="1"/>
  <c r="U991" i="18" s="1"/>
  <c r="T991" i="18" a="1"/>
  <c r="T991" i="18" s="1"/>
  <c r="S991" i="18" a="1"/>
  <c r="S991" i="18" s="1"/>
  <c r="Y990" i="18" a="1"/>
  <c r="Y990" i="18" s="1"/>
  <c r="X990" i="18"/>
  <c r="W990" i="18" a="1"/>
  <c r="W990" i="18" s="1"/>
  <c r="V990" i="18"/>
  <c r="U990" i="18" a="1"/>
  <c r="U990" i="18" s="1"/>
  <c r="T990" i="18" a="1"/>
  <c r="T990" i="18" s="1"/>
  <c r="S990" i="18" a="1"/>
  <c r="S990" i="18" s="1"/>
  <c r="Y989" i="18" a="1"/>
  <c r="Y989" i="18" s="1"/>
  <c r="X989" i="18"/>
  <c r="W989" i="18" a="1"/>
  <c r="W989" i="18" s="1"/>
  <c r="V989" i="18"/>
  <c r="U989" i="18" a="1"/>
  <c r="U989" i="18" s="1"/>
  <c r="T989" i="18" a="1"/>
  <c r="T989" i="18" s="1"/>
  <c r="S989" i="18" a="1"/>
  <c r="S989" i="18" s="1"/>
  <c r="Y988" i="18" a="1"/>
  <c r="Y988" i="18" s="1"/>
  <c r="X988" i="18"/>
  <c r="W988" i="18" a="1"/>
  <c r="W988" i="18" s="1"/>
  <c r="V988" i="18"/>
  <c r="U988" i="18" a="1"/>
  <c r="U988" i="18" s="1"/>
  <c r="T988" i="18" a="1"/>
  <c r="T988" i="18" s="1"/>
  <c r="S988" i="18" a="1"/>
  <c r="S988" i="18" s="1"/>
  <c r="Y987" i="18" a="1"/>
  <c r="Y987" i="18" s="1"/>
  <c r="X987" i="18"/>
  <c r="W987" i="18" a="1"/>
  <c r="W987" i="18" s="1"/>
  <c r="V987" i="18"/>
  <c r="U987" i="18" a="1"/>
  <c r="U987" i="18" s="1"/>
  <c r="T987" i="18" a="1"/>
  <c r="T987" i="18" s="1"/>
  <c r="S987" i="18" a="1"/>
  <c r="S987" i="18" s="1"/>
  <c r="Y986" i="18" a="1"/>
  <c r="Y986" i="18" s="1"/>
  <c r="X986" i="18"/>
  <c r="W986" i="18" a="1"/>
  <c r="W986" i="18" s="1"/>
  <c r="V986" i="18"/>
  <c r="U986" i="18" a="1"/>
  <c r="U986" i="18" s="1"/>
  <c r="T986" i="18" a="1"/>
  <c r="T986" i="18" s="1"/>
  <c r="S986" i="18" a="1"/>
  <c r="S986" i="18" s="1"/>
  <c r="Y985" i="18" a="1"/>
  <c r="Y985" i="18" s="1"/>
  <c r="X985" i="18"/>
  <c r="W985" i="18" a="1"/>
  <c r="W985" i="18" s="1"/>
  <c r="V985" i="18"/>
  <c r="U985" i="18" a="1"/>
  <c r="U985" i="18" s="1"/>
  <c r="T985" i="18" a="1"/>
  <c r="T985" i="18" s="1"/>
  <c r="S985" i="18" a="1"/>
  <c r="S985" i="18" s="1"/>
  <c r="Y984" i="18" a="1"/>
  <c r="Y984" i="18" s="1"/>
  <c r="X984" i="18"/>
  <c r="W984" i="18" a="1"/>
  <c r="W984" i="18" s="1"/>
  <c r="V984" i="18"/>
  <c r="U984" i="18" a="1"/>
  <c r="U984" i="18" s="1"/>
  <c r="T984" i="18" a="1"/>
  <c r="T984" i="18" s="1"/>
  <c r="S984" i="18" a="1"/>
  <c r="S984" i="18" s="1"/>
  <c r="Y983" i="18" a="1"/>
  <c r="Y983" i="18" s="1"/>
  <c r="X983" i="18"/>
  <c r="W983" i="18" a="1"/>
  <c r="W983" i="18" s="1"/>
  <c r="V983" i="18"/>
  <c r="U983" i="18" a="1"/>
  <c r="U983" i="18" s="1"/>
  <c r="T983" i="18" a="1"/>
  <c r="T983" i="18" s="1"/>
  <c r="S983" i="18" a="1"/>
  <c r="S983" i="18" s="1"/>
  <c r="Y982" i="18" a="1"/>
  <c r="Y982" i="18" s="1"/>
  <c r="X982" i="18"/>
  <c r="W982" i="18" a="1"/>
  <c r="W982" i="18" s="1"/>
  <c r="V982" i="18"/>
  <c r="U982" i="18" a="1"/>
  <c r="U982" i="18" s="1"/>
  <c r="T982" i="18" a="1"/>
  <c r="T982" i="18" s="1"/>
  <c r="S982" i="18" a="1"/>
  <c r="S982" i="18" s="1"/>
  <c r="Y981" i="18" a="1"/>
  <c r="Y981" i="18" s="1"/>
  <c r="AA981" i="18" s="1"/>
  <c r="X981" i="18"/>
  <c r="W981" i="18" a="1"/>
  <c r="W981" i="18" s="1"/>
  <c r="V981" i="18"/>
  <c r="U981" i="18" a="1"/>
  <c r="U981" i="18" s="1"/>
  <c r="T981" i="18" a="1"/>
  <c r="T981" i="18" s="1"/>
  <c r="S981" i="18" a="1"/>
  <c r="S981" i="18" s="1"/>
  <c r="Y980" i="18" a="1"/>
  <c r="Y980" i="18" s="1"/>
  <c r="AA980" i="18" s="1"/>
  <c r="X980" i="18"/>
  <c r="W980" i="18" a="1"/>
  <c r="W980" i="18" s="1"/>
  <c r="V980" i="18"/>
  <c r="U980" i="18" a="1"/>
  <c r="U980" i="18" s="1"/>
  <c r="T980" i="18" a="1"/>
  <c r="T980" i="18" s="1"/>
  <c r="S980" i="18" a="1"/>
  <c r="S980" i="18" s="1"/>
  <c r="Y979" i="18" a="1"/>
  <c r="Y979" i="18" s="1"/>
  <c r="X979" i="18"/>
  <c r="W979" i="18" a="1"/>
  <c r="W979" i="18" s="1"/>
  <c r="V979" i="18"/>
  <c r="U979" i="18" a="1"/>
  <c r="U979" i="18" s="1"/>
  <c r="T979" i="18" a="1"/>
  <c r="T979" i="18" s="1"/>
  <c r="S979" i="18" a="1"/>
  <c r="S979" i="18" s="1"/>
  <c r="Y978" i="18" a="1"/>
  <c r="Y978" i="18" s="1"/>
  <c r="X978" i="18"/>
  <c r="W978" i="18" a="1"/>
  <c r="W978" i="18" s="1"/>
  <c r="V978" i="18"/>
  <c r="U978" i="18" a="1"/>
  <c r="U978" i="18" s="1"/>
  <c r="T978" i="18" a="1"/>
  <c r="T978" i="18" s="1"/>
  <c r="S978" i="18" a="1"/>
  <c r="S978" i="18" s="1"/>
  <c r="Y977" i="18" a="1"/>
  <c r="Y977" i="18" s="1"/>
  <c r="X977" i="18"/>
  <c r="W977" i="18" a="1"/>
  <c r="W977" i="18" s="1"/>
  <c r="V977" i="18"/>
  <c r="U977" i="18" a="1"/>
  <c r="U977" i="18" s="1"/>
  <c r="T977" i="18" a="1"/>
  <c r="T977" i="18" s="1"/>
  <c r="S977" i="18" a="1"/>
  <c r="S977" i="18" s="1"/>
  <c r="Y976" i="18" a="1"/>
  <c r="Y976" i="18" s="1"/>
  <c r="X976" i="18"/>
  <c r="W976" i="18" a="1"/>
  <c r="W976" i="18" s="1"/>
  <c r="V976" i="18"/>
  <c r="U976" i="18" a="1"/>
  <c r="U976" i="18" s="1"/>
  <c r="T976" i="18" a="1"/>
  <c r="T976" i="18" s="1"/>
  <c r="S976" i="18" a="1"/>
  <c r="S976" i="18" s="1"/>
  <c r="Y975" i="18" a="1"/>
  <c r="Y975" i="18" s="1"/>
  <c r="X975" i="18"/>
  <c r="W975" i="18" a="1"/>
  <c r="W975" i="18" s="1"/>
  <c r="V975" i="18"/>
  <c r="U975" i="18" a="1"/>
  <c r="U975" i="18" s="1"/>
  <c r="T975" i="18" a="1"/>
  <c r="T975" i="18" s="1"/>
  <c r="S975" i="18" a="1"/>
  <c r="S975" i="18" s="1"/>
  <c r="Y974" i="18" a="1"/>
  <c r="Y974" i="18" s="1"/>
  <c r="X974" i="18"/>
  <c r="W974" i="18" a="1"/>
  <c r="W974" i="18" s="1"/>
  <c r="V974" i="18"/>
  <c r="U974" i="18" a="1"/>
  <c r="U974" i="18" s="1"/>
  <c r="T974" i="18" a="1"/>
  <c r="T974" i="18" s="1"/>
  <c r="S974" i="18" a="1"/>
  <c r="S974" i="18" s="1"/>
  <c r="Y973" i="18" a="1"/>
  <c r="Y973" i="18" s="1"/>
  <c r="AA973" i="18" s="1"/>
  <c r="X973" i="18"/>
  <c r="W973" i="18" a="1"/>
  <c r="W973" i="18" s="1"/>
  <c r="V973" i="18"/>
  <c r="U973" i="18" a="1"/>
  <c r="U973" i="18" s="1"/>
  <c r="T973" i="18" a="1"/>
  <c r="T973" i="18" s="1"/>
  <c r="S973" i="18" a="1"/>
  <c r="S973" i="18" s="1"/>
  <c r="Y972" i="18" a="1"/>
  <c r="Y972" i="18" s="1"/>
  <c r="X972" i="18"/>
  <c r="W972" i="18" a="1"/>
  <c r="W972" i="18" s="1"/>
  <c r="V972" i="18"/>
  <c r="U972" i="18" a="1"/>
  <c r="U972" i="18" s="1"/>
  <c r="T972" i="18" a="1"/>
  <c r="T972" i="18" s="1"/>
  <c r="S972" i="18" a="1"/>
  <c r="S972" i="18" s="1"/>
  <c r="Y971" i="18" a="1"/>
  <c r="Y971" i="18" s="1"/>
  <c r="X971" i="18"/>
  <c r="W971" i="18" a="1"/>
  <c r="W971" i="18" s="1"/>
  <c r="V971" i="18"/>
  <c r="U971" i="18" a="1"/>
  <c r="U971" i="18" s="1"/>
  <c r="T971" i="18" a="1"/>
  <c r="T971" i="18" s="1"/>
  <c r="S971" i="18" a="1"/>
  <c r="S971" i="18" s="1"/>
  <c r="Y970" i="18" a="1"/>
  <c r="Y970" i="18" s="1"/>
  <c r="X970" i="18"/>
  <c r="W970" i="18" a="1"/>
  <c r="W970" i="18" s="1"/>
  <c r="V970" i="18"/>
  <c r="U970" i="18" a="1"/>
  <c r="U970" i="18" s="1"/>
  <c r="T970" i="18" a="1"/>
  <c r="T970" i="18" s="1"/>
  <c r="S970" i="18" a="1"/>
  <c r="S970" i="18" s="1"/>
  <c r="Y969" i="18" a="1"/>
  <c r="Y969" i="18" s="1"/>
  <c r="X969" i="18"/>
  <c r="W969" i="18" a="1"/>
  <c r="W969" i="18" s="1"/>
  <c r="V969" i="18"/>
  <c r="U969" i="18" a="1"/>
  <c r="U969" i="18" s="1"/>
  <c r="T969" i="18" a="1"/>
  <c r="T969" i="18" s="1"/>
  <c r="S969" i="18" a="1"/>
  <c r="S969" i="18" s="1"/>
  <c r="Y968" i="18" a="1"/>
  <c r="Y968" i="18" s="1"/>
  <c r="X968" i="18"/>
  <c r="W968" i="18" a="1"/>
  <c r="W968" i="18" s="1"/>
  <c r="V968" i="18"/>
  <c r="U968" i="18" a="1"/>
  <c r="U968" i="18" s="1"/>
  <c r="T968" i="18" a="1"/>
  <c r="T968" i="18" s="1"/>
  <c r="S968" i="18" a="1"/>
  <c r="S968" i="18" s="1"/>
  <c r="Y967" i="18" a="1"/>
  <c r="Y967" i="18" s="1"/>
  <c r="X967" i="18"/>
  <c r="W967" i="18" a="1"/>
  <c r="W967" i="18" s="1"/>
  <c r="V967" i="18"/>
  <c r="U967" i="18" a="1"/>
  <c r="U967" i="18" s="1"/>
  <c r="T967" i="18" a="1"/>
  <c r="T967" i="18" s="1"/>
  <c r="S967" i="18" a="1"/>
  <c r="S967" i="18" s="1"/>
  <c r="Y966" i="18" a="1"/>
  <c r="Y966" i="18" s="1"/>
  <c r="X966" i="18"/>
  <c r="W966" i="18" a="1"/>
  <c r="W966" i="18" s="1"/>
  <c r="V966" i="18"/>
  <c r="U966" i="18" a="1"/>
  <c r="U966" i="18" s="1"/>
  <c r="T966" i="18" a="1"/>
  <c r="T966" i="18" s="1"/>
  <c r="S966" i="18" a="1"/>
  <c r="S966" i="18" s="1"/>
  <c r="Y965" i="18" a="1"/>
  <c r="Y965" i="18" s="1"/>
  <c r="AA965" i="18" s="1"/>
  <c r="X965" i="18"/>
  <c r="W965" i="18" a="1"/>
  <c r="W965" i="18" s="1"/>
  <c r="V965" i="18"/>
  <c r="U965" i="18" a="1"/>
  <c r="U965" i="18" s="1"/>
  <c r="T965" i="18" a="1"/>
  <c r="T965" i="18" s="1"/>
  <c r="S965" i="18" a="1"/>
  <c r="S965" i="18" s="1"/>
  <c r="Y964" i="18" a="1"/>
  <c r="Y964" i="18" s="1"/>
  <c r="X964" i="18"/>
  <c r="W964" i="18" a="1"/>
  <c r="W964" i="18" s="1"/>
  <c r="V964" i="18"/>
  <c r="U964" i="18" a="1"/>
  <c r="U964" i="18" s="1"/>
  <c r="T964" i="18" a="1"/>
  <c r="T964" i="18" s="1"/>
  <c r="S964" i="18" a="1"/>
  <c r="S964" i="18" s="1"/>
  <c r="Y963" i="18" a="1"/>
  <c r="Y963" i="18" s="1"/>
  <c r="AA963" i="18" s="1"/>
  <c r="X963" i="18"/>
  <c r="W963" i="18" a="1"/>
  <c r="W963" i="18" s="1"/>
  <c r="V963" i="18"/>
  <c r="U963" i="18" a="1"/>
  <c r="U963" i="18" s="1"/>
  <c r="T963" i="18" a="1"/>
  <c r="T963" i="18" s="1"/>
  <c r="S963" i="18" a="1"/>
  <c r="S963" i="18" s="1"/>
  <c r="Y962" i="18" a="1"/>
  <c r="Y962" i="18" s="1"/>
  <c r="X962" i="18"/>
  <c r="W962" i="18" a="1"/>
  <c r="W962" i="18" s="1"/>
  <c r="V962" i="18"/>
  <c r="U962" i="18" a="1"/>
  <c r="U962" i="18" s="1"/>
  <c r="T962" i="18" a="1"/>
  <c r="T962" i="18" s="1"/>
  <c r="S962" i="18" a="1"/>
  <c r="S962" i="18" s="1"/>
  <c r="Y961" i="18" a="1"/>
  <c r="Y961" i="18" s="1"/>
  <c r="X961" i="18"/>
  <c r="W961" i="18" a="1"/>
  <c r="W961" i="18" s="1"/>
  <c r="V961" i="18"/>
  <c r="U961" i="18" a="1"/>
  <c r="U961" i="18" s="1"/>
  <c r="T961" i="18" a="1"/>
  <c r="T961" i="18" s="1"/>
  <c r="S961" i="18" a="1"/>
  <c r="S961" i="18" s="1"/>
  <c r="Y960" i="18" a="1"/>
  <c r="Y960" i="18" s="1"/>
  <c r="X960" i="18"/>
  <c r="W960" i="18" a="1"/>
  <c r="W960" i="18" s="1"/>
  <c r="V960" i="18"/>
  <c r="U960" i="18" a="1"/>
  <c r="U960" i="18" s="1"/>
  <c r="T960" i="18" a="1"/>
  <c r="T960" i="18" s="1"/>
  <c r="S960" i="18" a="1"/>
  <c r="S960" i="18" s="1"/>
  <c r="Y959" i="18" a="1"/>
  <c r="Y959" i="18" s="1"/>
  <c r="X959" i="18"/>
  <c r="W959" i="18" a="1"/>
  <c r="W959" i="18" s="1"/>
  <c r="V959" i="18"/>
  <c r="U959" i="18" a="1"/>
  <c r="U959" i="18" s="1"/>
  <c r="T959" i="18" a="1"/>
  <c r="T959" i="18" s="1"/>
  <c r="S959" i="18" a="1"/>
  <c r="S959" i="18" s="1"/>
  <c r="Y958" i="18" a="1"/>
  <c r="Y958" i="18" s="1"/>
  <c r="X958" i="18"/>
  <c r="W958" i="18" a="1"/>
  <c r="W958" i="18" s="1"/>
  <c r="V958" i="18"/>
  <c r="U958" i="18" a="1"/>
  <c r="U958" i="18" s="1"/>
  <c r="T958" i="18" a="1"/>
  <c r="T958" i="18" s="1"/>
  <c r="S958" i="18" a="1"/>
  <c r="S958" i="18" s="1"/>
  <c r="Y957" i="18" a="1"/>
  <c r="Y957" i="18" s="1"/>
  <c r="X957" i="18"/>
  <c r="W957" i="18" a="1"/>
  <c r="W957" i="18" s="1"/>
  <c r="V957" i="18"/>
  <c r="U957" i="18" a="1"/>
  <c r="U957" i="18" s="1"/>
  <c r="T957" i="18" a="1"/>
  <c r="T957" i="18" s="1"/>
  <c r="S957" i="18" a="1"/>
  <c r="S957" i="18" s="1"/>
  <c r="Y956" i="18" a="1"/>
  <c r="Y956" i="18" s="1"/>
  <c r="X956" i="18"/>
  <c r="W956" i="18" a="1"/>
  <c r="W956" i="18" s="1"/>
  <c r="V956" i="18"/>
  <c r="U956" i="18" a="1"/>
  <c r="U956" i="18" s="1"/>
  <c r="T956" i="18" a="1"/>
  <c r="T956" i="18" s="1"/>
  <c r="S956" i="18" a="1"/>
  <c r="S956" i="18" s="1"/>
  <c r="Y955" i="18" a="1"/>
  <c r="Y955" i="18" s="1"/>
  <c r="X955" i="18"/>
  <c r="W955" i="18" a="1"/>
  <c r="W955" i="18" s="1"/>
  <c r="V955" i="18"/>
  <c r="U955" i="18" a="1"/>
  <c r="U955" i="18" s="1"/>
  <c r="T955" i="18" a="1"/>
  <c r="T955" i="18" s="1"/>
  <c r="S955" i="18" a="1"/>
  <c r="S955" i="18" s="1"/>
  <c r="Y954" i="18" a="1"/>
  <c r="Y954" i="18" s="1"/>
  <c r="X954" i="18"/>
  <c r="W954" i="18" a="1"/>
  <c r="W954" i="18" s="1"/>
  <c r="V954" i="18"/>
  <c r="U954" i="18" a="1"/>
  <c r="U954" i="18" s="1"/>
  <c r="T954" i="18" a="1"/>
  <c r="T954" i="18" s="1"/>
  <c r="S954" i="18" a="1"/>
  <c r="S954" i="18" s="1"/>
  <c r="Y953" i="18" a="1"/>
  <c r="Y953" i="18" s="1"/>
  <c r="AA953" i="18" s="1"/>
  <c r="X953" i="18"/>
  <c r="W953" i="18" a="1"/>
  <c r="W953" i="18" s="1"/>
  <c r="V953" i="18"/>
  <c r="U953" i="18" a="1"/>
  <c r="U953" i="18" s="1"/>
  <c r="T953" i="18" a="1"/>
  <c r="T953" i="18" s="1"/>
  <c r="S953" i="18" a="1"/>
  <c r="S953" i="18" s="1"/>
  <c r="Y952" i="18" a="1"/>
  <c r="Y952" i="18" s="1"/>
  <c r="AA952" i="18" s="1"/>
  <c r="X952" i="18"/>
  <c r="W952" i="18" a="1"/>
  <c r="W952" i="18" s="1"/>
  <c r="V952" i="18"/>
  <c r="U952" i="18" a="1"/>
  <c r="U952" i="18" s="1"/>
  <c r="T952" i="18" a="1"/>
  <c r="T952" i="18" s="1"/>
  <c r="S952" i="18" a="1"/>
  <c r="S952" i="18" s="1"/>
  <c r="Y951" i="18" a="1"/>
  <c r="Y951" i="18" s="1"/>
  <c r="X951" i="18"/>
  <c r="W951" i="18" a="1"/>
  <c r="W951" i="18" s="1"/>
  <c r="V951" i="18"/>
  <c r="U951" i="18" a="1"/>
  <c r="U951" i="18" s="1"/>
  <c r="T951" i="18" a="1"/>
  <c r="T951" i="18" s="1"/>
  <c r="S951" i="18" a="1"/>
  <c r="S951" i="18" s="1"/>
  <c r="Y950" i="18" a="1"/>
  <c r="Y950" i="18" s="1"/>
  <c r="AA950" i="18" s="1"/>
  <c r="X950" i="18"/>
  <c r="W950" i="18" a="1"/>
  <c r="W950" i="18" s="1"/>
  <c r="V950" i="18"/>
  <c r="U950" i="18" a="1"/>
  <c r="U950" i="18" s="1"/>
  <c r="T950" i="18" a="1"/>
  <c r="T950" i="18" s="1"/>
  <c r="S950" i="18" a="1"/>
  <c r="S950" i="18" s="1"/>
  <c r="Y949" i="18" a="1"/>
  <c r="Y949" i="18" s="1"/>
  <c r="X949" i="18"/>
  <c r="W949" i="18" a="1"/>
  <c r="W949" i="18" s="1"/>
  <c r="V949" i="18"/>
  <c r="U949" i="18" a="1"/>
  <c r="U949" i="18" s="1"/>
  <c r="T949" i="18" a="1"/>
  <c r="T949" i="18" s="1"/>
  <c r="S949" i="18" a="1"/>
  <c r="S949" i="18" s="1"/>
  <c r="Y948" i="18" a="1"/>
  <c r="Y948" i="18" s="1"/>
  <c r="X948" i="18"/>
  <c r="W948" i="18" a="1"/>
  <c r="W948" i="18" s="1"/>
  <c r="V948" i="18"/>
  <c r="U948" i="18" a="1"/>
  <c r="U948" i="18" s="1"/>
  <c r="T948" i="18" a="1"/>
  <c r="T948" i="18" s="1"/>
  <c r="S948" i="18" a="1"/>
  <c r="S948" i="18" s="1"/>
  <c r="Y947" i="18" a="1"/>
  <c r="Y947" i="18" s="1"/>
  <c r="X947" i="18"/>
  <c r="W947" i="18" a="1"/>
  <c r="W947" i="18" s="1"/>
  <c r="V947" i="18"/>
  <c r="U947" i="18" a="1"/>
  <c r="U947" i="18" s="1"/>
  <c r="T947" i="18" a="1"/>
  <c r="T947" i="18" s="1"/>
  <c r="S947" i="18" a="1"/>
  <c r="S947" i="18" s="1"/>
  <c r="Y946" i="18" a="1"/>
  <c r="Y946" i="18" s="1"/>
  <c r="X946" i="18"/>
  <c r="W946" i="18" a="1"/>
  <c r="W946" i="18" s="1"/>
  <c r="V946" i="18"/>
  <c r="U946" i="18" a="1"/>
  <c r="U946" i="18" s="1"/>
  <c r="T946" i="18" a="1"/>
  <c r="T946" i="18" s="1"/>
  <c r="S946" i="18" a="1"/>
  <c r="S946" i="18" s="1"/>
  <c r="Y945" i="18" a="1"/>
  <c r="Y945" i="18" s="1"/>
  <c r="X945" i="18"/>
  <c r="W945" i="18" a="1"/>
  <c r="W945" i="18" s="1"/>
  <c r="V945" i="18"/>
  <c r="U945" i="18" a="1"/>
  <c r="U945" i="18" s="1"/>
  <c r="T945" i="18" a="1"/>
  <c r="T945" i="18" s="1"/>
  <c r="S945" i="18" a="1"/>
  <c r="S945" i="18" s="1"/>
  <c r="Y944" i="18" a="1"/>
  <c r="Y944" i="18" s="1"/>
  <c r="X944" i="18"/>
  <c r="W944" i="18" a="1"/>
  <c r="W944" i="18" s="1"/>
  <c r="V944" i="18"/>
  <c r="U944" i="18" a="1"/>
  <c r="U944" i="18" s="1"/>
  <c r="T944" i="18" a="1"/>
  <c r="T944" i="18" s="1"/>
  <c r="S944" i="18" a="1"/>
  <c r="S944" i="18" s="1"/>
  <c r="Y943" i="18" a="1"/>
  <c r="Y943" i="18" s="1"/>
  <c r="X943" i="18"/>
  <c r="W943" i="18" a="1"/>
  <c r="W943" i="18" s="1"/>
  <c r="V943" i="18"/>
  <c r="U943" i="18" a="1"/>
  <c r="U943" i="18" s="1"/>
  <c r="T943" i="18" a="1"/>
  <c r="T943" i="18" s="1"/>
  <c r="S943" i="18" a="1"/>
  <c r="S943" i="18" s="1"/>
  <c r="Y942" i="18" a="1"/>
  <c r="Y942" i="18" s="1"/>
  <c r="X942" i="18"/>
  <c r="W942" i="18" a="1"/>
  <c r="W942" i="18" s="1"/>
  <c r="V942" i="18"/>
  <c r="U942" i="18" a="1"/>
  <c r="U942" i="18" s="1"/>
  <c r="T942" i="18" a="1"/>
  <c r="T942" i="18" s="1"/>
  <c r="S942" i="18" a="1"/>
  <c r="S942" i="18" s="1"/>
  <c r="Y941" i="18" a="1"/>
  <c r="Y941" i="18" s="1"/>
  <c r="X941" i="18"/>
  <c r="W941" i="18" a="1"/>
  <c r="W941" i="18" s="1"/>
  <c r="V941" i="18"/>
  <c r="U941" i="18" a="1"/>
  <c r="U941" i="18" s="1"/>
  <c r="T941" i="18" a="1"/>
  <c r="T941" i="18" s="1"/>
  <c r="S941" i="18" a="1"/>
  <c r="S941" i="18" s="1"/>
  <c r="Y940" i="18" a="1"/>
  <c r="Y940" i="18" s="1"/>
  <c r="X940" i="18"/>
  <c r="W940" i="18" a="1"/>
  <c r="W940" i="18" s="1"/>
  <c r="V940" i="18"/>
  <c r="U940" i="18" a="1"/>
  <c r="U940" i="18" s="1"/>
  <c r="T940" i="18" a="1"/>
  <c r="T940" i="18" s="1"/>
  <c r="S940" i="18" a="1"/>
  <c r="S940" i="18" s="1"/>
  <c r="Y939" i="18" a="1"/>
  <c r="Y939" i="18" s="1"/>
  <c r="X939" i="18"/>
  <c r="W939" i="18" a="1"/>
  <c r="W939" i="18" s="1"/>
  <c r="V939" i="18"/>
  <c r="U939" i="18" a="1"/>
  <c r="U939" i="18" s="1"/>
  <c r="T939" i="18" a="1"/>
  <c r="T939" i="18" s="1"/>
  <c r="S939" i="18" a="1"/>
  <c r="S939" i="18" s="1"/>
  <c r="Y938" i="18" a="1"/>
  <c r="Y938" i="18" s="1"/>
  <c r="X938" i="18"/>
  <c r="W938" i="18" a="1"/>
  <c r="W938" i="18" s="1"/>
  <c r="V938" i="18"/>
  <c r="U938" i="18" a="1"/>
  <c r="U938" i="18" s="1"/>
  <c r="T938" i="18" a="1"/>
  <c r="T938" i="18" s="1"/>
  <c r="S938" i="18" a="1"/>
  <c r="S938" i="18" s="1"/>
  <c r="Y937" i="18" a="1"/>
  <c r="Y937" i="18" s="1"/>
  <c r="X937" i="18"/>
  <c r="W937" i="18" a="1"/>
  <c r="W937" i="18" s="1"/>
  <c r="V937" i="18"/>
  <c r="U937" i="18" a="1"/>
  <c r="U937" i="18" s="1"/>
  <c r="T937" i="18" a="1"/>
  <c r="T937" i="18" s="1"/>
  <c r="S937" i="18" a="1"/>
  <c r="S937" i="18" s="1"/>
  <c r="Y936" i="18" a="1"/>
  <c r="Y936" i="18" s="1"/>
  <c r="X936" i="18"/>
  <c r="W936" i="18" a="1"/>
  <c r="W936" i="18" s="1"/>
  <c r="V936" i="18"/>
  <c r="U936" i="18" a="1"/>
  <c r="U936" i="18" s="1"/>
  <c r="T936" i="18" a="1"/>
  <c r="T936" i="18" s="1"/>
  <c r="S936" i="18" a="1"/>
  <c r="S936" i="18" s="1"/>
  <c r="Y935" i="18" a="1"/>
  <c r="Y935" i="18" s="1"/>
  <c r="X935" i="18"/>
  <c r="W935" i="18" a="1"/>
  <c r="W935" i="18" s="1"/>
  <c r="V935" i="18"/>
  <c r="U935" i="18" a="1"/>
  <c r="U935" i="18" s="1"/>
  <c r="T935" i="18" a="1"/>
  <c r="T935" i="18" s="1"/>
  <c r="S935" i="18" a="1"/>
  <c r="S935" i="18" s="1"/>
  <c r="Y934" i="18" a="1"/>
  <c r="Y934" i="18" s="1"/>
  <c r="X934" i="18"/>
  <c r="W934" i="18" a="1"/>
  <c r="W934" i="18" s="1"/>
  <c r="V934" i="18"/>
  <c r="U934" i="18" a="1"/>
  <c r="U934" i="18" s="1"/>
  <c r="T934" i="18" a="1"/>
  <c r="T934" i="18" s="1"/>
  <c r="S934" i="18" a="1"/>
  <c r="S934" i="18" s="1"/>
  <c r="Y933" i="18" a="1"/>
  <c r="Y933" i="18" s="1"/>
  <c r="X933" i="18"/>
  <c r="W933" i="18" a="1"/>
  <c r="W933" i="18" s="1"/>
  <c r="V933" i="18"/>
  <c r="U933" i="18" a="1"/>
  <c r="U933" i="18" s="1"/>
  <c r="T933" i="18" a="1"/>
  <c r="T933" i="18" s="1"/>
  <c r="S933" i="18" a="1"/>
  <c r="S933" i="18" s="1"/>
  <c r="Y932" i="18" a="1"/>
  <c r="Y932" i="18" s="1"/>
  <c r="AA932" i="18" s="1"/>
  <c r="X932" i="18"/>
  <c r="W932" i="18" a="1"/>
  <c r="W932" i="18" s="1"/>
  <c r="V932" i="18"/>
  <c r="U932" i="18" a="1"/>
  <c r="U932" i="18" s="1"/>
  <c r="T932" i="18" a="1"/>
  <c r="T932" i="18" s="1"/>
  <c r="S932" i="18" a="1"/>
  <c r="S932" i="18" s="1"/>
  <c r="Y931" i="18" a="1"/>
  <c r="Y931" i="18" s="1"/>
  <c r="X931" i="18"/>
  <c r="W931" i="18" a="1"/>
  <c r="W931" i="18" s="1"/>
  <c r="V931" i="18"/>
  <c r="U931" i="18" a="1"/>
  <c r="U931" i="18" s="1"/>
  <c r="T931" i="18" a="1"/>
  <c r="T931" i="18" s="1"/>
  <c r="S931" i="18" a="1"/>
  <c r="S931" i="18" s="1"/>
  <c r="Y930" i="18" a="1"/>
  <c r="Y930" i="18" s="1"/>
  <c r="X930" i="18"/>
  <c r="W930" i="18" a="1"/>
  <c r="W930" i="18" s="1"/>
  <c r="V930" i="18"/>
  <c r="U930" i="18" a="1"/>
  <c r="U930" i="18" s="1"/>
  <c r="T930" i="18" a="1"/>
  <c r="T930" i="18" s="1"/>
  <c r="S930" i="18" a="1"/>
  <c r="S930" i="18" s="1"/>
  <c r="Y929" i="18" a="1"/>
  <c r="Y929" i="18" s="1"/>
  <c r="X929" i="18"/>
  <c r="W929" i="18" a="1"/>
  <c r="W929" i="18" s="1"/>
  <c r="V929" i="18"/>
  <c r="U929" i="18" a="1"/>
  <c r="U929" i="18" s="1"/>
  <c r="T929" i="18" a="1"/>
  <c r="T929" i="18" s="1"/>
  <c r="S929" i="18" a="1"/>
  <c r="S929" i="18" s="1"/>
  <c r="Y928" i="18" a="1"/>
  <c r="Y928" i="18" s="1"/>
  <c r="X928" i="18"/>
  <c r="W928" i="18" a="1"/>
  <c r="W928" i="18" s="1"/>
  <c r="V928" i="18"/>
  <c r="U928" i="18" a="1"/>
  <c r="U928" i="18" s="1"/>
  <c r="T928" i="18" a="1"/>
  <c r="T928" i="18" s="1"/>
  <c r="S928" i="18" a="1"/>
  <c r="S928" i="18" s="1"/>
  <c r="Y927" i="18" a="1"/>
  <c r="Y927" i="18" s="1"/>
  <c r="AA927" i="18" s="1"/>
  <c r="X927" i="18"/>
  <c r="W927" i="18" a="1"/>
  <c r="W927" i="18" s="1"/>
  <c r="V927" i="18"/>
  <c r="U927" i="18" a="1"/>
  <c r="U927" i="18" s="1"/>
  <c r="T927" i="18" a="1"/>
  <c r="T927" i="18" s="1"/>
  <c r="S927" i="18" a="1"/>
  <c r="S927" i="18" s="1"/>
  <c r="Y926" i="18" a="1"/>
  <c r="Y926" i="18" s="1"/>
  <c r="X926" i="18"/>
  <c r="W926" i="18" a="1"/>
  <c r="W926" i="18" s="1"/>
  <c r="V926" i="18"/>
  <c r="U926" i="18" a="1"/>
  <c r="U926" i="18" s="1"/>
  <c r="T926" i="18" a="1"/>
  <c r="T926" i="18" s="1"/>
  <c r="S926" i="18" a="1"/>
  <c r="S926" i="18" s="1"/>
  <c r="Y925" i="18" a="1"/>
  <c r="Y925" i="18" s="1"/>
  <c r="AA925" i="18" s="1"/>
  <c r="X925" i="18"/>
  <c r="W925" i="18" a="1"/>
  <c r="W925" i="18" s="1"/>
  <c r="V925" i="18"/>
  <c r="U925" i="18" a="1"/>
  <c r="U925" i="18" s="1"/>
  <c r="T925" i="18" a="1"/>
  <c r="T925" i="18" s="1"/>
  <c r="S925" i="18" a="1"/>
  <c r="S925" i="18" s="1"/>
  <c r="Y924" i="18" a="1"/>
  <c r="Y924" i="18" s="1"/>
  <c r="X924" i="18"/>
  <c r="W924" i="18" a="1"/>
  <c r="W924" i="18" s="1"/>
  <c r="V924" i="18"/>
  <c r="U924" i="18" a="1"/>
  <c r="U924" i="18" s="1"/>
  <c r="T924" i="18" a="1"/>
  <c r="T924" i="18" s="1"/>
  <c r="S924" i="18" a="1"/>
  <c r="S924" i="18" s="1"/>
  <c r="Y923" i="18" a="1"/>
  <c r="Y923" i="18" s="1"/>
  <c r="X923" i="18"/>
  <c r="W923" i="18" a="1"/>
  <c r="W923" i="18" s="1"/>
  <c r="V923" i="18"/>
  <c r="U923" i="18" a="1"/>
  <c r="U923" i="18" s="1"/>
  <c r="T923" i="18" a="1"/>
  <c r="T923" i="18" s="1"/>
  <c r="S923" i="18" a="1"/>
  <c r="S923" i="18" s="1"/>
  <c r="Y922" i="18" a="1"/>
  <c r="Y922" i="18" s="1"/>
  <c r="X922" i="18"/>
  <c r="W922" i="18" a="1"/>
  <c r="W922" i="18" s="1"/>
  <c r="V922" i="18"/>
  <c r="U922" i="18" a="1"/>
  <c r="U922" i="18" s="1"/>
  <c r="T922" i="18" a="1"/>
  <c r="T922" i="18" s="1"/>
  <c r="S922" i="18" a="1"/>
  <c r="S922" i="18" s="1"/>
  <c r="Y921" i="18" a="1"/>
  <c r="Y921" i="18" s="1"/>
  <c r="X921" i="18"/>
  <c r="W921" i="18" a="1"/>
  <c r="W921" i="18" s="1"/>
  <c r="V921" i="18"/>
  <c r="U921" i="18" a="1"/>
  <c r="U921" i="18" s="1"/>
  <c r="T921" i="18" a="1"/>
  <c r="T921" i="18" s="1"/>
  <c r="S921" i="18" a="1"/>
  <c r="S921" i="18" s="1"/>
  <c r="Y920" i="18" a="1"/>
  <c r="Y920" i="18" s="1"/>
  <c r="X920" i="18"/>
  <c r="W920" i="18" a="1"/>
  <c r="W920" i="18" s="1"/>
  <c r="V920" i="18"/>
  <c r="U920" i="18" a="1"/>
  <c r="U920" i="18" s="1"/>
  <c r="T920" i="18" a="1"/>
  <c r="T920" i="18" s="1"/>
  <c r="S920" i="18" a="1"/>
  <c r="S920" i="18" s="1"/>
  <c r="Y919" i="18" a="1"/>
  <c r="Y919" i="18" s="1"/>
  <c r="AA919" i="18" s="1"/>
  <c r="X919" i="18"/>
  <c r="W919" i="18" a="1"/>
  <c r="W919" i="18" s="1"/>
  <c r="V919" i="18"/>
  <c r="U919" i="18" a="1"/>
  <c r="U919" i="18" s="1"/>
  <c r="T919" i="18" a="1"/>
  <c r="T919" i="18" s="1"/>
  <c r="S919" i="18" a="1"/>
  <c r="S919" i="18" s="1"/>
  <c r="Y918" i="18" a="1"/>
  <c r="Y918" i="18" s="1"/>
  <c r="X918" i="18"/>
  <c r="W918" i="18" a="1"/>
  <c r="W918" i="18" s="1"/>
  <c r="V918" i="18"/>
  <c r="U918" i="18" a="1"/>
  <c r="U918" i="18" s="1"/>
  <c r="T918" i="18" a="1"/>
  <c r="T918" i="18" s="1"/>
  <c r="S918" i="18" a="1"/>
  <c r="S918" i="18" s="1"/>
  <c r="Y917" i="18" a="1"/>
  <c r="Y917" i="18" s="1"/>
  <c r="AA917" i="18" s="1"/>
  <c r="X917" i="18"/>
  <c r="W917" i="18" a="1"/>
  <c r="W917" i="18" s="1"/>
  <c r="V917" i="18"/>
  <c r="U917" i="18" a="1"/>
  <c r="U917" i="18" s="1"/>
  <c r="T917" i="18" a="1"/>
  <c r="T917" i="18" s="1"/>
  <c r="S917" i="18" a="1"/>
  <c r="S917" i="18" s="1"/>
  <c r="Y916" i="18" a="1"/>
  <c r="Y916" i="18" s="1"/>
  <c r="AA916" i="18" s="1"/>
  <c r="X916" i="18"/>
  <c r="W916" i="18" a="1"/>
  <c r="W916" i="18" s="1"/>
  <c r="V916" i="18"/>
  <c r="U916" i="18" a="1"/>
  <c r="U916" i="18" s="1"/>
  <c r="T916" i="18" a="1"/>
  <c r="T916" i="18" s="1"/>
  <c r="S916" i="18" a="1"/>
  <c r="S916" i="18" s="1"/>
  <c r="Y915" i="18" a="1"/>
  <c r="Y915" i="18" s="1"/>
  <c r="AA915" i="18" s="1"/>
  <c r="X915" i="18"/>
  <c r="W915" i="18" a="1"/>
  <c r="W915" i="18" s="1"/>
  <c r="V915" i="18"/>
  <c r="U915" i="18" a="1"/>
  <c r="U915" i="18" s="1"/>
  <c r="T915" i="18" a="1"/>
  <c r="T915" i="18" s="1"/>
  <c r="S915" i="18" a="1"/>
  <c r="S915" i="18" s="1"/>
  <c r="Y914" i="18" a="1"/>
  <c r="Y914" i="18" s="1"/>
  <c r="X914" i="18"/>
  <c r="W914" i="18" a="1"/>
  <c r="W914" i="18" s="1"/>
  <c r="V914" i="18"/>
  <c r="U914" i="18" a="1"/>
  <c r="U914" i="18" s="1"/>
  <c r="T914" i="18" a="1"/>
  <c r="T914" i="18" s="1"/>
  <c r="S914" i="18" a="1"/>
  <c r="S914" i="18" s="1"/>
  <c r="Y913" i="18" a="1"/>
  <c r="Y913" i="18" s="1"/>
  <c r="AA913" i="18" s="1"/>
  <c r="X913" i="18"/>
  <c r="W913" i="18" a="1"/>
  <c r="W913" i="18" s="1"/>
  <c r="V913" i="18"/>
  <c r="U913" i="18" a="1"/>
  <c r="U913" i="18" s="1"/>
  <c r="T913" i="18" a="1"/>
  <c r="T913" i="18" s="1"/>
  <c r="S913" i="18" a="1"/>
  <c r="S913" i="18" s="1"/>
  <c r="Y912" i="18" a="1"/>
  <c r="Y912" i="18" s="1"/>
  <c r="X912" i="18"/>
  <c r="W912" i="18" a="1"/>
  <c r="W912" i="18" s="1"/>
  <c r="V912" i="18"/>
  <c r="U912" i="18" a="1"/>
  <c r="U912" i="18" s="1"/>
  <c r="T912" i="18" a="1"/>
  <c r="T912" i="18" s="1"/>
  <c r="S912" i="18" a="1"/>
  <c r="S912" i="18" s="1"/>
  <c r="Y911" i="18" a="1"/>
  <c r="Y911" i="18" s="1"/>
  <c r="X911" i="18"/>
  <c r="W911" i="18" a="1"/>
  <c r="W911" i="18" s="1"/>
  <c r="V911" i="18"/>
  <c r="U911" i="18" a="1"/>
  <c r="U911" i="18" s="1"/>
  <c r="T911" i="18" a="1"/>
  <c r="T911" i="18" s="1"/>
  <c r="S911" i="18" a="1"/>
  <c r="S911" i="18" s="1"/>
  <c r="Y910" i="18" a="1"/>
  <c r="Y910" i="18" s="1"/>
  <c r="X910" i="18"/>
  <c r="W910" i="18" a="1"/>
  <c r="W910" i="18" s="1"/>
  <c r="V910" i="18"/>
  <c r="U910" i="18" a="1"/>
  <c r="U910" i="18" s="1"/>
  <c r="T910" i="18" a="1"/>
  <c r="T910" i="18" s="1"/>
  <c r="S910" i="18" a="1"/>
  <c r="S910" i="18" s="1"/>
  <c r="Y909" i="18" a="1"/>
  <c r="Y909" i="18" s="1"/>
  <c r="X909" i="18"/>
  <c r="W909" i="18" a="1"/>
  <c r="W909" i="18" s="1"/>
  <c r="V909" i="18"/>
  <c r="U909" i="18" a="1"/>
  <c r="U909" i="18" s="1"/>
  <c r="T909" i="18" a="1"/>
  <c r="T909" i="18" s="1"/>
  <c r="S909" i="18" a="1"/>
  <c r="S909" i="18" s="1"/>
  <c r="Y908" i="18" a="1"/>
  <c r="Y908" i="18" s="1"/>
  <c r="X908" i="18"/>
  <c r="W908" i="18" a="1"/>
  <c r="W908" i="18" s="1"/>
  <c r="V908" i="18"/>
  <c r="U908" i="18" a="1"/>
  <c r="U908" i="18" s="1"/>
  <c r="T908" i="18" a="1"/>
  <c r="T908" i="18" s="1"/>
  <c r="S908" i="18" a="1"/>
  <c r="S908" i="18" s="1"/>
  <c r="Y907" i="18" a="1"/>
  <c r="Y907" i="18" s="1"/>
  <c r="X907" i="18"/>
  <c r="W907" i="18" a="1"/>
  <c r="W907" i="18" s="1"/>
  <c r="V907" i="18"/>
  <c r="U907" i="18" a="1"/>
  <c r="U907" i="18" s="1"/>
  <c r="T907" i="18" a="1"/>
  <c r="T907" i="18" s="1"/>
  <c r="S907" i="18" a="1"/>
  <c r="S907" i="18" s="1"/>
  <c r="Y906" i="18" a="1"/>
  <c r="Y906" i="18" s="1"/>
  <c r="X906" i="18"/>
  <c r="W906" i="18" a="1"/>
  <c r="W906" i="18" s="1"/>
  <c r="V906" i="18"/>
  <c r="U906" i="18" a="1"/>
  <c r="U906" i="18" s="1"/>
  <c r="T906" i="18" a="1"/>
  <c r="T906" i="18" s="1"/>
  <c r="S906" i="18" a="1"/>
  <c r="S906" i="18" s="1"/>
  <c r="Y905" i="18" a="1"/>
  <c r="Y905" i="18" s="1"/>
  <c r="X905" i="18"/>
  <c r="W905" i="18" a="1"/>
  <c r="W905" i="18" s="1"/>
  <c r="V905" i="18"/>
  <c r="U905" i="18" a="1"/>
  <c r="U905" i="18" s="1"/>
  <c r="T905" i="18" a="1"/>
  <c r="T905" i="18" s="1"/>
  <c r="S905" i="18" a="1"/>
  <c r="S905" i="18" s="1"/>
  <c r="Y904" i="18" a="1"/>
  <c r="Y904" i="18" s="1"/>
  <c r="AA904" i="18" s="1"/>
  <c r="X904" i="18"/>
  <c r="W904" i="18" a="1"/>
  <c r="W904" i="18" s="1"/>
  <c r="V904" i="18"/>
  <c r="U904" i="18" a="1"/>
  <c r="U904" i="18" s="1"/>
  <c r="T904" i="18" a="1"/>
  <c r="T904" i="18" s="1"/>
  <c r="S904" i="18" a="1"/>
  <c r="S904" i="18" s="1"/>
  <c r="Y903" i="18" a="1"/>
  <c r="Y903" i="18" s="1"/>
  <c r="X903" i="18"/>
  <c r="W903" i="18" a="1"/>
  <c r="W903" i="18" s="1"/>
  <c r="V903" i="18"/>
  <c r="U903" i="18" a="1"/>
  <c r="U903" i="18" s="1"/>
  <c r="T903" i="18" a="1"/>
  <c r="T903" i="18" s="1"/>
  <c r="S903" i="18" a="1"/>
  <c r="S903" i="18" s="1"/>
  <c r="Y902" i="18" a="1"/>
  <c r="Y902" i="18" s="1"/>
  <c r="X902" i="18"/>
  <c r="W902" i="18" a="1"/>
  <c r="W902" i="18" s="1"/>
  <c r="V902" i="18"/>
  <c r="U902" i="18" a="1"/>
  <c r="U902" i="18" s="1"/>
  <c r="T902" i="18" a="1"/>
  <c r="T902" i="18" s="1"/>
  <c r="S902" i="18" a="1"/>
  <c r="S902" i="18" s="1"/>
  <c r="Y901" i="18" a="1"/>
  <c r="Y901" i="18" s="1"/>
  <c r="X901" i="18"/>
  <c r="W901" i="18" a="1"/>
  <c r="W901" i="18" s="1"/>
  <c r="V901" i="18"/>
  <c r="U901" i="18" a="1"/>
  <c r="U901" i="18" s="1"/>
  <c r="T901" i="18" a="1"/>
  <c r="T901" i="18" s="1"/>
  <c r="S901" i="18" a="1"/>
  <c r="S901" i="18" s="1"/>
  <c r="Y900" i="18" a="1"/>
  <c r="Y900" i="18" s="1"/>
  <c r="X900" i="18"/>
  <c r="W900" i="18" a="1"/>
  <c r="W900" i="18" s="1"/>
  <c r="V900" i="18"/>
  <c r="U900" i="18" a="1"/>
  <c r="U900" i="18" s="1"/>
  <c r="T900" i="18" a="1"/>
  <c r="T900" i="18" s="1"/>
  <c r="S900" i="18" a="1"/>
  <c r="S900" i="18" s="1"/>
  <c r="Y899" i="18" a="1"/>
  <c r="Y899" i="18" s="1"/>
  <c r="X899" i="18"/>
  <c r="W899" i="18" a="1"/>
  <c r="W899" i="18" s="1"/>
  <c r="V899" i="18"/>
  <c r="U899" i="18" a="1"/>
  <c r="U899" i="18" s="1"/>
  <c r="T899" i="18" a="1"/>
  <c r="T899" i="18" s="1"/>
  <c r="S899" i="18" a="1"/>
  <c r="S899" i="18" s="1"/>
  <c r="Y898" i="18" a="1"/>
  <c r="Y898" i="18" s="1"/>
  <c r="X898" i="18"/>
  <c r="W898" i="18" a="1"/>
  <c r="W898" i="18" s="1"/>
  <c r="V898" i="18"/>
  <c r="U898" i="18" a="1"/>
  <c r="U898" i="18" s="1"/>
  <c r="T898" i="18" a="1"/>
  <c r="T898" i="18" s="1"/>
  <c r="S898" i="18" a="1"/>
  <c r="S898" i="18" s="1"/>
  <c r="Y897" i="18" a="1"/>
  <c r="Y897" i="18" s="1"/>
  <c r="X897" i="18"/>
  <c r="W897" i="18" a="1"/>
  <c r="W897" i="18" s="1"/>
  <c r="V897" i="18"/>
  <c r="U897" i="18" a="1"/>
  <c r="U897" i="18" s="1"/>
  <c r="T897" i="18" a="1"/>
  <c r="T897" i="18" s="1"/>
  <c r="S897" i="18" a="1"/>
  <c r="S897" i="18" s="1"/>
  <c r="Y896" i="18" a="1"/>
  <c r="Y896" i="18" s="1"/>
  <c r="X896" i="18"/>
  <c r="W896" i="18" a="1"/>
  <c r="W896" i="18" s="1"/>
  <c r="V896" i="18"/>
  <c r="U896" i="18" a="1"/>
  <c r="U896" i="18" s="1"/>
  <c r="T896" i="18" a="1"/>
  <c r="T896" i="18" s="1"/>
  <c r="S896" i="18" a="1"/>
  <c r="S896" i="18" s="1"/>
  <c r="Y895" i="18" a="1"/>
  <c r="Y895" i="18" s="1"/>
  <c r="AA895" i="18" s="1"/>
  <c r="X895" i="18"/>
  <c r="W895" i="18" a="1"/>
  <c r="W895" i="18" s="1"/>
  <c r="V895" i="18"/>
  <c r="U895" i="18" a="1"/>
  <c r="U895" i="18" s="1"/>
  <c r="T895" i="18" a="1"/>
  <c r="T895" i="18" s="1"/>
  <c r="S895" i="18" a="1"/>
  <c r="S895" i="18" s="1"/>
  <c r="Y894" i="18" a="1"/>
  <c r="Y894" i="18" s="1"/>
  <c r="X894" i="18"/>
  <c r="W894" i="18" a="1"/>
  <c r="W894" i="18" s="1"/>
  <c r="V894" i="18"/>
  <c r="U894" i="18" a="1"/>
  <c r="U894" i="18" s="1"/>
  <c r="T894" i="18" a="1"/>
  <c r="T894" i="18" s="1"/>
  <c r="S894" i="18" a="1"/>
  <c r="S894" i="18" s="1"/>
  <c r="Y893" i="18" a="1"/>
  <c r="Y893" i="18" s="1"/>
  <c r="AA893" i="18" s="1"/>
  <c r="X893" i="18"/>
  <c r="W893" i="18" a="1"/>
  <c r="W893" i="18" s="1"/>
  <c r="V893" i="18"/>
  <c r="U893" i="18" a="1"/>
  <c r="U893" i="18" s="1"/>
  <c r="T893" i="18" a="1"/>
  <c r="T893" i="18" s="1"/>
  <c r="S893" i="18" a="1"/>
  <c r="S893" i="18" s="1"/>
  <c r="Y892" i="18" a="1"/>
  <c r="Y892" i="18" s="1"/>
  <c r="X892" i="18"/>
  <c r="W892" i="18" a="1"/>
  <c r="W892" i="18" s="1"/>
  <c r="V892" i="18"/>
  <c r="U892" i="18" a="1"/>
  <c r="U892" i="18" s="1"/>
  <c r="T892" i="18" a="1"/>
  <c r="T892" i="18" s="1"/>
  <c r="S892" i="18" a="1"/>
  <c r="S892" i="18" s="1"/>
  <c r="Y891" i="18" a="1"/>
  <c r="Y891" i="18" s="1"/>
  <c r="X891" i="18"/>
  <c r="W891" i="18" a="1"/>
  <c r="W891" i="18" s="1"/>
  <c r="V891" i="18"/>
  <c r="U891" i="18" a="1"/>
  <c r="U891" i="18" s="1"/>
  <c r="T891" i="18" a="1"/>
  <c r="T891" i="18" s="1"/>
  <c r="S891" i="18" a="1"/>
  <c r="S891" i="18" s="1"/>
  <c r="Y890" i="18" a="1"/>
  <c r="Y890" i="18" s="1"/>
  <c r="X890" i="18"/>
  <c r="W890" i="18" a="1"/>
  <c r="W890" i="18" s="1"/>
  <c r="V890" i="18"/>
  <c r="U890" i="18" a="1"/>
  <c r="U890" i="18" s="1"/>
  <c r="T890" i="18" a="1"/>
  <c r="T890" i="18" s="1"/>
  <c r="S890" i="18" a="1"/>
  <c r="S890" i="18" s="1"/>
  <c r="Y889" i="18" a="1"/>
  <c r="Y889" i="18" s="1"/>
  <c r="AA889" i="18" s="1"/>
  <c r="X889" i="18"/>
  <c r="W889" i="18" a="1"/>
  <c r="W889" i="18" s="1"/>
  <c r="V889" i="18"/>
  <c r="U889" i="18" a="1"/>
  <c r="U889" i="18" s="1"/>
  <c r="T889" i="18" a="1"/>
  <c r="T889" i="18" s="1"/>
  <c r="S889" i="18" a="1"/>
  <c r="S889" i="18" s="1"/>
  <c r="Y888" i="18" a="1"/>
  <c r="Y888" i="18" s="1"/>
  <c r="X888" i="18"/>
  <c r="W888" i="18" a="1"/>
  <c r="W888" i="18" s="1"/>
  <c r="V888" i="18"/>
  <c r="U888" i="18" a="1"/>
  <c r="U888" i="18" s="1"/>
  <c r="T888" i="18" a="1"/>
  <c r="T888" i="18" s="1"/>
  <c r="S888" i="18" a="1"/>
  <c r="S888" i="18" s="1"/>
  <c r="Y887" i="18" a="1"/>
  <c r="Y887" i="18" s="1"/>
  <c r="X887" i="18"/>
  <c r="W887" i="18" a="1"/>
  <c r="W887" i="18" s="1"/>
  <c r="V887" i="18"/>
  <c r="U887" i="18" a="1"/>
  <c r="U887" i="18" s="1"/>
  <c r="T887" i="18" a="1"/>
  <c r="T887" i="18" s="1"/>
  <c r="S887" i="18" a="1"/>
  <c r="S887" i="18" s="1"/>
  <c r="Y886" i="18" a="1"/>
  <c r="Y886" i="18" s="1"/>
  <c r="X886" i="18"/>
  <c r="W886" i="18" a="1"/>
  <c r="W886" i="18" s="1"/>
  <c r="V886" i="18"/>
  <c r="U886" i="18" a="1"/>
  <c r="U886" i="18" s="1"/>
  <c r="T886" i="18" a="1"/>
  <c r="T886" i="18" s="1"/>
  <c r="S886" i="18" a="1"/>
  <c r="S886" i="18" s="1"/>
  <c r="Y885" i="18" a="1"/>
  <c r="Y885" i="18" s="1"/>
  <c r="X885" i="18"/>
  <c r="W885" i="18" a="1"/>
  <c r="W885" i="18" s="1"/>
  <c r="V885" i="18"/>
  <c r="U885" i="18" a="1"/>
  <c r="U885" i="18" s="1"/>
  <c r="T885" i="18" a="1"/>
  <c r="T885" i="18" s="1"/>
  <c r="S885" i="18" a="1"/>
  <c r="S885" i="18" s="1"/>
  <c r="Y884" i="18" a="1"/>
  <c r="Y884" i="18" s="1"/>
  <c r="X884" i="18"/>
  <c r="W884" i="18" a="1"/>
  <c r="W884" i="18" s="1"/>
  <c r="V884" i="18"/>
  <c r="U884" i="18" a="1"/>
  <c r="U884" i="18" s="1"/>
  <c r="T884" i="18" a="1"/>
  <c r="T884" i="18" s="1"/>
  <c r="S884" i="18" a="1"/>
  <c r="S884" i="18" s="1"/>
  <c r="Y883" i="18" a="1"/>
  <c r="Y883" i="18" s="1"/>
  <c r="AA883" i="18" s="1"/>
  <c r="X883" i="18"/>
  <c r="W883" i="18" a="1"/>
  <c r="W883" i="18" s="1"/>
  <c r="V883" i="18"/>
  <c r="U883" i="18" a="1"/>
  <c r="U883" i="18" s="1"/>
  <c r="T883" i="18" a="1"/>
  <c r="T883" i="18" s="1"/>
  <c r="S883" i="18" a="1"/>
  <c r="S883" i="18" s="1"/>
  <c r="Y882" i="18" a="1"/>
  <c r="Y882" i="18" s="1"/>
  <c r="X882" i="18"/>
  <c r="W882" i="18" a="1"/>
  <c r="W882" i="18" s="1"/>
  <c r="V882" i="18"/>
  <c r="U882" i="18" a="1"/>
  <c r="U882" i="18" s="1"/>
  <c r="T882" i="18" a="1"/>
  <c r="T882" i="18" s="1"/>
  <c r="S882" i="18" a="1"/>
  <c r="S882" i="18" s="1"/>
  <c r="Y881" i="18" a="1"/>
  <c r="Y881" i="18" s="1"/>
  <c r="X881" i="18"/>
  <c r="W881" i="18" a="1"/>
  <c r="W881" i="18" s="1"/>
  <c r="V881" i="18"/>
  <c r="U881" i="18" a="1"/>
  <c r="U881" i="18" s="1"/>
  <c r="T881" i="18" a="1"/>
  <c r="T881" i="18" s="1"/>
  <c r="S881" i="18" a="1"/>
  <c r="S881" i="18" s="1"/>
  <c r="Y880" i="18" a="1"/>
  <c r="Y880" i="18" s="1"/>
  <c r="X880" i="18"/>
  <c r="W880" i="18" a="1"/>
  <c r="W880" i="18" s="1"/>
  <c r="V880" i="18"/>
  <c r="U880" i="18" a="1"/>
  <c r="U880" i="18" s="1"/>
  <c r="T880" i="18" a="1"/>
  <c r="T880" i="18" s="1"/>
  <c r="S880" i="18" a="1"/>
  <c r="S880" i="18" s="1"/>
  <c r="Y879" i="18" a="1"/>
  <c r="Y879" i="18" s="1"/>
  <c r="AA879" i="18" s="1"/>
  <c r="X879" i="18"/>
  <c r="W879" i="18" a="1"/>
  <c r="W879" i="18" s="1"/>
  <c r="V879" i="18"/>
  <c r="U879" i="18" a="1"/>
  <c r="U879" i="18" s="1"/>
  <c r="T879" i="18" a="1"/>
  <c r="T879" i="18" s="1"/>
  <c r="S879" i="18" a="1"/>
  <c r="S879" i="18" s="1"/>
  <c r="Y878" i="18" a="1"/>
  <c r="Y878" i="18" s="1"/>
  <c r="X878" i="18"/>
  <c r="W878" i="18" a="1"/>
  <c r="W878" i="18" s="1"/>
  <c r="V878" i="18"/>
  <c r="U878" i="18" a="1"/>
  <c r="U878" i="18" s="1"/>
  <c r="T878" i="18" a="1"/>
  <c r="T878" i="18" s="1"/>
  <c r="S878" i="18" a="1"/>
  <c r="S878" i="18" s="1"/>
  <c r="Y877" i="18" a="1"/>
  <c r="Y877" i="18" s="1"/>
  <c r="X877" i="18"/>
  <c r="W877" i="18" a="1"/>
  <c r="W877" i="18" s="1"/>
  <c r="V877" i="18"/>
  <c r="U877" i="18" a="1"/>
  <c r="U877" i="18" s="1"/>
  <c r="T877" i="18" a="1"/>
  <c r="T877" i="18" s="1"/>
  <c r="S877" i="18" a="1"/>
  <c r="S877" i="18" s="1"/>
  <c r="Y876" i="18" a="1"/>
  <c r="Y876" i="18" s="1"/>
  <c r="X876" i="18"/>
  <c r="W876" i="18" a="1"/>
  <c r="W876" i="18" s="1"/>
  <c r="V876" i="18"/>
  <c r="U876" i="18" a="1"/>
  <c r="U876" i="18" s="1"/>
  <c r="T876" i="18" a="1"/>
  <c r="T876" i="18" s="1"/>
  <c r="S876" i="18" a="1"/>
  <c r="S876" i="18" s="1"/>
  <c r="Y875" i="18" a="1"/>
  <c r="Y875" i="18" s="1"/>
  <c r="X875" i="18"/>
  <c r="W875" i="18" a="1"/>
  <c r="W875" i="18" s="1"/>
  <c r="V875" i="18"/>
  <c r="U875" i="18" a="1"/>
  <c r="U875" i="18" s="1"/>
  <c r="T875" i="18" a="1"/>
  <c r="T875" i="18" s="1"/>
  <c r="S875" i="18" a="1"/>
  <c r="S875" i="18" s="1"/>
  <c r="Y874" i="18" a="1"/>
  <c r="Y874" i="18" s="1"/>
  <c r="X874" i="18"/>
  <c r="W874" i="18" a="1"/>
  <c r="W874" i="18" s="1"/>
  <c r="V874" i="18"/>
  <c r="U874" i="18" a="1"/>
  <c r="U874" i="18" s="1"/>
  <c r="T874" i="18" a="1"/>
  <c r="T874" i="18" s="1"/>
  <c r="S874" i="18" a="1"/>
  <c r="S874" i="18" s="1"/>
  <c r="Y873" i="18" a="1"/>
  <c r="Y873" i="18" s="1"/>
  <c r="X873" i="18"/>
  <c r="W873" i="18" a="1"/>
  <c r="W873" i="18" s="1"/>
  <c r="V873" i="18"/>
  <c r="U873" i="18" a="1"/>
  <c r="U873" i="18" s="1"/>
  <c r="T873" i="18" a="1"/>
  <c r="T873" i="18" s="1"/>
  <c r="S873" i="18" a="1"/>
  <c r="S873" i="18" s="1"/>
  <c r="Y872" i="18" a="1"/>
  <c r="Y872" i="18" s="1"/>
  <c r="X872" i="18"/>
  <c r="W872" i="18" a="1"/>
  <c r="W872" i="18" s="1"/>
  <c r="V872" i="18"/>
  <c r="U872" i="18" a="1"/>
  <c r="U872" i="18" s="1"/>
  <c r="T872" i="18" a="1"/>
  <c r="T872" i="18" s="1"/>
  <c r="S872" i="18" a="1"/>
  <c r="S872" i="18" s="1"/>
  <c r="Y871" i="18" a="1"/>
  <c r="Y871" i="18" s="1"/>
  <c r="X871" i="18"/>
  <c r="W871" i="18" a="1"/>
  <c r="W871" i="18" s="1"/>
  <c r="V871" i="18"/>
  <c r="U871" i="18" a="1"/>
  <c r="U871" i="18" s="1"/>
  <c r="T871" i="18" a="1"/>
  <c r="T871" i="18" s="1"/>
  <c r="S871" i="18" a="1"/>
  <c r="S871" i="18" s="1"/>
  <c r="Y870" i="18" a="1"/>
  <c r="Y870" i="18" s="1"/>
  <c r="X870" i="18"/>
  <c r="W870" i="18" a="1"/>
  <c r="W870" i="18" s="1"/>
  <c r="V870" i="18"/>
  <c r="U870" i="18" a="1"/>
  <c r="U870" i="18" s="1"/>
  <c r="T870" i="18" a="1"/>
  <c r="T870" i="18" s="1"/>
  <c r="S870" i="18" a="1"/>
  <c r="S870" i="18" s="1"/>
  <c r="Y869" i="18" a="1"/>
  <c r="Y869" i="18" s="1"/>
  <c r="X869" i="18"/>
  <c r="W869" i="18" a="1"/>
  <c r="W869" i="18" s="1"/>
  <c r="V869" i="18"/>
  <c r="U869" i="18" a="1"/>
  <c r="U869" i="18" s="1"/>
  <c r="T869" i="18" a="1"/>
  <c r="T869" i="18" s="1"/>
  <c r="S869" i="18" a="1"/>
  <c r="S869" i="18" s="1"/>
  <c r="Y868" i="18" a="1"/>
  <c r="Y868" i="18" s="1"/>
  <c r="X868" i="18"/>
  <c r="W868" i="18" a="1"/>
  <c r="W868" i="18" s="1"/>
  <c r="V868" i="18"/>
  <c r="U868" i="18" a="1"/>
  <c r="U868" i="18" s="1"/>
  <c r="T868" i="18" a="1"/>
  <c r="T868" i="18" s="1"/>
  <c r="S868" i="18" a="1"/>
  <c r="S868" i="18" s="1"/>
  <c r="Y867" i="18" a="1"/>
  <c r="Y867" i="18" s="1"/>
  <c r="X867" i="18"/>
  <c r="W867" i="18" a="1"/>
  <c r="W867" i="18" s="1"/>
  <c r="V867" i="18"/>
  <c r="U867" i="18" a="1"/>
  <c r="U867" i="18" s="1"/>
  <c r="T867" i="18" a="1"/>
  <c r="T867" i="18" s="1"/>
  <c r="S867" i="18" a="1"/>
  <c r="S867" i="18" s="1"/>
  <c r="Y866" i="18" a="1"/>
  <c r="Y866" i="18" s="1"/>
  <c r="X866" i="18"/>
  <c r="W866" i="18" a="1"/>
  <c r="W866" i="18" s="1"/>
  <c r="V866" i="18"/>
  <c r="U866" i="18" a="1"/>
  <c r="U866" i="18" s="1"/>
  <c r="T866" i="18" a="1"/>
  <c r="T866" i="18" s="1"/>
  <c r="S866" i="18" a="1"/>
  <c r="S866" i="18" s="1"/>
  <c r="Y865" i="18" a="1"/>
  <c r="Y865" i="18" s="1"/>
  <c r="X865" i="18"/>
  <c r="W865" i="18" a="1"/>
  <c r="W865" i="18" s="1"/>
  <c r="V865" i="18"/>
  <c r="U865" i="18" a="1"/>
  <c r="U865" i="18" s="1"/>
  <c r="T865" i="18" a="1"/>
  <c r="T865" i="18" s="1"/>
  <c r="S865" i="18" a="1"/>
  <c r="S865" i="18" s="1"/>
  <c r="Y864" i="18" a="1"/>
  <c r="Y864" i="18" s="1"/>
  <c r="X864" i="18"/>
  <c r="W864" i="18" a="1"/>
  <c r="W864" i="18" s="1"/>
  <c r="V864" i="18"/>
  <c r="U864" i="18" a="1"/>
  <c r="U864" i="18" s="1"/>
  <c r="T864" i="18" a="1"/>
  <c r="T864" i="18" s="1"/>
  <c r="S864" i="18" a="1"/>
  <c r="S864" i="18" s="1"/>
  <c r="Y863" i="18" a="1"/>
  <c r="Y863" i="18" s="1"/>
  <c r="AA863" i="18" s="1"/>
  <c r="X863" i="18"/>
  <c r="W863" i="18" a="1"/>
  <c r="W863" i="18" s="1"/>
  <c r="V863" i="18"/>
  <c r="U863" i="18" a="1"/>
  <c r="U863" i="18" s="1"/>
  <c r="T863" i="18" a="1"/>
  <c r="T863" i="18" s="1"/>
  <c r="S863" i="18" a="1"/>
  <c r="S863" i="18" s="1"/>
  <c r="Y862" i="18" a="1"/>
  <c r="Y862" i="18" s="1"/>
  <c r="AA862" i="18" s="1"/>
  <c r="X862" i="18"/>
  <c r="W862" i="18" a="1"/>
  <c r="W862" i="18" s="1"/>
  <c r="V862" i="18"/>
  <c r="U862" i="18" a="1"/>
  <c r="U862" i="18" s="1"/>
  <c r="T862" i="18" a="1"/>
  <c r="T862" i="18" s="1"/>
  <c r="S862" i="18" a="1"/>
  <c r="S862" i="18" s="1"/>
  <c r="Y861" i="18" a="1"/>
  <c r="Y861" i="18" s="1"/>
  <c r="X861" i="18"/>
  <c r="W861" i="18" a="1"/>
  <c r="W861" i="18" s="1"/>
  <c r="V861" i="18"/>
  <c r="U861" i="18" a="1"/>
  <c r="U861" i="18" s="1"/>
  <c r="T861" i="18" a="1"/>
  <c r="T861" i="18" s="1"/>
  <c r="S861" i="18" a="1"/>
  <c r="S861" i="18" s="1"/>
  <c r="Y860" i="18" a="1"/>
  <c r="Y860" i="18" s="1"/>
  <c r="X860" i="18"/>
  <c r="W860" i="18" a="1"/>
  <c r="W860" i="18" s="1"/>
  <c r="V860" i="18"/>
  <c r="U860" i="18" a="1"/>
  <c r="U860" i="18" s="1"/>
  <c r="T860" i="18" a="1"/>
  <c r="T860" i="18" s="1"/>
  <c r="S860" i="18" a="1"/>
  <c r="S860" i="18" s="1"/>
  <c r="Y859" i="18" a="1"/>
  <c r="Y859" i="18" s="1"/>
  <c r="AA859" i="18" s="1"/>
  <c r="X859" i="18"/>
  <c r="W859" i="18" a="1"/>
  <c r="W859" i="18" s="1"/>
  <c r="V859" i="18"/>
  <c r="U859" i="18" a="1"/>
  <c r="U859" i="18" s="1"/>
  <c r="T859" i="18" a="1"/>
  <c r="T859" i="18" s="1"/>
  <c r="S859" i="18" a="1"/>
  <c r="S859" i="18" s="1"/>
  <c r="Y858" i="18" a="1"/>
  <c r="Y858" i="18" s="1"/>
  <c r="AA858" i="18" s="1"/>
  <c r="X858" i="18"/>
  <c r="W858" i="18" a="1"/>
  <c r="W858" i="18" s="1"/>
  <c r="V858" i="18"/>
  <c r="U858" i="18" a="1"/>
  <c r="U858" i="18" s="1"/>
  <c r="T858" i="18" a="1"/>
  <c r="T858" i="18" s="1"/>
  <c r="S858" i="18" a="1"/>
  <c r="S858" i="18" s="1"/>
  <c r="Y857" i="18" a="1"/>
  <c r="Y857" i="18" s="1"/>
  <c r="AA857" i="18" s="1"/>
  <c r="X857" i="18"/>
  <c r="W857" i="18" a="1"/>
  <c r="W857" i="18" s="1"/>
  <c r="V857" i="18"/>
  <c r="U857" i="18" a="1"/>
  <c r="U857" i="18" s="1"/>
  <c r="T857" i="18" a="1"/>
  <c r="T857" i="18" s="1"/>
  <c r="S857" i="18" a="1"/>
  <c r="S857" i="18" s="1"/>
  <c r="Y856" i="18" a="1"/>
  <c r="Y856" i="18" s="1"/>
  <c r="X856" i="18"/>
  <c r="W856" i="18" a="1"/>
  <c r="W856" i="18" s="1"/>
  <c r="V856" i="18"/>
  <c r="U856" i="18" a="1"/>
  <c r="U856" i="18" s="1"/>
  <c r="T856" i="18" a="1"/>
  <c r="T856" i="18" s="1"/>
  <c r="S856" i="18" a="1"/>
  <c r="S856" i="18" s="1"/>
  <c r="Y855" i="18" a="1"/>
  <c r="Y855" i="18" s="1"/>
  <c r="X855" i="18"/>
  <c r="W855" i="18" a="1"/>
  <c r="W855" i="18" s="1"/>
  <c r="V855" i="18"/>
  <c r="U855" i="18" a="1"/>
  <c r="U855" i="18" s="1"/>
  <c r="T855" i="18" a="1"/>
  <c r="T855" i="18" s="1"/>
  <c r="S855" i="18" a="1"/>
  <c r="S855" i="18" s="1"/>
  <c r="Y854" i="18" a="1"/>
  <c r="Y854" i="18" s="1"/>
  <c r="X854" i="18"/>
  <c r="W854" i="18" a="1"/>
  <c r="W854" i="18" s="1"/>
  <c r="V854" i="18"/>
  <c r="U854" i="18" a="1"/>
  <c r="U854" i="18" s="1"/>
  <c r="T854" i="18" a="1"/>
  <c r="T854" i="18" s="1"/>
  <c r="S854" i="18" a="1"/>
  <c r="S854" i="18" s="1"/>
  <c r="Y853" i="18" a="1"/>
  <c r="Y853" i="18" s="1"/>
  <c r="AA853" i="18" s="1"/>
  <c r="X853" i="18"/>
  <c r="W853" i="18" a="1"/>
  <c r="W853" i="18" s="1"/>
  <c r="V853" i="18"/>
  <c r="U853" i="18" a="1"/>
  <c r="U853" i="18" s="1"/>
  <c r="T853" i="18" a="1"/>
  <c r="T853" i="18" s="1"/>
  <c r="S853" i="18" a="1"/>
  <c r="S853" i="18" s="1"/>
  <c r="Y852" i="18" a="1"/>
  <c r="Y852" i="18" s="1"/>
  <c r="X852" i="18"/>
  <c r="W852" i="18" a="1"/>
  <c r="W852" i="18" s="1"/>
  <c r="V852" i="18"/>
  <c r="U852" i="18" a="1"/>
  <c r="U852" i="18" s="1"/>
  <c r="T852" i="18" a="1"/>
  <c r="T852" i="18" s="1"/>
  <c r="S852" i="18" a="1"/>
  <c r="S852" i="18" s="1"/>
  <c r="Y851" i="18" a="1"/>
  <c r="Y851" i="18" s="1"/>
  <c r="X851" i="18"/>
  <c r="W851" i="18" a="1"/>
  <c r="W851" i="18" s="1"/>
  <c r="V851" i="18"/>
  <c r="U851" i="18" a="1"/>
  <c r="U851" i="18" s="1"/>
  <c r="T851" i="18" a="1"/>
  <c r="T851" i="18" s="1"/>
  <c r="S851" i="18" a="1"/>
  <c r="S851" i="18" s="1"/>
  <c r="Y850" i="18" a="1"/>
  <c r="Y850" i="18" s="1"/>
  <c r="X850" i="18"/>
  <c r="W850" i="18" a="1"/>
  <c r="W850" i="18" s="1"/>
  <c r="V850" i="18"/>
  <c r="U850" i="18" a="1"/>
  <c r="U850" i="18" s="1"/>
  <c r="T850" i="18" a="1"/>
  <c r="T850" i="18" s="1"/>
  <c r="S850" i="18" a="1"/>
  <c r="S850" i="18" s="1"/>
  <c r="Y849" i="18" a="1"/>
  <c r="Y849" i="18" s="1"/>
  <c r="X849" i="18"/>
  <c r="W849" i="18" a="1"/>
  <c r="W849" i="18" s="1"/>
  <c r="V849" i="18"/>
  <c r="U849" i="18" a="1"/>
  <c r="U849" i="18" s="1"/>
  <c r="T849" i="18" a="1"/>
  <c r="T849" i="18" s="1"/>
  <c r="S849" i="18" a="1"/>
  <c r="S849" i="18" s="1"/>
  <c r="Y848" i="18" a="1"/>
  <c r="Y848" i="18" s="1"/>
  <c r="X848" i="18"/>
  <c r="W848" i="18" a="1"/>
  <c r="W848" i="18" s="1"/>
  <c r="V848" i="18"/>
  <c r="U848" i="18" a="1"/>
  <c r="U848" i="18" s="1"/>
  <c r="T848" i="18" a="1"/>
  <c r="T848" i="18" s="1"/>
  <c r="S848" i="18" a="1"/>
  <c r="S848" i="18" s="1"/>
  <c r="Y847" i="18" a="1"/>
  <c r="Y847" i="18" s="1"/>
  <c r="X847" i="18"/>
  <c r="W847" i="18" a="1"/>
  <c r="W847" i="18" s="1"/>
  <c r="V847" i="18"/>
  <c r="U847" i="18" a="1"/>
  <c r="U847" i="18" s="1"/>
  <c r="T847" i="18" a="1"/>
  <c r="T847" i="18" s="1"/>
  <c r="S847" i="18" a="1"/>
  <c r="S847" i="18" s="1"/>
  <c r="Y846" i="18" a="1"/>
  <c r="Y846" i="18" s="1"/>
  <c r="X846" i="18"/>
  <c r="W846" i="18" a="1"/>
  <c r="W846" i="18" s="1"/>
  <c r="V846" i="18"/>
  <c r="U846" i="18" a="1"/>
  <c r="U846" i="18" s="1"/>
  <c r="T846" i="18" a="1"/>
  <c r="T846" i="18" s="1"/>
  <c r="S846" i="18" a="1"/>
  <c r="S846" i="18" s="1"/>
  <c r="Y845" i="18" a="1"/>
  <c r="Y845" i="18" s="1"/>
  <c r="X845" i="18"/>
  <c r="W845" i="18" a="1"/>
  <c r="W845" i="18" s="1"/>
  <c r="V845" i="18"/>
  <c r="U845" i="18" a="1"/>
  <c r="U845" i="18" s="1"/>
  <c r="T845" i="18" a="1"/>
  <c r="T845" i="18" s="1"/>
  <c r="S845" i="18" a="1"/>
  <c r="S845" i="18" s="1"/>
  <c r="Y844" i="18" a="1"/>
  <c r="Y844" i="18" s="1"/>
  <c r="X844" i="18"/>
  <c r="W844" i="18" a="1"/>
  <c r="W844" i="18" s="1"/>
  <c r="V844" i="18"/>
  <c r="U844" i="18" a="1"/>
  <c r="U844" i="18" s="1"/>
  <c r="T844" i="18" a="1"/>
  <c r="T844" i="18" s="1"/>
  <c r="S844" i="18" a="1"/>
  <c r="S844" i="18" s="1"/>
  <c r="Y843" i="18" a="1"/>
  <c r="Y843" i="18" s="1"/>
  <c r="X843" i="18"/>
  <c r="W843" i="18" a="1"/>
  <c r="W843" i="18" s="1"/>
  <c r="V843" i="18"/>
  <c r="U843" i="18" a="1"/>
  <c r="U843" i="18" s="1"/>
  <c r="T843" i="18" a="1"/>
  <c r="T843" i="18" s="1"/>
  <c r="S843" i="18" a="1"/>
  <c r="S843" i="18" s="1"/>
  <c r="Y842" i="18" a="1"/>
  <c r="Y842" i="18" s="1"/>
  <c r="X842" i="18"/>
  <c r="W842" i="18" a="1"/>
  <c r="W842" i="18" s="1"/>
  <c r="V842" i="18"/>
  <c r="U842" i="18" a="1"/>
  <c r="U842" i="18" s="1"/>
  <c r="T842" i="18" a="1"/>
  <c r="T842" i="18" s="1"/>
  <c r="S842" i="18" a="1"/>
  <c r="S842" i="18" s="1"/>
  <c r="Y841" i="18" a="1"/>
  <c r="Y841" i="18" s="1"/>
  <c r="X841" i="18"/>
  <c r="W841" i="18" a="1"/>
  <c r="W841" i="18" s="1"/>
  <c r="V841" i="18"/>
  <c r="U841" i="18" a="1"/>
  <c r="U841" i="18" s="1"/>
  <c r="T841" i="18" a="1"/>
  <c r="T841" i="18" s="1"/>
  <c r="S841" i="18" a="1"/>
  <c r="S841" i="18" s="1"/>
  <c r="Y840" i="18" a="1"/>
  <c r="Y840" i="18" s="1"/>
  <c r="X840" i="18"/>
  <c r="W840" i="18" a="1"/>
  <c r="W840" i="18" s="1"/>
  <c r="V840" i="18"/>
  <c r="U840" i="18" a="1"/>
  <c r="U840" i="18" s="1"/>
  <c r="T840" i="18" a="1"/>
  <c r="T840" i="18" s="1"/>
  <c r="S840" i="18" a="1"/>
  <c r="S840" i="18" s="1"/>
  <c r="Y839" i="18" a="1"/>
  <c r="Y839" i="18" s="1"/>
  <c r="X839" i="18"/>
  <c r="W839" i="18" a="1"/>
  <c r="W839" i="18" s="1"/>
  <c r="V839" i="18"/>
  <c r="U839" i="18" a="1"/>
  <c r="U839" i="18" s="1"/>
  <c r="T839" i="18" a="1"/>
  <c r="T839" i="18" s="1"/>
  <c r="S839" i="18" a="1"/>
  <c r="S839" i="18" s="1"/>
  <c r="Y838" i="18" a="1"/>
  <c r="Y838" i="18" s="1"/>
  <c r="X838" i="18"/>
  <c r="W838" i="18" a="1"/>
  <c r="W838" i="18" s="1"/>
  <c r="V838" i="18"/>
  <c r="U838" i="18" a="1"/>
  <c r="U838" i="18" s="1"/>
  <c r="T838" i="18" a="1"/>
  <c r="T838" i="18" s="1"/>
  <c r="S838" i="18" a="1"/>
  <c r="S838" i="18" s="1"/>
  <c r="Y837" i="18" a="1"/>
  <c r="Y837" i="18" s="1"/>
  <c r="X837" i="18"/>
  <c r="W837" i="18" a="1"/>
  <c r="W837" i="18" s="1"/>
  <c r="V837" i="18"/>
  <c r="U837" i="18" a="1"/>
  <c r="U837" i="18" s="1"/>
  <c r="T837" i="18" a="1"/>
  <c r="T837" i="18" s="1"/>
  <c r="S837" i="18" a="1"/>
  <c r="S837" i="18" s="1"/>
  <c r="Y836" i="18" a="1"/>
  <c r="Y836" i="18" s="1"/>
  <c r="X836" i="18"/>
  <c r="W836" i="18" a="1"/>
  <c r="W836" i="18" s="1"/>
  <c r="V836" i="18"/>
  <c r="U836" i="18" a="1"/>
  <c r="U836" i="18" s="1"/>
  <c r="T836" i="18" a="1"/>
  <c r="T836" i="18" s="1"/>
  <c r="S836" i="18" a="1"/>
  <c r="S836" i="18" s="1"/>
  <c r="Y835" i="18" a="1"/>
  <c r="Y835" i="18" s="1"/>
  <c r="AA835" i="18" s="1"/>
  <c r="X835" i="18"/>
  <c r="W835" i="18" a="1"/>
  <c r="W835" i="18" s="1"/>
  <c r="V835" i="18"/>
  <c r="U835" i="18" a="1"/>
  <c r="U835" i="18" s="1"/>
  <c r="T835" i="18" a="1"/>
  <c r="T835" i="18" s="1"/>
  <c r="S835" i="18" a="1"/>
  <c r="S835" i="18" s="1"/>
  <c r="Y834" i="18" a="1"/>
  <c r="Y834" i="18" s="1"/>
  <c r="AA834" i="18" s="1"/>
  <c r="X834" i="18"/>
  <c r="W834" i="18" a="1"/>
  <c r="W834" i="18" s="1"/>
  <c r="V834" i="18"/>
  <c r="U834" i="18" a="1"/>
  <c r="U834" i="18" s="1"/>
  <c r="T834" i="18" a="1"/>
  <c r="T834" i="18" s="1"/>
  <c r="S834" i="18" a="1"/>
  <c r="S834" i="18" s="1"/>
  <c r="Y833" i="18" a="1"/>
  <c r="Y833" i="18" s="1"/>
  <c r="AA833" i="18" s="1"/>
  <c r="X833" i="18"/>
  <c r="W833" i="18" a="1"/>
  <c r="W833" i="18" s="1"/>
  <c r="V833" i="18"/>
  <c r="U833" i="18" a="1"/>
  <c r="U833" i="18" s="1"/>
  <c r="T833" i="18" a="1"/>
  <c r="T833" i="18" s="1"/>
  <c r="S833" i="18" a="1"/>
  <c r="S833" i="18" s="1"/>
  <c r="Y832" i="18" a="1"/>
  <c r="Y832" i="18" s="1"/>
  <c r="AA832" i="18" s="1"/>
  <c r="X832" i="18"/>
  <c r="W832" i="18" a="1"/>
  <c r="W832" i="18" s="1"/>
  <c r="V832" i="18"/>
  <c r="U832" i="18" a="1"/>
  <c r="U832" i="18" s="1"/>
  <c r="T832" i="18" a="1"/>
  <c r="T832" i="18" s="1"/>
  <c r="S832" i="18" a="1"/>
  <c r="S832" i="18" s="1"/>
  <c r="Y831" i="18" a="1"/>
  <c r="Y831" i="18" s="1"/>
  <c r="X831" i="18"/>
  <c r="W831" i="18" a="1"/>
  <c r="W831" i="18" s="1"/>
  <c r="V831" i="18"/>
  <c r="U831" i="18" a="1"/>
  <c r="U831" i="18" s="1"/>
  <c r="T831" i="18" a="1"/>
  <c r="T831" i="18" s="1"/>
  <c r="S831" i="18" a="1"/>
  <c r="S831" i="18" s="1"/>
  <c r="Y830" i="18" a="1"/>
  <c r="Y830" i="18" s="1"/>
  <c r="AA830" i="18" s="1"/>
  <c r="X830" i="18"/>
  <c r="W830" i="18" a="1"/>
  <c r="W830" i="18" s="1"/>
  <c r="V830" i="18"/>
  <c r="U830" i="18" a="1"/>
  <c r="U830" i="18" s="1"/>
  <c r="T830" i="18" a="1"/>
  <c r="T830" i="18" s="1"/>
  <c r="S830" i="18" a="1"/>
  <c r="S830" i="18" s="1"/>
  <c r="Y829" i="18" a="1"/>
  <c r="Y829" i="18" s="1"/>
  <c r="X829" i="18"/>
  <c r="W829" i="18" a="1"/>
  <c r="W829" i="18" s="1"/>
  <c r="V829" i="18"/>
  <c r="U829" i="18" a="1"/>
  <c r="U829" i="18" s="1"/>
  <c r="T829" i="18" a="1"/>
  <c r="T829" i="18" s="1"/>
  <c r="S829" i="18" a="1"/>
  <c r="S829" i="18" s="1"/>
  <c r="Y828" i="18" a="1"/>
  <c r="Y828" i="18" s="1"/>
  <c r="X828" i="18"/>
  <c r="W828" i="18" a="1"/>
  <c r="W828" i="18" s="1"/>
  <c r="V828" i="18"/>
  <c r="U828" i="18" a="1"/>
  <c r="U828" i="18" s="1"/>
  <c r="T828" i="18" a="1"/>
  <c r="T828" i="18" s="1"/>
  <c r="S828" i="18" a="1"/>
  <c r="S828" i="18" s="1"/>
  <c r="Y827" i="18" a="1"/>
  <c r="Y827" i="18" s="1"/>
  <c r="X827" i="18"/>
  <c r="W827" i="18" a="1"/>
  <c r="W827" i="18" s="1"/>
  <c r="V827" i="18"/>
  <c r="U827" i="18" a="1"/>
  <c r="U827" i="18" s="1"/>
  <c r="T827" i="18" a="1"/>
  <c r="T827" i="18" s="1"/>
  <c r="S827" i="18" a="1"/>
  <c r="S827" i="18" s="1"/>
  <c r="Y826" i="18" a="1"/>
  <c r="Y826" i="18" s="1"/>
  <c r="X826" i="18"/>
  <c r="W826" i="18" a="1"/>
  <c r="W826" i="18" s="1"/>
  <c r="V826" i="18"/>
  <c r="U826" i="18" a="1"/>
  <c r="U826" i="18" s="1"/>
  <c r="T826" i="18" a="1"/>
  <c r="T826" i="18" s="1"/>
  <c r="S826" i="18" a="1"/>
  <c r="S826" i="18" s="1"/>
  <c r="Y825" i="18" a="1"/>
  <c r="Y825" i="18" s="1"/>
  <c r="X825" i="18"/>
  <c r="W825" i="18" a="1"/>
  <c r="W825" i="18" s="1"/>
  <c r="V825" i="18"/>
  <c r="U825" i="18" a="1"/>
  <c r="U825" i="18" s="1"/>
  <c r="T825" i="18" a="1"/>
  <c r="T825" i="18" s="1"/>
  <c r="S825" i="18" a="1"/>
  <c r="S825" i="18" s="1"/>
  <c r="Y824" i="18" a="1"/>
  <c r="Y824" i="18" s="1"/>
  <c r="X824" i="18"/>
  <c r="W824" i="18" a="1"/>
  <c r="W824" i="18" s="1"/>
  <c r="V824" i="18"/>
  <c r="U824" i="18" a="1"/>
  <c r="U824" i="18" s="1"/>
  <c r="T824" i="18" a="1"/>
  <c r="T824" i="18" s="1"/>
  <c r="S824" i="18" a="1"/>
  <c r="S824" i="18" s="1"/>
  <c r="Y823" i="18" a="1"/>
  <c r="Y823" i="18" s="1"/>
  <c r="X823" i="18"/>
  <c r="W823" i="18" a="1"/>
  <c r="W823" i="18" s="1"/>
  <c r="V823" i="18"/>
  <c r="U823" i="18" a="1"/>
  <c r="U823" i="18" s="1"/>
  <c r="T823" i="18" a="1"/>
  <c r="T823" i="18" s="1"/>
  <c r="S823" i="18" a="1"/>
  <c r="S823" i="18" s="1"/>
  <c r="Y822" i="18" a="1"/>
  <c r="Y822" i="18" s="1"/>
  <c r="X822" i="18"/>
  <c r="W822" i="18" a="1"/>
  <c r="W822" i="18" s="1"/>
  <c r="V822" i="18"/>
  <c r="U822" i="18" a="1"/>
  <c r="U822" i="18" s="1"/>
  <c r="T822" i="18" a="1"/>
  <c r="T822" i="18" s="1"/>
  <c r="S822" i="18" a="1"/>
  <c r="S822" i="18" s="1"/>
  <c r="Y821" i="18" a="1"/>
  <c r="Y821" i="18" s="1"/>
  <c r="X821" i="18"/>
  <c r="W821" i="18" a="1"/>
  <c r="W821" i="18" s="1"/>
  <c r="V821" i="18"/>
  <c r="U821" i="18" a="1"/>
  <c r="U821" i="18" s="1"/>
  <c r="T821" i="18" a="1"/>
  <c r="T821" i="18" s="1"/>
  <c r="S821" i="18" a="1"/>
  <c r="S821" i="18" s="1"/>
  <c r="Y820" i="18" a="1"/>
  <c r="Y820" i="18" s="1"/>
  <c r="X820" i="18"/>
  <c r="W820" i="18" a="1"/>
  <c r="W820" i="18" s="1"/>
  <c r="V820" i="18"/>
  <c r="U820" i="18" a="1"/>
  <c r="U820" i="18" s="1"/>
  <c r="T820" i="18" a="1"/>
  <c r="T820" i="18" s="1"/>
  <c r="S820" i="18" a="1"/>
  <c r="S820" i="18" s="1"/>
  <c r="Y819" i="18" a="1"/>
  <c r="Y819" i="18" s="1"/>
  <c r="X819" i="18"/>
  <c r="W819" i="18" a="1"/>
  <c r="W819" i="18" s="1"/>
  <c r="V819" i="18"/>
  <c r="U819" i="18" a="1"/>
  <c r="U819" i="18" s="1"/>
  <c r="T819" i="18" a="1"/>
  <c r="T819" i="18" s="1"/>
  <c r="S819" i="18" a="1"/>
  <c r="S819" i="18" s="1"/>
  <c r="Y818" i="18" a="1"/>
  <c r="Y818" i="18" s="1"/>
  <c r="X818" i="18"/>
  <c r="W818" i="18" a="1"/>
  <c r="W818" i="18" s="1"/>
  <c r="V818" i="18"/>
  <c r="U818" i="18" a="1"/>
  <c r="U818" i="18" s="1"/>
  <c r="T818" i="18" a="1"/>
  <c r="T818" i="18" s="1"/>
  <c r="S818" i="18" a="1"/>
  <c r="S818" i="18" s="1"/>
  <c r="Y817" i="18" a="1"/>
  <c r="Y817" i="18" s="1"/>
  <c r="AA817" i="18" s="1"/>
  <c r="X817" i="18"/>
  <c r="W817" i="18" a="1"/>
  <c r="W817" i="18" s="1"/>
  <c r="V817" i="18"/>
  <c r="U817" i="18" a="1"/>
  <c r="U817" i="18" s="1"/>
  <c r="T817" i="18" a="1"/>
  <c r="T817" i="18" s="1"/>
  <c r="S817" i="18" a="1"/>
  <c r="S817" i="18" s="1"/>
  <c r="Y816" i="18" a="1"/>
  <c r="Y816" i="18" s="1"/>
  <c r="X816" i="18"/>
  <c r="W816" i="18" a="1"/>
  <c r="W816" i="18" s="1"/>
  <c r="V816" i="18"/>
  <c r="U816" i="18" a="1"/>
  <c r="U816" i="18" s="1"/>
  <c r="T816" i="18" a="1"/>
  <c r="T816" i="18" s="1"/>
  <c r="S816" i="18" a="1"/>
  <c r="S816" i="18" s="1"/>
  <c r="Y815" i="18" a="1"/>
  <c r="Y815" i="18" s="1"/>
  <c r="X815" i="18"/>
  <c r="W815" i="18" a="1"/>
  <c r="W815" i="18" s="1"/>
  <c r="V815" i="18"/>
  <c r="U815" i="18" a="1"/>
  <c r="U815" i="18" s="1"/>
  <c r="T815" i="18" a="1"/>
  <c r="T815" i="18" s="1"/>
  <c r="S815" i="18" a="1"/>
  <c r="S815" i="18" s="1"/>
  <c r="Y814" i="18" a="1"/>
  <c r="Y814" i="18" s="1"/>
  <c r="AA814" i="18" s="1"/>
  <c r="X814" i="18"/>
  <c r="W814" i="18" a="1"/>
  <c r="W814" i="18" s="1"/>
  <c r="V814" i="18"/>
  <c r="U814" i="18" a="1"/>
  <c r="U814" i="18" s="1"/>
  <c r="T814" i="18" a="1"/>
  <c r="T814" i="18" s="1"/>
  <c r="S814" i="18" a="1"/>
  <c r="S814" i="18" s="1"/>
  <c r="Y813" i="18" a="1"/>
  <c r="Y813" i="18" s="1"/>
  <c r="X813" i="18"/>
  <c r="W813" i="18" a="1"/>
  <c r="W813" i="18" s="1"/>
  <c r="V813" i="18"/>
  <c r="U813" i="18" a="1"/>
  <c r="U813" i="18" s="1"/>
  <c r="T813" i="18" a="1"/>
  <c r="T813" i="18" s="1"/>
  <c r="S813" i="18" a="1"/>
  <c r="S813" i="18" s="1"/>
  <c r="Y812" i="18" a="1"/>
  <c r="Y812" i="18" s="1"/>
  <c r="X812" i="18"/>
  <c r="W812" i="18" a="1"/>
  <c r="W812" i="18" s="1"/>
  <c r="V812" i="18"/>
  <c r="U812" i="18" a="1"/>
  <c r="U812" i="18" s="1"/>
  <c r="T812" i="18" a="1"/>
  <c r="T812" i="18" s="1"/>
  <c r="S812" i="18" a="1"/>
  <c r="S812" i="18" s="1"/>
  <c r="Y811" i="18" a="1"/>
  <c r="Y811" i="18" s="1"/>
  <c r="X811" i="18"/>
  <c r="W811" i="18" a="1"/>
  <c r="W811" i="18" s="1"/>
  <c r="V811" i="18"/>
  <c r="U811" i="18" a="1"/>
  <c r="U811" i="18" s="1"/>
  <c r="T811" i="18" a="1"/>
  <c r="T811" i="18" s="1"/>
  <c r="S811" i="18" a="1"/>
  <c r="S811" i="18" s="1"/>
  <c r="Y810" i="18" a="1"/>
  <c r="Y810" i="18" s="1"/>
  <c r="X810" i="18"/>
  <c r="W810" i="18" a="1"/>
  <c r="W810" i="18" s="1"/>
  <c r="V810" i="18"/>
  <c r="U810" i="18" a="1"/>
  <c r="U810" i="18" s="1"/>
  <c r="T810" i="18" a="1"/>
  <c r="T810" i="18" s="1"/>
  <c r="S810" i="18" a="1"/>
  <c r="S810" i="18" s="1"/>
  <c r="Y809" i="18" a="1"/>
  <c r="Y809" i="18" s="1"/>
  <c r="X809" i="18"/>
  <c r="W809" i="18" a="1"/>
  <c r="W809" i="18" s="1"/>
  <c r="V809" i="18"/>
  <c r="U809" i="18" a="1"/>
  <c r="U809" i="18" s="1"/>
  <c r="T809" i="18" a="1"/>
  <c r="T809" i="18" s="1"/>
  <c r="S809" i="18" a="1"/>
  <c r="S809" i="18" s="1"/>
  <c r="Y808" i="18" a="1"/>
  <c r="Y808" i="18" s="1"/>
  <c r="X808" i="18"/>
  <c r="W808" i="18" a="1"/>
  <c r="W808" i="18" s="1"/>
  <c r="V808" i="18"/>
  <c r="U808" i="18" a="1"/>
  <c r="U808" i="18" s="1"/>
  <c r="T808" i="18" a="1"/>
  <c r="T808" i="18" s="1"/>
  <c r="S808" i="18" a="1"/>
  <c r="S808" i="18" s="1"/>
  <c r="Y807" i="18" a="1"/>
  <c r="Y807" i="18" s="1"/>
  <c r="AA807" i="18" s="1"/>
  <c r="X807" i="18"/>
  <c r="W807" i="18" a="1"/>
  <c r="W807" i="18" s="1"/>
  <c r="V807" i="18"/>
  <c r="U807" i="18" a="1"/>
  <c r="U807" i="18" s="1"/>
  <c r="T807" i="18" a="1"/>
  <c r="T807" i="18" s="1"/>
  <c r="S807" i="18" a="1"/>
  <c r="S807" i="18" s="1"/>
  <c r="Y806" i="18" a="1"/>
  <c r="Y806" i="18" s="1"/>
  <c r="AA806" i="18" s="1"/>
  <c r="X806" i="18"/>
  <c r="W806" i="18" a="1"/>
  <c r="W806" i="18" s="1"/>
  <c r="V806" i="18"/>
  <c r="U806" i="18" a="1"/>
  <c r="U806" i="18" s="1"/>
  <c r="T806" i="18" a="1"/>
  <c r="T806" i="18" s="1"/>
  <c r="S806" i="18" a="1"/>
  <c r="S806" i="18" s="1"/>
  <c r="Y805" i="18" a="1"/>
  <c r="Y805" i="18" s="1"/>
  <c r="X805" i="18"/>
  <c r="W805" i="18" a="1"/>
  <c r="W805" i="18" s="1"/>
  <c r="V805" i="18"/>
  <c r="U805" i="18" a="1"/>
  <c r="U805" i="18" s="1"/>
  <c r="T805" i="18" a="1"/>
  <c r="T805" i="18" s="1"/>
  <c r="S805" i="18" a="1"/>
  <c r="S805" i="18" s="1"/>
  <c r="Y804" i="18" a="1"/>
  <c r="Y804" i="18" s="1"/>
  <c r="X804" i="18"/>
  <c r="W804" i="18" a="1"/>
  <c r="W804" i="18" s="1"/>
  <c r="V804" i="18"/>
  <c r="U804" i="18" a="1"/>
  <c r="U804" i="18" s="1"/>
  <c r="T804" i="18" a="1"/>
  <c r="T804" i="18" s="1"/>
  <c r="S804" i="18" a="1"/>
  <c r="S804" i="18" s="1"/>
  <c r="Y803" i="18" a="1"/>
  <c r="Y803" i="18" s="1"/>
  <c r="X803" i="18"/>
  <c r="W803" i="18" a="1"/>
  <c r="W803" i="18" s="1"/>
  <c r="V803" i="18"/>
  <c r="U803" i="18" a="1"/>
  <c r="U803" i="18" s="1"/>
  <c r="T803" i="18" a="1"/>
  <c r="T803" i="18" s="1"/>
  <c r="S803" i="18" a="1"/>
  <c r="S803" i="18" s="1"/>
  <c r="Y802" i="18" a="1"/>
  <c r="Y802" i="18" s="1"/>
  <c r="X802" i="18"/>
  <c r="W802" i="18" a="1"/>
  <c r="W802" i="18" s="1"/>
  <c r="V802" i="18"/>
  <c r="U802" i="18" a="1"/>
  <c r="U802" i="18" s="1"/>
  <c r="T802" i="18" a="1"/>
  <c r="T802" i="18" s="1"/>
  <c r="S802" i="18" a="1"/>
  <c r="S802" i="18" s="1"/>
  <c r="Y801" i="18" a="1"/>
  <c r="Y801" i="18" s="1"/>
  <c r="AA801" i="18" s="1"/>
  <c r="X801" i="18"/>
  <c r="W801" i="18" a="1"/>
  <c r="W801" i="18" s="1"/>
  <c r="V801" i="18"/>
  <c r="U801" i="18" a="1"/>
  <c r="U801" i="18" s="1"/>
  <c r="T801" i="18" a="1"/>
  <c r="T801" i="18" s="1"/>
  <c r="S801" i="18" a="1"/>
  <c r="S801" i="18" s="1"/>
  <c r="Y800" i="18" a="1"/>
  <c r="Y800" i="18" s="1"/>
  <c r="X800" i="18"/>
  <c r="W800" i="18" a="1"/>
  <c r="W800" i="18" s="1"/>
  <c r="V800" i="18"/>
  <c r="U800" i="18" a="1"/>
  <c r="U800" i="18" s="1"/>
  <c r="T800" i="18" a="1"/>
  <c r="T800" i="18" s="1"/>
  <c r="S800" i="18" a="1"/>
  <c r="S800" i="18" s="1"/>
  <c r="Y799" i="18" a="1"/>
  <c r="Y799" i="18" s="1"/>
  <c r="X799" i="18"/>
  <c r="W799" i="18" a="1"/>
  <c r="W799" i="18" s="1"/>
  <c r="V799" i="18"/>
  <c r="U799" i="18" a="1"/>
  <c r="U799" i="18" s="1"/>
  <c r="T799" i="18" a="1"/>
  <c r="T799" i="18" s="1"/>
  <c r="S799" i="18" a="1"/>
  <c r="S799" i="18" s="1"/>
  <c r="Y798" i="18" a="1"/>
  <c r="Y798" i="18" s="1"/>
  <c r="X798" i="18"/>
  <c r="W798" i="18" a="1"/>
  <c r="W798" i="18" s="1"/>
  <c r="V798" i="18"/>
  <c r="U798" i="18" a="1"/>
  <c r="U798" i="18" s="1"/>
  <c r="T798" i="18" a="1"/>
  <c r="T798" i="18" s="1"/>
  <c r="S798" i="18" a="1"/>
  <c r="S798" i="18" s="1"/>
  <c r="Y797" i="18" a="1"/>
  <c r="Y797" i="18" s="1"/>
  <c r="X797" i="18"/>
  <c r="W797" i="18" a="1"/>
  <c r="W797" i="18" s="1"/>
  <c r="V797" i="18"/>
  <c r="U797" i="18" a="1"/>
  <c r="U797" i="18" s="1"/>
  <c r="T797" i="18" a="1"/>
  <c r="T797" i="18" s="1"/>
  <c r="S797" i="18" a="1"/>
  <c r="S797" i="18" s="1"/>
  <c r="Y796" i="18" a="1"/>
  <c r="Y796" i="18" s="1"/>
  <c r="X796" i="18"/>
  <c r="W796" i="18" a="1"/>
  <c r="W796" i="18" s="1"/>
  <c r="V796" i="18"/>
  <c r="U796" i="18" a="1"/>
  <c r="U796" i="18" s="1"/>
  <c r="T796" i="18" a="1"/>
  <c r="T796" i="18" s="1"/>
  <c r="S796" i="18" a="1"/>
  <c r="S796" i="18" s="1"/>
  <c r="Y795" i="18" a="1"/>
  <c r="Y795" i="18" s="1"/>
  <c r="X795" i="18"/>
  <c r="W795" i="18" a="1"/>
  <c r="W795" i="18" s="1"/>
  <c r="V795" i="18"/>
  <c r="U795" i="18" a="1"/>
  <c r="U795" i="18" s="1"/>
  <c r="T795" i="18" a="1"/>
  <c r="T795" i="18" s="1"/>
  <c r="S795" i="18" a="1"/>
  <c r="S795" i="18" s="1"/>
  <c r="Y794" i="18" a="1"/>
  <c r="Y794" i="18" s="1"/>
  <c r="AA794" i="18" s="1"/>
  <c r="X794" i="18"/>
  <c r="W794" i="18" a="1"/>
  <c r="W794" i="18" s="1"/>
  <c r="V794" i="18"/>
  <c r="U794" i="18" a="1"/>
  <c r="U794" i="18" s="1"/>
  <c r="T794" i="18" a="1"/>
  <c r="T794" i="18" s="1"/>
  <c r="S794" i="18" a="1"/>
  <c r="S794" i="18" s="1"/>
  <c r="Y793" i="18" a="1"/>
  <c r="Y793" i="18" s="1"/>
  <c r="X793" i="18"/>
  <c r="W793" i="18" a="1"/>
  <c r="W793" i="18" s="1"/>
  <c r="V793" i="18"/>
  <c r="U793" i="18" a="1"/>
  <c r="U793" i="18" s="1"/>
  <c r="T793" i="18" a="1"/>
  <c r="T793" i="18" s="1"/>
  <c r="S793" i="18" a="1"/>
  <c r="S793" i="18" s="1"/>
  <c r="Y792" i="18" a="1"/>
  <c r="Y792" i="18" s="1"/>
  <c r="X792" i="18"/>
  <c r="W792" i="18" a="1"/>
  <c r="W792" i="18" s="1"/>
  <c r="V792" i="18"/>
  <c r="U792" i="18" a="1"/>
  <c r="U792" i="18" s="1"/>
  <c r="T792" i="18" a="1"/>
  <c r="T792" i="18" s="1"/>
  <c r="S792" i="18" a="1"/>
  <c r="S792" i="18" s="1"/>
  <c r="Y791" i="18" a="1"/>
  <c r="Y791" i="18" s="1"/>
  <c r="X791" i="18"/>
  <c r="W791" i="18" a="1"/>
  <c r="W791" i="18" s="1"/>
  <c r="V791" i="18"/>
  <c r="U791" i="18" a="1"/>
  <c r="U791" i="18" s="1"/>
  <c r="T791" i="18" a="1"/>
  <c r="T791" i="18" s="1"/>
  <c r="S791" i="18" a="1"/>
  <c r="S791" i="18" s="1"/>
  <c r="Y790" i="18" a="1"/>
  <c r="Y790" i="18" s="1"/>
  <c r="X790" i="18"/>
  <c r="W790" i="18" a="1"/>
  <c r="W790" i="18" s="1"/>
  <c r="V790" i="18"/>
  <c r="U790" i="18" a="1"/>
  <c r="U790" i="18" s="1"/>
  <c r="T790" i="18" a="1"/>
  <c r="T790" i="18" s="1"/>
  <c r="S790" i="18" a="1"/>
  <c r="S790" i="18" s="1"/>
  <c r="Y789" i="18" a="1"/>
  <c r="Y789" i="18" s="1"/>
  <c r="X789" i="18"/>
  <c r="W789" i="18" a="1"/>
  <c r="W789" i="18" s="1"/>
  <c r="V789" i="18"/>
  <c r="U789" i="18" a="1"/>
  <c r="U789" i="18" s="1"/>
  <c r="T789" i="18" a="1"/>
  <c r="T789" i="18" s="1"/>
  <c r="S789" i="18" a="1"/>
  <c r="S789" i="18" s="1"/>
  <c r="Y788" i="18" a="1"/>
  <c r="Y788" i="18" s="1"/>
  <c r="X788" i="18"/>
  <c r="W788" i="18" a="1"/>
  <c r="W788" i="18" s="1"/>
  <c r="V788" i="18"/>
  <c r="U788" i="18" a="1"/>
  <c r="U788" i="18" s="1"/>
  <c r="T788" i="18" a="1"/>
  <c r="T788" i="18" s="1"/>
  <c r="S788" i="18" a="1"/>
  <c r="S788" i="18" s="1"/>
  <c r="Y787" i="18" a="1"/>
  <c r="Y787" i="18" s="1"/>
  <c r="X787" i="18"/>
  <c r="W787" i="18" a="1"/>
  <c r="W787" i="18" s="1"/>
  <c r="V787" i="18"/>
  <c r="U787" i="18" a="1"/>
  <c r="U787" i="18" s="1"/>
  <c r="T787" i="18" a="1"/>
  <c r="T787" i="18" s="1"/>
  <c r="S787" i="18" a="1"/>
  <c r="S787" i="18" s="1"/>
  <c r="Y786" i="18" a="1"/>
  <c r="Y786" i="18" s="1"/>
  <c r="AA786" i="18" s="1"/>
  <c r="X786" i="18"/>
  <c r="W786" i="18" a="1"/>
  <c r="W786" i="18" s="1"/>
  <c r="V786" i="18"/>
  <c r="U786" i="18" a="1"/>
  <c r="U786" i="18" s="1"/>
  <c r="T786" i="18" a="1"/>
  <c r="T786" i="18" s="1"/>
  <c r="S786" i="18" a="1"/>
  <c r="S786" i="18" s="1"/>
  <c r="Y785" i="18" a="1"/>
  <c r="Y785" i="18" s="1"/>
  <c r="X785" i="18"/>
  <c r="W785" i="18" a="1"/>
  <c r="W785" i="18" s="1"/>
  <c r="V785" i="18"/>
  <c r="U785" i="18" a="1"/>
  <c r="U785" i="18" s="1"/>
  <c r="T785" i="18" a="1"/>
  <c r="T785" i="18" s="1"/>
  <c r="S785" i="18" a="1"/>
  <c r="S785" i="18" s="1"/>
  <c r="Y784" i="18" a="1"/>
  <c r="Y784" i="18" s="1"/>
  <c r="X784" i="18"/>
  <c r="W784" i="18" a="1"/>
  <c r="W784" i="18" s="1"/>
  <c r="V784" i="18"/>
  <c r="U784" i="18" a="1"/>
  <c r="U784" i="18" s="1"/>
  <c r="T784" i="18" a="1"/>
  <c r="T784" i="18" s="1"/>
  <c r="S784" i="18" a="1"/>
  <c r="S784" i="18" s="1"/>
  <c r="Y783" i="18" a="1"/>
  <c r="Y783" i="18" s="1"/>
  <c r="X783" i="18"/>
  <c r="W783" i="18" a="1"/>
  <c r="W783" i="18" s="1"/>
  <c r="V783" i="18"/>
  <c r="U783" i="18" a="1"/>
  <c r="U783" i="18" s="1"/>
  <c r="T783" i="18" a="1"/>
  <c r="T783" i="18" s="1"/>
  <c r="S783" i="18" a="1"/>
  <c r="S783" i="18" s="1"/>
  <c r="Y782" i="18" a="1"/>
  <c r="Y782" i="18" s="1"/>
  <c r="AA782" i="18" s="1"/>
  <c r="X782" i="18"/>
  <c r="W782" i="18" a="1"/>
  <c r="W782" i="18" s="1"/>
  <c r="V782" i="18"/>
  <c r="U782" i="18" a="1"/>
  <c r="U782" i="18" s="1"/>
  <c r="T782" i="18" a="1"/>
  <c r="T782" i="18" s="1"/>
  <c r="S782" i="18" a="1"/>
  <c r="S782" i="18" s="1"/>
  <c r="Y781" i="18" a="1"/>
  <c r="Y781" i="18" s="1"/>
  <c r="X781" i="18"/>
  <c r="W781" i="18" a="1"/>
  <c r="W781" i="18" s="1"/>
  <c r="V781" i="18"/>
  <c r="U781" i="18" a="1"/>
  <c r="U781" i="18" s="1"/>
  <c r="T781" i="18" a="1"/>
  <c r="T781" i="18" s="1"/>
  <c r="S781" i="18" a="1"/>
  <c r="S781" i="18" s="1"/>
  <c r="Y780" i="18" a="1"/>
  <c r="Y780" i="18" s="1"/>
  <c r="X780" i="18"/>
  <c r="W780" i="18" a="1"/>
  <c r="W780" i="18" s="1"/>
  <c r="V780" i="18"/>
  <c r="U780" i="18" a="1"/>
  <c r="U780" i="18" s="1"/>
  <c r="T780" i="18" a="1"/>
  <c r="T780" i="18" s="1"/>
  <c r="S780" i="18" a="1"/>
  <c r="S780" i="18" s="1"/>
  <c r="Y779" i="18" a="1"/>
  <c r="Y779" i="18" s="1"/>
  <c r="X779" i="18"/>
  <c r="W779" i="18" a="1"/>
  <c r="W779" i="18" s="1"/>
  <c r="V779" i="18"/>
  <c r="U779" i="18" a="1"/>
  <c r="U779" i="18" s="1"/>
  <c r="T779" i="18" a="1"/>
  <c r="T779" i="18" s="1"/>
  <c r="S779" i="18" a="1"/>
  <c r="S779" i="18" s="1"/>
  <c r="Y778" i="18" a="1"/>
  <c r="Y778" i="18" s="1"/>
  <c r="X778" i="18"/>
  <c r="W778" i="18" a="1"/>
  <c r="W778" i="18" s="1"/>
  <c r="V778" i="18"/>
  <c r="U778" i="18" a="1"/>
  <c r="U778" i="18" s="1"/>
  <c r="T778" i="18" a="1"/>
  <c r="T778" i="18" s="1"/>
  <c r="S778" i="18" a="1"/>
  <c r="S778" i="18" s="1"/>
  <c r="Y777" i="18" a="1"/>
  <c r="Y777" i="18" s="1"/>
  <c r="X777" i="18"/>
  <c r="W777" i="18" a="1"/>
  <c r="W777" i="18" s="1"/>
  <c r="V777" i="18"/>
  <c r="U777" i="18" a="1"/>
  <c r="U777" i="18" s="1"/>
  <c r="T777" i="18" a="1"/>
  <c r="T777" i="18" s="1"/>
  <c r="S777" i="18" a="1"/>
  <c r="S777" i="18" s="1"/>
  <c r="Y776" i="18" a="1"/>
  <c r="Y776" i="18" s="1"/>
  <c r="X776" i="18"/>
  <c r="W776" i="18" a="1"/>
  <c r="W776" i="18" s="1"/>
  <c r="V776" i="18"/>
  <c r="U776" i="18" a="1"/>
  <c r="U776" i="18" s="1"/>
  <c r="T776" i="18" a="1"/>
  <c r="T776" i="18" s="1"/>
  <c r="S776" i="18" a="1"/>
  <c r="S776" i="18" s="1"/>
  <c r="Y775" i="18" a="1"/>
  <c r="Y775" i="18" s="1"/>
  <c r="X775" i="18"/>
  <c r="W775" i="18" a="1"/>
  <c r="W775" i="18" s="1"/>
  <c r="V775" i="18"/>
  <c r="U775" i="18" a="1"/>
  <c r="U775" i="18" s="1"/>
  <c r="T775" i="18" a="1"/>
  <c r="T775" i="18" s="1"/>
  <c r="S775" i="18" a="1"/>
  <c r="S775" i="18" s="1"/>
  <c r="Y774" i="18" a="1"/>
  <c r="Y774" i="18" s="1"/>
  <c r="AA774" i="18" s="1"/>
  <c r="X774" i="18"/>
  <c r="W774" i="18" a="1"/>
  <c r="W774" i="18" s="1"/>
  <c r="V774" i="18"/>
  <c r="U774" i="18" a="1"/>
  <c r="U774" i="18" s="1"/>
  <c r="T774" i="18" a="1"/>
  <c r="T774" i="18" s="1"/>
  <c r="S774" i="18" a="1"/>
  <c r="S774" i="18" s="1"/>
  <c r="Y773" i="18" a="1"/>
  <c r="Y773" i="18" s="1"/>
  <c r="X773" i="18"/>
  <c r="W773" i="18" a="1"/>
  <c r="W773" i="18" s="1"/>
  <c r="V773" i="18"/>
  <c r="U773" i="18" a="1"/>
  <c r="U773" i="18" s="1"/>
  <c r="T773" i="18" a="1"/>
  <c r="T773" i="18" s="1"/>
  <c r="S773" i="18" a="1"/>
  <c r="S773" i="18" s="1"/>
  <c r="Y772" i="18" a="1"/>
  <c r="Y772" i="18" s="1"/>
  <c r="X772" i="18"/>
  <c r="W772" i="18" a="1"/>
  <c r="W772" i="18" s="1"/>
  <c r="V772" i="18"/>
  <c r="U772" i="18" a="1"/>
  <c r="U772" i="18" s="1"/>
  <c r="T772" i="18" a="1"/>
  <c r="T772" i="18" s="1"/>
  <c r="S772" i="18" a="1"/>
  <c r="S772" i="18" s="1"/>
  <c r="Y771" i="18" a="1"/>
  <c r="Y771" i="18" s="1"/>
  <c r="X771" i="18"/>
  <c r="W771" i="18" a="1"/>
  <c r="W771" i="18" s="1"/>
  <c r="V771" i="18"/>
  <c r="U771" i="18" a="1"/>
  <c r="U771" i="18" s="1"/>
  <c r="T771" i="18" a="1"/>
  <c r="T771" i="18" s="1"/>
  <c r="S771" i="18" a="1"/>
  <c r="S771" i="18" s="1"/>
  <c r="Y770" i="18" a="1"/>
  <c r="Y770" i="18" s="1"/>
  <c r="X770" i="18"/>
  <c r="W770" i="18" a="1"/>
  <c r="W770" i="18" s="1"/>
  <c r="V770" i="18"/>
  <c r="U770" i="18" a="1"/>
  <c r="U770" i="18" s="1"/>
  <c r="T770" i="18" a="1"/>
  <c r="T770" i="18" s="1"/>
  <c r="S770" i="18" a="1"/>
  <c r="S770" i="18" s="1"/>
  <c r="Y769" i="18" a="1"/>
  <c r="Y769" i="18" s="1"/>
  <c r="AA769" i="18" s="1"/>
  <c r="X769" i="18"/>
  <c r="W769" i="18" a="1"/>
  <c r="W769" i="18" s="1"/>
  <c r="V769" i="18"/>
  <c r="U769" i="18" a="1"/>
  <c r="U769" i="18" s="1"/>
  <c r="T769" i="18" a="1"/>
  <c r="T769" i="18" s="1"/>
  <c r="S769" i="18" a="1"/>
  <c r="S769" i="18" s="1"/>
  <c r="Y768" i="18" a="1"/>
  <c r="Y768" i="18" s="1"/>
  <c r="AA768" i="18" s="1"/>
  <c r="X768" i="18"/>
  <c r="W768" i="18" a="1"/>
  <c r="W768" i="18" s="1"/>
  <c r="V768" i="18"/>
  <c r="U768" i="18" a="1"/>
  <c r="U768" i="18" s="1"/>
  <c r="T768" i="18" a="1"/>
  <c r="T768" i="18" s="1"/>
  <c r="S768" i="18" a="1"/>
  <c r="S768" i="18" s="1"/>
  <c r="Y767" i="18" a="1"/>
  <c r="Y767" i="18" s="1"/>
  <c r="X767" i="18"/>
  <c r="W767" i="18" a="1"/>
  <c r="W767" i="18" s="1"/>
  <c r="V767" i="18"/>
  <c r="U767" i="18" a="1"/>
  <c r="U767" i="18" s="1"/>
  <c r="T767" i="18" a="1"/>
  <c r="T767" i="18" s="1"/>
  <c r="S767" i="18" a="1"/>
  <c r="S767" i="18" s="1"/>
  <c r="Y766" i="18" a="1"/>
  <c r="Y766" i="18" s="1"/>
  <c r="X766" i="18"/>
  <c r="W766" i="18" a="1"/>
  <c r="W766" i="18" s="1"/>
  <c r="V766" i="18"/>
  <c r="U766" i="18" a="1"/>
  <c r="U766" i="18" s="1"/>
  <c r="T766" i="18" a="1"/>
  <c r="T766" i="18" s="1"/>
  <c r="S766" i="18" a="1"/>
  <c r="S766" i="18" s="1"/>
  <c r="Y765" i="18" a="1"/>
  <c r="Y765" i="18" s="1"/>
  <c r="AA765" i="18" s="1"/>
  <c r="X765" i="18"/>
  <c r="W765" i="18" a="1"/>
  <c r="W765" i="18" s="1"/>
  <c r="V765" i="18"/>
  <c r="U765" i="18" a="1"/>
  <c r="U765" i="18" s="1"/>
  <c r="T765" i="18" a="1"/>
  <c r="T765" i="18" s="1"/>
  <c r="S765" i="18" a="1"/>
  <c r="S765" i="18" s="1"/>
  <c r="Y764" i="18" a="1"/>
  <c r="Y764" i="18" s="1"/>
  <c r="X764" i="18"/>
  <c r="W764" i="18" a="1"/>
  <c r="W764" i="18" s="1"/>
  <c r="V764" i="18"/>
  <c r="U764" i="18" a="1"/>
  <c r="U764" i="18" s="1"/>
  <c r="T764" i="18" a="1"/>
  <c r="T764" i="18" s="1"/>
  <c r="S764" i="18" a="1"/>
  <c r="S764" i="18" s="1"/>
  <c r="Y763" i="18" a="1"/>
  <c r="Y763" i="18" s="1"/>
  <c r="X763" i="18"/>
  <c r="W763" i="18" a="1"/>
  <c r="W763" i="18" s="1"/>
  <c r="V763" i="18"/>
  <c r="U763" i="18" a="1"/>
  <c r="U763" i="18" s="1"/>
  <c r="T763" i="18" a="1"/>
  <c r="T763" i="18" s="1"/>
  <c r="S763" i="18" a="1"/>
  <c r="S763" i="18" s="1"/>
  <c r="Y762" i="18" a="1"/>
  <c r="Y762" i="18" s="1"/>
  <c r="X762" i="18"/>
  <c r="W762" i="18" a="1"/>
  <c r="W762" i="18" s="1"/>
  <c r="V762" i="18"/>
  <c r="U762" i="18" a="1"/>
  <c r="U762" i="18" s="1"/>
  <c r="T762" i="18" a="1"/>
  <c r="T762" i="18" s="1"/>
  <c r="S762" i="18" a="1"/>
  <c r="S762" i="18" s="1"/>
  <c r="Y761" i="18" a="1"/>
  <c r="Y761" i="18" s="1"/>
  <c r="X761" i="18"/>
  <c r="W761" i="18" a="1"/>
  <c r="W761" i="18" s="1"/>
  <c r="V761" i="18"/>
  <c r="U761" i="18" a="1"/>
  <c r="U761" i="18" s="1"/>
  <c r="T761" i="18" a="1"/>
  <c r="T761" i="18" s="1"/>
  <c r="S761" i="18" a="1"/>
  <c r="S761" i="18" s="1"/>
  <c r="Y760" i="18" a="1"/>
  <c r="Y760" i="18" s="1"/>
  <c r="AA760" i="18" s="1"/>
  <c r="X760" i="18"/>
  <c r="W760" i="18" a="1"/>
  <c r="W760" i="18" s="1"/>
  <c r="V760" i="18"/>
  <c r="U760" i="18" a="1"/>
  <c r="U760" i="18" s="1"/>
  <c r="T760" i="18" a="1"/>
  <c r="T760" i="18" s="1"/>
  <c r="S760" i="18" a="1"/>
  <c r="S760" i="18" s="1"/>
  <c r="Y759" i="18" a="1"/>
  <c r="Y759" i="18" s="1"/>
  <c r="X759" i="18"/>
  <c r="W759" i="18" a="1"/>
  <c r="W759" i="18" s="1"/>
  <c r="V759" i="18"/>
  <c r="U759" i="18" a="1"/>
  <c r="U759" i="18" s="1"/>
  <c r="T759" i="18" a="1"/>
  <c r="T759" i="18" s="1"/>
  <c r="S759" i="18" a="1"/>
  <c r="S759" i="18" s="1"/>
  <c r="Y758" i="18" a="1"/>
  <c r="Y758" i="18" s="1"/>
  <c r="X758" i="18"/>
  <c r="W758" i="18" a="1"/>
  <c r="W758" i="18" s="1"/>
  <c r="V758" i="18"/>
  <c r="U758" i="18" a="1"/>
  <c r="U758" i="18" s="1"/>
  <c r="T758" i="18" a="1"/>
  <c r="T758" i="18" s="1"/>
  <c r="S758" i="18" a="1"/>
  <c r="S758" i="18" s="1"/>
  <c r="Y757" i="18" a="1"/>
  <c r="Y757" i="18" s="1"/>
  <c r="X757" i="18"/>
  <c r="W757" i="18" a="1"/>
  <c r="W757" i="18" s="1"/>
  <c r="V757" i="18"/>
  <c r="U757" i="18" a="1"/>
  <c r="U757" i="18" s="1"/>
  <c r="T757" i="18" a="1"/>
  <c r="T757" i="18" s="1"/>
  <c r="S757" i="18" a="1"/>
  <c r="S757" i="18" s="1"/>
  <c r="Y756" i="18" a="1"/>
  <c r="Y756" i="18" s="1"/>
  <c r="X756" i="18"/>
  <c r="W756" i="18" a="1"/>
  <c r="W756" i="18" s="1"/>
  <c r="V756" i="18"/>
  <c r="U756" i="18" a="1"/>
  <c r="U756" i="18" s="1"/>
  <c r="T756" i="18" a="1"/>
  <c r="T756" i="18" s="1"/>
  <c r="S756" i="18" a="1"/>
  <c r="S756" i="18" s="1"/>
  <c r="Y755" i="18" a="1"/>
  <c r="Y755" i="18" s="1"/>
  <c r="X755" i="18"/>
  <c r="W755" i="18" a="1"/>
  <c r="W755" i="18" s="1"/>
  <c r="V755" i="18"/>
  <c r="U755" i="18" a="1"/>
  <c r="U755" i="18" s="1"/>
  <c r="T755" i="18" a="1"/>
  <c r="T755" i="18" s="1"/>
  <c r="S755" i="18" a="1"/>
  <c r="S755" i="18" s="1"/>
  <c r="Y754" i="18" a="1"/>
  <c r="Y754" i="18" s="1"/>
  <c r="X754" i="18"/>
  <c r="W754" i="18" a="1"/>
  <c r="W754" i="18" s="1"/>
  <c r="V754" i="18"/>
  <c r="U754" i="18" a="1"/>
  <c r="U754" i="18" s="1"/>
  <c r="T754" i="18" a="1"/>
  <c r="T754" i="18" s="1"/>
  <c r="S754" i="18" a="1"/>
  <c r="S754" i="18" s="1"/>
  <c r="Y753" i="18" a="1"/>
  <c r="Y753" i="18" s="1"/>
  <c r="X753" i="18"/>
  <c r="W753" i="18" a="1"/>
  <c r="W753" i="18" s="1"/>
  <c r="V753" i="18"/>
  <c r="U753" i="18" a="1"/>
  <c r="U753" i="18" s="1"/>
  <c r="T753" i="18" a="1"/>
  <c r="T753" i="18" s="1"/>
  <c r="S753" i="18" a="1"/>
  <c r="S753" i="18" s="1"/>
  <c r="Y752" i="18" a="1"/>
  <c r="Y752" i="18" s="1"/>
  <c r="X752" i="18"/>
  <c r="W752" i="18" a="1"/>
  <c r="W752" i="18" s="1"/>
  <c r="V752" i="18"/>
  <c r="U752" i="18" a="1"/>
  <c r="U752" i="18" s="1"/>
  <c r="T752" i="18" a="1"/>
  <c r="T752" i="18" s="1"/>
  <c r="S752" i="18" a="1"/>
  <c r="S752" i="18" s="1"/>
  <c r="Y751" i="18" a="1"/>
  <c r="Y751" i="18" s="1"/>
  <c r="X751" i="18"/>
  <c r="W751" i="18" a="1"/>
  <c r="W751" i="18" s="1"/>
  <c r="V751" i="18"/>
  <c r="U751" i="18" a="1"/>
  <c r="U751" i="18" s="1"/>
  <c r="T751" i="18" a="1"/>
  <c r="T751" i="18" s="1"/>
  <c r="S751" i="18" a="1"/>
  <c r="S751" i="18" s="1"/>
  <c r="Y750" i="18" a="1"/>
  <c r="Y750" i="18" s="1"/>
  <c r="X750" i="18"/>
  <c r="W750" i="18" a="1"/>
  <c r="W750" i="18" s="1"/>
  <c r="V750" i="18"/>
  <c r="U750" i="18" a="1"/>
  <c r="U750" i="18" s="1"/>
  <c r="T750" i="18" a="1"/>
  <c r="T750" i="18" s="1"/>
  <c r="S750" i="18" a="1"/>
  <c r="S750" i="18" s="1"/>
  <c r="Y749" i="18" a="1"/>
  <c r="Y749" i="18" s="1"/>
  <c r="X749" i="18"/>
  <c r="W749" i="18" a="1"/>
  <c r="W749" i="18" s="1"/>
  <c r="V749" i="18"/>
  <c r="U749" i="18" a="1"/>
  <c r="U749" i="18" s="1"/>
  <c r="T749" i="18" a="1"/>
  <c r="T749" i="18" s="1"/>
  <c r="S749" i="18" a="1"/>
  <c r="S749" i="18" s="1"/>
  <c r="Y748" i="18" a="1"/>
  <c r="Y748" i="18" s="1"/>
  <c r="X748" i="18"/>
  <c r="W748" i="18" a="1"/>
  <c r="W748" i="18" s="1"/>
  <c r="V748" i="18"/>
  <c r="U748" i="18" a="1"/>
  <c r="U748" i="18" s="1"/>
  <c r="T748" i="18" a="1"/>
  <c r="T748" i="18" s="1"/>
  <c r="S748" i="18" a="1"/>
  <c r="S748" i="18" s="1"/>
  <c r="Y747" i="18" a="1"/>
  <c r="Y747" i="18" s="1"/>
  <c r="X747" i="18"/>
  <c r="W747" i="18" a="1"/>
  <c r="W747" i="18" s="1"/>
  <c r="V747" i="18"/>
  <c r="U747" i="18" a="1"/>
  <c r="U747" i="18" s="1"/>
  <c r="T747" i="18" a="1"/>
  <c r="T747" i="18" s="1"/>
  <c r="S747" i="18" a="1"/>
  <c r="S747" i="18" s="1"/>
  <c r="Y746" i="18" a="1"/>
  <c r="Y746" i="18" s="1"/>
  <c r="X746" i="18"/>
  <c r="W746" i="18" a="1"/>
  <c r="W746" i="18" s="1"/>
  <c r="V746" i="18"/>
  <c r="U746" i="18" a="1"/>
  <c r="U746" i="18" s="1"/>
  <c r="T746" i="18" a="1"/>
  <c r="T746" i="18" s="1"/>
  <c r="S746" i="18" a="1"/>
  <c r="S746" i="18" s="1"/>
  <c r="Y745" i="18" a="1"/>
  <c r="Y745" i="18" s="1"/>
  <c r="X745" i="18"/>
  <c r="W745" i="18" a="1"/>
  <c r="W745" i="18" s="1"/>
  <c r="V745" i="18"/>
  <c r="U745" i="18" a="1"/>
  <c r="U745" i="18" s="1"/>
  <c r="T745" i="18" a="1"/>
  <c r="T745" i="18" s="1"/>
  <c r="S745" i="18" a="1"/>
  <c r="S745" i="18" s="1"/>
  <c r="Y744" i="18" a="1"/>
  <c r="Y744" i="18" s="1"/>
  <c r="X744" i="18"/>
  <c r="W744" i="18" a="1"/>
  <c r="W744" i="18" s="1"/>
  <c r="V744" i="18"/>
  <c r="U744" i="18" a="1"/>
  <c r="U744" i="18" s="1"/>
  <c r="T744" i="18" a="1"/>
  <c r="T744" i="18" s="1"/>
  <c r="S744" i="18" a="1"/>
  <c r="S744" i="18" s="1"/>
  <c r="Y743" i="18" a="1"/>
  <c r="Y743" i="18" s="1"/>
  <c r="X743" i="18"/>
  <c r="W743" i="18" a="1"/>
  <c r="W743" i="18" s="1"/>
  <c r="V743" i="18"/>
  <c r="U743" i="18" a="1"/>
  <c r="U743" i="18" s="1"/>
  <c r="T743" i="18" a="1"/>
  <c r="T743" i="18" s="1"/>
  <c r="S743" i="18" a="1"/>
  <c r="S743" i="18" s="1"/>
  <c r="Y742" i="18" a="1"/>
  <c r="Y742" i="18" s="1"/>
  <c r="X742" i="18"/>
  <c r="W742" i="18" a="1"/>
  <c r="W742" i="18" s="1"/>
  <c r="V742" i="18"/>
  <c r="U742" i="18" a="1"/>
  <c r="U742" i="18" s="1"/>
  <c r="T742" i="18" a="1"/>
  <c r="T742" i="18" s="1"/>
  <c r="S742" i="18" a="1"/>
  <c r="S742" i="18" s="1"/>
  <c r="Y741" i="18" a="1"/>
  <c r="Y741" i="18" s="1"/>
  <c r="X741" i="18"/>
  <c r="W741" i="18" a="1"/>
  <c r="W741" i="18" s="1"/>
  <c r="V741" i="18"/>
  <c r="U741" i="18" a="1"/>
  <c r="U741" i="18" s="1"/>
  <c r="T741" i="18" a="1"/>
  <c r="T741" i="18" s="1"/>
  <c r="S741" i="18" a="1"/>
  <c r="S741" i="18" s="1"/>
  <c r="Y740" i="18" a="1"/>
  <c r="Y740" i="18" s="1"/>
  <c r="X740" i="18"/>
  <c r="W740" i="18" a="1"/>
  <c r="W740" i="18" s="1"/>
  <c r="V740" i="18"/>
  <c r="U740" i="18" a="1"/>
  <c r="U740" i="18" s="1"/>
  <c r="T740" i="18" a="1"/>
  <c r="T740" i="18" s="1"/>
  <c r="S740" i="18" a="1"/>
  <c r="S740" i="18" s="1"/>
  <c r="Y739" i="18" a="1"/>
  <c r="Y739" i="18" s="1"/>
  <c r="X739" i="18"/>
  <c r="W739" i="18" a="1"/>
  <c r="W739" i="18" s="1"/>
  <c r="V739" i="18"/>
  <c r="U739" i="18" a="1"/>
  <c r="U739" i="18" s="1"/>
  <c r="T739" i="18" a="1"/>
  <c r="T739" i="18" s="1"/>
  <c r="S739" i="18" a="1"/>
  <c r="S739" i="18" s="1"/>
  <c r="Y738" i="18" a="1"/>
  <c r="Y738" i="18" s="1"/>
  <c r="AA738" i="18" s="1"/>
  <c r="X738" i="18"/>
  <c r="W738" i="18" a="1"/>
  <c r="W738" i="18" s="1"/>
  <c r="V738" i="18"/>
  <c r="U738" i="18" a="1"/>
  <c r="U738" i="18" s="1"/>
  <c r="T738" i="18" a="1"/>
  <c r="T738" i="18" s="1"/>
  <c r="S738" i="18" a="1"/>
  <c r="S738" i="18" s="1"/>
  <c r="Y737" i="18" a="1"/>
  <c r="Y737" i="18" s="1"/>
  <c r="AA737" i="18" s="1"/>
  <c r="X737" i="18"/>
  <c r="W737" i="18" a="1"/>
  <c r="W737" i="18" s="1"/>
  <c r="V737" i="18"/>
  <c r="U737" i="18" a="1"/>
  <c r="U737" i="18" s="1"/>
  <c r="T737" i="18" a="1"/>
  <c r="T737" i="18" s="1"/>
  <c r="S737" i="18" a="1"/>
  <c r="S737" i="18" s="1"/>
  <c r="Y736" i="18" a="1"/>
  <c r="Y736" i="18" s="1"/>
  <c r="AA736" i="18" s="1"/>
  <c r="X736" i="18"/>
  <c r="W736" i="18" a="1"/>
  <c r="W736" i="18" s="1"/>
  <c r="V736" i="18"/>
  <c r="U736" i="18" a="1"/>
  <c r="U736" i="18" s="1"/>
  <c r="T736" i="18" a="1"/>
  <c r="T736" i="18" s="1"/>
  <c r="S736" i="18" a="1"/>
  <c r="S736" i="18" s="1"/>
  <c r="Y735" i="18" a="1"/>
  <c r="Y735" i="18" s="1"/>
  <c r="AA735" i="18" s="1"/>
  <c r="X735" i="18"/>
  <c r="W735" i="18" a="1"/>
  <c r="W735" i="18" s="1"/>
  <c r="V735" i="18"/>
  <c r="U735" i="18" a="1"/>
  <c r="U735" i="18" s="1"/>
  <c r="T735" i="18" a="1"/>
  <c r="T735" i="18" s="1"/>
  <c r="S735" i="18" a="1"/>
  <c r="S735" i="18" s="1"/>
  <c r="Y734" i="18" a="1"/>
  <c r="Y734" i="18" s="1"/>
  <c r="AA734" i="18" s="1"/>
  <c r="X734" i="18"/>
  <c r="W734" i="18" a="1"/>
  <c r="W734" i="18" s="1"/>
  <c r="V734" i="18"/>
  <c r="U734" i="18" a="1"/>
  <c r="U734" i="18" s="1"/>
  <c r="T734" i="18" a="1"/>
  <c r="T734" i="18" s="1"/>
  <c r="S734" i="18" a="1"/>
  <c r="S734" i="18" s="1"/>
  <c r="Y733" i="18" a="1"/>
  <c r="Y733" i="18" s="1"/>
  <c r="AA733" i="18" s="1"/>
  <c r="X733" i="18"/>
  <c r="W733" i="18" a="1"/>
  <c r="W733" i="18" s="1"/>
  <c r="V733" i="18"/>
  <c r="U733" i="18" a="1"/>
  <c r="U733" i="18" s="1"/>
  <c r="T733" i="18" a="1"/>
  <c r="T733" i="18" s="1"/>
  <c r="S733" i="18" a="1"/>
  <c r="S733" i="18" s="1"/>
  <c r="Y732" i="18" a="1"/>
  <c r="Y732" i="18" s="1"/>
  <c r="AA732" i="18" s="1"/>
  <c r="X732" i="18"/>
  <c r="W732" i="18" a="1"/>
  <c r="W732" i="18" s="1"/>
  <c r="V732" i="18"/>
  <c r="U732" i="18" a="1"/>
  <c r="U732" i="18" s="1"/>
  <c r="T732" i="18" a="1"/>
  <c r="T732" i="18" s="1"/>
  <c r="S732" i="18" a="1"/>
  <c r="S732" i="18" s="1"/>
  <c r="Y731" i="18" a="1"/>
  <c r="Y731" i="18" s="1"/>
  <c r="AA731" i="18" s="1"/>
  <c r="X731" i="18"/>
  <c r="W731" i="18" a="1"/>
  <c r="W731" i="18" s="1"/>
  <c r="V731" i="18"/>
  <c r="U731" i="18" a="1"/>
  <c r="U731" i="18" s="1"/>
  <c r="T731" i="18" a="1"/>
  <c r="T731" i="18" s="1"/>
  <c r="S731" i="18" a="1"/>
  <c r="S731" i="18" s="1"/>
  <c r="Y730" i="18" a="1"/>
  <c r="Y730" i="18" s="1"/>
  <c r="AA730" i="18" s="1"/>
  <c r="X730" i="18"/>
  <c r="W730" i="18" a="1"/>
  <c r="W730" i="18" s="1"/>
  <c r="V730" i="18"/>
  <c r="U730" i="18" a="1"/>
  <c r="U730" i="18" s="1"/>
  <c r="T730" i="18" a="1"/>
  <c r="T730" i="18" s="1"/>
  <c r="S730" i="18" a="1"/>
  <c r="S730" i="18" s="1"/>
  <c r="Y729" i="18" a="1"/>
  <c r="Y729" i="18" s="1"/>
  <c r="AA729" i="18" s="1"/>
  <c r="X729" i="18"/>
  <c r="W729" i="18" a="1"/>
  <c r="W729" i="18" s="1"/>
  <c r="V729" i="18"/>
  <c r="U729" i="18" a="1"/>
  <c r="U729" i="18" s="1"/>
  <c r="T729" i="18" a="1"/>
  <c r="T729" i="18" s="1"/>
  <c r="S729" i="18" a="1"/>
  <c r="S729" i="18" s="1"/>
  <c r="Y728" i="18" a="1"/>
  <c r="Y728" i="18" s="1"/>
  <c r="AA728" i="18" s="1"/>
  <c r="X728" i="18"/>
  <c r="W728" i="18" a="1"/>
  <c r="W728" i="18" s="1"/>
  <c r="V728" i="18"/>
  <c r="U728" i="18" a="1"/>
  <c r="U728" i="18" s="1"/>
  <c r="T728" i="18" a="1"/>
  <c r="T728" i="18" s="1"/>
  <c r="S728" i="18" a="1"/>
  <c r="S728" i="18" s="1"/>
  <c r="Y727" i="18" a="1"/>
  <c r="Y727" i="18" s="1"/>
  <c r="AA727" i="18" s="1"/>
  <c r="X727" i="18"/>
  <c r="W727" i="18" a="1"/>
  <c r="W727" i="18" s="1"/>
  <c r="V727" i="18"/>
  <c r="U727" i="18" a="1"/>
  <c r="U727" i="18" s="1"/>
  <c r="T727" i="18" a="1"/>
  <c r="T727" i="18" s="1"/>
  <c r="S727" i="18" a="1"/>
  <c r="S727" i="18" s="1"/>
  <c r="Y726" i="18" a="1"/>
  <c r="Y726" i="18" s="1"/>
  <c r="AA726" i="18" s="1"/>
  <c r="X726" i="18"/>
  <c r="W726" i="18" a="1"/>
  <c r="W726" i="18" s="1"/>
  <c r="V726" i="18"/>
  <c r="U726" i="18" a="1"/>
  <c r="U726" i="18" s="1"/>
  <c r="T726" i="18" a="1"/>
  <c r="T726" i="18" s="1"/>
  <c r="S726" i="18" a="1"/>
  <c r="S726" i="18" s="1"/>
  <c r="Y725" i="18" a="1"/>
  <c r="Y725" i="18" s="1"/>
  <c r="AA725" i="18" s="1"/>
  <c r="X725" i="18"/>
  <c r="W725" i="18" a="1"/>
  <c r="W725" i="18" s="1"/>
  <c r="V725" i="18"/>
  <c r="U725" i="18" a="1"/>
  <c r="U725" i="18" s="1"/>
  <c r="T725" i="18" a="1"/>
  <c r="T725" i="18" s="1"/>
  <c r="S725" i="18" a="1"/>
  <c r="S725" i="18" s="1"/>
  <c r="Y724" i="18" a="1"/>
  <c r="Y724" i="18" s="1"/>
  <c r="AA724" i="18" s="1"/>
  <c r="X724" i="18"/>
  <c r="W724" i="18" a="1"/>
  <c r="W724" i="18" s="1"/>
  <c r="V724" i="18"/>
  <c r="U724" i="18" a="1"/>
  <c r="U724" i="18" s="1"/>
  <c r="T724" i="18" a="1"/>
  <c r="T724" i="18" s="1"/>
  <c r="S724" i="18" a="1"/>
  <c r="S724" i="18" s="1"/>
  <c r="Y723" i="18" a="1"/>
  <c r="Y723" i="18" s="1"/>
  <c r="AA723" i="18" s="1"/>
  <c r="X723" i="18"/>
  <c r="W723" i="18" a="1"/>
  <c r="W723" i="18" s="1"/>
  <c r="V723" i="18"/>
  <c r="U723" i="18" a="1"/>
  <c r="U723" i="18" s="1"/>
  <c r="T723" i="18" a="1"/>
  <c r="T723" i="18" s="1"/>
  <c r="S723" i="18" a="1"/>
  <c r="S723" i="18" s="1"/>
  <c r="Y722" i="18" a="1"/>
  <c r="Y722" i="18" s="1"/>
  <c r="AA722" i="18" s="1"/>
  <c r="X722" i="18"/>
  <c r="W722" i="18" a="1"/>
  <c r="W722" i="18" s="1"/>
  <c r="V722" i="18"/>
  <c r="U722" i="18" a="1"/>
  <c r="U722" i="18" s="1"/>
  <c r="T722" i="18" a="1"/>
  <c r="T722" i="18" s="1"/>
  <c r="S722" i="18" a="1"/>
  <c r="S722" i="18" s="1"/>
  <c r="Y721" i="18" a="1"/>
  <c r="Y721" i="18" s="1"/>
  <c r="AA721" i="18" s="1"/>
  <c r="X721" i="18"/>
  <c r="W721" i="18" a="1"/>
  <c r="W721" i="18" s="1"/>
  <c r="V721" i="18"/>
  <c r="U721" i="18" a="1"/>
  <c r="U721" i="18" s="1"/>
  <c r="T721" i="18" a="1"/>
  <c r="T721" i="18" s="1"/>
  <c r="S721" i="18" a="1"/>
  <c r="S721" i="18" s="1"/>
  <c r="Y720" i="18" a="1"/>
  <c r="Y720" i="18" s="1"/>
  <c r="AA720" i="18" s="1"/>
  <c r="X720" i="18"/>
  <c r="W720" i="18" a="1"/>
  <c r="W720" i="18" s="1"/>
  <c r="V720" i="18"/>
  <c r="U720" i="18" a="1"/>
  <c r="U720" i="18" s="1"/>
  <c r="T720" i="18" a="1"/>
  <c r="T720" i="18" s="1"/>
  <c r="S720" i="18" a="1"/>
  <c r="S720" i="18" s="1"/>
  <c r="Y719" i="18" a="1"/>
  <c r="Y719" i="18" s="1"/>
  <c r="AA719" i="18" s="1"/>
  <c r="X719" i="18"/>
  <c r="W719" i="18" a="1"/>
  <c r="W719" i="18" s="1"/>
  <c r="V719" i="18"/>
  <c r="U719" i="18" a="1"/>
  <c r="U719" i="18" s="1"/>
  <c r="T719" i="18" a="1"/>
  <c r="T719" i="18" s="1"/>
  <c r="S719" i="18" a="1"/>
  <c r="S719" i="18" s="1"/>
  <c r="Y718" i="18" a="1"/>
  <c r="Y718" i="18" s="1"/>
  <c r="AA718" i="18" s="1"/>
  <c r="X718" i="18"/>
  <c r="W718" i="18" a="1"/>
  <c r="W718" i="18" s="1"/>
  <c r="V718" i="18"/>
  <c r="U718" i="18" a="1"/>
  <c r="U718" i="18" s="1"/>
  <c r="T718" i="18" a="1"/>
  <c r="T718" i="18" s="1"/>
  <c r="S718" i="18" a="1"/>
  <c r="S718" i="18" s="1"/>
  <c r="Y717" i="18" a="1"/>
  <c r="Y717" i="18" s="1"/>
  <c r="AA717" i="18" s="1"/>
  <c r="X717" i="18"/>
  <c r="W717" i="18" a="1"/>
  <c r="W717" i="18" s="1"/>
  <c r="V717" i="18"/>
  <c r="U717" i="18" a="1"/>
  <c r="U717" i="18" s="1"/>
  <c r="T717" i="18" a="1"/>
  <c r="T717" i="18" s="1"/>
  <c r="S717" i="18" a="1"/>
  <c r="S717" i="18" s="1"/>
  <c r="Y716" i="18" a="1"/>
  <c r="Y716" i="18" s="1"/>
  <c r="AA716" i="18" s="1"/>
  <c r="X716" i="18"/>
  <c r="W716" i="18" a="1"/>
  <c r="W716" i="18" s="1"/>
  <c r="V716" i="18"/>
  <c r="U716" i="18" a="1"/>
  <c r="U716" i="18" s="1"/>
  <c r="T716" i="18" a="1"/>
  <c r="T716" i="18" s="1"/>
  <c r="S716" i="18" a="1"/>
  <c r="S716" i="18" s="1"/>
  <c r="Y715" i="18" a="1"/>
  <c r="Y715" i="18" s="1"/>
  <c r="X715" i="18"/>
  <c r="W715" i="18" a="1"/>
  <c r="W715" i="18" s="1"/>
  <c r="V715" i="18"/>
  <c r="U715" i="18" a="1"/>
  <c r="U715" i="18" s="1"/>
  <c r="T715" i="18" a="1"/>
  <c r="T715" i="18" s="1"/>
  <c r="S715" i="18" a="1"/>
  <c r="S715" i="18" s="1"/>
  <c r="Y714" i="18" a="1"/>
  <c r="Y714" i="18" s="1"/>
  <c r="AA714" i="18" s="1"/>
  <c r="X714" i="18"/>
  <c r="W714" i="18" a="1"/>
  <c r="W714" i="18" s="1"/>
  <c r="V714" i="18"/>
  <c r="U714" i="18" a="1"/>
  <c r="U714" i="18" s="1"/>
  <c r="T714" i="18" a="1"/>
  <c r="T714" i="18" s="1"/>
  <c r="S714" i="18" a="1"/>
  <c r="S714" i="18" s="1"/>
  <c r="Y713" i="18" a="1"/>
  <c r="Y713" i="18" s="1"/>
  <c r="AA713" i="18" s="1"/>
  <c r="X713" i="18"/>
  <c r="W713" i="18" a="1"/>
  <c r="W713" i="18" s="1"/>
  <c r="V713" i="18"/>
  <c r="U713" i="18" a="1"/>
  <c r="U713" i="18" s="1"/>
  <c r="T713" i="18" a="1"/>
  <c r="T713" i="18" s="1"/>
  <c r="S713" i="18" a="1"/>
  <c r="S713" i="18" s="1"/>
  <c r="Y712" i="18" a="1"/>
  <c r="Y712" i="18" s="1"/>
  <c r="AA712" i="18" s="1"/>
  <c r="X712" i="18"/>
  <c r="W712" i="18" a="1"/>
  <c r="W712" i="18" s="1"/>
  <c r="V712" i="18"/>
  <c r="U712" i="18" a="1"/>
  <c r="U712" i="18" s="1"/>
  <c r="T712" i="18" a="1"/>
  <c r="T712" i="18" s="1"/>
  <c r="S712" i="18" a="1"/>
  <c r="S712" i="18" s="1"/>
  <c r="Y711" i="18" a="1"/>
  <c r="Y711" i="18" s="1"/>
  <c r="AA711" i="18" s="1"/>
  <c r="X711" i="18"/>
  <c r="W711" i="18" a="1"/>
  <c r="W711" i="18" s="1"/>
  <c r="V711" i="18"/>
  <c r="U711" i="18" a="1"/>
  <c r="U711" i="18" s="1"/>
  <c r="T711" i="18" a="1"/>
  <c r="T711" i="18" s="1"/>
  <c r="S711" i="18" a="1"/>
  <c r="S711" i="18" s="1"/>
  <c r="Y710" i="18" a="1"/>
  <c r="Y710" i="18" s="1"/>
  <c r="AA710" i="18" s="1"/>
  <c r="X710" i="18"/>
  <c r="W710" i="18" a="1"/>
  <c r="W710" i="18" s="1"/>
  <c r="V710" i="18"/>
  <c r="U710" i="18" a="1"/>
  <c r="U710" i="18" s="1"/>
  <c r="T710" i="18" a="1"/>
  <c r="T710" i="18" s="1"/>
  <c r="S710" i="18" a="1"/>
  <c r="S710" i="18" s="1"/>
  <c r="Y709" i="18" a="1"/>
  <c r="Y709" i="18" s="1"/>
  <c r="AA709" i="18" s="1"/>
  <c r="X709" i="18"/>
  <c r="W709" i="18" a="1"/>
  <c r="W709" i="18" s="1"/>
  <c r="V709" i="18"/>
  <c r="U709" i="18" a="1"/>
  <c r="U709" i="18" s="1"/>
  <c r="T709" i="18" a="1"/>
  <c r="T709" i="18" s="1"/>
  <c r="S709" i="18" a="1"/>
  <c r="S709" i="18" s="1"/>
  <c r="Y708" i="18" a="1"/>
  <c r="Y708" i="18" s="1"/>
  <c r="X708" i="18"/>
  <c r="W708" i="18" a="1"/>
  <c r="W708" i="18" s="1"/>
  <c r="V708" i="18"/>
  <c r="U708" i="18" a="1"/>
  <c r="U708" i="18" s="1"/>
  <c r="T708" i="18" a="1"/>
  <c r="T708" i="18" s="1"/>
  <c r="S708" i="18" a="1"/>
  <c r="S708" i="18" s="1"/>
  <c r="Y707" i="18" a="1"/>
  <c r="Y707" i="18" s="1"/>
  <c r="X707" i="18"/>
  <c r="W707" i="18" a="1"/>
  <c r="W707" i="18" s="1"/>
  <c r="V707" i="18"/>
  <c r="U707" i="18" a="1"/>
  <c r="U707" i="18" s="1"/>
  <c r="T707" i="18" a="1"/>
  <c r="T707" i="18" s="1"/>
  <c r="S707" i="18" a="1"/>
  <c r="S707" i="18" s="1"/>
  <c r="Y706" i="18" a="1"/>
  <c r="Y706" i="18" s="1"/>
  <c r="X706" i="18"/>
  <c r="W706" i="18" a="1"/>
  <c r="W706" i="18" s="1"/>
  <c r="V706" i="18"/>
  <c r="U706" i="18" a="1"/>
  <c r="U706" i="18" s="1"/>
  <c r="T706" i="18" a="1"/>
  <c r="T706" i="18" s="1"/>
  <c r="S706" i="18" a="1"/>
  <c r="S706" i="18" s="1"/>
  <c r="Y705" i="18" a="1"/>
  <c r="Y705" i="18" s="1"/>
  <c r="X705" i="18"/>
  <c r="W705" i="18" a="1"/>
  <c r="W705" i="18" s="1"/>
  <c r="V705" i="18"/>
  <c r="U705" i="18" a="1"/>
  <c r="U705" i="18" s="1"/>
  <c r="T705" i="18" a="1"/>
  <c r="T705" i="18" s="1"/>
  <c r="S705" i="18" a="1"/>
  <c r="S705" i="18" s="1"/>
  <c r="Y704" i="18" a="1"/>
  <c r="Y704" i="18" s="1"/>
  <c r="X704" i="18"/>
  <c r="W704" i="18" a="1"/>
  <c r="W704" i="18" s="1"/>
  <c r="V704" i="18"/>
  <c r="U704" i="18" a="1"/>
  <c r="U704" i="18" s="1"/>
  <c r="T704" i="18" a="1"/>
  <c r="T704" i="18" s="1"/>
  <c r="S704" i="18" a="1"/>
  <c r="S704" i="18" s="1"/>
  <c r="Y703" i="18" a="1"/>
  <c r="Y703" i="18" s="1"/>
  <c r="X703" i="18"/>
  <c r="W703" i="18" a="1"/>
  <c r="W703" i="18" s="1"/>
  <c r="V703" i="18"/>
  <c r="U703" i="18" a="1"/>
  <c r="U703" i="18" s="1"/>
  <c r="T703" i="18" a="1"/>
  <c r="T703" i="18" s="1"/>
  <c r="S703" i="18" a="1"/>
  <c r="S703" i="18" s="1"/>
  <c r="Y702" i="18" a="1"/>
  <c r="Y702" i="18" s="1"/>
  <c r="X702" i="18"/>
  <c r="W702" i="18" a="1"/>
  <c r="W702" i="18" s="1"/>
  <c r="V702" i="18"/>
  <c r="U702" i="18" a="1"/>
  <c r="U702" i="18" s="1"/>
  <c r="T702" i="18" a="1"/>
  <c r="T702" i="18" s="1"/>
  <c r="S702" i="18" a="1"/>
  <c r="S702" i="18" s="1"/>
  <c r="Y701" i="18" a="1"/>
  <c r="Y701" i="18" s="1"/>
  <c r="AA701" i="18" s="1"/>
  <c r="X701" i="18"/>
  <c r="W701" i="18" a="1"/>
  <c r="W701" i="18" s="1"/>
  <c r="V701" i="18"/>
  <c r="U701" i="18" a="1"/>
  <c r="U701" i="18" s="1"/>
  <c r="T701" i="18" a="1"/>
  <c r="T701" i="18" s="1"/>
  <c r="S701" i="18" a="1"/>
  <c r="S701" i="18" s="1"/>
  <c r="Y700" i="18" a="1"/>
  <c r="Y700" i="18" s="1"/>
  <c r="X700" i="18"/>
  <c r="W700" i="18" a="1"/>
  <c r="W700" i="18" s="1"/>
  <c r="V700" i="18"/>
  <c r="U700" i="18" a="1"/>
  <c r="U700" i="18" s="1"/>
  <c r="T700" i="18" a="1"/>
  <c r="T700" i="18" s="1"/>
  <c r="S700" i="18" a="1"/>
  <c r="S700" i="18" s="1"/>
  <c r="Y699" i="18" a="1"/>
  <c r="Y699" i="18" s="1"/>
  <c r="X699" i="18"/>
  <c r="W699" i="18" a="1"/>
  <c r="W699" i="18" s="1"/>
  <c r="V699" i="18"/>
  <c r="U699" i="18" a="1"/>
  <c r="U699" i="18" s="1"/>
  <c r="T699" i="18" a="1"/>
  <c r="T699" i="18" s="1"/>
  <c r="S699" i="18" a="1"/>
  <c r="S699" i="18" s="1"/>
  <c r="Y698" i="18" a="1"/>
  <c r="Y698" i="18" s="1"/>
  <c r="X698" i="18"/>
  <c r="W698" i="18" a="1"/>
  <c r="W698" i="18" s="1"/>
  <c r="V698" i="18"/>
  <c r="U698" i="18" a="1"/>
  <c r="U698" i="18" s="1"/>
  <c r="T698" i="18" a="1"/>
  <c r="T698" i="18" s="1"/>
  <c r="S698" i="18" a="1"/>
  <c r="S698" i="18" s="1"/>
  <c r="Y697" i="18" a="1"/>
  <c r="Y697" i="18" s="1"/>
  <c r="X697" i="18"/>
  <c r="W697" i="18" a="1"/>
  <c r="W697" i="18" s="1"/>
  <c r="V697" i="18"/>
  <c r="U697" i="18" a="1"/>
  <c r="U697" i="18" s="1"/>
  <c r="T697" i="18" a="1"/>
  <c r="T697" i="18" s="1"/>
  <c r="S697" i="18" a="1"/>
  <c r="S697" i="18" s="1"/>
  <c r="Y696" i="18" a="1"/>
  <c r="Y696" i="18" s="1"/>
  <c r="X696" i="18"/>
  <c r="W696" i="18" a="1"/>
  <c r="W696" i="18" s="1"/>
  <c r="V696" i="18"/>
  <c r="U696" i="18" a="1"/>
  <c r="U696" i="18" s="1"/>
  <c r="T696" i="18" a="1"/>
  <c r="T696" i="18" s="1"/>
  <c r="S696" i="18" a="1"/>
  <c r="S696" i="18" s="1"/>
  <c r="Y695" i="18" a="1"/>
  <c r="Y695" i="18" s="1"/>
  <c r="X695" i="18"/>
  <c r="W695" i="18" a="1"/>
  <c r="W695" i="18" s="1"/>
  <c r="V695" i="18"/>
  <c r="U695" i="18" a="1"/>
  <c r="U695" i="18" s="1"/>
  <c r="T695" i="18" a="1"/>
  <c r="T695" i="18" s="1"/>
  <c r="S695" i="18" a="1"/>
  <c r="S695" i="18" s="1"/>
  <c r="Y694" i="18" a="1"/>
  <c r="Y694" i="18" s="1"/>
  <c r="X694" i="18"/>
  <c r="W694" i="18" a="1"/>
  <c r="W694" i="18" s="1"/>
  <c r="V694" i="18"/>
  <c r="U694" i="18" a="1"/>
  <c r="U694" i="18" s="1"/>
  <c r="T694" i="18" a="1"/>
  <c r="T694" i="18" s="1"/>
  <c r="S694" i="18" a="1"/>
  <c r="S694" i="18" s="1"/>
  <c r="Y693" i="18" a="1"/>
  <c r="Y693" i="18" s="1"/>
  <c r="X693" i="18"/>
  <c r="W693" i="18" a="1"/>
  <c r="W693" i="18" s="1"/>
  <c r="V693" i="18"/>
  <c r="U693" i="18" a="1"/>
  <c r="U693" i="18" s="1"/>
  <c r="T693" i="18" a="1"/>
  <c r="T693" i="18" s="1"/>
  <c r="S693" i="18" a="1"/>
  <c r="S693" i="18" s="1"/>
  <c r="Y692" i="18" a="1"/>
  <c r="Y692" i="18" s="1"/>
  <c r="X692" i="18"/>
  <c r="W692" i="18" a="1"/>
  <c r="W692" i="18" s="1"/>
  <c r="V692" i="18"/>
  <c r="U692" i="18" a="1"/>
  <c r="U692" i="18" s="1"/>
  <c r="T692" i="18" a="1"/>
  <c r="T692" i="18" s="1"/>
  <c r="S692" i="18" a="1"/>
  <c r="S692" i="18" s="1"/>
  <c r="Y691" i="18" a="1"/>
  <c r="Y691" i="18" s="1"/>
  <c r="X691" i="18"/>
  <c r="W691" i="18" a="1"/>
  <c r="W691" i="18" s="1"/>
  <c r="V691" i="18"/>
  <c r="U691" i="18" a="1"/>
  <c r="U691" i="18" s="1"/>
  <c r="T691" i="18" a="1"/>
  <c r="T691" i="18" s="1"/>
  <c r="S691" i="18" a="1"/>
  <c r="S691" i="18" s="1"/>
  <c r="Y690" i="18" a="1"/>
  <c r="Y690" i="18" s="1"/>
  <c r="X690" i="18"/>
  <c r="W690" i="18" a="1"/>
  <c r="W690" i="18" s="1"/>
  <c r="V690" i="18"/>
  <c r="U690" i="18" a="1"/>
  <c r="U690" i="18" s="1"/>
  <c r="T690" i="18" a="1"/>
  <c r="T690" i="18" s="1"/>
  <c r="S690" i="18" a="1"/>
  <c r="S690" i="18" s="1"/>
  <c r="Y689" i="18" a="1"/>
  <c r="Y689" i="18" s="1"/>
  <c r="X689" i="18"/>
  <c r="W689" i="18" a="1"/>
  <c r="W689" i="18" s="1"/>
  <c r="V689" i="18"/>
  <c r="U689" i="18" a="1"/>
  <c r="U689" i="18" s="1"/>
  <c r="T689" i="18" a="1"/>
  <c r="T689" i="18" s="1"/>
  <c r="S689" i="18" a="1"/>
  <c r="S689" i="18" s="1"/>
  <c r="Y688" i="18" a="1"/>
  <c r="Y688" i="18" s="1"/>
  <c r="X688" i="18"/>
  <c r="W688" i="18" a="1"/>
  <c r="W688" i="18" s="1"/>
  <c r="V688" i="18"/>
  <c r="U688" i="18" a="1"/>
  <c r="U688" i="18" s="1"/>
  <c r="T688" i="18" a="1"/>
  <c r="T688" i="18" s="1"/>
  <c r="S688" i="18" a="1"/>
  <c r="S688" i="18" s="1"/>
  <c r="Y687" i="18" a="1"/>
  <c r="Y687" i="18" s="1"/>
  <c r="X687" i="18"/>
  <c r="W687" i="18" a="1"/>
  <c r="W687" i="18" s="1"/>
  <c r="V687" i="18"/>
  <c r="U687" i="18" a="1"/>
  <c r="U687" i="18" s="1"/>
  <c r="T687" i="18" a="1"/>
  <c r="T687" i="18" s="1"/>
  <c r="S687" i="18" a="1"/>
  <c r="S687" i="18" s="1"/>
  <c r="Y686" i="18" a="1"/>
  <c r="Y686" i="18" s="1"/>
  <c r="X686" i="18"/>
  <c r="W686" i="18" a="1"/>
  <c r="W686" i="18" s="1"/>
  <c r="V686" i="18"/>
  <c r="U686" i="18" a="1"/>
  <c r="U686" i="18" s="1"/>
  <c r="T686" i="18" a="1"/>
  <c r="T686" i="18" s="1"/>
  <c r="S686" i="18" a="1"/>
  <c r="S686" i="18" s="1"/>
  <c r="Y685" i="18" a="1"/>
  <c r="Y685" i="18" s="1"/>
  <c r="X685" i="18"/>
  <c r="W685" i="18" a="1"/>
  <c r="W685" i="18" s="1"/>
  <c r="V685" i="18"/>
  <c r="U685" i="18" a="1"/>
  <c r="U685" i="18" s="1"/>
  <c r="T685" i="18" a="1"/>
  <c r="T685" i="18" s="1"/>
  <c r="S685" i="18" a="1"/>
  <c r="S685" i="18" s="1"/>
  <c r="Y684" i="18" a="1"/>
  <c r="Y684" i="18" s="1"/>
  <c r="X684" i="18"/>
  <c r="W684" i="18" a="1"/>
  <c r="W684" i="18" s="1"/>
  <c r="V684" i="18"/>
  <c r="U684" i="18" a="1"/>
  <c r="U684" i="18" s="1"/>
  <c r="T684" i="18" a="1"/>
  <c r="T684" i="18" s="1"/>
  <c r="S684" i="18" a="1"/>
  <c r="S684" i="18" s="1"/>
  <c r="Y683" i="18" a="1"/>
  <c r="Y683" i="18" s="1"/>
  <c r="X683" i="18"/>
  <c r="W683" i="18" a="1"/>
  <c r="W683" i="18" s="1"/>
  <c r="V683" i="18"/>
  <c r="U683" i="18" a="1"/>
  <c r="U683" i="18" s="1"/>
  <c r="T683" i="18" a="1"/>
  <c r="T683" i="18" s="1"/>
  <c r="S683" i="18" a="1"/>
  <c r="S683" i="18" s="1"/>
  <c r="Y682" i="18" a="1"/>
  <c r="Y682" i="18" s="1"/>
  <c r="X682" i="18"/>
  <c r="W682" i="18" a="1"/>
  <c r="W682" i="18" s="1"/>
  <c r="V682" i="18"/>
  <c r="U682" i="18" a="1"/>
  <c r="U682" i="18" s="1"/>
  <c r="T682" i="18" a="1"/>
  <c r="T682" i="18" s="1"/>
  <c r="S682" i="18" a="1"/>
  <c r="S682" i="18" s="1"/>
  <c r="Y681" i="18" a="1"/>
  <c r="Y681" i="18" s="1"/>
  <c r="X681" i="18"/>
  <c r="W681" i="18" a="1"/>
  <c r="W681" i="18" s="1"/>
  <c r="V681" i="18"/>
  <c r="U681" i="18" a="1"/>
  <c r="U681" i="18" s="1"/>
  <c r="T681" i="18" a="1"/>
  <c r="T681" i="18" s="1"/>
  <c r="S681" i="18" a="1"/>
  <c r="S681" i="18" s="1"/>
  <c r="Y680" i="18" a="1"/>
  <c r="Y680" i="18" s="1"/>
  <c r="X680" i="18"/>
  <c r="W680" i="18" a="1"/>
  <c r="W680" i="18" s="1"/>
  <c r="V680" i="18"/>
  <c r="U680" i="18" a="1"/>
  <c r="U680" i="18" s="1"/>
  <c r="T680" i="18" a="1"/>
  <c r="T680" i="18" s="1"/>
  <c r="S680" i="18" a="1"/>
  <c r="S680" i="18" s="1"/>
  <c r="Y679" i="18" a="1"/>
  <c r="Y679" i="18" s="1"/>
  <c r="X679" i="18"/>
  <c r="W679" i="18" a="1"/>
  <c r="W679" i="18" s="1"/>
  <c r="V679" i="18"/>
  <c r="U679" i="18" a="1"/>
  <c r="U679" i="18" s="1"/>
  <c r="T679" i="18" a="1"/>
  <c r="T679" i="18" s="1"/>
  <c r="S679" i="18" a="1"/>
  <c r="S679" i="18" s="1"/>
  <c r="Y678" i="18" a="1"/>
  <c r="Y678" i="18" s="1"/>
  <c r="X678" i="18"/>
  <c r="W678" i="18" a="1"/>
  <c r="W678" i="18" s="1"/>
  <c r="V678" i="18"/>
  <c r="U678" i="18" a="1"/>
  <c r="U678" i="18" s="1"/>
  <c r="T678" i="18" a="1"/>
  <c r="T678" i="18" s="1"/>
  <c r="S678" i="18" a="1"/>
  <c r="S678" i="18" s="1"/>
  <c r="Y677" i="18" a="1"/>
  <c r="Y677" i="18" s="1"/>
  <c r="X677" i="18"/>
  <c r="W677" i="18" a="1"/>
  <c r="W677" i="18" s="1"/>
  <c r="V677" i="18"/>
  <c r="U677" i="18" a="1"/>
  <c r="U677" i="18" s="1"/>
  <c r="T677" i="18" a="1"/>
  <c r="T677" i="18" s="1"/>
  <c r="S677" i="18" a="1"/>
  <c r="S677" i="18" s="1"/>
  <c r="Y676" i="18" a="1"/>
  <c r="Y676" i="18" s="1"/>
  <c r="X676" i="18"/>
  <c r="W676" i="18" a="1"/>
  <c r="W676" i="18" s="1"/>
  <c r="V676" i="18"/>
  <c r="U676" i="18" a="1"/>
  <c r="U676" i="18" s="1"/>
  <c r="T676" i="18" a="1"/>
  <c r="T676" i="18" s="1"/>
  <c r="S676" i="18" a="1"/>
  <c r="S676" i="18" s="1"/>
  <c r="Y675" i="18" a="1"/>
  <c r="Y675" i="18" s="1"/>
  <c r="X675" i="18"/>
  <c r="W675" i="18" a="1"/>
  <c r="W675" i="18" s="1"/>
  <c r="V675" i="18"/>
  <c r="U675" i="18" a="1"/>
  <c r="U675" i="18" s="1"/>
  <c r="T675" i="18" a="1"/>
  <c r="T675" i="18" s="1"/>
  <c r="S675" i="18" a="1"/>
  <c r="S675" i="18" s="1"/>
  <c r="Y674" i="18" a="1"/>
  <c r="Y674" i="18" s="1"/>
  <c r="X674" i="18"/>
  <c r="W674" i="18" a="1"/>
  <c r="W674" i="18" s="1"/>
  <c r="V674" i="18"/>
  <c r="U674" i="18" a="1"/>
  <c r="U674" i="18" s="1"/>
  <c r="T674" i="18" a="1"/>
  <c r="T674" i="18" s="1"/>
  <c r="S674" i="18" a="1"/>
  <c r="S674" i="18" s="1"/>
  <c r="Y673" i="18" a="1"/>
  <c r="Y673" i="18" s="1"/>
  <c r="X673" i="18"/>
  <c r="W673" i="18" a="1"/>
  <c r="W673" i="18" s="1"/>
  <c r="V673" i="18"/>
  <c r="U673" i="18" a="1"/>
  <c r="U673" i="18" s="1"/>
  <c r="T673" i="18" a="1"/>
  <c r="T673" i="18" s="1"/>
  <c r="S673" i="18" a="1"/>
  <c r="S673" i="18" s="1"/>
  <c r="Y672" i="18" a="1"/>
  <c r="Y672" i="18" s="1"/>
  <c r="X672" i="18"/>
  <c r="W672" i="18" a="1"/>
  <c r="W672" i="18" s="1"/>
  <c r="V672" i="18"/>
  <c r="U672" i="18" a="1"/>
  <c r="U672" i="18" s="1"/>
  <c r="T672" i="18" a="1"/>
  <c r="T672" i="18" s="1"/>
  <c r="S672" i="18" a="1"/>
  <c r="S672" i="18" s="1"/>
  <c r="Y671" i="18" a="1"/>
  <c r="Y671" i="18" s="1"/>
  <c r="X671" i="18"/>
  <c r="W671" i="18" a="1"/>
  <c r="W671" i="18" s="1"/>
  <c r="V671" i="18"/>
  <c r="U671" i="18" a="1"/>
  <c r="U671" i="18" s="1"/>
  <c r="T671" i="18" a="1"/>
  <c r="T671" i="18" s="1"/>
  <c r="S671" i="18" a="1"/>
  <c r="S671" i="18" s="1"/>
  <c r="Y670" i="18" a="1"/>
  <c r="Y670" i="18" s="1"/>
  <c r="X670" i="18"/>
  <c r="W670" i="18" a="1"/>
  <c r="W670" i="18" s="1"/>
  <c r="V670" i="18"/>
  <c r="U670" i="18" a="1"/>
  <c r="U670" i="18" s="1"/>
  <c r="T670" i="18" a="1"/>
  <c r="T670" i="18" s="1"/>
  <c r="S670" i="18" a="1"/>
  <c r="S670" i="18" s="1"/>
  <c r="Y669" i="18" a="1"/>
  <c r="Y669" i="18" s="1"/>
  <c r="X669" i="18"/>
  <c r="W669" i="18" a="1"/>
  <c r="W669" i="18" s="1"/>
  <c r="V669" i="18"/>
  <c r="U669" i="18" a="1"/>
  <c r="U669" i="18" s="1"/>
  <c r="T669" i="18" a="1"/>
  <c r="T669" i="18" s="1"/>
  <c r="S669" i="18" a="1"/>
  <c r="S669" i="18" s="1"/>
  <c r="Y668" i="18" a="1"/>
  <c r="Y668" i="18" s="1"/>
  <c r="X668" i="18"/>
  <c r="W668" i="18" a="1"/>
  <c r="W668" i="18" s="1"/>
  <c r="V668" i="18"/>
  <c r="U668" i="18" a="1"/>
  <c r="U668" i="18" s="1"/>
  <c r="T668" i="18" a="1"/>
  <c r="T668" i="18" s="1"/>
  <c r="S668" i="18" a="1"/>
  <c r="S668" i="18" s="1"/>
  <c r="Y667" i="18" a="1"/>
  <c r="Y667" i="18" s="1"/>
  <c r="X667" i="18"/>
  <c r="W667" i="18" a="1"/>
  <c r="W667" i="18" s="1"/>
  <c r="V667" i="18"/>
  <c r="U667" i="18" a="1"/>
  <c r="U667" i="18" s="1"/>
  <c r="T667" i="18" a="1"/>
  <c r="T667" i="18" s="1"/>
  <c r="S667" i="18" a="1"/>
  <c r="S667" i="18" s="1"/>
  <c r="Y666" i="18" a="1"/>
  <c r="Y666" i="18" s="1"/>
  <c r="X666" i="18"/>
  <c r="W666" i="18" a="1"/>
  <c r="W666" i="18" s="1"/>
  <c r="V666" i="18"/>
  <c r="U666" i="18" a="1"/>
  <c r="U666" i="18" s="1"/>
  <c r="T666" i="18" a="1"/>
  <c r="T666" i="18" s="1"/>
  <c r="S666" i="18" a="1"/>
  <c r="S666" i="18" s="1"/>
  <c r="Y665" i="18" a="1"/>
  <c r="Y665" i="18" s="1"/>
  <c r="X665" i="18"/>
  <c r="W665" i="18" a="1"/>
  <c r="W665" i="18" s="1"/>
  <c r="V665" i="18"/>
  <c r="U665" i="18" a="1"/>
  <c r="U665" i="18" s="1"/>
  <c r="T665" i="18" a="1"/>
  <c r="T665" i="18" s="1"/>
  <c r="S665" i="18" a="1"/>
  <c r="S665" i="18" s="1"/>
  <c r="Y664" i="18" a="1"/>
  <c r="Y664" i="18" s="1"/>
  <c r="X664" i="18"/>
  <c r="W664" i="18" a="1"/>
  <c r="W664" i="18" s="1"/>
  <c r="V664" i="18"/>
  <c r="U664" i="18" a="1"/>
  <c r="U664" i="18" s="1"/>
  <c r="T664" i="18" a="1"/>
  <c r="T664" i="18" s="1"/>
  <c r="S664" i="18" a="1"/>
  <c r="S664" i="18" s="1"/>
  <c r="Y663" i="18" a="1"/>
  <c r="Y663" i="18" s="1"/>
  <c r="X663" i="18"/>
  <c r="W663" i="18" a="1"/>
  <c r="W663" i="18" s="1"/>
  <c r="V663" i="18"/>
  <c r="U663" i="18" a="1"/>
  <c r="U663" i="18" s="1"/>
  <c r="T663" i="18" a="1"/>
  <c r="T663" i="18" s="1"/>
  <c r="S663" i="18" a="1"/>
  <c r="S663" i="18" s="1"/>
  <c r="Y662" i="18" a="1"/>
  <c r="Y662" i="18" s="1"/>
  <c r="X662" i="18"/>
  <c r="W662" i="18" a="1"/>
  <c r="W662" i="18" s="1"/>
  <c r="V662" i="18"/>
  <c r="U662" i="18" a="1"/>
  <c r="U662" i="18" s="1"/>
  <c r="T662" i="18" a="1"/>
  <c r="T662" i="18" s="1"/>
  <c r="S662" i="18" a="1"/>
  <c r="S662" i="18" s="1"/>
  <c r="Y661" i="18" a="1"/>
  <c r="Y661" i="18" s="1"/>
  <c r="X661" i="18"/>
  <c r="W661" i="18" a="1"/>
  <c r="W661" i="18" s="1"/>
  <c r="V661" i="18"/>
  <c r="U661" i="18" a="1"/>
  <c r="U661" i="18" s="1"/>
  <c r="T661" i="18" a="1"/>
  <c r="T661" i="18" s="1"/>
  <c r="S661" i="18" a="1"/>
  <c r="S661" i="18" s="1"/>
  <c r="Y660" i="18" a="1"/>
  <c r="Y660" i="18" s="1"/>
  <c r="X660" i="18"/>
  <c r="W660" i="18" a="1"/>
  <c r="W660" i="18" s="1"/>
  <c r="V660" i="18"/>
  <c r="U660" i="18" a="1"/>
  <c r="U660" i="18" s="1"/>
  <c r="T660" i="18" a="1"/>
  <c r="T660" i="18" s="1"/>
  <c r="S660" i="18" a="1"/>
  <c r="S660" i="18" s="1"/>
  <c r="Y659" i="18" a="1"/>
  <c r="Y659" i="18" s="1"/>
  <c r="X659" i="18"/>
  <c r="W659" i="18" a="1"/>
  <c r="W659" i="18" s="1"/>
  <c r="V659" i="18"/>
  <c r="U659" i="18" a="1"/>
  <c r="U659" i="18" s="1"/>
  <c r="T659" i="18" a="1"/>
  <c r="T659" i="18" s="1"/>
  <c r="S659" i="18" a="1"/>
  <c r="S659" i="18" s="1"/>
  <c r="Y658" i="18" a="1"/>
  <c r="Y658" i="18" s="1"/>
  <c r="X658" i="18"/>
  <c r="W658" i="18" a="1"/>
  <c r="W658" i="18" s="1"/>
  <c r="V658" i="18"/>
  <c r="U658" i="18" a="1"/>
  <c r="U658" i="18" s="1"/>
  <c r="T658" i="18" a="1"/>
  <c r="T658" i="18" s="1"/>
  <c r="S658" i="18" a="1"/>
  <c r="S658" i="18" s="1"/>
  <c r="Y657" i="18" a="1"/>
  <c r="Y657" i="18" s="1"/>
  <c r="X657" i="18"/>
  <c r="W657" i="18" a="1"/>
  <c r="W657" i="18" s="1"/>
  <c r="V657" i="18"/>
  <c r="U657" i="18" a="1"/>
  <c r="U657" i="18" s="1"/>
  <c r="T657" i="18" a="1"/>
  <c r="T657" i="18" s="1"/>
  <c r="S657" i="18" a="1"/>
  <c r="S657" i="18" s="1"/>
  <c r="Y656" i="18" a="1"/>
  <c r="Y656" i="18" s="1"/>
  <c r="X656" i="18"/>
  <c r="W656" i="18" a="1"/>
  <c r="W656" i="18" s="1"/>
  <c r="V656" i="18"/>
  <c r="U656" i="18" a="1"/>
  <c r="U656" i="18" s="1"/>
  <c r="T656" i="18" a="1"/>
  <c r="T656" i="18" s="1"/>
  <c r="S656" i="18" a="1"/>
  <c r="S656" i="18" s="1"/>
  <c r="Y655" i="18" a="1"/>
  <c r="Y655" i="18" s="1"/>
  <c r="X655" i="18"/>
  <c r="W655" i="18" a="1"/>
  <c r="W655" i="18" s="1"/>
  <c r="V655" i="18"/>
  <c r="U655" i="18" a="1"/>
  <c r="U655" i="18" s="1"/>
  <c r="T655" i="18" a="1"/>
  <c r="T655" i="18" s="1"/>
  <c r="S655" i="18" a="1"/>
  <c r="S655" i="18" s="1"/>
  <c r="Y654" i="18" a="1"/>
  <c r="Y654" i="18" s="1"/>
  <c r="X654" i="18"/>
  <c r="W654" i="18" a="1"/>
  <c r="W654" i="18" s="1"/>
  <c r="V654" i="18"/>
  <c r="U654" i="18" a="1"/>
  <c r="U654" i="18" s="1"/>
  <c r="T654" i="18" a="1"/>
  <c r="T654" i="18" s="1"/>
  <c r="S654" i="18" a="1"/>
  <c r="S654" i="18" s="1"/>
  <c r="Y653" i="18" a="1"/>
  <c r="Y653" i="18" s="1"/>
  <c r="X653" i="18"/>
  <c r="W653" i="18" a="1"/>
  <c r="W653" i="18" s="1"/>
  <c r="V653" i="18"/>
  <c r="U653" i="18" a="1"/>
  <c r="U653" i="18" s="1"/>
  <c r="T653" i="18" a="1"/>
  <c r="T653" i="18" s="1"/>
  <c r="S653" i="18" a="1"/>
  <c r="S653" i="18" s="1"/>
  <c r="Y652" i="18" a="1"/>
  <c r="Y652" i="18" s="1"/>
  <c r="X652" i="18"/>
  <c r="W652" i="18" a="1"/>
  <c r="W652" i="18" s="1"/>
  <c r="V652" i="18"/>
  <c r="U652" i="18" a="1"/>
  <c r="U652" i="18" s="1"/>
  <c r="T652" i="18" a="1"/>
  <c r="T652" i="18" s="1"/>
  <c r="S652" i="18" a="1"/>
  <c r="S652" i="18" s="1"/>
  <c r="Y651" i="18" a="1"/>
  <c r="Y651" i="18" s="1"/>
  <c r="X651" i="18"/>
  <c r="W651" i="18" a="1"/>
  <c r="W651" i="18" s="1"/>
  <c r="V651" i="18"/>
  <c r="U651" i="18" a="1"/>
  <c r="U651" i="18" s="1"/>
  <c r="T651" i="18" a="1"/>
  <c r="T651" i="18" s="1"/>
  <c r="S651" i="18" a="1"/>
  <c r="S651" i="18" s="1"/>
  <c r="Y650" i="18" a="1"/>
  <c r="Y650" i="18" s="1"/>
  <c r="X650" i="18"/>
  <c r="W650" i="18" a="1"/>
  <c r="W650" i="18" s="1"/>
  <c r="V650" i="18"/>
  <c r="U650" i="18" a="1"/>
  <c r="U650" i="18" s="1"/>
  <c r="T650" i="18" a="1"/>
  <c r="T650" i="18" s="1"/>
  <c r="S650" i="18" a="1"/>
  <c r="S650" i="18" s="1"/>
  <c r="Y649" i="18" a="1"/>
  <c r="Y649" i="18" s="1"/>
  <c r="X649" i="18"/>
  <c r="W649" i="18" a="1"/>
  <c r="W649" i="18" s="1"/>
  <c r="V649" i="18"/>
  <c r="U649" i="18" a="1"/>
  <c r="U649" i="18" s="1"/>
  <c r="T649" i="18" a="1"/>
  <c r="T649" i="18" s="1"/>
  <c r="S649" i="18" a="1"/>
  <c r="S649" i="18" s="1"/>
  <c r="Y648" i="18" a="1"/>
  <c r="Y648" i="18" s="1"/>
  <c r="X648" i="18"/>
  <c r="W648" i="18" a="1"/>
  <c r="W648" i="18" s="1"/>
  <c r="V648" i="18"/>
  <c r="U648" i="18" a="1"/>
  <c r="U648" i="18" s="1"/>
  <c r="T648" i="18" a="1"/>
  <c r="T648" i="18" s="1"/>
  <c r="S648" i="18" a="1"/>
  <c r="S648" i="18" s="1"/>
  <c r="Y647" i="18" a="1"/>
  <c r="Y647" i="18" s="1"/>
  <c r="X647" i="18"/>
  <c r="W647" i="18" a="1"/>
  <c r="W647" i="18" s="1"/>
  <c r="V647" i="18"/>
  <c r="U647" i="18" a="1"/>
  <c r="U647" i="18" s="1"/>
  <c r="T647" i="18" a="1"/>
  <c r="T647" i="18" s="1"/>
  <c r="S647" i="18" a="1"/>
  <c r="S647" i="18" s="1"/>
  <c r="Y646" i="18" a="1"/>
  <c r="Y646" i="18" s="1"/>
  <c r="AA646" i="18" s="1"/>
  <c r="X646" i="18"/>
  <c r="W646" i="18" a="1"/>
  <c r="W646" i="18" s="1"/>
  <c r="V646" i="18"/>
  <c r="U646" i="18" a="1"/>
  <c r="U646" i="18" s="1"/>
  <c r="T646" i="18" a="1"/>
  <c r="T646" i="18" s="1"/>
  <c r="S646" i="18" a="1"/>
  <c r="S646" i="18" s="1"/>
  <c r="Y645" i="18" a="1"/>
  <c r="Y645" i="18" s="1"/>
  <c r="X645" i="18"/>
  <c r="W645" i="18" a="1"/>
  <c r="W645" i="18" s="1"/>
  <c r="V645" i="18"/>
  <c r="U645" i="18" a="1"/>
  <c r="U645" i="18" s="1"/>
  <c r="T645" i="18" a="1"/>
  <c r="T645" i="18" s="1"/>
  <c r="S645" i="18" a="1"/>
  <c r="S645" i="18" s="1"/>
  <c r="Y644" i="18" a="1"/>
  <c r="Y644" i="18" s="1"/>
  <c r="X644" i="18"/>
  <c r="W644" i="18" a="1"/>
  <c r="W644" i="18" s="1"/>
  <c r="V644" i="18"/>
  <c r="U644" i="18" a="1"/>
  <c r="U644" i="18" s="1"/>
  <c r="T644" i="18" a="1"/>
  <c r="T644" i="18" s="1"/>
  <c r="S644" i="18" a="1"/>
  <c r="S644" i="18" s="1"/>
  <c r="Y643" i="18" a="1"/>
  <c r="Y643" i="18" s="1"/>
  <c r="X643" i="18"/>
  <c r="W643" i="18" a="1"/>
  <c r="W643" i="18" s="1"/>
  <c r="V643" i="18"/>
  <c r="U643" i="18" a="1"/>
  <c r="U643" i="18" s="1"/>
  <c r="T643" i="18" a="1"/>
  <c r="T643" i="18" s="1"/>
  <c r="S643" i="18" a="1"/>
  <c r="S643" i="18" s="1"/>
  <c r="Y642" i="18" a="1"/>
  <c r="Y642" i="18" s="1"/>
  <c r="X642" i="18"/>
  <c r="W642" i="18" a="1"/>
  <c r="W642" i="18" s="1"/>
  <c r="V642" i="18"/>
  <c r="U642" i="18" a="1"/>
  <c r="U642" i="18" s="1"/>
  <c r="T642" i="18" a="1"/>
  <c r="T642" i="18" s="1"/>
  <c r="S642" i="18" a="1"/>
  <c r="S642" i="18" s="1"/>
  <c r="Y641" i="18" a="1"/>
  <c r="Y641" i="18" s="1"/>
  <c r="X641" i="18"/>
  <c r="W641" i="18" a="1"/>
  <c r="W641" i="18" s="1"/>
  <c r="V641" i="18"/>
  <c r="U641" i="18" a="1"/>
  <c r="U641" i="18" s="1"/>
  <c r="T641" i="18" a="1"/>
  <c r="T641" i="18" s="1"/>
  <c r="S641" i="18" a="1"/>
  <c r="S641" i="18" s="1"/>
  <c r="Y640" i="18" a="1"/>
  <c r="Y640" i="18" s="1"/>
  <c r="X640" i="18"/>
  <c r="W640" i="18" a="1"/>
  <c r="W640" i="18" s="1"/>
  <c r="V640" i="18"/>
  <c r="U640" i="18" a="1"/>
  <c r="U640" i="18" s="1"/>
  <c r="T640" i="18" a="1"/>
  <c r="T640" i="18" s="1"/>
  <c r="S640" i="18" a="1"/>
  <c r="S640" i="18" s="1"/>
  <c r="Y639" i="18" a="1"/>
  <c r="Y639" i="18" s="1"/>
  <c r="X639" i="18"/>
  <c r="W639" i="18" a="1"/>
  <c r="W639" i="18" s="1"/>
  <c r="V639" i="18"/>
  <c r="U639" i="18" a="1"/>
  <c r="U639" i="18" s="1"/>
  <c r="T639" i="18" a="1"/>
  <c r="T639" i="18" s="1"/>
  <c r="S639" i="18" a="1"/>
  <c r="S639" i="18" s="1"/>
  <c r="Y638" i="18" a="1"/>
  <c r="Y638" i="18" s="1"/>
  <c r="X638" i="18"/>
  <c r="W638" i="18" a="1"/>
  <c r="W638" i="18" s="1"/>
  <c r="V638" i="18"/>
  <c r="U638" i="18" a="1"/>
  <c r="U638" i="18" s="1"/>
  <c r="T638" i="18" a="1"/>
  <c r="T638" i="18" s="1"/>
  <c r="S638" i="18" a="1"/>
  <c r="S638" i="18" s="1"/>
  <c r="Y637" i="18" a="1"/>
  <c r="Y637" i="18" s="1"/>
  <c r="X637" i="18"/>
  <c r="W637" i="18" a="1"/>
  <c r="W637" i="18" s="1"/>
  <c r="V637" i="18"/>
  <c r="U637" i="18" a="1"/>
  <c r="U637" i="18" s="1"/>
  <c r="T637" i="18" a="1"/>
  <c r="T637" i="18" s="1"/>
  <c r="S637" i="18" a="1"/>
  <c r="S637" i="18" s="1"/>
  <c r="Y636" i="18" a="1"/>
  <c r="Y636" i="18" s="1"/>
  <c r="X636" i="18"/>
  <c r="W636" i="18" a="1"/>
  <c r="W636" i="18" s="1"/>
  <c r="V636" i="18"/>
  <c r="U636" i="18" a="1"/>
  <c r="U636" i="18" s="1"/>
  <c r="T636" i="18" a="1"/>
  <c r="T636" i="18" s="1"/>
  <c r="S636" i="18" a="1"/>
  <c r="S636" i="18" s="1"/>
  <c r="Y635" i="18" a="1"/>
  <c r="Y635" i="18" s="1"/>
  <c r="X635" i="18"/>
  <c r="W635" i="18" a="1"/>
  <c r="W635" i="18" s="1"/>
  <c r="V635" i="18"/>
  <c r="U635" i="18" a="1"/>
  <c r="U635" i="18" s="1"/>
  <c r="T635" i="18" a="1"/>
  <c r="T635" i="18" s="1"/>
  <c r="S635" i="18" a="1"/>
  <c r="S635" i="18" s="1"/>
  <c r="Y634" i="18" a="1"/>
  <c r="Y634" i="18" s="1"/>
  <c r="X634" i="18"/>
  <c r="W634" i="18" a="1"/>
  <c r="W634" i="18" s="1"/>
  <c r="V634" i="18"/>
  <c r="U634" i="18" a="1"/>
  <c r="U634" i="18" s="1"/>
  <c r="T634" i="18" a="1"/>
  <c r="T634" i="18" s="1"/>
  <c r="S634" i="18" a="1"/>
  <c r="S634" i="18" s="1"/>
  <c r="Y633" i="18" a="1"/>
  <c r="Y633" i="18" s="1"/>
  <c r="X633" i="18"/>
  <c r="W633" i="18" a="1"/>
  <c r="W633" i="18" s="1"/>
  <c r="V633" i="18"/>
  <c r="U633" i="18" a="1"/>
  <c r="U633" i="18" s="1"/>
  <c r="T633" i="18" a="1"/>
  <c r="T633" i="18" s="1"/>
  <c r="S633" i="18" a="1"/>
  <c r="S633" i="18" s="1"/>
  <c r="Y632" i="18" a="1"/>
  <c r="Y632" i="18" s="1"/>
  <c r="AA632" i="18" s="1"/>
  <c r="X632" i="18"/>
  <c r="W632" i="18" a="1"/>
  <c r="W632" i="18" s="1"/>
  <c r="V632" i="18"/>
  <c r="U632" i="18" a="1"/>
  <c r="U632" i="18" s="1"/>
  <c r="T632" i="18" a="1"/>
  <c r="T632" i="18" s="1"/>
  <c r="S632" i="18" a="1"/>
  <c r="S632" i="18" s="1"/>
  <c r="Y631" i="18" a="1"/>
  <c r="Y631" i="18" s="1"/>
  <c r="X631" i="18"/>
  <c r="W631" i="18" a="1"/>
  <c r="W631" i="18" s="1"/>
  <c r="V631" i="18"/>
  <c r="U631" i="18" a="1"/>
  <c r="U631" i="18" s="1"/>
  <c r="T631" i="18" a="1"/>
  <c r="T631" i="18" s="1"/>
  <c r="S631" i="18" a="1"/>
  <c r="S631" i="18" s="1"/>
  <c r="Y630" i="18" a="1"/>
  <c r="Y630" i="18" s="1"/>
  <c r="AA630" i="18" s="1"/>
  <c r="X630" i="18"/>
  <c r="W630" i="18" a="1"/>
  <c r="W630" i="18" s="1"/>
  <c r="V630" i="18"/>
  <c r="U630" i="18" a="1"/>
  <c r="U630" i="18" s="1"/>
  <c r="T630" i="18" a="1"/>
  <c r="T630" i="18" s="1"/>
  <c r="S630" i="18" a="1"/>
  <c r="S630" i="18" s="1"/>
  <c r="Y629" i="18" a="1"/>
  <c r="Y629" i="18" s="1"/>
  <c r="X629" i="18"/>
  <c r="W629" i="18" a="1"/>
  <c r="W629" i="18" s="1"/>
  <c r="V629" i="18"/>
  <c r="U629" i="18" a="1"/>
  <c r="U629" i="18" s="1"/>
  <c r="T629" i="18" a="1"/>
  <c r="T629" i="18" s="1"/>
  <c r="S629" i="18" a="1"/>
  <c r="S629" i="18" s="1"/>
  <c r="Y628" i="18" a="1"/>
  <c r="Y628" i="18" s="1"/>
  <c r="X628" i="18"/>
  <c r="W628" i="18" a="1"/>
  <c r="W628" i="18" s="1"/>
  <c r="V628" i="18"/>
  <c r="U628" i="18" a="1"/>
  <c r="U628" i="18" s="1"/>
  <c r="T628" i="18" a="1"/>
  <c r="T628" i="18" s="1"/>
  <c r="S628" i="18" a="1"/>
  <c r="S628" i="18" s="1"/>
  <c r="Y627" i="18" a="1"/>
  <c r="Y627" i="18" s="1"/>
  <c r="X627" i="18"/>
  <c r="W627" i="18" a="1"/>
  <c r="W627" i="18" s="1"/>
  <c r="V627" i="18"/>
  <c r="U627" i="18" a="1"/>
  <c r="U627" i="18" s="1"/>
  <c r="T627" i="18" a="1"/>
  <c r="T627" i="18" s="1"/>
  <c r="S627" i="18" a="1"/>
  <c r="S627" i="18" s="1"/>
  <c r="Y626" i="18" a="1"/>
  <c r="Y626" i="18" s="1"/>
  <c r="X626" i="18"/>
  <c r="W626" i="18" a="1"/>
  <c r="W626" i="18" s="1"/>
  <c r="V626" i="18"/>
  <c r="U626" i="18" a="1"/>
  <c r="U626" i="18" s="1"/>
  <c r="T626" i="18" a="1"/>
  <c r="T626" i="18" s="1"/>
  <c r="S626" i="18" a="1"/>
  <c r="S626" i="18" s="1"/>
  <c r="Y625" i="18" a="1"/>
  <c r="Y625" i="18" s="1"/>
  <c r="X625" i="18"/>
  <c r="W625" i="18" a="1"/>
  <c r="W625" i="18" s="1"/>
  <c r="V625" i="18"/>
  <c r="U625" i="18" a="1"/>
  <c r="U625" i="18" s="1"/>
  <c r="T625" i="18" a="1"/>
  <c r="T625" i="18" s="1"/>
  <c r="S625" i="18" a="1"/>
  <c r="S625" i="18" s="1"/>
  <c r="Y624" i="18" a="1"/>
  <c r="Y624" i="18" s="1"/>
  <c r="X624" i="18"/>
  <c r="W624" i="18" a="1"/>
  <c r="W624" i="18" s="1"/>
  <c r="V624" i="18"/>
  <c r="U624" i="18" a="1"/>
  <c r="U624" i="18" s="1"/>
  <c r="T624" i="18" a="1"/>
  <c r="T624" i="18" s="1"/>
  <c r="S624" i="18" a="1"/>
  <c r="S624" i="18" s="1"/>
  <c r="Y623" i="18" a="1"/>
  <c r="Y623" i="18" s="1"/>
  <c r="X623" i="18"/>
  <c r="W623" i="18" a="1"/>
  <c r="W623" i="18" s="1"/>
  <c r="V623" i="18"/>
  <c r="U623" i="18" a="1"/>
  <c r="U623" i="18" s="1"/>
  <c r="T623" i="18" a="1"/>
  <c r="T623" i="18" s="1"/>
  <c r="S623" i="18" a="1"/>
  <c r="S623" i="18" s="1"/>
  <c r="Y622" i="18" a="1"/>
  <c r="Y622" i="18" s="1"/>
  <c r="X622" i="18"/>
  <c r="W622" i="18" a="1"/>
  <c r="W622" i="18" s="1"/>
  <c r="V622" i="18"/>
  <c r="U622" i="18" a="1"/>
  <c r="U622" i="18" s="1"/>
  <c r="T622" i="18" a="1"/>
  <c r="T622" i="18" s="1"/>
  <c r="S622" i="18" a="1"/>
  <c r="S622" i="18" s="1"/>
  <c r="Y621" i="18" a="1"/>
  <c r="Y621" i="18" s="1"/>
  <c r="X621" i="18"/>
  <c r="W621" i="18" a="1"/>
  <c r="W621" i="18" s="1"/>
  <c r="V621" i="18"/>
  <c r="U621" i="18" a="1"/>
  <c r="U621" i="18" s="1"/>
  <c r="T621" i="18" a="1"/>
  <c r="T621" i="18" s="1"/>
  <c r="S621" i="18" a="1"/>
  <c r="S621" i="18" s="1"/>
  <c r="Y620" i="18" a="1"/>
  <c r="Y620" i="18" s="1"/>
  <c r="X620" i="18"/>
  <c r="W620" i="18" a="1"/>
  <c r="W620" i="18" s="1"/>
  <c r="V620" i="18"/>
  <c r="U620" i="18" a="1"/>
  <c r="U620" i="18" s="1"/>
  <c r="T620" i="18" a="1"/>
  <c r="T620" i="18" s="1"/>
  <c r="S620" i="18" a="1"/>
  <c r="S620" i="18" s="1"/>
  <c r="Y619" i="18" a="1"/>
  <c r="Y619" i="18" s="1"/>
  <c r="X619" i="18"/>
  <c r="W619" i="18" a="1"/>
  <c r="W619" i="18" s="1"/>
  <c r="V619" i="18"/>
  <c r="U619" i="18" a="1"/>
  <c r="U619" i="18" s="1"/>
  <c r="T619" i="18" a="1"/>
  <c r="T619" i="18" s="1"/>
  <c r="S619" i="18" a="1"/>
  <c r="S619" i="18" s="1"/>
  <c r="Y618" i="18" a="1"/>
  <c r="Y618" i="18" s="1"/>
  <c r="AA618" i="18" s="1"/>
  <c r="X618" i="18"/>
  <c r="W618" i="18" a="1"/>
  <c r="W618" i="18" s="1"/>
  <c r="V618" i="18"/>
  <c r="U618" i="18" a="1"/>
  <c r="U618" i="18" s="1"/>
  <c r="T618" i="18" a="1"/>
  <c r="T618" i="18" s="1"/>
  <c r="S618" i="18" a="1"/>
  <c r="S618" i="18" s="1"/>
  <c r="Y617" i="18" a="1"/>
  <c r="Y617" i="18" s="1"/>
  <c r="X617" i="18"/>
  <c r="W617" i="18" a="1"/>
  <c r="W617" i="18" s="1"/>
  <c r="V617" i="18"/>
  <c r="U617" i="18" a="1"/>
  <c r="U617" i="18" s="1"/>
  <c r="T617" i="18" a="1"/>
  <c r="T617" i="18" s="1"/>
  <c r="S617" i="18" a="1"/>
  <c r="S617" i="18" s="1"/>
  <c r="Y616" i="18" a="1"/>
  <c r="Y616" i="18" s="1"/>
  <c r="X616" i="18"/>
  <c r="W616" i="18" a="1"/>
  <c r="W616" i="18" s="1"/>
  <c r="V616" i="18"/>
  <c r="U616" i="18" a="1"/>
  <c r="U616" i="18" s="1"/>
  <c r="T616" i="18" a="1"/>
  <c r="T616" i="18" s="1"/>
  <c r="S616" i="18" a="1"/>
  <c r="S616" i="18" s="1"/>
  <c r="Y615" i="18" a="1"/>
  <c r="Y615" i="18" s="1"/>
  <c r="X615" i="18"/>
  <c r="W615" i="18" a="1"/>
  <c r="W615" i="18" s="1"/>
  <c r="V615" i="18"/>
  <c r="U615" i="18" a="1"/>
  <c r="U615" i="18" s="1"/>
  <c r="T615" i="18" a="1"/>
  <c r="T615" i="18" s="1"/>
  <c r="S615" i="18" a="1"/>
  <c r="S615" i="18" s="1"/>
  <c r="Y614" i="18" a="1"/>
  <c r="Y614" i="18" s="1"/>
  <c r="X614" i="18"/>
  <c r="W614" i="18" a="1"/>
  <c r="W614" i="18" s="1"/>
  <c r="V614" i="18"/>
  <c r="U614" i="18" a="1"/>
  <c r="U614" i="18" s="1"/>
  <c r="T614" i="18" a="1"/>
  <c r="T614" i="18" s="1"/>
  <c r="S614" i="18" a="1"/>
  <c r="S614" i="18" s="1"/>
  <c r="Y613" i="18" a="1"/>
  <c r="Y613" i="18" s="1"/>
  <c r="X613" i="18"/>
  <c r="W613" i="18" a="1"/>
  <c r="W613" i="18" s="1"/>
  <c r="V613" i="18"/>
  <c r="U613" i="18" a="1"/>
  <c r="U613" i="18" s="1"/>
  <c r="T613" i="18" a="1"/>
  <c r="T613" i="18" s="1"/>
  <c r="S613" i="18" a="1"/>
  <c r="S613" i="18" s="1"/>
  <c r="Y612" i="18" a="1"/>
  <c r="Y612" i="18" s="1"/>
  <c r="X612" i="18"/>
  <c r="W612" i="18" a="1"/>
  <c r="W612" i="18" s="1"/>
  <c r="V612" i="18"/>
  <c r="U612" i="18" a="1"/>
  <c r="U612" i="18" s="1"/>
  <c r="T612" i="18" a="1"/>
  <c r="T612" i="18" s="1"/>
  <c r="S612" i="18" a="1"/>
  <c r="S612" i="18" s="1"/>
  <c r="Y611" i="18" a="1"/>
  <c r="Y611" i="18" s="1"/>
  <c r="X611" i="18"/>
  <c r="W611" i="18" a="1"/>
  <c r="W611" i="18" s="1"/>
  <c r="V611" i="18"/>
  <c r="U611" i="18" a="1"/>
  <c r="U611" i="18" s="1"/>
  <c r="T611" i="18" a="1"/>
  <c r="T611" i="18" s="1"/>
  <c r="S611" i="18" a="1"/>
  <c r="S611" i="18" s="1"/>
  <c r="Y610" i="18" a="1"/>
  <c r="Y610" i="18" s="1"/>
  <c r="X610" i="18"/>
  <c r="W610" i="18" a="1"/>
  <c r="W610" i="18" s="1"/>
  <c r="V610" i="18"/>
  <c r="U610" i="18" a="1"/>
  <c r="U610" i="18" s="1"/>
  <c r="T610" i="18" a="1"/>
  <c r="T610" i="18" s="1"/>
  <c r="S610" i="18" a="1"/>
  <c r="S610" i="18" s="1"/>
  <c r="Y609" i="18" a="1"/>
  <c r="Y609" i="18" s="1"/>
  <c r="X609" i="18"/>
  <c r="W609" i="18" a="1"/>
  <c r="W609" i="18" s="1"/>
  <c r="V609" i="18"/>
  <c r="U609" i="18" a="1"/>
  <c r="U609" i="18" s="1"/>
  <c r="T609" i="18" a="1"/>
  <c r="T609" i="18" s="1"/>
  <c r="S609" i="18" a="1"/>
  <c r="S609" i="18" s="1"/>
  <c r="Y608" i="18" a="1"/>
  <c r="Y608" i="18" s="1"/>
  <c r="X608" i="18"/>
  <c r="W608" i="18" a="1"/>
  <c r="W608" i="18" s="1"/>
  <c r="V608" i="18"/>
  <c r="U608" i="18" a="1"/>
  <c r="U608" i="18" s="1"/>
  <c r="T608" i="18" a="1"/>
  <c r="T608" i="18" s="1"/>
  <c r="S608" i="18" a="1"/>
  <c r="S608" i="18" s="1"/>
  <c r="Y607" i="18" a="1"/>
  <c r="Y607" i="18" s="1"/>
  <c r="X607" i="18"/>
  <c r="W607" i="18" a="1"/>
  <c r="W607" i="18" s="1"/>
  <c r="V607" i="18"/>
  <c r="U607" i="18" a="1"/>
  <c r="U607" i="18" s="1"/>
  <c r="T607" i="18" a="1"/>
  <c r="T607" i="18" s="1"/>
  <c r="S607" i="18" a="1"/>
  <c r="S607" i="18" s="1"/>
  <c r="Y606" i="18" a="1"/>
  <c r="Y606" i="18" s="1"/>
  <c r="X606" i="18"/>
  <c r="W606" i="18" a="1"/>
  <c r="W606" i="18" s="1"/>
  <c r="V606" i="18"/>
  <c r="U606" i="18" a="1"/>
  <c r="U606" i="18" s="1"/>
  <c r="T606" i="18" a="1"/>
  <c r="T606" i="18" s="1"/>
  <c r="S606" i="18" a="1"/>
  <c r="S606" i="18" s="1"/>
  <c r="Y605" i="18" a="1"/>
  <c r="Y605" i="18" s="1"/>
  <c r="X605" i="18"/>
  <c r="W605" i="18" a="1"/>
  <c r="W605" i="18" s="1"/>
  <c r="V605" i="18"/>
  <c r="U605" i="18" a="1"/>
  <c r="U605" i="18" s="1"/>
  <c r="T605" i="18" a="1"/>
  <c r="T605" i="18" s="1"/>
  <c r="S605" i="18" a="1"/>
  <c r="S605" i="18" s="1"/>
  <c r="Y604" i="18" a="1"/>
  <c r="Y604" i="18" s="1"/>
  <c r="AA604" i="18" s="1"/>
  <c r="X604" i="18"/>
  <c r="W604" i="18" a="1"/>
  <c r="W604" i="18" s="1"/>
  <c r="V604" i="18"/>
  <c r="U604" i="18" a="1"/>
  <c r="U604" i="18" s="1"/>
  <c r="T604" i="18" a="1"/>
  <c r="T604" i="18" s="1"/>
  <c r="S604" i="18" a="1"/>
  <c r="S604" i="18" s="1"/>
  <c r="Y603" i="18" a="1"/>
  <c r="Y603" i="18" s="1"/>
  <c r="X603" i="18"/>
  <c r="W603" i="18" a="1"/>
  <c r="W603" i="18" s="1"/>
  <c r="V603" i="18"/>
  <c r="U603" i="18" a="1"/>
  <c r="U603" i="18" s="1"/>
  <c r="T603" i="18" a="1"/>
  <c r="T603" i="18" s="1"/>
  <c r="S603" i="18" a="1"/>
  <c r="S603" i="18" s="1"/>
  <c r="Y602" i="18" a="1"/>
  <c r="Y602" i="18" s="1"/>
  <c r="X602" i="18"/>
  <c r="W602" i="18" a="1"/>
  <c r="W602" i="18" s="1"/>
  <c r="V602" i="18"/>
  <c r="U602" i="18" a="1"/>
  <c r="U602" i="18" s="1"/>
  <c r="T602" i="18" a="1"/>
  <c r="T602" i="18" s="1"/>
  <c r="S602" i="18" a="1"/>
  <c r="S602" i="18" s="1"/>
  <c r="Y601" i="18" a="1"/>
  <c r="Y601" i="18" s="1"/>
  <c r="X601" i="18"/>
  <c r="W601" i="18" a="1"/>
  <c r="W601" i="18" s="1"/>
  <c r="V601" i="18"/>
  <c r="U601" i="18" a="1"/>
  <c r="U601" i="18" s="1"/>
  <c r="T601" i="18" a="1"/>
  <c r="T601" i="18" s="1"/>
  <c r="S601" i="18" a="1"/>
  <c r="S601" i="18" s="1"/>
  <c r="Y600" i="18" a="1"/>
  <c r="Y600" i="18" s="1"/>
  <c r="X600" i="18"/>
  <c r="W600" i="18" a="1"/>
  <c r="W600" i="18" s="1"/>
  <c r="V600" i="18"/>
  <c r="U600" i="18" a="1"/>
  <c r="U600" i="18" s="1"/>
  <c r="T600" i="18" a="1"/>
  <c r="T600" i="18" s="1"/>
  <c r="S600" i="18" a="1"/>
  <c r="S600" i="18" s="1"/>
  <c r="Y599" i="18" a="1"/>
  <c r="Y599" i="18" s="1"/>
  <c r="X599" i="18"/>
  <c r="W599" i="18" a="1"/>
  <c r="W599" i="18" s="1"/>
  <c r="V599" i="18"/>
  <c r="U599" i="18" a="1"/>
  <c r="U599" i="18" s="1"/>
  <c r="T599" i="18" a="1"/>
  <c r="T599" i="18" s="1"/>
  <c r="S599" i="18" a="1"/>
  <c r="S599" i="18" s="1"/>
  <c r="Y598" i="18" a="1"/>
  <c r="Y598" i="18" s="1"/>
  <c r="X598" i="18"/>
  <c r="W598" i="18" a="1"/>
  <c r="W598" i="18" s="1"/>
  <c r="V598" i="18"/>
  <c r="U598" i="18" a="1"/>
  <c r="U598" i="18" s="1"/>
  <c r="T598" i="18" a="1"/>
  <c r="T598" i="18" s="1"/>
  <c r="S598" i="18" a="1"/>
  <c r="S598" i="18" s="1"/>
  <c r="Y597" i="18" a="1"/>
  <c r="Y597" i="18" s="1"/>
  <c r="X597" i="18"/>
  <c r="W597" i="18" a="1"/>
  <c r="W597" i="18" s="1"/>
  <c r="V597" i="18"/>
  <c r="U597" i="18" a="1"/>
  <c r="U597" i="18" s="1"/>
  <c r="T597" i="18" a="1"/>
  <c r="T597" i="18" s="1"/>
  <c r="S597" i="18" a="1"/>
  <c r="S597" i="18" s="1"/>
  <c r="Y596" i="18" a="1"/>
  <c r="Y596" i="18" s="1"/>
  <c r="AA596" i="18" s="1"/>
  <c r="X596" i="18"/>
  <c r="W596" i="18" a="1"/>
  <c r="W596" i="18" s="1"/>
  <c r="V596" i="18"/>
  <c r="U596" i="18" a="1"/>
  <c r="U596" i="18" s="1"/>
  <c r="T596" i="18" a="1"/>
  <c r="T596" i="18" s="1"/>
  <c r="S596" i="18" a="1"/>
  <c r="S596" i="18" s="1"/>
  <c r="Y595" i="18" a="1"/>
  <c r="Y595" i="18" s="1"/>
  <c r="X595" i="18"/>
  <c r="W595" i="18" a="1"/>
  <c r="W595" i="18" s="1"/>
  <c r="V595" i="18"/>
  <c r="U595" i="18" a="1"/>
  <c r="U595" i="18" s="1"/>
  <c r="T595" i="18" a="1"/>
  <c r="T595" i="18" s="1"/>
  <c r="S595" i="18" a="1"/>
  <c r="S595" i="18" s="1"/>
  <c r="Y594" i="18" a="1"/>
  <c r="Y594" i="18" s="1"/>
  <c r="X594" i="18"/>
  <c r="W594" i="18" a="1"/>
  <c r="W594" i="18" s="1"/>
  <c r="V594" i="18"/>
  <c r="U594" i="18" a="1"/>
  <c r="U594" i="18" s="1"/>
  <c r="T594" i="18" a="1"/>
  <c r="T594" i="18" s="1"/>
  <c r="S594" i="18" a="1"/>
  <c r="S594" i="18" s="1"/>
  <c r="Y593" i="18" a="1"/>
  <c r="Y593" i="18" s="1"/>
  <c r="X593" i="18"/>
  <c r="W593" i="18" a="1"/>
  <c r="W593" i="18" s="1"/>
  <c r="V593" i="18"/>
  <c r="U593" i="18" a="1"/>
  <c r="U593" i="18" s="1"/>
  <c r="T593" i="18" a="1"/>
  <c r="T593" i="18" s="1"/>
  <c r="S593" i="18" a="1"/>
  <c r="S593" i="18" s="1"/>
  <c r="Y592" i="18" a="1"/>
  <c r="Y592" i="18" s="1"/>
  <c r="X592" i="18"/>
  <c r="W592" i="18" a="1"/>
  <c r="W592" i="18" s="1"/>
  <c r="V592" i="18"/>
  <c r="U592" i="18" a="1"/>
  <c r="U592" i="18" s="1"/>
  <c r="T592" i="18" a="1"/>
  <c r="T592" i="18" s="1"/>
  <c r="S592" i="18" a="1"/>
  <c r="S592" i="18" s="1"/>
  <c r="Y591" i="18" a="1"/>
  <c r="Y591" i="18" s="1"/>
  <c r="X591" i="18"/>
  <c r="W591" i="18" a="1"/>
  <c r="W591" i="18" s="1"/>
  <c r="V591" i="18"/>
  <c r="U591" i="18" a="1"/>
  <c r="U591" i="18" s="1"/>
  <c r="T591" i="18" a="1"/>
  <c r="T591" i="18" s="1"/>
  <c r="S591" i="18" a="1"/>
  <c r="S591" i="18" s="1"/>
  <c r="Y590" i="18" a="1"/>
  <c r="Y590" i="18" s="1"/>
  <c r="X590" i="18"/>
  <c r="W590" i="18" a="1"/>
  <c r="W590" i="18" s="1"/>
  <c r="V590" i="18"/>
  <c r="U590" i="18" a="1"/>
  <c r="U590" i="18" s="1"/>
  <c r="T590" i="18" a="1"/>
  <c r="T590" i="18" s="1"/>
  <c r="S590" i="18" a="1"/>
  <c r="S590" i="18" s="1"/>
  <c r="Y589" i="18" a="1"/>
  <c r="Y589" i="18" s="1"/>
  <c r="X589" i="18"/>
  <c r="W589" i="18" a="1"/>
  <c r="W589" i="18" s="1"/>
  <c r="V589" i="18"/>
  <c r="U589" i="18" a="1"/>
  <c r="U589" i="18" s="1"/>
  <c r="T589" i="18" a="1"/>
  <c r="T589" i="18" s="1"/>
  <c r="S589" i="18" a="1"/>
  <c r="S589" i="18" s="1"/>
  <c r="Y588" i="18" a="1"/>
  <c r="Y588" i="18" s="1"/>
  <c r="X588" i="18"/>
  <c r="W588" i="18" a="1"/>
  <c r="W588" i="18" s="1"/>
  <c r="V588" i="18"/>
  <c r="U588" i="18" a="1"/>
  <c r="U588" i="18" s="1"/>
  <c r="T588" i="18" a="1"/>
  <c r="T588" i="18" s="1"/>
  <c r="S588" i="18" a="1"/>
  <c r="S588" i="18" s="1"/>
  <c r="Y587" i="18" a="1"/>
  <c r="Y587" i="18" s="1"/>
  <c r="X587" i="18"/>
  <c r="W587" i="18" a="1"/>
  <c r="W587" i="18" s="1"/>
  <c r="V587" i="18"/>
  <c r="U587" i="18" a="1"/>
  <c r="U587" i="18" s="1"/>
  <c r="T587" i="18" a="1"/>
  <c r="T587" i="18" s="1"/>
  <c r="S587" i="18" a="1"/>
  <c r="S587" i="18" s="1"/>
  <c r="Y586" i="18" a="1"/>
  <c r="Y586" i="18" s="1"/>
  <c r="AA586" i="18" s="1"/>
  <c r="X586" i="18"/>
  <c r="W586" i="18" a="1"/>
  <c r="W586" i="18" s="1"/>
  <c r="V586" i="18"/>
  <c r="U586" i="18" a="1"/>
  <c r="U586" i="18" s="1"/>
  <c r="T586" i="18" a="1"/>
  <c r="T586" i="18" s="1"/>
  <c r="S586" i="18" a="1"/>
  <c r="S586" i="18" s="1"/>
  <c r="Y585" i="18" a="1"/>
  <c r="Y585" i="18" s="1"/>
  <c r="X585" i="18"/>
  <c r="W585" i="18" a="1"/>
  <c r="W585" i="18" s="1"/>
  <c r="V585" i="18"/>
  <c r="U585" i="18" a="1"/>
  <c r="U585" i="18" s="1"/>
  <c r="T585" i="18" a="1"/>
  <c r="T585" i="18" s="1"/>
  <c r="S585" i="18" a="1"/>
  <c r="S585" i="18" s="1"/>
  <c r="Y584" i="18" a="1"/>
  <c r="Y584" i="18" s="1"/>
  <c r="X584" i="18"/>
  <c r="W584" i="18" a="1"/>
  <c r="W584" i="18" s="1"/>
  <c r="V584" i="18"/>
  <c r="U584" i="18" a="1"/>
  <c r="U584" i="18" s="1"/>
  <c r="T584" i="18" a="1"/>
  <c r="T584" i="18" s="1"/>
  <c r="S584" i="18" a="1"/>
  <c r="S584" i="18" s="1"/>
  <c r="Y583" i="18" a="1"/>
  <c r="Y583" i="18" s="1"/>
  <c r="X583" i="18"/>
  <c r="W583" i="18" a="1"/>
  <c r="W583" i="18" s="1"/>
  <c r="V583" i="18"/>
  <c r="U583" i="18" a="1"/>
  <c r="U583" i="18" s="1"/>
  <c r="T583" i="18" a="1"/>
  <c r="T583" i="18" s="1"/>
  <c r="S583" i="18" a="1"/>
  <c r="S583" i="18" s="1"/>
  <c r="Y582" i="18" a="1"/>
  <c r="Y582" i="18" s="1"/>
  <c r="X582" i="18"/>
  <c r="W582" i="18" a="1"/>
  <c r="W582" i="18" s="1"/>
  <c r="V582" i="18"/>
  <c r="U582" i="18" a="1"/>
  <c r="U582" i="18" s="1"/>
  <c r="T582" i="18" a="1"/>
  <c r="T582" i="18" s="1"/>
  <c r="S582" i="18" a="1"/>
  <c r="S582" i="18" s="1"/>
  <c r="Y581" i="18" a="1"/>
  <c r="Y581" i="18" s="1"/>
  <c r="X581" i="18"/>
  <c r="W581" i="18" a="1"/>
  <c r="W581" i="18" s="1"/>
  <c r="V581" i="18"/>
  <c r="U581" i="18" a="1"/>
  <c r="U581" i="18" s="1"/>
  <c r="T581" i="18" a="1"/>
  <c r="T581" i="18" s="1"/>
  <c r="S581" i="18" a="1"/>
  <c r="S581" i="18" s="1"/>
  <c r="Y580" i="18" a="1"/>
  <c r="Y580" i="18" s="1"/>
  <c r="X580" i="18"/>
  <c r="W580" i="18" a="1"/>
  <c r="W580" i="18" s="1"/>
  <c r="V580" i="18"/>
  <c r="U580" i="18" a="1"/>
  <c r="U580" i="18" s="1"/>
  <c r="T580" i="18" a="1"/>
  <c r="T580" i="18" s="1"/>
  <c r="S580" i="18" a="1"/>
  <c r="S580" i="18" s="1"/>
  <c r="Y579" i="18" a="1"/>
  <c r="Y579" i="18" s="1"/>
  <c r="X579" i="18"/>
  <c r="W579" i="18" a="1"/>
  <c r="W579" i="18" s="1"/>
  <c r="V579" i="18"/>
  <c r="U579" i="18" a="1"/>
  <c r="U579" i="18" s="1"/>
  <c r="T579" i="18" a="1"/>
  <c r="T579" i="18" s="1"/>
  <c r="S579" i="18" a="1"/>
  <c r="S579" i="18" s="1"/>
  <c r="Y578" i="18" a="1"/>
  <c r="Y578" i="18" s="1"/>
  <c r="X578" i="18"/>
  <c r="W578" i="18" a="1"/>
  <c r="W578" i="18" s="1"/>
  <c r="V578" i="18"/>
  <c r="U578" i="18" a="1"/>
  <c r="U578" i="18" s="1"/>
  <c r="T578" i="18" a="1"/>
  <c r="T578" i="18" s="1"/>
  <c r="S578" i="18" a="1"/>
  <c r="S578" i="18" s="1"/>
  <c r="Y577" i="18" a="1"/>
  <c r="Y577" i="18" s="1"/>
  <c r="X577" i="18"/>
  <c r="W577" i="18" a="1"/>
  <c r="W577" i="18" s="1"/>
  <c r="V577" i="18"/>
  <c r="U577" i="18" a="1"/>
  <c r="U577" i="18" s="1"/>
  <c r="T577" i="18" a="1"/>
  <c r="T577" i="18" s="1"/>
  <c r="S577" i="18" a="1"/>
  <c r="S577" i="18" s="1"/>
  <c r="Y576" i="18" a="1"/>
  <c r="Y576" i="18" s="1"/>
  <c r="X576" i="18"/>
  <c r="W576" i="18" a="1"/>
  <c r="W576" i="18" s="1"/>
  <c r="V576" i="18"/>
  <c r="U576" i="18" a="1"/>
  <c r="U576" i="18" s="1"/>
  <c r="T576" i="18" a="1"/>
  <c r="T576" i="18" s="1"/>
  <c r="S576" i="18" a="1"/>
  <c r="S576" i="18" s="1"/>
  <c r="Y575" i="18" a="1"/>
  <c r="Y575" i="18" s="1"/>
  <c r="X575" i="18"/>
  <c r="W575" i="18" a="1"/>
  <c r="W575" i="18" s="1"/>
  <c r="V575" i="18"/>
  <c r="U575" i="18" a="1"/>
  <c r="U575" i="18" s="1"/>
  <c r="T575" i="18" a="1"/>
  <c r="T575" i="18" s="1"/>
  <c r="S575" i="18" a="1"/>
  <c r="S575" i="18" s="1"/>
  <c r="Y574" i="18" a="1"/>
  <c r="Y574" i="18" s="1"/>
  <c r="X574" i="18"/>
  <c r="W574" i="18" a="1"/>
  <c r="W574" i="18" s="1"/>
  <c r="V574" i="18"/>
  <c r="U574" i="18" a="1"/>
  <c r="U574" i="18" s="1"/>
  <c r="T574" i="18" a="1"/>
  <c r="T574" i="18" s="1"/>
  <c r="S574" i="18" a="1"/>
  <c r="S574" i="18" s="1"/>
  <c r="Y573" i="18" a="1"/>
  <c r="Y573" i="18" s="1"/>
  <c r="X573" i="18"/>
  <c r="W573" i="18" a="1"/>
  <c r="W573" i="18" s="1"/>
  <c r="V573" i="18"/>
  <c r="U573" i="18" a="1"/>
  <c r="U573" i="18" s="1"/>
  <c r="T573" i="18" a="1"/>
  <c r="T573" i="18" s="1"/>
  <c r="S573" i="18" a="1"/>
  <c r="S573" i="18" s="1"/>
  <c r="Y572" i="18" a="1"/>
  <c r="Y572" i="18" s="1"/>
  <c r="X572" i="18"/>
  <c r="W572" i="18" a="1"/>
  <c r="W572" i="18" s="1"/>
  <c r="V572" i="18"/>
  <c r="U572" i="18" a="1"/>
  <c r="U572" i="18" s="1"/>
  <c r="T572" i="18" a="1"/>
  <c r="T572" i="18" s="1"/>
  <c r="S572" i="18" a="1"/>
  <c r="S572" i="18" s="1"/>
  <c r="Y571" i="18" a="1"/>
  <c r="Y571" i="18" s="1"/>
  <c r="X571" i="18"/>
  <c r="W571" i="18" a="1"/>
  <c r="W571" i="18" s="1"/>
  <c r="V571" i="18"/>
  <c r="U571" i="18" a="1"/>
  <c r="U571" i="18" s="1"/>
  <c r="T571" i="18" a="1"/>
  <c r="T571" i="18" s="1"/>
  <c r="S571" i="18" a="1"/>
  <c r="S571" i="18" s="1"/>
  <c r="Y570" i="18" a="1"/>
  <c r="Y570" i="18" s="1"/>
  <c r="X570" i="18"/>
  <c r="W570" i="18" a="1"/>
  <c r="W570" i="18" s="1"/>
  <c r="V570" i="18"/>
  <c r="U570" i="18" a="1"/>
  <c r="U570" i="18" s="1"/>
  <c r="T570" i="18" a="1"/>
  <c r="T570" i="18" s="1"/>
  <c r="S570" i="18" a="1"/>
  <c r="S570" i="18" s="1"/>
  <c r="Y569" i="18" a="1"/>
  <c r="Y569" i="18" s="1"/>
  <c r="X569" i="18"/>
  <c r="W569" i="18" a="1"/>
  <c r="W569" i="18" s="1"/>
  <c r="V569" i="18"/>
  <c r="U569" i="18" a="1"/>
  <c r="U569" i="18" s="1"/>
  <c r="T569" i="18" a="1"/>
  <c r="T569" i="18" s="1"/>
  <c r="S569" i="18" a="1"/>
  <c r="S569" i="18" s="1"/>
  <c r="Y568" i="18" a="1"/>
  <c r="Y568" i="18" s="1"/>
  <c r="X568" i="18"/>
  <c r="W568" i="18" a="1"/>
  <c r="W568" i="18" s="1"/>
  <c r="V568" i="18"/>
  <c r="U568" i="18" a="1"/>
  <c r="U568" i="18" s="1"/>
  <c r="T568" i="18" a="1"/>
  <c r="T568" i="18" s="1"/>
  <c r="S568" i="18" a="1"/>
  <c r="S568" i="18" s="1"/>
  <c r="Y567" i="18" a="1"/>
  <c r="Y567" i="18" s="1"/>
  <c r="X567" i="18"/>
  <c r="W567" i="18" a="1"/>
  <c r="W567" i="18" s="1"/>
  <c r="V567" i="18"/>
  <c r="U567" i="18" a="1"/>
  <c r="U567" i="18" s="1"/>
  <c r="T567" i="18" a="1"/>
  <c r="T567" i="18" s="1"/>
  <c r="S567" i="18" a="1"/>
  <c r="S567" i="18" s="1"/>
  <c r="Y566" i="18" a="1"/>
  <c r="Y566" i="18" s="1"/>
  <c r="X566" i="18"/>
  <c r="W566" i="18" a="1"/>
  <c r="W566" i="18" s="1"/>
  <c r="V566" i="18"/>
  <c r="U566" i="18" a="1"/>
  <c r="U566" i="18" s="1"/>
  <c r="T566" i="18" a="1"/>
  <c r="T566" i="18" s="1"/>
  <c r="S566" i="18" a="1"/>
  <c r="S566" i="18" s="1"/>
  <c r="Y565" i="18" a="1"/>
  <c r="Y565" i="18" s="1"/>
  <c r="X565" i="18"/>
  <c r="W565" i="18" a="1"/>
  <c r="W565" i="18" s="1"/>
  <c r="V565" i="18"/>
  <c r="U565" i="18" a="1"/>
  <c r="U565" i="18" s="1"/>
  <c r="T565" i="18" a="1"/>
  <c r="T565" i="18" s="1"/>
  <c r="S565" i="18" a="1"/>
  <c r="S565" i="18" s="1"/>
  <c r="Y564" i="18" a="1"/>
  <c r="Y564" i="18" s="1"/>
  <c r="X564" i="18"/>
  <c r="W564" i="18" a="1"/>
  <c r="W564" i="18" s="1"/>
  <c r="V564" i="18"/>
  <c r="U564" i="18" a="1"/>
  <c r="U564" i="18" s="1"/>
  <c r="T564" i="18" a="1"/>
  <c r="T564" i="18" s="1"/>
  <c r="S564" i="18" a="1"/>
  <c r="S564" i="18" s="1"/>
  <c r="Y563" i="18" a="1"/>
  <c r="Y563" i="18" s="1"/>
  <c r="X563" i="18"/>
  <c r="W563" i="18" a="1"/>
  <c r="W563" i="18" s="1"/>
  <c r="V563" i="18"/>
  <c r="U563" i="18" a="1"/>
  <c r="U563" i="18" s="1"/>
  <c r="T563" i="18" a="1"/>
  <c r="T563" i="18" s="1"/>
  <c r="S563" i="18" a="1"/>
  <c r="S563" i="18" s="1"/>
  <c r="Y562" i="18" a="1"/>
  <c r="Y562" i="18" s="1"/>
  <c r="X562" i="18"/>
  <c r="W562" i="18" a="1"/>
  <c r="W562" i="18" s="1"/>
  <c r="V562" i="18"/>
  <c r="U562" i="18" a="1"/>
  <c r="U562" i="18" s="1"/>
  <c r="T562" i="18" a="1"/>
  <c r="T562" i="18" s="1"/>
  <c r="S562" i="18" a="1"/>
  <c r="S562" i="18" s="1"/>
  <c r="Y561" i="18" a="1"/>
  <c r="Y561" i="18" s="1"/>
  <c r="X561" i="18"/>
  <c r="W561" i="18" a="1"/>
  <c r="W561" i="18" s="1"/>
  <c r="V561" i="18"/>
  <c r="U561" i="18" a="1"/>
  <c r="U561" i="18" s="1"/>
  <c r="T561" i="18" a="1"/>
  <c r="T561" i="18" s="1"/>
  <c r="S561" i="18" a="1"/>
  <c r="S561" i="18" s="1"/>
  <c r="Y560" i="18" a="1"/>
  <c r="Y560" i="18" s="1"/>
  <c r="X560" i="18"/>
  <c r="W560" i="18" a="1"/>
  <c r="W560" i="18" s="1"/>
  <c r="V560" i="18"/>
  <c r="U560" i="18" a="1"/>
  <c r="U560" i="18" s="1"/>
  <c r="T560" i="18" a="1"/>
  <c r="T560" i="18" s="1"/>
  <c r="S560" i="18" a="1"/>
  <c r="S560" i="18" s="1"/>
  <c r="Y559" i="18" a="1"/>
  <c r="Y559" i="18" s="1"/>
  <c r="X559" i="18"/>
  <c r="W559" i="18" a="1"/>
  <c r="W559" i="18" s="1"/>
  <c r="V559" i="18"/>
  <c r="U559" i="18" a="1"/>
  <c r="U559" i="18" s="1"/>
  <c r="T559" i="18" a="1"/>
  <c r="T559" i="18" s="1"/>
  <c r="S559" i="18" a="1"/>
  <c r="S559" i="18" s="1"/>
  <c r="Y558" i="18" a="1"/>
  <c r="Y558" i="18" s="1"/>
  <c r="X558" i="18"/>
  <c r="W558" i="18" a="1"/>
  <c r="W558" i="18" s="1"/>
  <c r="V558" i="18"/>
  <c r="U558" i="18" a="1"/>
  <c r="U558" i="18" s="1"/>
  <c r="T558" i="18" a="1"/>
  <c r="T558" i="18" s="1"/>
  <c r="S558" i="18" a="1"/>
  <c r="S558" i="18" s="1"/>
  <c r="Y557" i="18" a="1"/>
  <c r="Y557" i="18" s="1"/>
  <c r="X557" i="18"/>
  <c r="W557" i="18" a="1"/>
  <c r="W557" i="18" s="1"/>
  <c r="V557" i="18"/>
  <c r="U557" i="18" a="1"/>
  <c r="U557" i="18" s="1"/>
  <c r="T557" i="18" a="1"/>
  <c r="T557" i="18" s="1"/>
  <c r="S557" i="18" a="1"/>
  <c r="S557" i="18" s="1"/>
  <c r="Y556" i="18" a="1"/>
  <c r="Y556" i="18" s="1"/>
  <c r="X556" i="18"/>
  <c r="W556" i="18" a="1"/>
  <c r="W556" i="18" s="1"/>
  <c r="V556" i="18"/>
  <c r="U556" i="18" a="1"/>
  <c r="U556" i="18" s="1"/>
  <c r="T556" i="18" a="1"/>
  <c r="T556" i="18" s="1"/>
  <c r="S556" i="18" a="1"/>
  <c r="S556" i="18" s="1"/>
  <c r="Y555" i="18" a="1"/>
  <c r="Y555" i="18" s="1"/>
  <c r="X555" i="18"/>
  <c r="W555" i="18" a="1"/>
  <c r="W555" i="18" s="1"/>
  <c r="V555" i="18"/>
  <c r="U555" i="18" a="1"/>
  <c r="U555" i="18" s="1"/>
  <c r="T555" i="18" a="1"/>
  <c r="T555" i="18" s="1"/>
  <c r="S555" i="18" a="1"/>
  <c r="S555" i="18" s="1"/>
  <c r="Y554" i="18" a="1"/>
  <c r="Y554" i="18" s="1"/>
  <c r="AA554" i="18" s="1"/>
  <c r="X554" i="18"/>
  <c r="W554" i="18" a="1"/>
  <c r="W554" i="18" s="1"/>
  <c r="V554" i="18"/>
  <c r="U554" i="18" a="1"/>
  <c r="U554" i="18" s="1"/>
  <c r="T554" i="18" a="1"/>
  <c r="T554" i="18" s="1"/>
  <c r="S554" i="18" a="1"/>
  <c r="S554" i="18" s="1"/>
  <c r="Y553" i="18" a="1"/>
  <c r="Y553" i="18" s="1"/>
  <c r="AA553" i="18" s="1"/>
  <c r="X553" i="18"/>
  <c r="W553" i="18" a="1"/>
  <c r="W553" i="18" s="1"/>
  <c r="V553" i="18"/>
  <c r="U553" i="18" a="1"/>
  <c r="U553" i="18" s="1"/>
  <c r="T553" i="18" a="1"/>
  <c r="T553" i="18" s="1"/>
  <c r="S553" i="18" a="1"/>
  <c r="S553" i="18" s="1"/>
  <c r="Y552" i="18" a="1"/>
  <c r="Y552" i="18" s="1"/>
  <c r="X552" i="18"/>
  <c r="W552" i="18" a="1"/>
  <c r="W552" i="18" s="1"/>
  <c r="V552" i="18"/>
  <c r="U552" i="18" a="1"/>
  <c r="U552" i="18" s="1"/>
  <c r="T552" i="18" a="1"/>
  <c r="T552" i="18" s="1"/>
  <c r="S552" i="18" a="1"/>
  <c r="S552" i="18" s="1"/>
  <c r="Y551" i="18" a="1"/>
  <c r="Y551" i="18" s="1"/>
  <c r="X551" i="18"/>
  <c r="W551" i="18" a="1"/>
  <c r="W551" i="18" s="1"/>
  <c r="V551" i="18"/>
  <c r="U551" i="18" a="1"/>
  <c r="U551" i="18" s="1"/>
  <c r="T551" i="18" a="1"/>
  <c r="T551" i="18" s="1"/>
  <c r="S551" i="18" a="1"/>
  <c r="S551" i="18" s="1"/>
  <c r="Y550" i="18" a="1"/>
  <c r="Y550" i="18" s="1"/>
  <c r="X550" i="18"/>
  <c r="W550" i="18" a="1"/>
  <c r="W550" i="18" s="1"/>
  <c r="V550" i="18"/>
  <c r="U550" i="18" a="1"/>
  <c r="U550" i="18" s="1"/>
  <c r="T550" i="18" a="1"/>
  <c r="T550" i="18" s="1"/>
  <c r="S550" i="18" a="1"/>
  <c r="S550" i="18" s="1"/>
  <c r="Y549" i="18" a="1"/>
  <c r="Y549" i="18" s="1"/>
  <c r="X549" i="18"/>
  <c r="W549" i="18" a="1"/>
  <c r="W549" i="18" s="1"/>
  <c r="V549" i="18"/>
  <c r="U549" i="18" a="1"/>
  <c r="U549" i="18" s="1"/>
  <c r="T549" i="18" a="1"/>
  <c r="T549" i="18" s="1"/>
  <c r="S549" i="18" a="1"/>
  <c r="S549" i="18" s="1"/>
  <c r="Y548" i="18" a="1"/>
  <c r="Y548" i="18" s="1"/>
  <c r="X548" i="18"/>
  <c r="W548" i="18" a="1"/>
  <c r="W548" i="18" s="1"/>
  <c r="V548" i="18"/>
  <c r="U548" i="18" a="1"/>
  <c r="U548" i="18" s="1"/>
  <c r="T548" i="18" a="1"/>
  <c r="T548" i="18" s="1"/>
  <c r="S548" i="18" a="1"/>
  <c r="S548" i="18" s="1"/>
  <c r="Y547" i="18" a="1"/>
  <c r="Y547" i="18" s="1"/>
  <c r="X547" i="18"/>
  <c r="W547" i="18" a="1"/>
  <c r="W547" i="18" s="1"/>
  <c r="V547" i="18"/>
  <c r="U547" i="18" a="1"/>
  <c r="U547" i="18" s="1"/>
  <c r="T547" i="18" a="1"/>
  <c r="T547" i="18" s="1"/>
  <c r="S547" i="18" a="1"/>
  <c r="S547" i="18" s="1"/>
  <c r="Y546" i="18" a="1"/>
  <c r="Y546" i="18" s="1"/>
  <c r="X546" i="18"/>
  <c r="W546" i="18" a="1"/>
  <c r="W546" i="18" s="1"/>
  <c r="V546" i="18"/>
  <c r="U546" i="18" a="1"/>
  <c r="U546" i="18" s="1"/>
  <c r="T546" i="18" a="1"/>
  <c r="T546" i="18" s="1"/>
  <c r="S546" i="18" a="1"/>
  <c r="S546" i="18" s="1"/>
  <c r="Y545" i="18" a="1"/>
  <c r="Y545" i="18" s="1"/>
  <c r="X545" i="18"/>
  <c r="W545" i="18" a="1"/>
  <c r="W545" i="18" s="1"/>
  <c r="V545" i="18"/>
  <c r="U545" i="18" a="1"/>
  <c r="U545" i="18" s="1"/>
  <c r="T545" i="18" a="1"/>
  <c r="T545" i="18" s="1"/>
  <c r="S545" i="18" a="1"/>
  <c r="S545" i="18" s="1"/>
  <c r="Y544" i="18" a="1"/>
  <c r="Y544" i="18" s="1"/>
  <c r="X544" i="18"/>
  <c r="W544" i="18" a="1"/>
  <c r="W544" i="18" s="1"/>
  <c r="V544" i="18"/>
  <c r="U544" i="18" a="1"/>
  <c r="U544" i="18" s="1"/>
  <c r="T544" i="18" a="1"/>
  <c r="T544" i="18" s="1"/>
  <c r="S544" i="18" a="1"/>
  <c r="S544" i="18" s="1"/>
  <c r="Y543" i="18" a="1"/>
  <c r="Y543" i="18" s="1"/>
  <c r="X543" i="18"/>
  <c r="W543" i="18" a="1"/>
  <c r="W543" i="18" s="1"/>
  <c r="V543" i="18"/>
  <c r="U543" i="18" a="1"/>
  <c r="U543" i="18" s="1"/>
  <c r="T543" i="18" a="1"/>
  <c r="T543" i="18" s="1"/>
  <c r="S543" i="18" a="1"/>
  <c r="S543" i="18" s="1"/>
  <c r="Y542" i="18" a="1"/>
  <c r="Y542" i="18" s="1"/>
  <c r="X542" i="18"/>
  <c r="W542" i="18" a="1"/>
  <c r="W542" i="18" s="1"/>
  <c r="V542" i="18"/>
  <c r="U542" i="18" a="1"/>
  <c r="U542" i="18" s="1"/>
  <c r="T542" i="18" a="1"/>
  <c r="T542" i="18" s="1"/>
  <c r="S542" i="18" a="1"/>
  <c r="S542" i="18" s="1"/>
  <c r="Y541" i="18" a="1"/>
  <c r="Y541" i="18" s="1"/>
  <c r="X541" i="18"/>
  <c r="W541" i="18" a="1"/>
  <c r="W541" i="18" s="1"/>
  <c r="V541" i="18"/>
  <c r="U541" i="18" a="1"/>
  <c r="U541" i="18" s="1"/>
  <c r="T541" i="18" a="1"/>
  <c r="T541" i="18" s="1"/>
  <c r="S541" i="18" a="1"/>
  <c r="S541" i="18" s="1"/>
  <c r="Y540" i="18" a="1"/>
  <c r="Y540" i="18" s="1"/>
  <c r="X540" i="18"/>
  <c r="W540" i="18" a="1"/>
  <c r="W540" i="18" s="1"/>
  <c r="V540" i="18"/>
  <c r="U540" i="18" a="1"/>
  <c r="U540" i="18" s="1"/>
  <c r="T540" i="18" a="1"/>
  <c r="T540" i="18" s="1"/>
  <c r="S540" i="18" a="1"/>
  <c r="S540" i="18" s="1"/>
  <c r="Y539" i="18" a="1"/>
  <c r="Y539" i="18" s="1"/>
  <c r="X539" i="18"/>
  <c r="W539" i="18" a="1"/>
  <c r="W539" i="18" s="1"/>
  <c r="V539" i="18"/>
  <c r="U539" i="18" a="1"/>
  <c r="U539" i="18" s="1"/>
  <c r="T539" i="18" a="1"/>
  <c r="T539" i="18" s="1"/>
  <c r="S539" i="18" a="1"/>
  <c r="S539" i="18" s="1"/>
  <c r="Y538" i="18" a="1"/>
  <c r="Y538" i="18" s="1"/>
  <c r="X538" i="18"/>
  <c r="W538" i="18" a="1"/>
  <c r="W538" i="18" s="1"/>
  <c r="V538" i="18"/>
  <c r="U538" i="18" a="1"/>
  <c r="U538" i="18" s="1"/>
  <c r="T538" i="18" a="1"/>
  <c r="T538" i="18" s="1"/>
  <c r="S538" i="18" a="1"/>
  <c r="S538" i="18" s="1"/>
  <c r="Y537" i="18" a="1"/>
  <c r="Y537" i="18" s="1"/>
  <c r="X537" i="18"/>
  <c r="W537" i="18" a="1"/>
  <c r="W537" i="18" s="1"/>
  <c r="V537" i="18"/>
  <c r="U537" i="18" a="1"/>
  <c r="U537" i="18" s="1"/>
  <c r="T537" i="18" a="1"/>
  <c r="T537" i="18" s="1"/>
  <c r="S537" i="18" a="1"/>
  <c r="S537" i="18" s="1"/>
  <c r="Y536" i="18" a="1"/>
  <c r="Y536" i="18" s="1"/>
  <c r="X536" i="18"/>
  <c r="W536" i="18" a="1"/>
  <c r="W536" i="18" s="1"/>
  <c r="V536" i="18"/>
  <c r="U536" i="18" a="1"/>
  <c r="U536" i="18" s="1"/>
  <c r="T536" i="18" a="1"/>
  <c r="T536" i="18" s="1"/>
  <c r="S536" i="18" a="1"/>
  <c r="S536" i="18" s="1"/>
  <c r="Y535" i="18" a="1"/>
  <c r="Y535" i="18" s="1"/>
  <c r="X535" i="18"/>
  <c r="W535" i="18" a="1"/>
  <c r="W535" i="18" s="1"/>
  <c r="V535" i="18"/>
  <c r="U535" i="18" a="1"/>
  <c r="U535" i="18" s="1"/>
  <c r="T535" i="18" a="1"/>
  <c r="T535" i="18" s="1"/>
  <c r="S535" i="18" a="1"/>
  <c r="S535" i="18" s="1"/>
  <c r="Y534" i="18" a="1"/>
  <c r="Y534" i="18" s="1"/>
  <c r="X534" i="18"/>
  <c r="W534" i="18" a="1"/>
  <c r="W534" i="18" s="1"/>
  <c r="V534" i="18"/>
  <c r="U534" i="18" a="1"/>
  <c r="U534" i="18" s="1"/>
  <c r="T534" i="18" a="1"/>
  <c r="T534" i="18" s="1"/>
  <c r="S534" i="18" a="1"/>
  <c r="S534" i="18" s="1"/>
  <c r="Y533" i="18" a="1"/>
  <c r="Y533" i="18" s="1"/>
  <c r="AA533" i="18" s="1"/>
  <c r="X533" i="18"/>
  <c r="W533" i="18" a="1"/>
  <c r="W533" i="18" s="1"/>
  <c r="V533" i="18"/>
  <c r="U533" i="18" a="1"/>
  <c r="U533" i="18" s="1"/>
  <c r="T533" i="18" a="1"/>
  <c r="T533" i="18" s="1"/>
  <c r="S533" i="18" a="1"/>
  <c r="S533" i="18" s="1"/>
  <c r="Y532" i="18" a="1"/>
  <c r="Y532" i="18" s="1"/>
  <c r="X532" i="18"/>
  <c r="W532" i="18" a="1"/>
  <c r="W532" i="18" s="1"/>
  <c r="V532" i="18"/>
  <c r="U532" i="18" a="1"/>
  <c r="U532" i="18" s="1"/>
  <c r="T532" i="18" a="1"/>
  <c r="T532" i="18" s="1"/>
  <c r="S532" i="18" a="1"/>
  <c r="S532" i="18" s="1"/>
  <c r="Y531" i="18" a="1"/>
  <c r="Y531" i="18" s="1"/>
  <c r="AA531" i="18" s="1"/>
  <c r="X531" i="18"/>
  <c r="W531" i="18" a="1"/>
  <c r="W531" i="18" s="1"/>
  <c r="V531" i="18"/>
  <c r="U531" i="18" a="1"/>
  <c r="U531" i="18" s="1"/>
  <c r="T531" i="18" a="1"/>
  <c r="T531" i="18" s="1"/>
  <c r="S531" i="18" a="1"/>
  <c r="S531" i="18" s="1"/>
  <c r="Y530" i="18" a="1"/>
  <c r="Y530" i="18" s="1"/>
  <c r="X530" i="18"/>
  <c r="W530" i="18" a="1"/>
  <c r="W530" i="18" s="1"/>
  <c r="V530" i="18"/>
  <c r="U530" i="18" a="1"/>
  <c r="U530" i="18" s="1"/>
  <c r="T530" i="18" a="1"/>
  <c r="T530" i="18" s="1"/>
  <c r="S530" i="18" a="1"/>
  <c r="S530" i="18" s="1"/>
  <c r="Y529" i="18" a="1"/>
  <c r="Y529" i="18" s="1"/>
  <c r="X529" i="18"/>
  <c r="W529" i="18" a="1"/>
  <c r="W529" i="18" s="1"/>
  <c r="V529" i="18"/>
  <c r="U529" i="18" a="1"/>
  <c r="U529" i="18" s="1"/>
  <c r="T529" i="18" a="1"/>
  <c r="T529" i="18" s="1"/>
  <c r="S529" i="18" a="1"/>
  <c r="S529" i="18" s="1"/>
  <c r="Y528" i="18" a="1"/>
  <c r="Y528" i="18" s="1"/>
  <c r="X528" i="18"/>
  <c r="W528" i="18" a="1"/>
  <c r="W528" i="18" s="1"/>
  <c r="V528" i="18"/>
  <c r="U528" i="18" a="1"/>
  <c r="U528" i="18" s="1"/>
  <c r="T528" i="18" a="1"/>
  <c r="T528" i="18" s="1"/>
  <c r="S528" i="18" a="1"/>
  <c r="S528" i="18" s="1"/>
  <c r="Y527" i="18" a="1"/>
  <c r="Y527" i="18" s="1"/>
  <c r="X527" i="18"/>
  <c r="W527" i="18" a="1"/>
  <c r="W527" i="18" s="1"/>
  <c r="V527" i="18"/>
  <c r="U527" i="18" a="1"/>
  <c r="U527" i="18" s="1"/>
  <c r="T527" i="18" a="1"/>
  <c r="T527" i="18" s="1"/>
  <c r="S527" i="18" a="1"/>
  <c r="S527" i="18" s="1"/>
  <c r="Y526" i="18" a="1"/>
  <c r="Y526" i="18" s="1"/>
  <c r="X526" i="18"/>
  <c r="W526" i="18" a="1"/>
  <c r="W526" i="18" s="1"/>
  <c r="V526" i="18"/>
  <c r="U526" i="18" a="1"/>
  <c r="U526" i="18" s="1"/>
  <c r="T526" i="18" a="1"/>
  <c r="T526" i="18" s="1"/>
  <c r="S526" i="18" a="1"/>
  <c r="S526" i="18" s="1"/>
  <c r="Y525" i="18" a="1"/>
  <c r="Y525" i="18" s="1"/>
  <c r="X525" i="18"/>
  <c r="W525" i="18" a="1"/>
  <c r="W525" i="18" s="1"/>
  <c r="V525" i="18"/>
  <c r="U525" i="18" a="1"/>
  <c r="U525" i="18" s="1"/>
  <c r="T525" i="18" a="1"/>
  <c r="T525" i="18" s="1"/>
  <c r="S525" i="18" a="1"/>
  <c r="S525" i="18" s="1"/>
  <c r="Y524" i="18" a="1"/>
  <c r="Y524" i="18" s="1"/>
  <c r="X524" i="18"/>
  <c r="W524" i="18" a="1"/>
  <c r="W524" i="18" s="1"/>
  <c r="V524" i="18"/>
  <c r="U524" i="18" a="1"/>
  <c r="U524" i="18" s="1"/>
  <c r="T524" i="18" a="1"/>
  <c r="T524" i="18" s="1"/>
  <c r="S524" i="18" a="1"/>
  <c r="S524" i="18" s="1"/>
  <c r="Y523" i="18" a="1"/>
  <c r="Y523" i="18" s="1"/>
  <c r="X523" i="18"/>
  <c r="W523" i="18" a="1"/>
  <c r="W523" i="18" s="1"/>
  <c r="V523" i="18"/>
  <c r="U523" i="18" a="1"/>
  <c r="U523" i="18" s="1"/>
  <c r="T523" i="18" a="1"/>
  <c r="T523" i="18" s="1"/>
  <c r="S523" i="18" a="1"/>
  <c r="S523" i="18" s="1"/>
  <c r="Y522" i="18" a="1"/>
  <c r="Y522" i="18" s="1"/>
  <c r="X522" i="18"/>
  <c r="W522" i="18" a="1"/>
  <c r="W522" i="18" s="1"/>
  <c r="V522" i="18"/>
  <c r="U522" i="18" a="1"/>
  <c r="U522" i="18" s="1"/>
  <c r="T522" i="18" a="1"/>
  <c r="T522" i="18" s="1"/>
  <c r="S522" i="18" a="1"/>
  <c r="S522" i="18" s="1"/>
  <c r="Y521" i="18" a="1"/>
  <c r="Y521" i="18" s="1"/>
  <c r="X521" i="18"/>
  <c r="W521" i="18" a="1"/>
  <c r="W521" i="18" s="1"/>
  <c r="V521" i="18"/>
  <c r="U521" i="18" a="1"/>
  <c r="U521" i="18" s="1"/>
  <c r="T521" i="18" a="1"/>
  <c r="T521" i="18" s="1"/>
  <c r="S521" i="18" a="1"/>
  <c r="S521" i="18" s="1"/>
  <c r="Y520" i="18" a="1"/>
  <c r="Y520" i="18" s="1"/>
  <c r="X520" i="18"/>
  <c r="W520" i="18" a="1"/>
  <c r="W520" i="18" s="1"/>
  <c r="V520" i="18"/>
  <c r="U520" i="18" a="1"/>
  <c r="U520" i="18" s="1"/>
  <c r="T520" i="18" a="1"/>
  <c r="T520" i="18" s="1"/>
  <c r="S520" i="18" a="1"/>
  <c r="S520" i="18" s="1"/>
  <c r="Y519" i="18" a="1"/>
  <c r="Y519" i="18" s="1"/>
  <c r="X519" i="18"/>
  <c r="W519" i="18" a="1"/>
  <c r="W519" i="18" s="1"/>
  <c r="V519" i="18"/>
  <c r="U519" i="18" a="1"/>
  <c r="U519" i="18" s="1"/>
  <c r="T519" i="18" a="1"/>
  <c r="T519" i="18" s="1"/>
  <c r="S519" i="18" a="1"/>
  <c r="S519" i="18" s="1"/>
  <c r="Y518" i="18" a="1"/>
  <c r="Y518" i="18" s="1"/>
  <c r="X518" i="18"/>
  <c r="W518" i="18" a="1"/>
  <c r="W518" i="18" s="1"/>
  <c r="V518" i="18"/>
  <c r="U518" i="18" a="1"/>
  <c r="U518" i="18" s="1"/>
  <c r="T518" i="18" a="1"/>
  <c r="T518" i="18" s="1"/>
  <c r="S518" i="18" a="1"/>
  <c r="S518" i="18" s="1"/>
  <c r="Y517" i="18" a="1"/>
  <c r="Y517" i="18" s="1"/>
  <c r="X517" i="18"/>
  <c r="W517" i="18" a="1"/>
  <c r="W517" i="18" s="1"/>
  <c r="V517" i="18"/>
  <c r="U517" i="18" a="1"/>
  <c r="U517" i="18" s="1"/>
  <c r="T517" i="18" a="1"/>
  <c r="T517" i="18" s="1"/>
  <c r="S517" i="18" a="1"/>
  <c r="S517" i="18" s="1"/>
  <c r="Y516" i="18" a="1"/>
  <c r="Y516" i="18" s="1"/>
  <c r="X516" i="18"/>
  <c r="W516" i="18" a="1"/>
  <c r="W516" i="18" s="1"/>
  <c r="V516" i="18"/>
  <c r="U516" i="18" a="1"/>
  <c r="U516" i="18" s="1"/>
  <c r="T516" i="18" a="1"/>
  <c r="T516" i="18" s="1"/>
  <c r="S516" i="18" a="1"/>
  <c r="S516" i="18" s="1"/>
  <c r="Y515" i="18" a="1"/>
  <c r="Y515" i="18" s="1"/>
  <c r="X515" i="18"/>
  <c r="W515" i="18" a="1"/>
  <c r="W515" i="18" s="1"/>
  <c r="V515" i="18"/>
  <c r="U515" i="18" a="1"/>
  <c r="U515" i="18" s="1"/>
  <c r="T515" i="18" a="1"/>
  <c r="T515" i="18" s="1"/>
  <c r="S515" i="18" a="1"/>
  <c r="S515" i="18" s="1"/>
  <c r="Y514" i="18" a="1"/>
  <c r="Y514" i="18" s="1"/>
  <c r="AA514" i="18" s="1"/>
  <c r="X514" i="18"/>
  <c r="W514" i="18" a="1"/>
  <c r="W514" i="18" s="1"/>
  <c r="V514" i="18"/>
  <c r="U514" i="18" a="1"/>
  <c r="U514" i="18" s="1"/>
  <c r="T514" i="18" a="1"/>
  <c r="T514" i="18" s="1"/>
  <c r="S514" i="18" a="1"/>
  <c r="S514" i="18" s="1"/>
  <c r="Y513" i="18" a="1"/>
  <c r="Y513" i="18" s="1"/>
  <c r="X513" i="18"/>
  <c r="W513" i="18" a="1"/>
  <c r="W513" i="18" s="1"/>
  <c r="V513" i="18"/>
  <c r="U513" i="18" a="1"/>
  <c r="U513" i="18" s="1"/>
  <c r="T513" i="18" a="1"/>
  <c r="T513" i="18" s="1"/>
  <c r="S513" i="18" a="1"/>
  <c r="S513" i="18" s="1"/>
  <c r="Y512" i="18" a="1"/>
  <c r="Y512" i="18" s="1"/>
  <c r="X512" i="18"/>
  <c r="W512" i="18" a="1"/>
  <c r="W512" i="18" s="1"/>
  <c r="V512" i="18"/>
  <c r="U512" i="18" a="1"/>
  <c r="U512" i="18" s="1"/>
  <c r="T512" i="18" a="1"/>
  <c r="T512" i="18" s="1"/>
  <c r="S512" i="18" a="1"/>
  <c r="S512" i="18" s="1"/>
  <c r="Y511" i="18" a="1"/>
  <c r="Y511" i="18" s="1"/>
  <c r="X511" i="18"/>
  <c r="W511" i="18" a="1"/>
  <c r="W511" i="18" s="1"/>
  <c r="V511" i="18"/>
  <c r="U511" i="18" a="1"/>
  <c r="U511" i="18" s="1"/>
  <c r="T511" i="18" a="1"/>
  <c r="T511" i="18" s="1"/>
  <c r="S511" i="18" a="1"/>
  <c r="S511" i="18" s="1"/>
  <c r="Y510" i="18" a="1"/>
  <c r="Y510" i="18" s="1"/>
  <c r="X510" i="18"/>
  <c r="W510" i="18" a="1"/>
  <c r="W510" i="18" s="1"/>
  <c r="V510" i="18"/>
  <c r="U510" i="18" a="1"/>
  <c r="U510" i="18" s="1"/>
  <c r="T510" i="18" a="1"/>
  <c r="T510" i="18" s="1"/>
  <c r="S510" i="18" a="1"/>
  <c r="S510" i="18" s="1"/>
  <c r="Y509" i="18" a="1"/>
  <c r="Y509" i="18" s="1"/>
  <c r="X509" i="18"/>
  <c r="W509" i="18" a="1"/>
  <c r="W509" i="18" s="1"/>
  <c r="V509" i="18"/>
  <c r="U509" i="18" a="1"/>
  <c r="U509" i="18" s="1"/>
  <c r="T509" i="18" a="1"/>
  <c r="T509" i="18" s="1"/>
  <c r="S509" i="18" a="1"/>
  <c r="S509" i="18" s="1"/>
  <c r="Y508" i="18" a="1"/>
  <c r="Y508" i="18" s="1"/>
  <c r="X508" i="18"/>
  <c r="W508" i="18" a="1"/>
  <c r="W508" i="18" s="1"/>
  <c r="V508" i="18"/>
  <c r="U508" i="18" a="1"/>
  <c r="U508" i="18" s="1"/>
  <c r="T508" i="18" a="1"/>
  <c r="T508" i="18" s="1"/>
  <c r="S508" i="18" a="1"/>
  <c r="S508" i="18" s="1"/>
  <c r="Y507" i="18" a="1"/>
  <c r="Y507" i="18" s="1"/>
  <c r="X507" i="18"/>
  <c r="W507" i="18" a="1"/>
  <c r="W507" i="18" s="1"/>
  <c r="V507" i="18"/>
  <c r="U507" i="18" a="1"/>
  <c r="U507" i="18" s="1"/>
  <c r="T507" i="18" a="1"/>
  <c r="T507" i="18" s="1"/>
  <c r="S507" i="18" a="1"/>
  <c r="S507" i="18" s="1"/>
  <c r="Y506" i="18" a="1"/>
  <c r="Y506" i="18" s="1"/>
  <c r="X506" i="18"/>
  <c r="W506" i="18" a="1"/>
  <c r="W506" i="18" s="1"/>
  <c r="V506" i="18"/>
  <c r="U506" i="18" a="1"/>
  <c r="U506" i="18" s="1"/>
  <c r="T506" i="18" a="1"/>
  <c r="T506" i="18" s="1"/>
  <c r="S506" i="18" a="1"/>
  <c r="S506" i="18" s="1"/>
  <c r="Y505" i="18" a="1"/>
  <c r="Y505" i="18" s="1"/>
  <c r="X505" i="18"/>
  <c r="W505" i="18" a="1"/>
  <c r="W505" i="18" s="1"/>
  <c r="V505" i="18"/>
  <c r="U505" i="18" a="1"/>
  <c r="U505" i="18" s="1"/>
  <c r="T505" i="18" a="1"/>
  <c r="T505" i="18" s="1"/>
  <c r="S505" i="18" a="1"/>
  <c r="S505" i="18" s="1"/>
  <c r="Y504" i="18" a="1"/>
  <c r="Y504" i="18" s="1"/>
  <c r="X504" i="18"/>
  <c r="W504" i="18" a="1"/>
  <c r="W504" i="18" s="1"/>
  <c r="V504" i="18"/>
  <c r="U504" i="18" a="1"/>
  <c r="U504" i="18" s="1"/>
  <c r="T504" i="18" a="1"/>
  <c r="T504" i="18" s="1"/>
  <c r="S504" i="18" a="1"/>
  <c r="S504" i="18" s="1"/>
  <c r="Y503" i="18" a="1"/>
  <c r="Y503" i="18" s="1"/>
  <c r="AA503" i="18" s="1"/>
  <c r="X503" i="18"/>
  <c r="W503" i="18" a="1"/>
  <c r="W503" i="18" s="1"/>
  <c r="V503" i="18"/>
  <c r="U503" i="18" a="1"/>
  <c r="U503" i="18" s="1"/>
  <c r="T503" i="18" a="1"/>
  <c r="T503" i="18" s="1"/>
  <c r="S503" i="18" a="1"/>
  <c r="S503" i="18" s="1"/>
  <c r="Y502" i="18" a="1"/>
  <c r="Y502" i="18" s="1"/>
  <c r="X502" i="18"/>
  <c r="W502" i="18" a="1"/>
  <c r="W502" i="18" s="1"/>
  <c r="V502" i="18"/>
  <c r="U502" i="18" a="1"/>
  <c r="U502" i="18" s="1"/>
  <c r="T502" i="18" a="1"/>
  <c r="T502" i="18" s="1"/>
  <c r="S502" i="18" a="1"/>
  <c r="S502" i="18" s="1"/>
  <c r="Y501" i="18" a="1"/>
  <c r="Y501" i="18" s="1"/>
  <c r="X501" i="18"/>
  <c r="W501" i="18" a="1"/>
  <c r="W501" i="18" s="1"/>
  <c r="V501" i="18"/>
  <c r="U501" i="18" a="1"/>
  <c r="U501" i="18" s="1"/>
  <c r="T501" i="18" a="1"/>
  <c r="T501" i="18" s="1"/>
  <c r="S501" i="18" a="1"/>
  <c r="S501" i="18" s="1"/>
  <c r="Y500" i="18" a="1"/>
  <c r="Y500" i="18" s="1"/>
  <c r="X500" i="18"/>
  <c r="W500" i="18" a="1"/>
  <c r="W500" i="18" s="1"/>
  <c r="V500" i="18"/>
  <c r="U500" i="18" a="1"/>
  <c r="U500" i="18" s="1"/>
  <c r="T500" i="18" a="1"/>
  <c r="T500" i="18" s="1"/>
  <c r="S500" i="18" a="1"/>
  <c r="S500" i="18" s="1"/>
  <c r="Y499" i="18" a="1"/>
  <c r="Y499" i="18" s="1"/>
  <c r="X499" i="18"/>
  <c r="W499" i="18" a="1"/>
  <c r="W499" i="18" s="1"/>
  <c r="V499" i="18"/>
  <c r="U499" i="18" a="1"/>
  <c r="U499" i="18" s="1"/>
  <c r="T499" i="18" a="1"/>
  <c r="T499" i="18" s="1"/>
  <c r="S499" i="18" a="1"/>
  <c r="S499" i="18" s="1"/>
  <c r="Y498" i="18" a="1"/>
  <c r="Y498" i="18" s="1"/>
  <c r="X498" i="18"/>
  <c r="W498" i="18" a="1"/>
  <c r="W498" i="18" s="1"/>
  <c r="V498" i="18"/>
  <c r="U498" i="18" a="1"/>
  <c r="U498" i="18" s="1"/>
  <c r="T498" i="18" a="1"/>
  <c r="T498" i="18" s="1"/>
  <c r="S498" i="18" a="1"/>
  <c r="S498" i="18" s="1"/>
  <c r="Y497" i="18" a="1"/>
  <c r="Y497" i="18" s="1"/>
  <c r="X497" i="18"/>
  <c r="W497" i="18" a="1"/>
  <c r="W497" i="18" s="1"/>
  <c r="V497" i="18"/>
  <c r="U497" i="18" a="1"/>
  <c r="U497" i="18" s="1"/>
  <c r="T497" i="18" a="1"/>
  <c r="T497" i="18" s="1"/>
  <c r="S497" i="18" a="1"/>
  <c r="S497" i="18" s="1"/>
  <c r="Y496" i="18" a="1"/>
  <c r="Y496" i="18" s="1"/>
  <c r="X496" i="18"/>
  <c r="W496" i="18" a="1"/>
  <c r="W496" i="18" s="1"/>
  <c r="V496" i="18"/>
  <c r="U496" i="18" a="1"/>
  <c r="U496" i="18" s="1"/>
  <c r="T496" i="18" a="1"/>
  <c r="T496" i="18" s="1"/>
  <c r="S496" i="18" a="1"/>
  <c r="S496" i="18" s="1"/>
  <c r="Y495" i="18" a="1"/>
  <c r="Y495" i="18" s="1"/>
  <c r="X495" i="18"/>
  <c r="W495" i="18" a="1"/>
  <c r="W495" i="18" s="1"/>
  <c r="V495" i="18"/>
  <c r="U495" i="18" a="1"/>
  <c r="U495" i="18" s="1"/>
  <c r="T495" i="18" a="1"/>
  <c r="T495" i="18" s="1"/>
  <c r="S495" i="18" a="1"/>
  <c r="S495" i="18" s="1"/>
  <c r="Y494" i="18" a="1"/>
  <c r="Y494" i="18" s="1"/>
  <c r="X494" i="18"/>
  <c r="W494" i="18" a="1"/>
  <c r="W494" i="18" s="1"/>
  <c r="V494" i="18"/>
  <c r="U494" i="18" a="1"/>
  <c r="U494" i="18" s="1"/>
  <c r="T494" i="18" a="1"/>
  <c r="T494" i="18" s="1"/>
  <c r="S494" i="18" a="1"/>
  <c r="S494" i="18" s="1"/>
  <c r="Y493" i="18" a="1"/>
  <c r="Y493" i="18" s="1"/>
  <c r="X493" i="18"/>
  <c r="W493" i="18" a="1"/>
  <c r="W493" i="18" s="1"/>
  <c r="V493" i="18"/>
  <c r="U493" i="18" a="1"/>
  <c r="U493" i="18" s="1"/>
  <c r="T493" i="18" a="1"/>
  <c r="T493" i="18" s="1"/>
  <c r="S493" i="18" a="1"/>
  <c r="S493" i="18" s="1"/>
  <c r="Y492" i="18" a="1"/>
  <c r="Y492" i="18" s="1"/>
  <c r="X492" i="18"/>
  <c r="W492" i="18" a="1"/>
  <c r="W492" i="18" s="1"/>
  <c r="V492" i="18"/>
  <c r="U492" i="18" a="1"/>
  <c r="U492" i="18" s="1"/>
  <c r="T492" i="18" a="1"/>
  <c r="T492" i="18" s="1"/>
  <c r="S492" i="18" a="1"/>
  <c r="S492" i="18" s="1"/>
  <c r="Y491" i="18" a="1"/>
  <c r="Y491" i="18" s="1"/>
  <c r="X491" i="18"/>
  <c r="W491" i="18" a="1"/>
  <c r="W491" i="18" s="1"/>
  <c r="V491" i="18"/>
  <c r="U491" i="18" a="1"/>
  <c r="U491" i="18" s="1"/>
  <c r="T491" i="18" a="1"/>
  <c r="T491" i="18" s="1"/>
  <c r="S491" i="18" a="1"/>
  <c r="S491" i="18" s="1"/>
  <c r="Y490" i="18" a="1"/>
  <c r="Y490" i="18" s="1"/>
  <c r="X490" i="18"/>
  <c r="W490" i="18" a="1"/>
  <c r="W490" i="18" s="1"/>
  <c r="V490" i="18"/>
  <c r="U490" i="18" a="1"/>
  <c r="U490" i="18" s="1"/>
  <c r="T490" i="18" a="1"/>
  <c r="T490" i="18" s="1"/>
  <c r="S490" i="18" a="1"/>
  <c r="S490" i="18" s="1"/>
  <c r="Y489" i="18" a="1"/>
  <c r="Y489" i="18" s="1"/>
  <c r="X489" i="18"/>
  <c r="W489" i="18" a="1"/>
  <c r="W489" i="18" s="1"/>
  <c r="V489" i="18"/>
  <c r="U489" i="18" a="1"/>
  <c r="U489" i="18" s="1"/>
  <c r="T489" i="18" a="1"/>
  <c r="T489" i="18" s="1"/>
  <c r="S489" i="18" a="1"/>
  <c r="S489" i="18" s="1"/>
  <c r="Y488" i="18" a="1"/>
  <c r="Y488" i="18" s="1"/>
  <c r="X488" i="18"/>
  <c r="W488" i="18" a="1"/>
  <c r="W488" i="18" s="1"/>
  <c r="V488" i="18"/>
  <c r="U488" i="18" a="1"/>
  <c r="U488" i="18" s="1"/>
  <c r="T488" i="18" a="1"/>
  <c r="T488" i="18" s="1"/>
  <c r="S488" i="18" a="1"/>
  <c r="S488" i="18" s="1"/>
  <c r="Y487" i="18" a="1"/>
  <c r="Y487" i="18" s="1"/>
  <c r="X487" i="18"/>
  <c r="W487" i="18" a="1"/>
  <c r="W487" i="18" s="1"/>
  <c r="V487" i="18"/>
  <c r="U487" i="18" a="1"/>
  <c r="U487" i="18" s="1"/>
  <c r="T487" i="18" a="1"/>
  <c r="T487" i="18" s="1"/>
  <c r="S487" i="18" a="1"/>
  <c r="S487" i="18" s="1"/>
  <c r="Y486" i="18" a="1"/>
  <c r="Y486" i="18" s="1"/>
  <c r="X486" i="18"/>
  <c r="W486" i="18" a="1"/>
  <c r="W486" i="18" s="1"/>
  <c r="V486" i="18"/>
  <c r="U486" i="18" a="1"/>
  <c r="U486" i="18" s="1"/>
  <c r="T486" i="18" a="1"/>
  <c r="T486" i="18" s="1"/>
  <c r="S486" i="18" a="1"/>
  <c r="S486" i="18" s="1"/>
  <c r="Y485" i="18" a="1"/>
  <c r="Y485" i="18" s="1"/>
  <c r="X485" i="18"/>
  <c r="W485" i="18" a="1"/>
  <c r="W485" i="18" s="1"/>
  <c r="V485" i="18"/>
  <c r="U485" i="18" a="1"/>
  <c r="U485" i="18" s="1"/>
  <c r="T485" i="18" a="1"/>
  <c r="T485" i="18" s="1"/>
  <c r="S485" i="18" a="1"/>
  <c r="S485" i="18" s="1"/>
  <c r="Y484" i="18" a="1"/>
  <c r="Y484" i="18" s="1"/>
  <c r="X484" i="18"/>
  <c r="W484" i="18" a="1"/>
  <c r="W484" i="18" s="1"/>
  <c r="V484" i="18"/>
  <c r="U484" i="18" a="1"/>
  <c r="U484" i="18" s="1"/>
  <c r="T484" i="18" a="1"/>
  <c r="T484" i="18" s="1"/>
  <c r="S484" i="18" a="1"/>
  <c r="S484" i="18" s="1"/>
  <c r="Y483" i="18" a="1"/>
  <c r="Y483" i="18" s="1"/>
  <c r="X483" i="18"/>
  <c r="W483" i="18" a="1"/>
  <c r="W483" i="18" s="1"/>
  <c r="V483" i="18"/>
  <c r="U483" i="18" a="1"/>
  <c r="U483" i="18" s="1"/>
  <c r="T483" i="18" a="1"/>
  <c r="T483" i="18" s="1"/>
  <c r="S483" i="18" a="1"/>
  <c r="S483" i="18" s="1"/>
  <c r="Y482" i="18" a="1"/>
  <c r="Y482" i="18" s="1"/>
  <c r="X482" i="18"/>
  <c r="W482" i="18" a="1"/>
  <c r="W482" i="18" s="1"/>
  <c r="V482" i="18"/>
  <c r="U482" i="18" a="1"/>
  <c r="U482" i="18" s="1"/>
  <c r="T482" i="18" a="1"/>
  <c r="T482" i="18" s="1"/>
  <c r="S482" i="18" a="1"/>
  <c r="S482" i="18" s="1"/>
  <c r="Y481" i="18" a="1"/>
  <c r="Y481" i="18" s="1"/>
  <c r="X481" i="18"/>
  <c r="W481" i="18" a="1"/>
  <c r="W481" i="18" s="1"/>
  <c r="V481" i="18"/>
  <c r="U481" i="18" a="1"/>
  <c r="U481" i="18" s="1"/>
  <c r="T481" i="18" a="1"/>
  <c r="T481" i="18" s="1"/>
  <c r="S481" i="18" a="1"/>
  <c r="S481" i="18" s="1"/>
  <c r="Y480" i="18" a="1"/>
  <c r="Y480" i="18" s="1"/>
  <c r="X480" i="18"/>
  <c r="W480" i="18" a="1"/>
  <c r="W480" i="18" s="1"/>
  <c r="V480" i="18"/>
  <c r="U480" i="18" a="1"/>
  <c r="U480" i="18" s="1"/>
  <c r="T480" i="18" a="1"/>
  <c r="T480" i="18" s="1"/>
  <c r="S480" i="18" a="1"/>
  <c r="S480" i="18" s="1"/>
  <c r="Y479" i="18" a="1"/>
  <c r="Y479" i="18" s="1"/>
  <c r="X479" i="18"/>
  <c r="W479" i="18" a="1"/>
  <c r="W479" i="18" s="1"/>
  <c r="V479" i="18"/>
  <c r="U479" i="18" a="1"/>
  <c r="U479" i="18" s="1"/>
  <c r="T479" i="18" a="1"/>
  <c r="T479" i="18" s="1"/>
  <c r="S479" i="18" a="1"/>
  <c r="S479" i="18" s="1"/>
  <c r="Y478" i="18" a="1"/>
  <c r="Y478" i="18" s="1"/>
  <c r="AA478" i="18" s="1"/>
  <c r="X478" i="18"/>
  <c r="W478" i="18" a="1"/>
  <c r="W478" i="18" s="1"/>
  <c r="V478" i="18"/>
  <c r="U478" i="18" a="1"/>
  <c r="U478" i="18" s="1"/>
  <c r="T478" i="18" a="1"/>
  <c r="T478" i="18" s="1"/>
  <c r="S478" i="18" a="1"/>
  <c r="S478" i="18" s="1"/>
  <c r="Y477" i="18" a="1"/>
  <c r="Y477" i="18" s="1"/>
  <c r="AA477" i="18" s="1"/>
  <c r="X477" i="18"/>
  <c r="W477" i="18" a="1"/>
  <c r="W477" i="18" s="1"/>
  <c r="V477" i="18"/>
  <c r="U477" i="18" a="1"/>
  <c r="U477" i="18" s="1"/>
  <c r="T477" i="18" a="1"/>
  <c r="T477" i="18" s="1"/>
  <c r="S477" i="18" a="1"/>
  <c r="S477" i="18" s="1"/>
  <c r="Y476" i="18" a="1"/>
  <c r="Y476" i="18" s="1"/>
  <c r="AA476" i="18" s="1"/>
  <c r="X476" i="18"/>
  <c r="W476" i="18" a="1"/>
  <c r="W476" i="18" s="1"/>
  <c r="V476" i="18"/>
  <c r="U476" i="18" a="1"/>
  <c r="U476" i="18" s="1"/>
  <c r="T476" i="18" a="1"/>
  <c r="T476" i="18" s="1"/>
  <c r="S476" i="18" a="1"/>
  <c r="S476" i="18" s="1"/>
  <c r="Y475" i="18" a="1"/>
  <c r="Y475" i="18" s="1"/>
  <c r="X475" i="18"/>
  <c r="W475" i="18" a="1"/>
  <c r="W475" i="18" s="1"/>
  <c r="V475" i="18"/>
  <c r="U475" i="18" a="1"/>
  <c r="U475" i="18" s="1"/>
  <c r="T475" i="18" a="1"/>
  <c r="T475" i="18" s="1"/>
  <c r="S475" i="18" a="1"/>
  <c r="S475" i="18" s="1"/>
  <c r="Y474" i="18" a="1"/>
  <c r="Y474" i="18" s="1"/>
  <c r="X474" i="18"/>
  <c r="W474" i="18" a="1"/>
  <c r="W474" i="18" s="1"/>
  <c r="V474" i="18"/>
  <c r="U474" i="18" a="1"/>
  <c r="U474" i="18" s="1"/>
  <c r="T474" i="18" a="1"/>
  <c r="T474" i="18" s="1"/>
  <c r="S474" i="18" a="1"/>
  <c r="S474" i="18" s="1"/>
  <c r="Y473" i="18" a="1"/>
  <c r="Y473" i="18" s="1"/>
  <c r="X473" i="18"/>
  <c r="W473" i="18" a="1"/>
  <c r="W473" i="18" s="1"/>
  <c r="V473" i="18"/>
  <c r="U473" i="18" a="1"/>
  <c r="U473" i="18" s="1"/>
  <c r="T473" i="18" a="1"/>
  <c r="T473" i="18" s="1"/>
  <c r="S473" i="18" a="1"/>
  <c r="S473" i="18" s="1"/>
  <c r="Y472" i="18" a="1"/>
  <c r="Y472" i="18" s="1"/>
  <c r="X472" i="18"/>
  <c r="W472" i="18" a="1"/>
  <c r="W472" i="18" s="1"/>
  <c r="V472" i="18"/>
  <c r="U472" i="18" a="1"/>
  <c r="U472" i="18" s="1"/>
  <c r="T472" i="18" a="1"/>
  <c r="T472" i="18" s="1"/>
  <c r="S472" i="18" a="1"/>
  <c r="S472" i="18" s="1"/>
  <c r="Y471" i="18" a="1"/>
  <c r="Y471" i="18" s="1"/>
  <c r="X471" i="18"/>
  <c r="W471" i="18" a="1"/>
  <c r="W471" i="18" s="1"/>
  <c r="V471" i="18"/>
  <c r="U471" i="18" a="1"/>
  <c r="U471" i="18" s="1"/>
  <c r="T471" i="18" a="1"/>
  <c r="T471" i="18" s="1"/>
  <c r="S471" i="18" a="1"/>
  <c r="S471" i="18" s="1"/>
  <c r="Y470" i="18" a="1"/>
  <c r="Y470" i="18" s="1"/>
  <c r="X470" i="18"/>
  <c r="W470" i="18" a="1"/>
  <c r="W470" i="18" s="1"/>
  <c r="V470" i="18"/>
  <c r="U470" i="18" a="1"/>
  <c r="U470" i="18" s="1"/>
  <c r="T470" i="18" a="1"/>
  <c r="T470" i="18" s="1"/>
  <c r="S470" i="18" a="1"/>
  <c r="S470" i="18" s="1"/>
  <c r="Y469" i="18" a="1"/>
  <c r="Y469" i="18" s="1"/>
  <c r="X469" i="18"/>
  <c r="W469" i="18" a="1"/>
  <c r="W469" i="18" s="1"/>
  <c r="V469" i="18"/>
  <c r="U469" i="18" a="1"/>
  <c r="U469" i="18" s="1"/>
  <c r="T469" i="18" a="1"/>
  <c r="T469" i="18" s="1"/>
  <c r="S469" i="18" a="1"/>
  <c r="S469" i="18" s="1"/>
  <c r="Y468" i="18" a="1"/>
  <c r="Y468" i="18" s="1"/>
  <c r="X468" i="18"/>
  <c r="W468" i="18" a="1"/>
  <c r="W468" i="18" s="1"/>
  <c r="V468" i="18"/>
  <c r="U468" i="18" a="1"/>
  <c r="U468" i="18" s="1"/>
  <c r="T468" i="18" a="1"/>
  <c r="T468" i="18" s="1"/>
  <c r="S468" i="18" a="1"/>
  <c r="S468" i="18" s="1"/>
  <c r="Y467" i="18" a="1"/>
  <c r="Y467" i="18" s="1"/>
  <c r="X467" i="18"/>
  <c r="W467" i="18" a="1"/>
  <c r="W467" i="18" s="1"/>
  <c r="V467" i="18"/>
  <c r="U467" i="18" a="1"/>
  <c r="U467" i="18" s="1"/>
  <c r="T467" i="18" a="1"/>
  <c r="T467" i="18" s="1"/>
  <c r="S467" i="18" a="1"/>
  <c r="S467" i="18" s="1"/>
  <c r="Y466" i="18" a="1"/>
  <c r="Y466" i="18" s="1"/>
  <c r="AA466" i="18" s="1"/>
  <c r="X466" i="18"/>
  <c r="W466" i="18" a="1"/>
  <c r="W466" i="18" s="1"/>
  <c r="V466" i="18"/>
  <c r="U466" i="18" a="1"/>
  <c r="U466" i="18" s="1"/>
  <c r="T466" i="18" a="1"/>
  <c r="T466" i="18" s="1"/>
  <c r="S466" i="18" a="1"/>
  <c r="S466" i="18" s="1"/>
  <c r="Y465" i="18" a="1"/>
  <c r="Y465" i="18" s="1"/>
  <c r="AA465" i="18" s="1"/>
  <c r="X465" i="18"/>
  <c r="W465" i="18" a="1"/>
  <c r="W465" i="18" s="1"/>
  <c r="V465" i="18"/>
  <c r="U465" i="18" a="1"/>
  <c r="U465" i="18" s="1"/>
  <c r="T465" i="18" a="1"/>
  <c r="T465" i="18" s="1"/>
  <c r="S465" i="18" a="1"/>
  <c r="S465" i="18" s="1"/>
  <c r="Y464" i="18" a="1"/>
  <c r="Y464" i="18" s="1"/>
  <c r="AA464" i="18" s="1"/>
  <c r="X464" i="18"/>
  <c r="W464" i="18" a="1"/>
  <c r="W464" i="18" s="1"/>
  <c r="V464" i="18"/>
  <c r="U464" i="18" a="1"/>
  <c r="U464" i="18" s="1"/>
  <c r="T464" i="18" a="1"/>
  <c r="T464" i="18" s="1"/>
  <c r="S464" i="18" a="1"/>
  <c r="S464" i="18" s="1"/>
  <c r="Y463" i="18" a="1"/>
  <c r="Y463" i="18" s="1"/>
  <c r="AA463" i="18" s="1"/>
  <c r="X463" i="18"/>
  <c r="W463" i="18" a="1"/>
  <c r="W463" i="18" s="1"/>
  <c r="V463" i="18"/>
  <c r="U463" i="18" a="1"/>
  <c r="U463" i="18" s="1"/>
  <c r="T463" i="18" a="1"/>
  <c r="T463" i="18" s="1"/>
  <c r="S463" i="18" a="1"/>
  <c r="S463" i="18" s="1"/>
  <c r="Y462" i="18" a="1"/>
  <c r="Y462" i="18" s="1"/>
  <c r="X462" i="18"/>
  <c r="W462" i="18" a="1"/>
  <c r="W462" i="18" s="1"/>
  <c r="V462" i="18"/>
  <c r="U462" i="18" a="1"/>
  <c r="U462" i="18" s="1"/>
  <c r="T462" i="18" a="1"/>
  <c r="T462" i="18" s="1"/>
  <c r="S462" i="18" a="1"/>
  <c r="S462" i="18" s="1"/>
  <c r="Y461" i="18" a="1"/>
  <c r="Y461" i="18" s="1"/>
  <c r="X461" i="18"/>
  <c r="W461" i="18" a="1"/>
  <c r="W461" i="18" s="1"/>
  <c r="V461" i="18"/>
  <c r="U461" i="18" a="1"/>
  <c r="U461" i="18" s="1"/>
  <c r="T461" i="18" a="1"/>
  <c r="T461" i="18" s="1"/>
  <c r="S461" i="18" a="1"/>
  <c r="S461" i="18" s="1"/>
  <c r="Y460" i="18" a="1"/>
  <c r="Y460" i="18" s="1"/>
  <c r="AA460" i="18" s="1"/>
  <c r="X460" i="18"/>
  <c r="W460" i="18" a="1"/>
  <c r="W460" i="18" s="1"/>
  <c r="V460" i="18"/>
  <c r="U460" i="18" a="1"/>
  <c r="U460" i="18" s="1"/>
  <c r="T460" i="18" a="1"/>
  <c r="T460" i="18" s="1"/>
  <c r="S460" i="18" a="1"/>
  <c r="S460" i="18" s="1"/>
  <c r="Y459" i="18" a="1"/>
  <c r="Y459" i="18" s="1"/>
  <c r="AA459" i="18" s="1"/>
  <c r="X459" i="18"/>
  <c r="W459" i="18" a="1"/>
  <c r="W459" i="18" s="1"/>
  <c r="V459" i="18"/>
  <c r="U459" i="18" a="1"/>
  <c r="U459" i="18" s="1"/>
  <c r="T459" i="18" a="1"/>
  <c r="T459" i="18" s="1"/>
  <c r="S459" i="18" a="1"/>
  <c r="S459" i="18" s="1"/>
  <c r="Y458" i="18" a="1"/>
  <c r="Y458" i="18" s="1"/>
  <c r="AA458" i="18" s="1"/>
  <c r="X458" i="18"/>
  <c r="W458" i="18" a="1"/>
  <c r="W458" i="18" s="1"/>
  <c r="V458" i="18"/>
  <c r="U458" i="18" a="1"/>
  <c r="U458" i="18" s="1"/>
  <c r="T458" i="18" a="1"/>
  <c r="T458" i="18" s="1"/>
  <c r="S458" i="18" a="1"/>
  <c r="S458" i="18" s="1"/>
  <c r="Y457" i="18" a="1"/>
  <c r="Y457" i="18" s="1"/>
  <c r="X457" i="18"/>
  <c r="W457" i="18" a="1"/>
  <c r="W457" i="18" s="1"/>
  <c r="V457" i="18"/>
  <c r="U457" i="18" a="1"/>
  <c r="U457" i="18" s="1"/>
  <c r="T457" i="18" a="1"/>
  <c r="T457" i="18" s="1"/>
  <c r="S457" i="18" a="1"/>
  <c r="S457" i="18" s="1"/>
  <c r="Y456" i="18" a="1"/>
  <c r="Y456" i="18" s="1"/>
  <c r="X456" i="18"/>
  <c r="W456" i="18" a="1"/>
  <c r="W456" i="18" s="1"/>
  <c r="V456" i="18"/>
  <c r="U456" i="18" a="1"/>
  <c r="U456" i="18" s="1"/>
  <c r="T456" i="18" a="1"/>
  <c r="T456" i="18" s="1"/>
  <c r="S456" i="18" a="1"/>
  <c r="S456" i="18" s="1"/>
  <c r="Y455" i="18" a="1"/>
  <c r="Y455" i="18" s="1"/>
  <c r="X455" i="18"/>
  <c r="W455" i="18" a="1"/>
  <c r="W455" i="18" s="1"/>
  <c r="V455" i="18"/>
  <c r="U455" i="18" a="1"/>
  <c r="U455" i="18" s="1"/>
  <c r="T455" i="18" a="1"/>
  <c r="T455" i="18" s="1"/>
  <c r="S455" i="18" a="1"/>
  <c r="S455" i="18" s="1"/>
  <c r="Y454" i="18" a="1"/>
  <c r="Y454" i="18" s="1"/>
  <c r="X454" i="18"/>
  <c r="W454" i="18" a="1"/>
  <c r="W454" i="18" s="1"/>
  <c r="V454" i="18"/>
  <c r="U454" i="18" a="1"/>
  <c r="U454" i="18" s="1"/>
  <c r="T454" i="18" a="1"/>
  <c r="T454" i="18" s="1"/>
  <c r="S454" i="18" a="1"/>
  <c r="S454" i="18" s="1"/>
  <c r="Y453" i="18" a="1"/>
  <c r="Y453" i="18" s="1"/>
  <c r="X453" i="18"/>
  <c r="W453" i="18" a="1"/>
  <c r="W453" i="18" s="1"/>
  <c r="V453" i="18"/>
  <c r="U453" i="18" a="1"/>
  <c r="U453" i="18" s="1"/>
  <c r="T453" i="18" a="1"/>
  <c r="T453" i="18" s="1"/>
  <c r="S453" i="18" a="1"/>
  <c r="S453" i="18" s="1"/>
  <c r="Y452" i="18" a="1"/>
  <c r="Y452" i="18" s="1"/>
  <c r="AA452" i="18" s="1"/>
  <c r="X452" i="18"/>
  <c r="W452" i="18" a="1"/>
  <c r="W452" i="18" s="1"/>
  <c r="V452" i="18"/>
  <c r="U452" i="18" a="1"/>
  <c r="U452" i="18" s="1"/>
  <c r="T452" i="18" a="1"/>
  <c r="T452" i="18" s="1"/>
  <c r="S452" i="18" a="1"/>
  <c r="S452" i="18" s="1"/>
  <c r="Y451" i="18" a="1"/>
  <c r="Y451" i="18" s="1"/>
  <c r="AA451" i="18" s="1"/>
  <c r="X451" i="18"/>
  <c r="W451" i="18" a="1"/>
  <c r="W451" i="18" s="1"/>
  <c r="V451" i="18"/>
  <c r="U451" i="18" a="1"/>
  <c r="U451" i="18" s="1"/>
  <c r="T451" i="18" a="1"/>
  <c r="T451" i="18" s="1"/>
  <c r="S451" i="18" a="1"/>
  <c r="S451" i="18" s="1"/>
  <c r="Y450" i="18" a="1"/>
  <c r="Y450" i="18" s="1"/>
  <c r="AA450" i="18" s="1"/>
  <c r="X450" i="18"/>
  <c r="W450" i="18" a="1"/>
  <c r="W450" i="18" s="1"/>
  <c r="V450" i="18"/>
  <c r="U450" i="18" a="1"/>
  <c r="U450" i="18" s="1"/>
  <c r="T450" i="18" a="1"/>
  <c r="T450" i="18" s="1"/>
  <c r="S450" i="18" a="1"/>
  <c r="S450" i="18" s="1"/>
  <c r="Y449" i="18" a="1"/>
  <c r="Y449" i="18" s="1"/>
  <c r="X449" i="18"/>
  <c r="W449" i="18" a="1"/>
  <c r="W449" i="18" s="1"/>
  <c r="V449" i="18"/>
  <c r="U449" i="18" a="1"/>
  <c r="U449" i="18" s="1"/>
  <c r="T449" i="18" a="1"/>
  <c r="T449" i="18" s="1"/>
  <c r="S449" i="18" a="1"/>
  <c r="S449" i="18" s="1"/>
  <c r="Y448" i="18" a="1"/>
  <c r="Y448" i="18" s="1"/>
  <c r="X448" i="18"/>
  <c r="W448" i="18" a="1"/>
  <c r="W448" i="18" s="1"/>
  <c r="V448" i="18"/>
  <c r="U448" i="18" a="1"/>
  <c r="U448" i="18" s="1"/>
  <c r="T448" i="18" a="1"/>
  <c r="T448" i="18" s="1"/>
  <c r="S448" i="18" a="1"/>
  <c r="S448" i="18" s="1"/>
  <c r="Y447" i="18" a="1"/>
  <c r="Y447" i="18" s="1"/>
  <c r="AA447" i="18" s="1"/>
  <c r="X447" i="18"/>
  <c r="W447" i="18" a="1"/>
  <c r="W447" i="18" s="1"/>
  <c r="V447" i="18"/>
  <c r="U447" i="18" a="1"/>
  <c r="U447" i="18" s="1"/>
  <c r="T447" i="18" a="1"/>
  <c r="T447" i="18" s="1"/>
  <c r="S447" i="18" a="1"/>
  <c r="S447" i="18" s="1"/>
  <c r="Y446" i="18" a="1"/>
  <c r="Y446" i="18" s="1"/>
  <c r="X446" i="18"/>
  <c r="W446" i="18" a="1"/>
  <c r="W446" i="18" s="1"/>
  <c r="V446" i="18"/>
  <c r="U446" i="18" a="1"/>
  <c r="U446" i="18" s="1"/>
  <c r="T446" i="18" a="1"/>
  <c r="T446" i="18" s="1"/>
  <c r="S446" i="18" a="1"/>
  <c r="S446" i="18" s="1"/>
  <c r="Y445" i="18" a="1"/>
  <c r="Y445" i="18" s="1"/>
  <c r="X445" i="18"/>
  <c r="W445" i="18" a="1"/>
  <c r="W445" i="18" s="1"/>
  <c r="V445" i="18"/>
  <c r="U445" i="18" a="1"/>
  <c r="U445" i="18" s="1"/>
  <c r="T445" i="18" a="1"/>
  <c r="T445" i="18" s="1"/>
  <c r="S445" i="18" a="1"/>
  <c r="S445" i="18" s="1"/>
  <c r="Y444" i="18" a="1"/>
  <c r="Y444" i="18" s="1"/>
  <c r="AA444" i="18" s="1"/>
  <c r="X444" i="18"/>
  <c r="W444" i="18" a="1"/>
  <c r="W444" i="18" s="1"/>
  <c r="V444" i="18"/>
  <c r="U444" i="18" a="1"/>
  <c r="U444" i="18" s="1"/>
  <c r="T444" i="18" a="1"/>
  <c r="T444" i="18" s="1"/>
  <c r="S444" i="18" a="1"/>
  <c r="S444" i="18" s="1"/>
  <c r="Y443" i="18" a="1"/>
  <c r="Y443" i="18" s="1"/>
  <c r="AA443" i="18" s="1"/>
  <c r="X443" i="18"/>
  <c r="W443" i="18" a="1"/>
  <c r="W443" i="18" s="1"/>
  <c r="V443" i="18"/>
  <c r="U443" i="18" a="1"/>
  <c r="U443" i="18" s="1"/>
  <c r="T443" i="18" a="1"/>
  <c r="T443" i="18" s="1"/>
  <c r="S443" i="18" a="1"/>
  <c r="S443" i="18" s="1"/>
  <c r="Y442" i="18" a="1"/>
  <c r="Y442" i="18" s="1"/>
  <c r="AA442" i="18" s="1"/>
  <c r="X442" i="18"/>
  <c r="W442" i="18" a="1"/>
  <c r="W442" i="18" s="1"/>
  <c r="V442" i="18"/>
  <c r="U442" i="18" a="1"/>
  <c r="U442" i="18" s="1"/>
  <c r="T442" i="18" a="1"/>
  <c r="T442" i="18" s="1"/>
  <c r="S442" i="18" a="1"/>
  <c r="S442" i="18" s="1"/>
  <c r="Y441" i="18" a="1"/>
  <c r="Y441" i="18" s="1"/>
  <c r="X441" i="18"/>
  <c r="W441" i="18" a="1"/>
  <c r="W441" i="18" s="1"/>
  <c r="V441" i="18"/>
  <c r="U441" i="18" a="1"/>
  <c r="U441" i="18" s="1"/>
  <c r="T441" i="18" a="1"/>
  <c r="T441" i="18" s="1"/>
  <c r="S441" i="18" a="1"/>
  <c r="S441" i="18" s="1"/>
  <c r="Y440" i="18" a="1"/>
  <c r="Y440" i="18" s="1"/>
  <c r="X440" i="18"/>
  <c r="W440" i="18" a="1"/>
  <c r="W440" i="18" s="1"/>
  <c r="V440" i="18"/>
  <c r="U440" i="18" a="1"/>
  <c r="U440" i="18" s="1"/>
  <c r="T440" i="18" a="1"/>
  <c r="T440" i="18" s="1"/>
  <c r="S440" i="18" a="1"/>
  <c r="S440" i="18" s="1"/>
  <c r="Y439" i="18" a="1"/>
  <c r="Y439" i="18" s="1"/>
  <c r="X439" i="18"/>
  <c r="W439" i="18" a="1"/>
  <c r="W439" i="18" s="1"/>
  <c r="V439" i="18"/>
  <c r="U439" i="18" a="1"/>
  <c r="U439" i="18" s="1"/>
  <c r="T439" i="18" a="1"/>
  <c r="T439" i="18" s="1"/>
  <c r="S439" i="18" a="1"/>
  <c r="S439" i="18" s="1"/>
  <c r="Y438" i="18" a="1"/>
  <c r="Y438" i="18" s="1"/>
  <c r="X438" i="18"/>
  <c r="W438" i="18" a="1"/>
  <c r="W438" i="18" s="1"/>
  <c r="V438" i="18"/>
  <c r="U438" i="18" a="1"/>
  <c r="U438" i="18" s="1"/>
  <c r="T438" i="18" a="1"/>
  <c r="T438" i="18" s="1"/>
  <c r="S438" i="18" a="1"/>
  <c r="S438" i="18" s="1"/>
  <c r="Y437" i="18" a="1"/>
  <c r="Y437" i="18" s="1"/>
  <c r="X437" i="18"/>
  <c r="W437" i="18" a="1"/>
  <c r="W437" i="18" s="1"/>
  <c r="V437" i="18"/>
  <c r="U437" i="18" a="1"/>
  <c r="U437" i="18" s="1"/>
  <c r="T437" i="18" a="1"/>
  <c r="T437" i="18" s="1"/>
  <c r="S437" i="18" a="1"/>
  <c r="S437" i="18" s="1"/>
  <c r="Y436" i="18" a="1"/>
  <c r="Y436" i="18" s="1"/>
  <c r="X436" i="18"/>
  <c r="W436" i="18" a="1"/>
  <c r="W436" i="18" s="1"/>
  <c r="V436" i="18"/>
  <c r="U436" i="18" a="1"/>
  <c r="U436" i="18" s="1"/>
  <c r="T436" i="18" a="1"/>
  <c r="T436" i="18" s="1"/>
  <c r="S436" i="18" a="1"/>
  <c r="S436" i="18" s="1"/>
  <c r="Y435" i="18" a="1"/>
  <c r="Y435" i="18" s="1"/>
  <c r="X435" i="18"/>
  <c r="W435" i="18" a="1"/>
  <c r="W435" i="18" s="1"/>
  <c r="V435" i="18"/>
  <c r="U435" i="18" a="1"/>
  <c r="U435" i="18" s="1"/>
  <c r="T435" i="18" a="1"/>
  <c r="T435" i="18" s="1"/>
  <c r="S435" i="18" a="1"/>
  <c r="S435" i="18" s="1"/>
  <c r="Y434" i="18" a="1"/>
  <c r="Y434" i="18" s="1"/>
  <c r="X434" i="18"/>
  <c r="W434" i="18" a="1"/>
  <c r="W434" i="18" s="1"/>
  <c r="V434" i="18"/>
  <c r="U434" i="18" a="1"/>
  <c r="U434" i="18" s="1"/>
  <c r="T434" i="18" a="1"/>
  <c r="T434" i="18" s="1"/>
  <c r="S434" i="18" a="1"/>
  <c r="S434" i="18" s="1"/>
  <c r="Y433" i="18" a="1"/>
  <c r="Y433" i="18" s="1"/>
  <c r="X433" i="18"/>
  <c r="W433" i="18" a="1"/>
  <c r="W433" i="18" s="1"/>
  <c r="V433" i="18"/>
  <c r="U433" i="18" a="1"/>
  <c r="U433" i="18" s="1"/>
  <c r="T433" i="18" a="1"/>
  <c r="T433" i="18" s="1"/>
  <c r="S433" i="18" a="1"/>
  <c r="S433" i="18" s="1"/>
  <c r="Y432" i="18" a="1"/>
  <c r="Y432" i="18" s="1"/>
  <c r="X432" i="18"/>
  <c r="W432" i="18" a="1"/>
  <c r="W432" i="18" s="1"/>
  <c r="V432" i="18"/>
  <c r="U432" i="18" a="1"/>
  <c r="U432" i="18" s="1"/>
  <c r="T432" i="18" a="1"/>
  <c r="T432" i="18" s="1"/>
  <c r="S432" i="18" a="1"/>
  <c r="S432" i="18" s="1"/>
  <c r="Y431" i="18" a="1"/>
  <c r="Y431" i="18" s="1"/>
  <c r="X431" i="18"/>
  <c r="W431" i="18" a="1"/>
  <c r="W431" i="18" s="1"/>
  <c r="V431" i="18"/>
  <c r="U431" i="18" a="1"/>
  <c r="U431" i="18" s="1"/>
  <c r="T431" i="18" a="1"/>
  <c r="T431" i="18" s="1"/>
  <c r="S431" i="18" a="1"/>
  <c r="S431" i="18" s="1"/>
  <c r="Y430" i="18" a="1"/>
  <c r="Y430" i="18" s="1"/>
  <c r="X430" i="18"/>
  <c r="W430" i="18" a="1"/>
  <c r="W430" i="18" s="1"/>
  <c r="V430" i="18"/>
  <c r="U430" i="18" a="1"/>
  <c r="U430" i="18" s="1"/>
  <c r="T430" i="18" a="1"/>
  <c r="T430" i="18" s="1"/>
  <c r="S430" i="18" a="1"/>
  <c r="S430" i="18" s="1"/>
  <c r="Y429" i="18" a="1"/>
  <c r="Y429" i="18" s="1"/>
  <c r="X429" i="18"/>
  <c r="W429" i="18" a="1"/>
  <c r="W429" i="18" s="1"/>
  <c r="V429" i="18"/>
  <c r="U429" i="18" a="1"/>
  <c r="U429" i="18" s="1"/>
  <c r="T429" i="18" a="1"/>
  <c r="T429" i="18" s="1"/>
  <c r="S429" i="18" a="1"/>
  <c r="S429" i="18" s="1"/>
  <c r="Y428" i="18" a="1"/>
  <c r="Y428" i="18" s="1"/>
  <c r="AA428" i="18" s="1"/>
  <c r="X428" i="18"/>
  <c r="W428" i="18" a="1"/>
  <c r="W428" i="18" s="1"/>
  <c r="V428" i="18"/>
  <c r="U428" i="18" a="1"/>
  <c r="U428" i="18" s="1"/>
  <c r="T428" i="18" a="1"/>
  <c r="T428" i="18" s="1"/>
  <c r="S428" i="18" a="1"/>
  <c r="S428" i="18" s="1"/>
  <c r="Y427" i="18" a="1"/>
  <c r="Y427" i="18" s="1"/>
  <c r="X427" i="18"/>
  <c r="W427" i="18" a="1"/>
  <c r="W427" i="18" s="1"/>
  <c r="V427" i="18"/>
  <c r="U427" i="18" a="1"/>
  <c r="U427" i="18" s="1"/>
  <c r="T427" i="18" a="1"/>
  <c r="T427" i="18" s="1"/>
  <c r="S427" i="18" a="1"/>
  <c r="S427" i="18" s="1"/>
  <c r="Y426" i="18" a="1"/>
  <c r="Y426" i="18" s="1"/>
  <c r="X426" i="18"/>
  <c r="W426" i="18" a="1"/>
  <c r="W426" i="18" s="1"/>
  <c r="V426" i="18"/>
  <c r="U426" i="18" a="1"/>
  <c r="U426" i="18" s="1"/>
  <c r="T426" i="18" a="1"/>
  <c r="T426" i="18" s="1"/>
  <c r="S426" i="18" a="1"/>
  <c r="S426" i="18" s="1"/>
  <c r="Y425" i="18" a="1"/>
  <c r="Y425" i="18" s="1"/>
  <c r="X425" i="18"/>
  <c r="W425" i="18" a="1"/>
  <c r="W425" i="18" s="1"/>
  <c r="V425" i="18"/>
  <c r="U425" i="18" a="1"/>
  <c r="U425" i="18" s="1"/>
  <c r="T425" i="18" a="1"/>
  <c r="T425" i="18" s="1"/>
  <c r="S425" i="18" a="1"/>
  <c r="S425" i="18" s="1"/>
  <c r="Y424" i="18" a="1"/>
  <c r="Y424" i="18" s="1"/>
  <c r="X424" i="18"/>
  <c r="W424" i="18" a="1"/>
  <c r="W424" i="18" s="1"/>
  <c r="V424" i="18"/>
  <c r="U424" i="18" a="1"/>
  <c r="U424" i="18" s="1"/>
  <c r="T424" i="18" a="1"/>
  <c r="T424" i="18" s="1"/>
  <c r="S424" i="18" a="1"/>
  <c r="S424" i="18" s="1"/>
  <c r="Y423" i="18" a="1"/>
  <c r="Y423" i="18" s="1"/>
  <c r="X423" i="18"/>
  <c r="W423" i="18" a="1"/>
  <c r="W423" i="18" s="1"/>
  <c r="V423" i="18"/>
  <c r="U423" i="18" a="1"/>
  <c r="U423" i="18" s="1"/>
  <c r="T423" i="18" a="1"/>
  <c r="T423" i="18" s="1"/>
  <c r="S423" i="18" a="1"/>
  <c r="S423" i="18" s="1"/>
  <c r="Y422" i="18" a="1"/>
  <c r="Y422" i="18" s="1"/>
  <c r="X422" i="18"/>
  <c r="W422" i="18" a="1"/>
  <c r="W422" i="18" s="1"/>
  <c r="V422" i="18"/>
  <c r="U422" i="18" a="1"/>
  <c r="U422" i="18" s="1"/>
  <c r="T422" i="18" a="1"/>
  <c r="T422" i="18" s="1"/>
  <c r="S422" i="18" a="1"/>
  <c r="S422" i="18" s="1"/>
  <c r="Y421" i="18" a="1"/>
  <c r="Y421" i="18" s="1"/>
  <c r="X421" i="18"/>
  <c r="W421" i="18" a="1"/>
  <c r="W421" i="18" s="1"/>
  <c r="V421" i="18"/>
  <c r="U421" i="18" a="1"/>
  <c r="U421" i="18" s="1"/>
  <c r="T421" i="18" a="1"/>
  <c r="T421" i="18" s="1"/>
  <c r="S421" i="18" a="1"/>
  <c r="S421" i="18" s="1"/>
  <c r="Y420" i="18" a="1"/>
  <c r="Y420" i="18" s="1"/>
  <c r="X420" i="18"/>
  <c r="W420" i="18" a="1"/>
  <c r="W420" i="18" s="1"/>
  <c r="V420" i="18"/>
  <c r="U420" i="18" a="1"/>
  <c r="U420" i="18" s="1"/>
  <c r="T420" i="18" a="1"/>
  <c r="T420" i="18" s="1"/>
  <c r="S420" i="18" a="1"/>
  <c r="S420" i="18" s="1"/>
  <c r="Y419" i="18" a="1"/>
  <c r="Y419" i="18" s="1"/>
  <c r="X419" i="18"/>
  <c r="W419" i="18" a="1"/>
  <c r="W419" i="18" s="1"/>
  <c r="V419" i="18"/>
  <c r="U419" i="18" a="1"/>
  <c r="U419" i="18" s="1"/>
  <c r="T419" i="18" a="1"/>
  <c r="T419" i="18" s="1"/>
  <c r="S419" i="18" a="1"/>
  <c r="S419" i="18" s="1"/>
  <c r="Y418" i="18" a="1"/>
  <c r="Y418" i="18" s="1"/>
  <c r="X418" i="18"/>
  <c r="W418" i="18" a="1"/>
  <c r="W418" i="18" s="1"/>
  <c r="V418" i="18"/>
  <c r="U418" i="18" a="1"/>
  <c r="U418" i="18" s="1"/>
  <c r="T418" i="18" a="1"/>
  <c r="T418" i="18" s="1"/>
  <c r="S418" i="18" a="1"/>
  <c r="S418" i="18" s="1"/>
  <c r="Y417" i="18" a="1"/>
  <c r="Y417" i="18" s="1"/>
  <c r="X417" i="18"/>
  <c r="W417" i="18" a="1"/>
  <c r="W417" i="18" s="1"/>
  <c r="V417" i="18"/>
  <c r="U417" i="18" a="1"/>
  <c r="U417" i="18" s="1"/>
  <c r="T417" i="18" a="1"/>
  <c r="T417" i="18" s="1"/>
  <c r="S417" i="18" a="1"/>
  <c r="S417" i="18" s="1"/>
  <c r="Y416" i="18" a="1"/>
  <c r="Y416" i="18" s="1"/>
  <c r="X416" i="18"/>
  <c r="W416" i="18" a="1"/>
  <c r="W416" i="18" s="1"/>
  <c r="V416" i="18"/>
  <c r="U416" i="18" a="1"/>
  <c r="U416" i="18" s="1"/>
  <c r="T416" i="18" a="1"/>
  <c r="T416" i="18" s="1"/>
  <c r="S416" i="18" a="1"/>
  <c r="S416" i="18" s="1"/>
  <c r="Y415" i="18" a="1"/>
  <c r="Y415" i="18" s="1"/>
  <c r="X415" i="18"/>
  <c r="W415" i="18" a="1"/>
  <c r="W415" i="18" s="1"/>
  <c r="V415" i="18"/>
  <c r="U415" i="18" a="1"/>
  <c r="U415" i="18" s="1"/>
  <c r="T415" i="18" a="1"/>
  <c r="T415" i="18" s="1"/>
  <c r="S415" i="18" a="1"/>
  <c r="S415" i="18" s="1"/>
  <c r="Y414" i="18" a="1"/>
  <c r="Y414" i="18" s="1"/>
  <c r="X414" i="18"/>
  <c r="W414" i="18" a="1"/>
  <c r="W414" i="18" s="1"/>
  <c r="V414" i="18"/>
  <c r="U414" i="18" a="1"/>
  <c r="U414" i="18" s="1"/>
  <c r="T414" i="18" a="1"/>
  <c r="T414" i="18" s="1"/>
  <c r="S414" i="18" a="1"/>
  <c r="S414" i="18" s="1"/>
  <c r="Y413" i="18" a="1"/>
  <c r="Y413" i="18" s="1"/>
  <c r="X413" i="18"/>
  <c r="W413" i="18" a="1"/>
  <c r="W413" i="18" s="1"/>
  <c r="V413" i="18"/>
  <c r="U413" i="18" a="1"/>
  <c r="U413" i="18" s="1"/>
  <c r="T413" i="18" a="1"/>
  <c r="T413" i="18" s="1"/>
  <c r="S413" i="18" a="1"/>
  <c r="S413" i="18" s="1"/>
  <c r="Y412" i="18" a="1"/>
  <c r="Y412" i="18" s="1"/>
  <c r="X412" i="18"/>
  <c r="W412" i="18" a="1"/>
  <c r="W412" i="18" s="1"/>
  <c r="V412" i="18"/>
  <c r="U412" i="18" a="1"/>
  <c r="U412" i="18" s="1"/>
  <c r="T412" i="18" a="1"/>
  <c r="T412" i="18" s="1"/>
  <c r="S412" i="18" a="1"/>
  <c r="S412" i="18" s="1"/>
  <c r="Y411" i="18" a="1"/>
  <c r="Y411" i="18" s="1"/>
  <c r="X411" i="18"/>
  <c r="W411" i="18" a="1"/>
  <c r="W411" i="18" s="1"/>
  <c r="V411" i="18"/>
  <c r="U411" i="18" a="1"/>
  <c r="U411" i="18" s="1"/>
  <c r="T411" i="18" a="1"/>
  <c r="T411" i="18" s="1"/>
  <c r="S411" i="18" a="1"/>
  <c r="S411" i="18" s="1"/>
  <c r="Y410" i="18" a="1"/>
  <c r="Y410" i="18" s="1"/>
  <c r="AA410" i="18" s="1"/>
  <c r="X410" i="18"/>
  <c r="W410" i="18" a="1"/>
  <c r="W410" i="18" s="1"/>
  <c r="V410" i="18"/>
  <c r="U410" i="18" a="1"/>
  <c r="U410" i="18" s="1"/>
  <c r="T410" i="18" a="1"/>
  <c r="T410" i="18" s="1"/>
  <c r="S410" i="18" a="1"/>
  <c r="S410" i="18" s="1"/>
  <c r="Y409" i="18" a="1"/>
  <c r="Y409" i="18" s="1"/>
  <c r="AA409" i="18" s="1"/>
  <c r="X409" i="18"/>
  <c r="W409" i="18" a="1"/>
  <c r="W409" i="18" s="1"/>
  <c r="V409" i="18"/>
  <c r="U409" i="18" a="1"/>
  <c r="U409" i="18" s="1"/>
  <c r="T409" i="18" a="1"/>
  <c r="T409" i="18" s="1"/>
  <c r="S409" i="18" a="1"/>
  <c r="S409" i="18" s="1"/>
  <c r="Y408" i="18" a="1"/>
  <c r="Y408" i="18" s="1"/>
  <c r="AA408" i="18" s="1"/>
  <c r="X408" i="18"/>
  <c r="W408" i="18" a="1"/>
  <c r="W408" i="18" s="1"/>
  <c r="V408" i="18"/>
  <c r="U408" i="18" a="1"/>
  <c r="U408" i="18" s="1"/>
  <c r="T408" i="18" a="1"/>
  <c r="T408" i="18" s="1"/>
  <c r="S408" i="18" a="1"/>
  <c r="S408" i="18" s="1"/>
  <c r="Y407" i="18" a="1"/>
  <c r="Y407" i="18" s="1"/>
  <c r="X407" i="18"/>
  <c r="W407" i="18" a="1"/>
  <c r="W407" i="18" s="1"/>
  <c r="V407" i="18"/>
  <c r="U407" i="18" a="1"/>
  <c r="U407" i="18" s="1"/>
  <c r="T407" i="18" a="1"/>
  <c r="T407" i="18" s="1"/>
  <c r="S407" i="18" a="1"/>
  <c r="S407" i="18" s="1"/>
  <c r="Y406" i="18" a="1"/>
  <c r="Y406" i="18" s="1"/>
  <c r="X406" i="18"/>
  <c r="W406" i="18" a="1"/>
  <c r="W406" i="18" s="1"/>
  <c r="V406" i="18"/>
  <c r="U406" i="18" a="1"/>
  <c r="U406" i="18" s="1"/>
  <c r="T406" i="18" a="1"/>
  <c r="T406" i="18" s="1"/>
  <c r="S406" i="18" a="1"/>
  <c r="S406" i="18" s="1"/>
  <c r="Y405" i="18" a="1"/>
  <c r="Y405" i="18" s="1"/>
  <c r="X405" i="18"/>
  <c r="W405" i="18" a="1"/>
  <c r="W405" i="18" s="1"/>
  <c r="V405" i="18"/>
  <c r="U405" i="18" a="1"/>
  <c r="U405" i="18" s="1"/>
  <c r="T405" i="18" a="1"/>
  <c r="T405" i="18" s="1"/>
  <c r="S405" i="18" a="1"/>
  <c r="S405" i="18" s="1"/>
  <c r="Y404" i="18" a="1"/>
  <c r="Y404" i="18" s="1"/>
  <c r="X404" i="18"/>
  <c r="W404" i="18" a="1"/>
  <c r="W404" i="18" s="1"/>
  <c r="V404" i="18"/>
  <c r="U404" i="18" a="1"/>
  <c r="U404" i="18" s="1"/>
  <c r="T404" i="18" a="1"/>
  <c r="T404" i="18" s="1"/>
  <c r="S404" i="18" a="1"/>
  <c r="S404" i="18" s="1"/>
  <c r="Y403" i="18" a="1"/>
  <c r="Y403" i="18" s="1"/>
  <c r="AA403" i="18" s="1"/>
  <c r="X403" i="18"/>
  <c r="W403" i="18" a="1"/>
  <c r="W403" i="18" s="1"/>
  <c r="V403" i="18"/>
  <c r="U403" i="18" a="1"/>
  <c r="U403" i="18" s="1"/>
  <c r="T403" i="18" a="1"/>
  <c r="T403" i="18" s="1"/>
  <c r="S403" i="18" a="1"/>
  <c r="S403" i="18" s="1"/>
  <c r="Y402" i="18" a="1"/>
  <c r="Y402" i="18" s="1"/>
  <c r="X402" i="18"/>
  <c r="W402" i="18" a="1"/>
  <c r="W402" i="18" s="1"/>
  <c r="V402" i="18"/>
  <c r="U402" i="18" a="1"/>
  <c r="U402" i="18" s="1"/>
  <c r="T402" i="18" a="1"/>
  <c r="T402" i="18" s="1"/>
  <c r="S402" i="18" a="1"/>
  <c r="S402" i="18" s="1"/>
  <c r="Y401" i="18" a="1"/>
  <c r="Y401" i="18" s="1"/>
  <c r="X401" i="18"/>
  <c r="W401" i="18" a="1"/>
  <c r="W401" i="18" s="1"/>
  <c r="V401" i="18"/>
  <c r="U401" i="18" a="1"/>
  <c r="U401" i="18" s="1"/>
  <c r="T401" i="18" a="1"/>
  <c r="T401" i="18" s="1"/>
  <c r="S401" i="18" a="1"/>
  <c r="S401" i="18" s="1"/>
  <c r="Y400" i="18" a="1"/>
  <c r="Y400" i="18" s="1"/>
  <c r="X400" i="18"/>
  <c r="W400" i="18" a="1"/>
  <c r="W400" i="18" s="1"/>
  <c r="V400" i="18"/>
  <c r="U400" i="18" a="1"/>
  <c r="U400" i="18" s="1"/>
  <c r="T400" i="18" a="1"/>
  <c r="T400" i="18" s="1"/>
  <c r="S400" i="18" a="1"/>
  <c r="S400" i="18" s="1"/>
  <c r="Y399" i="18" a="1"/>
  <c r="Y399" i="18" s="1"/>
  <c r="X399" i="18"/>
  <c r="W399" i="18" a="1"/>
  <c r="W399" i="18" s="1"/>
  <c r="V399" i="18"/>
  <c r="U399" i="18" a="1"/>
  <c r="U399" i="18" s="1"/>
  <c r="T399" i="18" a="1"/>
  <c r="T399" i="18" s="1"/>
  <c r="S399" i="18" a="1"/>
  <c r="S399" i="18" s="1"/>
  <c r="Y398" i="18" a="1"/>
  <c r="Y398" i="18" s="1"/>
  <c r="X398" i="18"/>
  <c r="W398" i="18" a="1"/>
  <c r="W398" i="18" s="1"/>
  <c r="V398" i="18"/>
  <c r="U398" i="18" a="1"/>
  <c r="U398" i="18" s="1"/>
  <c r="T398" i="18" a="1"/>
  <c r="T398" i="18" s="1"/>
  <c r="S398" i="18" a="1"/>
  <c r="S398" i="18" s="1"/>
  <c r="Y397" i="18" a="1"/>
  <c r="Y397" i="18" s="1"/>
  <c r="X397" i="18"/>
  <c r="W397" i="18" a="1"/>
  <c r="W397" i="18" s="1"/>
  <c r="V397" i="18"/>
  <c r="U397" i="18" a="1"/>
  <c r="U397" i="18" s="1"/>
  <c r="T397" i="18" a="1"/>
  <c r="T397" i="18" s="1"/>
  <c r="S397" i="18" a="1"/>
  <c r="S397" i="18" s="1"/>
  <c r="Y396" i="18" a="1"/>
  <c r="Y396" i="18" s="1"/>
  <c r="X396" i="18"/>
  <c r="W396" i="18" a="1"/>
  <c r="W396" i="18" s="1"/>
  <c r="V396" i="18"/>
  <c r="U396" i="18" a="1"/>
  <c r="U396" i="18" s="1"/>
  <c r="T396" i="18" a="1"/>
  <c r="T396" i="18" s="1"/>
  <c r="S396" i="18" a="1"/>
  <c r="S396" i="18" s="1"/>
  <c r="Y395" i="18" a="1"/>
  <c r="Y395" i="18" s="1"/>
  <c r="X395" i="18"/>
  <c r="W395" i="18" a="1"/>
  <c r="W395" i="18" s="1"/>
  <c r="V395" i="18"/>
  <c r="U395" i="18" a="1"/>
  <c r="U395" i="18" s="1"/>
  <c r="T395" i="18" a="1"/>
  <c r="T395" i="18" s="1"/>
  <c r="S395" i="18" a="1"/>
  <c r="S395" i="18" s="1"/>
  <c r="Y394" i="18" a="1"/>
  <c r="Y394" i="18" s="1"/>
  <c r="X394" i="18"/>
  <c r="W394" i="18" a="1"/>
  <c r="W394" i="18" s="1"/>
  <c r="V394" i="18"/>
  <c r="U394" i="18" a="1"/>
  <c r="U394" i="18" s="1"/>
  <c r="T394" i="18" a="1"/>
  <c r="T394" i="18" s="1"/>
  <c r="S394" i="18" a="1"/>
  <c r="S394" i="18" s="1"/>
  <c r="Y393" i="18" a="1"/>
  <c r="Y393" i="18" s="1"/>
  <c r="X393" i="18"/>
  <c r="W393" i="18" a="1"/>
  <c r="W393" i="18" s="1"/>
  <c r="V393" i="18"/>
  <c r="U393" i="18" a="1"/>
  <c r="U393" i="18" s="1"/>
  <c r="T393" i="18" a="1"/>
  <c r="T393" i="18" s="1"/>
  <c r="S393" i="18" a="1"/>
  <c r="S393" i="18" s="1"/>
  <c r="Y392" i="18" a="1"/>
  <c r="Y392" i="18" s="1"/>
  <c r="X392" i="18"/>
  <c r="W392" i="18" a="1"/>
  <c r="W392" i="18" s="1"/>
  <c r="V392" i="18"/>
  <c r="U392" i="18" a="1"/>
  <c r="U392" i="18" s="1"/>
  <c r="T392" i="18" a="1"/>
  <c r="T392" i="18" s="1"/>
  <c r="S392" i="18" a="1"/>
  <c r="S392" i="18" s="1"/>
  <c r="Y391" i="18" a="1"/>
  <c r="Y391" i="18" s="1"/>
  <c r="X391" i="18"/>
  <c r="W391" i="18" a="1"/>
  <c r="W391" i="18" s="1"/>
  <c r="V391" i="18"/>
  <c r="U391" i="18" a="1"/>
  <c r="U391" i="18" s="1"/>
  <c r="T391" i="18" a="1"/>
  <c r="T391" i="18" s="1"/>
  <c r="S391" i="18" a="1"/>
  <c r="S391" i="18" s="1"/>
  <c r="Y390" i="18" a="1"/>
  <c r="Y390" i="18" s="1"/>
  <c r="X390" i="18"/>
  <c r="W390" i="18" a="1"/>
  <c r="W390" i="18" s="1"/>
  <c r="V390" i="18"/>
  <c r="U390" i="18" a="1"/>
  <c r="U390" i="18" s="1"/>
  <c r="T390" i="18" a="1"/>
  <c r="T390" i="18" s="1"/>
  <c r="S390" i="18" a="1"/>
  <c r="S390" i="18" s="1"/>
  <c r="Y389" i="18" a="1"/>
  <c r="Y389" i="18" s="1"/>
  <c r="X389" i="18"/>
  <c r="W389" i="18" a="1"/>
  <c r="W389" i="18" s="1"/>
  <c r="V389" i="18"/>
  <c r="U389" i="18" a="1"/>
  <c r="U389" i="18" s="1"/>
  <c r="T389" i="18" a="1"/>
  <c r="T389" i="18" s="1"/>
  <c r="S389" i="18" a="1"/>
  <c r="S389" i="18" s="1"/>
  <c r="Y388" i="18" a="1"/>
  <c r="Y388" i="18" s="1"/>
  <c r="X388" i="18"/>
  <c r="W388" i="18" a="1"/>
  <c r="W388" i="18" s="1"/>
  <c r="V388" i="18"/>
  <c r="U388" i="18" a="1"/>
  <c r="U388" i="18" s="1"/>
  <c r="T388" i="18" a="1"/>
  <c r="T388" i="18" s="1"/>
  <c r="S388" i="18" a="1"/>
  <c r="S388" i="18" s="1"/>
  <c r="Y387" i="18" a="1"/>
  <c r="Y387" i="18" s="1"/>
  <c r="X387" i="18"/>
  <c r="W387" i="18" a="1"/>
  <c r="W387" i="18" s="1"/>
  <c r="V387" i="18"/>
  <c r="U387" i="18" a="1"/>
  <c r="U387" i="18" s="1"/>
  <c r="T387" i="18" a="1"/>
  <c r="T387" i="18" s="1"/>
  <c r="S387" i="18" a="1"/>
  <c r="S387" i="18" s="1"/>
  <c r="Y386" i="18" a="1"/>
  <c r="Y386" i="18" s="1"/>
  <c r="X386" i="18"/>
  <c r="W386" i="18" a="1"/>
  <c r="W386" i="18" s="1"/>
  <c r="V386" i="18"/>
  <c r="U386" i="18" a="1"/>
  <c r="U386" i="18" s="1"/>
  <c r="T386" i="18" a="1"/>
  <c r="T386" i="18" s="1"/>
  <c r="S386" i="18" a="1"/>
  <c r="S386" i="18" s="1"/>
  <c r="Y385" i="18" a="1"/>
  <c r="Y385" i="18" s="1"/>
  <c r="X385" i="18"/>
  <c r="W385" i="18" a="1"/>
  <c r="W385" i="18" s="1"/>
  <c r="V385" i="18"/>
  <c r="U385" i="18" a="1"/>
  <c r="U385" i="18" s="1"/>
  <c r="T385" i="18" a="1"/>
  <c r="T385" i="18" s="1"/>
  <c r="S385" i="18" a="1"/>
  <c r="S385" i="18" s="1"/>
  <c r="Y384" i="18" a="1"/>
  <c r="Y384" i="18" s="1"/>
  <c r="X384" i="18"/>
  <c r="W384" i="18" a="1"/>
  <c r="W384" i="18" s="1"/>
  <c r="V384" i="18"/>
  <c r="U384" i="18" a="1"/>
  <c r="U384" i="18" s="1"/>
  <c r="T384" i="18" a="1"/>
  <c r="T384" i="18" s="1"/>
  <c r="S384" i="18" a="1"/>
  <c r="S384" i="18" s="1"/>
  <c r="Y383" i="18" a="1"/>
  <c r="Y383" i="18" s="1"/>
  <c r="X383" i="18"/>
  <c r="W383" i="18" a="1"/>
  <c r="W383" i="18" s="1"/>
  <c r="V383" i="18"/>
  <c r="U383" i="18" a="1"/>
  <c r="U383" i="18" s="1"/>
  <c r="T383" i="18" a="1"/>
  <c r="T383" i="18" s="1"/>
  <c r="S383" i="18" a="1"/>
  <c r="S383" i="18" s="1"/>
  <c r="Y382" i="18" a="1"/>
  <c r="Y382" i="18" s="1"/>
  <c r="X382" i="18"/>
  <c r="W382" i="18" a="1"/>
  <c r="W382" i="18" s="1"/>
  <c r="V382" i="18"/>
  <c r="U382" i="18" a="1"/>
  <c r="U382" i="18" s="1"/>
  <c r="T382" i="18" a="1"/>
  <c r="T382" i="18" s="1"/>
  <c r="S382" i="18" a="1"/>
  <c r="S382" i="18" s="1"/>
  <c r="Y381" i="18" a="1"/>
  <c r="Y381" i="18" s="1"/>
  <c r="X381" i="18"/>
  <c r="W381" i="18" a="1"/>
  <c r="W381" i="18" s="1"/>
  <c r="V381" i="18"/>
  <c r="U381" i="18" a="1"/>
  <c r="U381" i="18" s="1"/>
  <c r="T381" i="18" a="1"/>
  <c r="T381" i="18" s="1"/>
  <c r="S381" i="18" a="1"/>
  <c r="S381" i="18" s="1"/>
  <c r="Y380" i="18" a="1"/>
  <c r="Y380" i="18" s="1"/>
  <c r="X380" i="18"/>
  <c r="W380" i="18" a="1"/>
  <c r="W380" i="18" s="1"/>
  <c r="V380" i="18"/>
  <c r="U380" i="18" a="1"/>
  <c r="U380" i="18" s="1"/>
  <c r="T380" i="18" a="1"/>
  <c r="T380" i="18" s="1"/>
  <c r="S380" i="18" a="1"/>
  <c r="S380" i="18" s="1"/>
  <c r="Y379" i="18" a="1"/>
  <c r="Y379" i="18" s="1"/>
  <c r="X379" i="18"/>
  <c r="W379" i="18" a="1"/>
  <c r="W379" i="18" s="1"/>
  <c r="V379" i="18"/>
  <c r="U379" i="18" a="1"/>
  <c r="U379" i="18" s="1"/>
  <c r="T379" i="18" a="1"/>
  <c r="T379" i="18" s="1"/>
  <c r="S379" i="18" a="1"/>
  <c r="S379" i="18" s="1"/>
  <c r="Y378" i="18" a="1"/>
  <c r="Y378" i="18" s="1"/>
  <c r="X378" i="18"/>
  <c r="W378" i="18" a="1"/>
  <c r="W378" i="18" s="1"/>
  <c r="V378" i="18"/>
  <c r="U378" i="18" a="1"/>
  <c r="U378" i="18" s="1"/>
  <c r="T378" i="18" a="1"/>
  <c r="T378" i="18" s="1"/>
  <c r="S378" i="18" a="1"/>
  <c r="S378" i="18" s="1"/>
  <c r="Y377" i="18" a="1"/>
  <c r="Y377" i="18" s="1"/>
  <c r="X377" i="18"/>
  <c r="W377" i="18" a="1"/>
  <c r="W377" i="18" s="1"/>
  <c r="V377" i="18"/>
  <c r="U377" i="18" a="1"/>
  <c r="U377" i="18" s="1"/>
  <c r="T377" i="18" a="1"/>
  <c r="T377" i="18" s="1"/>
  <c r="S377" i="18" a="1"/>
  <c r="S377" i="18" s="1"/>
  <c r="Y376" i="18" a="1"/>
  <c r="Y376" i="18" s="1"/>
  <c r="X376" i="18"/>
  <c r="W376" i="18" a="1"/>
  <c r="W376" i="18" s="1"/>
  <c r="V376" i="18"/>
  <c r="U376" i="18" a="1"/>
  <c r="U376" i="18" s="1"/>
  <c r="T376" i="18" a="1"/>
  <c r="T376" i="18" s="1"/>
  <c r="S376" i="18" a="1"/>
  <c r="S376" i="18" s="1"/>
  <c r="Y375" i="18" a="1"/>
  <c r="Y375" i="18" s="1"/>
  <c r="X375" i="18"/>
  <c r="W375" i="18" a="1"/>
  <c r="W375" i="18" s="1"/>
  <c r="V375" i="18"/>
  <c r="U375" i="18" a="1"/>
  <c r="U375" i="18" s="1"/>
  <c r="T375" i="18" a="1"/>
  <c r="T375" i="18" s="1"/>
  <c r="S375" i="18" a="1"/>
  <c r="S375" i="18" s="1"/>
  <c r="Y374" i="18" a="1"/>
  <c r="Y374" i="18" s="1"/>
  <c r="X374" i="18"/>
  <c r="W374" i="18" a="1"/>
  <c r="W374" i="18" s="1"/>
  <c r="V374" i="18"/>
  <c r="U374" i="18" a="1"/>
  <c r="U374" i="18" s="1"/>
  <c r="T374" i="18" a="1"/>
  <c r="T374" i="18" s="1"/>
  <c r="S374" i="18" a="1"/>
  <c r="S374" i="18" s="1"/>
  <c r="Y373" i="18" a="1"/>
  <c r="Y373" i="18" s="1"/>
  <c r="X373" i="18"/>
  <c r="W373" i="18" a="1"/>
  <c r="W373" i="18" s="1"/>
  <c r="V373" i="18"/>
  <c r="U373" i="18" a="1"/>
  <c r="U373" i="18" s="1"/>
  <c r="T373" i="18" a="1"/>
  <c r="T373" i="18" s="1"/>
  <c r="S373" i="18" a="1"/>
  <c r="S373" i="18" s="1"/>
  <c r="Y372" i="18" a="1"/>
  <c r="Y372" i="18" s="1"/>
  <c r="X372" i="18"/>
  <c r="W372" i="18" a="1"/>
  <c r="W372" i="18" s="1"/>
  <c r="V372" i="18"/>
  <c r="U372" i="18" a="1"/>
  <c r="U372" i="18" s="1"/>
  <c r="T372" i="18" a="1"/>
  <c r="T372" i="18" s="1"/>
  <c r="S372" i="18" a="1"/>
  <c r="S372" i="18" s="1"/>
  <c r="Y371" i="18" a="1"/>
  <c r="Y371" i="18" s="1"/>
  <c r="X371" i="18"/>
  <c r="W371" i="18" a="1"/>
  <c r="W371" i="18" s="1"/>
  <c r="V371" i="18"/>
  <c r="U371" i="18" a="1"/>
  <c r="U371" i="18" s="1"/>
  <c r="T371" i="18" a="1"/>
  <c r="T371" i="18" s="1"/>
  <c r="S371" i="18" a="1"/>
  <c r="S371" i="18" s="1"/>
  <c r="Y370" i="18" a="1"/>
  <c r="Y370" i="18" s="1"/>
  <c r="X370" i="18"/>
  <c r="W370" i="18" a="1"/>
  <c r="W370" i="18" s="1"/>
  <c r="V370" i="18"/>
  <c r="U370" i="18" a="1"/>
  <c r="U370" i="18" s="1"/>
  <c r="T370" i="18" a="1"/>
  <c r="T370" i="18" s="1"/>
  <c r="S370" i="18" a="1"/>
  <c r="S370" i="18" s="1"/>
  <c r="Y369" i="18" a="1"/>
  <c r="Y369" i="18" s="1"/>
  <c r="X369" i="18"/>
  <c r="W369" i="18" a="1"/>
  <c r="W369" i="18" s="1"/>
  <c r="V369" i="18"/>
  <c r="U369" i="18" a="1"/>
  <c r="U369" i="18" s="1"/>
  <c r="T369" i="18" a="1"/>
  <c r="T369" i="18" s="1"/>
  <c r="S369" i="18" a="1"/>
  <c r="S369" i="18" s="1"/>
  <c r="Y368" i="18" a="1"/>
  <c r="Y368" i="18" s="1"/>
  <c r="X368" i="18"/>
  <c r="W368" i="18" a="1"/>
  <c r="W368" i="18" s="1"/>
  <c r="V368" i="18"/>
  <c r="U368" i="18" a="1"/>
  <c r="U368" i="18" s="1"/>
  <c r="T368" i="18" a="1"/>
  <c r="T368" i="18" s="1"/>
  <c r="S368" i="18" a="1"/>
  <c r="S368" i="18" s="1"/>
  <c r="Y367" i="18" a="1"/>
  <c r="Y367" i="18" s="1"/>
  <c r="X367" i="18"/>
  <c r="W367" i="18" a="1"/>
  <c r="W367" i="18" s="1"/>
  <c r="V367" i="18"/>
  <c r="U367" i="18" a="1"/>
  <c r="U367" i="18" s="1"/>
  <c r="T367" i="18" a="1"/>
  <c r="T367" i="18" s="1"/>
  <c r="S367" i="18" a="1"/>
  <c r="S367" i="18" s="1"/>
  <c r="Y366" i="18" a="1"/>
  <c r="Y366" i="18" s="1"/>
  <c r="X366" i="18"/>
  <c r="W366" i="18" a="1"/>
  <c r="W366" i="18" s="1"/>
  <c r="V366" i="18"/>
  <c r="U366" i="18" a="1"/>
  <c r="U366" i="18" s="1"/>
  <c r="T366" i="18" a="1"/>
  <c r="T366" i="18" s="1"/>
  <c r="S366" i="18" a="1"/>
  <c r="S366" i="18" s="1"/>
  <c r="Y365" i="18" a="1"/>
  <c r="Y365" i="18" s="1"/>
  <c r="X365" i="18"/>
  <c r="W365" i="18" a="1"/>
  <c r="W365" i="18" s="1"/>
  <c r="V365" i="18"/>
  <c r="U365" i="18" a="1"/>
  <c r="U365" i="18" s="1"/>
  <c r="T365" i="18" a="1"/>
  <c r="T365" i="18" s="1"/>
  <c r="S365" i="18" a="1"/>
  <c r="S365" i="18" s="1"/>
  <c r="Y364" i="18" a="1"/>
  <c r="Y364" i="18" s="1"/>
  <c r="X364" i="18"/>
  <c r="W364" i="18" a="1"/>
  <c r="W364" i="18" s="1"/>
  <c r="V364" i="18"/>
  <c r="U364" i="18" a="1"/>
  <c r="U364" i="18" s="1"/>
  <c r="T364" i="18" a="1"/>
  <c r="T364" i="18" s="1"/>
  <c r="S364" i="18" a="1"/>
  <c r="S364" i="18" s="1"/>
  <c r="Y363" i="18" a="1"/>
  <c r="Y363" i="18" s="1"/>
  <c r="X363" i="18"/>
  <c r="W363" i="18" a="1"/>
  <c r="W363" i="18" s="1"/>
  <c r="V363" i="18"/>
  <c r="U363" i="18" a="1"/>
  <c r="U363" i="18" s="1"/>
  <c r="T363" i="18" a="1"/>
  <c r="T363" i="18" s="1"/>
  <c r="S363" i="18" a="1"/>
  <c r="S363" i="18" s="1"/>
  <c r="Y362" i="18" a="1"/>
  <c r="Y362" i="18" s="1"/>
  <c r="X362" i="18"/>
  <c r="W362" i="18" a="1"/>
  <c r="W362" i="18" s="1"/>
  <c r="V362" i="18"/>
  <c r="U362" i="18" a="1"/>
  <c r="U362" i="18" s="1"/>
  <c r="T362" i="18" a="1"/>
  <c r="T362" i="18" s="1"/>
  <c r="S362" i="18" a="1"/>
  <c r="S362" i="18" s="1"/>
  <c r="Y361" i="18" a="1"/>
  <c r="Y361" i="18" s="1"/>
  <c r="X361" i="18"/>
  <c r="W361" i="18" a="1"/>
  <c r="W361" i="18" s="1"/>
  <c r="V361" i="18"/>
  <c r="U361" i="18" a="1"/>
  <c r="U361" i="18" s="1"/>
  <c r="T361" i="18" a="1"/>
  <c r="T361" i="18" s="1"/>
  <c r="S361" i="18" a="1"/>
  <c r="S361" i="18" s="1"/>
  <c r="Y360" i="18" a="1"/>
  <c r="Y360" i="18" s="1"/>
  <c r="X360" i="18"/>
  <c r="W360" i="18" a="1"/>
  <c r="W360" i="18" s="1"/>
  <c r="V360" i="18"/>
  <c r="U360" i="18" a="1"/>
  <c r="U360" i="18" s="1"/>
  <c r="T360" i="18" a="1"/>
  <c r="T360" i="18" s="1"/>
  <c r="S360" i="18" a="1"/>
  <c r="S360" i="18" s="1"/>
  <c r="Y359" i="18" a="1"/>
  <c r="Y359" i="18" s="1"/>
  <c r="X359" i="18"/>
  <c r="W359" i="18" a="1"/>
  <c r="W359" i="18" s="1"/>
  <c r="V359" i="18"/>
  <c r="U359" i="18" a="1"/>
  <c r="U359" i="18" s="1"/>
  <c r="T359" i="18" a="1"/>
  <c r="T359" i="18" s="1"/>
  <c r="S359" i="18" a="1"/>
  <c r="S359" i="18" s="1"/>
  <c r="Y358" i="18" a="1"/>
  <c r="Y358" i="18" s="1"/>
  <c r="X358" i="18"/>
  <c r="W358" i="18" a="1"/>
  <c r="W358" i="18" s="1"/>
  <c r="V358" i="18"/>
  <c r="U358" i="18" a="1"/>
  <c r="U358" i="18" s="1"/>
  <c r="T358" i="18" a="1"/>
  <c r="T358" i="18" s="1"/>
  <c r="S358" i="18" a="1"/>
  <c r="S358" i="18" s="1"/>
  <c r="Y357" i="18" a="1"/>
  <c r="Y357" i="18" s="1"/>
  <c r="X357" i="18"/>
  <c r="W357" i="18" a="1"/>
  <c r="W357" i="18" s="1"/>
  <c r="V357" i="18"/>
  <c r="U357" i="18" a="1"/>
  <c r="U357" i="18" s="1"/>
  <c r="T357" i="18" a="1"/>
  <c r="T357" i="18" s="1"/>
  <c r="S357" i="18" a="1"/>
  <c r="S357" i="18" s="1"/>
  <c r="Y356" i="18" a="1"/>
  <c r="Y356" i="18" s="1"/>
  <c r="X356" i="18"/>
  <c r="W356" i="18" a="1"/>
  <c r="W356" i="18" s="1"/>
  <c r="V356" i="18"/>
  <c r="U356" i="18" a="1"/>
  <c r="U356" i="18" s="1"/>
  <c r="T356" i="18" a="1"/>
  <c r="T356" i="18" s="1"/>
  <c r="S356" i="18" a="1"/>
  <c r="S356" i="18" s="1"/>
  <c r="Y355" i="18" a="1"/>
  <c r="Y355" i="18" s="1"/>
  <c r="X355" i="18"/>
  <c r="W355" i="18" a="1"/>
  <c r="W355" i="18" s="1"/>
  <c r="V355" i="18"/>
  <c r="U355" i="18" a="1"/>
  <c r="U355" i="18" s="1"/>
  <c r="T355" i="18" a="1"/>
  <c r="T355" i="18" s="1"/>
  <c r="S355" i="18" a="1"/>
  <c r="S355" i="18" s="1"/>
  <c r="Y354" i="18" a="1"/>
  <c r="Y354" i="18" s="1"/>
  <c r="X354" i="18"/>
  <c r="W354" i="18" a="1"/>
  <c r="W354" i="18" s="1"/>
  <c r="V354" i="18"/>
  <c r="U354" i="18" a="1"/>
  <c r="U354" i="18" s="1"/>
  <c r="T354" i="18" a="1"/>
  <c r="T354" i="18" s="1"/>
  <c r="S354" i="18" a="1"/>
  <c r="S354" i="18" s="1"/>
  <c r="Y353" i="18" a="1"/>
  <c r="Y353" i="18" s="1"/>
  <c r="X353" i="18"/>
  <c r="W353" i="18" a="1"/>
  <c r="W353" i="18" s="1"/>
  <c r="V353" i="18"/>
  <c r="U353" i="18" a="1"/>
  <c r="U353" i="18" s="1"/>
  <c r="T353" i="18" a="1"/>
  <c r="T353" i="18" s="1"/>
  <c r="S353" i="18" a="1"/>
  <c r="S353" i="18" s="1"/>
  <c r="Y352" i="18" a="1"/>
  <c r="Y352" i="18" s="1"/>
  <c r="X352" i="18"/>
  <c r="W352" i="18" a="1"/>
  <c r="W352" i="18" s="1"/>
  <c r="V352" i="18"/>
  <c r="U352" i="18" a="1"/>
  <c r="U352" i="18" s="1"/>
  <c r="T352" i="18" a="1"/>
  <c r="T352" i="18" s="1"/>
  <c r="S352" i="18" a="1"/>
  <c r="S352" i="18" s="1"/>
  <c r="Y351" i="18" a="1"/>
  <c r="Y351" i="18" s="1"/>
  <c r="X351" i="18"/>
  <c r="W351" i="18" a="1"/>
  <c r="W351" i="18" s="1"/>
  <c r="V351" i="18"/>
  <c r="U351" i="18" a="1"/>
  <c r="U351" i="18" s="1"/>
  <c r="T351" i="18" a="1"/>
  <c r="T351" i="18" s="1"/>
  <c r="S351" i="18" a="1"/>
  <c r="S351" i="18" s="1"/>
  <c r="Y350" i="18" a="1"/>
  <c r="Y350" i="18" s="1"/>
  <c r="X350" i="18"/>
  <c r="W350" i="18" a="1"/>
  <c r="W350" i="18" s="1"/>
  <c r="V350" i="18"/>
  <c r="U350" i="18" a="1"/>
  <c r="U350" i="18" s="1"/>
  <c r="T350" i="18" a="1"/>
  <c r="T350" i="18" s="1"/>
  <c r="S350" i="18" a="1"/>
  <c r="S350" i="18" s="1"/>
  <c r="Y349" i="18" a="1"/>
  <c r="Y349" i="18" s="1"/>
  <c r="X349" i="18"/>
  <c r="W349" i="18" a="1"/>
  <c r="W349" i="18" s="1"/>
  <c r="V349" i="18"/>
  <c r="U349" i="18" a="1"/>
  <c r="U349" i="18" s="1"/>
  <c r="T349" i="18" a="1"/>
  <c r="T349" i="18" s="1"/>
  <c r="S349" i="18" a="1"/>
  <c r="S349" i="18" s="1"/>
  <c r="Y348" i="18" a="1"/>
  <c r="Y348" i="18" s="1"/>
  <c r="X348" i="18"/>
  <c r="W348" i="18" a="1"/>
  <c r="W348" i="18" s="1"/>
  <c r="V348" i="18"/>
  <c r="U348" i="18" a="1"/>
  <c r="U348" i="18" s="1"/>
  <c r="T348" i="18" a="1"/>
  <c r="T348" i="18" s="1"/>
  <c r="S348" i="18" a="1"/>
  <c r="S348" i="18" s="1"/>
  <c r="Y347" i="18" a="1"/>
  <c r="Y347" i="18" s="1"/>
  <c r="X347" i="18"/>
  <c r="W347" i="18" a="1"/>
  <c r="W347" i="18" s="1"/>
  <c r="V347" i="18"/>
  <c r="U347" i="18" a="1"/>
  <c r="U347" i="18" s="1"/>
  <c r="T347" i="18" a="1"/>
  <c r="T347" i="18" s="1"/>
  <c r="S347" i="18" a="1"/>
  <c r="S347" i="18" s="1"/>
  <c r="Y346" i="18" a="1"/>
  <c r="Y346" i="18" s="1"/>
  <c r="X346" i="18"/>
  <c r="W346" i="18" a="1"/>
  <c r="W346" i="18" s="1"/>
  <c r="V346" i="18"/>
  <c r="U346" i="18" a="1"/>
  <c r="U346" i="18" s="1"/>
  <c r="T346" i="18" a="1"/>
  <c r="T346" i="18" s="1"/>
  <c r="S346" i="18" a="1"/>
  <c r="S346" i="18" s="1"/>
  <c r="Y345" i="18" a="1"/>
  <c r="Y345" i="18" s="1"/>
  <c r="X345" i="18"/>
  <c r="W345" i="18" a="1"/>
  <c r="W345" i="18" s="1"/>
  <c r="V345" i="18"/>
  <c r="U345" i="18" a="1"/>
  <c r="U345" i="18" s="1"/>
  <c r="T345" i="18" a="1"/>
  <c r="T345" i="18" s="1"/>
  <c r="S345" i="18" a="1"/>
  <c r="S345" i="18" s="1"/>
  <c r="Y344" i="18" a="1"/>
  <c r="Y344" i="18" s="1"/>
  <c r="X344" i="18"/>
  <c r="W344" i="18" a="1"/>
  <c r="W344" i="18" s="1"/>
  <c r="V344" i="18"/>
  <c r="U344" i="18" a="1"/>
  <c r="U344" i="18" s="1"/>
  <c r="T344" i="18" a="1"/>
  <c r="T344" i="18" s="1"/>
  <c r="S344" i="18" a="1"/>
  <c r="S344" i="18" s="1"/>
  <c r="Y343" i="18" a="1"/>
  <c r="Y343" i="18" s="1"/>
  <c r="X343" i="18"/>
  <c r="W343" i="18" a="1"/>
  <c r="W343" i="18" s="1"/>
  <c r="V343" i="18"/>
  <c r="U343" i="18" a="1"/>
  <c r="U343" i="18" s="1"/>
  <c r="T343" i="18" a="1"/>
  <c r="T343" i="18" s="1"/>
  <c r="S343" i="18" a="1"/>
  <c r="S343" i="18" s="1"/>
  <c r="Y342" i="18" a="1"/>
  <c r="Y342" i="18" s="1"/>
  <c r="X342" i="18"/>
  <c r="W342" i="18" a="1"/>
  <c r="W342" i="18" s="1"/>
  <c r="V342" i="18"/>
  <c r="U342" i="18" a="1"/>
  <c r="U342" i="18" s="1"/>
  <c r="T342" i="18" a="1"/>
  <c r="T342" i="18" s="1"/>
  <c r="S342" i="18" a="1"/>
  <c r="S342" i="18" s="1"/>
  <c r="Y341" i="18" a="1"/>
  <c r="Y341" i="18" s="1"/>
  <c r="X341" i="18"/>
  <c r="W341" i="18" a="1"/>
  <c r="W341" i="18" s="1"/>
  <c r="V341" i="18"/>
  <c r="U341" i="18" a="1"/>
  <c r="U341" i="18" s="1"/>
  <c r="T341" i="18" a="1"/>
  <c r="T341" i="18" s="1"/>
  <c r="S341" i="18" a="1"/>
  <c r="S341" i="18" s="1"/>
  <c r="Y340" i="18" a="1"/>
  <c r="Y340" i="18" s="1"/>
  <c r="X340" i="18"/>
  <c r="W340" i="18" a="1"/>
  <c r="W340" i="18" s="1"/>
  <c r="V340" i="18"/>
  <c r="U340" i="18" a="1"/>
  <c r="U340" i="18" s="1"/>
  <c r="T340" i="18" a="1"/>
  <c r="T340" i="18" s="1"/>
  <c r="S340" i="18" a="1"/>
  <c r="S340" i="18" s="1"/>
  <c r="Y339" i="18" a="1"/>
  <c r="Y339" i="18" s="1"/>
  <c r="X339" i="18"/>
  <c r="W339" i="18" a="1"/>
  <c r="W339" i="18" s="1"/>
  <c r="V339" i="18"/>
  <c r="U339" i="18" a="1"/>
  <c r="U339" i="18" s="1"/>
  <c r="T339" i="18" a="1"/>
  <c r="T339" i="18" s="1"/>
  <c r="S339" i="18" a="1"/>
  <c r="S339" i="18" s="1"/>
  <c r="Y338" i="18" a="1"/>
  <c r="Y338" i="18" s="1"/>
  <c r="X338" i="18"/>
  <c r="W338" i="18" a="1"/>
  <c r="W338" i="18" s="1"/>
  <c r="V338" i="18"/>
  <c r="U338" i="18" a="1"/>
  <c r="U338" i="18" s="1"/>
  <c r="T338" i="18" a="1"/>
  <c r="T338" i="18" s="1"/>
  <c r="S338" i="18" a="1"/>
  <c r="S338" i="18" s="1"/>
  <c r="Y337" i="18" a="1"/>
  <c r="Y337" i="18" s="1"/>
  <c r="X337" i="18"/>
  <c r="W337" i="18" a="1"/>
  <c r="W337" i="18" s="1"/>
  <c r="V337" i="18"/>
  <c r="U337" i="18" a="1"/>
  <c r="U337" i="18" s="1"/>
  <c r="T337" i="18" a="1"/>
  <c r="T337" i="18" s="1"/>
  <c r="S337" i="18" a="1"/>
  <c r="S337" i="18" s="1"/>
  <c r="Y336" i="18" a="1"/>
  <c r="Y336" i="18" s="1"/>
  <c r="X336" i="18"/>
  <c r="W336" i="18" a="1"/>
  <c r="W336" i="18" s="1"/>
  <c r="V336" i="18"/>
  <c r="U336" i="18" a="1"/>
  <c r="U336" i="18" s="1"/>
  <c r="T336" i="18" a="1"/>
  <c r="T336" i="18" s="1"/>
  <c r="S336" i="18" a="1"/>
  <c r="S336" i="18" s="1"/>
  <c r="Y335" i="18" a="1"/>
  <c r="Y335" i="18" s="1"/>
  <c r="X335" i="18"/>
  <c r="W335" i="18" a="1"/>
  <c r="W335" i="18" s="1"/>
  <c r="V335" i="18"/>
  <c r="U335" i="18" a="1"/>
  <c r="U335" i="18" s="1"/>
  <c r="T335" i="18" a="1"/>
  <c r="T335" i="18" s="1"/>
  <c r="S335" i="18" a="1"/>
  <c r="S335" i="18" s="1"/>
  <c r="Y334" i="18" a="1"/>
  <c r="Y334" i="18" s="1"/>
  <c r="X334" i="18"/>
  <c r="W334" i="18" a="1"/>
  <c r="W334" i="18" s="1"/>
  <c r="V334" i="18"/>
  <c r="U334" i="18" a="1"/>
  <c r="U334" i="18" s="1"/>
  <c r="T334" i="18" a="1"/>
  <c r="T334" i="18" s="1"/>
  <c r="S334" i="18" a="1"/>
  <c r="S334" i="18" s="1"/>
  <c r="Y333" i="18" a="1"/>
  <c r="Y333" i="18" s="1"/>
  <c r="X333" i="18"/>
  <c r="W333" i="18" a="1"/>
  <c r="W333" i="18" s="1"/>
  <c r="V333" i="18"/>
  <c r="U333" i="18" a="1"/>
  <c r="U333" i="18" s="1"/>
  <c r="T333" i="18" a="1"/>
  <c r="T333" i="18" s="1"/>
  <c r="S333" i="18" a="1"/>
  <c r="S333" i="18" s="1"/>
  <c r="Y332" i="18" a="1"/>
  <c r="Y332" i="18" s="1"/>
  <c r="X332" i="18"/>
  <c r="W332" i="18" a="1"/>
  <c r="W332" i="18" s="1"/>
  <c r="V332" i="18"/>
  <c r="U332" i="18" a="1"/>
  <c r="U332" i="18" s="1"/>
  <c r="T332" i="18" a="1"/>
  <c r="T332" i="18" s="1"/>
  <c r="S332" i="18" a="1"/>
  <c r="S332" i="18" s="1"/>
  <c r="Y331" i="18" a="1"/>
  <c r="Y331" i="18" s="1"/>
  <c r="X331" i="18"/>
  <c r="W331" i="18" a="1"/>
  <c r="W331" i="18" s="1"/>
  <c r="V331" i="18"/>
  <c r="U331" i="18" a="1"/>
  <c r="U331" i="18" s="1"/>
  <c r="T331" i="18" a="1"/>
  <c r="T331" i="18" s="1"/>
  <c r="S331" i="18" a="1"/>
  <c r="S331" i="18" s="1"/>
  <c r="Y330" i="18" a="1"/>
  <c r="Y330" i="18" s="1"/>
  <c r="X330" i="18"/>
  <c r="W330" i="18" a="1"/>
  <c r="W330" i="18" s="1"/>
  <c r="V330" i="18"/>
  <c r="U330" i="18" a="1"/>
  <c r="U330" i="18" s="1"/>
  <c r="T330" i="18" a="1"/>
  <c r="T330" i="18" s="1"/>
  <c r="S330" i="18" a="1"/>
  <c r="S330" i="18" s="1"/>
  <c r="Y329" i="18" a="1"/>
  <c r="Y329" i="18" s="1"/>
  <c r="X329" i="18"/>
  <c r="W329" i="18" a="1"/>
  <c r="W329" i="18" s="1"/>
  <c r="V329" i="18"/>
  <c r="U329" i="18" a="1"/>
  <c r="U329" i="18" s="1"/>
  <c r="T329" i="18" a="1"/>
  <c r="T329" i="18" s="1"/>
  <c r="S329" i="18" a="1"/>
  <c r="S329" i="18" s="1"/>
  <c r="Y328" i="18" a="1"/>
  <c r="Y328" i="18" s="1"/>
  <c r="X328" i="18"/>
  <c r="W328" i="18" a="1"/>
  <c r="W328" i="18" s="1"/>
  <c r="V328" i="18"/>
  <c r="U328" i="18" a="1"/>
  <c r="U328" i="18" s="1"/>
  <c r="T328" i="18" a="1"/>
  <c r="T328" i="18" s="1"/>
  <c r="S328" i="18" a="1"/>
  <c r="S328" i="18" s="1"/>
  <c r="Y327" i="18" a="1"/>
  <c r="Y327" i="18" s="1"/>
  <c r="AA327" i="18" s="1"/>
  <c r="X327" i="18"/>
  <c r="W327" i="18" a="1"/>
  <c r="W327" i="18" s="1"/>
  <c r="V327" i="18"/>
  <c r="U327" i="18" a="1"/>
  <c r="U327" i="18" s="1"/>
  <c r="T327" i="18" a="1"/>
  <c r="T327" i="18" s="1"/>
  <c r="S327" i="18" a="1"/>
  <c r="S327" i="18" s="1"/>
  <c r="Y326" i="18" a="1"/>
  <c r="Y326" i="18" s="1"/>
  <c r="X326" i="18"/>
  <c r="W326" i="18" a="1"/>
  <c r="W326" i="18" s="1"/>
  <c r="V326" i="18"/>
  <c r="U326" i="18" a="1"/>
  <c r="U326" i="18" s="1"/>
  <c r="T326" i="18" a="1"/>
  <c r="T326" i="18" s="1"/>
  <c r="S326" i="18" a="1"/>
  <c r="S326" i="18" s="1"/>
  <c r="Y325" i="18" a="1"/>
  <c r="Y325" i="18" s="1"/>
  <c r="X325" i="18"/>
  <c r="W325" i="18" a="1"/>
  <c r="W325" i="18" s="1"/>
  <c r="V325" i="18"/>
  <c r="U325" i="18" a="1"/>
  <c r="U325" i="18" s="1"/>
  <c r="T325" i="18" a="1"/>
  <c r="T325" i="18" s="1"/>
  <c r="S325" i="18" a="1"/>
  <c r="S325" i="18" s="1"/>
  <c r="Y324" i="18" a="1"/>
  <c r="Y324" i="18" s="1"/>
  <c r="X324" i="18"/>
  <c r="W324" i="18" a="1"/>
  <c r="W324" i="18" s="1"/>
  <c r="V324" i="18"/>
  <c r="U324" i="18" a="1"/>
  <c r="U324" i="18" s="1"/>
  <c r="T324" i="18" a="1"/>
  <c r="T324" i="18" s="1"/>
  <c r="S324" i="18" a="1"/>
  <c r="S324" i="18" s="1"/>
  <c r="Y323" i="18" a="1"/>
  <c r="Y323" i="18" s="1"/>
  <c r="X323" i="18"/>
  <c r="W323" i="18" a="1"/>
  <c r="W323" i="18" s="1"/>
  <c r="V323" i="18"/>
  <c r="U323" i="18" a="1"/>
  <c r="U323" i="18" s="1"/>
  <c r="T323" i="18" a="1"/>
  <c r="T323" i="18" s="1"/>
  <c r="S323" i="18" a="1"/>
  <c r="S323" i="18" s="1"/>
  <c r="Y322" i="18" a="1"/>
  <c r="Y322" i="18" s="1"/>
  <c r="X322" i="18"/>
  <c r="W322" i="18" a="1"/>
  <c r="W322" i="18" s="1"/>
  <c r="V322" i="18"/>
  <c r="U322" i="18" a="1"/>
  <c r="U322" i="18" s="1"/>
  <c r="T322" i="18" a="1"/>
  <c r="T322" i="18" s="1"/>
  <c r="S322" i="18" a="1"/>
  <c r="S322" i="18" s="1"/>
  <c r="Y321" i="18" a="1"/>
  <c r="Y321" i="18" s="1"/>
  <c r="X321" i="18"/>
  <c r="W321" i="18" a="1"/>
  <c r="W321" i="18" s="1"/>
  <c r="V321" i="18"/>
  <c r="U321" i="18" a="1"/>
  <c r="U321" i="18" s="1"/>
  <c r="T321" i="18" a="1"/>
  <c r="T321" i="18" s="1"/>
  <c r="S321" i="18" a="1"/>
  <c r="S321" i="18" s="1"/>
  <c r="Y320" i="18" a="1"/>
  <c r="Y320" i="18" s="1"/>
  <c r="X320" i="18"/>
  <c r="W320" i="18" a="1"/>
  <c r="W320" i="18" s="1"/>
  <c r="V320" i="18"/>
  <c r="U320" i="18" a="1"/>
  <c r="U320" i="18" s="1"/>
  <c r="T320" i="18" a="1"/>
  <c r="T320" i="18" s="1"/>
  <c r="S320" i="18" a="1"/>
  <c r="S320" i="18" s="1"/>
  <c r="Y319" i="18" a="1"/>
  <c r="Y319" i="18" s="1"/>
  <c r="X319" i="18"/>
  <c r="W319" i="18" a="1"/>
  <c r="W319" i="18" s="1"/>
  <c r="V319" i="18"/>
  <c r="U319" i="18" a="1"/>
  <c r="U319" i="18" s="1"/>
  <c r="T319" i="18" a="1"/>
  <c r="T319" i="18" s="1"/>
  <c r="S319" i="18" a="1"/>
  <c r="S319" i="18" s="1"/>
  <c r="Y318" i="18" a="1"/>
  <c r="Y318" i="18" s="1"/>
  <c r="X318" i="18"/>
  <c r="W318" i="18" a="1"/>
  <c r="W318" i="18" s="1"/>
  <c r="V318" i="18"/>
  <c r="U318" i="18" a="1"/>
  <c r="U318" i="18" s="1"/>
  <c r="T318" i="18" a="1"/>
  <c r="T318" i="18" s="1"/>
  <c r="S318" i="18" a="1"/>
  <c r="S318" i="18" s="1"/>
  <c r="Y317" i="18" a="1"/>
  <c r="Y317" i="18" s="1"/>
  <c r="X317" i="18"/>
  <c r="W317" i="18" a="1"/>
  <c r="W317" i="18" s="1"/>
  <c r="V317" i="18"/>
  <c r="U317" i="18" a="1"/>
  <c r="U317" i="18" s="1"/>
  <c r="T317" i="18" a="1"/>
  <c r="T317" i="18" s="1"/>
  <c r="S317" i="18" a="1"/>
  <c r="S317" i="18" s="1"/>
  <c r="Y316" i="18" a="1"/>
  <c r="Y316" i="18" s="1"/>
  <c r="X316" i="18"/>
  <c r="W316" i="18" a="1"/>
  <c r="W316" i="18" s="1"/>
  <c r="V316" i="18"/>
  <c r="U316" i="18" a="1"/>
  <c r="U316" i="18" s="1"/>
  <c r="T316" i="18" a="1"/>
  <c r="T316" i="18" s="1"/>
  <c r="S316" i="18" a="1"/>
  <c r="S316" i="18" s="1"/>
  <c r="Y315" i="18" a="1"/>
  <c r="Y315" i="18" s="1"/>
  <c r="X315" i="18"/>
  <c r="W315" i="18" a="1"/>
  <c r="W315" i="18" s="1"/>
  <c r="V315" i="18"/>
  <c r="U315" i="18" a="1"/>
  <c r="U315" i="18" s="1"/>
  <c r="T315" i="18" a="1"/>
  <c r="T315" i="18" s="1"/>
  <c r="S315" i="18" a="1"/>
  <c r="S315" i="18" s="1"/>
  <c r="Y314" i="18" a="1"/>
  <c r="Y314" i="18" s="1"/>
  <c r="X314" i="18"/>
  <c r="W314" i="18" a="1"/>
  <c r="W314" i="18" s="1"/>
  <c r="V314" i="18"/>
  <c r="U314" i="18" a="1"/>
  <c r="U314" i="18" s="1"/>
  <c r="T314" i="18" a="1"/>
  <c r="T314" i="18" s="1"/>
  <c r="S314" i="18" a="1"/>
  <c r="S314" i="18" s="1"/>
  <c r="Y313" i="18" a="1"/>
  <c r="Y313" i="18" s="1"/>
  <c r="X313" i="18"/>
  <c r="W313" i="18" a="1"/>
  <c r="W313" i="18" s="1"/>
  <c r="V313" i="18"/>
  <c r="U313" i="18" a="1"/>
  <c r="U313" i="18" s="1"/>
  <c r="T313" i="18" a="1"/>
  <c r="T313" i="18" s="1"/>
  <c r="S313" i="18" a="1"/>
  <c r="S313" i="18" s="1"/>
  <c r="Y312" i="18" a="1"/>
  <c r="Y312" i="18" s="1"/>
  <c r="X312" i="18"/>
  <c r="W312" i="18" a="1"/>
  <c r="W312" i="18" s="1"/>
  <c r="V312" i="18"/>
  <c r="U312" i="18" a="1"/>
  <c r="U312" i="18" s="1"/>
  <c r="T312" i="18" a="1"/>
  <c r="T312" i="18" s="1"/>
  <c r="S312" i="18" a="1"/>
  <c r="S312" i="18" s="1"/>
  <c r="Y311" i="18" a="1"/>
  <c r="Y311" i="18" s="1"/>
  <c r="X311" i="18"/>
  <c r="W311" i="18" a="1"/>
  <c r="W311" i="18" s="1"/>
  <c r="V311" i="18"/>
  <c r="U311" i="18" a="1"/>
  <c r="U311" i="18" s="1"/>
  <c r="T311" i="18" a="1"/>
  <c r="T311" i="18" s="1"/>
  <c r="S311" i="18" a="1"/>
  <c r="S311" i="18" s="1"/>
  <c r="Y310" i="18" a="1"/>
  <c r="Y310" i="18" s="1"/>
  <c r="AA310" i="18" s="1"/>
  <c r="X310" i="18"/>
  <c r="W310" i="18" a="1"/>
  <c r="W310" i="18" s="1"/>
  <c r="V310" i="18"/>
  <c r="U310" i="18" a="1"/>
  <c r="U310" i="18" s="1"/>
  <c r="T310" i="18" a="1"/>
  <c r="T310" i="18" s="1"/>
  <c r="S310" i="18" a="1"/>
  <c r="S310" i="18" s="1"/>
  <c r="Y309" i="18" a="1"/>
  <c r="Y309" i="18" s="1"/>
  <c r="X309" i="18"/>
  <c r="W309" i="18" a="1"/>
  <c r="W309" i="18" s="1"/>
  <c r="V309" i="18"/>
  <c r="U309" i="18" a="1"/>
  <c r="U309" i="18" s="1"/>
  <c r="T309" i="18" a="1"/>
  <c r="T309" i="18" s="1"/>
  <c r="S309" i="18" a="1"/>
  <c r="S309" i="18" s="1"/>
  <c r="Y308" i="18" a="1"/>
  <c r="Y308" i="18" s="1"/>
  <c r="X308" i="18"/>
  <c r="W308" i="18" a="1"/>
  <c r="W308" i="18" s="1"/>
  <c r="V308" i="18"/>
  <c r="U308" i="18" a="1"/>
  <c r="U308" i="18" s="1"/>
  <c r="T308" i="18" a="1"/>
  <c r="T308" i="18" s="1"/>
  <c r="S308" i="18" a="1"/>
  <c r="S308" i="18" s="1"/>
  <c r="Y307" i="18" a="1"/>
  <c r="Y307" i="18" s="1"/>
  <c r="X307" i="18"/>
  <c r="W307" i="18" a="1"/>
  <c r="W307" i="18" s="1"/>
  <c r="V307" i="18"/>
  <c r="U307" i="18" a="1"/>
  <c r="U307" i="18" s="1"/>
  <c r="T307" i="18" a="1"/>
  <c r="T307" i="18" s="1"/>
  <c r="S307" i="18" a="1"/>
  <c r="S307" i="18" s="1"/>
  <c r="Y306" i="18" a="1"/>
  <c r="Y306" i="18" s="1"/>
  <c r="X306" i="18"/>
  <c r="W306" i="18" a="1"/>
  <c r="W306" i="18" s="1"/>
  <c r="V306" i="18"/>
  <c r="U306" i="18" a="1"/>
  <c r="U306" i="18" s="1"/>
  <c r="T306" i="18" a="1"/>
  <c r="T306" i="18" s="1"/>
  <c r="S306" i="18" a="1"/>
  <c r="S306" i="18" s="1"/>
  <c r="Y305" i="18" a="1"/>
  <c r="Y305" i="18" s="1"/>
  <c r="X305" i="18"/>
  <c r="W305" i="18" a="1"/>
  <c r="W305" i="18" s="1"/>
  <c r="V305" i="18"/>
  <c r="U305" i="18" a="1"/>
  <c r="U305" i="18" s="1"/>
  <c r="T305" i="18" a="1"/>
  <c r="T305" i="18" s="1"/>
  <c r="S305" i="18" a="1"/>
  <c r="S305" i="18" s="1"/>
  <c r="Y304" i="18" a="1"/>
  <c r="Y304" i="18" s="1"/>
  <c r="X304" i="18"/>
  <c r="W304" i="18" a="1"/>
  <c r="W304" i="18" s="1"/>
  <c r="V304" i="18"/>
  <c r="U304" i="18" a="1"/>
  <c r="U304" i="18" s="1"/>
  <c r="T304" i="18" a="1"/>
  <c r="T304" i="18" s="1"/>
  <c r="S304" i="18" a="1"/>
  <c r="S304" i="18" s="1"/>
  <c r="Y303" i="18" a="1"/>
  <c r="Y303" i="18" s="1"/>
  <c r="X303" i="18"/>
  <c r="W303" i="18" a="1"/>
  <c r="W303" i="18" s="1"/>
  <c r="V303" i="18"/>
  <c r="U303" i="18" a="1"/>
  <c r="U303" i="18" s="1"/>
  <c r="T303" i="18" a="1"/>
  <c r="T303" i="18" s="1"/>
  <c r="S303" i="18" a="1"/>
  <c r="S303" i="18" s="1"/>
  <c r="Y302" i="18" a="1"/>
  <c r="Y302" i="18" s="1"/>
  <c r="X302" i="18"/>
  <c r="W302" i="18" a="1"/>
  <c r="W302" i="18" s="1"/>
  <c r="V302" i="18"/>
  <c r="U302" i="18" a="1"/>
  <c r="U302" i="18" s="1"/>
  <c r="T302" i="18" a="1"/>
  <c r="T302" i="18" s="1"/>
  <c r="S302" i="18" a="1"/>
  <c r="S302" i="18" s="1"/>
  <c r="Y301" i="18" a="1"/>
  <c r="Y301" i="18" s="1"/>
  <c r="X301" i="18"/>
  <c r="W301" i="18" a="1"/>
  <c r="W301" i="18" s="1"/>
  <c r="V301" i="18"/>
  <c r="U301" i="18" a="1"/>
  <c r="U301" i="18" s="1"/>
  <c r="T301" i="18" a="1"/>
  <c r="T301" i="18" s="1"/>
  <c r="S301" i="18" a="1"/>
  <c r="S301" i="18" s="1"/>
  <c r="Y300" i="18" a="1"/>
  <c r="Y300" i="18" s="1"/>
  <c r="X300" i="18"/>
  <c r="W300" i="18" a="1"/>
  <c r="W300" i="18" s="1"/>
  <c r="V300" i="18"/>
  <c r="U300" i="18" a="1"/>
  <c r="U300" i="18" s="1"/>
  <c r="T300" i="18" a="1"/>
  <c r="T300" i="18" s="1"/>
  <c r="S300" i="18" a="1"/>
  <c r="S300" i="18" s="1"/>
  <c r="Y299" i="18" a="1"/>
  <c r="Y299" i="18" s="1"/>
  <c r="X299" i="18"/>
  <c r="W299" i="18" a="1"/>
  <c r="W299" i="18" s="1"/>
  <c r="V299" i="18"/>
  <c r="U299" i="18" a="1"/>
  <c r="U299" i="18" s="1"/>
  <c r="T299" i="18" a="1"/>
  <c r="T299" i="18" s="1"/>
  <c r="S299" i="18" a="1"/>
  <c r="S299" i="18" s="1"/>
  <c r="Y298" i="18" a="1"/>
  <c r="Y298" i="18" s="1"/>
  <c r="X298" i="18"/>
  <c r="W298" i="18" a="1"/>
  <c r="W298" i="18" s="1"/>
  <c r="V298" i="18"/>
  <c r="U298" i="18" a="1"/>
  <c r="U298" i="18" s="1"/>
  <c r="T298" i="18" a="1"/>
  <c r="T298" i="18" s="1"/>
  <c r="S298" i="18" a="1"/>
  <c r="S298" i="18" s="1"/>
  <c r="Y297" i="18" a="1"/>
  <c r="Y297" i="18" s="1"/>
  <c r="X297" i="18"/>
  <c r="W297" i="18" a="1"/>
  <c r="W297" i="18" s="1"/>
  <c r="V297" i="18"/>
  <c r="U297" i="18" a="1"/>
  <c r="U297" i="18" s="1"/>
  <c r="T297" i="18" a="1"/>
  <c r="T297" i="18" s="1"/>
  <c r="S297" i="18" a="1"/>
  <c r="S297" i="18" s="1"/>
  <c r="Y296" i="18" a="1"/>
  <c r="Y296" i="18" s="1"/>
  <c r="AA296" i="18" s="1"/>
  <c r="X296" i="18"/>
  <c r="W296" i="18" a="1"/>
  <c r="W296" i="18" s="1"/>
  <c r="V296" i="18"/>
  <c r="U296" i="18" a="1"/>
  <c r="U296" i="18" s="1"/>
  <c r="T296" i="18" a="1"/>
  <c r="T296" i="18" s="1"/>
  <c r="S296" i="18" a="1"/>
  <c r="S296" i="18" s="1"/>
  <c r="Y295" i="18" a="1"/>
  <c r="Y295" i="18" s="1"/>
  <c r="X295" i="18"/>
  <c r="W295" i="18" a="1"/>
  <c r="W295" i="18" s="1"/>
  <c r="V295" i="18"/>
  <c r="U295" i="18" a="1"/>
  <c r="U295" i="18" s="1"/>
  <c r="T295" i="18" a="1"/>
  <c r="T295" i="18" s="1"/>
  <c r="S295" i="18" a="1"/>
  <c r="S295" i="18" s="1"/>
  <c r="Y294" i="18" a="1"/>
  <c r="Y294" i="18" s="1"/>
  <c r="X294" i="18"/>
  <c r="W294" i="18" a="1"/>
  <c r="W294" i="18" s="1"/>
  <c r="V294" i="18"/>
  <c r="U294" i="18" a="1"/>
  <c r="U294" i="18" s="1"/>
  <c r="T294" i="18" a="1"/>
  <c r="T294" i="18" s="1"/>
  <c r="S294" i="18" a="1"/>
  <c r="S294" i="18" s="1"/>
  <c r="Y293" i="18" a="1"/>
  <c r="Y293" i="18" s="1"/>
  <c r="X293" i="18"/>
  <c r="W293" i="18" a="1"/>
  <c r="W293" i="18" s="1"/>
  <c r="V293" i="18"/>
  <c r="U293" i="18" a="1"/>
  <c r="U293" i="18" s="1"/>
  <c r="T293" i="18" a="1"/>
  <c r="T293" i="18" s="1"/>
  <c r="S293" i="18" a="1"/>
  <c r="S293" i="18" s="1"/>
  <c r="Y292" i="18" a="1"/>
  <c r="Y292" i="18" s="1"/>
  <c r="X292" i="18"/>
  <c r="W292" i="18" a="1"/>
  <c r="W292" i="18" s="1"/>
  <c r="V292" i="18"/>
  <c r="U292" i="18" a="1"/>
  <c r="U292" i="18" s="1"/>
  <c r="T292" i="18" a="1"/>
  <c r="T292" i="18" s="1"/>
  <c r="S292" i="18" a="1"/>
  <c r="S292" i="18" s="1"/>
  <c r="Y291" i="18" a="1"/>
  <c r="Y291" i="18" s="1"/>
  <c r="X291" i="18"/>
  <c r="W291" i="18" a="1"/>
  <c r="W291" i="18" s="1"/>
  <c r="V291" i="18"/>
  <c r="U291" i="18" a="1"/>
  <c r="U291" i="18" s="1"/>
  <c r="T291" i="18" a="1"/>
  <c r="T291" i="18" s="1"/>
  <c r="S291" i="18" a="1"/>
  <c r="S291" i="18" s="1"/>
  <c r="Y290" i="18" a="1"/>
  <c r="Y290" i="18" s="1"/>
  <c r="X290" i="18"/>
  <c r="W290" i="18" a="1"/>
  <c r="W290" i="18" s="1"/>
  <c r="V290" i="18"/>
  <c r="U290" i="18" a="1"/>
  <c r="U290" i="18" s="1"/>
  <c r="T290" i="18" a="1"/>
  <c r="T290" i="18" s="1"/>
  <c r="S290" i="18" a="1"/>
  <c r="S290" i="18" s="1"/>
  <c r="Y289" i="18" a="1"/>
  <c r="Y289" i="18" s="1"/>
  <c r="X289" i="18"/>
  <c r="W289" i="18" a="1"/>
  <c r="W289" i="18" s="1"/>
  <c r="V289" i="18"/>
  <c r="U289" i="18" a="1"/>
  <c r="U289" i="18" s="1"/>
  <c r="T289" i="18" a="1"/>
  <c r="T289" i="18" s="1"/>
  <c r="S289" i="18" a="1"/>
  <c r="S289" i="18" s="1"/>
  <c r="Y288" i="18" a="1"/>
  <c r="Y288" i="18" s="1"/>
  <c r="AA288" i="18" s="1"/>
  <c r="X288" i="18"/>
  <c r="W288" i="18" a="1"/>
  <c r="W288" i="18" s="1"/>
  <c r="V288" i="18"/>
  <c r="U288" i="18" a="1"/>
  <c r="U288" i="18" s="1"/>
  <c r="T288" i="18" a="1"/>
  <c r="T288" i="18" s="1"/>
  <c r="S288" i="18" a="1"/>
  <c r="S288" i="18" s="1"/>
  <c r="Y287" i="18" a="1"/>
  <c r="Y287" i="18" s="1"/>
  <c r="X287" i="18"/>
  <c r="W287" i="18" a="1"/>
  <c r="W287" i="18" s="1"/>
  <c r="V287" i="18"/>
  <c r="U287" i="18" a="1"/>
  <c r="U287" i="18" s="1"/>
  <c r="T287" i="18" a="1"/>
  <c r="T287" i="18" s="1"/>
  <c r="S287" i="18" a="1"/>
  <c r="S287" i="18" s="1"/>
  <c r="Y286" i="18" a="1"/>
  <c r="Y286" i="18" s="1"/>
  <c r="X286" i="18"/>
  <c r="W286" i="18" a="1"/>
  <c r="W286" i="18" s="1"/>
  <c r="V286" i="18"/>
  <c r="U286" i="18" a="1"/>
  <c r="U286" i="18" s="1"/>
  <c r="T286" i="18" a="1"/>
  <c r="T286" i="18" s="1"/>
  <c r="S286" i="18" a="1"/>
  <c r="S286" i="18" s="1"/>
  <c r="Y285" i="18" a="1"/>
  <c r="Y285" i="18" s="1"/>
  <c r="X285" i="18"/>
  <c r="W285" i="18" a="1"/>
  <c r="W285" i="18" s="1"/>
  <c r="V285" i="18"/>
  <c r="U285" i="18" a="1"/>
  <c r="U285" i="18" s="1"/>
  <c r="T285" i="18" a="1"/>
  <c r="T285" i="18" s="1"/>
  <c r="S285" i="18" a="1"/>
  <c r="S285" i="18" s="1"/>
  <c r="Y284" i="18" a="1"/>
  <c r="Y284" i="18" s="1"/>
  <c r="X284" i="18"/>
  <c r="W284" i="18" a="1"/>
  <c r="W284" i="18" s="1"/>
  <c r="V284" i="18"/>
  <c r="U284" i="18" a="1"/>
  <c r="U284" i="18" s="1"/>
  <c r="T284" i="18" a="1"/>
  <c r="T284" i="18" s="1"/>
  <c r="S284" i="18" a="1"/>
  <c r="S284" i="18" s="1"/>
  <c r="Y283" i="18" a="1"/>
  <c r="Y283" i="18" s="1"/>
  <c r="X283" i="18"/>
  <c r="W283" i="18" a="1"/>
  <c r="W283" i="18" s="1"/>
  <c r="V283" i="18"/>
  <c r="U283" i="18" a="1"/>
  <c r="U283" i="18" s="1"/>
  <c r="T283" i="18" a="1"/>
  <c r="T283" i="18" s="1"/>
  <c r="S283" i="18" a="1"/>
  <c r="S283" i="18" s="1"/>
  <c r="Y282" i="18" a="1"/>
  <c r="Y282" i="18" s="1"/>
  <c r="X282" i="18"/>
  <c r="W282" i="18" a="1"/>
  <c r="W282" i="18" s="1"/>
  <c r="V282" i="18"/>
  <c r="U282" i="18" a="1"/>
  <c r="U282" i="18" s="1"/>
  <c r="T282" i="18" a="1"/>
  <c r="T282" i="18" s="1"/>
  <c r="S282" i="18" a="1"/>
  <c r="S282" i="18" s="1"/>
  <c r="Y281" i="18" a="1"/>
  <c r="Y281" i="18" s="1"/>
  <c r="X281" i="18"/>
  <c r="W281" i="18" a="1"/>
  <c r="W281" i="18" s="1"/>
  <c r="V281" i="18"/>
  <c r="U281" i="18" a="1"/>
  <c r="U281" i="18" s="1"/>
  <c r="T281" i="18" a="1"/>
  <c r="T281" i="18" s="1"/>
  <c r="S281" i="18" a="1"/>
  <c r="S281" i="18" s="1"/>
  <c r="Y280" i="18" a="1"/>
  <c r="Y280" i="18" s="1"/>
  <c r="X280" i="18"/>
  <c r="W280" i="18" a="1"/>
  <c r="W280" i="18" s="1"/>
  <c r="V280" i="18"/>
  <c r="U280" i="18" a="1"/>
  <c r="U280" i="18" s="1"/>
  <c r="T280" i="18" a="1"/>
  <c r="T280" i="18" s="1"/>
  <c r="S280" i="18" a="1"/>
  <c r="S280" i="18" s="1"/>
  <c r="Y279" i="18" a="1"/>
  <c r="Y279" i="18" s="1"/>
  <c r="X279" i="18"/>
  <c r="W279" i="18" a="1"/>
  <c r="W279" i="18" s="1"/>
  <c r="V279" i="18"/>
  <c r="U279" i="18" a="1"/>
  <c r="U279" i="18" s="1"/>
  <c r="T279" i="18" a="1"/>
  <c r="T279" i="18" s="1"/>
  <c r="S279" i="18" a="1"/>
  <c r="S279" i="18" s="1"/>
  <c r="Y278" i="18" a="1"/>
  <c r="Y278" i="18" s="1"/>
  <c r="X278" i="18"/>
  <c r="W278" i="18" a="1"/>
  <c r="W278" i="18" s="1"/>
  <c r="V278" i="18"/>
  <c r="U278" i="18" a="1"/>
  <c r="U278" i="18" s="1"/>
  <c r="T278" i="18" a="1"/>
  <c r="T278" i="18" s="1"/>
  <c r="S278" i="18" a="1"/>
  <c r="S278" i="18" s="1"/>
  <c r="Y277" i="18" a="1"/>
  <c r="Y277" i="18" s="1"/>
  <c r="AA277" i="18" s="1"/>
  <c r="X277" i="18"/>
  <c r="W277" i="18" a="1"/>
  <c r="W277" i="18" s="1"/>
  <c r="V277" i="18"/>
  <c r="U277" i="18" a="1"/>
  <c r="U277" i="18" s="1"/>
  <c r="T277" i="18" a="1"/>
  <c r="T277" i="18" s="1"/>
  <c r="S277" i="18" a="1"/>
  <c r="S277" i="18" s="1"/>
  <c r="Y276" i="18" a="1"/>
  <c r="Y276" i="18" s="1"/>
  <c r="X276" i="18"/>
  <c r="W276" i="18" a="1"/>
  <c r="W276" i="18" s="1"/>
  <c r="V276" i="18"/>
  <c r="U276" i="18" a="1"/>
  <c r="U276" i="18" s="1"/>
  <c r="T276" i="18" a="1"/>
  <c r="T276" i="18" s="1"/>
  <c r="S276" i="18" a="1"/>
  <c r="S276" i="18" s="1"/>
  <c r="Y275" i="18" a="1"/>
  <c r="Y275" i="18" s="1"/>
  <c r="X275" i="18"/>
  <c r="W275" i="18" a="1"/>
  <c r="W275" i="18" s="1"/>
  <c r="V275" i="18"/>
  <c r="U275" i="18" a="1"/>
  <c r="U275" i="18" s="1"/>
  <c r="T275" i="18" a="1"/>
  <c r="T275" i="18" s="1"/>
  <c r="S275" i="18" a="1"/>
  <c r="S275" i="18" s="1"/>
  <c r="Y274" i="18" a="1"/>
  <c r="Y274" i="18" s="1"/>
  <c r="X274" i="18"/>
  <c r="W274" i="18" a="1"/>
  <c r="W274" i="18" s="1"/>
  <c r="V274" i="18"/>
  <c r="U274" i="18" a="1"/>
  <c r="U274" i="18" s="1"/>
  <c r="T274" i="18" a="1"/>
  <c r="T274" i="18" s="1"/>
  <c r="S274" i="18" a="1"/>
  <c r="S274" i="18" s="1"/>
  <c r="Y273" i="18" a="1"/>
  <c r="Y273" i="18" s="1"/>
  <c r="X273" i="18"/>
  <c r="W273" i="18" a="1"/>
  <c r="W273" i="18" s="1"/>
  <c r="V273" i="18"/>
  <c r="U273" i="18" a="1"/>
  <c r="U273" i="18" s="1"/>
  <c r="T273" i="18" a="1"/>
  <c r="T273" i="18" s="1"/>
  <c r="S273" i="18" a="1"/>
  <c r="S273" i="18" s="1"/>
  <c r="Y272" i="18" a="1"/>
  <c r="Y272" i="18" s="1"/>
  <c r="X272" i="18"/>
  <c r="W272" i="18" a="1"/>
  <c r="W272" i="18" s="1"/>
  <c r="V272" i="18"/>
  <c r="U272" i="18" a="1"/>
  <c r="U272" i="18" s="1"/>
  <c r="T272" i="18" a="1"/>
  <c r="T272" i="18" s="1"/>
  <c r="S272" i="18" a="1"/>
  <c r="S272" i="18" s="1"/>
  <c r="Y271" i="18" a="1"/>
  <c r="Y271" i="18" s="1"/>
  <c r="X271" i="18"/>
  <c r="W271" i="18" a="1"/>
  <c r="W271" i="18" s="1"/>
  <c r="V271" i="18"/>
  <c r="U271" i="18" a="1"/>
  <c r="U271" i="18" s="1"/>
  <c r="T271" i="18" a="1"/>
  <c r="T271" i="18" s="1"/>
  <c r="S271" i="18" a="1"/>
  <c r="S271" i="18" s="1"/>
  <c r="Y270" i="18" a="1"/>
  <c r="Y270" i="18" s="1"/>
  <c r="X270" i="18"/>
  <c r="W270" i="18" a="1"/>
  <c r="W270" i="18" s="1"/>
  <c r="V270" i="18"/>
  <c r="U270" i="18" a="1"/>
  <c r="U270" i="18" s="1"/>
  <c r="T270" i="18" a="1"/>
  <c r="T270" i="18" s="1"/>
  <c r="S270" i="18" a="1"/>
  <c r="S270" i="18" s="1"/>
  <c r="Y269" i="18" a="1"/>
  <c r="Y269" i="18" s="1"/>
  <c r="X269" i="18"/>
  <c r="W269" i="18" a="1"/>
  <c r="W269" i="18" s="1"/>
  <c r="V269" i="18"/>
  <c r="U269" i="18" a="1"/>
  <c r="U269" i="18" s="1"/>
  <c r="T269" i="18" a="1"/>
  <c r="T269" i="18" s="1"/>
  <c r="S269" i="18" a="1"/>
  <c r="S269" i="18" s="1"/>
  <c r="Y268" i="18" a="1"/>
  <c r="Y268" i="18" s="1"/>
  <c r="X268" i="18"/>
  <c r="W268" i="18" a="1"/>
  <c r="W268" i="18" s="1"/>
  <c r="V268" i="18"/>
  <c r="U268" i="18" a="1"/>
  <c r="U268" i="18" s="1"/>
  <c r="T268" i="18" a="1"/>
  <c r="T268" i="18" s="1"/>
  <c r="S268" i="18" a="1"/>
  <c r="S268" i="18" s="1"/>
  <c r="Y267" i="18" a="1"/>
  <c r="Y267" i="18" s="1"/>
  <c r="X267" i="18"/>
  <c r="W267" i="18" a="1"/>
  <c r="W267" i="18" s="1"/>
  <c r="V267" i="18"/>
  <c r="U267" i="18" a="1"/>
  <c r="U267" i="18" s="1"/>
  <c r="T267" i="18" a="1"/>
  <c r="T267" i="18" s="1"/>
  <c r="S267" i="18" a="1"/>
  <c r="S267" i="18" s="1"/>
  <c r="Y266" i="18" a="1"/>
  <c r="Y266" i="18" s="1"/>
  <c r="X266" i="18"/>
  <c r="W266" i="18" a="1"/>
  <c r="W266" i="18" s="1"/>
  <c r="V266" i="18"/>
  <c r="U266" i="18" a="1"/>
  <c r="U266" i="18" s="1"/>
  <c r="T266" i="18" a="1"/>
  <c r="T266" i="18" s="1"/>
  <c r="S266" i="18" a="1"/>
  <c r="S266" i="18" s="1"/>
  <c r="Y265" i="18" a="1"/>
  <c r="Y265" i="18" s="1"/>
  <c r="X265" i="18"/>
  <c r="W265" i="18" a="1"/>
  <c r="W265" i="18" s="1"/>
  <c r="V265" i="18"/>
  <c r="U265" i="18" a="1"/>
  <c r="U265" i="18" s="1"/>
  <c r="T265" i="18" a="1"/>
  <c r="T265" i="18" s="1"/>
  <c r="S265" i="18" a="1"/>
  <c r="S265" i="18" s="1"/>
  <c r="Y264" i="18" a="1"/>
  <c r="Y264" i="18" s="1"/>
  <c r="X264" i="18"/>
  <c r="W264" i="18" a="1"/>
  <c r="W264" i="18" s="1"/>
  <c r="V264" i="18"/>
  <c r="U264" i="18" a="1"/>
  <c r="U264" i="18" s="1"/>
  <c r="T264" i="18" a="1"/>
  <c r="T264" i="18" s="1"/>
  <c r="S264" i="18" a="1"/>
  <c r="S264" i="18" s="1"/>
  <c r="Y263" i="18" a="1"/>
  <c r="Y263" i="18" s="1"/>
  <c r="X263" i="18"/>
  <c r="W263" i="18" a="1"/>
  <c r="W263" i="18" s="1"/>
  <c r="V263" i="18"/>
  <c r="U263" i="18" a="1"/>
  <c r="U263" i="18" s="1"/>
  <c r="T263" i="18" a="1"/>
  <c r="T263" i="18" s="1"/>
  <c r="S263" i="18" a="1"/>
  <c r="S263" i="18" s="1"/>
  <c r="Y262" i="18" a="1"/>
  <c r="Y262" i="18" s="1"/>
  <c r="AA262" i="18" s="1"/>
  <c r="X262" i="18"/>
  <c r="W262" i="18" a="1"/>
  <c r="W262" i="18" s="1"/>
  <c r="V262" i="18"/>
  <c r="U262" i="18" a="1"/>
  <c r="U262" i="18" s="1"/>
  <c r="T262" i="18" a="1"/>
  <c r="T262" i="18" s="1"/>
  <c r="S262" i="18" a="1"/>
  <c r="S262" i="18" s="1"/>
  <c r="Y261" i="18" a="1"/>
  <c r="Y261" i="18" s="1"/>
  <c r="X261" i="18"/>
  <c r="W261" i="18" a="1"/>
  <c r="W261" i="18" s="1"/>
  <c r="V261" i="18"/>
  <c r="U261" i="18" a="1"/>
  <c r="U261" i="18" s="1"/>
  <c r="T261" i="18" a="1"/>
  <c r="T261" i="18" s="1"/>
  <c r="S261" i="18" a="1"/>
  <c r="S261" i="18" s="1"/>
  <c r="Y260" i="18" a="1"/>
  <c r="Y260" i="18" s="1"/>
  <c r="X260" i="18"/>
  <c r="W260" i="18" a="1"/>
  <c r="W260" i="18" s="1"/>
  <c r="V260" i="18"/>
  <c r="U260" i="18" a="1"/>
  <c r="U260" i="18" s="1"/>
  <c r="T260" i="18" a="1"/>
  <c r="T260" i="18" s="1"/>
  <c r="S260" i="18" a="1"/>
  <c r="S260" i="18" s="1"/>
  <c r="Y259" i="18" a="1"/>
  <c r="Y259" i="18" s="1"/>
  <c r="X259" i="18"/>
  <c r="W259" i="18" a="1"/>
  <c r="W259" i="18" s="1"/>
  <c r="V259" i="18"/>
  <c r="U259" i="18" a="1"/>
  <c r="U259" i="18" s="1"/>
  <c r="T259" i="18" a="1"/>
  <c r="T259" i="18" s="1"/>
  <c r="S259" i="18" a="1"/>
  <c r="S259" i="18" s="1"/>
  <c r="Y258" i="18" a="1"/>
  <c r="Y258" i="18" s="1"/>
  <c r="X258" i="18"/>
  <c r="W258" i="18" a="1"/>
  <c r="W258" i="18" s="1"/>
  <c r="V258" i="18"/>
  <c r="U258" i="18" a="1"/>
  <c r="U258" i="18" s="1"/>
  <c r="T258" i="18" a="1"/>
  <c r="T258" i="18" s="1"/>
  <c r="S258" i="18" a="1"/>
  <c r="S258" i="18" s="1"/>
  <c r="Y257" i="18" a="1"/>
  <c r="Y257" i="18" s="1"/>
  <c r="X257" i="18"/>
  <c r="W257" i="18" a="1"/>
  <c r="W257" i="18" s="1"/>
  <c r="V257" i="18"/>
  <c r="U257" i="18" a="1"/>
  <c r="U257" i="18" s="1"/>
  <c r="T257" i="18" a="1"/>
  <c r="T257" i="18" s="1"/>
  <c r="S257" i="18" a="1"/>
  <c r="S257" i="18" s="1"/>
  <c r="Y256" i="18" a="1"/>
  <c r="Y256" i="18" s="1"/>
  <c r="X256" i="18"/>
  <c r="W256" i="18" a="1"/>
  <c r="W256" i="18" s="1"/>
  <c r="V256" i="18"/>
  <c r="U256" i="18" a="1"/>
  <c r="U256" i="18" s="1"/>
  <c r="T256" i="18" a="1"/>
  <c r="T256" i="18" s="1"/>
  <c r="S256" i="18" a="1"/>
  <c r="S256" i="18" s="1"/>
  <c r="Y255" i="18" a="1"/>
  <c r="Y255" i="18" s="1"/>
  <c r="X255" i="18"/>
  <c r="W255" i="18" a="1"/>
  <c r="W255" i="18" s="1"/>
  <c r="V255" i="18"/>
  <c r="U255" i="18" a="1"/>
  <c r="U255" i="18" s="1"/>
  <c r="T255" i="18" a="1"/>
  <c r="T255" i="18" s="1"/>
  <c r="S255" i="18" a="1"/>
  <c r="S255" i="18" s="1"/>
  <c r="Y254" i="18" a="1"/>
  <c r="Y254" i="18" s="1"/>
  <c r="X254" i="18"/>
  <c r="W254" i="18" a="1"/>
  <c r="W254" i="18" s="1"/>
  <c r="V254" i="18"/>
  <c r="U254" i="18" a="1"/>
  <c r="U254" i="18" s="1"/>
  <c r="T254" i="18" a="1"/>
  <c r="T254" i="18" s="1"/>
  <c r="S254" i="18" a="1"/>
  <c r="S254" i="18" s="1"/>
  <c r="Y253" i="18" a="1"/>
  <c r="Y253" i="18" s="1"/>
  <c r="X253" i="18"/>
  <c r="W253" i="18" a="1"/>
  <c r="W253" i="18" s="1"/>
  <c r="V253" i="18"/>
  <c r="U253" i="18" a="1"/>
  <c r="U253" i="18" s="1"/>
  <c r="T253" i="18" a="1"/>
  <c r="T253" i="18" s="1"/>
  <c r="S253" i="18" a="1"/>
  <c r="S253" i="18" s="1"/>
  <c r="Y252" i="18" a="1"/>
  <c r="Y252" i="18" s="1"/>
  <c r="X252" i="18"/>
  <c r="W252" i="18" a="1"/>
  <c r="W252" i="18" s="1"/>
  <c r="V252" i="18"/>
  <c r="U252" i="18" a="1"/>
  <c r="U252" i="18" s="1"/>
  <c r="T252" i="18" a="1"/>
  <c r="T252" i="18" s="1"/>
  <c r="S252" i="18" a="1"/>
  <c r="S252" i="18" s="1"/>
  <c r="Y251" i="18" a="1"/>
  <c r="Y251" i="18" s="1"/>
  <c r="X251" i="18"/>
  <c r="W251" i="18" a="1"/>
  <c r="W251" i="18" s="1"/>
  <c r="V251" i="18"/>
  <c r="U251" i="18" a="1"/>
  <c r="U251" i="18" s="1"/>
  <c r="T251" i="18" a="1"/>
  <c r="T251" i="18" s="1"/>
  <c r="S251" i="18" a="1"/>
  <c r="S251" i="18" s="1"/>
  <c r="Y250" i="18" a="1"/>
  <c r="Y250" i="18" s="1"/>
  <c r="X250" i="18"/>
  <c r="W250" i="18" a="1"/>
  <c r="W250" i="18" s="1"/>
  <c r="V250" i="18"/>
  <c r="U250" i="18" a="1"/>
  <c r="U250" i="18" s="1"/>
  <c r="T250" i="18" a="1"/>
  <c r="T250" i="18" s="1"/>
  <c r="S250" i="18" a="1"/>
  <c r="S250" i="18" s="1"/>
  <c r="Y249" i="18" a="1"/>
  <c r="Y249" i="18" s="1"/>
  <c r="X249" i="18"/>
  <c r="W249" i="18" a="1"/>
  <c r="W249" i="18" s="1"/>
  <c r="V249" i="18"/>
  <c r="U249" i="18" a="1"/>
  <c r="U249" i="18" s="1"/>
  <c r="T249" i="18" a="1"/>
  <c r="T249" i="18" s="1"/>
  <c r="S249" i="18" a="1"/>
  <c r="S249" i="18" s="1"/>
  <c r="Y248" i="18" a="1"/>
  <c r="Y248" i="18" s="1"/>
  <c r="AA248" i="18" s="1"/>
  <c r="X248" i="18"/>
  <c r="W248" i="18" a="1"/>
  <c r="W248" i="18" s="1"/>
  <c r="V248" i="18"/>
  <c r="U248" i="18" a="1"/>
  <c r="U248" i="18" s="1"/>
  <c r="T248" i="18" a="1"/>
  <c r="T248" i="18" s="1"/>
  <c r="S248" i="18" a="1"/>
  <c r="S248" i="18" s="1"/>
  <c r="Y247" i="18" a="1"/>
  <c r="Y247" i="18" s="1"/>
  <c r="X247" i="18"/>
  <c r="W247" i="18" a="1"/>
  <c r="W247" i="18" s="1"/>
  <c r="V247" i="18"/>
  <c r="U247" i="18" a="1"/>
  <c r="U247" i="18" s="1"/>
  <c r="T247" i="18" a="1"/>
  <c r="T247" i="18" s="1"/>
  <c r="S247" i="18" a="1"/>
  <c r="S247" i="18" s="1"/>
  <c r="Y246" i="18" a="1"/>
  <c r="Y246" i="18" s="1"/>
  <c r="X246" i="18"/>
  <c r="W246" i="18" a="1"/>
  <c r="W246" i="18" s="1"/>
  <c r="V246" i="18"/>
  <c r="U246" i="18" a="1"/>
  <c r="U246" i="18" s="1"/>
  <c r="T246" i="18" a="1"/>
  <c r="T246" i="18" s="1"/>
  <c r="S246" i="18" a="1"/>
  <c r="S246" i="18" s="1"/>
  <c r="Y245" i="18" a="1"/>
  <c r="Y245" i="18" s="1"/>
  <c r="X245" i="18"/>
  <c r="W245" i="18" a="1"/>
  <c r="W245" i="18" s="1"/>
  <c r="V245" i="18"/>
  <c r="U245" i="18" a="1"/>
  <c r="U245" i="18" s="1"/>
  <c r="T245" i="18" a="1"/>
  <c r="T245" i="18" s="1"/>
  <c r="S245" i="18" a="1"/>
  <c r="S245" i="18" s="1"/>
  <c r="Y244" i="18" a="1"/>
  <c r="Y244" i="18" s="1"/>
  <c r="X244" i="18"/>
  <c r="W244" i="18" a="1"/>
  <c r="W244" i="18" s="1"/>
  <c r="V244" i="18"/>
  <c r="U244" i="18" a="1"/>
  <c r="U244" i="18" s="1"/>
  <c r="T244" i="18" a="1"/>
  <c r="T244" i="18" s="1"/>
  <c r="S244" i="18" a="1"/>
  <c r="S244" i="18" s="1"/>
  <c r="Y243" i="18" a="1"/>
  <c r="Y243" i="18" s="1"/>
  <c r="X243" i="18"/>
  <c r="W243" i="18" a="1"/>
  <c r="W243" i="18" s="1"/>
  <c r="V243" i="18"/>
  <c r="U243" i="18" a="1"/>
  <c r="U243" i="18" s="1"/>
  <c r="T243" i="18" a="1"/>
  <c r="T243" i="18" s="1"/>
  <c r="S243" i="18" a="1"/>
  <c r="S243" i="18" s="1"/>
  <c r="Y242" i="18" a="1"/>
  <c r="Y242" i="18" s="1"/>
  <c r="X242" i="18"/>
  <c r="W242" i="18" a="1"/>
  <c r="W242" i="18" s="1"/>
  <c r="V242" i="18"/>
  <c r="U242" i="18" a="1"/>
  <c r="U242" i="18" s="1"/>
  <c r="T242" i="18" a="1"/>
  <c r="T242" i="18" s="1"/>
  <c r="S242" i="18" a="1"/>
  <c r="S242" i="18" s="1"/>
  <c r="Y241" i="18" a="1"/>
  <c r="Y241" i="18" s="1"/>
  <c r="X241" i="18"/>
  <c r="W241" i="18" a="1"/>
  <c r="W241" i="18" s="1"/>
  <c r="V241" i="18"/>
  <c r="U241" i="18" a="1"/>
  <c r="U241" i="18" s="1"/>
  <c r="T241" i="18" a="1"/>
  <c r="T241" i="18" s="1"/>
  <c r="S241" i="18" a="1"/>
  <c r="S241" i="18" s="1"/>
  <c r="Y240" i="18" a="1"/>
  <c r="Y240" i="18" s="1"/>
  <c r="AA240" i="18" s="1"/>
  <c r="X240" i="18"/>
  <c r="W240" i="18" a="1"/>
  <c r="W240" i="18" s="1"/>
  <c r="V240" i="18"/>
  <c r="U240" i="18" a="1"/>
  <c r="U240" i="18" s="1"/>
  <c r="T240" i="18" a="1"/>
  <c r="T240" i="18" s="1"/>
  <c r="S240" i="18" a="1"/>
  <c r="S240" i="18" s="1"/>
  <c r="Y239" i="18" a="1"/>
  <c r="Y239" i="18" s="1"/>
  <c r="X239" i="18"/>
  <c r="W239" i="18" a="1"/>
  <c r="W239" i="18" s="1"/>
  <c r="V239" i="18"/>
  <c r="U239" i="18" a="1"/>
  <c r="U239" i="18" s="1"/>
  <c r="T239" i="18" a="1"/>
  <c r="T239" i="18" s="1"/>
  <c r="S239" i="18" a="1"/>
  <c r="S239" i="18" s="1"/>
  <c r="Y238" i="18" a="1"/>
  <c r="Y238" i="18" s="1"/>
  <c r="AA238" i="18" s="1"/>
  <c r="X238" i="18"/>
  <c r="W238" i="18" a="1"/>
  <c r="W238" i="18" s="1"/>
  <c r="V238" i="18"/>
  <c r="U238" i="18" a="1"/>
  <c r="U238" i="18" s="1"/>
  <c r="T238" i="18" a="1"/>
  <c r="T238" i="18" s="1"/>
  <c r="S238" i="18" a="1"/>
  <c r="S238" i="18" s="1"/>
  <c r="Y237" i="18" a="1"/>
  <c r="Y237" i="18" s="1"/>
  <c r="X237" i="18"/>
  <c r="W237" i="18" a="1"/>
  <c r="W237" i="18" s="1"/>
  <c r="V237" i="18"/>
  <c r="U237" i="18" a="1"/>
  <c r="U237" i="18" s="1"/>
  <c r="T237" i="18" a="1"/>
  <c r="T237" i="18" s="1"/>
  <c r="S237" i="18" a="1"/>
  <c r="S237" i="18" s="1"/>
  <c r="Y236" i="18" a="1"/>
  <c r="Y236" i="18" s="1"/>
  <c r="X236" i="18"/>
  <c r="W236" i="18" a="1"/>
  <c r="W236" i="18" s="1"/>
  <c r="V236" i="18"/>
  <c r="U236" i="18" a="1"/>
  <c r="U236" i="18" s="1"/>
  <c r="T236" i="18" a="1"/>
  <c r="T236" i="18" s="1"/>
  <c r="S236" i="18" a="1"/>
  <c r="S236" i="18" s="1"/>
  <c r="Y235" i="18" a="1"/>
  <c r="Y235" i="18" s="1"/>
  <c r="X235" i="18"/>
  <c r="W235" i="18" a="1"/>
  <c r="W235" i="18" s="1"/>
  <c r="V235" i="18"/>
  <c r="U235" i="18" a="1"/>
  <c r="U235" i="18" s="1"/>
  <c r="T235" i="18" a="1"/>
  <c r="T235" i="18" s="1"/>
  <c r="S235" i="18" a="1"/>
  <c r="S235" i="18" s="1"/>
  <c r="Y234" i="18" a="1"/>
  <c r="Y234" i="18" s="1"/>
  <c r="X234" i="18"/>
  <c r="W234" i="18" a="1"/>
  <c r="W234" i="18" s="1"/>
  <c r="V234" i="18"/>
  <c r="U234" i="18" a="1"/>
  <c r="U234" i="18" s="1"/>
  <c r="T234" i="18" a="1"/>
  <c r="T234" i="18" s="1"/>
  <c r="S234" i="18" a="1"/>
  <c r="S234" i="18" s="1"/>
  <c r="Y233" i="18" a="1"/>
  <c r="Y233" i="18" s="1"/>
  <c r="X233" i="18"/>
  <c r="W233" i="18" a="1"/>
  <c r="W233" i="18" s="1"/>
  <c r="V233" i="18"/>
  <c r="U233" i="18" a="1"/>
  <c r="U233" i="18" s="1"/>
  <c r="T233" i="18" a="1"/>
  <c r="T233" i="18" s="1"/>
  <c r="S233" i="18" a="1"/>
  <c r="S233" i="18" s="1"/>
  <c r="Y232" i="18" a="1"/>
  <c r="Y232" i="18" s="1"/>
  <c r="AA232" i="18" s="1"/>
  <c r="X232" i="18"/>
  <c r="W232" i="18" a="1"/>
  <c r="W232" i="18" s="1"/>
  <c r="V232" i="18"/>
  <c r="U232" i="18" a="1"/>
  <c r="U232" i="18" s="1"/>
  <c r="T232" i="18" a="1"/>
  <c r="T232" i="18" s="1"/>
  <c r="S232" i="18" a="1"/>
  <c r="S232" i="18" s="1"/>
  <c r="Y231" i="18" a="1"/>
  <c r="Y231" i="18" s="1"/>
  <c r="AA231" i="18" s="1"/>
  <c r="X231" i="18"/>
  <c r="W231" i="18" a="1"/>
  <c r="W231" i="18" s="1"/>
  <c r="V231" i="18"/>
  <c r="U231" i="18" a="1"/>
  <c r="U231" i="18" s="1"/>
  <c r="T231" i="18" a="1"/>
  <c r="T231" i="18" s="1"/>
  <c r="S231" i="18" a="1"/>
  <c r="S231" i="18" s="1"/>
  <c r="Y230" i="18" a="1"/>
  <c r="Y230" i="18" s="1"/>
  <c r="X230" i="18"/>
  <c r="W230" i="18" a="1"/>
  <c r="W230" i="18" s="1"/>
  <c r="V230" i="18"/>
  <c r="U230" i="18" a="1"/>
  <c r="U230" i="18" s="1"/>
  <c r="T230" i="18" a="1"/>
  <c r="T230" i="18" s="1"/>
  <c r="S230" i="18" a="1"/>
  <c r="S230" i="18" s="1"/>
  <c r="Y229" i="18" a="1"/>
  <c r="Y229" i="18" s="1"/>
  <c r="X229" i="18"/>
  <c r="W229" i="18" a="1"/>
  <c r="W229" i="18" s="1"/>
  <c r="V229" i="18"/>
  <c r="U229" i="18" a="1"/>
  <c r="U229" i="18" s="1"/>
  <c r="T229" i="18" a="1"/>
  <c r="T229" i="18" s="1"/>
  <c r="S229" i="18" a="1"/>
  <c r="S229" i="18" s="1"/>
  <c r="Y228" i="18" a="1"/>
  <c r="Y228" i="18" s="1"/>
  <c r="AA228" i="18" s="1"/>
  <c r="X228" i="18"/>
  <c r="W228" i="18" a="1"/>
  <c r="W228" i="18" s="1"/>
  <c r="V228" i="18"/>
  <c r="U228" i="18" a="1"/>
  <c r="U228" i="18" s="1"/>
  <c r="T228" i="18" a="1"/>
  <c r="T228" i="18" s="1"/>
  <c r="S228" i="18" a="1"/>
  <c r="S228" i="18" s="1"/>
  <c r="Y227" i="18" a="1"/>
  <c r="Y227" i="18" s="1"/>
  <c r="X227" i="18"/>
  <c r="W227" i="18" a="1"/>
  <c r="W227" i="18" s="1"/>
  <c r="V227" i="18"/>
  <c r="U227" i="18" a="1"/>
  <c r="U227" i="18" s="1"/>
  <c r="T227" i="18" a="1"/>
  <c r="T227" i="18" s="1"/>
  <c r="S227" i="18" a="1"/>
  <c r="S227" i="18" s="1"/>
  <c r="Y226" i="18" a="1"/>
  <c r="Y226" i="18" s="1"/>
  <c r="X226" i="18"/>
  <c r="W226" i="18" a="1"/>
  <c r="W226" i="18" s="1"/>
  <c r="V226" i="18"/>
  <c r="U226" i="18" a="1"/>
  <c r="U226" i="18" s="1"/>
  <c r="T226" i="18" a="1"/>
  <c r="T226" i="18" s="1"/>
  <c r="S226" i="18" a="1"/>
  <c r="S226" i="18" s="1"/>
  <c r="Y225" i="18" a="1"/>
  <c r="Y225" i="18" s="1"/>
  <c r="AA225" i="18" s="1"/>
  <c r="X225" i="18"/>
  <c r="W225" i="18" a="1"/>
  <c r="W225" i="18" s="1"/>
  <c r="V225" i="18"/>
  <c r="U225" i="18" a="1"/>
  <c r="U225" i="18" s="1"/>
  <c r="T225" i="18" a="1"/>
  <c r="T225" i="18" s="1"/>
  <c r="S225" i="18" a="1"/>
  <c r="S225" i="18" s="1"/>
  <c r="Y224" i="18" a="1"/>
  <c r="Y224" i="18" s="1"/>
  <c r="X224" i="18"/>
  <c r="W224" i="18" a="1"/>
  <c r="W224" i="18" s="1"/>
  <c r="V224" i="18"/>
  <c r="U224" i="18" a="1"/>
  <c r="U224" i="18" s="1"/>
  <c r="T224" i="18" a="1"/>
  <c r="T224" i="18" s="1"/>
  <c r="S224" i="18" a="1"/>
  <c r="S224" i="18" s="1"/>
  <c r="Y223" i="18" a="1"/>
  <c r="Y223" i="18" s="1"/>
  <c r="X223" i="18"/>
  <c r="W223" i="18" a="1"/>
  <c r="W223" i="18" s="1"/>
  <c r="V223" i="18"/>
  <c r="U223" i="18" a="1"/>
  <c r="U223" i="18" s="1"/>
  <c r="T223" i="18" a="1"/>
  <c r="T223" i="18" s="1"/>
  <c r="S223" i="18" a="1"/>
  <c r="S223" i="18" s="1"/>
  <c r="Y222" i="18" a="1"/>
  <c r="Y222" i="18" s="1"/>
  <c r="X222" i="18"/>
  <c r="W222" i="18" a="1"/>
  <c r="W222" i="18" s="1"/>
  <c r="V222" i="18"/>
  <c r="U222" i="18" a="1"/>
  <c r="U222" i="18" s="1"/>
  <c r="T222" i="18" a="1"/>
  <c r="T222" i="18" s="1"/>
  <c r="S222" i="18" a="1"/>
  <c r="S222" i="18" s="1"/>
  <c r="Y221" i="18" a="1"/>
  <c r="Y221" i="18" s="1"/>
  <c r="X221" i="18"/>
  <c r="W221" i="18" a="1"/>
  <c r="W221" i="18" s="1"/>
  <c r="V221" i="18"/>
  <c r="U221" i="18" a="1"/>
  <c r="U221" i="18" s="1"/>
  <c r="T221" i="18" a="1"/>
  <c r="T221" i="18" s="1"/>
  <c r="S221" i="18" a="1"/>
  <c r="S221" i="18" s="1"/>
  <c r="Y220" i="18" a="1"/>
  <c r="Y220" i="18" s="1"/>
  <c r="X220" i="18"/>
  <c r="W220" i="18" a="1"/>
  <c r="W220" i="18" s="1"/>
  <c r="V220" i="18"/>
  <c r="U220" i="18" a="1"/>
  <c r="U220" i="18" s="1"/>
  <c r="T220" i="18" a="1"/>
  <c r="T220" i="18" s="1"/>
  <c r="S220" i="18" a="1"/>
  <c r="S220" i="18" s="1"/>
  <c r="Y219" i="18" a="1"/>
  <c r="Y219" i="18" s="1"/>
  <c r="X219" i="18"/>
  <c r="W219" i="18" a="1"/>
  <c r="W219" i="18" s="1"/>
  <c r="V219" i="18"/>
  <c r="U219" i="18" a="1"/>
  <c r="U219" i="18" s="1"/>
  <c r="T219" i="18" a="1"/>
  <c r="T219" i="18" s="1"/>
  <c r="S219" i="18" a="1"/>
  <c r="S219" i="18" s="1"/>
  <c r="Y218" i="18" a="1"/>
  <c r="Y218" i="18" s="1"/>
  <c r="X218" i="18"/>
  <c r="W218" i="18" a="1"/>
  <c r="W218" i="18" s="1"/>
  <c r="V218" i="18"/>
  <c r="U218" i="18" a="1"/>
  <c r="U218" i="18" s="1"/>
  <c r="T218" i="18" a="1"/>
  <c r="T218" i="18" s="1"/>
  <c r="S218" i="18" a="1"/>
  <c r="S218" i="18" s="1"/>
  <c r="Y217" i="18" a="1"/>
  <c r="Y217" i="18" s="1"/>
  <c r="AA217" i="18" s="1"/>
  <c r="X217" i="18"/>
  <c r="W217" i="18" a="1"/>
  <c r="W217" i="18" s="1"/>
  <c r="V217" i="18"/>
  <c r="U217" i="18" a="1"/>
  <c r="U217" i="18" s="1"/>
  <c r="T217" i="18" a="1"/>
  <c r="T217" i="18" s="1"/>
  <c r="S217" i="18" a="1"/>
  <c r="S217" i="18" s="1"/>
  <c r="Y216" i="18" a="1"/>
  <c r="Y216" i="18" s="1"/>
  <c r="AA216" i="18" s="1"/>
  <c r="X216" i="18"/>
  <c r="W216" i="18" a="1"/>
  <c r="W216" i="18" s="1"/>
  <c r="V216" i="18"/>
  <c r="U216" i="18" a="1"/>
  <c r="U216" i="18" s="1"/>
  <c r="T216" i="18" a="1"/>
  <c r="T216" i="18" s="1"/>
  <c r="S216" i="18" a="1"/>
  <c r="S216" i="18" s="1"/>
  <c r="Y215" i="18" a="1"/>
  <c r="Y215" i="18" s="1"/>
  <c r="X215" i="18"/>
  <c r="W215" i="18" a="1"/>
  <c r="W215" i="18" s="1"/>
  <c r="V215" i="18"/>
  <c r="U215" i="18" a="1"/>
  <c r="U215" i="18" s="1"/>
  <c r="T215" i="18" a="1"/>
  <c r="T215" i="18" s="1"/>
  <c r="S215" i="18" a="1"/>
  <c r="S215" i="18" s="1"/>
  <c r="Y214" i="18" a="1"/>
  <c r="Y214" i="18" s="1"/>
  <c r="X214" i="18"/>
  <c r="W214" i="18" a="1"/>
  <c r="W214" i="18" s="1"/>
  <c r="V214" i="18"/>
  <c r="U214" i="18" a="1"/>
  <c r="U214" i="18" s="1"/>
  <c r="T214" i="18" a="1"/>
  <c r="T214" i="18" s="1"/>
  <c r="S214" i="18" a="1"/>
  <c r="S214" i="18" s="1"/>
  <c r="Y213" i="18" a="1"/>
  <c r="Y213" i="18" s="1"/>
  <c r="X213" i="18"/>
  <c r="W213" i="18" a="1"/>
  <c r="W213" i="18" s="1"/>
  <c r="V213" i="18"/>
  <c r="U213" i="18" a="1"/>
  <c r="U213" i="18" s="1"/>
  <c r="T213" i="18" a="1"/>
  <c r="T213" i="18" s="1"/>
  <c r="S213" i="18" a="1"/>
  <c r="S213" i="18" s="1"/>
  <c r="Y212" i="18" a="1"/>
  <c r="Y212" i="18" s="1"/>
  <c r="AA212" i="18" s="1"/>
  <c r="X212" i="18"/>
  <c r="W212" i="18" a="1"/>
  <c r="W212" i="18" s="1"/>
  <c r="V212" i="18"/>
  <c r="U212" i="18" a="1"/>
  <c r="U212" i="18" s="1"/>
  <c r="T212" i="18" a="1"/>
  <c r="T212" i="18" s="1"/>
  <c r="S212" i="18" a="1"/>
  <c r="S212" i="18" s="1"/>
  <c r="Y211" i="18" a="1"/>
  <c r="Y211" i="18" s="1"/>
  <c r="X211" i="18"/>
  <c r="W211" i="18" a="1"/>
  <c r="W211" i="18" s="1"/>
  <c r="V211" i="18"/>
  <c r="U211" i="18" a="1"/>
  <c r="U211" i="18" s="1"/>
  <c r="T211" i="18" a="1"/>
  <c r="T211" i="18" s="1"/>
  <c r="S211" i="18" a="1"/>
  <c r="S211" i="18" s="1"/>
  <c r="Y210" i="18" a="1"/>
  <c r="Y210" i="18" s="1"/>
  <c r="AA210" i="18" s="1"/>
  <c r="X210" i="18"/>
  <c r="W210" i="18" a="1"/>
  <c r="W210" i="18" s="1"/>
  <c r="V210" i="18"/>
  <c r="U210" i="18" a="1"/>
  <c r="U210" i="18" s="1"/>
  <c r="T210" i="18" a="1"/>
  <c r="T210" i="18" s="1"/>
  <c r="S210" i="18" a="1"/>
  <c r="S210" i="18" s="1"/>
  <c r="Y209" i="18" a="1"/>
  <c r="Y209" i="18" s="1"/>
  <c r="AA209" i="18" s="1"/>
  <c r="X209" i="18"/>
  <c r="W209" i="18" a="1"/>
  <c r="W209" i="18" s="1"/>
  <c r="V209" i="18"/>
  <c r="U209" i="18" a="1"/>
  <c r="U209" i="18" s="1"/>
  <c r="T209" i="18" a="1"/>
  <c r="T209" i="18" s="1"/>
  <c r="S209" i="18" a="1"/>
  <c r="S209" i="18" s="1"/>
  <c r="Y208" i="18" a="1"/>
  <c r="Y208" i="18" s="1"/>
  <c r="X208" i="18"/>
  <c r="W208" i="18" a="1"/>
  <c r="W208" i="18" s="1"/>
  <c r="V208" i="18"/>
  <c r="U208" i="18" a="1"/>
  <c r="U208" i="18" s="1"/>
  <c r="T208" i="18" a="1"/>
  <c r="T208" i="18" s="1"/>
  <c r="S208" i="18" a="1"/>
  <c r="S208" i="18" s="1"/>
  <c r="Y207" i="18" a="1"/>
  <c r="Y207" i="18" s="1"/>
  <c r="X207" i="18"/>
  <c r="W207" i="18" a="1"/>
  <c r="W207" i="18" s="1"/>
  <c r="V207" i="18"/>
  <c r="U207" i="18" a="1"/>
  <c r="U207" i="18" s="1"/>
  <c r="T207" i="18" a="1"/>
  <c r="T207" i="18" s="1"/>
  <c r="S207" i="18" a="1"/>
  <c r="S207" i="18" s="1"/>
  <c r="Y206" i="18" a="1"/>
  <c r="Y206" i="18" s="1"/>
  <c r="X206" i="18"/>
  <c r="W206" i="18" a="1"/>
  <c r="W206" i="18" s="1"/>
  <c r="V206" i="18"/>
  <c r="U206" i="18" a="1"/>
  <c r="U206" i="18" s="1"/>
  <c r="T206" i="18" a="1"/>
  <c r="T206" i="18" s="1"/>
  <c r="S206" i="18" a="1"/>
  <c r="S206" i="18" s="1"/>
  <c r="Y205" i="18" a="1"/>
  <c r="Y205" i="18" s="1"/>
  <c r="X205" i="18"/>
  <c r="W205" i="18" a="1"/>
  <c r="W205" i="18" s="1"/>
  <c r="V205" i="18"/>
  <c r="U205" i="18" a="1"/>
  <c r="U205" i="18" s="1"/>
  <c r="T205" i="18" a="1"/>
  <c r="T205" i="18" s="1"/>
  <c r="S205" i="18" a="1"/>
  <c r="S205" i="18" s="1"/>
  <c r="Y204" i="18" a="1"/>
  <c r="Y204" i="18" s="1"/>
  <c r="X204" i="18"/>
  <c r="W204" i="18" a="1"/>
  <c r="W204" i="18" s="1"/>
  <c r="V204" i="18"/>
  <c r="U204" i="18" a="1"/>
  <c r="U204" i="18" s="1"/>
  <c r="T204" i="18" a="1"/>
  <c r="T204" i="18" s="1"/>
  <c r="S204" i="18" a="1"/>
  <c r="S204" i="18" s="1"/>
  <c r="Y203" i="18" a="1"/>
  <c r="Y203" i="18" s="1"/>
  <c r="AA203" i="18" s="1"/>
  <c r="X203" i="18"/>
  <c r="W203" i="18" a="1"/>
  <c r="W203" i="18" s="1"/>
  <c r="V203" i="18"/>
  <c r="U203" i="18" a="1"/>
  <c r="U203" i="18" s="1"/>
  <c r="T203" i="18" a="1"/>
  <c r="T203" i="18" s="1"/>
  <c r="S203" i="18" a="1"/>
  <c r="S203" i="18" s="1"/>
  <c r="Y202" i="18" a="1"/>
  <c r="Y202" i="18" s="1"/>
  <c r="X202" i="18"/>
  <c r="W202" i="18" a="1"/>
  <c r="W202" i="18" s="1"/>
  <c r="V202" i="18"/>
  <c r="U202" i="18" a="1"/>
  <c r="U202" i="18" s="1"/>
  <c r="T202" i="18" a="1"/>
  <c r="T202" i="18" s="1"/>
  <c r="S202" i="18" a="1"/>
  <c r="S202" i="18" s="1"/>
  <c r="Y201" i="18" a="1"/>
  <c r="Y201" i="18" s="1"/>
  <c r="X201" i="18"/>
  <c r="W201" i="18" a="1"/>
  <c r="W201" i="18" s="1"/>
  <c r="V201" i="18"/>
  <c r="U201" i="18" a="1"/>
  <c r="U201" i="18" s="1"/>
  <c r="T201" i="18" a="1"/>
  <c r="T201" i="18" s="1"/>
  <c r="S201" i="18" a="1"/>
  <c r="S201" i="18" s="1"/>
  <c r="Y200" i="18" a="1"/>
  <c r="Y200" i="18" s="1"/>
  <c r="X200" i="18"/>
  <c r="W200" i="18" a="1"/>
  <c r="W200" i="18" s="1"/>
  <c r="V200" i="18"/>
  <c r="U200" i="18" a="1"/>
  <c r="U200" i="18" s="1"/>
  <c r="T200" i="18" a="1"/>
  <c r="T200" i="18" s="1"/>
  <c r="S200" i="18" a="1"/>
  <c r="S200" i="18" s="1"/>
  <c r="Y199" i="18" a="1"/>
  <c r="Y199" i="18" s="1"/>
  <c r="AA199" i="18" s="1"/>
  <c r="X199" i="18"/>
  <c r="W199" i="18" a="1"/>
  <c r="W199" i="18" s="1"/>
  <c r="V199" i="18"/>
  <c r="U199" i="18" a="1"/>
  <c r="U199" i="18" s="1"/>
  <c r="T199" i="18" a="1"/>
  <c r="T199" i="18" s="1"/>
  <c r="S199" i="18" a="1"/>
  <c r="S199" i="18" s="1"/>
  <c r="Y198" i="18" a="1"/>
  <c r="Y198" i="18" s="1"/>
  <c r="AA198" i="18" s="1"/>
  <c r="X198" i="18"/>
  <c r="W198" i="18" a="1"/>
  <c r="W198" i="18" s="1"/>
  <c r="V198" i="18"/>
  <c r="U198" i="18" a="1"/>
  <c r="U198" i="18" s="1"/>
  <c r="T198" i="18" a="1"/>
  <c r="T198" i="18" s="1"/>
  <c r="S198" i="18" a="1"/>
  <c r="S198" i="18" s="1"/>
  <c r="Y197" i="18" a="1"/>
  <c r="Y197" i="18" s="1"/>
  <c r="AA197" i="18" s="1"/>
  <c r="X197" i="18"/>
  <c r="W197" i="18" a="1"/>
  <c r="W197" i="18" s="1"/>
  <c r="V197" i="18"/>
  <c r="U197" i="18" a="1"/>
  <c r="U197" i="18" s="1"/>
  <c r="T197" i="18" a="1"/>
  <c r="T197" i="18" s="1"/>
  <c r="S197" i="18" a="1"/>
  <c r="S197" i="18" s="1"/>
  <c r="Y196" i="18" a="1"/>
  <c r="Y196" i="18" s="1"/>
  <c r="X196" i="18"/>
  <c r="W196" i="18" a="1"/>
  <c r="W196" i="18" s="1"/>
  <c r="V196" i="18"/>
  <c r="U196" i="18" a="1"/>
  <c r="U196" i="18" s="1"/>
  <c r="T196" i="18" a="1"/>
  <c r="T196" i="18" s="1"/>
  <c r="S196" i="18" a="1"/>
  <c r="S196" i="18" s="1"/>
  <c r="Y195" i="18" a="1"/>
  <c r="Y195" i="18" s="1"/>
  <c r="X195" i="18"/>
  <c r="W195" i="18" a="1"/>
  <c r="W195" i="18" s="1"/>
  <c r="V195" i="18"/>
  <c r="U195" i="18" a="1"/>
  <c r="U195" i="18" s="1"/>
  <c r="T195" i="18" a="1"/>
  <c r="T195" i="18" s="1"/>
  <c r="S195" i="18" a="1"/>
  <c r="S195" i="18" s="1"/>
  <c r="Y194" i="18" a="1"/>
  <c r="Y194" i="18" s="1"/>
  <c r="AA194" i="18" s="1"/>
  <c r="X194" i="18"/>
  <c r="W194" i="18" a="1"/>
  <c r="W194" i="18" s="1"/>
  <c r="V194" i="18"/>
  <c r="U194" i="18" a="1"/>
  <c r="U194" i="18" s="1"/>
  <c r="T194" i="18" a="1"/>
  <c r="T194" i="18" s="1"/>
  <c r="S194" i="18" a="1"/>
  <c r="S194" i="18" s="1"/>
  <c r="Y193" i="18" a="1"/>
  <c r="Y193" i="18" s="1"/>
  <c r="X193" i="18"/>
  <c r="W193" i="18" a="1"/>
  <c r="W193" i="18" s="1"/>
  <c r="V193" i="18"/>
  <c r="U193" i="18" a="1"/>
  <c r="U193" i="18" s="1"/>
  <c r="T193" i="18" a="1"/>
  <c r="T193" i="18" s="1"/>
  <c r="S193" i="18" a="1"/>
  <c r="S193" i="18" s="1"/>
  <c r="Y192" i="18" a="1"/>
  <c r="Y192" i="18" s="1"/>
  <c r="X192" i="18"/>
  <c r="W192" i="18" a="1"/>
  <c r="W192" i="18" s="1"/>
  <c r="V192" i="18"/>
  <c r="U192" i="18" a="1"/>
  <c r="U192" i="18" s="1"/>
  <c r="T192" i="18" a="1"/>
  <c r="T192" i="18" s="1"/>
  <c r="S192" i="18" a="1"/>
  <c r="S192" i="18" s="1"/>
  <c r="Y191" i="18" a="1"/>
  <c r="Y191" i="18" s="1"/>
  <c r="X191" i="18"/>
  <c r="W191" i="18" a="1"/>
  <c r="W191" i="18" s="1"/>
  <c r="V191" i="18"/>
  <c r="U191" i="18" a="1"/>
  <c r="U191" i="18" s="1"/>
  <c r="T191" i="18" a="1"/>
  <c r="T191" i="18" s="1"/>
  <c r="S191" i="18" a="1"/>
  <c r="S191" i="18" s="1"/>
  <c r="Y190" i="18" a="1"/>
  <c r="Y190" i="18" s="1"/>
  <c r="X190" i="18"/>
  <c r="W190" i="18" a="1"/>
  <c r="W190" i="18" s="1"/>
  <c r="V190" i="18"/>
  <c r="U190" i="18" a="1"/>
  <c r="U190" i="18" s="1"/>
  <c r="T190" i="18" a="1"/>
  <c r="T190" i="18" s="1"/>
  <c r="S190" i="18" a="1"/>
  <c r="S190" i="18" s="1"/>
  <c r="Y189" i="18" a="1"/>
  <c r="Y189" i="18" s="1"/>
  <c r="X189" i="18"/>
  <c r="W189" i="18" a="1"/>
  <c r="W189" i="18" s="1"/>
  <c r="V189" i="18"/>
  <c r="U189" i="18" a="1"/>
  <c r="U189" i="18" s="1"/>
  <c r="T189" i="18" a="1"/>
  <c r="T189" i="18" s="1"/>
  <c r="S189" i="18" a="1"/>
  <c r="S189" i="18" s="1"/>
  <c r="Y188" i="18" a="1"/>
  <c r="Y188" i="18" s="1"/>
  <c r="X188" i="18"/>
  <c r="W188" i="18" a="1"/>
  <c r="W188" i="18" s="1"/>
  <c r="V188" i="18"/>
  <c r="U188" i="18" a="1"/>
  <c r="U188" i="18" s="1"/>
  <c r="T188" i="18" a="1"/>
  <c r="T188" i="18" s="1"/>
  <c r="S188" i="18" a="1"/>
  <c r="S188" i="18" s="1"/>
  <c r="Y187" i="18" a="1"/>
  <c r="Y187" i="18" s="1"/>
  <c r="X187" i="18"/>
  <c r="W187" i="18" a="1"/>
  <c r="W187" i="18" s="1"/>
  <c r="V187" i="18"/>
  <c r="U187" i="18" a="1"/>
  <c r="U187" i="18" s="1"/>
  <c r="T187" i="18" a="1"/>
  <c r="T187" i="18" s="1"/>
  <c r="S187" i="18" a="1"/>
  <c r="S187" i="18" s="1"/>
  <c r="Y186" i="18" a="1"/>
  <c r="Y186" i="18" s="1"/>
  <c r="X186" i="18"/>
  <c r="W186" i="18" a="1"/>
  <c r="W186" i="18" s="1"/>
  <c r="V186" i="18"/>
  <c r="U186" i="18" a="1"/>
  <c r="U186" i="18" s="1"/>
  <c r="T186" i="18" a="1"/>
  <c r="T186" i="18" s="1"/>
  <c r="S186" i="18" a="1"/>
  <c r="S186" i="18" s="1"/>
  <c r="Y185" i="18" a="1"/>
  <c r="Y185" i="18" s="1"/>
  <c r="X185" i="18"/>
  <c r="W185" i="18" a="1"/>
  <c r="W185" i="18" s="1"/>
  <c r="V185" i="18"/>
  <c r="U185" i="18" a="1"/>
  <c r="U185" i="18" s="1"/>
  <c r="T185" i="18" a="1"/>
  <c r="T185" i="18" s="1"/>
  <c r="S185" i="18" a="1"/>
  <c r="S185" i="18" s="1"/>
  <c r="Y184" i="18" a="1"/>
  <c r="Y184" i="18" s="1"/>
  <c r="AA184" i="18" s="1"/>
  <c r="X184" i="18"/>
  <c r="W184" i="18" a="1"/>
  <c r="W184" i="18" s="1"/>
  <c r="V184" i="18"/>
  <c r="U184" i="18" a="1"/>
  <c r="U184" i="18" s="1"/>
  <c r="T184" i="18" a="1"/>
  <c r="T184" i="18" s="1"/>
  <c r="S184" i="18" a="1"/>
  <c r="S184" i="18" s="1"/>
  <c r="Y183" i="18" a="1"/>
  <c r="Y183" i="18" s="1"/>
  <c r="X183" i="18"/>
  <c r="W183" i="18" a="1"/>
  <c r="W183" i="18" s="1"/>
  <c r="V183" i="18"/>
  <c r="U183" i="18" a="1"/>
  <c r="U183" i="18" s="1"/>
  <c r="T183" i="18" a="1"/>
  <c r="T183" i="18" s="1"/>
  <c r="S183" i="18" a="1"/>
  <c r="S183" i="18" s="1"/>
  <c r="Y182" i="18" a="1"/>
  <c r="Y182" i="18" s="1"/>
  <c r="X182" i="18"/>
  <c r="W182" i="18" a="1"/>
  <c r="W182" i="18" s="1"/>
  <c r="V182" i="18"/>
  <c r="U182" i="18" a="1"/>
  <c r="U182" i="18" s="1"/>
  <c r="T182" i="18" a="1"/>
  <c r="T182" i="18" s="1"/>
  <c r="S182" i="18" a="1"/>
  <c r="S182" i="18" s="1"/>
  <c r="Y181" i="18" a="1"/>
  <c r="Y181" i="18" s="1"/>
  <c r="X181" i="18"/>
  <c r="W181" i="18" a="1"/>
  <c r="W181" i="18" s="1"/>
  <c r="V181" i="18"/>
  <c r="U181" i="18" a="1"/>
  <c r="U181" i="18" s="1"/>
  <c r="T181" i="18" a="1"/>
  <c r="T181" i="18" s="1"/>
  <c r="S181" i="18" a="1"/>
  <c r="S181" i="18" s="1"/>
  <c r="Y180" i="18" a="1"/>
  <c r="Y180" i="18" s="1"/>
  <c r="X180" i="18"/>
  <c r="W180" i="18" a="1"/>
  <c r="W180" i="18" s="1"/>
  <c r="V180" i="18"/>
  <c r="U180" i="18" a="1"/>
  <c r="U180" i="18" s="1"/>
  <c r="T180" i="18" a="1"/>
  <c r="T180" i="18" s="1"/>
  <c r="S180" i="18" a="1"/>
  <c r="S180" i="18" s="1"/>
  <c r="Y179" i="18" a="1"/>
  <c r="Y179" i="18" s="1"/>
  <c r="AA179" i="18" s="1"/>
  <c r="X179" i="18"/>
  <c r="W179" i="18" a="1"/>
  <c r="W179" i="18" s="1"/>
  <c r="V179" i="18"/>
  <c r="U179" i="18" a="1"/>
  <c r="U179" i="18" s="1"/>
  <c r="T179" i="18" a="1"/>
  <c r="T179" i="18" s="1"/>
  <c r="S179" i="18" a="1"/>
  <c r="S179" i="18" s="1"/>
  <c r="Y178" i="18" a="1"/>
  <c r="Y178" i="18" s="1"/>
  <c r="AA178" i="18" s="1"/>
  <c r="X178" i="18"/>
  <c r="W178" i="18" a="1"/>
  <c r="W178" i="18" s="1"/>
  <c r="V178" i="18"/>
  <c r="U178" i="18" a="1"/>
  <c r="U178" i="18" s="1"/>
  <c r="T178" i="18" a="1"/>
  <c r="T178" i="18" s="1"/>
  <c r="S178" i="18" a="1"/>
  <c r="S178" i="18" s="1"/>
  <c r="Y177" i="18" a="1"/>
  <c r="Y177" i="18" s="1"/>
  <c r="AA177" i="18" s="1"/>
  <c r="X177" i="18"/>
  <c r="W177" i="18" a="1"/>
  <c r="W177" i="18" s="1"/>
  <c r="V177" i="18"/>
  <c r="U177" i="18" a="1"/>
  <c r="U177" i="18" s="1"/>
  <c r="T177" i="18" a="1"/>
  <c r="T177" i="18" s="1"/>
  <c r="S177" i="18" a="1"/>
  <c r="S177" i="18" s="1"/>
  <c r="Y176" i="18" a="1"/>
  <c r="Y176" i="18" s="1"/>
  <c r="X176" i="18"/>
  <c r="W176" i="18" a="1"/>
  <c r="W176" i="18" s="1"/>
  <c r="V176" i="18"/>
  <c r="U176" i="18" a="1"/>
  <c r="U176" i="18" s="1"/>
  <c r="T176" i="18" a="1"/>
  <c r="T176" i="18" s="1"/>
  <c r="S176" i="18" a="1"/>
  <c r="S176" i="18" s="1"/>
  <c r="Y175" i="18" a="1"/>
  <c r="Y175" i="18" s="1"/>
  <c r="AA175" i="18" s="1"/>
  <c r="X175" i="18"/>
  <c r="W175" i="18" a="1"/>
  <c r="W175" i="18" s="1"/>
  <c r="V175" i="18"/>
  <c r="U175" i="18" a="1"/>
  <c r="U175" i="18" s="1"/>
  <c r="T175" i="18" a="1"/>
  <c r="T175" i="18" s="1"/>
  <c r="S175" i="18" a="1"/>
  <c r="S175" i="18" s="1"/>
  <c r="Y174" i="18" a="1"/>
  <c r="Y174" i="18" s="1"/>
  <c r="X174" i="18"/>
  <c r="W174" i="18" a="1"/>
  <c r="W174" i="18" s="1"/>
  <c r="V174" i="18"/>
  <c r="U174" i="18" a="1"/>
  <c r="U174" i="18" s="1"/>
  <c r="T174" i="18" a="1"/>
  <c r="T174" i="18" s="1"/>
  <c r="S174" i="18" a="1"/>
  <c r="S174" i="18" s="1"/>
  <c r="Y173" i="18" a="1"/>
  <c r="Y173" i="18" s="1"/>
  <c r="X173" i="18"/>
  <c r="W173" i="18" a="1"/>
  <c r="W173" i="18" s="1"/>
  <c r="V173" i="18"/>
  <c r="U173" i="18" a="1"/>
  <c r="U173" i="18" s="1"/>
  <c r="T173" i="18" a="1"/>
  <c r="T173" i="18" s="1"/>
  <c r="S173" i="18" a="1"/>
  <c r="S173" i="18" s="1"/>
  <c r="Y172" i="18" a="1"/>
  <c r="Y172" i="18" s="1"/>
  <c r="X172" i="18"/>
  <c r="W172" i="18" a="1"/>
  <c r="W172" i="18" s="1"/>
  <c r="V172" i="18"/>
  <c r="U172" i="18" a="1"/>
  <c r="U172" i="18" s="1"/>
  <c r="T172" i="18" a="1"/>
  <c r="T172" i="18" s="1"/>
  <c r="S172" i="18" a="1"/>
  <c r="S172" i="18" s="1"/>
  <c r="Y171" i="18" a="1"/>
  <c r="Y171" i="18" s="1"/>
  <c r="X171" i="18"/>
  <c r="W171" i="18" a="1"/>
  <c r="W171" i="18" s="1"/>
  <c r="V171" i="18"/>
  <c r="U171" i="18" a="1"/>
  <c r="U171" i="18" s="1"/>
  <c r="T171" i="18" a="1"/>
  <c r="T171" i="18" s="1"/>
  <c r="S171" i="18" a="1"/>
  <c r="S171" i="18" s="1"/>
  <c r="Y170" i="18" a="1"/>
  <c r="Y170" i="18" s="1"/>
  <c r="X170" i="18"/>
  <c r="W170" i="18" a="1"/>
  <c r="W170" i="18" s="1"/>
  <c r="V170" i="18"/>
  <c r="U170" i="18" a="1"/>
  <c r="U170" i="18" s="1"/>
  <c r="T170" i="18" a="1"/>
  <c r="T170" i="18" s="1"/>
  <c r="S170" i="18" a="1"/>
  <c r="S170" i="18" s="1"/>
  <c r="Y169" i="18" a="1"/>
  <c r="Y169" i="18" s="1"/>
  <c r="AA169" i="18" s="1"/>
  <c r="X169" i="18"/>
  <c r="W169" i="18" a="1"/>
  <c r="W169" i="18" s="1"/>
  <c r="V169" i="18"/>
  <c r="U169" i="18" a="1"/>
  <c r="U169" i="18" s="1"/>
  <c r="T169" i="18" a="1"/>
  <c r="T169" i="18" s="1"/>
  <c r="S169" i="18" a="1"/>
  <c r="S169" i="18" s="1"/>
  <c r="Y168" i="18" a="1"/>
  <c r="Y168" i="18" s="1"/>
  <c r="X168" i="18"/>
  <c r="W168" i="18" a="1"/>
  <c r="W168" i="18" s="1"/>
  <c r="V168" i="18"/>
  <c r="U168" i="18" a="1"/>
  <c r="U168" i="18" s="1"/>
  <c r="T168" i="18" a="1"/>
  <c r="T168" i="18" s="1"/>
  <c r="S168" i="18" a="1"/>
  <c r="S168" i="18" s="1"/>
  <c r="Y167" i="18" a="1"/>
  <c r="Y167" i="18" s="1"/>
  <c r="X167" i="18"/>
  <c r="W167" i="18" a="1"/>
  <c r="W167" i="18" s="1"/>
  <c r="V167" i="18"/>
  <c r="U167" i="18" a="1"/>
  <c r="U167" i="18" s="1"/>
  <c r="T167" i="18" a="1"/>
  <c r="T167" i="18" s="1"/>
  <c r="S167" i="18" a="1"/>
  <c r="S167" i="18" s="1"/>
  <c r="Y166" i="18" a="1"/>
  <c r="Y166" i="18" s="1"/>
  <c r="X166" i="18"/>
  <c r="W166" i="18" a="1"/>
  <c r="W166" i="18" s="1"/>
  <c r="V166" i="18"/>
  <c r="U166" i="18" a="1"/>
  <c r="U166" i="18" s="1"/>
  <c r="T166" i="18" a="1"/>
  <c r="T166" i="18" s="1"/>
  <c r="S166" i="18" a="1"/>
  <c r="S166" i="18" s="1"/>
  <c r="Y165" i="18" a="1"/>
  <c r="Y165" i="18" s="1"/>
  <c r="X165" i="18"/>
  <c r="W165" i="18" a="1"/>
  <c r="W165" i="18" s="1"/>
  <c r="V165" i="18"/>
  <c r="U165" i="18" a="1"/>
  <c r="U165" i="18" s="1"/>
  <c r="T165" i="18" a="1"/>
  <c r="T165" i="18" s="1"/>
  <c r="S165" i="18" a="1"/>
  <c r="S165" i="18" s="1"/>
  <c r="Y164" i="18" a="1"/>
  <c r="Y164" i="18" s="1"/>
  <c r="AA164" i="18" s="1"/>
  <c r="X164" i="18"/>
  <c r="W164" i="18" a="1"/>
  <c r="W164" i="18" s="1"/>
  <c r="V164" i="18"/>
  <c r="U164" i="18" a="1"/>
  <c r="U164" i="18" s="1"/>
  <c r="T164" i="18" a="1"/>
  <c r="T164" i="18" s="1"/>
  <c r="S164" i="18" a="1"/>
  <c r="S164" i="18" s="1"/>
  <c r="Y163" i="18" a="1"/>
  <c r="Y163" i="18" s="1"/>
  <c r="X163" i="18"/>
  <c r="W163" i="18" a="1"/>
  <c r="W163" i="18" s="1"/>
  <c r="V163" i="18"/>
  <c r="U163" i="18" a="1"/>
  <c r="U163" i="18" s="1"/>
  <c r="T163" i="18" a="1"/>
  <c r="T163" i="18" s="1"/>
  <c r="S163" i="18" a="1"/>
  <c r="S163" i="18" s="1"/>
  <c r="Y162" i="18" a="1"/>
  <c r="Y162" i="18" s="1"/>
  <c r="AA162" i="18" s="1"/>
  <c r="X162" i="18"/>
  <c r="W162" i="18" a="1"/>
  <c r="W162" i="18" s="1"/>
  <c r="V162" i="18"/>
  <c r="U162" i="18" a="1"/>
  <c r="U162" i="18" s="1"/>
  <c r="T162" i="18" a="1"/>
  <c r="T162" i="18" s="1"/>
  <c r="S162" i="18" a="1"/>
  <c r="S162" i="18" s="1"/>
  <c r="Y161" i="18" a="1"/>
  <c r="Y161" i="18" s="1"/>
  <c r="X161" i="18"/>
  <c r="W161" i="18" a="1"/>
  <c r="W161" i="18" s="1"/>
  <c r="V161" i="18"/>
  <c r="U161" i="18" a="1"/>
  <c r="U161" i="18" s="1"/>
  <c r="T161" i="18" a="1"/>
  <c r="T161" i="18" s="1"/>
  <c r="S161" i="18" a="1"/>
  <c r="S161" i="18" s="1"/>
  <c r="Y160" i="18" a="1"/>
  <c r="Y160" i="18" s="1"/>
  <c r="X160" i="18"/>
  <c r="W160" i="18" a="1"/>
  <c r="W160" i="18" s="1"/>
  <c r="V160" i="18"/>
  <c r="U160" i="18" a="1"/>
  <c r="U160" i="18" s="1"/>
  <c r="T160" i="18" a="1"/>
  <c r="T160" i="18" s="1"/>
  <c r="S160" i="18" a="1"/>
  <c r="S160" i="18" s="1"/>
  <c r="Y159" i="18" a="1"/>
  <c r="Y159" i="18" s="1"/>
  <c r="X159" i="18"/>
  <c r="W159" i="18" a="1"/>
  <c r="W159" i="18" s="1"/>
  <c r="V159" i="18"/>
  <c r="U159" i="18" a="1"/>
  <c r="U159" i="18" s="1"/>
  <c r="T159" i="18" a="1"/>
  <c r="T159" i="18" s="1"/>
  <c r="S159" i="18" a="1"/>
  <c r="S159" i="18" s="1"/>
  <c r="Y158" i="18" a="1"/>
  <c r="Y158" i="18" s="1"/>
  <c r="AA158" i="18" s="1"/>
  <c r="X158" i="18"/>
  <c r="W158" i="18" a="1"/>
  <c r="W158" i="18" s="1"/>
  <c r="V158" i="18"/>
  <c r="U158" i="18" a="1"/>
  <c r="U158" i="18" s="1"/>
  <c r="T158" i="18" a="1"/>
  <c r="T158" i="18" s="1"/>
  <c r="S158" i="18" a="1"/>
  <c r="S158" i="18" s="1"/>
  <c r="Y157" i="18" a="1"/>
  <c r="Y157" i="18" s="1"/>
  <c r="AA157" i="18" s="1"/>
  <c r="X157" i="18"/>
  <c r="W157" i="18" a="1"/>
  <c r="W157" i="18" s="1"/>
  <c r="V157" i="18"/>
  <c r="U157" i="18" a="1"/>
  <c r="U157" i="18" s="1"/>
  <c r="T157" i="18" a="1"/>
  <c r="T157" i="18" s="1"/>
  <c r="S157" i="18" a="1"/>
  <c r="S157" i="18" s="1"/>
  <c r="Y156" i="18" a="1"/>
  <c r="Y156" i="18" s="1"/>
  <c r="X156" i="18"/>
  <c r="W156" i="18" a="1"/>
  <c r="W156" i="18" s="1"/>
  <c r="V156" i="18"/>
  <c r="U156" i="18" a="1"/>
  <c r="U156" i="18" s="1"/>
  <c r="T156" i="18" a="1"/>
  <c r="T156" i="18" s="1"/>
  <c r="S156" i="18" a="1"/>
  <c r="S156" i="18" s="1"/>
  <c r="Y155" i="18" a="1"/>
  <c r="Y155" i="18" s="1"/>
  <c r="AA155" i="18" s="1"/>
  <c r="X155" i="18"/>
  <c r="W155" i="18" a="1"/>
  <c r="W155" i="18" s="1"/>
  <c r="V155" i="18"/>
  <c r="U155" i="18" a="1"/>
  <c r="U155" i="18" s="1"/>
  <c r="T155" i="18" a="1"/>
  <c r="T155" i="18" s="1"/>
  <c r="S155" i="18" a="1"/>
  <c r="S155" i="18" s="1"/>
  <c r="Y154" i="18" a="1"/>
  <c r="Y154" i="18" s="1"/>
  <c r="X154" i="18"/>
  <c r="W154" i="18" a="1"/>
  <c r="W154" i="18" s="1"/>
  <c r="V154" i="18"/>
  <c r="U154" i="18" a="1"/>
  <c r="U154" i="18" s="1"/>
  <c r="T154" i="18" a="1"/>
  <c r="T154" i="18" s="1"/>
  <c r="S154" i="18" a="1"/>
  <c r="S154" i="18" s="1"/>
  <c r="Y153" i="18" a="1"/>
  <c r="Y153" i="18" s="1"/>
  <c r="X153" i="18"/>
  <c r="W153" i="18" a="1"/>
  <c r="W153" i="18" s="1"/>
  <c r="V153" i="18"/>
  <c r="U153" i="18" a="1"/>
  <c r="U153" i="18" s="1"/>
  <c r="T153" i="18" a="1"/>
  <c r="T153" i="18" s="1"/>
  <c r="S153" i="18" a="1"/>
  <c r="S153" i="18" s="1"/>
  <c r="Y152" i="18" a="1"/>
  <c r="Y152" i="18" s="1"/>
  <c r="AA152" i="18" s="1"/>
  <c r="X152" i="18"/>
  <c r="W152" i="18" a="1"/>
  <c r="W152" i="18" s="1"/>
  <c r="V152" i="18"/>
  <c r="U152" i="18" a="1"/>
  <c r="U152" i="18" s="1"/>
  <c r="T152" i="18" a="1"/>
  <c r="T152" i="18" s="1"/>
  <c r="S152" i="18" a="1"/>
  <c r="S152" i="18" s="1"/>
  <c r="Y151" i="18" a="1"/>
  <c r="Y151" i="18" s="1"/>
  <c r="X151" i="18"/>
  <c r="W151" i="18" a="1"/>
  <c r="W151" i="18" s="1"/>
  <c r="V151" i="18"/>
  <c r="U151" i="18" a="1"/>
  <c r="U151" i="18" s="1"/>
  <c r="T151" i="18" a="1"/>
  <c r="T151" i="18" s="1"/>
  <c r="S151" i="18" a="1"/>
  <c r="S151" i="18" s="1"/>
  <c r="Y150" i="18" a="1"/>
  <c r="Y150" i="18" s="1"/>
  <c r="X150" i="18"/>
  <c r="W150" i="18" a="1"/>
  <c r="W150" i="18" s="1"/>
  <c r="V150" i="18"/>
  <c r="U150" i="18" a="1"/>
  <c r="U150" i="18" s="1"/>
  <c r="T150" i="18" a="1"/>
  <c r="T150" i="18" s="1"/>
  <c r="S150" i="18" a="1"/>
  <c r="S150" i="18" s="1"/>
  <c r="Y149" i="18" a="1"/>
  <c r="Y149" i="18" s="1"/>
  <c r="X149" i="18"/>
  <c r="W149" i="18" a="1"/>
  <c r="W149" i="18" s="1"/>
  <c r="V149" i="18"/>
  <c r="U149" i="18" a="1"/>
  <c r="U149" i="18" s="1"/>
  <c r="T149" i="18" a="1"/>
  <c r="T149" i="18" s="1"/>
  <c r="S149" i="18" a="1"/>
  <c r="S149" i="18" s="1"/>
  <c r="Y148" i="18" a="1"/>
  <c r="Y148" i="18" s="1"/>
  <c r="X148" i="18"/>
  <c r="W148" i="18" a="1"/>
  <c r="W148" i="18" s="1"/>
  <c r="V148" i="18"/>
  <c r="U148" i="18" a="1"/>
  <c r="U148" i="18" s="1"/>
  <c r="T148" i="18" a="1"/>
  <c r="T148" i="18" s="1"/>
  <c r="S148" i="18" a="1"/>
  <c r="S148" i="18" s="1"/>
  <c r="Y147" i="18" a="1"/>
  <c r="Y147" i="18" s="1"/>
  <c r="X147" i="18"/>
  <c r="W147" i="18" a="1"/>
  <c r="W147" i="18" s="1"/>
  <c r="V147" i="18"/>
  <c r="U147" i="18" a="1"/>
  <c r="U147" i="18" s="1"/>
  <c r="T147" i="18" a="1"/>
  <c r="T147" i="18" s="1"/>
  <c r="S147" i="18" a="1"/>
  <c r="S147" i="18" s="1"/>
  <c r="Y146" i="18" a="1"/>
  <c r="Y146" i="18" s="1"/>
  <c r="X146" i="18"/>
  <c r="W146" i="18" a="1"/>
  <c r="W146" i="18" s="1"/>
  <c r="V146" i="18"/>
  <c r="U146" i="18" a="1"/>
  <c r="U146" i="18" s="1"/>
  <c r="T146" i="18" a="1"/>
  <c r="T146" i="18" s="1"/>
  <c r="S146" i="18" a="1"/>
  <c r="S146" i="18" s="1"/>
  <c r="Y145" i="18" a="1"/>
  <c r="Y145" i="18" s="1"/>
  <c r="AA145" i="18" s="1"/>
  <c r="X145" i="18"/>
  <c r="W145" i="18" a="1"/>
  <c r="W145" i="18" s="1"/>
  <c r="V145" i="18"/>
  <c r="U145" i="18" a="1"/>
  <c r="U145" i="18" s="1"/>
  <c r="T145" i="18" a="1"/>
  <c r="T145" i="18" s="1"/>
  <c r="S145" i="18" a="1"/>
  <c r="S145" i="18" s="1"/>
  <c r="Y144" i="18" a="1"/>
  <c r="Y144" i="18" s="1"/>
  <c r="X144" i="18"/>
  <c r="W144" i="18" a="1"/>
  <c r="W144" i="18" s="1"/>
  <c r="V144" i="18"/>
  <c r="U144" i="18" a="1"/>
  <c r="U144" i="18" s="1"/>
  <c r="T144" i="18" a="1"/>
  <c r="T144" i="18" s="1"/>
  <c r="S144" i="18" a="1"/>
  <c r="S144" i="18" s="1"/>
  <c r="Y143" i="18" a="1"/>
  <c r="Y143" i="18" s="1"/>
  <c r="X143" i="18"/>
  <c r="W143" i="18" a="1"/>
  <c r="W143" i="18" s="1"/>
  <c r="V143" i="18"/>
  <c r="U143" i="18" a="1"/>
  <c r="U143" i="18" s="1"/>
  <c r="T143" i="18" a="1"/>
  <c r="T143" i="18" s="1"/>
  <c r="S143" i="18" a="1"/>
  <c r="S143" i="18" s="1"/>
  <c r="Y142" i="18" a="1"/>
  <c r="Y142" i="18" s="1"/>
  <c r="X142" i="18"/>
  <c r="W142" i="18" a="1"/>
  <c r="W142" i="18" s="1"/>
  <c r="V142" i="18"/>
  <c r="U142" i="18" a="1"/>
  <c r="U142" i="18" s="1"/>
  <c r="T142" i="18" a="1"/>
  <c r="T142" i="18" s="1"/>
  <c r="S142" i="18" a="1"/>
  <c r="S142" i="18" s="1"/>
  <c r="Y141" i="18" a="1"/>
  <c r="Y141" i="18" s="1"/>
  <c r="X141" i="18"/>
  <c r="W141" i="18" a="1"/>
  <c r="W141" i="18" s="1"/>
  <c r="V141" i="18"/>
  <c r="U141" i="18" a="1"/>
  <c r="U141" i="18" s="1"/>
  <c r="T141" i="18" a="1"/>
  <c r="T141" i="18" s="1"/>
  <c r="S141" i="18" a="1"/>
  <c r="S141" i="18" s="1"/>
  <c r="Y140" i="18" a="1"/>
  <c r="Y140" i="18" s="1"/>
  <c r="X140" i="18"/>
  <c r="W140" i="18" a="1"/>
  <c r="W140" i="18" s="1"/>
  <c r="V140" i="18"/>
  <c r="U140" i="18" a="1"/>
  <c r="U140" i="18" s="1"/>
  <c r="T140" i="18" a="1"/>
  <c r="T140" i="18" s="1"/>
  <c r="S140" i="18" a="1"/>
  <c r="S140" i="18" s="1"/>
  <c r="Y139" i="18" a="1"/>
  <c r="Y139" i="18" s="1"/>
  <c r="X139" i="18"/>
  <c r="W139" i="18" a="1"/>
  <c r="W139" i="18" s="1"/>
  <c r="V139" i="18"/>
  <c r="U139" i="18" a="1"/>
  <c r="U139" i="18" s="1"/>
  <c r="T139" i="18" a="1"/>
  <c r="T139" i="18" s="1"/>
  <c r="S139" i="18" a="1"/>
  <c r="S139" i="18" s="1"/>
  <c r="Y138" i="18" a="1"/>
  <c r="Y138" i="18" s="1"/>
  <c r="X138" i="18"/>
  <c r="W138" i="18" a="1"/>
  <c r="W138" i="18" s="1"/>
  <c r="V138" i="18"/>
  <c r="U138" i="18" a="1"/>
  <c r="U138" i="18" s="1"/>
  <c r="T138" i="18" a="1"/>
  <c r="T138" i="18" s="1"/>
  <c r="S138" i="18" a="1"/>
  <c r="S138" i="18" s="1"/>
  <c r="Y137" i="18" a="1"/>
  <c r="Y137" i="18" s="1"/>
  <c r="X137" i="18"/>
  <c r="W137" i="18" a="1"/>
  <c r="W137" i="18" s="1"/>
  <c r="V137" i="18"/>
  <c r="U137" i="18" a="1"/>
  <c r="U137" i="18" s="1"/>
  <c r="T137" i="18" a="1"/>
  <c r="T137" i="18" s="1"/>
  <c r="S137" i="18" a="1"/>
  <c r="S137" i="18" s="1"/>
  <c r="Y136" i="18" a="1"/>
  <c r="Y136" i="18" s="1"/>
  <c r="X136" i="18"/>
  <c r="W136" i="18" a="1"/>
  <c r="W136" i="18" s="1"/>
  <c r="V136" i="18"/>
  <c r="U136" i="18" a="1"/>
  <c r="U136" i="18" s="1"/>
  <c r="T136" i="18" a="1"/>
  <c r="T136" i="18" s="1"/>
  <c r="S136" i="18" a="1"/>
  <c r="S136" i="18" s="1"/>
  <c r="Y135" i="18" a="1"/>
  <c r="Y135" i="18" s="1"/>
  <c r="X135" i="18"/>
  <c r="W135" i="18" a="1"/>
  <c r="W135" i="18" s="1"/>
  <c r="V135" i="18"/>
  <c r="U135" i="18" a="1"/>
  <c r="U135" i="18" s="1"/>
  <c r="T135" i="18" a="1"/>
  <c r="T135" i="18" s="1"/>
  <c r="S135" i="18" a="1"/>
  <c r="S135" i="18" s="1"/>
  <c r="Y134" i="18" a="1"/>
  <c r="Y134" i="18" s="1"/>
  <c r="X134" i="18"/>
  <c r="W134" i="18" a="1"/>
  <c r="W134" i="18" s="1"/>
  <c r="V134" i="18"/>
  <c r="U134" i="18" a="1"/>
  <c r="U134" i="18" s="1"/>
  <c r="T134" i="18" a="1"/>
  <c r="T134" i="18" s="1"/>
  <c r="S134" i="18" a="1"/>
  <c r="S134" i="18" s="1"/>
  <c r="Y133" i="18" a="1"/>
  <c r="Y133" i="18" s="1"/>
  <c r="AA133" i="18" s="1"/>
  <c r="X133" i="18"/>
  <c r="W133" i="18" a="1"/>
  <c r="W133" i="18" s="1"/>
  <c r="V133" i="18"/>
  <c r="U133" i="18" a="1"/>
  <c r="U133" i="18" s="1"/>
  <c r="T133" i="18" a="1"/>
  <c r="T133" i="18" s="1"/>
  <c r="S133" i="18" a="1"/>
  <c r="S133" i="18" s="1"/>
  <c r="Y132" i="18" a="1"/>
  <c r="Y132" i="18" s="1"/>
  <c r="AA132" i="18" s="1"/>
  <c r="X132" i="18"/>
  <c r="W132" i="18" a="1"/>
  <c r="W132" i="18" s="1"/>
  <c r="V132" i="18"/>
  <c r="U132" i="18" a="1"/>
  <c r="U132" i="18" s="1"/>
  <c r="T132" i="18" a="1"/>
  <c r="T132" i="18" s="1"/>
  <c r="S132" i="18" a="1"/>
  <c r="S132" i="18" s="1"/>
  <c r="Y131" i="18" a="1"/>
  <c r="Y131" i="18" s="1"/>
  <c r="X131" i="18"/>
  <c r="W131" i="18" a="1"/>
  <c r="W131" i="18" s="1"/>
  <c r="V131" i="18"/>
  <c r="U131" i="18" a="1"/>
  <c r="U131" i="18" s="1"/>
  <c r="T131" i="18" a="1"/>
  <c r="T131" i="18" s="1"/>
  <c r="S131" i="18" a="1"/>
  <c r="S131" i="18" s="1"/>
  <c r="Y130" i="18" a="1"/>
  <c r="Y130" i="18" s="1"/>
  <c r="X130" i="18"/>
  <c r="W130" i="18" a="1"/>
  <c r="W130" i="18" s="1"/>
  <c r="V130" i="18"/>
  <c r="U130" i="18" a="1"/>
  <c r="U130" i="18" s="1"/>
  <c r="T130" i="18" a="1"/>
  <c r="T130" i="18" s="1"/>
  <c r="S130" i="18" a="1"/>
  <c r="S130" i="18" s="1"/>
  <c r="Y129" i="18" a="1"/>
  <c r="Y129" i="18" s="1"/>
  <c r="X129" i="18"/>
  <c r="W129" i="18" a="1"/>
  <c r="W129" i="18" s="1"/>
  <c r="V129" i="18"/>
  <c r="U129" i="18" a="1"/>
  <c r="U129" i="18" s="1"/>
  <c r="T129" i="18" a="1"/>
  <c r="T129" i="18" s="1"/>
  <c r="S129" i="18" a="1"/>
  <c r="S129" i="18" s="1"/>
  <c r="Y128" i="18" a="1"/>
  <c r="Y128" i="18" s="1"/>
  <c r="X128" i="18"/>
  <c r="W128" i="18" a="1"/>
  <c r="W128" i="18" s="1"/>
  <c r="V128" i="18"/>
  <c r="U128" i="18" a="1"/>
  <c r="U128" i="18" s="1"/>
  <c r="T128" i="18" a="1"/>
  <c r="T128" i="18" s="1"/>
  <c r="S128" i="18" a="1"/>
  <c r="S128" i="18" s="1"/>
  <c r="Y127" i="18" a="1"/>
  <c r="Y127" i="18" s="1"/>
  <c r="AA127" i="18" s="1"/>
  <c r="X127" i="18"/>
  <c r="W127" i="18" a="1"/>
  <c r="W127" i="18" s="1"/>
  <c r="V127" i="18"/>
  <c r="U127" i="18" a="1"/>
  <c r="U127" i="18" s="1"/>
  <c r="T127" i="18" a="1"/>
  <c r="T127" i="18" s="1"/>
  <c r="S127" i="18" a="1"/>
  <c r="S127" i="18" s="1"/>
  <c r="Y126" i="18" a="1"/>
  <c r="Y126" i="18" s="1"/>
  <c r="X126" i="18"/>
  <c r="W126" i="18" a="1"/>
  <c r="W126" i="18" s="1"/>
  <c r="V126" i="18"/>
  <c r="U126" i="18" a="1"/>
  <c r="U126" i="18" s="1"/>
  <c r="T126" i="18" a="1"/>
  <c r="T126" i="18" s="1"/>
  <c r="S126" i="18" a="1"/>
  <c r="S126" i="18" s="1"/>
  <c r="Y125" i="18" a="1"/>
  <c r="Y125" i="18" s="1"/>
  <c r="AA125" i="18" s="1"/>
  <c r="X125" i="18"/>
  <c r="W125" i="18" a="1"/>
  <c r="W125" i="18" s="1"/>
  <c r="V125" i="18"/>
  <c r="U125" i="18" a="1"/>
  <c r="U125" i="18" s="1"/>
  <c r="T125" i="18" a="1"/>
  <c r="T125" i="18" s="1"/>
  <c r="S125" i="18" a="1"/>
  <c r="S125" i="18" s="1"/>
  <c r="Y124" i="18" a="1"/>
  <c r="Y124" i="18" s="1"/>
  <c r="X124" i="18"/>
  <c r="W124" i="18" a="1"/>
  <c r="W124" i="18" s="1"/>
  <c r="V124" i="18"/>
  <c r="U124" i="18" a="1"/>
  <c r="U124" i="18" s="1"/>
  <c r="T124" i="18" a="1"/>
  <c r="T124" i="18" s="1"/>
  <c r="S124" i="18" a="1"/>
  <c r="S124" i="18" s="1"/>
  <c r="Y123" i="18" a="1"/>
  <c r="Y123" i="18" s="1"/>
  <c r="AA123" i="18" s="1"/>
  <c r="X123" i="18"/>
  <c r="W123" i="18" a="1"/>
  <c r="W123" i="18" s="1"/>
  <c r="V123" i="18"/>
  <c r="U123" i="18" a="1"/>
  <c r="U123" i="18" s="1"/>
  <c r="T123" i="18" a="1"/>
  <c r="T123" i="18" s="1"/>
  <c r="S123" i="18" a="1"/>
  <c r="S123" i="18" s="1"/>
  <c r="Y122" i="18" a="1"/>
  <c r="Y122" i="18" s="1"/>
  <c r="X122" i="18"/>
  <c r="W122" i="18" a="1"/>
  <c r="W122" i="18" s="1"/>
  <c r="V122" i="18"/>
  <c r="U122" i="18" a="1"/>
  <c r="U122" i="18" s="1"/>
  <c r="T122" i="18" a="1"/>
  <c r="T122" i="18" s="1"/>
  <c r="S122" i="18" a="1"/>
  <c r="S122" i="18" s="1"/>
  <c r="Y121" i="18" a="1"/>
  <c r="Y121" i="18" s="1"/>
  <c r="AA121" i="18" s="1"/>
  <c r="X121" i="18"/>
  <c r="W121" i="18" a="1"/>
  <c r="W121" i="18" s="1"/>
  <c r="V121" i="18"/>
  <c r="U121" i="18" a="1"/>
  <c r="U121" i="18" s="1"/>
  <c r="T121" i="18" a="1"/>
  <c r="T121" i="18" s="1"/>
  <c r="S121" i="18" a="1"/>
  <c r="S121" i="18" s="1"/>
  <c r="Y120" i="18" a="1"/>
  <c r="Y120" i="18" s="1"/>
  <c r="AA120" i="18" s="1"/>
  <c r="X120" i="18"/>
  <c r="W120" i="18" a="1"/>
  <c r="W120" i="18" s="1"/>
  <c r="V120" i="18"/>
  <c r="U120" i="18" a="1"/>
  <c r="U120" i="18" s="1"/>
  <c r="T120" i="18" a="1"/>
  <c r="T120" i="18" s="1"/>
  <c r="S120" i="18" a="1"/>
  <c r="S120" i="18" s="1"/>
  <c r="Y119" i="18" a="1"/>
  <c r="Y119" i="18" s="1"/>
  <c r="X119" i="18"/>
  <c r="W119" i="18" a="1"/>
  <c r="W119" i="18" s="1"/>
  <c r="V119" i="18"/>
  <c r="U119" i="18" a="1"/>
  <c r="U119" i="18" s="1"/>
  <c r="T119" i="18" a="1"/>
  <c r="T119" i="18" s="1"/>
  <c r="S119" i="18" a="1"/>
  <c r="S119" i="18" s="1"/>
  <c r="Y118" i="18" a="1"/>
  <c r="Y118" i="18" s="1"/>
  <c r="AA118" i="18" s="1"/>
  <c r="X118" i="18"/>
  <c r="W118" i="18" a="1"/>
  <c r="W118" i="18" s="1"/>
  <c r="V118" i="18"/>
  <c r="U118" i="18" a="1"/>
  <c r="U118" i="18" s="1"/>
  <c r="T118" i="18" a="1"/>
  <c r="T118" i="18" s="1"/>
  <c r="S118" i="18" a="1"/>
  <c r="S118" i="18" s="1"/>
  <c r="Y117" i="18" a="1"/>
  <c r="Y117" i="18" s="1"/>
  <c r="X117" i="18"/>
  <c r="W117" i="18" a="1"/>
  <c r="W117" i="18" s="1"/>
  <c r="V117" i="18"/>
  <c r="U117" i="18" a="1"/>
  <c r="U117" i="18" s="1"/>
  <c r="T117" i="18" a="1"/>
  <c r="T117" i="18" s="1"/>
  <c r="S117" i="18" a="1"/>
  <c r="S117" i="18" s="1"/>
  <c r="Y116" i="18" a="1"/>
  <c r="Y116" i="18" s="1"/>
  <c r="AA116" i="18" s="1"/>
  <c r="X116" i="18"/>
  <c r="W116" i="18" a="1"/>
  <c r="W116" i="18" s="1"/>
  <c r="V116" i="18"/>
  <c r="U116" i="18" a="1"/>
  <c r="U116" i="18" s="1"/>
  <c r="T116" i="18" a="1"/>
  <c r="T116" i="18" s="1"/>
  <c r="S116" i="18" a="1"/>
  <c r="S116" i="18" s="1"/>
  <c r="Y115" i="18" a="1"/>
  <c r="Y115" i="18" s="1"/>
  <c r="AA115" i="18" s="1"/>
  <c r="X115" i="18"/>
  <c r="W115" i="18" a="1"/>
  <c r="W115" i="18" s="1"/>
  <c r="V115" i="18"/>
  <c r="U115" i="18" a="1"/>
  <c r="U115" i="18" s="1"/>
  <c r="T115" i="18" a="1"/>
  <c r="T115" i="18" s="1"/>
  <c r="S115" i="18" a="1"/>
  <c r="S115" i="18" s="1"/>
  <c r="Y114" i="18" a="1"/>
  <c r="Y114" i="18" s="1"/>
  <c r="AA114" i="18" s="1"/>
  <c r="X114" i="18"/>
  <c r="W114" i="18" a="1"/>
  <c r="W114" i="18" s="1"/>
  <c r="V114" i="18"/>
  <c r="U114" i="18" a="1"/>
  <c r="U114" i="18" s="1"/>
  <c r="T114" i="18" a="1"/>
  <c r="T114" i="18" s="1"/>
  <c r="S114" i="18" a="1"/>
  <c r="S114" i="18" s="1"/>
  <c r="Y113" i="18" a="1"/>
  <c r="Y113" i="18" s="1"/>
  <c r="AA113" i="18" s="1"/>
  <c r="X113" i="18"/>
  <c r="W113" i="18" a="1"/>
  <c r="W113" i="18" s="1"/>
  <c r="V113" i="18"/>
  <c r="U113" i="18" a="1"/>
  <c r="U113" i="18" s="1"/>
  <c r="T113" i="18" a="1"/>
  <c r="T113" i="18" s="1"/>
  <c r="S113" i="18" a="1"/>
  <c r="S113" i="18" s="1"/>
  <c r="Y112" i="18" a="1"/>
  <c r="Y112" i="18" s="1"/>
  <c r="X112" i="18"/>
  <c r="W112" i="18" a="1"/>
  <c r="W112" i="18" s="1"/>
  <c r="V112" i="18"/>
  <c r="U112" i="18" a="1"/>
  <c r="U112" i="18" s="1"/>
  <c r="T112" i="18" a="1"/>
  <c r="T112" i="18" s="1"/>
  <c r="S112" i="18" a="1"/>
  <c r="S112" i="18" s="1"/>
  <c r="Y111" i="18" a="1"/>
  <c r="Y111" i="18" s="1"/>
  <c r="AA111" i="18" s="1"/>
  <c r="X111" i="18"/>
  <c r="W111" i="18" a="1"/>
  <c r="W111" i="18" s="1"/>
  <c r="V111" i="18"/>
  <c r="U111" i="18" a="1"/>
  <c r="U111" i="18" s="1"/>
  <c r="T111" i="18" a="1"/>
  <c r="T111" i="18" s="1"/>
  <c r="S111" i="18" a="1"/>
  <c r="S111" i="18" s="1"/>
  <c r="Y110" i="18" a="1"/>
  <c r="Y110" i="18" s="1"/>
  <c r="AA110" i="18" s="1"/>
  <c r="X110" i="18"/>
  <c r="W110" i="18" a="1"/>
  <c r="W110" i="18" s="1"/>
  <c r="V110" i="18"/>
  <c r="U110" i="18" a="1"/>
  <c r="U110" i="18" s="1"/>
  <c r="T110" i="18" a="1"/>
  <c r="T110" i="18" s="1"/>
  <c r="S110" i="18" a="1"/>
  <c r="S110" i="18" s="1"/>
  <c r="Y109" i="18" a="1"/>
  <c r="Y109" i="18" s="1"/>
  <c r="AA109" i="18" s="1"/>
  <c r="X109" i="18"/>
  <c r="W109" i="18" a="1"/>
  <c r="W109" i="18" s="1"/>
  <c r="V109" i="18"/>
  <c r="U109" i="18" a="1"/>
  <c r="U109" i="18" s="1"/>
  <c r="T109" i="18" a="1"/>
  <c r="T109" i="18" s="1"/>
  <c r="S109" i="18" a="1"/>
  <c r="S109" i="18" s="1"/>
  <c r="Y108" i="18" a="1"/>
  <c r="Y108" i="18" s="1"/>
  <c r="AA108" i="18" s="1"/>
  <c r="X108" i="18"/>
  <c r="W108" i="18" a="1"/>
  <c r="W108" i="18" s="1"/>
  <c r="V108" i="18"/>
  <c r="U108" i="18" a="1"/>
  <c r="U108" i="18" s="1"/>
  <c r="T108" i="18" a="1"/>
  <c r="T108" i="18" s="1"/>
  <c r="S108" i="18" a="1"/>
  <c r="S108" i="18" s="1"/>
  <c r="Y107" i="18" a="1"/>
  <c r="Y107" i="18" s="1"/>
  <c r="X107" i="18"/>
  <c r="W107" i="18" a="1"/>
  <c r="W107" i="18" s="1"/>
  <c r="V107" i="18"/>
  <c r="U107" i="18" a="1"/>
  <c r="U107" i="18" s="1"/>
  <c r="T107" i="18" a="1"/>
  <c r="T107" i="18" s="1"/>
  <c r="S107" i="18" a="1"/>
  <c r="S107" i="18" s="1"/>
  <c r="Y106" i="18" a="1"/>
  <c r="Y106" i="18" s="1"/>
  <c r="X106" i="18"/>
  <c r="W106" i="18" a="1"/>
  <c r="W106" i="18" s="1"/>
  <c r="V106" i="18"/>
  <c r="U106" i="18" a="1"/>
  <c r="U106" i="18" s="1"/>
  <c r="T106" i="18" a="1"/>
  <c r="T106" i="18" s="1"/>
  <c r="S106" i="18" a="1"/>
  <c r="S106" i="18" s="1"/>
  <c r="Y105" i="18" a="1"/>
  <c r="Y105" i="18" s="1"/>
  <c r="AA105" i="18" s="1"/>
  <c r="X105" i="18"/>
  <c r="W105" i="18" a="1"/>
  <c r="W105" i="18" s="1"/>
  <c r="V105" i="18"/>
  <c r="U105" i="18" a="1"/>
  <c r="U105" i="18" s="1"/>
  <c r="T105" i="18" a="1"/>
  <c r="T105" i="18" s="1"/>
  <c r="S105" i="18" a="1"/>
  <c r="S105" i="18" s="1"/>
  <c r="Y104" i="18" a="1"/>
  <c r="Y104" i="18" s="1"/>
  <c r="AA104" i="18" s="1"/>
  <c r="X104" i="18"/>
  <c r="W104" i="18" a="1"/>
  <c r="W104" i="18" s="1"/>
  <c r="V104" i="18"/>
  <c r="U104" i="18" a="1"/>
  <c r="U104" i="18" s="1"/>
  <c r="T104" i="18" a="1"/>
  <c r="T104" i="18" s="1"/>
  <c r="S104" i="18" a="1"/>
  <c r="S104" i="18" s="1"/>
  <c r="Y103" i="18" a="1"/>
  <c r="Y103" i="18" s="1"/>
  <c r="AA103" i="18" s="1"/>
  <c r="X103" i="18"/>
  <c r="W103" i="18" a="1"/>
  <c r="W103" i="18" s="1"/>
  <c r="V103" i="18"/>
  <c r="U103" i="18" a="1"/>
  <c r="U103" i="18" s="1"/>
  <c r="T103" i="18" a="1"/>
  <c r="T103" i="18" s="1"/>
  <c r="S103" i="18" a="1"/>
  <c r="S103" i="18" s="1"/>
  <c r="Y102" i="18" a="1"/>
  <c r="Y102" i="18" s="1"/>
  <c r="AA102" i="18" s="1"/>
  <c r="X102" i="18"/>
  <c r="W102" i="18" a="1"/>
  <c r="W102" i="18" s="1"/>
  <c r="V102" i="18"/>
  <c r="U102" i="18" a="1"/>
  <c r="U102" i="18" s="1"/>
  <c r="T102" i="18" a="1"/>
  <c r="T102" i="18" s="1"/>
  <c r="S102" i="18" a="1"/>
  <c r="S102" i="18" s="1"/>
  <c r="Y101" i="18" a="1"/>
  <c r="Y101" i="18" s="1"/>
  <c r="AA101" i="18" s="1"/>
  <c r="X101" i="18"/>
  <c r="W101" i="18" a="1"/>
  <c r="W101" i="18" s="1"/>
  <c r="V101" i="18"/>
  <c r="U101" i="18" a="1"/>
  <c r="U101" i="18" s="1"/>
  <c r="T101" i="18" a="1"/>
  <c r="T101" i="18" s="1"/>
  <c r="S101" i="18" a="1"/>
  <c r="S101" i="18" s="1"/>
  <c r="Y100" i="18" a="1"/>
  <c r="Y100" i="18" s="1"/>
  <c r="AA100" i="18" s="1"/>
  <c r="X100" i="18"/>
  <c r="W100" i="18" a="1"/>
  <c r="W100" i="18" s="1"/>
  <c r="V100" i="18"/>
  <c r="U100" i="18" a="1"/>
  <c r="U100" i="18" s="1"/>
  <c r="T100" i="18" a="1"/>
  <c r="T100" i="18" s="1"/>
  <c r="S100" i="18" a="1"/>
  <c r="S100" i="18" s="1"/>
  <c r="Y99" i="18" a="1"/>
  <c r="Y99" i="18" s="1"/>
  <c r="X99" i="18"/>
  <c r="W99" i="18" a="1"/>
  <c r="W99" i="18" s="1"/>
  <c r="V99" i="18"/>
  <c r="U99" i="18" a="1"/>
  <c r="U99" i="18" s="1"/>
  <c r="T99" i="18" a="1"/>
  <c r="T99" i="18" s="1"/>
  <c r="S99" i="18" a="1"/>
  <c r="S99" i="18" s="1"/>
  <c r="Y98" i="18" a="1"/>
  <c r="Y98" i="18" s="1"/>
  <c r="AA98" i="18" s="1"/>
  <c r="X98" i="18"/>
  <c r="W98" i="18" a="1"/>
  <c r="W98" i="18" s="1"/>
  <c r="V98" i="18"/>
  <c r="U98" i="18" a="1"/>
  <c r="U98" i="18" s="1"/>
  <c r="T98" i="18" a="1"/>
  <c r="T98" i="18" s="1"/>
  <c r="S98" i="18" a="1"/>
  <c r="S98" i="18" s="1"/>
  <c r="Y97" i="18" a="1"/>
  <c r="Y97" i="18" s="1"/>
  <c r="X97" i="18"/>
  <c r="W97" i="18" a="1"/>
  <c r="W97" i="18" s="1"/>
  <c r="V97" i="18"/>
  <c r="U97" i="18" a="1"/>
  <c r="U97" i="18" s="1"/>
  <c r="T97" i="18" a="1"/>
  <c r="T97" i="18" s="1"/>
  <c r="S97" i="18" a="1"/>
  <c r="S97" i="18" s="1"/>
  <c r="Y96" i="18" a="1"/>
  <c r="Y96" i="18" s="1"/>
  <c r="AA96" i="18" s="1"/>
  <c r="X96" i="18"/>
  <c r="W96" i="18" a="1"/>
  <c r="W96" i="18" s="1"/>
  <c r="V96" i="18"/>
  <c r="U96" i="18" a="1"/>
  <c r="U96" i="18" s="1"/>
  <c r="T96" i="18" a="1"/>
  <c r="T96" i="18" s="1"/>
  <c r="S96" i="18" a="1"/>
  <c r="S96" i="18" s="1"/>
  <c r="Y95" i="18" a="1"/>
  <c r="Y95" i="18" s="1"/>
  <c r="X95" i="18"/>
  <c r="W95" i="18" a="1"/>
  <c r="W95" i="18" s="1"/>
  <c r="V95" i="18"/>
  <c r="U95" i="18" a="1"/>
  <c r="U95" i="18" s="1"/>
  <c r="T95" i="18" a="1"/>
  <c r="T95" i="18" s="1"/>
  <c r="S95" i="18" a="1"/>
  <c r="S95" i="18" s="1"/>
  <c r="Y94" i="18" a="1"/>
  <c r="Y94" i="18" s="1"/>
  <c r="AA94" i="18" s="1"/>
  <c r="X94" i="18"/>
  <c r="W94" i="18" a="1"/>
  <c r="W94" i="18" s="1"/>
  <c r="V94" i="18"/>
  <c r="U94" i="18" a="1"/>
  <c r="U94" i="18" s="1"/>
  <c r="T94" i="18" a="1"/>
  <c r="T94" i="18" s="1"/>
  <c r="S94" i="18" a="1"/>
  <c r="S94" i="18" s="1"/>
  <c r="Y93" i="18" a="1"/>
  <c r="Y93" i="18" s="1"/>
  <c r="AA93" i="18" s="1"/>
  <c r="X93" i="18"/>
  <c r="W93" i="18" a="1"/>
  <c r="W93" i="18" s="1"/>
  <c r="V93" i="18"/>
  <c r="U93" i="18" a="1"/>
  <c r="U93" i="18" s="1"/>
  <c r="T93" i="18" a="1"/>
  <c r="T93" i="18" s="1"/>
  <c r="S93" i="18" a="1"/>
  <c r="S93" i="18" s="1"/>
  <c r="Y92" i="18" a="1"/>
  <c r="Y92" i="18" s="1"/>
  <c r="AA92" i="18" s="1"/>
  <c r="X92" i="18"/>
  <c r="W92" i="18" a="1"/>
  <c r="W92" i="18" s="1"/>
  <c r="V92" i="18"/>
  <c r="U92" i="18" a="1"/>
  <c r="U92" i="18" s="1"/>
  <c r="T92" i="18" a="1"/>
  <c r="T92" i="18" s="1"/>
  <c r="S92" i="18" a="1"/>
  <c r="S92" i="18" s="1"/>
  <c r="Y91" i="18" a="1"/>
  <c r="Y91" i="18" s="1"/>
  <c r="AA91" i="18" s="1"/>
  <c r="X91" i="18"/>
  <c r="W91" i="18" a="1"/>
  <c r="W91" i="18" s="1"/>
  <c r="V91" i="18"/>
  <c r="U91" i="18" a="1"/>
  <c r="U91" i="18" s="1"/>
  <c r="T91" i="18" a="1"/>
  <c r="T91" i="18" s="1"/>
  <c r="S91" i="18" a="1"/>
  <c r="S91" i="18" s="1"/>
  <c r="Y90" i="18" a="1"/>
  <c r="Y90" i="18" s="1"/>
  <c r="AA90" i="18" s="1"/>
  <c r="X90" i="18"/>
  <c r="W90" i="18" a="1"/>
  <c r="W90" i="18" s="1"/>
  <c r="V90" i="18"/>
  <c r="U90" i="18" a="1"/>
  <c r="U90" i="18" s="1"/>
  <c r="T90" i="18" a="1"/>
  <c r="T90" i="18" s="1"/>
  <c r="S90" i="18" a="1"/>
  <c r="S90" i="18" s="1"/>
  <c r="Y89" i="18" a="1"/>
  <c r="Y89" i="18" s="1"/>
  <c r="X89" i="18"/>
  <c r="W89" i="18" a="1"/>
  <c r="W89" i="18" s="1"/>
  <c r="V89" i="18"/>
  <c r="U89" i="18" a="1"/>
  <c r="U89" i="18" s="1"/>
  <c r="T89" i="18" a="1"/>
  <c r="T89" i="18" s="1"/>
  <c r="S89" i="18" a="1"/>
  <c r="S89" i="18" s="1"/>
  <c r="Y88" i="18" a="1"/>
  <c r="Y88" i="18" s="1"/>
  <c r="X88" i="18"/>
  <c r="W88" i="18" a="1"/>
  <c r="W88" i="18" s="1"/>
  <c r="V88" i="18"/>
  <c r="U88" i="18" a="1"/>
  <c r="U88" i="18" s="1"/>
  <c r="T88" i="18" a="1"/>
  <c r="T88" i="18" s="1"/>
  <c r="S88" i="18" a="1"/>
  <c r="S88" i="18" s="1"/>
  <c r="Y87" i="18" a="1"/>
  <c r="Y87" i="18" s="1"/>
  <c r="X87" i="18"/>
  <c r="W87" i="18" a="1"/>
  <c r="W87" i="18" s="1"/>
  <c r="V87" i="18"/>
  <c r="U87" i="18" a="1"/>
  <c r="U87" i="18" s="1"/>
  <c r="T87" i="18" a="1"/>
  <c r="T87" i="18" s="1"/>
  <c r="S87" i="18" a="1"/>
  <c r="S87" i="18" s="1"/>
  <c r="Y86" i="18" a="1"/>
  <c r="Y86" i="18" s="1"/>
  <c r="AA86" i="18" s="1"/>
  <c r="X86" i="18"/>
  <c r="W86" i="18" a="1"/>
  <c r="W86" i="18" s="1"/>
  <c r="V86" i="18"/>
  <c r="U86" i="18" a="1"/>
  <c r="U86" i="18" s="1"/>
  <c r="T86" i="18" a="1"/>
  <c r="T86" i="18" s="1"/>
  <c r="S86" i="18" a="1"/>
  <c r="S86" i="18" s="1"/>
  <c r="Y85" i="18" a="1"/>
  <c r="Y85" i="18" s="1"/>
  <c r="AA85" i="18" s="1"/>
  <c r="X85" i="18"/>
  <c r="W85" i="18" a="1"/>
  <c r="W85" i="18" s="1"/>
  <c r="V85" i="18"/>
  <c r="U85" i="18" a="1"/>
  <c r="U85" i="18" s="1"/>
  <c r="T85" i="18" a="1"/>
  <c r="T85" i="18" s="1"/>
  <c r="S85" i="18" a="1"/>
  <c r="S85" i="18" s="1"/>
  <c r="Y84" i="18" a="1"/>
  <c r="Y84" i="18" s="1"/>
  <c r="AA84" i="18" s="1"/>
  <c r="X84" i="18"/>
  <c r="W84" i="18" a="1"/>
  <c r="W84" i="18" s="1"/>
  <c r="V84" i="18"/>
  <c r="U84" i="18" a="1"/>
  <c r="U84" i="18" s="1"/>
  <c r="T84" i="18" a="1"/>
  <c r="T84" i="18" s="1"/>
  <c r="S84" i="18" a="1"/>
  <c r="S84" i="18" s="1"/>
  <c r="Y83" i="18" a="1"/>
  <c r="Y83" i="18" s="1"/>
  <c r="AA83" i="18" s="1"/>
  <c r="X83" i="18"/>
  <c r="W83" i="18" a="1"/>
  <c r="W83" i="18" s="1"/>
  <c r="V83" i="18"/>
  <c r="U83" i="18" a="1"/>
  <c r="U83" i="18" s="1"/>
  <c r="T83" i="18" a="1"/>
  <c r="T83" i="18" s="1"/>
  <c r="S83" i="18" a="1"/>
  <c r="S83" i="18" s="1"/>
  <c r="Y82" i="18" a="1"/>
  <c r="Y82" i="18" s="1"/>
  <c r="AA82" i="18" s="1"/>
  <c r="X82" i="18"/>
  <c r="W82" i="18" a="1"/>
  <c r="W82" i="18" s="1"/>
  <c r="V82" i="18"/>
  <c r="U82" i="18" a="1"/>
  <c r="U82" i="18" s="1"/>
  <c r="T82" i="18" a="1"/>
  <c r="T82" i="18" s="1"/>
  <c r="S82" i="18" a="1"/>
  <c r="S82" i="18" s="1"/>
  <c r="Y81" i="18" a="1"/>
  <c r="Y81" i="18" s="1"/>
  <c r="AA81" i="18" s="1"/>
  <c r="X81" i="18"/>
  <c r="W81" i="18" a="1"/>
  <c r="W81" i="18" s="1"/>
  <c r="V81" i="18"/>
  <c r="U81" i="18" a="1"/>
  <c r="U81" i="18" s="1"/>
  <c r="T81" i="18" a="1"/>
  <c r="T81" i="18" s="1"/>
  <c r="S81" i="18" a="1"/>
  <c r="S81" i="18" s="1"/>
  <c r="Y80" i="18" a="1"/>
  <c r="Y80" i="18" s="1"/>
  <c r="AA80" i="18" s="1"/>
  <c r="X80" i="18"/>
  <c r="W80" i="18" a="1"/>
  <c r="W80" i="18" s="1"/>
  <c r="V80" i="18"/>
  <c r="U80" i="18" a="1"/>
  <c r="U80" i="18" s="1"/>
  <c r="T80" i="18" a="1"/>
  <c r="T80" i="18" s="1"/>
  <c r="S80" i="18" a="1"/>
  <c r="S80" i="18" s="1"/>
  <c r="Y79" i="18" a="1"/>
  <c r="Y79" i="18" s="1"/>
  <c r="AA79" i="18" s="1"/>
  <c r="X79" i="18"/>
  <c r="W79" i="18" a="1"/>
  <c r="W79" i="18" s="1"/>
  <c r="V79" i="18"/>
  <c r="U79" i="18" a="1"/>
  <c r="U79" i="18" s="1"/>
  <c r="T79" i="18" a="1"/>
  <c r="T79" i="18" s="1"/>
  <c r="S79" i="18" a="1"/>
  <c r="S79" i="18" s="1"/>
  <c r="Y78" i="18" a="1"/>
  <c r="Y78" i="18" s="1"/>
  <c r="AA78" i="18" s="1"/>
  <c r="X78" i="18"/>
  <c r="W78" i="18" a="1"/>
  <c r="W78" i="18" s="1"/>
  <c r="V78" i="18"/>
  <c r="U78" i="18" a="1"/>
  <c r="U78" i="18" s="1"/>
  <c r="T78" i="18" a="1"/>
  <c r="T78" i="18" s="1"/>
  <c r="S78" i="18" a="1"/>
  <c r="S78" i="18" s="1"/>
  <c r="Y77" i="18" a="1"/>
  <c r="Y77" i="18" s="1"/>
  <c r="X77" i="18"/>
  <c r="W77" i="18" a="1"/>
  <c r="W77" i="18" s="1"/>
  <c r="V77" i="18"/>
  <c r="U77" i="18" a="1"/>
  <c r="U77" i="18" s="1"/>
  <c r="T77" i="18" a="1"/>
  <c r="T77" i="18" s="1"/>
  <c r="S77" i="18" a="1"/>
  <c r="S77" i="18" s="1"/>
  <c r="Y76" i="18" a="1"/>
  <c r="Y76" i="18" s="1"/>
  <c r="AA76" i="18" s="1"/>
  <c r="X76" i="18"/>
  <c r="W76" i="18" a="1"/>
  <c r="W76" i="18" s="1"/>
  <c r="V76" i="18"/>
  <c r="U76" i="18" a="1"/>
  <c r="U76" i="18" s="1"/>
  <c r="T76" i="18" a="1"/>
  <c r="T76" i="18" s="1"/>
  <c r="S76" i="18" a="1"/>
  <c r="S76" i="18" s="1"/>
  <c r="Y75" i="18" a="1"/>
  <c r="Y75" i="18" s="1"/>
  <c r="AA75" i="18" s="1"/>
  <c r="X75" i="18"/>
  <c r="W75" i="18" a="1"/>
  <c r="W75" i="18" s="1"/>
  <c r="V75" i="18"/>
  <c r="U75" i="18" a="1"/>
  <c r="U75" i="18" s="1"/>
  <c r="T75" i="18" a="1"/>
  <c r="T75" i="18" s="1"/>
  <c r="S75" i="18" a="1"/>
  <c r="S75" i="18" s="1"/>
  <c r="Y74" i="18" a="1"/>
  <c r="Y74" i="18" s="1"/>
  <c r="AA74" i="18" s="1"/>
  <c r="X74" i="18"/>
  <c r="W74" i="18" a="1"/>
  <c r="W74" i="18" s="1"/>
  <c r="V74" i="18"/>
  <c r="U74" i="18" a="1"/>
  <c r="U74" i="18" s="1"/>
  <c r="T74" i="18" a="1"/>
  <c r="T74" i="18" s="1"/>
  <c r="S74" i="18" a="1"/>
  <c r="S74" i="18" s="1"/>
  <c r="Y73" i="18" a="1"/>
  <c r="Y73" i="18" s="1"/>
  <c r="AA73" i="18" s="1"/>
  <c r="X73" i="18"/>
  <c r="W73" i="18" a="1"/>
  <c r="W73" i="18" s="1"/>
  <c r="V73" i="18"/>
  <c r="U73" i="18" a="1"/>
  <c r="U73" i="18" s="1"/>
  <c r="T73" i="18" a="1"/>
  <c r="T73" i="18" s="1"/>
  <c r="S73" i="18" a="1"/>
  <c r="S73" i="18" s="1"/>
  <c r="Y72" i="18" a="1"/>
  <c r="Y72" i="18" s="1"/>
  <c r="AA72" i="18" s="1"/>
  <c r="X72" i="18"/>
  <c r="W72" i="18" a="1"/>
  <c r="W72" i="18" s="1"/>
  <c r="V72" i="18"/>
  <c r="U72" i="18" a="1"/>
  <c r="U72" i="18" s="1"/>
  <c r="T72" i="18" a="1"/>
  <c r="T72" i="18" s="1"/>
  <c r="S72" i="18" a="1"/>
  <c r="S72" i="18" s="1"/>
  <c r="Y71" i="18" a="1"/>
  <c r="Y71" i="18" s="1"/>
  <c r="X71" i="18"/>
  <c r="W71" i="18" a="1"/>
  <c r="W71" i="18" s="1"/>
  <c r="V71" i="18"/>
  <c r="U71" i="18" a="1"/>
  <c r="U71" i="18" s="1"/>
  <c r="T71" i="18" a="1"/>
  <c r="T71" i="18" s="1"/>
  <c r="S71" i="18" a="1"/>
  <c r="S71" i="18" s="1"/>
  <c r="Y70" i="18" a="1"/>
  <c r="Y70" i="18" s="1"/>
  <c r="X70" i="18"/>
  <c r="W70" i="18" a="1"/>
  <c r="W70" i="18" s="1"/>
  <c r="V70" i="18"/>
  <c r="U70" i="18" a="1"/>
  <c r="U70" i="18" s="1"/>
  <c r="T70" i="18" a="1"/>
  <c r="T70" i="18" s="1"/>
  <c r="S70" i="18" a="1"/>
  <c r="S70" i="18" s="1"/>
  <c r="Y69" i="18" a="1"/>
  <c r="Y69" i="18" s="1"/>
  <c r="X69" i="18"/>
  <c r="W69" i="18" a="1"/>
  <c r="W69" i="18" s="1"/>
  <c r="V69" i="18"/>
  <c r="U69" i="18" a="1"/>
  <c r="U69" i="18" s="1"/>
  <c r="T69" i="18" a="1"/>
  <c r="T69" i="18" s="1"/>
  <c r="S69" i="18" a="1"/>
  <c r="S69" i="18" s="1"/>
  <c r="Y68" i="18" a="1"/>
  <c r="Y68" i="18" s="1"/>
  <c r="X68" i="18"/>
  <c r="W68" i="18" a="1"/>
  <c r="W68" i="18" s="1"/>
  <c r="V68" i="18"/>
  <c r="U68" i="18" a="1"/>
  <c r="U68" i="18" s="1"/>
  <c r="T68" i="18" a="1"/>
  <c r="T68" i="18" s="1"/>
  <c r="S68" i="18" a="1"/>
  <c r="S68" i="18" s="1"/>
  <c r="Y67" i="18" a="1"/>
  <c r="Y67" i="18" s="1"/>
  <c r="X67" i="18"/>
  <c r="W67" i="18" a="1"/>
  <c r="W67" i="18" s="1"/>
  <c r="V67" i="18"/>
  <c r="U67" i="18" a="1"/>
  <c r="U67" i="18" s="1"/>
  <c r="T67" i="18" a="1"/>
  <c r="T67" i="18" s="1"/>
  <c r="S67" i="18" a="1"/>
  <c r="S67" i="18" s="1"/>
  <c r="Y66" i="18" a="1"/>
  <c r="Y66" i="18" s="1"/>
  <c r="X66" i="18"/>
  <c r="W66" i="18" a="1"/>
  <c r="W66" i="18" s="1"/>
  <c r="V66" i="18"/>
  <c r="U66" i="18" a="1"/>
  <c r="U66" i="18" s="1"/>
  <c r="T66" i="18" a="1"/>
  <c r="T66" i="18" s="1"/>
  <c r="S66" i="18" a="1"/>
  <c r="S66" i="18" s="1"/>
  <c r="Y65" i="18" a="1"/>
  <c r="Y65" i="18" s="1"/>
  <c r="AA65" i="18" s="1"/>
  <c r="X65" i="18"/>
  <c r="W65" i="18" a="1"/>
  <c r="W65" i="18" s="1"/>
  <c r="V65" i="18"/>
  <c r="U65" i="18" a="1"/>
  <c r="U65" i="18" s="1"/>
  <c r="T65" i="18" a="1"/>
  <c r="T65" i="18" s="1"/>
  <c r="S65" i="18" a="1"/>
  <c r="S65" i="18" s="1"/>
  <c r="Y64" i="18" a="1"/>
  <c r="Y64" i="18" s="1"/>
  <c r="X64" i="18"/>
  <c r="W64" i="18" a="1"/>
  <c r="W64" i="18" s="1"/>
  <c r="V64" i="18"/>
  <c r="U64" i="18" a="1"/>
  <c r="U64" i="18" s="1"/>
  <c r="T64" i="18" a="1"/>
  <c r="T64" i="18" s="1"/>
  <c r="S64" i="18" a="1"/>
  <c r="S64" i="18" s="1"/>
  <c r="Y63" i="18" a="1"/>
  <c r="Y63" i="18" s="1"/>
  <c r="X63" i="18"/>
  <c r="W63" i="18" a="1"/>
  <c r="W63" i="18" s="1"/>
  <c r="V63" i="18"/>
  <c r="U63" i="18" a="1"/>
  <c r="U63" i="18" s="1"/>
  <c r="T63" i="18" a="1"/>
  <c r="T63" i="18" s="1"/>
  <c r="S63" i="18" a="1"/>
  <c r="S63" i="18" s="1"/>
  <c r="Y62" i="18" a="1"/>
  <c r="Y62" i="18" s="1"/>
  <c r="X62" i="18"/>
  <c r="W62" i="18" a="1"/>
  <c r="W62" i="18" s="1"/>
  <c r="V62" i="18"/>
  <c r="U62" i="18" a="1"/>
  <c r="U62" i="18" s="1"/>
  <c r="T62" i="18" a="1"/>
  <c r="T62" i="18" s="1"/>
  <c r="S62" i="18" a="1"/>
  <c r="S62" i="18" s="1"/>
  <c r="Y61" i="18" a="1"/>
  <c r="Y61" i="18" s="1"/>
  <c r="X61" i="18"/>
  <c r="W61" i="18" a="1"/>
  <c r="W61" i="18" s="1"/>
  <c r="V61" i="18"/>
  <c r="U61" i="18" a="1"/>
  <c r="U61" i="18" s="1"/>
  <c r="T61" i="18" a="1"/>
  <c r="T61" i="18" s="1"/>
  <c r="S61" i="18" a="1"/>
  <c r="S61" i="18" s="1"/>
  <c r="Y60" i="18" a="1"/>
  <c r="Y60" i="18" s="1"/>
  <c r="X60" i="18"/>
  <c r="W60" i="18" a="1"/>
  <c r="W60" i="18" s="1"/>
  <c r="V60" i="18"/>
  <c r="U60" i="18" a="1"/>
  <c r="U60" i="18" s="1"/>
  <c r="T60" i="18" a="1"/>
  <c r="T60" i="18" s="1"/>
  <c r="S60" i="18" a="1"/>
  <c r="S60" i="18" s="1"/>
  <c r="Y59" i="18" a="1"/>
  <c r="Y59" i="18" s="1"/>
  <c r="X59" i="18"/>
  <c r="W59" i="18" a="1"/>
  <c r="W59" i="18" s="1"/>
  <c r="V59" i="18"/>
  <c r="U59" i="18" a="1"/>
  <c r="U59" i="18" s="1"/>
  <c r="T59" i="18" a="1"/>
  <c r="T59" i="18" s="1"/>
  <c r="S59" i="18" a="1"/>
  <c r="S59" i="18" s="1"/>
  <c r="Y58" i="18" a="1"/>
  <c r="Y58" i="18" s="1"/>
  <c r="X58" i="18"/>
  <c r="W58" i="18" a="1"/>
  <c r="W58" i="18" s="1"/>
  <c r="V58" i="18"/>
  <c r="U58" i="18" a="1"/>
  <c r="U58" i="18" s="1"/>
  <c r="T58" i="18" a="1"/>
  <c r="T58" i="18" s="1"/>
  <c r="S58" i="18" a="1"/>
  <c r="S58" i="18" s="1"/>
  <c r="Y57" i="18" a="1"/>
  <c r="Y57" i="18" s="1"/>
  <c r="X57" i="18"/>
  <c r="W57" i="18" a="1"/>
  <c r="W57" i="18" s="1"/>
  <c r="V57" i="18"/>
  <c r="U57" i="18" a="1"/>
  <c r="U57" i="18" s="1"/>
  <c r="T57" i="18" a="1"/>
  <c r="T57" i="18" s="1"/>
  <c r="S57" i="18" a="1"/>
  <c r="S57" i="18" s="1"/>
  <c r="Y56" i="18" a="1"/>
  <c r="Y56" i="18" s="1"/>
  <c r="X56" i="18"/>
  <c r="W56" i="18" a="1"/>
  <c r="W56" i="18" s="1"/>
  <c r="V56" i="18"/>
  <c r="U56" i="18" a="1"/>
  <c r="U56" i="18" s="1"/>
  <c r="T56" i="18" a="1"/>
  <c r="T56" i="18" s="1"/>
  <c r="S56" i="18" a="1"/>
  <c r="S56" i="18" s="1"/>
  <c r="Y55" i="18" a="1"/>
  <c r="Y55" i="18" s="1"/>
  <c r="X55" i="18"/>
  <c r="W55" i="18" a="1"/>
  <c r="W55" i="18" s="1"/>
  <c r="V55" i="18"/>
  <c r="U55" i="18" a="1"/>
  <c r="U55" i="18" s="1"/>
  <c r="T55" i="18" a="1"/>
  <c r="T55" i="18" s="1"/>
  <c r="S55" i="18" a="1"/>
  <c r="S55" i="18" s="1"/>
  <c r="Y54" i="18" a="1"/>
  <c r="Y54" i="18" s="1"/>
  <c r="X54" i="18"/>
  <c r="W54" i="18" a="1"/>
  <c r="W54" i="18" s="1"/>
  <c r="V54" i="18"/>
  <c r="U54" i="18" a="1"/>
  <c r="U54" i="18" s="1"/>
  <c r="T54" i="18" a="1"/>
  <c r="T54" i="18" s="1"/>
  <c r="S54" i="18" a="1"/>
  <c r="S54" i="18" s="1"/>
  <c r="Y53" i="18" a="1"/>
  <c r="Y53" i="18" s="1"/>
  <c r="X53" i="18"/>
  <c r="W53" i="18" a="1"/>
  <c r="W53" i="18" s="1"/>
  <c r="V53" i="18"/>
  <c r="U53" i="18" a="1"/>
  <c r="U53" i="18" s="1"/>
  <c r="T53" i="18" a="1"/>
  <c r="T53" i="18" s="1"/>
  <c r="S53" i="18" a="1"/>
  <c r="S53" i="18" s="1"/>
  <c r="Y52" i="18" a="1"/>
  <c r="Y52" i="18" s="1"/>
  <c r="X52" i="18"/>
  <c r="W52" i="18" a="1"/>
  <c r="W52" i="18" s="1"/>
  <c r="V52" i="18"/>
  <c r="U52" i="18" a="1"/>
  <c r="U52" i="18" s="1"/>
  <c r="T52" i="18" a="1"/>
  <c r="T52" i="18" s="1"/>
  <c r="S52" i="18" a="1"/>
  <c r="S52" i="18" s="1"/>
  <c r="Y51" i="18" a="1"/>
  <c r="Y51" i="18" s="1"/>
  <c r="X51" i="18"/>
  <c r="W51" i="18" a="1"/>
  <c r="W51" i="18" s="1"/>
  <c r="V51" i="18"/>
  <c r="U51" i="18" a="1"/>
  <c r="U51" i="18" s="1"/>
  <c r="T51" i="18" a="1"/>
  <c r="T51" i="18" s="1"/>
  <c r="S51" i="18" a="1"/>
  <c r="S51" i="18" s="1"/>
  <c r="Y50" i="18" a="1"/>
  <c r="Y50" i="18" s="1"/>
  <c r="X50" i="18"/>
  <c r="W50" i="18" a="1"/>
  <c r="W50" i="18" s="1"/>
  <c r="V50" i="18"/>
  <c r="U50" i="18" a="1"/>
  <c r="U50" i="18" s="1"/>
  <c r="T50" i="18" a="1"/>
  <c r="T50" i="18" s="1"/>
  <c r="S50" i="18" a="1"/>
  <c r="S50" i="18" s="1"/>
  <c r="Y49" i="18" a="1"/>
  <c r="Y49" i="18" s="1"/>
  <c r="X49" i="18"/>
  <c r="W49" i="18" a="1"/>
  <c r="W49" i="18" s="1"/>
  <c r="V49" i="18"/>
  <c r="U49" i="18" a="1"/>
  <c r="U49" i="18" s="1"/>
  <c r="T49" i="18" a="1"/>
  <c r="T49" i="18" s="1"/>
  <c r="S49" i="18" a="1"/>
  <c r="S49" i="18" s="1"/>
  <c r="Y48" i="18" a="1"/>
  <c r="Y48" i="18" s="1"/>
  <c r="X48" i="18"/>
  <c r="W48" i="18" a="1"/>
  <c r="W48" i="18" s="1"/>
  <c r="V48" i="18"/>
  <c r="U48" i="18" a="1"/>
  <c r="U48" i="18" s="1"/>
  <c r="T48" i="18" a="1"/>
  <c r="T48" i="18" s="1"/>
  <c r="S48" i="18" a="1"/>
  <c r="S48" i="18" s="1"/>
  <c r="Y47" i="18" a="1"/>
  <c r="Y47" i="18" s="1"/>
  <c r="X47" i="18"/>
  <c r="W47" i="18" a="1"/>
  <c r="W47" i="18" s="1"/>
  <c r="V47" i="18"/>
  <c r="U47" i="18" a="1"/>
  <c r="U47" i="18" s="1"/>
  <c r="T47" i="18" a="1"/>
  <c r="T47" i="18" s="1"/>
  <c r="S47" i="18" a="1"/>
  <c r="S47" i="18" s="1"/>
  <c r="Y46" i="18" a="1"/>
  <c r="Y46" i="18" s="1"/>
  <c r="X46" i="18"/>
  <c r="W46" i="18" a="1"/>
  <c r="W46" i="18" s="1"/>
  <c r="V46" i="18"/>
  <c r="U46" i="18" a="1"/>
  <c r="U46" i="18" s="1"/>
  <c r="T46" i="18" a="1"/>
  <c r="T46" i="18" s="1"/>
  <c r="S46" i="18" a="1"/>
  <c r="S46" i="18" s="1"/>
  <c r="Y45" i="18" a="1"/>
  <c r="Y45" i="18" s="1"/>
  <c r="X45" i="18"/>
  <c r="W45" i="18" a="1"/>
  <c r="W45" i="18" s="1"/>
  <c r="V45" i="18"/>
  <c r="U45" i="18" a="1"/>
  <c r="U45" i="18" s="1"/>
  <c r="T45" i="18" a="1"/>
  <c r="T45" i="18" s="1"/>
  <c r="S45" i="18" a="1"/>
  <c r="S45" i="18" s="1"/>
  <c r="Y44" i="18" a="1"/>
  <c r="Y44" i="18" s="1"/>
  <c r="X44" i="18"/>
  <c r="W44" i="18" a="1"/>
  <c r="W44" i="18" s="1"/>
  <c r="V44" i="18"/>
  <c r="U44" i="18" a="1"/>
  <c r="U44" i="18" s="1"/>
  <c r="T44" i="18" a="1"/>
  <c r="T44" i="18" s="1"/>
  <c r="S44" i="18" a="1"/>
  <c r="S44" i="18" s="1"/>
  <c r="Y43" i="18" a="1"/>
  <c r="Y43" i="18" s="1"/>
  <c r="X43" i="18"/>
  <c r="W43" i="18" a="1"/>
  <c r="W43" i="18" s="1"/>
  <c r="V43" i="18"/>
  <c r="U43" i="18" a="1"/>
  <c r="U43" i="18" s="1"/>
  <c r="T43" i="18" a="1"/>
  <c r="T43" i="18" s="1"/>
  <c r="S43" i="18" a="1"/>
  <c r="S43" i="18" s="1"/>
  <c r="Y42" i="18" a="1"/>
  <c r="Y42" i="18" s="1"/>
  <c r="X42" i="18"/>
  <c r="W42" i="18" a="1"/>
  <c r="W42" i="18" s="1"/>
  <c r="V42" i="18"/>
  <c r="U42" i="18" a="1"/>
  <c r="U42" i="18" s="1"/>
  <c r="T42" i="18" a="1"/>
  <c r="T42" i="18" s="1"/>
  <c r="S42" i="18" a="1"/>
  <c r="S42" i="18" s="1"/>
  <c r="Y41" i="18" a="1"/>
  <c r="Y41" i="18" s="1"/>
  <c r="X41" i="18"/>
  <c r="W41" i="18" a="1"/>
  <c r="W41" i="18" s="1"/>
  <c r="V41" i="18"/>
  <c r="U41" i="18" a="1"/>
  <c r="U41" i="18" s="1"/>
  <c r="T41" i="18" a="1"/>
  <c r="T41" i="18" s="1"/>
  <c r="S41" i="18" a="1"/>
  <c r="S41" i="18" s="1"/>
  <c r="Y40" i="18" a="1"/>
  <c r="Y40" i="18" s="1"/>
  <c r="X40" i="18"/>
  <c r="W40" i="18" a="1"/>
  <c r="W40" i="18" s="1"/>
  <c r="V40" i="18"/>
  <c r="U40" i="18" a="1"/>
  <c r="U40" i="18" s="1"/>
  <c r="T40" i="18" a="1"/>
  <c r="T40" i="18" s="1"/>
  <c r="S40" i="18" a="1"/>
  <c r="S40" i="18" s="1"/>
  <c r="Y39" i="18" a="1"/>
  <c r="Y39" i="18" s="1"/>
  <c r="X39" i="18"/>
  <c r="W39" i="18" a="1"/>
  <c r="W39" i="18" s="1"/>
  <c r="V39" i="18"/>
  <c r="U39" i="18" a="1"/>
  <c r="U39" i="18" s="1"/>
  <c r="T39" i="18" a="1"/>
  <c r="T39" i="18" s="1"/>
  <c r="S39" i="18" a="1"/>
  <c r="S39" i="18" s="1"/>
  <c r="Y38" i="18" a="1"/>
  <c r="Y38" i="18" s="1"/>
  <c r="X38" i="18"/>
  <c r="W38" i="18" a="1"/>
  <c r="W38" i="18" s="1"/>
  <c r="V38" i="18"/>
  <c r="U38" i="18" a="1"/>
  <c r="U38" i="18" s="1"/>
  <c r="T38" i="18" a="1"/>
  <c r="T38" i="18" s="1"/>
  <c r="S38" i="18" a="1"/>
  <c r="S38" i="18" s="1"/>
  <c r="Y37" i="18" a="1"/>
  <c r="Y37" i="18" s="1"/>
  <c r="X37" i="18"/>
  <c r="W37" i="18" a="1"/>
  <c r="W37" i="18" s="1"/>
  <c r="V37" i="18"/>
  <c r="U37" i="18" a="1"/>
  <c r="U37" i="18" s="1"/>
  <c r="T37" i="18" a="1"/>
  <c r="T37" i="18" s="1"/>
  <c r="S37" i="18" a="1"/>
  <c r="S37" i="18" s="1"/>
  <c r="Y36" i="18" a="1"/>
  <c r="Y36" i="18" s="1"/>
  <c r="X36" i="18"/>
  <c r="W36" i="18" a="1"/>
  <c r="W36" i="18" s="1"/>
  <c r="V36" i="18"/>
  <c r="U36" i="18" a="1"/>
  <c r="U36" i="18" s="1"/>
  <c r="T36" i="18" a="1"/>
  <c r="T36" i="18" s="1"/>
  <c r="S36" i="18" a="1"/>
  <c r="S36" i="18" s="1"/>
  <c r="Y35" i="18" a="1"/>
  <c r="Y35" i="18" s="1"/>
  <c r="X35" i="18"/>
  <c r="W35" i="18" a="1"/>
  <c r="W35" i="18" s="1"/>
  <c r="V35" i="18"/>
  <c r="U35" i="18" a="1"/>
  <c r="U35" i="18" s="1"/>
  <c r="T35" i="18" a="1"/>
  <c r="T35" i="18" s="1"/>
  <c r="S35" i="18" a="1"/>
  <c r="S35" i="18" s="1"/>
  <c r="Y34" i="18" a="1"/>
  <c r="Y34" i="18" s="1"/>
  <c r="AA34" i="18" s="1"/>
  <c r="X34" i="18"/>
  <c r="W34" i="18" a="1"/>
  <c r="W34" i="18" s="1"/>
  <c r="V34" i="18"/>
  <c r="U34" i="18" a="1"/>
  <c r="U34" i="18" s="1"/>
  <c r="T34" i="18" a="1"/>
  <c r="T34" i="18" s="1"/>
  <c r="S34" i="18" a="1"/>
  <c r="S34" i="18" s="1"/>
  <c r="Y33" i="18" a="1"/>
  <c r="Y33" i="18" s="1"/>
  <c r="X33" i="18"/>
  <c r="W33" i="18" a="1"/>
  <c r="W33" i="18" s="1"/>
  <c r="V33" i="18"/>
  <c r="U33" i="18" a="1"/>
  <c r="U33" i="18" s="1"/>
  <c r="T33" i="18" a="1"/>
  <c r="T33" i="18" s="1"/>
  <c r="S33" i="18" a="1"/>
  <c r="S33" i="18" s="1"/>
  <c r="Y32" i="18" a="1"/>
  <c r="Y32" i="18" s="1"/>
  <c r="X32" i="18"/>
  <c r="W32" i="18" a="1"/>
  <c r="W32" i="18" s="1"/>
  <c r="V32" i="18"/>
  <c r="U32" i="18" a="1"/>
  <c r="U32" i="18" s="1"/>
  <c r="T32" i="18" a="1"/>
  <c r="T32" i="18" s="1"/>
  <c r="S32" i="18" a="1"/>
  <c r="S32" i="18" s="1"/>
  <c r="Y31" i="18" a="1"/>
  <c r="Y31" i="18" s="1"/>
  <c r="X31" i="18"/>
  <c r="W31" i="18" a="1"/>
  <c r="W31" i="18" s="1"/>
  <c r="V31" i="18"/>
  <c r="U31" i="18" a="1"/>
  <c r="U31" i="18" s="1"/>
  <c r="T31" i="18" a="1"/>
  <c r="T31" i="18" s="1"/>
  <c r="S31" i="18" a="1"/>
  <c r="S31" i="18" s="1"/>
  <c r="Y30" i="18" a="1"/>
  <c r="Y30" i="18" s="1"/>
  <c r="X30" i="18"/>
  <c r="W30" i="18" a="1"/>
  <c r="W30" i="18" s="1"/>
  <c r="V30" i="18"/>
  <c r="U30" i="18" a="1"/>
  <c r="U30" i="18" s="1"/>
  <c r="T30" i="18" a="1"/>
  <c r="T30" i="18" s="1"/>
  <c r="S30" i="18" a="1"/>
  <c r="S30" i="18" s="1"/>
  <c r="Y29" i="18" a="1"/>
  <c r="Y29" i="18" s="1"/>
  <c r="X29" i="18"/>
  <c r="W29" i="18" a="1"/>
  <c r="W29" i="18" s="1"/>
  <c r="V29" i="18"/>
  <c r="U29" i="18" a="1"/>
  <c r="U29" i="18" s="1"/>
  <c r="T29" i="18" a="1"/>
  <c r="T29" i="18" s="1"/>
  <c r="S29" i="18" a="1"/>
  <c r="S29" i="18" s="1"/>
  <c r="Y28" i="18" a="1"/>
  <c r="Y28" i="18" s="1"/>
  <c r="AA28" i="18" s="1"/>
  <c r="X28" i="18"/>
  <c r="W28" i="18" a="1"/>
  <c r="W28" i="18" s="1"/>
  <c r="V28" i="18"/>
  <c r="U28" i="18" a="1"/>
  <c r="U28" i="18" s="1"/>
  <c r="T28" i="18" a="1"/>
  <c r="T28" i="18" s="1"/>
  <c r="S28" i="18" a="1"/>
  <c r="S28" i="18" s="1"/>
  <c r="Y27" i="18" a="1"/>
  <c r="Y27" i="18" s="1"/>
  <c r="X27" i="18"/>
  <c r="W27" i="18" a="1"/>
  <c r="W27" i="18" s="1"/>
  <c r="V27" i="18"/>
  <c r="U27" i="18" a="1"/>
  <c r="U27" i="18" s="1"/>
  <c r="T27" i="18" a="1"/>
  <c r="T27" i="18" s="1"/>
  <c r="S27" i="18" a="1"/>
  <c r="S27" i="18" s="1"/>
  <c r="Y26" i="18" a="1"/>
  <c r="Y26" i="18" s="1"/>
  <c r="X26" i="18"/>
  <c r="W26" i="18" a="1"/>
  <c r="W26" i="18" s="1"/>
  <c r="V26" i="18"/>
  <c r="U26" i="18" a="1"/>
  <c r="U26" i="18" s="1"/>
  <c r="T26" i="18" a="1"/>
  <c r="T26" i="18" s="1"/>
  <c r="S26" i="18" a="1"/>
  <c r="S26" i="18" s="1"/>
  <c r="Y25" i="18" a="1"/>
  <c r="Y25" i="18" s="1"/>
  <c r="X25" i="18"/>
  <c r="W25" i="18" a="1"/>
  <c r="W25" i="18" s="1"/>
  <c r="V25" i="18"/>
  <c r="U25" i="18" a="1"/>
  <c r="U25" i="18" s="1"/>
  <c r="T25" i="18" a="1"/>
  <c r="T25" i="18" s="1"/>
  <c r="S25" i="18" a="1"/>
  <c r="S25" i="18" s="1"/>
  <c r="Y24" i="18" a="1"/>
  <c r="Y24" i="18" s="1"/>
  <c r="X24" i="18"/>
  <c r="W24" i="18" a="1"/>
  <c r="W24" i="18" s="1"/>
  <c r="V24" i="18"/>
  <c r="U24" i="18" a="1"/>
  <c r="U24" i="18" s="1"/>
  <c r="T24" i="18" a="1"/>
  <c r="T24" i="18" s="1"/>
  <c r="S24" i="18" a="1"/>
  <c r="S24" i="18" s="1"/>
  <c r="Y23" i="18" a="1"/>
  <c r="Y23" i="18" s="1"/>
  <c r="X23" i="18"/>
  <c r="W23" i="18" a="1"/>
  <c r="W23" i="18" s="1"/>
  <c r="V23" i="18"/>
  <c r="U23" i="18" a="1"/>
  <c r="U23" i="18" s="1"/>
  <c r="T23" i="18" a="1"/>
  <c r="T23" i="18" s="1"/>
  <c r="S23" i="18" a="1"/>
  <c r="S23" i="18" s="1"/>
  <c r="Y22" i="18" a="1"/>
  <c r="Y22" i="18" s="1"/>
  <c r="X22" i="18"/>
  <c r="W22" i="18" a="1"/>
  <c r="W22" i="18" s="1"/>
  <c r="V22" i="18"/>
  <c r="U22" i="18" a="1"/>
  <c r="U22" i="18" s="1"/>
  <c r="T22" i="18" a="1"/>
  <c r="T22" i="18" s="1"/>
  <c r="S22" i="18" a="1"/>
  <c r="S22" i="18" s="1"/>
  <c r="Y21" i="18" a="1"/>
  <c r="Y21" i="18" s="1"/>
  <c r="X21" i="18"/>
  <c r="W21" i="18" a="1"/>
  <c r="W21" i="18" s="1"/>
  <c r="V21" i="18"/>
  <c r="U21" i="18" a="1"/>
  <c r="U21" i="18" s="1"/>
  <c r="T21" i="18" a="1"/>
  <c r="T21" i="18" s="1"/>
  <c r="S21" i="18" a="1"/>
  <c r="S21" i="18" s="1"/>
  <c r="Y20" i="18" a="1"/>
  <c r="Y20" i="18" s="1"/>
  <c r="X20" i="18"/>
  <c r="W20" i="18" a="1"/>
  <c r="W20" i="18" s="1"/>
  <c r="V20" i="18"/>
  <c r="U20" i="18" a="1"/>
  <c r="U20" i="18" s="1"/>
  <c r="T20" i="18" a="1"/>
  <c r="T20" i="18" s="1"/>
  <c r="S20" i="18" a="1"/>
  <c r="S20" i="18" s="1"/>
  <c r="Y19" i="18" a="1"/>
  <c r="Y19" i="18" s="1"/>
  <c r="X19" i="18"/>
  <c r="W19" i="18" a="1"/>
  <c r="W19" i="18" s="1"/>
  <c r="V19" i="18"/>
  <c r="U19" i="18" a="1"/>
  <c r="U19" i="18" s="1"/>
  <c r="T19" i="18" a="1"/>
  <c r="T19" i="18" s="1"/>
  <c r="S19" i="18" a="1"/>
  <c r="S19" i="18" s="1"/>
  <c r="Y18" i="18" a="1"/>
  <c r="Y18" i="18" s="1"/>
  <c r="X18" i="18"/>
  <c r="W18" i="18" a="1"/>
  <c r="W18" i="18" s="1"/>
  <c r="V18" i="18"/>
  <c r="U18" i="18" a="1"/>
  <c r="U18" i="18" s="1"/>
  <c r="T18" i="18" a="1"/>
  <c r="T18" i="18" s="1"/>
  <c r="S18" i="18" a="1"/>
  <c r="S18" i="18" s="1"/>
  <c r="Y17" i="18" a="1"/>
  <c r="Y17" i="18" s="1"/>
  <c r="X17" i="18"/>
  <c r="W17" i="18" a="1"/>
  <c r="W17" i="18" s="1"/>
  <c r="V17" i="18"/>
  <c r="U17" i="18" a="1"/>
  <c r="U17" i="18" s="1"/>
  <c r="T17" i="18" a="1"/>
  <c r="T17" i="18" s="1"/>
  <c r="S17" i="18" a="1"/>
  <c r="S17" i="18" s="1"/>
  <c r="Y16" i="18" a="1"/>
  <c r="Y16" i="18" s="1"/>
  <c r="X16" i="18"/>
  <c r="W16" i="18" a="1"/>
  <c r="W16" i="18" s="1"/>
  <c r="V16" i="18"/>
  <c r="U16" i="18" a="1"/>
  <c r="U16" i="18" s="1"/>
  <c r="T16" i="18" a="1"/>
  <c r="T16" i="18" s="1"/>
  <c r="S16" i="18" a="1"/>
  <c r="S16" i="18" s="1"/>
  <c r="Y15" i="18" a="1"/>
  <c r="Y15" i="18" s="1"/>
  <c r="X15" i="18"/>
  <c r="W15" i="18" a="1"/>
  <c r="W15" i="18" s="1"/>
  <c r="V15" i="18"/>
  <c r="U15" i="18" a="1"/>
  <c r="U15" i="18" s="1"/>
  <c r="T15" i="18" a="1"/>
  <c r="T15" i="18" s="1"/>
  <c r="S15" i="18" a="1"/>
  <c r="S15" i="18" s="1"/>
  <c r="Y14" i="18" a="1"/>
  <c r="Y14" i="18" s="1"/>
  <c r="X14" i="18"/>
  <c r="W14" i="18" a="1"/>
  <c r="W14" i="18" s="1"/>
  <c r="V14" i="18"/>
  <c r="U14" i="18" a="1"/>
  <c r="U14" i="18" s="1"/>
  <c r="T14" i="18" a="1"/>
  <c r="T14" i="18" s="1"/>
  <c r="S14" i="18" a="1"/>
  <c r="S14" i="18" s="1"/>
  <c r="Y13" i="18" a="1"/>
  <c r="Y13" i="18" s="1"/>
  <c r="X13" i="18"/>
  <c r="W13" i="18" a="1"/>
  <c r="W13" i="18" s="1"/>
  <c r="V13" i="18"/>
  <c r="U13" i="18" a="1"/>
  <c r="U13" i="18" s="1"/>
  <c r="T13" i="18" a="1"/>
  <c r="T13" i="18" s="1"/>
  <c r="S13" i="18" a="1"/>
  <c r="S13" i="18" s="1"/>
  <c r="Y12" i="18" a="1"/>
  <c r="Y12" i="18" s="1"/>
  <c r="X12" i="18"/>
  <c r="W12" i="18" a="1"/>
  <c r="W12" i="18" s="1"/>
  <c r="V12" i="18"/>
  <c r="U12" i="18" a="1"/>
  <c r="U12" i="18" s="1"/>
  <c r="T12" i="18" a="1"/>
  <c r="T12" i="18" s="1"/>
  <c r="S12" i="18" a="1"/>
  <c r="S12" i="18" s="1"/>
  <c r="Y11" i="18" a="1"/>
  <c r="Y11" i="18" s="1"/>
  <c r="AA11" i="18" s="1"/>
  <c r="X11" i="18"/>
  <c r="W11" i="18" a="1"/>
  <c r="W11" i="18" s="1"/>
  <c r="V11" i="18"/>
  <c r="U11" i="18" a="1"/>
  <c r="U11" i="18" s="1"/>
  <c r="T11" i="18" a="1"/>
  <c r="T11" i="18" s="1"/>
  <c r="S11" i="18" a="1"/>
  <c r="S11" i="18" s="1"/>
  <c r="Y10" i="18" a="1"/>
  <c r="Y10" i="18" s="1"/>
  <c r="X10" i="18"/>
  <c r="W10" i="18" a="1"/>
  <c r="W10" i="18" s="1"/>
  <c r="V10" i="18"/>
  <c r="U10" i="18" a="1"/>
  <c r="U10" i="18" s="1"/>
  <c r="T10" i="18" a="1"/>
  <c r="T10" i="18" s="1"/>
  <c r="S10" i="18" a="1"/>
  <c r="S10" i="18" s="1"/>
  <c r="Y9" i="18" a="1"/>
  <c r="Y9" i="18" s="1"/>
  <c r="X9" i="18"/>
  <c r="W9" i="18" a="1"/>
  <c r="W9" i="18" s="1"/>
  <c r="V9" i="18"/>
  <c r="U9" i="18" a="1"/>
  <c r="U9" i="18" s="1"/>
  <c r="T9" i="18" a="1"/>
  <c r="T9" i="18" s="1"/>
  <c r="S9" i="18" a="1"/>
  <c r="S9" i="18" s="1"/>
  <c r="Y8" i="18" a="1"/>
  <c r="Y8" i="18" s="1"/>
  <c r="X8" i="18"/>
  <c r="W8" i="18" a="1"/>
  <c r="W8" i="18" s="1"/>
  <c r="V8" i="18"/>
  <c r="U8" i="18" a="1"/>
  <c r="U8" i="18" s="1"/>
  <c r="T8" i="18" a="1"/>
  <c r="T8" i="18" s="1"/>
  <c r="S8" i="18" a="1"/>
  <c r="S8" i="18" s="1"/>
  <c r="Y7" i="18" a="1"/>
  <c r="Y7" i="18" s="1"/>
  <c r="X7" i="18"/>
  <c r="W7" i="18" a="1"/>
  <c r="W7" i="18" s="1"/>
  <c r="V7" i="18"/>
  <c r="U7" i="18" a="1"/>
  <c r="U7" i="18" s="1"/>
  <c r="T7" i="18" a="1"/>
  <c r="T7" i="18" s="1"/>
  <c r="S7" i="18" a="1"/>
  <c r="S7" i="18" s="1"/>
  <c r="Y6" i="18" a="1"/>
  <c r="Y6" i="18" s="1"/>
  <c r="X6" i="18"/>
  <c r="W6" i="18" a="1"/>
  <c r="W6" i="18" s="1"/>
  <c r="V6" i="18"/>
  <c r="U6" i="18" a="1"/>
  <c r="U6" i="18" s="1"/>
  <c r="T6" i="18" a="1"/>
  <c r="T6" i="18" s="1"/>
  <c r="S6" i="18" a="1"/>
  <c r="S6" i="18" s="1"/>
  <c r="Y5" i="18" a="1"/>
  <c r="Y5" i="18" s="1"/>
  <c r="X5" i="18"/>
  <c r="W5" i="18" a="1"/>
  <c r="W5" i="18" s="1"/>
  <c r="V5" i="18"/>
  <c r="U5" i="18" a="1"/>
  <c r="U5" i="18" s="1"/>
  <c r="T5" i="18" a="1"/>
  <c r="T5" i="18" s="1"/>
  <c r="S5" i="18" a="1"/>
  <c r="S5" i="18" s="1"/>
  <c r="Y4" i="18" a="1"/>
  <c r="Y4" i="18" s="1"/>
  <c r="X4" i="18"/>
  <c r="W4" i="18" a="1"/>
  <c r="W4" i="18" s="1"/>
  <c r="V4" i="18"/>
  <c r="U4" i="18" a="1"/>
  <c r="U4" i="18" s="1"/>
  <c r="T4" i="18" a="1"/>
  <c r="T4" i="18" s="1"/>
  <c r="S4" i="18" a="1"/>
  <c r="S4" i="18" s="1"/>
  <c r="Y3" i="18" a="1"/>
  <c r="Y3" i="18" s="1"/>
  <c r="X3" i="18"/>
  <c r="W3" i="18" a="1"/>
  <c r="W3" i="18" s="1"/>
  <c r="V3" i="18"/>
  <c r="U3" i="18" a="1"/>
  <c r="U3" i="18" s="1"/>
  <c r="T3" i="18" a="1"/>
  <c r="T3" i="18" s="1"/>
  <c r="S3" i="18" a="1"/>
  <c r="S3" i="18" s="1"/>
  <c r="Y2" i="18" a="1"/>
  <c r="Y2" i="18" s="1"/>
  <c r="X2" i="18"/>
  <c r="W2" i="18" a="1"/>
  <c r="W2" i="18" s="1"/>
  <c r="V2" i="18"/>
  <c r="U2" i="18" a="1"/>
  <c r="U2" i="18" s="1"/>
  <c r="T2" i="18" a="1"/>
  <c r="T2" i="18" s="1"/>
  <c r="S2" i="18" a="1"/>
  <c r="S2" i="18" s="1"/>
  <c r="A17" i="16"/>
  <c r="A18" i="16"/>
  <c r="A19" i="16"/>
  <c r="A20" i="16"/>
  <c r="A21" i="16"/>
  <c r="A22" i="16"/>
  <c r="A23" i="16"/>
  <c r="A24" i="16"/>
  <c r="A25" i="16"/>
  <c r="A26" i="16"/>
  <c r="S18" i="9"/>
  <c r="V18" i="9" s="1"/>
  <c r="S19" i="9"/>
  <c r="V19" i="9" s="1"/>
  <c r="L7" i="16"/>
  <c r="S15" i="9"/>
  <c r="V15" i="9" s="1"/>
  <c r="R15" i="9"/>
  <c r="U15" i="9" s="1"/>
  <c r="T8" i="9"/>
  <c r="R14" i="9"/>
  <c r="U14" i="9" s="1"/>
  <c r="T7" i="9"/>
  <c r="S7" i="9"/>
  <c r="V7" i="9" s="1"/>
  <c r="R7" i="9"/>
  <c r="U7" i="9" s="1"/>
  <c r="Q7" i="9"/>
  <c r="R12" i="9"/>
  <c r="U12" i="9" s="1"/>
  <c r="S12" i="9"/>
  <c r="V12" i="9" s="1"/>
  <c r="T12" i="9"/>
  <c r="R13" i="9"/>
  <c r="U13" i="9" s="1"/>
  <c r="S13" i="9"/>
  <c r="V13" i="9" s="1"/>
  <c r="T13" i="9"/>
  <c r="S14" i="9"/>
  <c r="V14" i="9" s="1"/>
  <c r="T14" i="9"/>
  <c r="T15" i="9"/>
  <c r="R16" i="9"/>
  <c r="U16" i="9" s="1"/>
  <c r="S16" i="9"/>
  <c r="V16" i="9" s="1"/>
  <c r="T16" i="9"/>
  <c r="R17" i="9"/>
  <c r="U17" i="9" s="1"/>
  <c r="S17" i="9"/>
  <c r="V17" i="9" s="1"/>
  <c r="T17" i="9"/>
  <c r="R18" i="9"/>
  <c r="U18" i="9" s="1"/>
  <c r="T18" i="9"/>
  <c r="R19" i="9"/>
  <c r="U19" i="9" s="1"/>
  <c r="T19" i="9"/>
  <c r="R20" i="9"/>
  <c r="U20" i="9" s="1"/>
  <c r="S20" i="9"/>
  <c r="V20" i="9" s="1"/>
  <c r="T20" i="9"/>
  <c r="R21" i="9"/>
  <c r="U21" i="9" s="1"/>
  <c r="S21" i="9"/>
  <c r="V21" i="9" s="1"/>
  <c r="T21" i="9"/>
  <c r="R22" i="9"/>
  <c r="U22" i="9" s="1"/>
  <c r="S22" i="9"/>
  <c r="V22" i="9" s="1"/>
  <c r="T22" i="9"/>
  <c r="R23" i="9"/>
  <c r="U23" i="9" s="1"/>
  <c r="S23" i="9"/>
  <c r="V23" i="9" s="1"/>
  <c r="T23" i="9"/>
  <c r="R24" i="9"/>
  <c r="U24" i="9" s="1"/>
  <c r="S24" i="9"/>
  <c r="V24" i="9" s="1"/>
  <c r="T24" i="9"/>
  <c r="R25" i="9"/>
  <c r="U25" i="9" s="1"/>
  <c r="S25" i="9"/>
  <c r="V25" i="9" s="1"/>
  <c r="T25" i="9"/>
  <c r="R26" i="9"/>
  <c r="U26" i="9" s="1"/>
  <c r="S26" i="9"/>
  <c r="V26" i="9" s="1"/>
  <c r="T26" i="9"/>
  <c r="R27" i="9"/>
  <c r="U27" i="9" s="1"/>
  <c r="S27" i="9"/>
  <c r="V27" i="9" s="1"/>
  <c r="T27" i="9"/>
  <c r="R28" i="9"/>
  <c r="U28" i="9" s="1"/>
  <c r="S28" i="9"/>
  <c r="V28" i="9" s="1"/>
  <c r="T28" i="9"/>
  <c r="R29" i="9"/>
  <c r="U29" i="9" s="1"/>
  <c r="S29" i="9"/>
  <c r="V29" i="9" s="1"/>
  <c r="T29" i="9"/>
  <c r="R30" i="9"/>
  <c r="U30" i="9" s="1"/>
  <c r="S30" i="9"/>
  <c r="V30" i="9" s="1"/>
  <c r="T30" i="9"/>
  <c r="R31" i="9"/>
  <c r="U31" i="9" s="1"/>
  <c r="S31" i="9"/>
  <c r="V31" i="9" s="1"/>
  <c r="T31" i="9"/>
  <c r="R32" i="9"/>
  <c r="U32" i="9" s="1"/>
  <c r="S32" i="9"/>
  <c r="V32" i="9" s="1"/>
  <c r="T32" i="9"/>
  <c r="R33" i="9"/>
  <c r="U33" i="9" s="1"/>
  <c r="S33" i="9"/>
  <c r="V33" i="9" s="1"/>
  <c r="T33" i="9"/>
  <c r="R34" i="9"/>
  <c r="U34" i="9" s="1"/>
  <c r="S34" i="9"/>
  <c r="V34" i="9" s="1"/>
  <c r="T34" i="9"/>
  <c r="Q12" i="9"/>
  <c r="Q13" i="9"/>
  <c r="Q14" i="9"/>
  <c r="Q15" i="9"/>
  <c r="Q16" i="9"/>
  <c r="Q17" i="9"/>
  <c r="Q18" i="9"/>
  <c r="Q19" i="9"/>
  <c r="Q20" i="9"/>
  <c r="Q21" i="9"/>
  <c r="Q22" i="9"/>
  <c r="Q23" i="9"/>
  <c r="Q24" i="9"/>
  <c r="Q25" i="9"/>
  <c r="Q26" i="9"/>
  <c r="Q27" i="9"/>
  <c r="Q28" i="9"/>
  <c r="Q29" i="9"/>
  <c r="Q30" i="9"/>
  <c r="Q31" i="9"/>
  <c r="Q32" i="9"/>
  <c r="Q33" i="9"/>
  <c r="Q34" i="9"/>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C7" i="12"/>
  <c r="C8" i="12"/>
  <c r="L7" i="17"/>
  <c r="T16" i="17"/>
  <c r="S16" i="17"/>
  <c r="V16" i="17" s="1"/>
  <c r="R16" i="17"/>
  <c r="U16" i="17" s="1"/>
  <c r="Q16" i="17"/>
  <c r="A16" i="17"/>
  <c r="T15" i="17"/>
  <c r="S15" i="17"/>
  <c r="V15" i="17" s="1"/>
  <c r="R15" i="17"/>
  <c r="U15" i="17" s="1"/>
  <c r="Q15" i="17"/>
  <c r="A15" i="17"/>
  <c r="T14" i="17"/>
  <c r="S14" i="17"/>
  <c r="V14" i="17" s="1"/>
  <c r="R14" i="17"/>
  <c r="U14" i="17" s="1"/>
  <c r="Q14" i="17"/>
  <c r="A14" i="17"/>
  <c r="T13" i="17"/>
  <c r="S13" i="17"/>
  <c r="V13" i="17" s="1"/>
  <c r="R13" i="17"/>
  <c r="U13" i="17" s="1"/>
  <c r="Q13" i="17"/>
  <c r="A13" i="17"/>
  <c r="T12" i="17"/>
  <c r="S12" i="17"/>
  <c r="V12" i="17" s="1"/>
  <c r="R12" i="17"/>
  <c r="U12" i="17" s="1"/>
  <c r="Q12" i="17"/>
  <c r="A12" i="17"/>
  <c r="T11" i="17"/>
  <c r="S11" i="17"/>
  <c r="V11" i="17" s="1"/>
  <c r="R11" i="17"/>
  <c r="U11" i="17" s="1"/>
  <c r="Q11" i="17"/>
  <c r="A11" i="17"/>
  <c r="T10" i="17"/>
  <c r="S10" i="17"/>
  <c r="V10" i="17" s="1"/>
  <c r="R10" i="17"/>
  <c r="U10" i="17" s="1"/>
  <c r="Q10" i="17"/>
  <c r="A10" i="17"/>
  <c r="T9" i="17"/>
  <c r="S9" i="17"/>
  <c r="V9" i="17" s="1"/>
  <c r="R9" i="17"/>
  <c r="U9" i="17" s="1"/>
  <c r="Q9" i="17"/>
  <c r="A9" i="17"/>
  <c r="T8" i="17"/>
  <c r="S8" i="17"/>
  <c r="V8" i="17" s="1"/>
  <c r="R8" i="17"/>
  <c r="U8" i="17" s="1"/>
  <c r="Q8" i="17"/>
  <c r="A8" i="17"/>
  <c r="T6" i="17"/>
  <c r="S6" i="17"/>
  <c r="V6" i="17" s="1"/>
  <c r="R6" i="17"/>
  <c r="U6" i="17" s="1"/>
  <c r="Q6" i="17"/>
  <c r="A6" i="17"/>
  <c r="A63" i="15"/>
  <c r="A64" i="15"/>
  <c r="L64" i="15"/>
  <c r="A65" i="15"/>
  <c r="A66" i="15"/>
  <c r="L66" i="15"/>
  <c r="A59" i="15"/>
  <c r="A60" i="15"/>
  <c r="L60" i="15"/>
  <c r="A61" i="15"/>
  <c r="A62" i="15"/>
  <c r="L62" i="15"/>
  <c r="A55" i="15"/>
  <c r="A56" i="15"/>
  <c r="L56" i="15"/>
  <c r="A57" i="15"/>
  <c r="A58" i="15"/>
  <c r="L58" i="15"/>
  <c r="A51" i="15"/>
  <c r="A52" i="15"/>
  <c r="L52" i="15"/>
  <c r="A53" i="15"/>
  <c r="A54" i="15"/>
  <c r="L54" i="15"/>
  <c r="A47" i="15"/>
  <c r="A48" i="15"/>
  <c r="L48" i="15"/>
  <c r="A49" i="15"/>
  <c r="A50" i="15"/>
  <c r="L50" i="15"/>
  <c r="A43" i="15"/>
  <c r="A44" i="15"/>
  <c r="L44" i="15"/>
  <c r="A45" i="15"/>
  <c r="A46" i="15"/>
  <c r="L46" i="15"/>
  <c r="A39" i="15"/>
  <c r="A40" i="15"/>
  <c r="L40" i="15"/>
  <c r="A41" i="15"/>
  <c r="A42" i="15"/>
  <c r="L42" i="15"/>
  <c r="A35" i="15"/>
  <c r="A36" i="15"/>
  <c r="L36" i="15"/>
  <c r="A37" i="15"/>
  <c r="A38" i="15"/>
  <c r="L38" i="15"/>
  <c r="A31" i="15"/>
  <c r="A32" i="15"/>
  <c r="L32" i="15"/>
  <c r="A33" i="15"/>
  <c r="A34" i="15"/>
  <c r="L34" i="15"/>
  <c r="A27" i="15"/>
  <c r="A28" i="15"/>
  <c r="L28" i="15"/>
  <c r="A29" i="15"/>
  <c r="A30" i="15"/>
  <c r="L30" i="15"/>
  <c r="A23" i="15"/>
  <c r="A24" i="15"/>
  <c r="L24" i="15"/>
  <c r="A25" i="15"/>
  <c r="A26" i="15"/>
  <c r="L26" i="15"/>
  <c r="A19" i="15"/>
  <c r="A20" i="15"/>
  <c r="L20" i="15"/>
  <c r="A21" i="15"/>
  <c r="A22" i="15"/>
  <c r="L22" i="15"/>
  <c r="L18" i="15"/>
  <c r="L16" i="15"/>
  <c r="A16" i="15"/>
  <c r="A17" i="15"/>
  <c r="A18" i="15"/>
  <c r="A6" i="16"/>
  <c r="Q6" i="16"/>
  <c r="R6" i="16"/>
  <c r="U6" i="16" s="1"/>
  <c r="S6" i="16"/>
  <c r="V6" i="16" s="1"/>
  <c r="T6" i="16"/>
  <c r="A8" i="16"/>
  <c r="Q8" i="16"/>
  <c r="R8" i="16"/>
  <c r="U8" i="16" s="1"/>
  <c r="S8" i="16"/>
  <c r="V8" i="16" s="1"/>
  <c r="T8" i="16"/>
  <c r="A9" i="16"/>
  <c r="Q9" i="16"/>
  <c r="R9" i="16"/>
  <c r="U9" i="16" s="1"/>
  <c r="S9" i="16"/>
  <c r="V9" i="16" s="1"/>
  <c r="T9" i="16"/>
  <c r="A10" i="16"/>
  <c r="Q10" i="16"/>
  <c r="R10" i="16"/>
  <c r="U10" i="16" s="1"/>
  <c r="S10" i="16"/>
  <c r="V10" i="16" s="1"/>
  <c r="T10" i="16"/>
  <c r="A11" i="16"/>
  <c r="Q11" i="16"/>
  <c r="R11" i="16"/>
  <c r="U11" i="16" s="1"/>
  <c r="S11" i="16"/>
  <c r="V11" i="16" s="1"/>
  <c r="T11" i="16"/>
  <c r="A12" i="16"/>
  <c r="Q12" i="16"/>
  <c r="R12" i="16"/>
  <c r="U12" i="16" s="1"/>
  <c r="S12" i="16"/>
  <c r="V12" i="16" s="1"/>
  <c r="T12" i="16"/>
  <c r="A13" i="16"/>
  <c r="Q13" i="16"/>
  <c r="R13" i="16"/>
  <c r="U13" i="16" s="1"/>
  <c r="S13" i="16"/>
  <c r="V13" i="16" s="1"/>
  <c r="T13" i="16"/>
  <c r="A14" i="16"/>
  <c r="Q14" i="16"/>
  <c r="R14" i="16"/>
  <c r="U14" i="16" s="1"/>
  <c r="S14" i="16"/>
  <c r="V14" i="16" s="1"/>
  <c r="T14" i="16"/>
  <c r="A15" i="16"/>
  <c r="Q15" i="16"/>
  <c r="R15" i="16"/>
  <c r="U15" i="16" s="1"/>
  <c r="S15" i="16"/>
  <c r="V15" i="16" s="1"/>
  <c r="T15" i="16"/>
  <c r="A16" i="16"/>
  <c r="Q16" i="16"/>
  <c r="R16" i="16"/>
  <c r="U16" i="16" s="1"/>
  <c r="S16" i="16"/>
  <c r="V16" i="16" s="1"/>
  <c r="T16" i="16"/>
  <c r="A6" i="15"/>
  <c r="Q6" i="15"/>
  <c r="R6" i="15"/>
  <c r="U6" i="15" s="1"/>
  <c r="S6" i="15"/>
  <c r="V6" i="15" s="1"/>
  <c r="T6" i="15"/>
  <c r="A7" i="15"/>
  <c r="Q7" i="15"/>
  <c r="R7" i="15"/>
  <c r="U7" i="15" s="1"/>
  <c r="S7" i="15"/>
  <c r="V7" i="15" s="1"/>
  <c r="T7" i="15"/>
  <c r="A8" i="15"/>
  <c r="Q8" i="15"/>
  <c r="R8" i="15"/>
  <c r="U8" i="15" s="1"/>
  <c r="S8" i="15"/>
  <c r="V8" i="15" s="1"/>
  <c r="T8" i="15"/>
  <c r="A9" i="15"/>
  <c r="Q9" i="15"/>
  <c r="R9" i="15"/>
  <c r="U9" i="15" s="1"/>
  <c r="S9" i="15"/>
  <c r="V9" i="15" s="1"/>
  <c r="T9" i="15"/>
  <c r="A10" i="15"/>
  <c r="Q10" i="15"/>
  <c r="R10" i="15"/>
  <c r="U10" i="15" s="1"/>
  <c r="S10" i="15"/>
  <c r="V10" i="15" s="1"/>
  <c r="T10" i="15"/>
  <c r="A11" i="15"/>
  <c r="Q11" i="15"/>
  <c r="R11" i="15"/>
  <c r="U11" i="15" s="1"/>
  <c r="S11" i="15"/>
  <c r="V11" i="15" s="1"/>
  <c r="T11" i="15"/>
  <c r="A12" i="15"/>
  <c r="Q12" i="15"/>
  <c r="R12" i="15"/>
  <c r="U12" i="15" s="1"/>
  <c r="S12" i="15"/>
  <c r="V12" i="15" s="1"/>
  <c r="T12" i="15"/>
  <c r="A13" i="15"/>
  <c r="Q13" i="15"/>
  <c r="R13" i="15"/>
  <c r="U13" i="15" s="1"/>
  <c r="S13" i="15"/>
  <c r="V13" i="15" s="1"/>
  <c r="T13" i="15"/>
  <c r="A14" i="15"/>
  <c r="Q14" i="15"/>
  <c r="R14" i="15"/>
  <c r="U14" i="15" s="1"/>
  <c r="S14" i="15"/>
  <c r="V14" i="15" s="1"/>
  <c r="T14" i="15"/>
  <c r="A15" i="15"/>
  <c r="Q15" i="15"/>
  <c r="R15" i="15"/>
  <c r="U15" i="15" s="1"/>
  <c r="S15" i="15"/>
  <c r="V15" i="15" s="1"/>
  <c r="T15" i="15"/>
  <c r="A6" i="14"/>
  <c r="Q6" i="14"/>
  <c r="R6" i="14"/>
  <c r="U6" i="14" s="1"/>
  <c r="S6" i="14"/>
  <c r="V6" i="14" s="1"/>
  <c r="T6" i="14"/>
  <c r="L7" i="14"/>
  <c r="A8" i="14"/>
  <c r="Q8" i="14"/>
  <c r="R8" i="14"/>
  <c r="U8" i="14" s="1"/>
  <c r="S8" i="14"/>
  <c r="V8" i="14" s="1"/>
  <c r="T8" i="14"/>
  <c r="A9" i="14"/>
  <c r="Q9" i="14"/>
  <c r="R9" i="14"/>
  <c r="U9" i="14" s="1"/>
  <c r="S9" i="14"/>
  <c r="V9" i="14" s="1"/>
  <c r="T9" i="14"/>
  <c r="A10" i="14"/>
  <c r="Q10" i="14"/>
  <c r="R10" i="14"/>
  <c r="U10" i="14" s="1"/>
  <c r="S10" i="14"/>
  <c r="V10" i="14" s="1"/>
  <c r="T10" i="14"/>
  <c r="A11" i="14"/>
  <c r="Q11" i="14"/>
  <c r="R11" i="14"/>
  <c r="U11" i="14" s="1"/>
  <c r="S11" i="14"/>
  <c r="V11" i="14" s="1"/>
  <c r="T11" i="14"/>
  <c r="A12" i="14"/>
  <c r="Q12" i="14"/>
  <c r="R12" i="14"/>
  <c r="U12" i="14" s="1"/>
  <c r="S12" i="14"/>
  <c r="V12" i="14" s="1"/>
  <c r="T12" i="14"/>
  <c r="A13" i="14"/>
  <c r="Q13" i="14"/>
  <c r="R13" i="14"/>
  <c r="U13" i="14" s="1"/>
  <c r="S13" i="14"/>
  <c r="V13" i="14" s="1"/>
  <c r="T13" i="14"/>
  <c r="A14" i="14"/>
  <c r="Q14" i="14"/>
  <c r="R14" i="14"/>
  <c r="U14" i="14" s="1"/>
  <c r="S14" i="14"/>
  <c r="V14" i="14" s="1"/>
  <c r="T14" i="14"/>
  <c r="A15" i="14"/>
  <c r="Q15" i="14"/>
  <c r="R15" i="14"/>
  <c r="U15" i="14" s="1"/>
  <c r="S15" i="14"/>
  <c r="V15" i="14" s="1"/>
  <c r="T15" i="14"/>
  <c r="A16" i="14"/>
  <c r="Q16" i="14"/>
  <c r="R16" i="14"/>
  <c r="U16" i="14" s="1"/>
  <c r="S16" i="14"/>
  <c r="V16" i="14" s="1"/>
  <c r="T16" i="14"/>
  <c r="C11" i="12"/>
  <c r="B11" i="12"/>
  <c r="B26" i="12" s="1"/>
  <c r="C10" i="12"/>
  <c r="B10" i="12"/>
  <c r="B25" i="12" s="1"/>
  <c r="C9" i="12"/>
  <c r="B9" i="12"/>
  <c r="B24" i="12" s="1"/>
  <c r="B8" i="12"/>
  <c r="B23" i="12" s="1"/>
  <c r="B7" i="12"/>
  <c r="B22" i="12" s="1"/>
  <c r="H6" i="12"/>
  <c r="G6" i="12"/>
  <c r="F6" i="12"/>
  <c r="E6" i="12"/>
  <c r="D6" i="12"/>
  <c r="H5" i="12"/>
  <c r="H21" i="12" s="1"/>
  <c r="G5" i="12"/>
  <c r="G21" i="12" s="1"/>
  <c r="F5" i="12"/>
  <c r="F21" i="12" s="1"/>
  <c r="E5" i="12"/>
  <c r="E21" i="12" s="1"/>
  <c r="D5" i="12"/>
  <c r="D21" i="12" s="1"/>
  <c r="Q9" i="9"/>
  <c r="T11" i="9"/>
  <c r="S11" i="9"/>
  <c r="V11" i="9" s="1"/>
  <c r="R11" i="9"/>
  <c r="U11" i="9" s="1"/>
  <c r="Q11" i="9"/>
  <c r="T10" i="9"/>
  <c r="S10" i="9"/>
  <c r="V10" i="9" s="1"/>
  <c r="R10" i="9"/>
  <c r="U10" i="9" s="1"/>
  <c r="Q10" i="9"/>
  <c r="T9" i="9"/>
  <c r="S9" i="9"/>
  <c r="V9" i="9" s="1"/>
  <c r="R9" i="9"/>
  <c r="U9" i="9" s="1"/>
  <c r="S8" i="9"/>
  <c r="V8" i="9" s="1"/>
  <c r="R8" i="9"/>
  <c r="U8" i="9" s="1"/>
  <c r="Q8" i="9"/>
  <c r="T6" i="9"/>
  <c r="S6" i="9"/>
  <c r="V6" i="9" s="1"/>
  <c r="R6" i="9"/>
  <c r="U6" i="9" s="1"/>
  <c r="Q6" i="9"/>
  <c r="BK1010" i="11"/>
  <c r="BE1010" i="11"/>
  <c r="BD1010" i="11"/>
  <c r="BG1010" i="11" s="1"/>
  <c r="BC1010" i="11"/>
  <c r="BF1010" i="11" s="1"/>
  <c r="BB1010" i="11"/>
  <c r="BK1009" i="11"/>
  <c r="BE1009" i="11"/>
  <c r="BD1009" i="11"/>
  <c r="BG1009" i="11" s="1"/>
  <c r="BC1009" i="11"/>
  <c r="BF1009" i="11" s="1"/>
  <c r="BB1009" i="11"/>
  <c r="BK1008" i="11"/>
  <c r="BE1008" i="11"/>
  <c r="BD1008" i="11"/>
  <c r="BG1008" i="11" s="1"/>
  <c r="BC1008" i="11"/>
  <c r="BF1008" i="11" s="1"/>
  <c r="BB1008" i="11"/>
  <c r="BK1007" i="11"/>
  <c r="BE1007" i="11"/>
  <c r="BD1007" i="11"/>
  <c r="BG1007" i="11" s="1"/>
  <c r="BC1007" i="11"/>
  <c r="BF1007" i="11" s="1"/>
  <c r="BB1007" i="11"/>
  <c r="BK1006" i="11"/>
  <c r="BE1006" i="11"/>
  <c r="BD1006" i="11"/>
  <c r="BG1006" i="11" s="1"/>
  <c r="BC1006" i="11"/>
  <c r="BF1006" i="11" s="1"/>
  <c r="BB1006" i="11"/>
  <c r="BK1005" i="11"/>
  <c r="BE1005" i="11"/>
  <c r="BD1005" i="11"/>
  <c r="BG1005" i="11" s="1"/>
  <c r="BC1005" i="11"/>
  <c r="BF1005" i="11" s="1"/>
  <c r="BB1005" i="11"/>
  <c r="BK1004" i="11"/>
  <c r="BE1004" i="11"/>
  <c r="BD1004" i="11"/>
  <c r="BG1004" i="11" s="1"/>
  <c r="BC1004" i="11"/>
  <c r="BF1004" i="11" s="1"/>
  <c r="BB1004" i="11"/>
  <c r="BK1003" i="11"/>
  <c r="BE1003" i="11"/>
  <c r="BD1003" i="11"/>
  <c r="BG1003" i="11" s="1"/>
  <c r="BC1003" i="11"/>
  <c r="BF1003" i="11" s="1"/>
  <c r="BB1003" i="11"/>
  <c r="BK1002" i="11"/>
  <c r="BE1002" i="11"/>
  <c r="BD1002" i="11"/>
  <c r="BG1002" i="11" s="1"/>
  <c r="BC1002" i="11"/>
  <c r="BF1002" i="11" s="1"/>
  <c r="BB1002" i="11"/>
  <c r="BK1001" i="11"/>
  <c r="BE1001" i="11"/>
  <c r="BD1001" i="11"/>
  <c r="BG1001" i="11" s="1"/>
  <c r="BC1001" i="11"/>
  <c r="BF1001" i="11" s="1"/>
  <c r="BB1001" i="11"/>
  <c r="BK1000" i="11"/>
  <c r="BE1000" i="11"/>
  <c r="BD1000" i="11"/>
  <c r="BG1000" i="11" s="1"/>
  <c r="BC1000" i="11"/>
  <c r="BF1000" i="11" s="1"/>
  <c r="BB1000" i="11"/>
  <c r="BK999" i="11"/>
  <c r="BE999" i="11"/>
  <c r="BD999" i="11"/>
  <c r="BG999" i="11" s="1"/>
  <c r="BC999" i="11"/>
  <c r="BF999" i="11" s="1"/>
  <c r="BB999" i="11"/>
  <c r="BK998" i="11"/>
  <c r="BE998" i="11"/>
  <c r="BD998" i="11"/>
  <c r="BG998" i="11" s="1"/>
  <c r="BC998" i="11"/>
  <c r="BF998" i="11" s="1"/>
  <c r="BB998" i="11"/>
  <c r="BK997" i="11"/>
  <c r="BE997" i="11"/>
  <c r="BD997" i="11"/>
  <c r="BG997" i="11" s="1"/>
  <c r="BC997" i="11"/>
  <c r="BF997" i="11" s="1"/>
  <c r="BB997" i="11"/>
  <c r="BK996" i="11"/>
  <c r="BE996" i="11"/>
  <c r="BD996" i="11"/>
  <c r="BG996" i="11" s="1"/>
  <c r="BC996" i="11"/>
  <c r="BF996" i="11" s="1"/>
  <c r="BB996" i="11"/>
  <c r="BK995" i="11"/>
  <c r="BE995" i="11"/>
  <c r="BD995" i="11"/>
  <c r="BG995" i="11" s="1"/>
  <c r="BC995" i="11"/>
  <c r="BF995" i="11" s="1"/>
  <c r="BB995" i="11"/>
  <c r="BK994" i="11"/>
  <c r="BE994" i="11"/>
  <c r="BD994" i="11"/>
  <c r="BG994" i="11" s="1"/>
  <c r="BC994" i="11"/>
  <c r="BF994" i="11" s="1"/>
  <c r="BB994" i="11"/>
  <c r="BK993" i="11"/>
  <c r="BE993" i="11"/>
  <c r="BD993" i="11"/>
  <c r="BG993" i="11" s="1"/>
  <c r="BC993" i="11"/>
  <c r="BF993" i="11" s="1"/>
  <c r="BB993" i="11"/>
  <c r="BK992" i="11"/>
  <c r="BE992" i="11"/>
  <c r="BD992" i="11"/>
  <c r="BG992" i="11" s="1"/>
  <c r="BC992" i="11"/>
  <c r="BF992" i="11" s="1"/>
  <c r="BB992" i="11"/>
  <c r="BK991" i="11"/>
  <c r="BE991" i="11"/>
  <c r="BD991" i="11"/>
  <c r="BG991" i="11" s="1"/>
  <c r="BC991" i="11"/>
  <c r="BF991" i="11" s="1"/>
  <c r="BB991" i="11"/>
  <c r="BK990" i="11"/>
  <c r="BE990" i="11"/>
  <c r="BD990" i="11"/>
  <c r="BG990" i="11" s="1"/>
  <c r="BC990" i="11"/>
  <c r="BF990" i="11" s="1"/>
  <c r="BB990" i="11"/>
  <c r="BK989" i="11"/>
  <c r="BE989" i="11"/>
  <c r="BD989" i="11"/>
  <c r="BG989" i="11" s="1"/>
  <c r="BC989" i="11"/>
  <c r="BF989" i="11" s="1"/>
  <c r="BB989" i="11"/>
  <c r="BK988" i="11"/>
  <c r="BE988" i="11"/>
  <c r="BD988" i="11"/>
  <c r="BG988" i="11" s="1"/>
  <c r="BC988" i="11"/>
  <c r="BF988" i="11" s="1"/>
  <c r="BB988" i="11"/>
  <c r="BK987" i="11"/>
  <c r="BE987" i="11"/>
  <c r="BD987" i="11"/>
  <c r="BG987" i="11" s="1"/>
  <c r="BC987" i="11"/>
  <c r="BF987" i="11" s="1"/>
  <c r="BB987" i="11"/>
  <c r="BK986" i="11"/>
  <c r="BE986" i="11"/>
  <c r="BD986" i="11"/>
  <c r="BG986" i="11" s="1"/>
  <c r="BC986" i="11"/>
  <c r="BF986" i="11" s="1"/>
  <c r="BB986" i="11"/>
  <c r="BK985" i="11"/>
  <c r="BE985" i="11"/>
  <c r="BD985" i="11"/>
  <c r="BG985" i="11" s="1"/>
  <c r="BC985" i="11"/>
  <c r="BF985" i="11" s="1"/>
  <c r="BB985" i="11"/>
  <c r="BK984" i="11"/>
  <c r="BE984" i="11"/>
  <c r="BD984" i="11"/>
  <c r="BG984" i="11" s="1"/>
  <c r="BC984" i="11"/>
  <c r="BF984" i="11" s="1"/>
  <c r="BB984" i="11"/>
  <c r="BK983" i="11"/>
  <c r="BE983" i="11"/>
  <c r="BD983" i="11"/>
  <c r="BG983" i="11" s="1"/>
  <c r="BC983" i="11"/>
  <c r="BF983" i="11" s="1"/>
  <c r="BB983" i="11"/>
  <c r="BK982" i="11"/>
  <c r="BE982" i="11"/>
  <c r="BD982" i="11"/>
  <c r="BG982" i="11" s="1"/>
  <c r="BC982" i="11"/>
  <c r="BF982" i="11" s="1"/>
  <c r="BB982" i="11"/>
  <c r="BK981" i="11"/>
  <c r="BE981" i="11"/>
  <c r="BD981" i="11"/>
  <c r="BG981" i="11" s="1"/>
  <c r="BC981" i="11"/>
  <c r="BF981" i="11" s="1"/>
  <c r="BB981" i="11"/>
  <c r="BK980" i="11"/>
  <c r="BE980" i="11"/>
  <c r="BD980" i="11"/>
  <c r="BG980" i="11" s="1"/>
  <c r="BC980" i="11"/>
  <c r="BF980" i="11" s="1"/>
  <c r="BB980" i="11"/>
  <c r="BK979" i="11"/>
  <c r="BE979" i="11"/>
  <c r="BD979" i="11"/>
  <c r="BG979" i="11" s="1"/>
  <c r="BC979" i="11"/>
  <c r="BF979" i="11" s="1"/>
  <c r="BB979" i="11"/>
  <c r="BK978" i="11"/>
  <c r="BE978" i="11"/>
  <c r="BD978" i="11"/>
  <c r="BG978" i="11" s="1"/>
  <c r="BC978" i="11"/>
  <c r="BF978" i="11" s="1"/>
  <c r="BB978" i="11"/>
  <c r="BK977" i="11"/>
  <c r="BE977" i="11"/>
  <c r="BD977" i="11"/>
  <c r="BG977" i="11" s="1"/>
  <c r="BC977" i="11"/>
  <c r="BF977" i="11" s="1"/>
  <c r="BB977" i="11"/>
  <c r="BK976" i="11"/>
  <c r="BE976" i="11"/>
  <c r="BD976" i="11"/>
  <c r="BG976" i="11" s="1"/>
  <c r="BC976" i="11"/>
  <c r="BF976" i="11" s="1"/>
  <c r="BB976" i="11"/>
  <c r="BK975" i="11"/>
  <c r="BE975" i="11"/>
  <c r="BD975" i="11"/>
  <c r="BG975" i="11" s="1"/>
  <c r="BC975" i="11"/>
  <c r="BF975" i="11" s="1"/>
  <c r="BB975" i="11"/>
  <c r="BK974" i="11"/>
  <c r="BE974" i="11"/>
  <c r="BD974" i="11"/>
  <c r="BG974" i="11" s="1"/>
  <c r="BC974" i="11"/>
  <c r="BF974" i="11" s="1"/>
  <c r="BB974" i="11"/>
  <c r="BK973" i="11"/>
  <c r="BE973" i="11"/>
  <c r="BD973" i="11"/>
  <c r="BG973" i="11" s="1"/>
  <c r="BC973" i="11"/>
  <c r="BF973" i="11" s="1"/>
  <c r="BB973" i="11"/>
  <c r="BK972" i="11"/>
  <c r="BE972" i="11"/>
  <c r="BD972" i="11"/>
  <c r="BG972" i="11" s="1"/>
  <c r="BC972" i="11"/>
  <c r="BF972" i="11" s="1"/>
  <c r="BB972" i="11"/>
  <c r="BK971" i="11"/>
  <c r="BE971" i="11"/>
  <c r="BD971" i="11"/>
  <c r="BG971" i="11" s="1"/>
  <c r="BC971" i="11"/>
  <c r="BF971" i="11" s="1"/>
  <c r="BB971" i="11"/>
  <c r="BK970" i="11"/>
  <c r="BE970" i="11"/>
  <c r="BD970" i="11"/>
  <c r="BG970" i="11" s="1"/>
  <c r="BC970" i="11"/>
  <c r="BF970" i="11" s="1"/>
  <c r="BB970" i="11"/>
  <c r="BK969" i="11"/>
  <c r="BE969" i="11"/>
  <c r="BD969" i="11"/>
  <c r="BG969" i="11" s="1"/>
  <c r="BC969" i="11"/>
  <c r="BF969" i="11" s="1"/>
  <c r="BB969" i="11"/>
  <c r="BK968" i="11"/>
  <c r="BE968" i="11"/>
  <c r="BD968" i="11"/>
  <c r="BG968" i="11" s="1"/>
  <c r="BC968" i="11"/>
  <c r="BF968" i="11" s="1"/>
  <c r="BB968" i="11"/>
  <c r="BK967" i="11"/>
  <c r="BE967" i="11"/>
  <c r="BD967" i="11"/>
  <c r="BG967" i="11" s="1"/>
  <c r="BC967" i="11"/>
  <c r="BF967" i="11" s="1"/>
  <c r="BB967" i="11"/>
  <c r="BK966" i="11"/>
  <c r="BE966" i="11"/>
  <c r="BD966" i="11"/>
  <c r="BG966" i="11" s="1"/>
  <c r="BC966" i="11"/>
  <c r="BF966" i="11" s="1"/>
  <c r="BB966" i="11"/>
  <c r="BK965" i="11"/>
  <c r="BE965" i="11"/>
  <c r="BD965" i="11"/>
  <c r="BG965" i="11" s="1"/>
  <c r="BC965" i="11"/>
  <c r="BF965" i="11" s="1"/>
  <c r="BB965" i="11"/>
  <c r="BK964" i="11"/>
  <c r="BE964" i="11"/>
  <c r="BD964" i="11"/>
  <c r="BG964" i="11" s="1"/>
  <c r="BC964" i="11"/>
  <c r="BF964" i="11" s="1"/>
  <c r="BB964" i="11"/>
  <c r="BK963" i="11"/>
  <c r="BE963" i="11"/>
  <c r="BD963" i="11"/>
  <c r="BG963" i="11" s="1"/>
  <c r="BC963" i="11"/>
  <c r="BF963" i="11" s="1"/>
  <c r="BB963" i="11"/>
  <c r="BK962" i="11"/>
  <c r="BE962" i="11"/>
  <c r="BD962" i="11"/>
  <c r="BG962" i="11" s="1"/>
  <c r="BC962" i="11"/>
  <c r="BF962" i="11" s="1"/>
  <c r="BB962" i="11"/>
  <c r="BK961" i="11"/>
  <c r="BE961" i="11"/>
  <c r="BD961" i="11"/>
  <c r="BG961" i="11" s="1"/>
  <c r="BC961" i="11"/>
  <c r="BF961" i="11" s="1"/>
  <c r="BB961" i="11"/>
  <c r="BK960" i="11"/>
  <c r="BE960" i="11"/>
  <c r="BD960" i="11"/>
  <c r="BG960" i="11" s="1"/>
  <c r="BC960" i="11"/>
  <c r="BF960" i="11" s="1"/>
  <c r="BB960" i="11"/>
  <c r="BK959" i="11"/>
  <c r="BE959" i="11"/>
  <c r="BD959" i="11"/>
  <c r="BG959" i="11" s="1"/>
  <c r="BC959" i="11"/>
  <c r="BF959" i="11" s="1"/>
  <c r="BB959" i="11"/>
  <c r="BK958" i="11"/>
  <c r="BE958" i="11"/>
  <c r="BD958" i="11"/>
  <c r="BG958" i="11" s="1"/>
  <c r="BC958" i="11"/>
  <c r="BF958" i="11" s="1"/>
  <c r="BB958" i="11"/>
  <c r="BK957" i="11"/>
  <c r="BE957" i="11"/>
  <c r="BD957" i="11"/>
  <c r="BG957" i="11" s="1"/>
  <c r="BC957" i="11"/>
  <c r="BF957" i="11" s="1"/>
  <c r="BB957" i="11"/>
  <c r="BK956" i="11"/>
  <c r="BE956" i="11"/>
  <c r="BD956" i="11"/>
  <c r="BG956" i="11" s="1"/>
  <c r="BC956" i="11"/>
  <c r="BF956" i="11" s="1"/>
  <c r="BB956" i="11"/>
  <c r="BK955" i="11"/>
  <c r="BE955" i="11"/>
  <c r="BD955" i="11"/>
  <c r="BG955" i="11" s="1"/>
  <c r="BC955" i="11"/>
  <c r="BF955" i="11" s="1"/>
  <c r="BB955" i="11"/>
  <c r="BK954" i="11"/>
  <c r="BE954" i="11"/>
  <c r="BD954" i="11"/>
  <c r="BG954" i="11" s="1"/>
  <c r="BC954" i="11"/>
  <c r="BF954" i="11" s="1"/>
  <c r="BB954" i="11"/>
  <c r="BK953" i="11"/>
  <c r="BE953" i="11"/>
  <c r="BD953" i="11"/>
  <c r="BG953" i="11" s="1"/>
  <c r="BC953" i="11"/>
  <c r="BF953" i="11" s="1"/>
  <c r="BB953" i="11"/>
  <c r="BK952" i="11"/>
  <c r="BE952" i="11"/>
  <c r="BD952" i="11"/>
  <c r="BG952" i="11" s="1"/>
  <c r="BC952" i="11"/>
  <c r="BF952" i="11" s="1"/>
  <c r="BB952" i="11"/>
  <c r="BK951" i="11"/>
  <c r="BE951" i="11"/>
  <c r="BD951" i="11"/>
  <c r="BG951" i="11" s="1"/>
  <c r="BC951" i="11"/>
  <c r="BF951" i="11" s="1"/>
  <c r="BB951" i="11"/>
  <c r="BK950" i="11"/>
  <c r="BE950" i="11"/>
  <c r="BD950" i="11"/>
  <c r="BG950" i="11" s="1"/>
  <c r="BC950" i="11"/>
  <c r="BF950" i="11" s="1"/>
  <c r="BB950" i="11"/>
  <c r="BK949" i="11"/>
  <c r="BE949" i="11"/>
  <c r="BD949" i="11"/>
  <c r="BG949" i="11" s="1"/>
  <c r="BC949" i="11"/>
  <c r="BF949" i="11" s="1"/>
  <c r="BB949" i="11"/>
  <c r="BK948" i="11"/>
  <c r="BE948" i="11"/>
  <c r="BD948" i="11"/>
  <c r="BG948" i="11" s="1"/>
  <c r="BC948" i="11"/>
  <c r="BF948" i="11" s="1"/>
  <c r="BB948" i="11"/>
  <c r="BK947" i="11"/>
  <c r="BE947" i="11"/>
  <c r="BD947" i="11"/>
  <c r="BG947" i="11" s="1"/>
  <c r="BC947" i="11"/>
  <c r="BF947" i="11" s="1"/>
  <c r="BB947" i="11"/>
  <c r="BK946" i="11"/>
  <c r="BE946" i="11"/>
  <c r="BD946" i="11"/>
  <c r="BG946" i="11" s="1"/>
  <c r="BC946" i="11"/>
  <c r="BF946" i="11" s="1"/>
  <c r="BB946" i="11"/>
  <c r="BK945" i="11"/>
  <c r="BE945" i="11"/>
  <c r="BD945" i="11"/>
  <c r="BG945" i="11" s="1"/>
  <c r="BC945" i="11"/>
  <c r="BF945" i="11" s="1"/>
  <c r="BB945" i="11"/>
  <c r="BK944" i="11"/>
  <c r="BE944" i="11"/>
  <c r="BD944" i="11"/>
  <c r="BG944" i="11" s="1"/>
  <c r="BC944" i="11"/>
  <c r="BF944" i="11" s="1"/>
  <c r="BB944" i="11"/>
  <c r="BK943" i="11"/>
  <c r="BE943" i="11"/>
  <c r="BD943" i="11"/>
  <c r="BG943" i="11" s="1"/>
  <c r="BC943" i="11"/>
  <c r="BF943" i="11" s="1"/>
  <c r="BB943" i="11"/>
  <c r="BK942" i="11"/>
  <c r="BE942" i="11"/>
  <c r="BD942" i="11"/>
  <c r="BG942" i="11" s="1"/>
  <c r="BC942" i="11"/>
  <c r="BF942" i="11" s="1"/>
  <c r="BB942" i="11"/>
  <c r="BK941" i="11"/>
  <c r="BE941" i="11"/>
  <c r="BD941" i="11"/>
  <c r="BG941" i="11" s="1"/>
  <c r="BC941" i="11"/>
  <c r="BF941" i="11" s="1"/>
  <c r="BB941" i="11"/>
  <c r="BK940" i="11"/>
  <c r="BE940" i="11"/>
  <c r="BD940" i="11"/>
  <c r="BG940" i="11" s="1"/>
  <c r="BC940" i="11"/>
  <c r="BF940" i="11" s="1"/>
  <c r="BB940" i="11"/>
  <c r="BK939" i="11"/>
  <c r="BE939" i="11"/>
  <c r="BD939" i="11"/>
  <c r="BG939" i="11" s="1"/>
  <c r="BC939" i="11"/>
  <c r="BF939" i="11" s="1"/>
  <c r="BB939" i="11"/>
  <c r="BK938" i="11"/>
  <c r="BE938" i="11"/>
  <c r="BD938" i="11"/>
  <c r="BG938" i="11" s="1"/>
  <c r="BC938" i="11"/>
  <c r="BF938" i="11" s="1"/>
  <c r="BB938" i="11"/>
  <c r="BK937" i="11"/>
  <c r="BE937" i="11"/>
  <c r="BD937" i="11"/>
  <c r="BG937" i="11" s="1"/>
  <c r="BC937" i="11"/>
  <c r="BF937" i="11" s="1"/>
  <c r="BB937" i="11"/>
  <c r="BK936" i="11"/>
  <c r="BE936" i="11"/>
  <c r="BD936" i="11"/>
  <c r="BG936" i="11" s="1"/>
  <c r="BC936" i="11"/>
  <c r="BF936" i="11" s="1"/>
  <c r="BB936" i="11"/>
  <c r="BK935" i="11"/>
  <c r="BE935" i="11"/>
  <c r="BD935" i="11"/>
  <c r="BG935" i="11" s="1"/>
  <c r="BC935" i="11"/>
  <c r="BF935" i="11" s="1"/>
  <c r="BB935" i="11"/>
  <c r="BK934" i="11"/>
  <c r="BE934" i="11"/>
  <c r="BD934" i="11"/>
  <c r="BG934" i="11" s="1"/>
  <c r="BC934" i="11"/>
  <c r="BF934" i="11" s="1"/>
  <c r="BB934" i="11"/>
  <c r="BK933" i="11"/>
  <c r="BE933" i="11"/>
  <c r="BD933" i="11"/>
  <c r="BG933" i="11" s="1"/>
  <c r="BC933" i="11"/>
  <c r="BF933" i="11" s="1"/>
  <c r="BB933" i="11"/>
  <c r="BK932" i="11"/>
  <c r="BE932" i="11"/>
  <c r="BD932" i="11"/>
  <c r="BG932" i="11" s="1"/>
  <c r="BC932" i="11"/>
  <c r="BF932" i="11" s="1"/>
  <c r="BB932" i="11"/>
  <c r="BK931" i="11"/>
  <c r="BE931" i="11"/>
  <c r="BD931" i="11"/>
  <c r="BG931" i="11" s="1"/>
  <c r="BC931" i="11"/>
  <c r="BF931" i="11" s="1"/>
  <c r="BB931" i="11"/>
  <c r="BK930" i="11"/>
  <c r="BE930" i="11"/>
  <c r="BD930" i="11"/>
  <c r="BG930" i="11" s="1"/>
  <c r="BC930" i="11"/>
  <c r="BF930" i="11" s="1"/>
  <c r="BB930" i="11"/>
  <c r="BK929" i="11"/>
  <c r="BE929" i="11"/>
  <c r="BD929" i="11"/>
  <c r="BG929" i="11" s="1"/>
  <c r="BC929" i="11"/>
  <c r="BF929" i="11" s="1"/>
  <c r="BB929" i="11"/>
  <c r="BK928" i="11"/>
  <c r="BE928" i="11"/>
  <c r="BD928" i="11"/>
  <c r="BG928" i="11" s="1"/>
  <c r="BC928" i="11"/>
  <c r="BF928" i="11" s="1"/>
  <c r="BB928" i="11"/>
  <c r="BK927" i="11"/>
  <c r="BE927" i="11"/>
  <c r="BD927" i="11"/>
  <c r="BG927" i="11" s="1"/>
  <c r="BC927" i="11"/>
  <c r="BF927" i="11" s="1"/>
  <c r="BB927" i="11"/>
  <c r="BK926" i="11"/>
  <c r="BE926" i="11"/>
  <c r="BD926" i="11"/>
  <c r="BG926" i="11" s="1"/>
  <c r="BC926" i="11"/>
  <c r="BF926" i="11" s="1"/>
  <c r="BB926" i="11"/>
  <c r="BK925" i="11"/>
  <c r="BE925" i="11"/>
  <c r="BD925" i="11"/>
  <c r="BG925" i="11" s="1"/>
  <c r="BC925" i="11"/>
  <c r="BF925" i="11" s="1"/>
  <c r="BB925" i="11"/>
  <c r="BK924" i="11"/>
  <c r="BE924" i="11"/>
  <c r="BD924" i="11"/>
  <c r="BG924" i="11" s="1"/>
  <c r="BC924" i="11"/>
  <c r="BF924" i="11" s="1"/>
  <c r="BB924" i="11"/>
  <c r="BK923" i="11"/>
  <c r="BE923" i="11"/>
  <c r="BD923" i="11"/>
  <c r="BG923" i="11" s="1"/>
  <c r="BC923" i="11"/>
  <c r="BF923" i="11" s="1"/>
  <c r="BB923" i="11"/>
  <c r="BK922" i="11"/>
  <c r="BE922" i="11"/>
  <c r="BD922" i="11"/>
  <c r="BG922" i="11" s="1"/>
  <c r="BC922" i="11"/>
  <c r="BF922" i="11" s="1"/>
  <c r="BB922" i="11"/>
  <c r="BK921" i="11"/>
  <c r="BE921" i="11"/>
  <c r="BD921" i="11"/>
  <c r="BG921" i="11" s="1"/>
  <c r="BC921" i="11"/>
  <c r="BF921" i="11" s="1"/>
  <c r="BB921" i="11"/>
  <c r="BK920" i="11"/>
  <c r="BE920" i="11"/>
  <c r="BD920" i="11"/>
  <c r="BG920" i="11" s="1"/>
  <c r="BC920" i="11"/>
  <c r="BF920" i="11" s="1"/>
  <c r="BB920" i="11"/>
  <c r="BK919" i="11"/>
  <c r="BE919" i="11"/>
  <c r="BD919" i="11"/>
  <c r="BG919" i="11" s="1"/>
  <c r="BC919" i="11"/>
  <c r="BF919" i="11" s="1"/>
  <c r="BB919" i="11"/>
  <c r="BK918" i="11"/>
  <c r="BE918" i="11"/>
  <c r="BD918" i="11"/>
  <c r="BG918" i="11" s="1"/>
  <c r="BC918" i="11"/>
  <c r="BF918" i="11" s="1"/>
  <c r="BB918" i="11"/>
  <c r="BK917" i="11"/>
  <c r="BE917" i="11"/>
  <c r="BD917" i="11"/>
  <c r="BG917" i="11" s="1"/>
  <c r="BC917" i="11"/>
  <c r="BF917" i="11" s="1"/>
  <c r="BB917" i="11"/>
  <c r="BK916" i="11"/>
  <c r="BE916" i="11"/>
  <c r="BD916" i="11"/>
  <c r="BG916" i="11" s="1"/>
  <c r="BC916" i="11"/>
  <c r="BF916" i="11" s="1"/>
  <c r="BB916" i="11"/>
  <c r="BK915" i="11"/>
  <c r="BE915" i="11"/>
  <c r="BD915" i="11"/>
  <c r="BG915" i="11" s="1"/>
  <c r="BC915" i="11"/>
  <c r="BF915" i="11" s="1"/>
  <c r="BB915" i="11"/>
  <c r="BK914" i="11"/>
  <c r="BE914" i="11"/>
  <c r="BD914" i="11"/>
  <c r="BG914" i="11" s="1"/>
  <c r="BC914" i="11"/>
  <c r="BF914" i="11" s="1"/>
  <c r="BB914" i="11"/>
  <c r="BK913" i="11"/>
  <c r="BE913" i="11"/>
  <c r="BD913" i="11"/>
  <c r="BG913" i="11" s="1"/>
  <c r="BC913" i="11"/>
  <c r="BF913" i="11" s="1"/>
  <c r="BB913" i="11"/>
  <c r="BK912" i="11"/>
  <c r="BE912" i="11"/>
  <c r="BD912" i="11"/>
  <c r="BG912" i="11" s="1"/>
  <c r="BC912" i="11"/>
  <c r="BF912" i="11" s="1"/>
  <c r="BB912" i="11"/>
  <c r="BK911" i="11"/>
  <c r="BE911" i="11"/>
  <c r="BD911" i="11"/>
  <c r="BG911" i="11" s="1"/>
  <c r="BC911" i="11"/>
  <c r="BF911" i="11" s="1"/>
  <c r="BB911" i="11"/>
  <c r="BK910" i="11"/>
  <c r="BE910" i="11"/>
  <c r="BD910" i="11"/>
  <c r="BG910" i="11" s="1"/>
  <c r="BC910" i="11"/>
  <c r="BF910" i="11" s="1"/>
  <c r="BB910" i="11"/>
  <c r="BK909" i="11"/>
  <c r="BE909" i="11"/>
  <c r="BD909" i="11"/>
  <c r="BG909" i="11" s="1"/>
  <c r="BC909" i="11"/>
  <c r="BF909" i="11" s="1"/>
  <c r="BB909" i="11"/>
  <c r="BK908" i="11"/>
  <c r="BE908" i="11"/>
  <c r="BD908" i="11"/>
  <c r="BG908" i="11" s="1"/>
  <c r="BC908" i="11"/>
  <c r="BF908" i="11" s="1"/>
  <c r="BB908" i="11"/>
  <c r="BK907" i="11"/>
  <c r="BE907" i="11"/>
  <c r="BD907" i="11"/>
  <c r="BG907" i="11" s="1"/>
  <c r="BC907" i="11"/>
  <c r="BF907" i="11" s="1"/>
  <c r="BB907" i="11"/>
  <c r="BK906" i="11"/>
  <c r="BE906" i="11"/>
  <c r="BD906" i="11"/>
  <c r="BG906" i="11" s="1"/>
  <c r="BC906" i="11"/>
  <c r="BF906" i="11" s="1"/>
  <c r="BB906" i="11"/>
  <c r="BK905" i="11"/>
  <c r="BE905" i="11"/>
  <c r="BD905" i="11"/>
  <c r="BG905" i="11" s="1"/>
  <c r="BC905" i="11"/>
  <c r="BF905" i="11" s="1"/>
  <c r="BB905" i="11"/>
  <c r="BK904" i="11"/>
  <c r="BE904" i="11"/>
  <c r="BD904" i="11"/>
  <c r="BG904" i="11" s="1"/>
  <c r="BC904" i="11"/>
  <c r="BF904" i="11" s="1"/>
  <c r="BB904" i="11"/>
  <c r="BK903" i="11"/>
  <c r="BE903" i="11"/>
  <c r="BD903" i="11"/>
  <c r="BG903" i="11" s="1"/>
  <c r="BC903" i="11"/>
  <c r="BF903" i="11" s="1"/>
  <c r="BB903" i="11"/>
  <c r="BK902" i="11"/>
  <c r="BE902" i="11"/>
  <c r="BD902" i="11"/>
  <c r="BG902" i="11" s="1"/>
  <c r="BC902" i="11"/>
  <c r="BF902" i="11" s="1"/>
  <c r="BB902" i="11"/>
  <c r="BK901" i="11"/>
  <c r="BE901" i="11"/>
  <c r="BD901" i="11"/>
  <c r="BG901" i="11" s="1"/>
  <c r="BC901" i="11"/>
  <c r="BF901" i="11" s="1"/>
  <c r="BB901" i="11"/>
  <c r="BK900" i="11"/>
  <c r="BE900" i="11"/>
  <c r="BD900" i="11"/>
  <c r="BG900" i="11" s="1"/>
  <c r="BC900" i="11"/>
  <c r="BF900" i="11" s="1"/>
  <c r="BB900" i="11"/>
  <c r="BK899" i="11"/>
  <c r="BE899" i="11"/>
  <c r="BD899" i="11"/>
  <c r="BG899" i="11" s="1"/>
  <c r="BC899" i="11"/>
  <c r="BF899" i="11" s="1"/>
  <c r="BB899" i="11"/>
  <c r="BK898" i="11"/>
  <c r="BE898" i="11"/>
  <c r="BD898" i="11"/>
  <c r="BG898" i="11" s="1"/>
  <c r="BC898" i="11"/>
  <c r="BF898" i="11" s="1"/>
  <c r="BB898" i="11"/>
  <c r="BK897" i="11"/>
  <c r="BE897" i="11"/>
  <c r="BD897" i="11"/>
  <c r="BG897" i="11" s="1"/>
  <c r="BC897" i="11"/>
  <c r="BF897" i="11" s="1"/>
  <c r="BB897" i="11"/>
  <c r="BK896" i="11"/>
  <c r="BE896" i="11"/>
  <c r="BD896" i="11"/>
  <c r="BG896" i="11" s="1"/>
  <c r="BC896" i="11"/>
  <c r="BF896" i="11" s="1"/>
  <c r="BB896" i="11"/>
  <c r="BK895" i="11"/>
  <c r="BE895" i="11"/>
  <c r="BD895" i="11"/>
  <c r="BG895" i="11" s="1"/>
  <c r="BC895" i="11"/>
  <c r="BF895" i="11" s="1"/>
  <c r="BB895" i="11"/>
  <c r="BK894" i="11"/>
  <c r="BE894" i="11"/>
  <c r="BD894" i="11"/>
  <c r="BG894" i="11" s="1"/>
  <c r="BC894" i="11"/>
  <c r="BF894" i="11" s="1"/>
  <c r="BB894" i="11"/>
  <c r="BK893" i="11"/>
  <c r="BE893" i="11"/>
  <c r="BD893" i="11"/>
  <c r="BG893" i="11" s="1"/>
  <c r="BC893" i="11"/>
  <c r="BF893" i="11" s="1"/>
  <c r="BB893" i="11"/>
  <c r="BK892" i="11"/>
  <c r="BE892" i="11"/>
  <c r="BD892" i="11"/>
  <c r="BG892" i="11" s="1"/>
  <c r="BC892" i="11"/>
  <c r="BF892" i="11" s="1"/>
  <c r="BB892" i="11"/>
  <c r="BK891" i="11"/>
  <c r="BE891" i="11"/>
  <c r="BD891" i="11"/>
  <c r="BG891" i="11" s="1"/>
  <c r="BC891" i="11"/>
  <c r="BF891" i="11" s="1"/>
  <c r="BB891" i="11"/>
  <c r="BK890" i="11"/>
  <c r="BE890" i="11"/>
  <c r="BD890" i="11"/>
  <c r="BG890" i="11" s="1"/>
  <c r="BC890" i="11"/>
  <c r="BF890" i="11" s="1"/>
  <c r="BB890" i="11"/>
  <c r="BK889" i="11"/>
  <c r="BE889" i="11"/>
  <c r="BD889" i="11"/>
  <c r="BG889" i="11" s="1"/>
  <c r="BC889" i="11"/>
  <c r="BF889" i="11" s="1"/>
  <c r="BB889" i="11"/>
  <c r="BK888" i="11"/>
  <c r="BE888" i="11"/>
  <c r="BD888" i="11"/>
  <c r="BG888" i="11" s="1"/>
  <c r="BC888" i="11"/>
  <c r="BF888" i="11" s="1"/>
  <c r="BB888" i="11"/>
  <c r="BK887" i="11"/>
  <c r="BE887" i="11"/>
  <c r="BD887" i="11"/>
  <c r="BG887" i="11" s="1"/>
  <c r="BC887" i="11"/>
  <c r="BF887" i="11" s="1"/>
  <c r="BB887" i="11"/>
  <c r="BK886" i="11"/>
  <c r="BE886" i="11"/>
  <c r="BD886" i="11"/>
  <c r="BG886" i="11" s="1"/>
  <c r="BC886" i="11"/>
  <c r="BF886" i="11" s="1"/>
  <c r="BB886" i="11"/>
  <c r="BK885" i="11"/>
  <c r="BE885" i="11"/>
  <c r="BD885" i="11"/>
  <c r="BG885" i="11" s="1"/>
  <c r="BC885" i="11"/>
  <c r="BF885" i="11" s="1"/>
  <c r="BB885" i="11"/>
  <c r="BK884" i="11"/>
  <c r="BE884" i="11"/>
  <c r="BD884" i="11"/>
  <c r="BG884" i="11" s="1"/>
  <c r="BC884" i="11"/>
  <c r="BF884" i="11" s="1"/>
  <c r="BB884" i="11"/>
  <c r="BK883" i="11"/>
  <c r="BE883" i="11"/>
  <c r="BD883" i="11"/>
  <c r="BG883" i="11" s="1"/>
  <c r="BC883" i="11"/>
  <c r="BF883" i="11" s="1"/>
  <c r="BB883" i="11"/>
  <c r="BK882" i="11"/>
  <c r="BE882" i="11"/>
  <c r="BD882" i="11"/>
  <c r="BG882" i="11" s="1"/>
  <c r="BC882" i="11"/>
  <c r="BF882" i="11" s="1"/>
  <c r="BB882" i="11"/>
  <c r="BK881" i="11"/>
  <c r="BE881" i="11"/>
  <c r="BD881" i="11"/>
  <c r="BG881" i="11" s="1"/>
  <c r="BC881" i="11"/>
  <c r="BF881" i="11" s="1"/>
  <c r="BB881" i="11"/>
  <c r="BK880" i="11"/>
  <c r="BE880" i="11"/>
  <c r="BD880" i="11"/>
  <c r="BG880" i="11" s="1"/>
  <c r="BC880" i="11"/>
  <c r="BF880" i="11" s="1"/>
  <c r="BB880" i="11"/>
  <c r="BK879" i="11"/>
  <c r="BE879" i="11"/>
  <c r="BD879" i="11"/>
  <c r="BG879" i="11" s="1"/>
  <c r="BC879" i="11"/>
  <c r="BF879" i="11" s="1"/>
  <c r="BB879" i="11"/>
  <c r="BK878" i="11"/>
  <c r="BE878" i="11"/>
  <c r="BD878" i="11"/>
  <c r="BG878" i="11" s="1"/>
  <c r="BC878" i="11"/>
  <c r="BF878" i="11" s="1"/>
  <c r="BB878" i="11"/>
  <c r="BK877" i="11"/>
  <c r="BE877" i="11"/>
  <c r="BD877" i="11"/>
  <c r="BG877" i="11" s="1"/>
  <c r="BC877" i="11"/>
  <c r="BF877" i="11" s="1"/>
  <c r="BB877" i="11"/>
  <c r="BK876" i="11"/>
  <c r="BE876" i="11"/>
  <c r="BD876" i="11"/>
  <c r="BG876" i="11" s="1"/>
  <c r="BC876" i="11"/>
  <c r="BF876" i="11" s="1"/>
  <c r="BB876" i="11"/>
  <c r="BK875" i="11"/>
  <c r="BE875" i="11"/>
  <c r="BD875" i="11"/>
  <c r="BG875" i="11" s="1"/>
  <c r="BC875" i="11"/>
  <c r="BF875" i="11" s="1"/>
  <c r="BB875" i="11"/>
  <c r="BK874" i="11"/>
  <c r="BE874" i="11"/>
  <c r="BD874" i="11"/>
  <c r="BG874" i="11" s="1"/>
  <c r="BC874" i="11"/>
  <c r="BF874" i="11" s="1"/>
  <c r="BB874" i="11"/>
  <c r="BK873" i="11"/>
  <c r="BE873" i="11"/>
  <c r="BD873" i="11"/>
  <c r="BG873" i="11" s="1"/>
  <c r="BC873" i="11"/>
  <c r="BF873" i="11" s="1"/>
  <c r="BB873" i="11"/>
  <c r="BK872" i="11"/>
  <c r="BE872" i="11"/>
  <c r="BD872" i="11"/>
  <c r="BG872" i="11" s="1"/>
  <c r="BC872" i="11"/>
  <c r="BF872" i="11" s="1"/>
  <c r="BB872" i="11"/>
  <c r="BK871" i="11"/>
  <c r="BE871" i="11"/>
  <c r="BD871" i="11"/>
  <c r="BG871" i="11" s="1"/>
  <c r="BC871" i="11"/>
  <c r="BF871" i="11" s="1"/>
  <c r="BB871" i="11"/>
  <c r="BK870" i="11"/>
  <c r="BE870" i="11"/>
  <c r="BD870" i="11"/>
  <c r="BG870" i="11" s="1"/>
  <c r="BC870" i="11"/>
  <c r="BF870" i="11" s="1"/>
  <c r="BB870" i="11"/>
  <c r="BK869" i="11"/>
  <c r="BE869" i="11"/>
  <c r="BD869" i="11"/>
  <c r="BG869" i="11" s="1"/>
  <c r="BC869" i="11"/>
  <c r="BF869" i="11" s="1"/>
  <c r="BB869" i="11"/>
  <c r="BK868" i="11"/>
  <c r="BE868" i="11"/>
  <c r="BD868" i="11"/>
  <c r="BG868" i="11" s="1"/>
  <c r="BC868" i="11"/>
  <c r="BF868" i="11" s="1"/>
  <c r="BB868" i="11"/>
  <c r="BK867" i="11"/>
  <c r="BE867" i="11"/>
  <c r="BD867" i="11"/>
  <c r="BG867" i="11" s="1"/>
  <c r="BC867" i="11"/>
  <c r="BF867" i="11" s="1"/>
  <c r="BB867" i="11"/>
  <c r="BK866" i="11"/>
  <c r="BE866" i="11"/>
  <c r="BD866" i="11"/>
  <c r="BG866" i="11" s="1"/>
  <c r="BC866" i="11"/>
  <c r="BF866" i="11" s="1"/>
  <c r="BB866" i="11"/>
  <c r="BK865" i="11"/>
  <c r="BE865" i="11"/>
  <c r="BD865" i="11"/>
  <c r="BG865" i="11" s="1"/>
  <c r="BC865" i="11"/>
  <c r="BF865" i="11" s="1"/>
  <c r="BB865" i="11"/>
  <c r="BK864" i="11"/>
  <c r="BE864" i="11"/>
  <c r="BD864" i="11"/>
  <c r="BG864" i="11" s="1"/>
  <c r="BC864" i="11"/>
  <c r="BF864" i="11" s="1"/>
  <c r="BB864" i="11"/>
  <c r="BK863" i="11"/>
  <c r="BE863" i="11"/>
  <c r="BD863" i="11"/>
  <c r="BG863" i="11" s="1"/>
  <c r="BC863" i="11"/>
  <c r="BF863" i="11" s="1"/>
  <c r="BB863" i="11"/>
  <c r="BK862" i="11"/>
  <c r="BE862" i="11"/>
  <c r="BD862" i="11"/>
  <c r="BG862" i="11" s="1"/>
  <c r="BC862" i="11"/>
  <c r="BF862" i="11" s="1"/>
  <c r="BB862" i="11"/>
  <c r="BK861" i="11"/>
  <c r="BE861" i="11"/>
  <c r="BD861" i="11"/>
  <c r="BG861" i="11" s="1"/>
  <c r="BC861" i="11"/>
  <c r="BF861" i="11" s="1"/>
  <c r="BB861" i="11"/>
  <c r="BK860" i="11"/>
  <c r="BE860" i="11"/>
  <c r="BD860" i="11"/>
  <c r="BG860" i="11" s="1"/>
  <c r="BC860" i="11"/>
  <c r="BF860" i="11" s="1"/>
  <c r="BB860" i="11"/>
  <c r="BK859" i="11"/>
  <c r="BE859" i="11"/>
  <c r="BD859" i="11"/>
  <c r="BG859" i="11" s="1"/>
  <c r="BC859" i="11"/>
  <c r="BF859" i="11" s="1"/>
  <c r="BB859" i="11"/>
  <c r="BK858" i="11"/>
  <c r="BE858" i="11"/>
  <c r="BD858" i="11"/>
  <c r="BG858" i="11" s="1"/>
  <c r="BC858" i="11"/>
  <c r="BF858" i="11" s="1"/>
  <c r="BB858" i="11"/>
  <c r="BK857" i="11"/>
  <c r="BE857" i="11"/>
  <c r="BD857" i="11"/>
  <c r="BG857" i="11" s="1"/>
  <c r="BC857" i="11"/>
  <c r="BF857" i="11" s="1"/>
  <c r="BB857" i="11"/>
  <c r="BK856" i="11"/>
  <c r="BE856" i="11"/>
  <c r="BD856" i="11"/>
  <c r="BG856" i="11" s="1"/>
  <c r="BC856" i="11"/>
  <c r="BF856" i="11" s="1"/>
  <c r="BB856" i="11"/>
  <c r="BK855" i="11"/>
  <c r="BE855" i="11"/>
  <c r="BD855" i="11"/>
  <c r="BG855" i="11" s="1"/>
  <c r="BC855" i="11"/>
  <c r="BF855" i="11" s="1"/>
  <c r="BB855" i="11"/>
  <c r="BK854" i="11"/>
  <c r="BE854" i="11"/>
  <c r="BD854" i="11"/>
  <c r="BG854" i="11" s="1"/>
  <c r="BC854" i="11"/>
  <c r="BF854" i="11" s="1"/>
  <c r="BB854" i="11"/>
  <c r="BK853" i="11"/>
  <c r="BE853" i="11"/>
  <c r="BD853" i="11"/>
  <c r="BG853" i="11" s="1"/>
  <c r="BC853" i="11"/>
  <c r="BF853" i="11" s="1"/>
  <c r="BB853" i="11"/>
  <c r="BK852" i="11"/>
  <c r="BE852" i="11"/>
  <c r="BD852" i="11"/>
  <c r="BG852" i="11" s="1"/>
  <c r="BC852" i="11"/>
  <c r="BF852" i="11" s="1"/>
  <c r="BB852" i="11"/>
  <c r="BK851" i="11"/>
  <c r="BE851" i="11"/>
  <c r="BD851" i="11"/>
  <c r="BG851" i="11" s="1"/>
  <c r="BC851" i="11"/>
  <c r="BF851" i="11" s="1"/>
  <c r="BB851" i="11"/>
  <c r="BK850" i="11"/>
  <c r="BE850" i="11"/>
  <c r="BD850" i="11"/>
  <c r="BG850" i="11" s="1"/>
  <c r="BC850" i="11"/>
  <c r="BF850" i="11" s="1"/>
  <c r="BB850" i="11"/>
  <c r="BK849" i="11"/>
  <c r="BE849" i="11"/>
  <c r="BD849" i="11"/>
  <c r="BG849" i="11" s="1"/>
  <c r="BC849" i="11"/>
  <c r="BF849" i="11" s="1"/>
  <c r="BB849" i="11"/>
  <c r="BK848" i="11"/>
  <c r="BE848" i="11"/>
  <c r="BD848" i="11"/>
  <c r="BG848" i="11" s="1"/>
  <c r="BC848" i="11"/>
  <c r="BF848" i="11" s="1"/>
  <c r="BB848" i="11"/>
  <c r="BK847" i="11"/>
  <c r="BE847" i="11"/>
  <c r="BD847" i="11"/>
  <c r="BG847" i="11" s="1"/>
  <c r="BC847" i="11"/>
  <c r="BF847" i="11" s="1"/>
  <c r="BB847" i="11"/>
  <c r="BK846" i="11"/>
  <c r="BE846" i="11"/>
  <c r="BD846" i="11"/>
  <c r="BG846" i="11" s="1"/>
  <c r="BC846" i="11"/>
  <c r="BF846" i="11" s="1"/>
  <c r="BB846" i="11"/>
  <c r="BK845" i="11"/>
  <c r="BE845" i="11"/>
  <c r="BD845" i="11"/>
  <c r="BG845" i="11" s="1"/>
  <c r="BC845" i="11"/>
  <c r="BF845" i="11" s="1"/>
  <c r="BB845" i="11"/>
  <c r="BK844" i="11"/>
  <c r="BE844" i="11"/>
  <c r="BD844" i="11"/>
  <c r="BG844" i="11" s="1"/>
  <c r="BC844" i="11"/>
  <c r="BF844" i="11" s="1"/>
  <c r="BB844" i="11"/>
  <c r="BK843" i="11"/>
  <c r="BE843" i="11"/>
  <c r="BD843" i="11"/>
  <c r="BG843" i="11" s="1"/>
  <c r="BC843" i="11"/>
  <c r="BF843" i="11" s="1"/>
  <c r="BB843" i="11"/>
  <c r="BK842" i="11"/>
  <c r="BE842" i="11"/>
  <c r="BD842" i="11"/>
  <c r="BG842" i="11" s="1"/>
  <c r="BC842" i="11"/>
  <c r="BF842" i="11" s="1"/>
  <c r="BB842" i="11"/>
  <c r="BK841" i="11"/>
  <c r="BE841" i="11"/>
  <c r="BD841" i="11"/>
  <c r="BG841" i="11" s="1"/>
  <c r="BC841" i="11"/>
  <c r="BF841" i="11" s="1"/>
  <c r="BB841" i="11"/>
  <c r="BK840" i="11"/>
  <c r="BE840" i="11"/>
  <c r="BD840" i="11"/>
  <c r="BG840" i="11" s="1"/>
  <c r="BC840" i="11"/>
  <c r="BF840" i="11" s="1"/>
  <c r="BB840" i="11"/>
  <c r="BK839" i="11"/>
  <c r="BE839" i="11"/>
  <c r="BD839" i="11"/>
  <c r="BG839" i="11" s="1"/>
  <c r="BC839" i="11"/>
  <c r="BF839" i="11" s="1"/>
  <c r="BB839" i="11"/>
  <c r="BK838" i="11"/>
  <c r="BE838" i="11"/>
  <c r="BD838" i="11"/>
  <c r="BG838" i="11" s="1"/>
  <c r="BC838" i="11"/>
  <c r="BF838" i="11" s="1"/>
  <c r="BB838" i="11"/>
  <c r="BK837" i="11"/>
  <c r="BE837" i="11"/>
  <c r="BD837" i="11"/>
  <c r="BG837" i="11" s="1"/>
  <c r="BC837" i="11"/>
  <c r="BF837" i="11" s="1"/>
  <c r="BB837" i="11"/>
  <c r="BK836" i="11"/>
  <c r="BE836" i="11"/>
  <c r="BD836" i="11"/>
  <c r="BG836" i="11" s="1"/>
  <c r="BC836" i="11"/>
  <c r="BF836" i="11" s="1"/>
  <c r="BB836" i="11"/>
  <c r="BK835" i="11"/>
  <c r="BE835" i="11"/>
  <c r="BD835" i="11"/>
  <c r="BG835" i="11" s="1"/>
  <c r="BC835" i="11"/>
  <c r="BF835" i="11" s="1"/>
  <c r="BB835" i="11"/>
  <c r="BK834" i="11"/>
  <c r="BE834" i="11"/>
  <c r="BD834" i="11"/>
  <c r="BG834" i="11" s="1"/>
  <c r="BC834" i="11"/>
  <c r="BF834" i="11" s="1"/>
  <c r="BB834" i="11"/>
  <c r="BK833" i="11"/>
  <c r="BE833" i="11"/>
  <c r="BD833" i="11"/>
  <c r="BG833" i="11" s="1"/>
  <c r="BC833" i="11"/>
  <c r="BF833" i="11" s="1"/>
  <c r="BB833" i="11"/>
  <c r="BK832" i="11"/>
  <c r="BE832" i="11"/>
  <c r="BD832" i="11"/>
  <c r="BG832" i="11" s="1"/>
  <c r="BC832" i="11"/>
  <c r="BF832" i="11" s="1"/>
  <c r="BB832" i="11"/>
  <c r="BK831" i="11"/>
  <c r="BE831" i="11"/>
  <c r="BD831" i="11"/>
  <c r="BG831" i="11" s="1"/>
  <c r="BC831" i="11"/>
  <c r="BF831" i="11" s="1"/>
  <c r="BB831" i="11"/>
  <c r="BK830" i="11"/>
  <c r="BE830" i="11"/>
  <c r="BD830" i="11"/>
  <c r="BG830" i="11" s="1"/>
  <c r="BC830" i="11"/>
  <c r="BF830" i="11" s="1"/>
  <c r="BB830" i="11"/>
  <c r="BK829" i="11"/>
  <c r="BE829" i="11"/>
  <c r="BD829" i="11"/>
  <c r="BG829" i="11" s="1"/>
  <c r="BC829" i="11"/>
  <c r="BF829" i="11" s="1"/>
  <c r="BB829" i="11"/>
  <c r="BK828" i="11"/>
  <c r="BE828" i="11"/>
  <c r="BD828" i="11"/>
  <c r="BG828" i="11" s="1"/>
  <c r="BC828" i="11"/>
  <c r="BF828" i="11" s="1"/>
  <c r="BB828" i="11"/>
  <c r="BK827" i="11"/>
  <c r="BE827" i="11"/>
  <c r="BD827" i="11"/>
  <c r="BG827" i="11" s="1"/>
  <c r="BC827" i="11"/>
  <c r="BF827" i="11" s="1"/>
  <c r="BB827" i="11"/>
  <c r="BK826" i="11"/>
  <c r="BE826" i="11"/>
  <c r="BD826" i="11"/>
  <c r="BG826" i="11" s="1"/>
  <c r="BC826" i="11"/>
  <c r="BF826" i="11" s="1"/>
  <c r="BB826" i="11"/>
  <c r="BK825" i="11"/>
  <c r="BE825" i="11"/>
  <c r="BD825" i="11"/>
  <c r="BG825" i="11" s="1"/>
  <c r="BC825" i="11"/>
  <c r="BF825" i="11" s="1"/>
  <c r="BB825" i="11"/>
  <c r="BK824" i="11"/>
  <c r="BE824" i="11"/>
  <c r="BD824" i="11"/>
  <c r="BG824" i="11" s="1"/>
  <c r="BC824" i="11"/>
  <c r="BF824" i="11" s="1"/>
  <c r="BB824" i="11"/>
  <c r="BK823" i="11"/>
  <c r="BE823" i="11"/>
  <c r="BD823" i="11"/>
  <c r="BG823" i="11" s="1"/>
  <c r="BC823" i="11"/>
  <c r="BF823" i="11" s="1"/>
  <c r="BB823" i="11"/>
  <c r="BK822" i="11"/>
  <c r="BE822" i="11"/>
  <c r="BD822" i="11"/>
  <c r="BG822" i="11" s="1"/>
  <c r="BC822" i="11"/>
  <c r="BF822" i="11" s="1"/>
  <c r="BB822" i="11"/>
  <c r="BK821" i="11"/>
  <c r="BE821" i="11"/>
  <c r="BD821" i="11"/>
  <c r="BG821" i="11" s="1"/>
  <c r="BC821" i="11"/>
  <c r="BF821" i="11" s="1"/>
  <c r="BB821" i="11"/>
  <c r="BK820" i="11"/>
  <c r="BE820" i="11"/>
  <c r="BD820" i="11"/>
  <c r="BG820" i="11" s="1"/>
  <c r="BC820" i="11"/>
  <c r="BF820" i="11" s="1"/>
  <c r="BB820" i="11"/>
  <c r="BK819" i="11"/>
  <c r="BE819" i="11"/>
  <c r="BD819" i="11"/>
  <c r="BG819" i="11" s="1"/>
  <c r="BC819" i="11"/>
  <c r="BF819" i="11" s="1"/>
  <c r="BB819" i="11"/>
  <c r="BK818" i="11"/>
  <c r="BE818" i="11"/>
  <c r="BD818" i="11"/>
  <c r="BG818" i="11" s="1"/>
  <c r="BC818" i="11"/>
  <c r="BF818" i="11" s="1"/>
  <c r="BB818" i="11"/>
  <c r="BK817" i="11"/>
  <c r="BE817" i="11"/>
  <c r="BD817" i="11"/>
  <c r="BG817" i="11" s="1"/>
  <c r="BC817" i="11"/>
  <c r="BF817" i="11" s="1"/>
  <c r="BB817" i="11"/>
  <c r="BK816" i="11"/>
  <c r="BE816" i="11"/>
  <c r="BD816" i="11"/>
  <c r="BG816" i="11" s="1"/>
  <c r="BC816" i="11"/>
  <c r="BF816" i="11" s="1"/>
  <c r="BB816" i="11"/>
  <c r="BK815" i="11"/>
  <c r="BE815" i="11"/>
  <c r="BD815" i="11"/>
  <c r="BG815" i="11" s="1"/>
  <c r="BC815" i="11"/>
  <c r="BF815" i="11" s="1"/>
  <c r="BB815" i="11"/>
  <c r="BK814" i="11"/>
  <c r="BE814" i="11"/>
  <c r="BD814" i="11"/>
  <c r="BG814" i="11" s="1"/>
  <c r="BC814" i="11"/>
  <c r="BF814" i="11" s="1"/>
  <c r="BB814" i="11"/>
  <c r="BK813" i="11"/>
  <c r="BE813" i="11"/>
  <c r="BD813" i="11"/>
  <c r="BG813" i="11" s="1"/>
  <c r="BC813" i="11"/>
  <c r="BF813" i="11" s="1"/>
  <c r="BB813" i="11"/>
  <c r="BK812" i="11"/>
  <c r="BE812" i="11"/>
  <c r="BD812" i="11"/>
  <c r="BG812" i="11" s="1"/>
  <c r="BC812" i="11"/>
  <c r="BF812" i="11" s="1"/>
  <c r="BB812" i="11"/>
  <c r="BK811" i="11"/>
  <c r="BE811" i="11"/>
  <c r="BD811" i="11"/>
  <c r="BG811" i="11" s="1"/>
  <c r="BC811" i="11"/>
  <c r="BF811" i="11" s="1"/>
  <c r="BB811" i="11"/>
  <c r="BK810" i="11"/>
  <c r="BE810" i="11"/>
  <c r="BD810" i="11"/>
  <c r="BG810" i="11" s="1"/>
  <c r="BC810" i="11"/>
  <c r="BF810" i="11" s="1"/>
  <c r="BB810" i="11"/>
  <c r="BK809" i="11"/>
  <c r="BE809" i="11"/>
  <c r="BD809" i="11"/>
  <c r="BG809" i="11" s="1"/>
  <c r="BC809" i="11"/>
  <c r="BF809" i="11" s="1"/>
  <c r="BB809" i="11"/>
  <c r="BK808" i="11"/>
  <c r="BE808" i="11"/>
  <c r="BD808" i="11"/>
  <c r="BG808" i="11" s="1"/>
  <c r="BC808" i="11"/>
  <c r="BF808" i="11" s="1"/>
  <c r="BB808" i="11"/>
  <c r="BK807" i="11"/>
  <c r="BE807" i="11"/>
  <c r="BD807" i="11"/>
  <c r="BG807" i="11" s="1"/>
  <c r="BC807" i="11"/>
  <c r="BF807" i="11" s="1"/>
  <c r="BB807" i="11"/>
  <c r="BK806" i="11"/>
  <c r="BE806" i="11"/>
  <c r="BD806" i="11"/>
  <c r="BG806" i="11" s="1"/>
  <c r="BC806" i="11"/>
  <c r="BF806" i="11" s="1"/>
  <c r="BB806" i="11"/>
  <c r="BK805" i="11"/>
  <c r="BE805" i="11"/>
  <c r="BD805" i="11"/>
  <c r="BG805" i="11" s="1"/>
  <c r="BC805" i="11"/>
  <c r="BF805" i="11" s="1"/>
  <c r="BB805" i="11"/>
  <c r="BK804" i="11"/>
  <c r="BE804" i="11"/>
  <c r="BD804" i="11"/>
  <c r="BG804" i="11" s="1"/>
  <c r="BC804" i="11"/>
  <c r="BF804" i="11" s="1"/>
  <c r="BB804" i="11"/>
  <c r="BK803" i="11"/>
  <c r="BE803" i="11"/>
  <c r="BD803" i="11"/>
  <c r="BG803" i="11" s="1"/>
  <c r="BC803" i="11"/>
  <c r="BF803" i="11" s="1"/>
  <c r="BB803" i="11"/>
  <c r="BK802" i="11"/>
  <c r="BE802" i="11"/>
  <c r="BD802" i="11"/>
  <c r="BG802" i="11" s="1"/>
  <c r="BC802" i="11"/>
  <c r="BF802" i="11" s="1"/>
  <c r="BB802" i="11"/>
  <c r="BK801" i="11"/>
  <c r="BE801" i="11"/>
  <c r="BD801" i="11"/>
  <c r="BG801" i="11" s="1"/>
  <c r="BC801" i="11"/>
  <c r="BF801" i="11" s="1"/>
  <c r="BB801" i="11"/>
  <c r="BK800" i="11"/>
  <c r="BE800" i="11"/>
  <c r="BD800" i="11"/>
  <c r="BG800" i="11" s="1"/>
  <c r="BC800" i="11"/>
  <c r="BF800" i="11" s="1"/>
  <c r="BB800" i="11"/>
  <c r="BK799" i="11"/>
  <c r="BE799" i="11"/>
  <c r="BD799" i="11"/>
  <c r="BG799" i="11" s="1"/>
  <c r="BC799" i="11"/>
  <c r="BF799" i="11" s="1"/>
  <c r="BB799" i="11"/>
  <c r="BK798" i="11"/>
  <c r="BE798" i="11"/>
  <c r="BD798" i="11"/>
  <c r="BG798" i="11" s="1"/>
  <c r="BC798" i="11"/>
  <c r="BF798" i="11" s="1"/>
  <c r="BB798" i="11"/>
  <c r="BK797" i="11"/>
  <c r="BE797" i="11"/>
  <c r="BD797" i="11"/>
  <c r="BG797" i="11" s="1"/>
  <c r="BC797" i="11"/>
  <c r="BF797" i="11" s="1"/>
  <c r="BB797" i="11"/>
  <c r="BK796" i="11"/>
  <c r="BE796" i="11"/>
  <c r="BD796" i="11"/>
  <c r="BG796" i="11" s="1"/>
  <c r="BC796" i="11"/>
  <c r="BF796" i="11" s="1"/>
  <c r="BB796" i="11"/>
  <c r="BK795" i="11"/>
  <c r="BE795" i="11"/>
  <c r="BD795" i="11"/>
  <c r="BG795" i="11" s="1"/>
  <c r="BC795" i="11"/>
  <c r="BF795" i="11" s="1"/>
  <c r="BB795" i="11"/>
  <c r="BK794" i="11"/>
  <c r="BE794" i="11"/>
  <c r="BD794" i="11"/>
  <c r="BG794" i="11" s="1"/>
  <c r="BC794" i="11"/>
  <c r="BF794" i="11" s="1"/>
  <c r="BB794" i="11"/>
  <c r="BK793" i="11"/>
  <c r="BE793" i="11"/>
  <c r="BD793" i="11"/>
  <c r="BG793" i="11" s="1"/>
  <c r="BC793" i="11"/>
  <c r="BF793" i="11" s="1"/>
  <c r="BB793" i="11"/>
  <c r="BK792" i="11"/>
  <c r="BE792" i="11"/>
  <c r="BD792" i="11"/>
  <c r="BG792" i="11" s="1"/>
  <c r="BC792" i="11"/>
  <c r="BF792" i="11" s="1"/>
  <c r="BB792" i="11"/>
  <c r="BK791" i="11"/>
  <c r="BE791" i="11"/>
  <c r="BD791" i="11"/>
  <c r="BG791" i="11" s="1"/>
  <c r="BC791" i="11"/>
  <c r="BF791" i="11" s="1"/>
  <c r="BB791" i="11"/>
  <c r="BK790" i="11"/>
  <c r="BE790" i="11"/>
  <c r="BD790" i="11"/>
  <c r="BG790" i="11" s="1"/>
  <c r="BC790" i="11"/>
  <c r="BF790" i="11" s="1"/>
  <c r="BB790" i="11"/>
  <c r="BK789" i="11"/>
  <c r="BE789" i="11"/>
  <c r="BD789" i="11"/>
  <c r="BG789" i="11" s="1"/>
  <c r="BC789" i="11"/>
  <c r="BF789" i="11" s="1"/>
  <c r="BB789" i="11"/>
  <c r="BK788" i="11"/>
  <c r="BE788" i="11"/>
  <c r="BD788" i="11"/>
  <c r="BG788" i="11" s="1"/>
  <c r="BC788" i="11"/>
  <c r="BF788" i="11" s="1"/>
  <c r="BB788" i="11"/>
  <c r="BK787" i="11"/>
  <c r="BE787" i="11"/>
  <c r="BD787" i="11"/>
  <c r="BG787" i="11" s="1"/>
  <c r="BC787" i="11"/>
  <c r="BF787" i="11" s="1"/>
  <c r="BB787" i="11"/>
  <c r="BK786" i="11"/>
  <c r="BE786" i="11"/>
  <c r="BD786" i="11"/>
  <c r="BG786" i="11" s="1"/>
  <c r="BC786" i="11"/>
  <c r="BF786" i="11" s="1"/>
  <c r="BB786" i="11"/>
  <c r="BK785" i="11"/>
  <c r="BE785" i="11"/>
  <c r="BD785" i="11"/>
  <c r="BG785" i="11" s="1"/>
  <c r="BC785" i="11"/>
  <c r="BF785" i="11" s="1"/>
  <c r="BB785" i="11"/>
  <c r="BK784" i="11"/>
  <c r="BE784" i="11"/>
  <c r="BD784" i="11"/>
  <c r="BG784" i="11" s="1"/>
  <c r="BC784" i="11"/>
  <c r="BF784" i="11" s="1"/>
  <c r="BB784" i="11"/>
  <c r="BK783" i="11"/>
  <c r="BE783" i="11"/>
  <c r="BD783" i="11"/>
  <c r="BG783" i="11" s="1"/>
  <c r="BC783" i="11"/>
  <c r="BF783" i="11" s="1"/>
  <c r="BB783" i="11"/>
  <c r="BK782" i="11"/>
  <c r="BE782" i="11"/>
  <c r="BD782" i="11"/>
  <c r="BG782" i="11" s="1"/>
  <c r="BC782" i="11"/>
  <c r="BF782" i="11" s="1"/>
  <c r="BB782" i="11"/>
  <c r="BK781" i="11"/>
  <c r="BE781" i="11"/>
  <c r="BD781" i="11"/>
  <c r="BG781" i="11" s="1"/>
  <c r="BC781" i="11"/>
  <c r="BF781" i="11" s="1"/>
  <c r="BB781" i="11"/>
  <c r="BK780" i="11"/>
  <c r="BE780" i="11"/>
  <c r="BD780" i="11"/>
  <c r="BG780" i="11" s="1"/>
  <c r="BC780" i="11"/>
  <c r="BF780" i="11" s="1"/>
  <c r="BB780" i="11"/>
  <c r="BK779" i="11"/>
  <c r="BE779" i="11"/>
  <c r="BD779" i="11"/>
  <c r="BG779" i="11" s="1"/>
  <c r="BC779" i="11"/>
  <c r="BF779" i="11" s="1"/>
  <c r="BB779" i="11"/>
  <c r="BK778" i="11"/>
  <c r="BE778" i="11"/>
  <c r="BD778" i="11"/>
  <c r="BG778" i="11" s="1"/>
  <c r="BC778" i="11"/>
  <c r="BF778" i="11" s="1"/>
  <c r="BB778" i="11"/>
  <c r="BK777" i="11"/>
  <c r="BE777" i="11"/>
  <c r="BD777" i="11"/>
  <c r="BG777" i="11" s="1"/>
  <c r="BC777" i="11"/>
  <c r="BF777" i="11" s="1"/>
  <c r="BB777" i="11"/>
  <c r="BK776" i="11"/>
  <c r="BE776" i="11"/>
  <c r="BD776" i="11"/>
  <c r="BG776" i="11" s="1"/>
  <c r="BC776" i="11"/>
  <c r="BF776" i="11" s="1"/>
  <c r="BB776" i="11"/>
  <c r="BK775" i="11"/>
  <c r="BE775" i="11"/>
  <c r="BD775" i="11"/>
  <c r="BG775" i="11" s="1"/>
  <c r="BC775" i="11"/>
  <c r="BF775" i="11" s="1"/>
  <c r="BB775" i="11"/>
  <c r="BK774" i="11"/>
  <c r="BE774" i="11"/>
  <c r="BD774" i="11"/>
  <c r="BG774" i="11" s="1"/>
  <c r="BC774" i="11"/>
  <c r="BF774" i="11" s="1"/>
  <c r="BB774" i="11"/>
  <c r="BK773" i="11"/>
  <c r="BE773" i="11"/>
  <c r="BD773" i="11"/>
  <c r="BG773" i="11" s="1"/>
  <c r="BC773" i="11"/>
  <c r="BF773" i="11" s="1"/>
  <c r="BB773" i="11"/>
  <c r="BK772" i="11"/>
  <c r="BE772" i="11"/>
  <c r="BD772" i="11"/>
  <c r="BG772" i="11" s="1"/>
  <c r="BC772" i="11"/>
  <c r="BF772" i="11" s="1"/>
  <c r="BB772" i="11"/>
  <c r="BK771" i="11"/>
  <c r="BE771" i="11"/>
  <c r="BD771" i="11"/>
  <c r="BG771" i="11" s="1"/>
  <c r="BC771" i="11"/>
  <c r="BF771" i="11" s="1"/>
  <c r="BB771" i="11"/>
  <c r="BK770" i="11"/>
  <c r="BE770" i="11"/>
  <c r="BD770" i="11"/>
  <c r="BG770" i="11" s="1"/>
  <c r="BC770" i="11"/>
  <c r="BF770" i="11" s="1"/>
  <c r="BB770" i="11"/>
  <c r="BK769" i="11"/>
  <c r="BE769" i="11"/>
  <c r="BD769" i="11"/>
  <c r="BG769" i="11" s="1"/>
  <c r="BC769" i="11"/>
  <c r="BF769" i="11" s="1"/>
  <c r="BB769" i="11"/>
  <c r="BK768" i="11"/>
  <c r="BE768" i="11"/>
  <c r="BD768" i="11"/>
  <c r="BG768" i="11" s="1"/>
  <c r="BC768" i="11"/>
  <c r="BF768" i="11" s="1"/>
  <c r="BB768" i="11"/>
  <c r="BK767" i="11"/>
  <c r="BE767" i="11"/>
  <c r="BD767" i="11"/>
  <c r="BG767" i="11" s="1"/>
  <c r="BC767" i="11"/>
  <c r="BF767" i="11" s="1"/>
  <c r="BB767" i="11"/>
  <c r="BK766" i="11"/>
  <c r="BE766" i="11"/>
  <c r="BD766" i="11"/>
  <c r="BG766" i="11" s="1"/>
  <c r="BC766" i="11"/>
  <c r="BF766" i="11" s="1"/>
  <c r="BB766" i="11"/>
  <c r="BK765" i="11"/>
  <c r="BE765" i="11"/>
  <c r="BD765" i="11"/>
  <c r="BG765" i="11" s="1"/>
  <c r="BC765" i="11"/>
  <c r="BF765" i="11" s="1"/>
  <c r="BB765" i="11"/>
  <c r="BK764" i="11"/>
  <c r="BE764" i="11"/>
  <c r="BD764" i="11"/>
  <c r="BG764" i="11" s="1"/>
  <c r="BC764" i="11"/>
  <c r="BF764" i="11" s="1"/>
  <c r="BB764" i="11"/>
  <c r="BK763" i="11"/>
  <c r="BE763" i="11"/>
  <c r="BD763" i="11"/>
  <c r="BG763" i="11" s="1"/>
  <c r="BC763" i="11"/>
  <c r="BF763" i="11" s="1"/>
  <c r="BB763" i="11"/>
  <c r="BK762" i="11"/>
  <c r="BE762" i="11"/>
  <c r="BD762" i="11"/>
  <c r="BG762" i="11" s="1"/>
  <c r="BC762" i="11"/>
  <c r="BF762" i="11" s="1"/>
  <c r="BB762" i="11"/>
  <c r="BK761" i="11"/>
  <c r="BE761" i="11"/>
  <c r="BD761" i="11"/>
  <c r="BG761" i="11" s="1"/>
  <c r="BC761" i="11"/>
  <c r="BF761" i="11" s="1"/>
  <c r="BB761" i="11"/>
  <c r="BK760" i="11"/>
  <c r="BE760" i="11"/>
  <c r="BD760" i="11"/>
  <c r="BG760" i="11" s="1"/>
  <c r="BC760" i="11"/>
  <c r="BF760" i="11" s="1"/>
  <c r="BB760" i="11"/>
  <c r="BK759" i="11"/>
  <c r="BE759" i="11"/>
  <c r="BD759" i="11"/>
  <c r="BG759" i="11" s="1"/>
  <c r="BC759" i="11"/>
  <c r="BF759" i="11" s="1"/>
  <c r="BB759" i="11"/>
  <c r="BK758" i="11"/>
  <c r="BE758" i="11"/>
  <c r="BD758" i="11"/>
  <c r="BG758" i="11" s="1"/>
  <c r="BC758" i="11"/>
  <c r="BF758" i="11" s="1"/>
  <c r="BB758" i="11"/>
  <c r="BK757" i="11"/>
  <c r="BE757" i="11"/>
  <c r="BD757" i="11"/>
  <c r="BG757" i="11" s="1"/>
  <c r="BC757" i="11"/>
  <c r="BF757" i="11" s="1"/>
  <c r="BB757" i="11"/>
  <c r="BK756" i="11"/>
  <c r="BE756" i="11"/>
  <c r="BD756" i="11"/>
  <c r="BG756" i="11" s="1"/>
  <c r="BC756" i="11"/>
  <c r="BF756" i="11" s="1"/>
  <c r="BB756" i="11"/>
  <c r="BK755" i="11"/>
  <c r="BE755" i="11"/>
  <c r="BD755" i="11"/>
  <c r="BG755" i="11" s="1"/>
  <c r="BC755" i="11"/>
  <c r="BF755" i="11" s="1"/>
  <c r="BB755" i="11"/>
  <c r="BK754" i="11"/>
  <c r="BE754" i="11"/>
  <c r="BD754" i="11"/>
  <c r="BG754" i="11" s="1"/>
  <c r="BC754" i="11"/>
  <c r="BF754" i="11" s="1"/>
  <c r="BB754" i="11"/>
  <c r="BK753" i="11"/>
  <c r="BE753" i="11"/>
  <c r="BD753" i="11"/>
  <c r="BG753" i="11" s="1"/>
  <c r="BC753" i="11"/>
  <c r="BF753" i="11" s="1"/>
  <c r="BB753" i="11"/>
  <c r="BK752" i="11"/>
  <c r="BE752" i="11"/>
  <c r="BD752" i="11"/>
  <c r="BG752" i="11" s="1"/>
  <c r="BC752" i="11"/>
  <c r="BF752" i="11" s="1"/>
  <c r="BB752" i="11"/>
  <c r="BK751" i="11"/>
  <c r="BE751" i="11"/>
  <c r="BD751" i="11"/>
  <c r="BG751" i="11" s="1"/>
  <c r="BC751" i="11"/>
  <c r="BF751" i="11" s="1"/>
  <c r="BB751" i="11"/>
  <c r="BK750" i="11"/>
  <c r="BE750" i="11"/>
  <c r="BD750" i="11"/>
  <c r="BG750" i="11" s="1"/>
  <c r="BC750" i="11"/>
  <c r="BF750" i="11" s="1"/>
  <c r="BB750" i="11"/>
  <c r="BK749" i="11"/>
  <c r="BE749" i="11"/>
  <c r="BD749" i="11"/>
  <c r="BG749" i="11" s="1"/>
  <c r="BC749" i="11"/>
  <c r="BF749" i="11" s="1"/>
  <c r="BB749" i="11"/>
  <c r="BK748" i="11"/>
  <c r="BE748" i="11"/>
  <c r="BD748" i="11"/>
  <c r="BG748" i="11" s="1"/>
  <c r="BC748" i="11"/>
  <c r="BF748" i="11" s="1"/>
  <c r="BB748" i="11"/>
  <c r="BK747" i="11"/>
  <c r="BE747" i="11"/>
  <c r="BD747" i="11"/>
  <c r="BG747" i="11" s="1"/>
  <c r="BC747" i="11"/>
  <c r="BF747" i="11" s="1"/>
  <c r="BB747" i="11"/>
  <c r="BK746" i="11"/>
  <c r="BE746" i="11"/>
  <c r="BD746" i="11"/>
  <c r="BG746" i="11" s="1"/>
  <c r="BC746" i="11"/>
  <c r="BF746" i="11" s="1"/>
  <c r="BB746" i="11"/>
  <c r="BK745" i="11"/>
  <c r="BE745" i="11"/>
  <c r="BD745" i="11"/>
  <c r="BG745" i="11" s="1"/>
  <c r="BC745" i="11"/>
  <c r="BF745" i="11" s="1"/>
  <c r="BB745" i="11"/>
  <c r="BK744" i="11"/>
  <c r="BE744" i="11"/>
  <c r="BD744" i="11"/>
  <c r="BG744" i="11" s="1"/>
  <c r="BC744" i="11"/>
  <c r="BF744" i="11" s="1"/>
  <c r="BB744" i="11"/>
  <c r="BK743" i="11"/>
  <c r="BE743" i="11"/>
  <c r="BD743" i="11"/>
  <c r="BG743" i="11" s="1"/>
  <c r="BC743" i="11"/>
  <c r="BF743" i="11" s="1"/>
  <c r="BB743" i="11"/>
  <c r="BK742" i="11"/>
  <c r="BE742" i="11"/>
  <c r="BD742" i="11"/>
  <c r="BG742" i="11" s="1"/>
  <c r="BC742" i="11"/>
  <c r="BF742" i="11" s="1"/>
  <c r="BB742" i="11"/>
  <c r="BK741" i="11"/>
  <c r="BE741" i="11"/>
  <c r="BD741" i="11"/>
  <c r="BG741" i="11" s="1"/>
  <c r="BC741" i="11"/>
  <c r="BF741" i="11" s="1"/>
  <c r="BB741" i="11"/>
  <c r="BK740" i="11"/>
  <c r="BE740" i="11"/>
  <c r="BD740" i="11"/>
  <c r="BG740" i="11" s="1"/>
  <c r="BC740" i="11"/>
  <c r="BF740" i="11" s="1"/>
  <c r="BB740" i="11"/>
  <c r="BK739" i="11"/>
  <c r="BE739" i="11"/>
  <c r="BD739" i="11"/>
  <c r="BG739" i="11" s="1"/>
  <c r="BC739" i="11"/>
  <c r="BF739" i="11" s="1"/>
  <c r="BB739" i="11"/>
  <c r="BK738" i="11"/>
  <c r="BE738" i="11"/>
  <c r="BD738" i="11"/>
  <c r="BG738" i="11" s="1"/>
  <c r="BC738" i="11"/>
  <c r="BF738" i="11" s="1"/>
  <c r="BB738" i="11"/>
  <c r="BK737" i="11"/>
  <c r="BE737" i="11"/>
  <c r="BD737" i="11"/>
  <c r="BG737" i="11" s="1"/>
  <c r="BC737" i="11"/>
  <c r="BF737" i="11" s="1"/>
  <c r="BB737" i="11"/>
  <c r="BK736" i="11"/>
  <c r="BE736" i="11"/>
  <c r="BD736" i="11"/>
  <c r="BG736" i="11" s="1"/>
  <c r="BC736" i="11"/>
  <c r="BF736" i="11" s="1"/>
  <c r="BB736" i="11"/>
  <c r="BK735" i="11"/>
  <c r="BE735" i="11"/>
  <c r="BD735" i="11"/>
  <c r="BG735" i="11" s="1"/>
  <c r="BC735" i="11"/>
  <c r="BF735" i="11" s="1"/>
  <c r="BB735" i="11"/>
  <c r="BK734" i="11"/>
  <c r="BE734" i="11"/>
  <c r="BD734" i="11"/>
  <c r="BG734" i="11" s="1"/>
  <c r="BC734" i="11"/>
  <c r="BF734" i="11" s="1"/>
  <c r="BB734" i="11"/>
  <c r="BK733" i="11"/>
  <c r="BE733" i="11"/>
  <c r="BD733" i="11"/>
  <c r="BG733" i="11" s="1"/>
  <c r="BC733" i="11"/>
  <c r="BF733" i="11" s="1"/>
  <c r="BB733" i="11"/>
  <c r="BK732" i="11"/>
  <c r="BE732" i="11"/>
  <c r="BD732" i="11"/>
  <c r="BG732" i="11" s="1"/>
  <c r="BC732" i="11"/>
  <c r="BF732" i="11" s="1"/>
  <c r="BB732" i="11"/>
  <c r="BK731" i="11"/>
  <c r="BE731" i="11"/>
  <c r="BD731" i="11"/>
  <c r="BG731" i="11" s="1"/>
  <c r="BC731" i="11"/>
  <c r="BF731" i="11" s="1"/>
  <c r="BB731" i="11"/>
  <c r="BK730" i="11"/>
  <c r="BE730" i="11"/>
  <c r="BD730" i="11"/>
  <c r="BG730" i="11" s="1"/>
  <c r="BC730" i="11"/>
  <c r="BF730" i="11" s="1"/>
  <c r="BB730" i="11"/>
  <c r="BK729" i="11"/>
  <c r="BE729" i="11"/>
  <c r="BD729" i="11"/>
  <c r="BG729" i="11" s="1"/>
  <c r="BC729" i="11"/>
  <c r="BF729" i="11" s="1"/>
  <c r="BB729" i="11"/>
  <c r="BK728" i="11"/>
  <c r="BE728" i="11"/>
  <c r="BD728" i="11"/>
  <c r="BG728" i="11" s="1"/>
  <c r="BC728" i="11"/>
  <c r="BF728" i="11" s="1"/>
  <c r="BB728" i="11"/>
  <c r="BK727" i="11"/>
  <c r="BE727" i="11"/>
  <c r="BD727" i="11"/>
  <c r="BG727" i="11" s="1"/>
  <c r="BC727" i="11"/>
  <c r="BF727" i="11" s="1"/>
  <c r="BB727" i="11"/>
  <c r="BK726" i="11"/>
  <c r="BE726" i="11"/>
  <c r="BD726" i="11"/>
  <c r="BG726" i="11" s="1"/>
  <c r="BC726" i="11"/>
  <c r="BF726" i="11" s="1"/>
  <c r="BB726" i="11"/>
  <c r="BK725" i="11"/>
  <c r="BE725" i="11"/>
  <c r="BD725" i="11"/>
  <c r="BG725" i="11" s="1"/>
  <c r="BC725" i="11"/>
  <c r="BF725" i="11" s="1"/>
  <c r="BB725" i="11"/>
  <c r="BK724" i="11"/>
  <c r="BE724" i="11"/>
  <c r="BD724" i="11"/>
  <c r="BG724" i="11" s="1"/>
  <c r="BC724" i="11"/>
  <c r="BF724" i="11" s="1"/>
  <c r="BB724" i="11"/>
  <c r="BK723" i="11"/>
  <c r="BE723" i="11"/>
  <c r="BD723" i="11"/>
  <c r="BG723" i="11" s="1"/>
  <c r="BC723" i="11"/>
  <c r="BF723" i="11" s="1"/>
  <c r="BB723" i="11"/>
  <c r="BK722" i="11"/>
  <c r="BE722" i="11"/>
  <c r="BD722" i="11"/>
  <c r="BG722" i="11" s="1"/>
  <c r="BC722" i="11"/>
  <c r="BF722" i="11" s="1"/>
  <c r="BB722" i="11"/>
  <c r="BK721" i="11"/>
  <c r="BE721" i="11"/>
  <c r="BD721" i="11"/>
  <c r="BG721" i="11" s="1"/>
  <c r="BC721" i="11"/>
  <c r="BF721" i="11" s="1"/>
  <c r="BB721" i="11"/>
  <c r="BK720" i="11"/>
  <c r="BE720" i="11"/>
  <c r="BD720" i="11"/>
  <c r="BG720" i="11" s="1"/>
  <c r="BC720" i="11"/>
  <c r="BF720" i="11" s="1"/>
  <c r="BB720" i="11"/>
  <c r="BK719" i="11"/>
  <c r="BE719" i="11"/>
  <c r="BD719" i="11"/>
  <c r="BG719" i="11" s="1"/>
  <c r="BC719" i="11"/>
  <c r="BF719" i="11" s="1"/>
  <c r="BB719" i="11"/>
  <c r="BK718" i="11"/>
  <c r="BE718" i="11"/>
  <c r="BD718" i="11"/>
  <c r="BG718" i="11" s="1"/>
  <c r="BC718" i="11"/>
  <c r="BF718" i="11" s="1"/>
  <c r="BB718" i="11"/>
  <c r="BK717" i="11"/>
  <c r="BE717" i="11"/>
  <c r="BD717" i="11"/>
  <c r="BG717" i="11" s="1"/>
  <c r="BC717" i="11"/>
  <c r="BF717" i="11" s="1"/>
  <c r="BB717" i="11"/>
  <c r="BK716" i="11"/>
  <c r="BE716" i="11"/>
  <c r="BD716" i="11"/>
  <c r="BG716" i="11" s="1"/>
  <c r="BC716" i="11"/>
  <c r="BF716" i="11" s="1"/>
  <c r="BB716" i="11"/>
  <c r="BK715" i="11"/>
  <c r="BE715" i="11"/>
  <c r="BD715" i="11"/>
  <c r="BG715" i="11" s="1"/>
  <c r="BC715" i="11"/>
  <c r="BF715" i="11" s="1"/>
  <c r="BB715" i="11"/>
  <c r="BK714" i="11"/>
  <c r="BE714" i="11"/>
  <c r="BD714" i="11"/>
  <c r="BG714" i="11" s="1"/>
  <c r="BC714" i="11"/>
  <c r="BF714" i="11" s="1"/>
  <c r="BB714" i="11"/>
  <c r="BK713" i="11"/>
  <c r="BE713" i="11"/>
  <c r="BD713" i="11"/>
  <c r="BG713" i="11" s="1"/>
  <c r="BC713" i="11"/>
  <c r="BF713" i="11" s="1"/>
  <c r="BB713" i="11"/>
  <c r="BK712" i="11"/>
  <c r="BE712" i="11"/>
  <c r="BD712" i="11"/>
  <c r="BG712" i="11" s="1"/>
  <c r="BC712" i="11"/>
  <c r="BF712" i="11" s="1"/>
  <c r="BB712" i="11"/>
  <c r="BK711" i="11"/>
  <c r="BE711" i="11"/>
  <c r="BD711" i="11"/>
  <c r="BG711" i="11" s="1"/>
  <c r="BC711" i="11"/>
  <c r="BF711" i="11" s="1"/>
  <c r="BB711" i="11"/>
  <c r="BK710" i="11"/>
  <c r="BE710" i="11"/>
  <c r="BD710" i="11"/>
  <c r="BG710" i="11" s="1"/>
  <c r="BC710" i="11"/>
  <c r="BF710" i="11" s="1"/>
  <c r="BB710" i="11"/>
  <c r="BK709" i="11"/>
  <c r="BE709" i="11"/>
  <c r="BD709" i="11"/>
  <c r="BG709" i="11" s="1"/>
  <c r="BC709" i="11"/>
  <c r="BF709" i="11" s="1"/>
  <c r="BB709" i="11"/>
  <c r="BK708" i="11"/>
  <c r="BE708" i="11"/>
  <c r="BD708" i="11"/>
  <c r="BG708" i="11" s="1"/>
  <c r="BC708" i="11"/>
  <c r="BF708" i="11" s="1"/>
  <c r="BB708" i="11"/>
  <c r="BK707" i="11"/>
  <c r="BE707" i="11"/>
  <c r="BD707" i="11"/>
  <c r="BG707" i="11" s="1"/>
  <c r="BC707" i="11"/>
  <c r="BF707" i="11" s="1"/>
  <c r="BB707" i="11"/>
  <c r="BK706" i="11"/>
  <c r="BE706" i="11"/>
  <c r="BD706" i="11"/>
  <c r="BG706" i="11" s="1"/>
  <c r="BC706" i="11"/>
  <c r="BF706" i="11" s="1"/>
  <c r="BB706" i="11"/>
  <c r="BK705" i="11"/>
  <c r="BE705" i="11"/>
  <c r="BD705" i="11"/>
  <c r="BG705" i="11" s="1"/>
  <c r="BC705" i="11"/>
  <c r="BF705" i="11" s="1"/>
  <c r="BB705" i="11"/>
  <c r="BK704" i="11"/>
  <c r="BE704" i="11"/>
  <c r="BD704" i="11"/>
  <c r="BG704" i="11" s="1"/>
  <c r="BC704" i="11"/>
  <c r="BF704" i="11" s="1"/>
  <c r="BB704" i="11"/>
  <c r="BK703" i="11"/>
  <c r="BE703" i="11"/>
  <c r="BD703" i="11"/>
  <c r="BG703" i="11" s="1"/>
  <c r="BC703" i="11"/>
  <c r="BF703" i="11" s="1"/>
  <c r="BB703" i="11"/>
  <c r="BK702" i="11"/>
  <c r="BE702" i="11"/>
  <c r="BD702" i="11"/>
  <c r="BG702" i="11" s="1"/>
  <c r="BC702" i="11"/>
  <c r="BF702" i="11" s="1"/>
  <c r="BB702" i="11"/>
  <c r="BK701" i="11"/>
  <c r="BE701" i="11"/>
  <c r="BD701" i="11"/>
  <c r="BG701" i="11" s="1"/>
  <c r="BC701" i="11"/>
  <c r="BF701" i="11" s="1"/>
  <c r="BB701" i="11"/>
  <c r="BK700" i="11"/>
  <c r="BE700" i="11"/>
  <c r="BD700" i="11"/>
  <c r="BG700" i="11" s="1"/>
  <c r="BC700" i="11"/>
  <c r="BF700" i="11" s="1"/>
  <c r="BB700" i="11"/>
  <c r="BK699" i="11"/>
  <c r="BE699" i="11"/>
  <c r="BD699" i="11"/>
  <c r="BG699" i="11" s="1"/>
  <c r="BC699" i="11"/>
  <c r="BF699" i="11" s="1"/>
  <c r="BB699" i="11"/>
  <c r="BK698" i="11"/>
  <c r="BE698" i="11"/>
  <c r="BD698" i="11"/>
  <c r="BG698" i="11" s="1"/>
  <c r="BC698" i="11"/>
  <c r="BF698" i="11" s="1"/>
  <c r="BB698" i="11"/>
  <c r="BK697" i="11"/>
  <c r="BE697" i="11"/>
  <c r="BD697" i="11"/>
  <c r="BG697" i="11" s="1"/>
  <c r="BC697" i="11"/>
  <c r="BF697" i="11" s="1"/>
  <c r="BB697" i="11"/>
  <c r="BK696" i="11"/>
  <c r="BE696" i="11"/>
  <c r="BD696" i="11"/>
  <c r="BG696" i="11" s="1"/>
  <c r="BC696" i="11"/>
  <c r="BF696" i="11" s="1"/>
  <c r="BB696" i="11"/>
  <c r="BK695" i="11"/>
  <c r="BE695" i="11"/>
  <c r="BD695" i="11"/>
  <c r="BG695" i="11" s="1"/>
  <c r="BC695" i="11"/>
  <c r="BF695" i="11" s="1"/>
  <c r="BB695" i="11"/>
  <c r="BK694" i="11"/>
  <c r="BE694" i="11"/>
  <c r="BD694" i="11"/>
  <c r="BG694" i="11" s="1"/>
  <c r="BC694" i="11"/>
  <c r="BF694" i="11" s="1"/>
  <c r="BB694" i="11"/>
  <c r="BK693" i="11"/>
  <c r="BE693" i="11"/>
  <c r="BD693" i="11"/>
  <c r="BG693" i="11" s="1"/>
  <c r="BC693" i="11"/>
  <c r="BF693" i="11" s="1"/>
  <c r="BB693" i="11"/>
  <c r="BK692" i="11"/>
  <c r="BE692" i="11"/>
  <c r="BD692" i="11"/>
  <c r="BG692" i="11" s="1"/>
  <c r="BC692" i="11"/>
  <c r="BF692" i="11" s="1"/>
  <c r="BB692" i="11"/>
  <c r="BK691" i="11"/>
  <c r="BE691" i="11"/>
  <c r="BD691" i="11"/>
  <c r="BG691" i="11" s="1"/>
  <c r="BC691" i="11"/>
  <c r="BF691" i="11" s="1"/>
  <c r="BB691" i="11"/>
  <c r="BK690" i="11"/>
  <c r="BE690" i="11"/>
  <c r="BD690" i="11"/>
  <c r="BG690" i="11" s="1"/>
  <c r="BC690" i="11"/>
  <c r="BF690" i="11" s="1"/>
  <c r="BB690" i="11"/>
  <c r="BK689" i="11"/>
  <c r="BE689" i="11"/>
  <c r="BD689" i="11"/>
  <c r="BG689" i="11" s="1"/>
  <c r="BC689" i="11"/>
  <c r="BF689" i="11" s="1"/>
  <c r="BB689" i="11"/>
  <c r="BK688" i="11"/>
  <c r="BE688" i="11"/>
  <c r="BD688" i="11"/>
  <c r="BG688" i="11" s="1"/>
  <c r="BC688" i="11"/>
  <c r="BF688" i="11" s="1"/>
  <c r="BB688" i="11"/>
  <c r="BK687" i="11"/>
  <c r="BE687" i="11"/>
  <c r="BD687" i="11"/>
  <c r="BG687" i="11" s="1"/>
  <c r="BC687" i="11"/>
  <c r="BF687" i="11" s="1"/>
  <c r="BB687" i="11"/>
  <c r="BK686" i="11"/>
  <c r="BE686" i="11"/>
  <c r="BD686" i="11"/>
  <c r="BG686" i="11" s="1"/>
  <c r="BC686" i="11"/>
  <c r="BF686" i="11" s="1"/>
  <c r="BB686" i="11"/>
  <c r="BK685" i="11"/>
  <c r="BE685" i="11"/>
  <c r="BD685" i="11"/>
  <c r="BG685" i="11" s="1"/>
  <c r="BC685" i="11"/>
  <c r="BF685" i="11" s="1"/>
  <c r="BB685" i="11"/>
  <c r="BK684" i="11"/>
  <c r="BE684" i="11"/>
  <c r="BD684" i="11"/>
  <c r="BG684" i="11" s="1"/>
  <c r="BC684" i="11"/>
  <c r="BF684" i="11" s="1"/>
  <c r="BB684" i="11"/>
  <c r="BK683" i="11"/>
  <c r="BE683" i="11"/>
  <c r="BD683" i="11"/>
  <c r="BG683" i="11" s="1"/>
  <c r="BC683" i="11"/>
  <c r="BF683" i="11" s="1"/>
  <c r="BB683" i="11"/>
  <c r="BK682" i="11"/>
  <c r="BE682" i="11"/>
  <c r="BD682" i="11"/>
  <c r="BG682" i="11" s="1"/>
  <c r="BC682" i="11"/>
  <c r="BF682" i="11" s="1"/>
  <c r="BB682" i="11"/>
  <c r="BK681" i="11"/>
  <c r="BE681" i="11"/>
  <c r="BD681" i="11"/>
  <c r="BG681" i="11" s="1"/>
  <c r="BC681" i="11"/>
  <c r="BF681" i="11" s="1"/>
  <c r="BB681" i="11"/>
  <c r="BK680" i="11"/>
  <c r="BE680" i="11"/>
  <c r="BD680" i="11"/>
  <c r="BG680" i="11" s="1"/>
  <c r="BC680" i="11"/>
  <c r="BF680" i="11" s="1"/>
  <c r="BB680" i="11"/>
  <c r="BK679" i="11"/>
  <c r="BE679" i="11"/>
  <c r="BD679" i="11"/>
  <c r="BG679" i="11" s="1"/>
  <c r="BC679" i="11"/>
  <c r="BF679" i="11" s="1"/>
  <c r="BB679" i="11"/>
  <c r="BK678" i="11"/>
  <c r="BE678" i="11"/>
  <c r="BD678" i="11"/>
  <c r="BG678" i="11" s="1"/>
  <c r="BC678" i="11"/>
  <c r="BF678" i="11" s="1"/>
  <c r="BB678" i="11"/>
  <c r="BK677" i="11"/>
  <c r="BE677" i="11"/>
  <c r="BD677" i="11"/>
  <c r="BG677" i="11" s="1"/>
  <c r="BC677" i="11"/>
  <c r="BF677" i="11" s="1"/>
  <c r="BB677" i="11"/>
  <c r="BK676" i="11"/>
  <c r="BE676" i="11"/>
  <c r="BD676" i="11"/>
  <c r="BG676" i="11" s="1"/>
  <c r="BC676" i="11"/>
  <c r="BF676" i="11" s="1"/>
  <c r="BB676" i="11"/>
  <c r="BK675" i="11"/>
  <c r="BE675" i="11"/>
  <c r="BD675" i="11"/>
  <c r="BG675" i="11" s="1"/>
  <c r="BC675" i="11"/>
  <c r="BF675" i="11" s="1"/>
  <c r="BB675" i="11"/>
  <c r="BK674" i="11"/>
  <c r="BE674" i="11"/>
  <c r="BD674" i="11"/>
  <c r="BG674" i="11" s="1"/>
  <c r="BC674" i="11"/>
  <c r="BF674" i="11" s="1"/>
  <c r="BB674" i="11"/>
  <c r="BK673" i="11"/>
  <c r="BE673" i="11"/>
  <c r="BD673" i="11"/>
  <c r="BG673" i="11" s="1"/>
  <c r="BC673" i="11"/>
  <c r="BF673" i="11" s="1"/>
  <c r="BB673" i="11"/>
  <c r="BK672" i="11"/>
  <c r="BE672" i="11"/>
  <c r="BD672" i="11"/>
  <c r="BG672" i="11" s="1"/>
  <c r="BC672" i="11"/>
  <c r="BF672" i="11" s="1"/>
  <c r="BB672" i="11"/>
  <c r="BK671" i="11"/>
  <c r="BE671" i="11"/>
  <c r="BD671" i="11"/>
  <c r="BG671" i="11" s="1"/>
  <c r="BC671" i="11"/>
  <c r="BF671" i="11" s="1"/>
  <c r="BB671" i="11"/>
  <c r="BK670" i="11"/>
  <c r="BE670" i="11"/>
  <c r="BD670" i="11"/>
  <c r="BG670" i="11" s="1"/>
  <c r="BC670" i="11"/>
  <c r="BF670" i="11" s="1"/>
  <c r="BB670" i="11"/>
  <c r="BK669" i="11"/>
  <c r="BE669" i="11"/>
  <c r="BD669" i="11"/>
  <c r="BG669" i="11" s="1"/>
  <c r="BC669" i="11"/>
  <c r="BF669" i="11" s="1"/>
  <c r="BB669" i="11"/>
  <c r="BK668" i="11"/>
  <c r="BE668" i="11"/>
  <c r="BD668" i="11"/>
  <c r="BG668" i="11" s="1"/>
  <c r="BC668" i="11"/>
  <c r="BF668" i="11" s="1"/>
  <c r="BB668" i="11"/>
  <c r="BK667" i="11"/>
  <c r="BE667" i="11"/>
  <c r="BD667" i="11"/>
  <c r="BG667" i="11" s="1"/>
  <c r="BC667" i="11"/>
  <c r="BF667" i="11" s="1"/>
  <c r="BB667" i="11"/>
  <c r="BK666" i="11"/>
  <c r="BE666" i="11"/>
  <c r="BD666" i="11"/>
  <c r="BG666" i="11" s="1"/>
  <c r="BC666" i="11"/>
  <c r="BF666" i="11" s="1"/>
  <c r="BB666" i="11"/>
  <c r="BK665" i="11"/>
  <c r="BE665" i="11"/>
  <c r="BD665" i="11"/>
  <c r="BG665" i="11" s="1"/>
  <c r="BC665" i="11"/>
  <c r="BF665" i="11" s="1"/>
  <c r="BB665" i="11"/>
  <c r="BK664" i="11"/>
  <c r="BE664" i="11"/>
  <c r="BD664" i="11"/>
  <c r="BG664" i="11" s="1"/>
  <c r="BC664" i="11"/>
  <c r="BF664" i="11" s="1"/>
  <c r="BB664" i="11"/>
  <c r="BK663" i="11"/>
  <c r="BE663" i="11"/>
  <c r="BD663" i="11"/>
  <c r="BG663" i="11" s="1"/>
  <c r="BC663" i="11"/>
  <c r="BF663" i="11" s="1"/>
  <c r="BB663" i="11"/>
  <c r="BK662" i="11"/>
  <c r="BE662" i="11"/>
  <c r="BD662" i="11"/>
  <c r="BG662" i="11" s="1"/>
  <c r="BC662" i="11"/>
  <c r="BF662" i="11" s="1"/>
  <c r="BB662" i="11"/>
  <c r="BK661" i="11"/>
  <c r="BE661" i="11"/>
  <c r="BD661" i="11"/>
  <c r="BG661" i="11" s="1"/>
  <c r="BC661" i="11"/>
  <c r="BF661" i="11" s="1"/>
  <c r="BB661" i="11"/>
  <c r="BK660" i="11"/>
  <c r="BE660" i="11"/>
  <c r="BD660" i="11"/>
  <c r="BG660" i="11" s="1"/>
  <c r="BC660" i="11"/>
  <c r="BF660" i="11" s="1"/>
  <c r="BB660" i="11"/>
  <c r="BK659" i="11"/>
  <c r="BE659" i="11"/>
  <c r="BD659" i="11"/>
  <c r="BG659" i="11" s="1"/>
  <c r="BC659" i="11"/>
  <c r="BF659" i="11" s="1"/>
  <c r="BB659" i="11"/>
  <c r="BK658" i="11"/>
  <c r="BE658" i="11"/>
  <c r="BD658" i="11"/>
  <c r="BG658" i="11" s="1"/>
  <c r="BC658" i="11"/>
  <c r="BF658" i="11" s="1"/>
  <c r="BB658" i="11"/>
  <c r="BK657" i="11"/>
  <c r="BE657" i="11"/>
  <c r="BD657" i="11"/>
  <c r="BG657" i="11" s="1"/>
  <c r="BC657" i="11"/>
  <c r="BF657" i="11" s="1"/>
  <c r="BB657" i="11"/>
  <c r="BK656" i="11"/>
  <c r="BE656" i="11"/>
  <c r="BD656" i="11"/>
  <c r="BG656" i="11" s="1"/>
  <c r="BC656" i="11"/>
  <c r="BF656" i="11" s="1"/>
  <c r="BB656" i="11"/>
  <c r="BK655" i="11"/>
  <c r="BE655" i="11"/>
  <c r="BD655" i="11"/>
  <c r="BG655" i="11" s="1"/>
  <c r="BC655" i="11"/>
  <c r="BF655" i="11" s="1"/>
  <c r="BB655" i="11"/>
  <c r="BK654" i="11"/>
  <c r="BE654" i="11"/>
  <c r="BD654" i="11"/>
  <c r="BG654" i="11" s="1"/>
  <c r="BC654" i="11"/>
  <c r="BF654" i="11" s="1"/>
  <c r="BB654" i="11"/>
  <c r="BK653" i="11"/>
  <c r="BE653" i="11"/>
  <c r="BD653" i="11"/>
  <c r="BG653" i="11" s="1"/>
  <c r="BC653" i="11"/>
  <c r="BF653" i="11" s="1"/>
  <c r="BB653" i="11"/>
  <c r="BK652" i="11"/>
  <c r="BE652" i="11"/>
  <c r="BD652" i="11"/>
  <c r="BG652" i="11" s="1"/>
  <c r="BC652" i="11"/>
  <c r="BF652" i="11" s="1"/>
  <c r="BB652" i="11"/>
  <c r="BK651" i="11"/>
  <c r="BE651" i="11"/>
  <c r="BD651" i="11"/>
  <c r="BG651" i="11" s="1"/>
  <c r="BC651" i="11"/>
  <c r="BF651" i="11" s="1"/>
  <c r="BB651" i="11"/>
  <c r="BK650" i="11"/>
  <c r="BE650" i="11"/>
  <c r="BD650" i="11"/>
  <c r="BG650" i="11" s="1"/>
  <c r="BC650" i="11"/>
  <c r="BF650" i="11" s="1"/>
  <c r="BB650" i="11"/>
  <c r="BK649" i="11"/>
  <c r="BE649" i="11"/>
  <c r="BD649" i="11"/>
  <c r="BG649" i="11" s="1"/>
  <c r="BC649" i="11"/>
  <c r="BF649" i="11" s="1"/>
  <c r="BB649" i="11"/>
  <c r="BK648" i="11"/>
  <c r="BE648" i="11"/>
  <c r="BD648" i="11"/>
  <c r="BG648" i="11" s="1"/>
  <c r="BC648" i="11"/>
  <c r="BF648" i="11" s="1"/>
  <c r="BB648" i="11"/>
  <c r="BK647" i="11"/>
  <c r="BE647" i="11"/>
  <c r="BD647" i="11"/>
  <c r="BG647" i="11" s="1"/>
  <c r="BC647" i="11"/>
  <c r="BF647" i="11" s="1"/>
  <c r="BB647" i="11"/>
  <c r="BK646" i="11"/>
  <c r="BE646" i="11"/>
  <c r="BD646" i="11"/>
  <c r="BG646" i="11" s="1"/>
  <c r="BC646" i="11"/>
  <c r="BF646" i="11" s="1"/>
  <c r="BB646" i="11"/>
  <c r="BK645" i="11"/>
  <c r="BE645" i="11"/>
  <c r="BD645" i="11"/>
  <c r="BG645" i="11" s="1"/>
  <c r="BC645" i="11"/>
  <c r="BF645" i="11" s="1"/>
  <c r="BB645" i="11"/>
  <c r="BK644" i="11"/>
  <c r="BE644" i="11"/>
  <c r="BD644" i="11"/>
  <c r="BG644" i="11" s="1"/>
  <c r="BC644" i="11"/>
  <c r="BF644" i="11" s="1"/>
  <c r="BB644" i="11"/>
  <c r="BK643" i="11"/>
  <c r="BE643" i="11"/>
  <c r="BD643" i="11"/>
  <c r="BG643" i="11" s="1"/>
  <c r="BC643" i="11"/>
  <c r="BF643" i="11" s="1"/>
  <c r="BB643" i="11"/>
  <c r="BK642" i="11"/>
  <c r="BE642" i="11"/>
  <c r="BD642" i="11"/>
  <c r="BG642" i="11" s="1"/>
  <c r="BC642" i="11"/>
  <c r="BF642" i="11" s="1"/>
  <c r="BB642" i="11"/>
  <c r="BK641" i="11"/>
  <c r="BE641" i="11"/>
  <c r="BD641" i="11"/>
  <c r="BG641" i="11" s="1"/>
  <c r="BC641" i="11"/>
  <c r="BF641" i="11" s="1"/>
  <c r="BB641" i="11"/>
  <c r="BK640" i="11"/>
  <c r="BE640" i="11"/>
  <c r="BD640" i="11"/>
  <c r="BG640" i="11" s="1"/>
  <c r="BC640" i="11"/>
  <c r="BF640" i="11" s="1"/>
  <c r="BB640" i="11"/>
  <c r="BK639" i="11"/>
  <c r="BE639" i="11"/>
  <c r="BD639" i="11"/>
  <c r="BG639" i="11" s="1"/>
  <c r="BC639" i="11"/>
  <c r="BF639" i="11" s="1"/>
  <c r="BB639" i="11"/>
  <c r="BK638" i="11"/>
  <c r="BE638" i="11"/>
  <c r="BD638" i="11"/>
  <c r="BG638" i="11" s="1"/>
  <c r="BC638" i="11"/>
  <c r="BF638" i="11" s="1"/>
  <c r="BB638" i="11"/>
  <c r="BK637" i="11"/>
  <c r="BE637" i="11"/>
  <c r="BD637" i="11"/>
  <c r="BG637" i="11" s="1"/>
  <c r="BC637" i="11"/>
  <c r="BF637" i="11" s="1"/>
  <c r="BB637" i="11"/>
  <c r="BK636" i="11"/>
  <c r="BE636" i="11"/>
  <c r="BD636" i="11"/>
  <c r="BG636" i="11" s="1"/>
  <c r="BC636" i="11"/>
  <c r="BF636" i="11" s="1"/>
  <c r="BB636" i="11"/>
  <c r="BK635" i="11"/>
  <c r="BE635" i="11"/>
  <c r="BD635" i="11"/>
  <c r="BG635" i="11" s="1"/>
  <c r="BC635" i="11"/>
  <c r="BF635" i="11" s="1"/>
  <c r="BB635" i="11"/>
  <c r="BK634" i="11"/>
  <c r="BE634" i="11"/>
  <c r="BD634" i="11"/>
  <c r="BG634" i="11" s="1"/>
  <c r="BC634" i="11"/>
  <c r="BF634" i="11" s="1"/>
  <c r="BB634" i="11"/>
  <c r="BK633" i="11"/>
  <c r="BE633" i="11"/>
  <c r="BD633" i="11"/>
  <c r="BG633" i="11" s="1"/>
  <c r="BC633" i="11"/>
  <c r="BF633" i="11" s="1"/>
  <c r="BB633" i="11"/>
  <c r="BK632" i="11"/>
  <c r="BE632" i="11"/>
  <c r="BD632" i="11"/>
  <c r="BG632" i="11" s="1"/>
  <c r="BC632" i="11"/>
  <c r="BF632" i="11" s="1"/>
  <c r="BB632" i="11"/>
  <c r="BK631" i="11"/>
  <c r="BE631" i="11"/>
  <c r="BD631" i="11"/>
  <c r="BG631" i="11" s="1"/>
  <c r="BC631" i="11"/>
  <c r="BF631" i="11" s="1"/>
  <c r="BB631" i="11"/>
  <c r="BK630" i="11"/>
  <c r="BE630" i="11"/>
  <c r="BD630" i="11"/>
  <c r="BG630" i="11" s="1"/>
  <c r="BC630" i="11"/>
  <c r="BF630" i="11" s="1"/>
  <c r="BB630" i="11"/>
  <c r="BK629" i="11"/>
  <c r="BE629" i="11"/>
  <c r="BD629" i="11"/>
  <c r="BG629" i="11" s="1"/>
  <c r="BC629" i="11"/>
  <c r="BF629" i="11" s="1"/>
  <c r="BB629" i="11"/>
  <c r="BK628" i="11"/>
  <c r="BE628" i="11"/>
  <c r="BD628" i="11"/>
  <c r="BG628" i="11" s="1"/>
  <c r="BC628" i="11"/>
  <c r="BF628" i="11" s="1"/>
  <c r="BB628" i="11"/>
  <c r="BK627" i="11"/>
  <c r="BE627" i="11"/>
  <c r="BD627" i="11"/>
  <c r="BG627" i="11" s="1"/>
  <c r="BC627" i="11"/>
  <c r="BF627" i="11" s="1"/>
  <c r="BB627" i="11"/>
  <c r="BK626" i="11"/>
  <c r="BE626" i="11"/>
  <c r="BD626" i="11"/>
  <c r="BG626" i="11" s="1"/>
  <c r="BC626" i="11"/>
  <c r="BF626" i="11" s="1"/>
  <c r="BB626" i="11"/>
  <c r="BK625" i="11"/>
  <c r="BE625" i="11"/>
  <c r="BD625" i="11"/>
  <c r="BG625" i="11" s="1"/>
  <c r="BC625" i="11"/>
  <c r="BF625" i="11" s="1"/>
  <c r="BB625" i="11"/>
  <c r="BK624" i="11"/>
  <c r="BE624" i="11"/>
  <c r="BD624" i="11"/>
  <c r="BG624" i="11" s="1"/>
  <c r="BC624" i="11"/>
  <c r="BF624" i="11" s="1"/>
  <c r="BB624" i="11"/>
  <c r="BK623" i="11"/>
  <c r="BE623" i="11"/>
  <c r="BD623" i="11"/>
  <c r="BG623" i="11" s="1"/>
  <c r="BC623" i="11"/>
  <c r="BF623" i="11" s="1"/>
  <c r="BB623" i="11"/>
  <c r="BK622" i="11"/>
  <c r="BE622" i="11"/>
  <c r="BD622" i="11"/>
  <c r="BG622" i="11" s="1"/>
  <c r="BC622" i="11"/>
  <c r="BF622" i="11" s="1"/>
  <c r="BB622" i="11"/>
  <c r="BK621" i="11"/>
  <c r="BE621" i="11"/>
  <c r="BD621" i="11"/>
  <c r="BG621" i="11" s="1"/>
  <c r="BC621" i="11"/>
  <c r="BF621" i="11" s="1"/>
  <c r="BB621" i="11"/>
  <c r="BK620" i="11"/>
  <c r="BE620" i="11"/>
  <c r="BD620" i="11"/>
  <c r="BG620" i="11" s="1"/>
  <c r="BC620" i="11"/>
  <c r="BF620" i="11" s="1"/>
  <c r="BB620" i="11"/>
  <c r="BK619" i="11"/>
  <c r="BE619" i="11"/>
  <c r="BD619" i="11"/>
  <c r="BG619" i="11" s="1"/>
  <c r="BC619" i="11"/>
  <c r="BF619" i="11" s="1"/>
  <c r="BB619" i="11"/>
  <c r="BK618" i="11"/>
  <c r="BE618" i="11"/>
  <c r="BD618" i="11"/>
  <c r="BG618" i="11" s="1"/>
  <c r="BC618" i="11"/>
  <c r="BF618" i="11" s="1"/>
  <c r="BB618" i="11"/>
  <c r="BK617" i="11"/>
  <c r="BE617" i="11"/>
  <c r="BD617" i="11"/>
  <c r="BG617" i="11" s="1"/>
  <c r="BC617" i="11"/>
  <c r="BF617" i="11" s="1"/>
  <c r="BB617" i="11"/>
  <c r="BK616" i="11"/>
  <c r="BE616" i="11"/>
  <c r="BD616" i="11"/>
  <c r="BG616" i="11" s="1"/>
  <c r="BC616" i="11"/>
  <c r="BF616" i="11" s="1"/>
  <c r="BB616" i="11"/>
  <c r="BK615" i="11"/>
  <c r="BE615" i="11"/>
  <c r="BD615" i="11"/>
  <c r="BG615" i="11" s="1"/>
  <c r="BC615" i="11"/>
  <c r="BF615" i="11" s="1"/>
  <c r="BB615" i="11"/>
  <c r="BK614" i="11"/>
  <c r="BE614" i="11"/>
  <c r="BD614" i="11"/>
  <c r="BG614" i="11" s="1"/>
  <c r="BC614" i="11"/>
  <c r="BF614" i="11" s="1"/>
  <c r="BB614" i="11"/>
  <c r="BK613" i="11"/>
  <c r="BE613" i="11"/>
  <c r="BD613" i="11"/>
  <c r="BG613" i="11" s="1"/>
  <c r="BC613" i="11"/>
  <c r="BF613" i="11" s="1"/>
  <c r="BB613" i="11"/>
  <c r="BK612" i="11"/>
  <c r="BE612" i="11"/>
  <c r="BD612" i="11"/>
  <c r="BG612" i="11" s="1"/>
  <c r="BC612" i="11"/>
  <c r="BF612" i="11" s="1"/>
  <c r="BB612" i="11"/>
  <c r="BK611" i="11"/>
  <c r="BE611" i="11"/>
  <c r="BD611" i="11"/>
  <c r="BG611" i="11" s="1"/>
  <c r="BC611" i="11"/>
  <c r="BF611" i="11" s="1"/>
  <c r="BB611" i="11"/>
  <c r="BK610" i="11"/>
  <c r="BE610" i="11"/>
  <c r="BD610" i="11"/>
  <c r="BG610" i="11" s="1"/>
  <c r="BC610" i="11"/>
  <c r="BF610" i="11" s="1"/>
  <c r="BB610" i="11"/>
  <c r="BK609" i="11"/>
  <c r="BE609" i="11"/>
  <c r="BD609" i="11"/>
  <c r="BG609" i="11" s="1"/>
  <c r="BC609" i="11"/>
  <c r="BF609" i="11" s="1"/>
  <c r="BB609" i="11"/>
  <c r="BK608" i="11"/>
  <c r="BE608" i="11"/>
  <c r="BD608" i="11"/>
  <c r="BG608" i="11" s="1"/>
  <c r="BC608" i="11"/>
  <c r="BF608" i="11" s="1"/>
  <c r="BB608" i="11"/>
  <c r="BK607" i="11"/>
  <c r="BE607" i="11"/>
  <c r="BD607" i="11"/>
  <c r="BG607" i="11" s="1"/>
  <c r="BC607" i="11"/>
  <c r="BF607" i="11" s="1"/>
  <c r="BB607" i="11"/>
  <c r="BK606" i="11"/>
  <c r="BE606" i="11"/>
  <c r="BD606" i="11"/>
  <c r="BG606" i="11" s="1"/>
  <c r="BC606" i="11"/>
  <c r="BF606" i="11" s="1"/>
  <c r="BB606" i="11"/>
  <c r="BK605" i="11"/>
  <c r="BE605" i="11"/>
  <c r="BD605" i="11"/>
  <c r="BG605" i="11" s="1"/>
  <c r="BC605" i="11"/>
  <c r="BF605" i="11" s="1"/>
  <c r="BB605" i="11"/>
  <c r="BK604" i="11"/>
  <c r="BE604" i="11"/>
  <c r="BD604" i="11"/>
  <c r="BG604" i="11" s="1"/>
  <c r="BC604" i="11"/>
  <c r="BF604" i="11" s="1"/>
  <c r="BB604" i="11"/>
  <c r="BK603" i="11"/>
  <c r="BE603" i="11"/>
  <c r="BD603" i="11"/>
  <c r="BG603" i="11" s="1"/>
  <c r="BC603" i="11"/>
  <c r="BF603" i="11" s="1"/>
  <c r="BB603" i="11"/>
  <c r="BK602" i="11"/>
  <c r="BE602" i="11"/>
  <c r="BD602" i="11"/>
  <c r="BG602" i="11" s="1"/>
  <c r="BC602" i="11"/>
  <c r="BF602" i="11" s="1"/>
  <c r="BB602" i="11"/>
  <c r="BK601" i="11"/>
  <c r="BE601" i="11"/>
  <c r="BD601" i="11"/>
  <c r="BG601" i="11" s="1"/>
  <c r="BC601" i="11"/>
  <c r="BF601" i="11" s="1"/>
  <c r="BB601" i="11"/>
  <c r="BK600" i="11"/>
  <c r="BE600" i="11"/>
  <c r="BD600" i="11"/>
  <c r="BG600" i="11" s="1"/>
  <c r="BC600" i="11"/>
  <c r="BF600" i="11" s="1"/>
  <c r="BB600" i="11"/>
  <c r="BK599" i="11"/>
  <c r="BE599" i="11"/>
  <c r="BD599" i="11"/>
  <c r="BG599" i="11" s="1"/>
  <c r="BC599" i="11"/>
  <c r="BF599" i="11" s="1"/>
  <c r="BB599" i="11"/>
  <c r="BK598" i="11"/>
  <c r="BE598" i="11"/>
  <c r="BD598" i="11"/>
  <c r="BG598" i="11" s="1"/>
  <c r="BC598" i="11"/>
  <c r="BF598" i="11" s="1"/>
  <c r="BB598" i="11"/>
  <c r="BK597" i="11"/>
  <c r="BE597" i="11"/>
  <c r="BD597" i="11"/>
  <c r="BG597" i="11" s="1"/>
  <c r="BC597" i="11"/>
  <c r="BF597" i="11" s="1"/>
  <c r="BB597" i="11"/>
  <c r="BK596" i="11"/>
  <c r="BE596" i="11"/>
  <c r="BD596" i="11"/>
  <c r="BG596" i="11" s="1"/>
  <c r="BC596" i="11"/>
  <c r="BF596" i="11" s="1"/>
  <c r="BB596" i="11"/>
  <c r="BK595" i="11"/>
  <c r="BE595" i="11"/>
  <c r="BD595" i="11"/>
  <c r="BG595" i="11" s="1"/>
  <c r="BC595" i="11"/>
  <c r="BF595" i="11" s="1"/>
  <c r="BB595" i="11"/>
  <c r="BK594" i="11"/>
  <c r="BE594" i="11"/>
  <c r="BD594" i="11"/>
  <c r="BG594" i="11" s="1"/>
  <c r="BC594" i="11"/>
  <c r="BF594" i="11" s="1"/>
  <c r="BB594" i="11"/>
  <c r="BK593" i="11"/>
  <c r="BE593" i="11"/>
  <c r="BD593" i="11"/>
  <c r="BG593" i="11" s="1"/>
  <c r="BC593" i="11"/>
  <c r="BF593" i="11" s="1"/>
  <c r="BB593" i="11"/>
  <c r="BK592" i="11"/>
  <c r="BE592" i="11"/>
  <c r="BD592" i="11"/>
  <c r="BG592" i="11" s="1"/>
  <c r="BC592" i="11"/>
  <c r="BF592" i="11" s="1"/>
  <c r="BB592" i="11"/>
  <c r="BK591" i="11"/>
  <c r="BE591" i="11"/>
  <c r="BD591" i="11"/>
  <c r="BG591" i="11" s="1"/>
  <c r="BC591" i="11"/>
  <c r="BF591" i="11" s="1"/>
  <c r="BB591" i="11"/>
  <c r="BK590" i="11"/>
  <c r="BE590" i="11"/>
  <c r="BD590" i="11"/>
  <c r="BG590" i="11" s="1"/>
  <c r="BC590" i="11"/>
  <c r="BF590" i="11" s="1"/>
  <c r="BB590" i="11"/>
  <c r="BK589" i="11"/>
  <c r="BE589" i="11"/>
  <c r="BD589" i="11"/>
  <c r="BG589" i="11" s="1"/>
  <c r="BC589" i="11"/>
  <c r="BF589" i="11" s="1"/>
  <c r="BB589" i="11"/>
  <c r="BK588" i="11"/>
  <c r="BE588" i="11"/>
  <c r="BD588" i="11"/>
  <c r="BG588" i="11" s="1"/>
  <c r="BC588" i="11"/>
  <c r="BF588" i="11" s="1"/>
  <c r="BB588" i="11"/>
  <c r="BK587" i="11"/>
  <c r="BE587" i="11"/>
  <c r="BD587" i="11"/>
  <c r="BG587" i="11" s="1"/>
  <c r="BC587" i="11"/>
  <c r="BF587" i="11" s="1"/>
  <c r="BB587" i="11"/>
  <c r="BK586" i="11"/>
  <c r="BE586" i="11"/>
  <c r="BD586" i="11"/>
  <c r="BG586" i="11" s="1"/>
  <c r="BC586" i="11"/>
  <c r="BF586" i="11" s="1"/>
  <c r="BB586" i="11"/>
  <c r="BK585" i="11"/>
  <c r="BE585" i="11"/>
  <c r="BD585" i="11"/>
  <c r="BG585" i="11" s="1"/>
  <c r="BC585" i="11"/>
  <c r="BF585" i="11" s="1"/>
  <c r="BB585" i="11"/>
  <c r="BK584" i="11"/>
  <c r="BE584" i="11"/>
  <c r="BD584" i="11"/>
  <c r="BG584" i="11" s="1"/>
  <c r="BC584" i="11"/>
  <c r="BF584" i="11" s="1"/>
  <c r="BB584" i="11"/>
  <c r="BK583" i="11"/>
  <c r="BE583" i="11"/>
  <c r="BD583" i="11"/>
  <c r="BG583" i="11" s="1"/>
  <c r="BC583" i="11"/>
  <c r="BF583" i="11" s="1"/>
  <c r="BB583" i="11"/>
  <c r="BK582" i="11"/>
  <c r="BE582" i="11"/>
  <c r="BD582" i="11"/>
  <c r="BG582" i="11" s="1"/>
  <c r="BC582" i="11"/>
  <c r="BF582" i="11" s="1"/>
  <c r="BB582" i="11"/>
  <c r="BK581" i="11"/>
  <c r="BE581" i="11"/>
  <c r="BD581" i="11"/>
  <c r="BG581" i="11" s="1"/>
  <c r="BC581" i="11"/>
  <c r="BF581" i="11" s="1"/>
  <c r="BB581" i="11"/>
  <c r="BK580" i="11"/>
  <c r="BE580" i="11"/>
  <c r="BD580" i="11"/>
  <c r="BG580" i="11" s="1"/>
  <c r="BC580" i="11"/>
  <c r="BF580" i="11" s="1"/>
  <c r="BB580" i="11"/>
  <c r="BK579" i="11"/>
  <c r="BE579" i="11"/>
  <c r="BD579" i="11"/>
  <c r="BG579" i="11" s="1"/>
  <c r="BC579" i="11"/>
  <c r="BF579" i="11" s="1"/>
  <c r="BB579" i="11"/>
  <c r="BK578" i="11"/>
  <c r="BE578" i="11"/>
  <c r="BD578" i="11"/>
  <c r="BG578" i="11" s="1"/>
  <c r="BC578" i="11"/>
  <c r="BF578" i="11" s="1"/>
  <c r="BB578" i="11"/>
  <c r="BK577" i="11"/>
  <c r="BE577" i="11"/>
  <c r="BD577" i="11"/>
  <c r="BG577" i="11" s="1"/>
  <c r="BC577" i="11"/>
  <c r="BF577" i="11" s="1"/>
  <c r="BB577" i="11"/>
  <c r="BK576" i="11"/>
  <c r="BE576" i="11"/>
  <c r="BD576" i="11"/>
  <c r="BG576" i="11" s="1"/>
  <c r="BC576" i="11"/>
  <c r="BF576" i="11" s="1"/>
  <c r="BB576" i="11"/>
  <c r="BK575" i="11"/>
  <c r="BE575" i="11"/>
  <c r="BD575" i="11"/>
  <c r="BG575" i="11" s="1"/>
  <c r="BC575" i="11"/>
  <c r="BF575" i="11" s="1"/>
  <c r="BB575" i="11"/>
  <c r="BK574" i="11"/>
  <c r="BE574" i="11"/>
  <c r="BD574" i="11"/>
  <c r="BG574" i="11" s="1"/>
  <c r="BC574" i="11"/>
  <c r="BF574" i="11" s="1"/>
  <c r="BB574" i="11"/>
  <c r="BK573" i="11"/>
  <c r="BE573" i="11"/>
  <c r="BD573" i="11"/>
  <c r="BG573" i="11" s="1"/>
  <c r="BC573" i="11"/>
  <c r="BF573" i="11" s="1"/>
  <c r="BB573" i="11"/>
  <c r="BK572" i="11"/>
  <c r="BE572" i="11"/>
  <c r="BD572" i="11"/>
  <c r="BG572" i="11" s="1"/>
  <c r="BC572" i="11"/>
  <c r="BF572" i="11" s="1"/>
  <c r="BB572" i="11"/>
  <c r="BK571" i="11"/>
  <c r="BE571" i="11"/>
  <c r="BD571" i="11"/>
  <c r="BG571" i="11" s="1"/>
  <c r="BC571" i="11"/>
  <c r="BF571" i="11" s="1"/>
  <c r="BB571" i="11"/>
  <c r="BK570" i="11"/>
  <c r="BE570" i="11"/>
  <c r="BD570" i="11"/>
  <c r="BG570" i="11" s="1"/>
  <c r="BC570" i="11"/>
  <c r="BF570" i="11" s="1"/>
  <c r="BB570" i="11"/>
  <c r="BK569" i="11"/>
  <c r="BE569" i="11"/>
  <c r="BD569" i="11"/>
  <c r="BG569" i="11" s="1"/>
  <c r="BC569" i="11"/>
  <c r="BF569" i="11" s="1"/>
  <c r="BB569" i="11"/>
  <c r="BK568" i="11"/>
  <c r="BE568" i="11"/>
  <c r="BD568" i="11"/>
  <c r="BG568" i="11" s="1"/>
  <c r="BC568" i="11"/>
  <c r="BF568" i="11" s="1"/>
  <c r="BB568" i="11"/>
  <c r="BK567" i="11"/>
  <c r="BE567" i="11"/>
  <c r="BD567" i="11"/>
  <c r="BG567" i="11" s="1"/>
  <c r="BC567" i="11"/>
  <c r="BF567" i="11" s="1"/>
  <c r="BB567" i="11"/>
  <c r="BK566" i="11"/>
  <c r="BE566" i="11"/>
  <c r="BD566" i="11"/>
  <c r="BG566" i="11" s="1"/>
  <c r="BC566" i="11"/>
  <c r="BF566" i="11" s="1"/>
  <c r="BB566" i="11"/>
  <c r="BK565" i="11"/>
  <c r="BE565" i="11"/>
  <c r="BD565" i="11"/>
  <c r="BG565" i="11" s="1"/>
  <c r="BC565" i="11"/>
  <c r="BF565" i="11" s="1"/>
  <c r="BB565" i="11"/>
  <c r="BK564" i="11"/>
  <c r="BE564" i="11"/>
  <c r="BD564" i="11"/>
  <c r="BG564" i="11" s="1"/>
  <c r="BC564" i="11"/>
  <c r="BF564" i="11" s="1"/>
  <c r="BB564" i="11"/>
  <c r="BK563" i="11"/>
  <c r="BE563" i="11"/>
  <c r="BD563" i="11"/>
  <c r="BG563" i="11" s="1"/>
  <c r="BC563" i="11"/>
  <c r="BF563" i="11" s="1"/>
  <c r="BB563" i="11"/>
  <c r="BK562" i="11"/>
  <c r="BE562" i="11"/>
  <c r="BD562" i="11"/>
  <c r="BG562" i="11" s="1"/>
  <c r="BC562" i="11"/>
  <c r="BF562" i="11" s="1"/>
  <c r="BB562" i="11"/>
  <c r="BK561" i="11"/>
  <c r="BE561" i="11"/>
  <c r="BD561" i="11"/>
  <c r="BG561" i="11" s="1"/>
  <c r="BC561" i="11"/>
  <c r="BF561" i="11" s="1"/>
  <c r="BB561" i="11"/>
  <c r="BK560" i="11"/>
  <c r="BE560" i="11"/>
  <c r="BD560" i="11"/>
  <c r="BG560" i="11" s="1"/>
  <c r="BC560" i="11"/>
  <c r="BF560" i="11" s="1"/>
  <c r="BB560" i="11"/>
  <c r="BK559" i="11"/>
  <c r="BE559" i="11"/>
  <c r="BD559" i="11"/>
  <c r="BG559" i="11" s="1"/>
  <c r="BC559" i="11"/>
  <c r="BF559" i="11" s="1"/>
  <c r="BB559" i="11"/>
  <c r="BK558" i="11"/>
  <c r="BE558" i="11"/>
  <c r="BD558" i="11"/>
  <c r="BG558" i="11" s="1"/>
  <c r="BC558" i="11"/>
  <c r="BF558" i="11" s="1"/>
  <c r="BB558" i="11"/>
  <c r="BK557" i="11"/>
  <c r="BE557" i="11"/>
  <c r="BD557" i="11"/>
  <c r="BG557" i="11" s="1"/>
  <c r="BC557" i="11"/>
  <c r="BF557" i="11" s="1"/>
  <c r="BB557" i="11"/>
  <c r="BK556" i="11"/>
  <c r="BE556" i="11"/>
  <c r="BD556" i="11"/>
  <c r="BG556" i="11" s="1"/>
  <c r="BC556" i="11"/>
  <c r="BF556" i="11" s="1"/>
  <c r="BB556" i="11"/>
  <c r="BK555" i="11"/>
  <c r="BE555" i="11"/>
  <c r="BD555" i="11"/>
  <c r="BG555" i="11" s="1"/>
  <c r="BC555" i="11"/>
  <c r="BF555" i="11" s="1"/>
  <c r="BB555" i="11"/>
  <c r="BK554" i="11"/>
  <c r="BE554" i="11"/>
  <c r="BD554" i="11"/>
  <c r="BG554" i="11" s="1"/>
  <c r="BC554" i="11"/>
  <c r="BF554" i="11" s="1"/>
  <c r="BB554" i="11"/>
  <c r="BK553" i="11"/>
  <c r="BE553" i="11"/>
  <c r="BD553" i="11"/>
  <c r="BG553" i="11" s="1"/>
  <c r="BC553" i="11"/>
  <c r="BF553" i="11" s="1"/>
  <c r="BB553" i="11"/>
  <c r="BK552" i="11"/>
  <c r="BE552" i="11"/>
  <c r="BD552" i="11"/>
  <c r="BG552" i="11" s="1"/>
  <c r="BC552" i="11"/>
  <c r="BF552" i="11" s="1"/>
  <c r="BB552" i="11"/>
  <c r="BK551" i="11"/>
  <c r="BE551" i="11"/>
  <c r="BD551" i="11"/>
  <c r="BG551" i="11" s="1"/>
  <c r="BC551" i="11"/>
  <c r="BF551" i="11" s="1"/>
  <c r="BB551" i="11"/>
  <c r="BK550" i="11"/>
  <c r="BE550" i="11"/>
  <c r="BD550" i="11"/>
  <c r="BG550" i="11" s="1"/>
  <c r="BC550" i="11"/>
  <c r="BF550" i="11" s="1"/>
  <c r="BB550" i="11"/>
  <c r="BK549" i="11"/>
  <c r="BE549" i="11"/>
  <c r="BD549" i="11"/>
  <c r="BG549" i="11" s="1"/>
  <c r="BC549" i="11"/>
  <c r="BF549" i="11" s="1"/>
  <c r="BB549" i="11"/>
  <c r="BK548" i="11"/>
  <c r="BE548" i="11"/>
  <c r="BD548" i="11"/>
  <c r="BG548" i="11" s="1"/>
  <c r="BC548" i="11"/>
  <c r="BF548" i="11" s="1"/>
  <c r="BB548" i="11"/>
  <c r="BK547" i="11"/>
  <c r="BE547" i="11"/>
  <c r="BD547" i="11"/>
  <c r="BG547" i="11" s="1"/>
  <c r="BC547" i="11"/>
  <c r="BF547" i="11" s="1"/>
  <c r="BB547" i="11"/>
  <c r="BK546" i="11"/>
  <c r="BE546" i="11"/>
  <c r="BD546" i="11"/>
  <c r="BG546" i="11" s="1"/>
  <c r="BC546" i="11"/>
  <c r="BF546" i="11" s="1"/>
  <c r="BB546" i="11"/>
  <c r="BK545" i="11"/>
  <c r="BE545" i="11"/>
  <c r="BD545" i="11"/>
  <c r="BG545" i="11" s="1"/>
  <c r="BC545" i="11"/>
  <c r="BF545" i="11" s="1"/>
  <c r="BB545" i="11"/>
  <c r="BK544" i="11"/>
  <c r="BE544" i="11"/>
  <c r="BD544" i="11"/>
  <c r="BG544" i="11" s="1"/>
  <c r="BC544" i="11"/>
  <c r="BF544" i="11" s="1"/>
  <c r="BB544" i="11"/>
  <c r="BK543" i="11"/>
  <c r="BE543" i="11"/>
  <c r="BD543" i="11"/>
  <c r="BG543" i="11" s="1"/>
  <c r="BC543" i="11"/>
  <c r="BF543" i="11" s="1"/>
  <c r="BB543" i="11"/>
  <c r="BK542" i="11"/>
  <c r="BE542" i="11"/>
  <c r="BD542" i="11"/>
  <c r="BG542" i="11" s="1"/>
  <c r="BC542" i="11"/>
  <c r="BF542" i="11" s="1"/>
  <c r="BB542" i="11"/>
  <c r="BK541" i="11"/>
  <c r="BE541" i="11"/>
  <c r="BD541" i="11"/>
  <c r="BG541" i="11" s="1"/>
  <c r="BC541" i="11"/>
  <c r="BF541" i="11" s="1"/>
  <c r="BB541" i="11"/>
  <c r="BK540" i="11"/>
  <c r="BE540" i="11"/>
  <c r="BD540" i="11"/>
  <c r="BG540" i="11" s="1"/>
  <c r="BC540" i="11"/>
  <c r="BF540" i="11" s="1"/>
  <c r="BB540" i="11"/>
  <c r="BK539" i="11"/>
  <c r="BE539" i="11"/>
  <c r="BD539" i="11"/>
  <c r="BG539" i="11" s="1"/>
  <c r="BC539" i="11"/>
  <c r="BF539" i="11" s="1"/>
  <c r="BB539" i="11"/>
  <c r="BK538" i="11"/>
  <c r="BE538" i="11"/>
  <c r="BD538" i="11"/>
  <c r="BG538" i="11" s="1"/>
  <c r="BC538" i="11"/>
  <c r="BF538" i="11" s="1"/>
  <c r="BB538" i="11"/>
  <c r="BK537" i="11"/>
  <c r="BE537" i="11"/>
  <c r="BD537" i="11"/>
  <c r="BG537" i="11" s="1"/>
  <c r="BC537" i="11"/>
  <c r="BF537" i="11" s="1"/>
  <c r="BB537" i="11"/>
  <c r="BK536" i="11"/>
  <c r="BE536" i="11"/>
  <c r="BD536" i="11"/>
  <c r="BG536" i="11" s="1"/>
  <c r="BC536" i="11"/>
  <c r="BF536" i="11" s="1"/>
  <c r="BB536" i="11"/>
  <c r="BK535" i="11"/>
  <c r="BE535" i="11"/>
  <c r="BD535" i="11"/>
  <c r="BG535" i="11" s="1"/>
  <c r="BC535" i="11"/>
  <c r="BF535" i="11" s="1"/>
  <c r="BB535" i="11"/>
  <c r="BK534" i="11"/>
  <c r="BE534" i="11"/>
  <c r="BD534" i="11"/>
  <c r="BG534" i="11" s="1"/>
  <c r="BC534" i="11"/>
  <c r="BF534" i="11" s="1"/>
  <c r="BB534" i="11"/>
  <c r="BK533" i="11"/>
  <c r="BE533" i="11"/>
  <c r="BD533" i="11"/>
  <c r="BG533" i="11" s="1"/>
  <c r="BC533" i="11"/>
  <c r="BF533" i="11" s="1"/>
  <c r="BB533" i="11"/>
  <c r="BK532" i="11"/>
  <c r="BE532" i="11"/>
  <c r="BD532" i="11"/>
  <c r="BG532" i="11" s="1"/>
  <c r="BC532" i="11"/>
  <c r="BF532" i="11" s="1"/>
  <c r="BB532" i="11"/>
  <c r="BK531" i="11"/>
  <c r="BE531" i="11"/>
  <c r="BD531" i="11"/>
  <c r="BG531" i="11" s="1"/>
  <c r="BC531" i="11"/>
  <c r="BF531" i="11" s="1"/>
  <c r="BB531" i="11"/>
  <c r="BK530" i="11"/>
  <c r="BE530" i="11"/>
  <c r="BD530" i="11"/>
  <c r="BG530" i="11" s="1"/>
  <c r="BC530" i="11"/>
  <c r="BF530" i="11" s="1"/>
  <c r="BB530" i="11"/>
  <c r="BK529" i="11"/>
  <c r="BE529" i="11"/>
  <c r="BD529" i="11"/>
  <c r="BG529" i="11" s="1"/>
  <c r="BC529" i="11"/>
  <c r="BF529" i="11" s="1"/>
  <c r="BB529" i="11"/>
  <c r="BK528" i="11"/>
  <c r="BE528" i="11"/>
  <c r="BD528" i="11"/>
  <c r="BG528" i="11" s="1"/>
  <c r="BC528" i="11"/>
  <c r="BF528" i="11" s="1"/>
  <c r="BB528" i="11"/>
  <c r="BK527" i="11"/>
  <c r="BE527" i="11"/>
  <c r="BD527" i="11"/>
  <c r="BG527" i="11" s="1"/>
  <c r="BC527" i="11"/>
  <c r="BF527" i="11" s="1"/>
  <c r="BB527" i="11"/>
  <c r="BK526" i="11"/>
  <c r="BE526" i="11"/>
  <c r="BD526" i="11"/>
  <c r="BG526" i="11" s="1"/>
  <c r="BC526" i="11"/>
  <c r="BF526" i="11" s="1"/>
  <c r="BB526" i="11"/>
  <c r="BK525" i="11"/>
  <c r="BE525" i="11"/>
  <c r="BD525" i="11"/>
  <c r="BG525" i="11" s="1"/>
  <c r="BC525" i="11"/>
  <c r="BF525" i="11" s="1"/>
  <c r="BB525" i="11"/>
  <c r="BK524" i="11"/>
  <c r="BE524" i="11"/>
  <c r="BD524" i="11"/>
  <c r="BG524" i="11" s="1"/>
  <c r="BC524" i="11"/>
  <c r="BF524" i="11" s="1"/>
  <c r="BB524" i="11"/>
  <c r="BK523" i="11"/>
  <c r="BE523" i="11"/>
  <c r="BD523" i="11"/>
  <c r="BG523" i="11" s="1"/>
  <c r="BC523" i="11"/>
  <c r="BF523" i="11" s="1"/>
  <c r="BB523" i="11"/>
  <c r="BK522" i="11"/>
  <c r="BE522" i="11"/>
  <c r="BD522" i="11"/>
  <c r="BG522" i="11" s="1"/>
  <c r="BC522" i="11"/>
  <c r="BF522" i="11" s="1"/>
  <c r="BB522" i="11"/>
  <c r="BK521" i="11"/>
  <c r="BE521" i="11"/>
  <c r="BD521" i="11"/>
  <c r="BG521" i="11" s="1"/>
  <c r="BC521" i="11"/>
  <c r="BF521" i="11" s="1"/>
  <c r="BB521" i="11"/>
  <c r="BK520" i="11"/>
  <c r="BE520" i="11"/>
  <c r="BD520" i="11"/>
  <c r="BG520" i="11" s="1"/>
  <c r="BC520" i="11"/>
  <c r="BF520" i="11" s="1"/>
  <c r="BB520" i="11"/>
  <c r="BK519" i="11"/>
  <c r="BE519" i="11"/>
  <c r="BD519" i="11"/>
  <c r="BG519" i="11" s="1"/>
  <c r="BC519" i="11"/>
  <c r="BF519" i="11" s="1"/>
  <c r="BB519" i="11"/>
  <c r="BK518" i="11"/>
  <c r="BE518" i="11"/>
  <c r="BD518" i="11"/>
  <c r="BG518" i="11" s="1"/>
  <c r="BC518" i="11"/>
  <c r="BF518" i="11" s="1"/>
  <c r="BB518" i="11"/>
  <c r="BK517" i="11"/>
  <c r="BE517" i="11"/>
  <c r="BD517" i="11"/>
  <c r="BG517" i="11" s="1"/>
  <c r="BC517" i="11"/>
  <c r="BF517" i="11" s="1"/>
  <c r="BB517" i="11"/>
  <c r="BK516" i="11"/>
  <c r="BE516" i="11"/>
  <c r="BD516" i="11"/>
  <c r="BG516" i="11" s="1"/>
  <c r="BC516" i="11"/>
  <c r="BF516" i="11" s="1"/>
  <c r="BB516" i="11"/>
  <c r="BK515" i="11"/>
  <c r="BE515" i="11"/>
  <c r="BD515" i="11"/>
  <c r="BG515" i="11" s="1"/>
  <c r="BC515" i="11"/>
  <c r="BF515" i="11" s="1"/>
  <c r="BB515" i="11"/>
  <c r="BK514" i="11"/>
  <c r="BE514" i="11"/>
  <c r="BD514" i="11"/>
  <c r="BG514" i="11" s="1"/>
  <c r="BC514" i="11"/>
  <c r="BF514" i="11" s="1"/>
  <c r="BB514" i="11"/>
  <c r="BK513" i="11"/>
  <c r="BE513" i="11"/>
  <c r="BD513" i="11"/>
  <c r="BG513" i="11" s="1"/>
  <c r="BC513" i="11"/>
  <c r="BF513" i="11" s="1"/>
  <c r="BB513" i="11"/>
  <c r="BK512" i="11"/>
  <c r="BE512" i="11"/>
  <c r="BD512" i="11"/>
  <c r="BG512" i="11" s="1"/>
  <c r="BC512" i="11"/>
  <c r="BF512" i="11" s="1"/>
  <c r="BB512" i="11"/>
  <c r="BK511" i="11"/>
  <c r="BE511" i="11"/>
  <c r="BD511" i="11"/>
  <c r="BG511" i="11" s="1"/>
  <c r="BC511" i="11"/>
  <c r="BF511" i="11" s="1"/>
  <c r="BB511" i="11"/>
  <c r="BK510" i="11"/>
  <c r="BE510" i="11"/>
  <c r="BD510" i="11"/>
  <c r="BG510" i="11" s="1"/>
  <c r="BC510" i="11"/>
  <c r="BF510" i="11" s="1"/>
  <c r="BB510" i="11"/>
  <c r="BK509" i="11"/>
  <c r="BE509" i="11"/>
  <c r="BD509" i="11"/>
  <c r="BG509" i="11" s="1"/>
  <c r="BC509" i="11"/>
  <c r="BF509" i="11" s="1"/>
  <c r="BB509" i="11"/>
  <c r="BK508" i="11"/>
  <c r="BE508" i="11"/>
  <c r="BD508" i="11"/>
  <c r="BG508" i="11" s="1"/>
  <c r="BC508" i="11"/>
  <c r="BF508" i="11" s="1"/>
  <c r="BB508" i="11"/>
  <c r="BK507" i="11"/>
  <c r="BE507" i="11"/>
  <c r="BD507" i="11"/>
  <c r="BG507" i="11" s="1"/>
  <c r="BC507" i="11"/>
  <c r="BF507" i="11" s="1"/>
  <c r="BB507" i="11"/>
  <c r="BK506" i="11"/>
  <c r="BE506" i="11"/>
  <c r="BD506" i="11"/>
  <c r="BG506" i="11" s="1"/>
  <c r="BC506" i="11"/>
  <c r="BF506" i="11" s="1"/>
  <c r="BB506" i="11"/>
  <c r="BK505" i="11"/>
  <c r="BE505" i="11"/>
  <c r="BD505" i="11"/>
  <c r="BG505" i="11" s="1"/>
  <c r="BC505" i="11"/>
  <c r="BF505" i="11" s="1"/>
  <c r="BB505" i="11"/>
  <c r="BK504" i="11"/>
  <c r="BE504" i="11"/>
  <c r="BD504" i="11"/>
  <c r="BG504" i="11" s="1"/>
  <c r="BC504" i="11"/>
  <c r="BF504" i="11" s="1"/>
  <c r="BB504" i="11"/>
  <c r="BK503" i="11"/>
  <c r="BE503" i="11"/>
  <c r="BD503" i="11"/>
  <c r="BG503" i="11" s="1"/>
  <c r="BC503" i="11"/>
  <c r="BF503" i="11" s="1"/>
  <c r="BB503" i="11"/>
  <c r="BK502" i="11"/>
  <c r="BE502" i="11"/>
  <c r="BD502" i="11"/>
  <c r="BG502" i="11" s="1"/>
  <c r="BC502" i="11"/>
  <c r="BF502" i="11" s="1"/>
  <c r="BB502" i="11"/>
  <c r="BK501" i="11"/>
  <c r="BE501" i="11"/>
  <c r="BD501" i="11"/>
  <c r="BG501" i="11" s="1"/>
  <c r="BC501" i="11"/>
  <c r="BF501" i="11" s="1"/>
  <c r="BB501" i="11"/>
  <c r="BK500" i="11"/>
  <c r="BE500" i="11"/>
  <c r="BD500" i="11"/>
  <c r="BG500" i="11" s="1"/>
  <c r="BC500" i="11"/>
  <c r="BF500" i="11" s="1"/>
  <c r="BB500" i="11"/>
  <c r="BK499" i="11"/>
  <c r="BE499" i="11"/>
  <c r="BD499" i="11"/>
  <c r="BG499" i="11" s="1"/>
  <c r="BC499" i="11"/>
  <c r="BF499" i="11" s="1"/>
  <c r="BB499" i="11"/>
  <c r="BK498" i="11"/>
  <c r="BE498" i="11"/>
  <c r="BD498" i="11"/>
  <c r="BG498" i="11" s="1"/>
  <c r="BC498" i="11"/>
  <c r="BF498" i="11" s="1"/>
  <c r="BB498" i="11"/>
  <c r="BK497" i="11"/>
  <c r="BE497" i="11"/>
  <c r="BD497" i="11"/>
  <c r="BG497" i="11" s="1"/>
  <c r="BC497" i="11"/>
  <c r="BF497" i="11" s="1"/>
  <c r="BB497" i="11"/>
  <c r="BK496" i="11"/>
  <c r="BE496" i="11"/>
  <c r="BD496" i="11"/>
  <c r="BG496" i="11" s="1"/>
  <c r="BC496" i="11"/>
  <c r="BF496" i="11" s="1"/>
  <c r="BB496" i="11"/>
  <c r="BK495" i="11"/>
  <c r="BE495" i="11"/>
  <c r="BD495" i="11"/>
  <c r="BG495" i="11" s="1"/>
  <c r="BC495" i="11"/>
  <c r="BF495" i="11" s="1"/>
  <c r="BB495" i="11"/>
  <c r="BK494" i="11"/>
  <c r="BE494" i="11"/>
  <c r="BD494" i="11"/>
  <c r="BG494" i="11" s="1"/>
  <c r="BC494" i="11"/>
  <c r="BF494" i="11" s="1"/>
  <c r="BB494" i="11"/>
  <c r="BK493" i="11"/>
  <c r="BE493" i="11"/>
  <c r="BD493" i="11"/>
  <c r="BG493" i="11" s="1"/>
  <c r="BC493" i="11"/>
  <c r="BF493" i="11" s="1"/>
  <c r="BB493" i="11"/>
  <c r="BK492" i="11"/>
  <c r="BE492" i="11"/>
  <c r="BD492" i="11"/>
  <c r="BG492" i="11" s="1"/>
  <c r="BC492" i="11"/>
  <c r="BF492" i="11" s="1"/>
  <c r="BB492" i="11"/>
  <c r="BK491" i="11"/>
  <c r="BE491" i="11"/>
  <c r="BD491" i="11"/>
  <c r="BG491" i="11" s="1"/>
  <c r="BC491" i="11"/>
  <c r="BF491" i="11" s="1"/>
  <c r="BB491" i="11"/>
  <c r="BK490" i="11"/>
  <c r="BE490" i="11"/>
  <c r="BD490" i="11"/>
  <c r="BG490" i="11" s="1"/>
  <c r="BC490" i="11"/>
  <c r="BF490" i="11" s="1"/>
  <c r="BB490" i="11"/>
  <c r="BK489" i="11"/>
  <c r="BE489" i="11"/>
  <c r="BD489" i="11"/>
  <c r="BG489" i="11" s="1"/>
  <c r="BC489" i="11"/>
  <c r="BF489" i="11" s="1"/>
  <c r="BB489" i="11"/>
  <c r="BK488" i="11"/>
  <c r="BE488" i="11"/>
  <c r="BD488" i="11"/>
  <c r="BG488" i="11" s="1"/>
  <c r="BC488" i="11"/>
  <c r="BF488" i="11" s="1"/>
  <c r="BB488" i="11"/>
  <c r="BK487" i="11"/>
  <c r="BE487" i="11"/>
  <c r="BD487" i="11"/>
  <c r="BG487" i="11" s="1"/>
  <c r="BC487" i="11"/>
  <c r="BF487" i="11" s="1"/>
  <c r="BB487" i="11"/>
  <c r="BK486" i="11"/>
  <c r="BE486" i="11"/>
  <c r="BD486" i="11"/>
  <c r="BG486" i="11" s="1"/>
  <c r="BC486" i="11"/>
  <c r="BF486" i="11" s="1"/>
  <c r="BB486" i="11"/>
  <c r="BK485" i="11"/>
  <c r="BE485" i="11"/>
  <c r="BD485" i="11"/>
  <c r="BG485" i="11" s="1"/>
  <c r="BC485" i="11"/>
  <c r="BF485" i="11" s="1"/>
  <c r="BB485" i="11"/>
  <c r="BK484" i="11"/>
  <c r="BE484" i="11"/>
  <c r="BD484" i="11"/>
  <c r="BG484" i="11" s="1"/>
  <c r="BC484" i="11"/>
  <c r="BF484" i="11" s="1"/>
  <c r="BB484" i="11"/>
  <c r="BK483" i="11"/>
  <c r="BE483" i="11"/>
  <c r="BD483" i="11"/>
  <c r="BG483" i="11" s="1"/>
  <c r="BC483" i="11"/>
  <c r="BF483" i="11" s="1"/>
  <c r="BB483" i="11"/>
  <c r="BK482" i="11"/>
  <c r="BE482" i="11"/>
  <c r="BD482" i="11"/>
  <c r="BG482" i="11" s="1"/>
  <c r="BC482" i="11"/>
  <c r="BF482" i="11" s="1"/>
  <c r="BB482" i="11"/>
  <c r="BK481" i="11"/>
  <c r="BE481" i="11"/>
  <c r="BD481" i="11"/>
  <c r="BG481" i="11" s="1"/>
  <c r="BC481" i="11"/>
  <c r="BF481" i="11" s="1"/>
  <c r="BB481" i="11"/>
  <c r="BK480" i="11"/>
  <c r="BE480" i="11"/>
  <c r="BD480" i="11"/>
  <c r="BG480" i="11" s="1"/>
  <c r="BC480" i="11"/>
  <c r="BF480" i="11" s="1"/>
  <c r="BB480" i="11"/>
  <c r="BK479" i="11"/>
  <c r="BE479" i="11"/>
  <c r="BD479" i="11"/>
  <c r="BG479" i="11" s="1"/>
  <c r="BC479" i="11"/>
  <c r="BF479" i="11" s="1"/>
  <c r="BB479" i="11"/>
  <c r="BK478" i="11"/>
  <c r="BE478" i="11"/>
  <c r="BD478" i="11"/>
  <c r="BG478" i="11" s="1"/>
  <c r="BC478" i="11"/>
  <c r="BF478" i="11" s="1"/>
  <c r="BB478" i="11"/>
  <c r="BK477" i="11"/>
  <c r="BE477" i="11"/>
  <c r="BD477" i="11"/>
  <c r="BG477" i="11" s="1"/>
  <c r="BC477" i="11"/>
  <c r="BF477" i="11" s="1"/>
  <c r="BB477" i="11"/>
  <c r="BK476" i="11"/>
  <c r="BE476" i="11"/>
  <c r="BD476" i="11"/>
  <c r="BG476" i="11" s="1"/>
  <c r="BC476" i="11"/>
  <c r="BF476" i="11" s="1"/>
  <c r="BB476" i="11"/>
  <c r="BK475" i="11"/>
  <c r="BE475" i="11"/>
  <c r="BD475" i="11"/>
  <c r="BG475" i="11" s="1"/>
  <c r="BC475" i="11"/>
  <c r="BF475" i="11" s="1"/>
  <c r="BB475" i="11"/>
  <c r="BK474" i="11"/>
  <c r="BE474" i="11"/>
  <c r="BD474" i="11"/>
  <c r="BG474" i="11" s="1"/>
  <c r="BC474" i="11"/>
  <c r="BF474" i="11" s="1"/>
  <c r="BB474" i="11"/>
  <c r="BK473" i="11"/>
  <c r="BE473" i="11"/>
  <c r="BD473" i="11"/>
  <c r="BG473" i="11" s="1"/>
  <c r="BC473" i="11"/>
  <c r="BF473" i="11" s="1"/>
  <c r="BB473" i="11"/>
  <c r="BK472" i="11"/>
  <c r="BE472" i="11"/>
  <c r="BD472" i="11"/>
  <c r="BG472" i="11" s="1"/>
  <c r="BC472" i="11"/>
  <c r="BF472" i="11" s="1"/>
  <c r="BB472" i="11"/>
  <c r="BK471" i="11"/>
  <c r="BE471" i="11"/>
  <c r="BD471" i="11"/>
  <c r="BG471" i="11" s="1"/>
  <c r="BC471" i="11"/>
  <c r="BF471" i="11" s="1"/>
  <c r="BB471" i="11"/>
  <c r="BK470" i="11"/>
  <c r="BE470" i="11"/>
  <c r="BD470" i="11"/>
  <c r="BG470" i="11" s="1"/>
  <c r="BC470" i="11"/>
  <c r="BF470" i="11" s="1"/>
  <c r="BB470" i="11"/>
  <c r="BK469" i="11"/>
  <c r="BE469" i="11"/>
  <c r="BD469" i="11"/>
  <c r="BG469" i="11" s="1"/>
  <c r="BC469" i="11"/>
  <c r="BF469" i="11" s="1"/>
  <c r="BB469" i="11"/>
  <c r="BK468" i="11"/>
  <c r="BE468" i="11"/>
  <c r="BD468" i="11"/>
  <c r="BG468" i="11" s="1"/>
  <c r="BC468" i="11"/>
  <c r="BF468" i="11" s="1"/>
  <c r="BB468" i="11"/>
  <c r="BK467" i="11"/>
  <c r="BE467" i="11"/>
  <c r="BD467" i="11"/>
  <c r="BG467" i="11" s="1"/>
  <c r="BC467" i="11"/>
  <c r="BF467" i="11" s="1"/>
  <c r="BB467" i="11"/>
  <c r="BK466" i="11"/>
  <c r="BE466" i="11"/>
  <c r="BD466" i="11"/>
  <c r="BG466" i="11" s="1"/>
  <c r="BC466" i="11"/>
  <c r="BF466" i="11" s="1"/>
  <c r="BB466" i="11"/>
  <c r="BK465" i="11"/>
  <c r="BE465" i="11"/>
  <c r="BD465" i="11"/>
  <c r="BG465" i="11" s="1"/>
  <c r="BC465" i="11"/>
  <c r="BF465" i="11" s="1"/>
  <c r="BB465" i="11"/>
  <c r="BK464" i="11"/>
  <c r="BE464" i="11"/>
  <c r="BD464" i="11"/>
  <c r="BG464" i="11" s="1"/>
  <c r="BC464" i="11"/>
  <c r="BF464" i="11" s="1"/>
  <c r="BB464" i="11"/>
  <c r="BK463" i="11"/>
  <c r="BE463" i="11"/>
  <c r="BD463" i="11"/>
  <c r="BG463" i="11" s="1"/>
  <c r="BC463" i="11"/>
  <c r="BF463" i="11" s="1"/>
  <c r="BB463" i="11"/>
  <c r="BK462" i="11"/>
  <c r="BE462" i="11"/>
  <c r="BD462" i="11"/>
  <c r="BG462" i="11" s="1"/>
  <c r="BC462" i="11"/>
  <c r="BF462" i="11" s="1"/>
  <c r="BB462" i="11"/>
  <c r="BK461" i="11"/>
  <c r="BE461" i="11"/>
  <c r="BD461" i="11"/>
  <c r="BG461" i="11" s="1"/>
  <c r="BC461" i="11"/>
  <c r="BF461" i="11" s="1"/>
  <c r="BB461" i="11"/>
  <c r="BK460" i="11"/>
  <c r="BE460" i="11"/>
  <c r="BD460" i="11"/>
  <c r="BG460" i="11" s="1"/>
  <c r="BC460" i="11"/>
  <c r="BF460" i="11" s="1"/>
  <c r="BB460" i="11"/>
  <c r="BK459" i="11"/>
  <c r="BE459" i="11"/>
  <c r="BD459" i="11"/>
  <c r="BG459" i="11" s="1"/>
  <c r="BC459" i="11"/>
  <c r="BF459" i="11" s="1"/>
  <c r="BB459" i="11"/>
  <c r="BK458" i="11"/>
  <c r="BE458" i="11"/>
  <c r="BD458" i="11"/>
  <c r="BG458" i="11" s="1"/>
  <c r="BC458" i="11"/>
  <c r="BF458" i="11" s="1"/>
  <c r="BB458" i="11"/>
  <c r="BK457" i="11"/>
  <c r="BE457" i="11"/>
  <c r="BD457" i="11"/>
  <c r="BG457" i="11" s="1"/>
  <c r="BC457" i="11"/>
  <c r="BF457" i="11" s="1"/>
  <c r="BB457" i="11"/>
  <c r="BK456" i="11"/>
  <c r="BE456" i="11"/>
  <c r="BD456" i="11"/>
  <c r="BG456" i="11" s="1"/>
  <c r="BC456" i="11"/>
  <c r="BF456" i="11" s="1"/>
  <c r="BB456" i="11"/>
  <c r="BK455" i="11"/>
  <c r="BE455" i="11"/>
  <c r="BD455" i="11"/>
  <c r="BG455" i="11" s="1"/>
  <c r="BC455" i="11"/>
  <c r="BF455" i="11" s="1"/>
  <c r="BB455" i="11"/>
  <c r="BK454" i="11"/>
  <c r="BE454" i="11"/>
  <c r="BD454" i="11"/>
  <c r="BG454" i="11" s="1"/>
  <c r="BC454" i="11"/>
  <c r="BF454" i="11" s="1"/>
  <c r="BB454" i="11"/>
  <c r="BK453" i="11"/>
  <c r="BE453" i="11"/>
  <c r="BD453" i="11"/>
  <c r="BG453" i="11" s="1"/>
  <c r="BC453" i="11"/>
  <c r="BF453" i="11" s="1"/>
  <c r="BB453" i="11"/>
  <c r="BK452" i="11"/>
  <c r="BE452" i="11"/>
  <c r="BD452" i="11"/>
  <c r="BG452" i="11" s="1"/>
  <c r="BC452" i="11"/>
  <c r="BF452" i="11" s="1"/>
  <c r="BB452" i="11"/>
  <c r="BK451" i="11"/>
  <c r="BE451" i="11"/>
  <c r="BD451" i="11"/>
  <c r="BG451" i="11" s="1"/>
  <c r="BC451" i="11"/>
  <c r="BF451" i="11" s="1"/>
  <c r="BB451" i="11"/>
  <c r="BK450" i="11"/>
  <c r="BE450" i="11"/>
  <c r="BD450" i="11"/>
  <c r="BG450" i="11" s="1"/>
  <c r="BC450" i="11"/>
  <c r="BF450" i="11" s="1"/>
  <c r="BB450" i="11"/>
  <c r="BK449" i="11"/>
  <c r="BE449" i="11"/>
  <c r="BD449" i="11"/>
  <c r="BG449" i="11" s="1"/>
  <c r="BC449" i="11"/>
  <c r="BF449" i="11" s="1"/>
  <c r="BB449" i="11"/>
  <c r="BK448" i="11"/>
  <c r="BE448" i="11"/>
  <c r="BD448" i="11"/>
  <c r="BG448" i="11" s="1"/>
  <c r="BC448" i="11"/>
  <c r="BF448" i="11" s="1"/>
  <c r="BB448" i="11"/>
  <c r="BK447" i="11"/>
  <c r="BE447" i="11"/>
  <c r="BD447" i="11"/>
  <c r="BG447" i="11" s="1"/>
  <c r="BC447" i="11"/>
  <c r="BF447" i="11" s="1"/>
  <c r="BB447" i="11"/>
  <c r="BK446" i="11"/>
  <c r="BE446" i="11"/>
  <c r="BD446" i="11"/>
  <c r="BG446" i="11" s="1"/>
  <c r="BC446" i="11"/>
  <c r="BF446" i="11" s="1"/>
  <c r="BB446" i="11"/>
  <c r="BK445" i="11"/>
  <c r="BE445" i="11"/>
  <c r="BD445" i="11"/>
  <c r="BG445" i="11" s="1"/>
  <c r="BC445" i="11"/>
  <c r="BF445" i="11" s="1"/>
  <c r="BB445" i="11"/>
  <c r="BK444" i="11"/>
  <c r="BE444" i="11"/>
  <c r="BD444" i="11"/>
  <c r="BG444" i="11" s="1"/>
  <c r="BC444" i="11"/>
  <c r="BF444" i="11" s="1"/>
  <c r="BB444" i="11"/>
  <c r="BK443" i="11"/>
  <c r="BE443" i="11"/>
  <c r="BD443" i="11"/>
  <c r="BG443" i="11" s="1"/>
  <c r="BC443" i="11"/>
  <c r="BF443" i="11" s="1"/>
  <c r="BB443" i="11"/>
  <c r="BK442" i="11"/>
  <c r="BE442" i="11"/>
  <c r="BD442" i="11"/>
  <c r="BG442" i="11" s="1"/>
  <c r="BC442" i="11"/>
  <c r="BF442" i="11" s="1"/>
  <c r="BB442" i="11"/>
  <c r="BK441" i="11"/>
  <c r="BE441" i="11"/>
  <c r="BD441" i="11"/>
  <c r="BG441" i="11" s="1"/>
  <c r="BC441" i="11"/>
  <c r="BF441" i="11" s="1"/>
  <c r="BB441" i="11"/>
  <c r="BK440" i="11"/>
  <c r="BE440" i="11"/>
  <c r="BD440" i="11"/>
  <c r="BG440" i="11" s="1"/>
  <c r="BC440" i="11"/>
  <c r="BF440" i="11" s="1"/>
  <c r="BB440" i="11"/>
  <c r="BK439" i="11"/>
  <c r="BE439" i="11"/>
  <c r="BD439" i="11"/>
  <c r="BG439" i="11" s="1"/>
  <c r="BC439" i="11"/>
  <c r="BF439" i="11" s="1"/>
  <c r="BB439" i="11"/>
  <c r="BK438" i="11"/>
  <c r="BE438" i="11"/>
  <c r="BD438" i="11"/>
  <c r="BG438" i="11" s="1"/>
  <c r="BC438" i="11"/>
  <c r="BF438" i="11" s="1"/>
  <c r="BB438" i="11"/>
  <c r="BK437" i="11"/>
  <c r="BE437" i="11"/>
  <c r="BD437" i="11"/>
  <c r="BG437" i="11" s="1"/>
  <c r="BC437" i="11"/>
  <c r="BF437" i="11" s="1"/>
  <c r="BB437" i="11"/>
  <c r="BK436" i="11"/>
  <c r="BE436" i="11"/>
  <c r="BD436" i="11"/>
  <c r="BG436" i="11" s="1"/>
  <c r="BC436" i="11"/>
  <c r="BF436" i="11" s="1"/>
  <c r="BB436" i="11"/>
  <c r="BK435" i="11"/>
  <c r="BE435" i="11"/>
  <c r="BD435" i="11"/>
  <c r="BG435" i="11" s="1"/>
  <c r="BC435" i="11"/>
  <c r="BF435" i="11" s="1"/>
  <c r="BB435" i="11"/>
  <c r="BK434" i="11"/>
  <c r="BE434" i="11"/>
  <c r="BD434" i="11"/>
  <c r="BG434" i="11" s="1"/>
  <c r="BC434" i="11"/>
  <c r="BF434" i="11" s="1"/>
  <c r="BB434" i="11"/>
  <c r="BK433" i="11"/>
  <c r="BE433" i="11"/>
  <c r="BD433" i="11"/>
  <c r="BG433" i="11" s="1"/>
  <c r="BC433" i="11"/>
  <c r="BF433" i="11" s="1"/>
  <c r="BB433" i="11"/>
  <c r="BK432" i="11"/>
  <c r="BE432" i="11"/>
  <c r="BD432" i="11"/>
  <c r="BG432" i="11" s="1"/>
  <c r="BC432" i="11"/>
  <c r="BF432" i="11" s="1"/>
  <c r="BB432" i="11"/>
  <c r="BK431" i="11"/>
  <c r="BE431" i="11"/>
  <c r="BD431" i="11"/>
  <c r="BG431" i="11" s="1"/>
  <c r="BC431" i="11"/>
  <c r="BF431" i="11" s="1"/>
  <c r="BB431" i="11"/>
  <c r="BK430" i="11"/>
  <c r="BE430" i="11"/>
  <c r="BD430" i="11"/>
  <c r="BG430" i="11" s="1"/>
  <c r="BC430" i="11"/>
  <c r="BF430" i="11" s="1"/>
  <c r="BB430" i="11"/>
  <c r="BK429" i="11"/>
  <c r="BE429" i="11"/>
  <c r="BD429" i="11"/>
  <c r="BG429" i="11" s="1"/>
  <c r="BC429" i="11"/>
  <c r="BF429" i="11" s="1"/>
  <c r="BB429" i="11"/>
  <c r="BK428" i="11"/>
  <c r="BE428" i="11"/>
  <c r="BD428" i="11"/>
  <c r="BG428" i="11" s="1"/>
  <c r="BC428" i="11"/>
  <c r="BF428" i="11" s="1"/>
  <c r="BB428" i="11"/>
  <c r="BK427" i="11"/>
  <c r="BE427" i="11"/>
  <c r="BD427" i="11"/>
  <c r="BG427" i="11" s="1"/>
  <c r="BC427" i="11"/>
  <c r="BF427" i="11" s="1"/>
  <c r="BB427" i="11"/>
  <c r="BK426" i="11"/>
  <c r="BE426" i="11"/>
  <c r="BD426" i="11"/>
  <c r="BG426" i="11" s="1"/>
  <c r="BC426" i="11"/>
  <c r="BF426" i="11" s="1"/>
  <c r="BB426" i="11"/>
  <c r="BK425" i="11"/>
  <c r="BE425" i="11"/>
  <c r="BD425" i="11"/>
  <c r="BG425" i="11" s="1"/>
  <c r="BC425" i="11"/>
  <c r="BF425" i="11" s="1"/>
  <c r="BB425" i="11"/>
  <c r="BK424" i="11"/>
  <c r="BE424" i="11"/>
  <c r="BD424" i="11"/>
  <c r="BG424" i="11" s="1"/>
  <c r="BC424" i="11"/>
  <c r="BF424" i="11" s="1"/>
  <c r="BB424" i="11"/>
  <c r="BK423" i="11"/>
  <c r="BE423" i="11"/>
  <c r="BD423" i="11"/>
  <c r="BG423" i="11" s="1"/>
  <c r="BC423" i="11"/>
  <c r="BF423" i="11" s="1"/>
  <c r="BB423" i="11"/>
  <c r="BK422" i="11"/>
  <c r="BE422" i="11"/>
  <c r="BD422" i="11"/>
  <c r="BG422" i="11" s="1"/>
  <c r="BC422" i="11"/>
  <c r="BF422" i="11" s="1"/>
  <c r="BB422" i="11"/>
  <c r="BK421" i="11"/>
  <c r="BE421" i="11"/>
  <c r="BD421" i="11"/>
  <c r="BG421" i="11" s="1"/>
  <c r="BC421" i="11"/>
  <c r="BF421" i="11" s="1"/>
  <c r="BB421" i="11"/>
  <c r="BK420" i="11"/>
  <c r="BE420" i="11"/>
  <c r="BD420" i="11"/>
  <c r="BG420" i="11" s="1"/>
  <c r="BC420" i="11"/>
  <c r="BF420" i="11" s="1"/>
  <c r="BB420" i="11"/>
  <c r="BK419" i="11"/>
  <c r="BE419" i="11"/>
  <c r="BD419" i="11"/>
  <c r="BG419" i="11" s="1"/>
  <c r="BC419" i="11"/>
  <c r="BF419" i="11" s="1"/>
  <c r="BB419" i="11"/>
  <c r="BK418" i="11"/>
  <c r="BE418" i="11"/>
  <c r="BD418" i="11"/>
  <c r="BG418" i="11" s="1"/>
  <c r="BC418" i="11"/>
  <c r="BF418" i="11" s="1"/>
  <c r="BB418" i="11"/>
  <c r="BK417" i="11"/>
  <c r="BE417" i="11"/>
  <c r="BD417" i="11"/>
  <c r="BG417" i="11" s="1"/>
  <c r="BC417" i="11"/>
  <c r="BF417" i="11" s="1"/>
  <c r="BB417" i="11"/>
  <c r="BK416" i="11"/>
  <c r="BE416" i="11"/>
  <c r="BD416" i="11"/>
  <c r="BG416" i="11" s="1"/>
  <c r="BC416" i="11"/>
  <c r="BF416" i="11" s="1"/>
  <c r="BB416" i="11"/>
  <c r="BK415" i="11"/>
  <c r="BE415" i="11"/>
  <c r="BD415" i="11"/>
  <c r="BG415" i="11" s="1"/>
  <c r="BC415" i="11"/>
  <c r="BF415" i="11" s="1"/>
  <c r="BB415" i="11"/>
  <c r="BK414" i="11"/>
  <c r="BE414" i="11"/>
  <c r="BD414" i="11"/>
  <c r="BG414" i="11" s="1"/>
  <c r="BC414" i="11"/>
  <c r="BF414" i="11" s="1"/>
  <c r="BB414" i="11"/>
  <c r="BK413" i="11"/>
  <c r="BE413" i="11"/>
  <c r="BD413" i="11"/>
  <c r="BG413" i="11" s="1"/>
  <c r="BC413" i="11"/>
  <c r="BF413" i="11" s="1"/>
  <c r="BB413" i="11"/>
  <c r="BK412" i="11"/>
  <c r="BE412" i="11"/>
  <c r="BD412" i="11"/>
  <c r="BG412" i="11" s="1"/>
  <c r="BC412" i="11"/>
  <c r="BF412" i="11" s="1"/>
  <c r="BB412" i="11"/>
  <c r="BK411" i="11"/>
  <c r="BE411" i="11"/>
  <c r="BD411" i="11"/>
  <c r="BG411" i="11" s="1"/>
  <c r="BC411" i="11"/>
  <c r="BF411" i="11" s="1"/>
  <c r="BB411" i="11"/>
  <c r="BK410" i="11"/>
  <c r="BE410" i="11"/>
  <c r="BD410" i="11"/>
  <c r="BG410" i="11" s="1"/>
  <c r="BC410" i="11"/>
  <c r="BF410" i="11" s="1"/>
  <c r="BB410" i="11"/>
  <c r="BK409" i="11"/>
  <c r="BE409" i="11"/>
  <c r="BD409" i="11"/>
  <c r="BG409" i="11" s="1"/>
  <c r="BC409" i="11"/>
  <c r="BF409" i="11" s="1"/>
  <c r="BB409" i="11"/>
  <c r="BK408" i="11"/>
  <c r="BE408" i="11"/>
  <c r="BD408" i="11"/>
  <c r="BG408" i="11" s="1"/>
  <c r="BC408" i="11"/>
  <c r="BF408" i="11" s="1"/>
  <c r="BB408" i="11"/>
  <c r="BK407" i="11"/>
  <c r="BE407" i="11"/>
  <c r="BD407" i="11"/>
  <c r="BG407" i="11" s="1"/>
  <c r="BC407" i="11"/>
  <c r="BF407" i="11" s="1"/>
  <c r="BB407" i="11"/>
  <c r="BK406" i="11"/>
  <c r="BE406" i="11"/>
  <c r="BD406" i="11"/>
  <c r="BG406" i="11" s="1"/>
  <c r="BC406" i="11"/>
  <c r="BF406" i="11" s="1"/>
  <c r="BB406" i="11"/>
  <c r="BK405" i="11"/>
  <c r="BE405" i="11"/>
  <c r="BD405" i="11"/>
  <c r="BG405" i="11" s="1"/>
  <c r="BC405" i="11"/>
  <c r="BF405" i="11" s="1"/>
  <c r="BB405" i="11"/>
  <c r="BK404" i="11"/>
  <c r="BE404" i="11"/>
  <c r="BD404" i="11"/>
  <c r="BG404" i="11" s="1"/>
  <c r="BC404" i="11"/>
  <c r="BF404" i="11" s="1"/>
  <c r="BB404" i="11"/>
  <c r="BK403" i="11"/>
  <c r="BE403" i="11"/>
  <c r="BD403" i="11"/>
  <c r="BG403" i="11" s="1"/>
  <c r="BC403" i="11"/>
  <c r="BF403" i="11" s="1"/>
  <c r="BB403" i="11"/>
  <c r="BK402" i="11"/>
  <c r="BE402" i="11"/>
  <c r="BD402" i="11"/>
  <c r="BG402" i="11" s="1"/>
  <c r="BC402" i="11"/>
  <c r="BF402" i="11" s="1"/>
  <c r="BB402" i="11"/>
  <c r="BK401" i="11"/>
  <c r="BE401" i="11"/>
  <c r="BD401" i="11"/>
  <c r="BG401" i="11" s="1"/>
  <c r="BC401" i="11"/>
  <c r="BF401" i="11" s="1"/>
  <c r="BB401" i="11"/>
  <c r="BK400" i="11"/>
  <c r="BE400" i="11"/>
  <c r="BD400" i="11"/>
  <c r="BG400" i="11" s="1"/>
  <c r="BC400" i="11"/>
  <c r="BF400" i="11" s="1"/>
  <c r="BB400" i="11"/>
  <c r="BK399" i="11"/>
  <c r="BE399" i="11"/>
  <c r="BD399" i="11"/>
  <c r="BG399" i="11" s="1"/>
  <c r="BC399" i="11"/>
  <c r="BF399" i="11" s="1"/>
  <c r="BB399" i="11"/>
  <c r="BK398" i="11"/>
  <c r="BE398" i="11"/>
  <c r="BD398" i="11"/>
  <c r="BG398" i="11" s="1"/>
  <c r="BC398" i="11"/>
  <c r="BF398" i="11" s="1"/>
  <c r="BB398" i="11"/>
  <c r="BK397" i="11"/>
  <c r="BE397" i="11"/>
  <c r="BD397" i="11"/>
  <c r="BG397" i="11" s="1"/>
  <c r="BC397" i="11"/>
  <c r="BF397" i="11" s="1"/>
  <c r="BB397" i="11"/>
  <c r="BK396" i="11"/>
  <c r="BE396" i="11"/>
  <c r="BD396" i="11"/>
  <c r="BG396" i="11" s="1"/>
  <c r="BC396" i="11"/>
  <c r="BF396" i="11" s="1"/>
  <c r="BB396" i="11"/>
  <c r="BK395" i="11"/>
  <c r="BE395" i="11"/>
  <c r="BD395" i="11"/>
  <c r="BG395" i="11" s="1"/>
  <c r="BC395" i="11"/>
  <c r="BF395" i="11" s="1"/>
  <c r="BB395" i="11"/>
  <c r="BK394" i="11"/>
  <c r="BE394" i="11"/>
  <c r="BD394" i="11"/>
  <c r="BG394" i="11" s="1"/>
  <c r="BC394" i="11"/>
  <c r="BF394" i="11" s="1"/>
  <c r="BB394" i="11"/>
  <c r="BK393" i="11"/>
  <c r="BE393" i="11"/>
  <c r="BD393" i="11"/>
  <c r="BG393" i="11" s="1"/>
  <c r="BC393" i="11"/>
  <c r="BF393" i="11" s="1"/>
  <c r="BB393" i="11"/>
  <c r="BK392" i="11"/>
  <c r="BE392" i="11"/>
  <c r="BD392" i="11"/>
  <c r="BG392" i="11" s="1"/>
  <c r="BC392" i="11"/>
  <c r="BF392" i="11" s="1"/>
  <c r="BB392" i="11"/>
  <c r="BK391" i="11"/>
  <c r="BE391" i="11"/>
  <c r="BD391" i="11"/>
  <c r="BG391" i="11" s="1"/>
  <c r="BC391" i="11"/>
  <c r="BF391" i="11" s="1"/>
  <c r="BB391" i="11"/>
  <c r="BK390" i="11"/>
  <c r="BE390" i="11"/>
  <c r="BD390" i="11"/>
  <c r="BG390" i="11" s="1"/>
  <c r="BC390" i="11"/>
  <c r="BF390" i="11" s="1"/>
  <c r="BB390" i="11"/>
  <c r="BK389" i="11"/>
  <c r="BE389" i="11"/>
  <c r="BD389" i="11"/>
  <c r="BG389" i="11" s="1"/>
  <c r="BC389" i="11"/>
  <c r="BF389" i="11" s="1"/>
  <c r="BB389" i="11"/>
  <c r="BK388" i="11"/>
  <c r="BE388" i="11"/>
  <c r="BD388" i="11"/>
  <c r="BG388" i="11" s="1"/>
  <c r="BC388" i="11"/>
  <c r="BF388" i="11" s="1"/>
  <c r="BB388" i="11"/>
  <c r="BK387" i="11"/>
  <c r="BE387" i="11"/>
  <c r="BD387" i="11"/>
  <c r="BG387" i="11" s="1"/>
  <c r="BC387" i="11"/>
  <c r="BF387" i="11" s="1"/>
  <c r="BB387" i="11"/>
  <c r="BK386" i="11"/>
  <c r="BE386" i="11"/>
  <c r="BD386" i="11"/>
  <c r="BG386" i="11" s="1"/>
  <c r="BC386" i="11"/>
  <c r="BF386" i="11" s="1"/>
  <c r="BB386" i="11"/>
  <c r="BK385" i="11"/>
  <c r="BE385" i="11"/>
  <c r="BD385" i="11"/>
  <c r="BG385" i="11" s="1"/>
  <c r="BC385" i="11"/>
  <c r="BF385" i="11" s="1"/>
  <c r="BB385" i="11"/>
  <c r="BK384" i="11"/>
  <c r="BE384" i="11"/>
  <c r="BD384" i="11"/>
  <c r="BG384" i="11" s="1"/>
  <c r="BC384" i="11"/>
  <c r="BF384" i="11" s="1"/>
  <c r="BB384" i="11"/>
  <c r="BK383" i="11"/>
  <c r="BE383" i="11"/>
  <c r="BD383" i="11"/>
  <c r="BG383" i="11" s="1"/>
  <c r="BC383" i="11"/>
  <c r="BF383" i="11" s="1"/>
  <c r="BB383" i="11"/>
  <c r="BK382" i="11"/>
  <c r="BE382" i="11"/>
  <c r="BD382" i="11"/>
  <c r="BG382" i="11" s="1"/>
  <c r="BC382" i="11"/>
  <c r="BF382" i="11" s="1"/>
  <c r="BB382" i="11"/>
  <c r="BK381" i="11"/>
  <c r="BE381" i="11"/>
  <c r="BD381" i="11"/>
  <c r="BG381" i="11" s="1"/>
  <c r="BC381" i="11"/>
  <c r="BF381" i="11" s="1"/>
  <c r="BB381" i="11"/>
  <c r="BK380" i="11"/>
  <c r="BE380" i="11"/>
  <c r="BD380" i="11"/>
  <c r="BG380" i="11" s="1"/>
  <c r="BC380" i="11"/>
  <c r="BF380" i="11" s="1"/>
  <c r="BB380" i="11"/>
  <c r="BK379" i="11"/>
  <c r="BE379" i="11"/>
  <c r="BD379" i="11"/>
  <c r="BG379" i="11" s="1"/>
  <c r="BC379" i="11"/>
  <c r="BF379" i="11" s="1"/>
  <c r="BB379" i="11"/>
  <c r="BK378" i="11"/>
  <c r="BE378" i="11"/>
  <c r="BD378" i="11"/>
  <c r="BG378" i="11" s="1"/>
  <c r="BC378" i="11"/>
  <c r="BF378" i="11" s="1"/>
  <c r="BB378" i="11"/>
  <c r="BK377" i="11"/>
  <c r="BE377" i="11"/>
  <c r="BD377" i="11"/>
  <c r="BG377" i="11" s="1"/>
  <c r="BC377" i="11"/>
  <c r="BF377" i="11" s="1"/>
  <c r="BB377" i="11"/>
  <c r="BK376" i="11"/>
  <c r="BE376" i="11"/>
  <c r="BD376" i="11"/>
  <c r="BG376" i="11" s="1"/>
  <c r="BC376" i="11"/>
  <c r="BF376" i="11" s="1"/>
  <c r="BB376" i="11"/>
  <c r="BK375" i="11"/>
  <c r="BE375" i="11"/>
  <c r="BD375" i="11"/>
  <c r="BG375" i="11" s="1"/>
  <c r="BC375" i="11"/>
  <c r="BF375" i="11" s="1"/>
  <c r="BB375" i="11"/>
  <c r="BK374" i="11"/>
  <c r="BE374" i="11"/>
  <c r="BD374" i="11"/>
  <c r="BG374" i="11" s="1"/>
  <c r="BC374" i="11"/>
  <c r="BF374" i="11" s="1"/>
  <c r="BB374" i="11"/>
  <c r="BK373" i="11"/>
  <c r="BE373" i="11"/>
  <c r="BD373" i="11"/>
  <c r="BG373" i="11" s="1"/>
  <c r="BC373" i="11"/>
  <c r="BF373" i="11" s="1"/>
  <c r="BB373" i="11"/>
  <c r="BK372" i="11"/>
  <c r="BE372" i="11"/>
  <c r="BD372" i="11"/>
  <c r="BG372" i="11" s="1"/>
  <c r="BC372" i="11"/>
  <c r="BF372" i="11" s="1"/>
  <c r="BB372" i="11"/>
  <c r="BK371" i="11"/>
  <c r="BE371" i="11"/>
  <c r="BD371" i="11"/>
  <c r="BG371" i="11" s="1"/>
  <c r="BC371" i="11"/>
  <c r="BF371" i="11" s="1"/>
  <c r="BB371" i="11"/>
  <c r="BK370" i="11"/>
  <c r="BE370" i="11"/>
  <c r="BD370" i="11"/>
  <c r="BG370" i="11" s="1"/>
  <c r="BC370" i="11"/>
  <c r="BF370" i="11" s="1"/>
  <c r="BB370" i="11"/>
  <c r="BK369" i="11"/>
  <c r="BE369" i="11"/>
  <c r="BD369" i="11"/>
  <c r="BG369" i="11" s="1"/>
  <c r="BC369" i="11"/>
  <c r="BF369" i="11" s="1"/>
  <c r="BB369" i="11"/>
  <c r="BK368" i="11"/>
  <c r="BE368" i="11"/>
  <c r="BD368" i="11"/>
  <c r="BG368" i="11" s="1"/>
  <c r="BC368" i="11"/>
  <c r="BF368" i="11" s="1"/>
  <c r="BB368" i="11"/>
  <c r="BK367" i="11"/>
  <c r="BE367" i="11"/>
  <c r="BD367" i="11"/>
  <c r="BG367" i="11" s="1"/>
  <c r="BC367" i="11"/>
  <c r="BF367" i="11" s="1"/>
  <c r="BB367" i="11"/>
  <c r="BK366" i="11"/>
  <c r="BE366" i="11"/>
  <c r="BD366" i="11"/>
  <c r="BG366" i="11" s="1"/>
  <c r="BC366" i="11"/>
  <c r="BF366" i="11" s="1"/>
  <c r="BB366" i="11"/>
  <c r="BK365" i="11"/>
  <c r="BE365" i="11"/>
  <c r="BD365" i="11"/>
  <c r="BG365" i="11" s="1"/>
  <c r="BC365" i="11"/>
  <c r="BF365" i="11" s="1"/>
  <c r="BB365" i="11"/>
  <c r="BK364" i="11"/>
  <c r="BE364" i="11"/>
  <c r="BD364" i="11"/>
  <c r="BG364" i="11" s="1"/>
  <c r="BC364" i="11"/>
  <c r="BF364" i="11" s="1"/>
  <c r="BB364" i="11"/>
  <c r="BK363" i="11"/>
  <c r="BE363" i="11"/>
  <c r="BD363" i="11"/>
  <c r="BG363" i="11" s="1"/>
  <c r="BC363" i="11"/>
  <c r="BF363" i="11" s="1"/>
  <c r="BB363" i="11"/>
  <c r="BK362" i="11"/>
  <c r="BE362" i="11"/>
  <c r="BD362" i="11"/>
  <c r="BG362" i="11" s="1"/>
  <c r="BC362" i="11"/>
  <c r="BF362" i="11" s="1"/>
  <c r="BB362" i="11"/>
  <c r="BK361" i="11"/>
  <c r="BE361" i="11"/>
  <c r="BD361" i="11"/>
  <c r="BG361" i="11" s="1"/>
  <c r="BC361" i="11"/>
  <c r="BF361" i="11" s="1"/>
  <c r="BB361" i="11"/>
  <c r="BK360" i="11"/>
  <c r="BE360" i="11"/>
  <c r="BD360" i="11"/>
  <c r="BG360" i="11" s="1"/>
  <c r="BC360" i="11"/>
  <c r="BF360" i="11" s="1"/>
  <c r="BB360" i="11"/>
  <c r="BK359" i="11"/>
  <c r="BE359" i="11"/>
  <c r="BD359" i="11"/>
  <c r="BG359" i="11" s="1"/>
  <c r="BC359" i="11"/>
  <c r="BF359" i="11" s="1"/>
  <c r="BB359" i="11"/>
  <c r="BK358" i="11"/>
  <c r="BE358" i="11"/>
  <c r="BD358" i="11"/>
  <c r="BG358" i="11" s="1"/>
  <c r="BC358" i="11"/>
  <c r="BF358" i="11" s="1"/>
  <c r="BB358" i="11"/>
  <c r="BK357" i="11"/>
  <c r="BE357" i="11"/>
  <c r="BD357" i="11"/>
  <c r="BG357" i="11" s="1"/>
  <c r="BC357" i="11"/>
  <c r="BF357" i="11" s="1"/>
  <c r="BB357" i="11"/>
  <c r="BK356" i="11"/>
  <c r="BE356" i="11"/>
  <c r="BD356" i="11"/>
  <c r="BG356" i="11" s="1"/>
  <c r="BC356" i="11"/>
  <c r="BF356" i="11" s="1"/>
  <c r="BB356" i="11"/>
  <c r="BK355" i="11"/>
  <c r="BE355" i="11"/>
  <c r="BD355" i="11"/>
  <c r="BG355" i="11" s="1"/>
  <c r="BC355" i="11"/>
  <c r="BF355" i="11" s="1"/>
  <c r="BB355" i="11"/>
  <c r="BK354" i="11"/>
  <c r="BE354" i="11"/>
  <c r="BD354" i="11"/>
  <c r="BG354" i="11" s="1"/>
  <c r="BC354" i="11"/>
  <c r="BF354" i="11" s="1"/>
  <c r="BB354" i="11"/>
  <c r="BK353" i="11"/>
  <c r="BE353" i="11"/>
  <c r="BD353" i="11"/>
  <c r="BG353" i="11" s="1"/>
  <c r="BC353" i="11"/>
  <c r="BF353" i="11" s="1"/>
  <c r="BB353" i="11"/>
  <c r="BK352" i="11"/>
  <c r="BE352" i="11"/>
  <c r="BD352" i="11"/>
  <c r="BG352" i="11" s="1"/>
  <c r="BC352" i="11"/>
  <c r="BF352" i="11" s="1"/>
  <c r="BB352" i="11"/>
  <c r="BK351" i="11"/>
  <c r="BE351" i="11"/>
  <c r="BD351" i="11"/>
  <c r="BG351" i="11" s="1"/>
  <c r="BC351" i="11"/>
  <c r="BF351" i="11" s="1"/>
  <c r="BB351" i="11"/>
  <c r="BK350" i="11"/>
  <c r="BE350" i="11"/>
  <c r="BD350" i="11"/>
  <c r="BG350" i="11" s="1"/>
  <c r="BC350" i="11"/>
  <c r="BF350" i="11" s="1"/>
  <c r="BB350" i="11"/>
  <c r="BK349" i="11"/>
  <c r="BE349" i="11"/>
  <c r="BD349" i="11"/>
  <c r="BG349" i="11" s="1"/>
  <c r="BC349" i="11"/>
  <c r="BF349" i="11" s="1"/>
  <c r="BB349" i="11"/>
  <c r="BK348" i="11"/>
  <c r="BE348" i="11"/>
  <c r="BD348" i="11"/>
  <c r="BG348" i="11" s="1"/>
  <c r="BC348" i="11"/>
  <c r="BF348" i="11" s="1"/>
  <c r="BB348" i="11"/>
  <c r="BK347" i="11"/>
  <c r="BE347" i="11"/>
  <c r="BD347" i="11"/>
  <c r="BG347" i="11" s="1"/>
  <c r="BC347" i="11"/>
  <c r="BF347" i="11" s="1"/>
  <c r="BB347" i="11"/>
  <c r="BK346" i="11"/>
  <c r="BE346" i="11"/>
  <c r="BD346" i="11"/>
  <c r="BG346" i="11" s="1"/>
  <c r="BC346" i="11"/>
  <c r="BF346" i="11" s="1"/>
  <c r="BB346" i="11"/>
  <c r="BK345" i="11"/>
  <c r="BE345" i="11"/>
  <c r="BD345" i="11"/>
  <c r="BG345" i="11" s="1"/>
  <c r="BC345" i="11"/>
  <c r="BF345" i="11" s="1"/>
  <c r="BB345" i="11"/>
  <c r="BK344" i="11"/>
  <c r="BE344" i="11"/>
  <c r="BD344" i="11"/>
  <c r="BG344" i="11" s="1"/>
  <c r="BC344" i="11"/>
  <c r="BF344" i="11" s="1"/>
  <c r="BB344" i="11"/>
  <c r="BK343" i="11"/>
  <c r="BE343" i="11"/>
  <c r="BD343" i="11"/>
  <c r="BG343" i="11" s="1"/>
  <c r="BC343" i="11"/>
  <c r="BF343" i="11" s="1"/>
  <c r="BB343" i="11"/>
  <c r="BK342" i="11"/>
  <c r="BE342" i="11"/>
  <c r="BD342" i="11"/>
  <c r="BG342" i="11" s="1"/>
  <c r="BC342" i="11"/>
  <c r="BF342" i="11" s="1"/>
  <c r="BB342" i="11"/>
  <c r="BK341" i="11"/>
  <c r="BE341" i="11"/>
  <c r="BD341" i="11"/>
  <c r="BG341" i="11" s="1"/>
  <c r="BC341" i="11"/>
  <c r="BF341" i="11" s="1"/>
  <c r="BB341" i="11"/>
  <c r="BK340" i="11"/>
  <c r="BE340" i="11"/>
  <c r="BD340" i="11"/>
  <c r="BG340" i="11" s="1"/>
  <c r="BC340" i="11"/>
  <c r="BF340" i="11" s="1"/>
  <c r="BB340" i="11"/>
  <c r="BK339" i="11"/>
  <c r="BE339" i="11"/>
  <c r="BD339" i="11"/>
  <c r="BG339" i="11" s="1"/>
  <c r="BC339" i="11"/>
  <c r="BF339" i="11" s="1"/>
  <c r="BB339" i="11"/>
  <c r="BK338" i="11"/>
  <c r="BE338" i="11"/>
  <c r="BD338" i="11"/>
  <c r="BG338" i="11" s="1"/>
  <c r="BC338" i="11"/>
  <c r="BF338" i="11" s="1"/>
  <c r="BB338" i="11"/>
  <c r="BK337" i="11"/>
  <c r="BE337" i="11"/>
  <c r="BD337" i="11"/>
  <c r="BG337" i="11" s="1"/>
  <c r="BC337" i="11"/>
  <c r="BF337" i="11" s="1"/>
  <c r="BB337" i="11"/>
  <c r="BK336" i="11"/>
  <c r="BE336" i="11"/>
  <c r="BD336" i="11"/>
  <c r="BG336" i="11" s="1"/>
  <c r="BC336" i="11"/>
  <c r="BF336" i="11" s="1"/>
  <c r="BB336" i="11"/>
  <c r="BK335" i="11"/>
  <c r="BE335" i="11"/>
  <c r="BD335" i="11"/>
  <c r="BG335" i="11" s="1"/>
  <c r="BC335" i="11"/>
  <c r="BF335" i="11" s="1"/>
  <c r="BB335" i="11"/>
  <c r="BK334" i="11"/>
  <c r="BE334" i="11"/>
  <c r="BD334" i="11"/>
  <c r="BG334" i="11" s="1"/>
  <c r="BC334" i="11"/>
  <c r="BF334" i="11" s="1"/>
  <c r="BB334" i="11"/>
  <c r="BK333" i="11"/>
  <c r="BE333" i="11"/>
  <c r="BD333" i="11"/>
  <c r="BG333" i="11" s="1"/>
  <c r="BC333" i="11"/>
  <c r="BF333" i="11" s="1"/>
  <c r="BB333" i="11"/>
  <c r="BK332" i="11"/>
  <c r="BE332" i="11"/>
  <c r="BD332" i="11"/>
  <c r="BG332" i="11" s="1"/>
  <c r="BC332" i="11"/>
  <c r="BF332" i="11" s="1"/>
  <c r="BB332" i="11"/>
  <c r="BK331" i="11"/>
  <c r="BE331" i="11"/>
  <c r="BD331" i="11"/>
  <c r="BG331" i="11" s="1"/>
  <c r="BC331" i="11"/>
  <c r="BF331" i="11" s="1"/>
  <c r="BB331" i="11"/>
  <c r="BK330" i="11"/>
  <c r="BE330" i="11"/>
  <c r="BD330" i="11"/>
  <c r="BG330" i="11" s="1"/>
  <c r="BC330" i="11"/>
  <c r="BF330" i="11" s="1"/>
  <c r="BB330" i="11"/>
  <c r="BK329" i="11"/>
  <c r="BE329" i="11"/>
  <c r="BD329" i="11"/>
  <c r="BG329" i="11" s="1"/>
  <c r="BC329" i="11"/>
  <c r="BF329" i="11" s="1"/>
  <c r="BB329" i="11"/>
  <c r="BK328" i="11"/>
  <c r="BE328" i="11"/>
  <c r="BD328" i="11"/>
  <c r="BG328" i="11" s="1"/>
  <c r="BC328" i="11"/>
  <c r="BF328" i="11" s="1"/>
  <c r="BB328" i="11"/>
  <c r="BK327" i="11"/>
  <c r="BE327" i="11"/>
  <c r="BD327" i="11"/>
  <c r="BG327" i="11" s="1"/>
  <c r="BC327" i="11"/>
  <c r="BF327" i="11" s="1"/>
  <c r="BB327" i="11"/>
  <c r="BK326" i="11"/>
  <c r="BE326" i="11"/>
  <c r="BD326" i="11"/>
  <c r="BG326" i="11" s="1"/>
  <c r="BC326" i="11"/>
  <c r="BF326" i="11" s="1"/>
  <c r="BB326" i="11"/>
  <c r="BK325" i="11"/>
  <c r="BE325" i="11"/>
  <c r="BD325" i="11"/>
  <c r="BG325" i="11" s="1"/>
  <c r="BC325" i="11"/>
  <c r="BF325" i="11" s="1"/>
  <c r="BB325" i="11"/>
  <c r="BK324" i="11"/>
  <c r="BE324" i="11"/>
  <c r="BD324" i="11"/>
  <c r="BG324" i="11" s="1"/>
  <c r="BC324" i="11"/>
  <c r="BF324" i="11" s="1"/>
  <c r="BB324" i="11"/>
  <c r="BK323" i="11"/>
  <c r="BE323" i="11"/>
  <c r="BD323" i="11"/>
  <c r="BG323" i="11" s="1"/>
  <c r="BC323" i="11"/>
  <c r="BF323" i="11" s="1"/>
  <c r="BB323" i="11"/>
  <c r="BK322" i="11"/>
  <c r="BE322" i="11"/>
  <c r="BD322" i="11"/>
  <c r="BG322" i="11" s="1"/>
  <c r="BC322" i="11"/>
  <c r="BF322" i="11" s="1"/>
  <c r="BB322" i="11"/>
  <c r="BK321" i="11"/>
  <c r="BE321" i="11"/>
  <c r="BD321" i="11"/>
  <c r="BG321" i="11" s="1"/>
  <c r="BC321" i="11"/>
  <c r="BF321" i="11" s="1"/>
  <c r="BB321" i="11"/>
  <c r="BK320" i="11"/>
  <c r="BE320" i="11"/>
  <c r="BD320" i="11"/>
  <c r="BG320" i="11" s="1"/>
  <c r="BC320" i="11"/>
  <c r="BF320" i="11" s="1"/>
  <c r="BB320" i="11"/>
  <c r="BK319" i="11"/>
  <c r="BE319" i="11"/>
  <c r="BD319" i="11"/>
  <c r="BG319" i="11" s="1"/>
  <c r="BC319" i="11"/>
  <c r="BF319" i="11" s="1"/>
  <c r="BB319" i="11"/>
  <c r="BK318" i="11"/>
  <c r="BE318" i="11"/>
  <c r="BD318" i="11"/>
  <c r="BG318" i="11" s="1"/>
  <c r="BC318" i="11"/>
  <c r="BF318" i="11" s="1"/>
  <c r="BB318" i="11"/>
  <c r="BK317" i="11"/>
  <c r="BE317" i="11"/>
  <c r="BD317" i="11"/>
  <c r="BG317" i="11" s="1"/>
  <c r="BC317" i="11"/>
  <c r="BF317" i="11" s="1"/>
  <c r="BB317" i="11"/>
  <c r="BK316" i="11"/>
  <c r="BE316" i="11"/>
  <c r="BD316" i="11"/>
  <c r="BG316" i="11" s="1"/>
  <c r="BC316" i="11"/>
  <c r="BF316" i="11" s="1"/>
  <c r="BB316" i="11"/>
  <c r="BK315" i="11"/>
  <c r="BE315" i="11"/>
  <c r="BD315" i="11"/>
  <c r="BG315" i="11" s="1"/>
  <c r="BC315" i="11"/>
  <c r="BF315" i="11" s="1"/>
  <c r="BB315" i="11"/>
  <c r="BK314" i="11"/>
  <c r="BE314" i="11"/>
  <c r="BD314" i="11"/>
  <c r="BG314" i="11" s="1"/>
  <c r="BC314" i="11"/>
  <c r="BF314" i="11" s="1"/>
  <c r="BB314" i="11"/>
  <c r="BK313" i="11"/>
  <c r="BE313" i="11"/>
  <c r="BD313" i="11"/>
  <c r="BG313" i="11" s="1"/>
  <c r="BC313" i="11"/>
  <c r="BF313" i="11" s="1"/>
  <c r="BB313" i="11"/>
  <c r="BK312" i="11"/>
  <c r="BE312" i="11"/>
  <c r="BD312" i="11"/>
  <c r="BG312" i="11" s="1"/>
  <c r="BC312" i="11"/>
  <c r="BF312" i="11" s="1"/>
  <c r="BB312" i="11"/>
  <c r="BK311" i="11"/>
  <c r="BE311" i="11"/>
  <c r="BD311" i="11"/>
  <c r="BG311" i="11" s="1"/>
  <c r="BC311" i="11"/>
  <c r="BF311" i="11" s="1"/>
  <c r="BB311" i="11"/>
  <c r="BK310" i="11"/>
  <c r="BE310" i="11"/>
  <c r="BD310" i="11"/>
  <c r="BG310" i="11" s="1"/>
  <c r="BC310" i="11"/>
  <c r="BF310" i="11" s="1"/>
  <c r="BB310" i="11"/>
  <c r="BK309" i="11"/>
  <c r="BE309" i="11"/>
  <c r="BD309" i="11"/>
  <c r="BG309" i="11" s="1"/>
  <c r="BC309" i="11"/>
  <c r="BF309" i="11" s="1"/>
  <c r="BB309" i="11"/>
  <c r="BK308" i="11"/>
  <c r="BE308" i="11"/>
  <c r="BD308" i="11"/>
  <c r="BG308" i="11" s="1"/>
  <c r="BC308" i="11"/>
  <c r="BF308" i="11" s="1"/>
  <c r="BB308" i="11"/>
  <c r="BK307" i="11"/>
  <c r="BE307" i="11"/>
  <c r="BD307" i="11"/>
  <c r="BG307" i="11" s="1"/>
  <c r="BC307" i="11"/>
  <c r="BF307" i="11" s="1"/>
  <c r="BB307" i="11"/>
  <c r="BK306" i="11"/>
  <c r="BE306" i="11"/>
  <c r="BD306" i="11"/>
  <c r="BG306" i="11" s="1"/>
  <c r="BC306" i="11"/>
  <c r="BF306" i="11" s="1"/>
  <c r="BB306" i="11"/>
  <c r="BK305" i="11"/>
  <c r="BE305" i="11"/>
  <c r="BD305" i="11"/>
  <c r="BG305" i="11" s="1"/>
  <c r="BC305" i="11"/>
  <c r="BF305" i="11" s="1"/>
  <c r="BB305" i="11"/>
  <c r="BK304" i="11"/>
  <c r="BE304" i="11"/>
  <c r="BD304" i="11"/>
  <c r="BG304" i="11" s="1"/>
  <c r="BC304" i="11"/>
  <c r="BF304" i="11" s="1"/>
  <c r="BB304" i="11"/>
  <c r="BK303" i="11"/>
  <c r="BE303" i="11"/>
  <c r="BD303" i="11"/>
  <c r="BG303" i="11" s="1"/>
  <c r="BC303" i="11"/>
  <c r="BF303" i="11" s="1"/>
  <c r="BB303" i="11"/>
  <c r="BK302" i="11"/>
  <c r="BE302" i="11"/>
  <c r="BD302" i="11"/>
  <c r="BG302" i="11" s="1"/>
  <c r="BC302" i="11"/>
  <c r="BF302" i="11" s="1"/>
  <c r="BB302" i="11"/>
  <c r="BK301" i="11"/>
  <c r="BE301" i="11"/>
  <c r="BD301" i="11"/>
  <c r="BG301" i="11" s="1"/>
  <c r="BC301" i="11"/>
  <c r="BF301" i="11" s="1"/>
  <c r="BB301" i="11"/>
  <c r="BK300" i="11"/>
  <c r="BE300" i="11"/>
  <c r="BD300" i="11"/>
  <c r="BG300" i="11" s="1"/>
  <c r="BC300" i="11"/>
  <c r="BF300" i="11" s="1"/>
  <c r="BB300" i="11"/>
  <c r="BK299" i="11"/>
  <c r="BE299" i="11"/>
  <c r="BD299" i="11"/>
  <c r="BG299" i="11" s="1"/>
  <c r="BC299" i="11"/>
  <c r="BF299" i="11" s="1"/>
  <c r="BB299" i="11"/>
  <c r="BK298" i="11"/>
  <c r="BE298" i="11"/>
  <c r="BD298" i="11"/>
  <c r="BG298" i="11" s="1"/>
  <c r="BC298" i="11"/>
  <c r="BF298" i="11" s="1"/>
  <c r="BB298" i="11"/>
  <c r="BK297" i="11"/>
  <c r="BE297" i="11"/>
  <c r="BD297" i="11"/>
  <c r="BG297" i="11" s="1"/>
  <c r="BC297" i="11"/>
  <c r="BF297" i="11" s="1"/>
  <c r="BB297" i="11"/>
  <c r="BK296" i="11"/>
  <c r="BE296" i="11"/>
  <c r="BD296" i="11"/>
  <c r="BG296" i="11" s="1"/>
  <c r="BC296" i="11"/>
  <c r="BF296" i="11" s="1"/>
  <c r="BB296" i="11"/>
  <c r="BK295" i="11"/>
  <c r="BE295" i="11"/>
  <c r="BD295" i="11"/>
  <c r="BG295" i="11" s="1"/>
  <c r="BC295" i="11"/>
  <c r="BF295" i="11" s="1"/>
  <c r="BB295" i="11"/>
  <c r="BK294" i="11"/>
  <c r="BE294" i="11"/>
  <c r="BD294" i="11"/>
  <c r="BG294" i="11" s="1"/>
  <c r="BC294" i="11"/>
  <c r="BF294" i="11" s="1"/>
  <c r="BB294" i="11"/>
  <c r="BK293" i="11"/>
  <c r="BE293" i="11"/>
  <c r="BD293" i="11"/>
  <c r="BG293" i="11" s="1"/>
  <c r="BC293" i="11"/>
  <c r="BF293" i="11" s="1"/>
  <c r="BB293" i="11"/>
  <c r="BK292" i="11"/>
  <c r="BE292" i="11"/>
  <c r="BD292" i="11"/>
  <c r="BG292" i="11" s="1"/>
  <c r="BC292" i="11"/>
  <c r="BF292" i="11" s="1"/>
  <c r="BB292" i="11"/>
  <c r="BK291" i="11"/>
  <c r="BE291" i="11"/>
  <c r="BD291" i="11"/>
  <c r="BG291" i="11" s="1"/>
  <c r="BC291" i="11"/>
  <c r="BF291" i="11" s="1"/>
  <c r="BB291" i="11"/>
  <c r="BK290" i="11"/>
  <c r="BE290" i="11"/>
  <c r="BD290" i="11"/>
  <c r="BG290" i="11" s="1"/>
  <c r="BC290" i="11"/>
  <c r="BF290" i="11" s="1"/>
  <c r="BB290" i="11"/>
  <c r="BK289" i="11"/>
  <c r="BE289" i="11"/>
  <c r="BD289" i="11"/>
  <c r="BG289" i="11" s="1"/>
  <c r="BC289" i="11"/>
  <c r="BF289" i="11" s="1"/>
  <c r="BB289" i="11"/>
  <c r="BK288" i="11"/>
  <c r="BE288" i="11"/>
  <c r="BD288" i="11"/>
  <c r="BG288" i="11" s="1"/>
  <c r="BC288" i="11"/>
  <c r="BF288" i="11" s="1"/>
  <c r="BB288" i="11"/>
  <c r="BK287" i="11"/>
  <c r="BE287" i="11"/>
  <c r="BD287" i="11"/>
  <c r="BG287" i="11" s="1"/>
  <c r="BC287" i="11"/>
  <c r="BF287" i="11" s="1"/>
  <c r="BB287" i="11"/>
  <c r="BK286" i="11"/>
  <c r="BE286" i="11"/>
  <c r="BD286" i="11"/>
  <c r="BG286" i="11" s="1"/>
  <c r="BC286" i="11"/>
  <c r="BF286" i="11" s="1"/>
  <c r="BB286" i="11"/>
  <c r="BK285" i="11"/>
  <c r="BE285" i="11"/>
  <c r="BD285" i="11"/>
  <c r="BG285" i="11" s="1"/>
  <c r="BC285" i="11"/>
  <c r="BF285" i="11" s="1"/>
  <c r="BB285" i="11"/>
  <c r="BK284" i="11"/>
  <c r="BE284" i="11"/>
  <c r="BD284" i="11"/>
  <c r="BG284" i="11" s="1"/>
  <c r="BC284" i="11"/>
  <c r="BF284" i="11" s="1"/>
  <c r="BB284" i="11"/>
  <c r="BK283" i="11"/>
  <c r="BE283" i="11"/>
  <c r="BD283" i="11"/>
  <c r="BG283" i="11" s="1"/>
  <c r="BC283" i="11"/>
  <c r="BF283" i="11" s="1"/>
  <c r="BB283" i="11"/>
  <c r="BK282" i="11"/>
  <c r="BE282" i="11"/>
  <c r="BD282" i="11"/>
  <c r="BG282" i="11" s="1"/>
  <c r="BC282" i="11"/>
  <c r="BF282" i="11" s="1"/>
  <c r="BB282" i="11"/>
  <c r="BK281" i="11"/>
  <c r="BE281" i="11"/>
  <c r="BD281" i="11"/>
  <c r="BG281" i="11" s="1"/>
  <c r="BC281" i="11"/>
  <c r="BF281" i="11" s="1"/>
  <c r="BB281" i="11"/>
  <c r="BK280" i="11"/>
  <c r="BE280" i="11"/>
  <c r="BD280" i="11"/>
  <c r="BG280" i="11" s="1"/>
  <c r="BC280" i="11"/>
  <c r="BF280" i="11" s="1"/>
  <c r="BB280" i="11"/>
  <c r="BK279" i="11"/>
  <c r="BE279" i="11"/>
  <c r="BD279" i="11"/>
  <c r="BG279" i="11" s="1"/>
  <c r="BC279" i="11"/>
  <c r="BF279" i="11" s="1"/>
  <c r="BB279" i="11"/>
  <c r="BK278" i="11"/>
  <c r="BE278" i="11"/>
  <c r="BD278" i="11"/>
  <c r="BG278" i="11" s="1"/>
  <c r="BC278" i="11"/>
  <c r="BF278" i="11" s="1"/>
  <c r="BB278" i="11"/>
  <c r="BK277" i="11"/>
  <c r="BE277" i="11"/>
  <c r="BD277" i="11"/>
  <c r="BG277" i="11" s="1"/>
  <c r="BC277" i="11"/>
  <c r="BF277" i="11" s="1"/>
  <c r="BB277" i="11"/>
  <c r="BK276" i="11"/>
  <c r="BE276" i="11"/>
  <c r="BD276" i="11"/>
  <c r="BG276" i="11" s="1"/>
  <c r="BC276" i="11"/>
  <c r="BF276" i="11" s="1"/>
  <c r="BB276" i="11"/>
  <c r="BK275" i="11"/>
  <c r="BE275" i="11"/>
  <c r="BD275" i="11"/>
  <c r="BG275" i="11" s="1"/>
  <c r="BC275" i="11"/>
  <c r="BF275" i="11" s="1"/>
  <c r="BB275" i="11"/>
  <c r="BK274" i="11"/>
  <c r="BE274" i="11"/>
  <c r="BD274" i="11"/>
  <c r="BG274" i="11" s="1"/>
  <c r="BC274" i="11"/>
  <c r="BF274" i="11" s="1"/>
  <c r="BB274" i="11"/>
  <c r="BK273" i="11"/>
  <c r="BE273" i="11"/>
  <c r="BD273" i="11"/>
  <c r="BG273" i="11" s="1"/>
  <c r="BC273" i="11"/>
  <c r="BF273" i="11" s="1"/>
  <c r="BB273" i="11"/>
  <c r="BK272" i="11"/>
  <c r="BE272" i="11"/>
  <c r="BD272" i="11"/>
  <c r="BG272" i="11" s="1"/>
  <c r="BC272" i="11"/>
  <c r="BF272" i="11" s="1"/>
  <c r="BB272" i="11"/>
  <c r="BK271" i="11"/>
  <c r="BE271" i="11"/>
  <c r="BD271" i="11"/>
  <c r="BG271" i="11" s="1"/>
  <c r="BC271" i="11"/>
  <c r="BF271" i="11" s="1"/>
  <c r="BB271" i="11"/>
  <c r="BK270" i="11"/>
  <c r="BE270" i="11"/>
  <c r="BD270" i="11"/>
  <c r="BG270" i="11" s="1"/>
  <c r="BC270" i="11"/>
  <c r="BF270" i="11" s="1"/>
  <c r="BB270" i="11"/>
  <c r="BK269" i="11"/>
  <c r="BE269" i="11"/>
  <c r="BD269" i="11"/>
  <c r="BG269" i="11" s="1"/>
  <c r="BC269" i="11"/>
  <c r="BF269" i="11" s="1"/>
  <c r="BB269" i="11"/>
  <c r="BK268" i="11"/>
  <c r="BE268" i="11"/>
  <c r="BD268" i="11"/>
  <c r="BG268" i="11" s="1"/>
  <c r="BC268" i="11"/>
  <c r="BF268" i="11" s="1"/>
  <c r="BB268" i="11"/>
  <c r="BK267" i="11"/>
  <c r="BE267" i="11"/>
  <c r="BD267" i="11"/>
  <c r="BG267" i="11" s="1"/>
  <c r="BC267" i="11"/>
  <c r="BF267" i="11" s="1"/>
  <c r="BB267" i="11"/>
  <c r="BK266" i="11"/>
  <c r="BE266" i="11"/>
  <c r="BD266" i="11"/>
  <c r="BG266" i="11" s="1"/>
  <c r="BC266" i="11"/>
  <c r="BF266" i="11" s="1"/>
  <c r="BB266" i="11"/>
  <c r="BK265" i="11"/>
  <c r="BE265" i="11"/>
  <c r="BD265" i="11"/>
  <c r="BG265" i="11" s="1"/>
  <c r="BC265" i="11"/>
  <c r="BF265" i="11" s="1"/>
  <c r="BB265" i="11"/>
  <c r="BK264" i="11"/>
  <c r="BE264" i="11"/>
  <c r="BD264" i="11"/>
  <c r="BG264" i="11" s="1"/>
  <c r="BC264" i="11"/>
  <c r="BF264" i="11" s="1"/>
  <c r="BB264" i="11"/>
  <c r="BK263" i="11"/>
  <c r="BE263" i="11"/>
  <c r="BD263" i="11"/>
  <c r="BG263" i="11" s="1"/>
  <c r="BC263" i="11"/>
  <c r="BF263" i="11" s="1"/>
  <c r="BB263" i="11"/>
  <c r="BK262" i="11"/>
  <c r="BE262" i="11"/>
  <c r="BD262" i="11"/>
  <c r="BG262" i="11" s="1"/>
  <c r="BC262" i="11"/>
  <c r="BF262" i="11" s="1"/>
  <c r="BB262" i="11"/>
  <c r="BK261" i="11"/>
  <c r="BE261" i="11"/>
  <c r="BD261" i="11"/>
  <c r="BG261" i="11" s="1"/>
  <c r="BC261" i="11"/>
  <c r="BF261" i="11" s="1"/>
  <c r="BB261" i="11"/>
  <c r="BK260" i="11"/>
  <c r="BE260" i="11"/>
  <c r="BD260" i="11"/>
  <c r="BG260" i="11" s="1"/>
  <c r="BC260" i="11"/>
  <c r="BF260" i="11" s="1"/>
  <c r="BB260" i="11"/>
  <c r="BK259" i="11"/>
  <c r="BE259" i="11"/>
  <c r="BD259" i="11"/>
  <c r="BG259" i="11" s="1"/>
  <c r="BC259" i="11"/>
  <c r="BF259" i="11" s="1"/>
  <c r="BB259" i="11"/>
  <c r="BK258" i="11"/>
  <c r="BE258" i="11"/>
  <c r="BD258" i="11"/>
  <c r="BG258" i="11" s="1"/>
  <c r="BC258" i="11"/>
  <c r="BF258" i="11" s="1"/>
  <c r="BB258" i="11"/>
  <c r="BK257" i="11"/>
  <c r="BE257" i="11"/>
  <c r="BD257" i="11"/>
  <c r="BG257" i="11" s="1"/>
  <c r="BC257" i="11"/>
  <c r="BF257" i="11" s="1"/>
  <c r="BB257" i="11"/>
  <c r="BK256" i="11"/>
  <c r="BE256" i="11"/>
  <c r="BD256" i="11"/>
  <c r="BG256" i="11" s="1"/>
  <c r="BC256" i="11"/>
  <c r="BF256" i="11" s="1"/>
  <c r="BB256" i="11"/>
  <c r="BK255" i="11"/>
  <c r="BE255" i="11"/>
  <c r="BD255" i="11"/>
  <c r="BG255" i="11" s="1"/>
  <c r="BC255" i="11"/>
  <c r="BF255" i="11" s="1"/>
  <c r="BB255" i="11"/>
  <c r="BK254" i="11"/>
  <c r="BE254" i="11"/>
  <c r="BD254" i="11"/>
  <c r="BG254" i="11" s="1"/>
  <c r="BC254" i="11"/>
  <c r="BF254" i="11" s="1"/>
  <c r="BB254" i="11"/>
  <c r="BK253" i="11"/>
  <c r="BE253" i="11"/>
  <c r="BD253" i="11"/>
  <c r="BG253" i="11" s="1"/>
  <c r="BC253" i="11"/>
  <c r="BF253" i="11" s="1"/>
  <c r="BB253" i="11"/>
  <c r="BK252" i="11"/>
  <c r="BE252" i="11"/>
  <c r="BD252" i="11"/>
  <c r="BG252" i="11" s="1"/>
  <c r="BC252" i="11"/>
  <c r="BF252" i="11" s="1"/>
  <c r="BB252" i="11"/>
  <c r="BK251" i="11"/>
  <c r="BE251" i="11"/>
  <c r="BD251" i="11"/>
  <c r="BG251" i="11" s="1"/>
  <c r="BC251" i="11"/>
  <c r="BF251" i="11" s="1"/>
  <c r="BB251" i="11"/>
  <c r="BK250" i="11"/>
  <c r="BE250" i="11"/>
  <c r="BD250" i="11"/>
  <c r="BG250" i="11" s="1"/>
  <c r="BC250" i="11"/>
  <c r="BF250" i="11" s="1"/>
  <c r="BB250" i="11"/>
  <c r="BK249" i="11"/>
  <c r="BE249" i="11"/>
  <c r="BD249" i="11"/>
  <c r="BG249" i="11" s="1"/>
  <c r="BC249" i="11"/>
  <c r="BF249" i="11" s="1"/>
  <c r="BB249" i="11"/>
  <c r="BK248" i="11"/>
  <c r="BE248" i="11"/>
  <c r="BD248" i="11"/>
  <c r="BG248" i="11" s="1"/>
  <c r="BC248" i="11"/>
  <c r="BF248" i="11" s="1"/>
  <c r="BB248" i="11"/>
  <c r="BK247" i="11"/>
  <c r="BE247" i="11"/>
  <c r="BD247" i="11"/>
  <c r="BG247" i="11" s="1"/>
  <c r="BC247" i="11"/>
  <c r="BF247" i="11" s="1"/>
  <c r="BB247" i="11"/>
  <c r="BK246" i="11"/>
  <c r="BE246" i="11"/>
  <c r="BD246" i="11"/>
  <c r="BG246" i="11" s="1"/>
  <c r="BC246" i="11"/>
  <c r="BF246" i="11" s="1"/>
  <c r="BB246" i="11"/>
  <c r="BK245" i="11"/>
  <c r="BE245" i="11"/>
  <c r="BD245" i="11"/>
  <c r="BG245" i="11" s="1"/>
  <c r="BC245" i="11"/>
  <c r="BF245" i="11" s="1"/>
  <c r="BB245" i="11"/>
  <c r="BK244" i="11"/>
  <c r="BE244" i="11"/>
  <c r="BD244" i="11"/>
  <c r="BG244" i="11" s="1"/>
  <c r="BC244" i="11"/>
  <c r="BF244" i="11" s="1"/>
  <c r="BB244" i="11"/>
  <c r="BK243" i="11"/>
  <c r="BE243" i="11"/>
  <c r="BD243" i="11"/>
  <c r="BG243" i="11" s="1"/>
  <c r="BC243" i="11"/>
  <c r="BF243" i="11" s="1"/>
  <c r="BB243" i="11"/>
  <c r="BK242" i="11"/>
  <c r="BE242" i="11"/>
  <c r="BD242" i="11"/>
  <c r="BG242" i="11" s="1"/>
  <c r="BC242" i="11"/>
  <c r="BF242" i="11" s="1"/>
  <c r="BB242" i="11"/>
  <c r="BK241" i="11"/>
  <c r="BE241" i="11"/>
  <c r="BD241" i="11"/>
  <c r="BG241" i="11" s="1"/>
  <c r="BC241" i="11"/>
  <c r="BF241" i="11" s="1"/>
  <c r="BB241" i="11"/>
  <c r="BK240" i="11"/>
  <c r="BE240" i="11"/>
  <c r="BD240" i="11"/>
  <c r="BG240" i="11" s="1"/>
  <c r="BC240" i="11"/>
  <c r="BF240" i="11" s="1"/>
  <c r="BB240" i="11"/>
  <c r="BK239" i="11"/>
  <c r="BE239" i="11"/>
  <c r="BD239" i="11"/>
  <c r="BG239" i="11" s="1"/>
  <c r="BC239" i="11"/>
  <c r="BF239" i="11" s="1"/>
  <c r="BB239" i="11"/>
  <c r="BK238" i="11"/>
  <c r="BE238" i="11"/>
  <c r="BD238" i="11"/>
  <c r="BG238" i="11" s="1"/>
  <c r="BC238" i="11"/>
  <c r="BF238" i="11" s="1"/>
  <c r="BB238" i="11"/>
  <c r="BK237" i="11"/>
  <c r="BE237" i="11"/>
  <c r="BD237" i="11"/>
  <c r="BG237" i="11" s="1"/>
  <c r="BC237" i="11"/>
  <c r="BF237" i="11" s="1"/>
  <c r="BB237" i="11"/>
  <c r="BK236" i="11"/>
  <c r="BE236" i="11"/>
  <c r="BD236" i="11"/>
  <c r="BG236" i="11" s="1"/>
  <c r="BC236" i="11"/>
  <c r="BF236" i="11" s="1"/>
  <c r="BB236" i="11"/>
  <c r="BK235" i="11"/>
  <c r="BE235" i="11"/>
  <c r="BD235" i="11"/>
  <c r="BG235" i="11" s="1"/>
  <c r="BC235" i="11"/>
  <c r="BF235" i="11" s="1"/>
  <c r="BB235" i="11"/>
  <c r="BK234" i="11"/>
  <c r="BE234" i="11"/>
  <c r="BD234" i="11"/>
  <c r="BG234" i="11" s="1"/>
  <c r="BC234" i="11"/>
  <c r="BF234" i="11" s="1"/>
  <c r="BB234" i="11"/>
  <c r="BK233" i="11"/>
  <c r="BE233" i="11"/>
  <c r="BD233" i="11"/>
  <c r="BG233" i="11" s="1"/>
  <c r="BC233" i="11"/>
  <c r="BF233" i="11" s="1"/>
  <c r="BB233" i="11"/>
  <c r="BK232" i="11"/>
  <c r="BE232" i="11"/>
  <c r="BD232" i="11"/>
  <c r="BG232" i="11" s="1"/>
  <c r="BC232" i="11"/>
  <c r="BF232" i="11" s="1"/>
  <c r="BB232" i="11"/>
  <c r="BK231" i="11"/>
  <c r="BE231" i="11"/>
  <c r="BD231" i="11"/>
  <c r="BG231" i="11" s="1"/>
  <c r="BC231" i="11"/>
  <c r="BF231" i="11" s="1"/>
  <c r="BB231" i="11"/>
  <c r="BK230" i="11"/>
  <c r="BE230" i="11"/>
  <c r="BD230" i="11"/>
  <c r="BG230" i="11" s="1"/>
  <c r="BC230" i="11"/>
  <c r="BF230" i="11" s="1"/>
  <c r="BB230" i="11"/>
  <c r="BK229" i="11"/>
  <c r="BE229" i="11"/>
  <c r="BD229" i="11"/>
  <c r="BG229" i="11" s="1"/>
  <c r="BC229" i="11"/>
  <c r="BF229" i="11" s="1"/>
  <c r="BB229" i="11"/>
  <c r="BK228" i="11"/>
  <c r="BE228" i="11"/>
  <c r="BD228" i="11"/>
  <c r="BG228" i="11" s="1"/>
  <c r="BC228" i="11"/>
  <c r="BF228" i="11" s="1"/>
  <c r="BB228" i="11"/>
  <c r="BK227" i="11"/>
  <c r="BE227" i="11"/>
  <c r="BD227" i="11"/>
  <c r="BG227" i="11" s="1"/>
  <c r="BC227" i="11"/>
  <c r="BF227" i="11" s="1"/>
  <c r="BB227" i="11"/>
  <c r="BK226" i="11"/>
  <c r="BE226" i="11"/>
  <c r="BD226" i="11"/>
  <c r="BG226" i="11" s="1"/>
  <c r="BC226" i="11"/>
  <c r="BF226" i="11" s="1"/>
  <c r="BB226" i="11"/>
  <c r="BK225" i="11"/>
  <c r="BE225" i="11"/>
  <c r="BD225" i="11"/>
  <c r="BG225" i="11" s="1"/>
  <c r="BC225" i="11"/>
  <c r="BF225" i="11" s="1"/>
  <c r="BB225" i="11"/>
  <c r="BK224" i="11"/>
  <c r="BE224" i="11"/>
  <c r="BD224" i="11"/>
  <c r="BG224" i="11" s="1"/>
  <c r="BC224" i="11"/>
  <c r="BF224" i="11" s="1"/>
  <c r="BB224" i="11"/>
  <c r="BK223" i="11"/>
  <c r="BE223" i="11"/>
  <c r="BD223" i="11"/>
  <c r="BG223" i="11" s="1"/>
  <c r="BC223" i="11"/>
  <c r="BF223" i="11" s="1"/>
  <c r="BB223" i="11"/>
  <c r="BK222" i="11"/>
  <c r="BE222" i="11"/>
  <c r="BD222" i="11"/>
  <c r="BG222" i="11" s="1"/>
  <c r="BC222" i="11"/>
  <c r="BF222" i="11" s="1"/>
  <c r="BB222" i="11"/>
  <c r="BK221" i="11"/>
  <c r="BE221" i="11"/>
  <c r="BD221" i="11"/>
  <c r="BG221" i="11" s="1"/>
  <c r="BC221" i="11"/>
  <c r="BF221" i="11" s="1"/>
  <c r="BB221" i="11"/>
  <c r="BK220" i="11"/>
  <c r="BE220" i="11"/>
  <c r="BD220" i="11"/>
  <c r="BG220" i="11" s="1"/>
  <c r="BC220" i="11"/>
  <c r="BF220" i="11" s="1"/>
  <c r="BB220" i="11"/>
  <c r="BK219" i="11"/>
  <c r="BE219" i="11"/>
  <c r="BD219" i="11"/>
  <c r="BG219" i="11" s="1"/>
  <c r="BC219" i="11"/>
  <c r="BF219" i="11" s="1"/>
  <c r="BB219" i="11"/>
  <c r="BK218" i="11"/>
  <c r="BE218" i="11"/>
  <c r="BD218" i="11"/>
  <c r="BG218" i="11" s="1"/>
  <c r="BC218" i="11"/>
  <c r="BF218" i="11" s="1"/>
  <c r="BB218" i="11"/>
  <c r="BK217" i="11"/>
  <c r="BE217" i="11"/>
  <c r="BD217" i="11"/>
  <c r="BG217" i="11" s="1"/>
  <c r="BC217" i="11"/>
  <c r="BF217" i="11" s="1"/>
  <c r="BB217" i="11"/>
  <c r="BK216" i="11"/>
  <c r="BE216" i="11"/>
  <c r="BD216" i="11"/>
  <c r="BG216" i="11" s="1"/>
  <c r="BC216" i="11"/>
  <c r="BF216" i="11" s="1"/>
  <c r="BB216" i="11"/>
  <c r="BK215" i="11"/>
  <c r="BE215" i="11"/>
  <c r="BD215" i="11"/>
  <c r="BG215" i="11" s="1"/>
  <c r="BC215" i="11"/>
  <c r="BF215" i="11" s="1"/>
  <c r="BB215" i="11"/>
  <c r="BK214" i="11"/>
  <c r="BE214" i="11"/>
  <c r="BD214" i="11"/>
  <c r="BG214" i="11" s="1"/>
  <c r="BC214" i="11"/>
  <c r="BF214" i="11" s="1"/>
  <c r="BB214" i="11"/>
  <c r="BK213" i="11"/>
  <c r="BE213" i="11"/>
  <c r="BD213" i="11"/>
  <c r="BG213" i="11" s="1"/>
  <c r="BC213" i="11"/>
  <c r="BF213" i="11" s="1"/>
  <c r="BB213" i="11"/>
  <c r="BK212" i="11"/>
  <c r="BE212" i="11"/>
  <c r="BD212" i="11"/>
  <c r="BG212" i="11" s="1"/>
  <c r="BC212" i="11"/>
  <c r="BF212" i="11" s="1"/>
  <c r="BB212" i="11"/>
  <c r="BK211" i="11"/>
  <c r="BE211" i="11"/>
  <c r="BD211" i="11"/>
  <c r="BG211" i="11" s="1"/>
  <c r="BC211" i="11"/>
  <c r="BF211" i="11" s="1"/>
  <c r="BB211" i="11"/>
  <c r="BK210" i="11"/>
  <c r="BE210" i="11"/>
  <c r="BD210" i="11"/>
  <c r="BG210" i="11" s="1"/>
  <c r="BC210" i="11"/>
  <c r="BF210" i="11" s="1"/>
  <c r="BB210" i="11"/>
  <c r="BK209" i="11"/>
  <c r="BE209" i="11"/>
  <c r="BD209" i="11"/>
  <c r="BG209" i="11" s="1"/>
  <c r="BC209" i="11"/>
  <c r="BF209" i="11" s="1"/>
  <c r="BB209" i="11"/>
  <c r="BK208" i="11"/>
  <c r="BE208" i="11"/>
  <c r="BD208" i="11"/>
  <c r="BG208" i="11" s="1"/>
  <c r="BC208" i="11"/>
  <c r="BF208" i="11" s="1"/>
  <c r="BB208" i="11"/>
  <c r="BK207" i="11"/>
  <c r="BE207" i="11"/>
  <c r="BD207" i="11"/>
  <c r="BG207" i="11" s="1"/>
  <c r="BC207" i="11"/>
  <c r="BF207" i="11" s="1"/>
  <c r="BB207" i="11"/>
  <c r="BK206" i="11"/>
  <c r="BE206" i="11"/>
  <c r="BD206" i="11"/>
  <c r="BG206" i="11" s="1"/>
  <c r="BC206" i="11"/>
  <c r="BF206" i="11" s="1"/>
  <c r="BB206" i="11"/>
  <c r="BK205" i="11"/>
  <c r="BE205" i="11"/>
  <c r="BD205" i="11"/>
  <c r="BG205" i="11" s="1"/>
  <c r="BC205" i="11"/>
  <c r="BF205" i="11" s="1"/>
  <c r="BB205" i="11"/>
  <c r="BK204" i="11"/>
  <c r="BE204" i="11"/>
  <c r="BD204" i="11"/>
  <c r="BG204" i="11" s="1"/>
  <c r="BC204" i="11"/>
  <c r="BF204" i="11" s="1"/>
  <c r="BB204" i="11"/>
  <c r="BK203" i="11"/>
  <c r="BE203" i="11"/>
  <c r="BD203" i="11"/>
  <c r="BG203" i="11" s="1"/>
  <c r="BC203" i="11"/>
  <c r="BF203" i="11" s="1"/>
  <c r="BB203" i="11"/>
  <c r="BK202" i="11"/>
  <c r="BE202" i="11"/>
  <c r="BD202" i="11"/>
  <c r="BG202" i="11" s="1"/>
  <c r="BC202" i="11"/>
  <c r="BF202" i="11" s="1"/>
  <c r="BB202" i="11"/>
  <c r="BK201" i="11"/>
  <c r="BE201" i="11"/>
  <c r="BD201" i="11"/>
  <c r="BG201" i="11" s="1"/>
  <c r="BC201" i="11"/>
  <c r="BF201" i="11" s="1"/>
  <c r="BB201" i="11"/>
  <c r="BK200" i="11"/>
  <c r="BE200" i="11"/>
  <c r="BD200" i="11"/>
  <c r="BG200" i="11" s="1"/>
  <c r="BC200" i="11"/>
  <c r="BF200" i="11" s="1"/>
  <c r="BB200" i="11"/>
  <c r="BK199" i="11"/>
  <c r="BE199" i="11"/>
  <c r="BD199" i="11"/>
  <c r="BG199" i="11" s="1"/>
  <c r="BC199" i="11"/>
  <c r="BF199" i="11" s="1"/>
  <c r="BB199" i="11"/>
  <c r="BK198" i="11"/>
  <c r="BE198" i="11"/>
  <c r="BD198" i="11"/>
  <c r="BG198" i="11" s="1"/>
  <c r="BC198" i="11"/>
  <c r="BF198" i="11" s="1"/>
  <c r="BB198" i="11"/>
  <c r="BK197" i="11"/>
  <c r="BE197" i="11"/>
  <c r="BD197" i="11"/>
  <c r="BG197" i="11" s="1"/>
  <c r="BC197" i="11"/>
  <c r="BF197" i="11" s="1"/>
  <c r="BB197" i="11"/>
  <c r="BK196" i="11"/>
  <c r="BE196" i="11"/>
  <c r="BD196" i="11"/>
  <c r="BG196" i="11" s="1"/>
  <c r="BC196" i="11"/>
  <c r="BF196" i="11" s="1"/>
  <c r="BB196" i="11"/>
  <c r="BK195" i="11"/>
  <c r="BE195" i="11"/>
  <c r="BD195" i="11"/>
  <c r="BG195" i="11" s="1"/>
  <c r="BC195" i="11"/>
  <c r="BF195" i="11" s="1"/>
  <c r="BB195" i="11"/>
  <c r="BK194" i="11"/>
  <c r="BE194" i="11"/>
  <c r="BD194" i="11"/>
  <c r="BG194" i="11" s="1"/>
  <c r="BC194" i="11"/>
  <c r="BF194" i="11" s="1"/>
  <c r="BB194" i="11"/>
  <c r="BK193" i="11"/>
  <c r="BE193" i="11"/>
  <c r="BD193" i="11"/>
  <c r="BG193" i="11" s="1"/>
  <c r="BC193" i="11"/>
  <c r="BF193" i="11" s="1"/>
  <c r="BB193" i="11"/>
  <c r="BK192" i="11"/>
  <c r="BE192" i="11"/>
  <c r="BD192" i="11"/>
  <c r="BG192" i="11" s="1"/>
  <c r="BC192" i="11"/>
  <c r="BF192" i="11" s="1"/>
  <c r="BB192" i="11"/>
  <c r="BK191" i="11"/>
  <c r="BE191" i="11"/>
  <c r="BD191" i="11"/>
  <c r="BG191" i="11" s="1"/>
  <c r="BC191" i="11"/>
  <c r="BF191" i="11" s="1"/>
  <c r="BB191" i="11"/>
  <c r="BK190" i="11"/>
  <c r="BE190" i="11"/>
  <c r="BD190" i="11"/>
  <c r="BG190" i="11" s="1"/>
  <c r="BC190" i="11"/>
  <c r="BF190" i="11" s="1"/>
  <c r="BB190" i="11"/>
  <c r="BK189" i="11"/>
  <c r="BE189" i="11"/>
  <c r="BD189" i="11"/>
  <c r="BG189" i="11" s="1"/>
  <c r="BC189" i="11"/>
  <c r="BF189" i="11" s="1"/>
  <c r="BB189" i="11"/>
  <c r="BK188" i="11"/>
  <c r="BE188" i="11"/>
  <c r="BD188" i="11"/>
  <c r="BG188" i="11" s="1"/>
  <c r="BC188" i="11"/>
  <c r="BF188" i="11" s="1"/>
  <c r="BB188" i="11"/>
  <c r="BK187" i="11"/>
  <c r="BE187" i="11"/>
  <c r="BD187" i="11"/>
  <c r="BG187" i="11" s="1"/>
  <c r="BC187" i="11"/>
  <c r="BF187" i="11" s="1"/>
  <c r="BB187" i="11"/>
  <c r="BK186" i="11"/>
  <c r="BE186" i="11"/>
  <c r="BD186" i="11"/>
  <c r="BG186" i="11" s="1"/>
  <c r="BC186" i="11"/>
  <c r="BF186" i="11" s="1"/>
  <c r="BB186" i="11"/>
  <c r="BK185" i="11"/>
  <c r="BE185" i="11"/>
  <c r="BD185" i="11"/>
  <c r="BG185" i="11" s="1"/>
  <c r="BC185" i="11"/>
  <c r="BF185" i="11" s="1"/>
  <c r="BB185" i="11"/>
  <c r="BK184" i="11"/>
  <c r="BE184" i="11"/>
  <c r="BD184" i="11"/>
  <c r="BG184" i="11" s="1"/>
  <c r="BC184" i="11"/>
  <c r="BF184" i="11" s="1"/>
  <c r="BB184" i="11"/>
  <c r="BK183" i="11"/>
  <c r="BE183" i="11"/>
  <c r="BD183" i="11"/>
  <c r="BG183" i="11" s="1"/>
  <c r="BC183" i="11"/>
  <c r="BF183" i="11" s="1"/>
  <c r="BB183" i="11"/>
  <c r="BK182" i="11"/>
  <c r="BE182" i="11"/>
  <c r="BD182" i="11"/>
  <c r="BG182" i="11" s="1"/>
  <c r="BC182" i="11"/>
  <c r="BF182" i="11" s="1"/>
  <c r="BB182" i="11"/>
  <c r="BK181" i="11"/>
  <c r="BE181" i="11"/>
  <c r="BD181" i="11"/>
  <c r="BG181" i="11" s="1"/>
  <c r="BC181" i="11"/>
  <c r="BF181" i="11" s="1"/>
  <c r="BB181" i="11"/>
  <c r="BK180" i="11"/>
  <c r="BE180" i="11"/>
  <c r="BD180" i="11"/>
  <c r="BG180" i="11" s="1"/>
  <c r="BC180" i="11"/>
  <c r="BF180" i="11" s="1"/>
  <c r="BB180" i="11"/>
  <c r="BK179" i="11"/>
  <c r="BE179" i="11"/>
  <c r="BD179" i="11"/>
  <c r="BG179" i="11" s="1"/>
  <c r="BC179" i="11"/>
  <c r="BF179" i="11" s="1"/>
  <c r="BB179" i="11"/>
  <c r="BK178" i="11"/>
  <c r="BE178" i="11"/>
  <c r="BD178" i="11"/>
  <c r="BG178" i="11" s="1"/>
  <c r="BC178" i="11"/>
  <c r="BF178" i="11" s="1"/>
  <c r="BB178" i="11"/>
  <c r="BK177" i="11"/>
  <c r="BE177" i="11"/>
  <c r="BD177" i="11"/>
  <c r="BG177" i="11" s="1"/>
  <c r="BC177" i="11"/>
  <c r="BF177" i="11" s="1"/>
  <c r="BB177" i="11"/>
  <c r="BK176" i="11"/>
  <c r="BE176" i="11"/>
  <c r="BD176" i="11"/>
  <c r="BG176" i="11" s="1"/>
  <c r="BC176" i="11"/>
  <c r="BF176" i="11" s="1"/>
  <c r="BB176" i="11"/>
  <c r="BK175" i="11"/>
  <c r="BE175" i="11"/>
  <c r="BD175" i="11"/>
  <c r="BG175" i="11" s="1"/>
  <c r="BC175" i="11"/>
  <c r="BF175" i="11" s="1"/>
  <c r="BB175" i="11"/>
  <c r="BK174" i="11"/>
  <c r="BE174" i="11"/>
  <c r="BD174" i="11"/>
  <c r="BG174" i="11" s="1"/>
  <c r="BC174" i="11"/>
  <c r="BF174" i="11" s="1"/>
  <c r="BB174" i="11"/>
  <c r="BK173" i="11"/>
  <c r="BE173" i="11"/>
  <c r="BD173" i="11"/>
  <c r="BG173" i="11" s="1"/>
  <c r="BC173" i="11"/>
  <c r="BF173" i="11" s="1"/>
  <c r="BB173" i="11"/>
  <c r="BK172" i="11"/>
  <c r="BE172" i="11"/>
  <c r="BD172" i="11"/>
  <c r="BG172" i="11" s="1"/>
  <c r="BC172" i="11"/>
  <c r="BF172" i="11" s="1"/>
  <c r="BB172" i="11"/>
  <c r="BK171" i="11"/>
  <c r="BE171" i="11"/>
  <c r="BD171" i="11"/>
  <c r="BG171" i="11" s="1"/>
  <c r="BC171" i="11"/>
  <c r="BF171" i="11" s="1"/>
  <c r="BB171" i="11"/>
  <c r="BK170" i="11"/>
  <c r="BE170" i="11"/>
  <c r="BD170" i="11"/>
  <c r="BG170" i="11" s="1"/>
  <c r="BC170" i="11"/>
  <c r="BF170" i="11" s="1"/>
  <c r="BB170" i="11"/>
  <c r="BK169" i="11"/>
  <c r="BE169" i="11"/>
  <c r="BD169" i="11"/>
  <c r="BG169" i="11" s="1"/>
  <c r="BC169" i="11"/>
  <c r="BF169" i="11" s="1"/>
  <c r="BB169" i="11"/>
  <c r="BK168" i="11"/>
  <c r="BE168" i="11"/>
  <c r="BD168" i="11"/>
  <c r="BG168" i="11" s="1"/>
  <c r="BC168" i="11"/>
  <c r="BF168" i="11" s="1"/>
  <c r="BB168" i="11"/>
  <c r="BK167" i="11"/>
  <c r="BE167" i="11"/>
  <c r="BD167" i="11"/>
  <c r="BG167" i="11" s="1"/>
  <c r="BC167" i="11"/>
  <c r="BF167" i="11" s="1"/>
  <c r="BB167" i="11"/>
  <c r="BK166" i="11"/>
  <c r="BE166" i="11"/>
  <c r="BD166" i="11"/>
  <c r="BG166" i="11" s="1"/>
  <c r="BC166" i="11"/>
  <c r="BF166" i="11" s="1"/>
  <c r="BB166" i="11"/>
  <c r="BK165" i="11"/>
  <c r="BE165" i="11"/>
  <c r="BD165" i="11"/>
  <c r="BG165" i="11" s="1"/>
  <c r="BC165" i="11"/>
  <c r="BF165" i="11" s="1"/>
  <c r="BB165" i="11"/>
  <c r="BK164" i="11"/>
  <c r="BE164" i="11"/>
  <c r="BD164" i="11"/>
  <c r="BG164" i="11" s="1"/>
  <c r="BC164" i="11"/>
  <c r="BF164" i="11" s="1"/>
  <c r="BB164" i="11"/>
  <c r="BK163" i="11"/>
  <c r="BE163" i="11"/>
  <c r="BD163" i="11"/>
  <c r="BG163" i="11" s="1"/>
  <c r="BC163" i="11"/>
  <c r="BF163" i="11" s="1"/>
  <c r="BB163" i="11"/>
  <c r="BK162" i="11"/>
  <c r="BE162" i="11"/>
  <c r="BD162" i="11"/>
  <c r="BG162" i="11" s="1"/>
  <c r="BC162" i="11"/>
  <c r="BF162" i="11" s="1"/>
  <c r="BB162" i="11"/>
  <c r="BK161" i="11"/>
  <c r="BE161" i="11"/>
  <c r="BD161" i="11"/>
  <c r="BG161" i="11" s="1"/>
  <c r="BC161" i="11"/>
  <c r="BF161" i="11" s="1"/>
  <c r="BB161" i="11"/>
  <c r="BK160" i="11"/>
  <c r="BE160" i="11"/>
  <c r="BD160" i="11"/>
  <c r="BG160" i="11" s="1"/>
  <c r="BC160" i="11"/>
  <c r="BF160" i="11" s="1"/>
  <c r="BB160" i="11"/>
  <c r="BK159" i="11"/>
  <c r="BE159" i="11"/>
  <c r="BD159" i="11"/>
  <c r="BG159" i="11" s="1"/>
  <c r="BC159" i="11"/>
  <c r="BF159" i="11" s="1"/>
  <c r="BB159" i="11"/>
  <c r="BK158" i="11"/>
  <c r="BE158" i="11"/>
  <c r="BD158" i="11"/>
  <c r="BG158" i="11" s="1"/>
  <c r="BC158" i="11"/>
  <c r="BF158" i="11" s="1"/>
  <c r="BB158" i="11"/>
  <c r="BK157" i="11"/>
  <c r="BE157" i="11"/>
  <c r="BD157" i="11"/>
  <c r="BG157" i="11" s="1"/>
  <c r="BC157" i="11"/>
  <c r="BF157" i="11" s="1"/>
  <c r="BB157" i="11"/>
  <c r="BK156" i="11"/>
  <c r="BE156" i="11"/>
  <c r="BD156" i="11"/>
  <c r="BG156" i="11" s="1"/>
  <c r="BC156" i="11"/>
  <c r="BF156" i="11" s="1"/>
  <c r="BB156" i="11"/>
  <c r="BK155" i="11"/>
  <c r="BE155" i="11"/>
  <c r="BD155" i="11"/>
  <c r="BG155" i="11" s="1"/>
  <c r="BC155" i="11"/>
  <c r="BF155" i="11" s="1"/>
  <c r="BB155" i="11"/>
  <c r="BK154" i="11"/>
  <c r="BE154" i="11"/>
  <c r="BD154" i="11"/>
  <c r="BG154" i="11" s="1"/>
  <c r="BC154" i="11"/>
  <c r="BF154" i="11" s="1"/>
  <c r="BB154" i="11"/>
  <c r="BK153" i="11"/>
  <c r="BE153" i="11"/>
  <c r="BD153" i="11"/>
  <c r="BG153" i="11" s="1"/>
  <c r="BC153" i="11"/>
  <c r="BF153" i="11" s="1"/>
  <c r="BB153" i="11"/>
  <c r="BK152" i="11"/>
  <c r="BE152" i="11"/>
  <c r="BD152" i="11"/>
  <c r="BG152" i="11" s="1"/>
  <c r="BC152" i="11"/>
  <c r="BF152" i="11" s="1"/>
  <c r="BB152" i="11"/>
  <c r="BK151" i="11"/>
  <c r="BE151" i="11"/>
  <c r="BD151" i="11"/>
  <c r="BG151" i="11" s="1"/>
  <c r="BC151" i="11"/>
  <c r="BF151" i="11" s="1"/>
  <c r="BB151" i="11"/>
  <c r="BK150" i="11"/>
  <c r="BE150" i="11"/>
  <c r="BD150" i="11"/>
  <c r="BG150" i="11" s="1"/>
  <c r="BC150" i="11"/>
  <c r="BF150" i="11" s="1"/>
  <c r="BB150" i="11"/>
  <c r="BK149" i="11"/>
  <c r="BE149" i="11"/>
  <c r="BD149" i="11"/>
  <c r="BG149" i="11" s="1"/>
  <c r="BC149" i="11"/>
  <c r="BF149" i="11" s="1"/>
  <c r="BB149" i="11"/>
  <c r="BK148" i="11"/>
  <c r="BE148" i="11"/>
  <c r="BD148" i="11"/>
  <c r="BG148" i="11" s="1"/>
  <c r="BC148" i="11"/>
  <c r="BF148" i="11" s="1"/>
  <c r="BB148" i="11"/>
  <c r="BK147" i="11"/>
  <c r="BE147" i="11"/>
  <c r="BD147" i="11"/>
  <c r="BG147" i="11" s="1"/>
  <c r="BC147" i="11"/>
  <c r="BF147" i="11" s="1"/>
  <c r="BB147" i="11"/>
  <c r="BK146" i="11"/>
  <c r="BE146" i="11"/>
  <c r="BD146" i="11"/>
  <c r="BG146" i="11" s="1"/>
  <c r="BC146" i="11"/>
  <c r="BF146" i="11" s="1"/>
  <c r="BB146" i="11"/>
  <c r="BK145" i="11"/>
  <c r="BE145" i="11"/>
  <c r="BD145" i="11"/>
  <c r="BG145" i="11" s="1"/>
  <c r="BC145" i="11"/>
  <c r="BF145" i="11" s="1"/>
  <c r="BB145" i="11"/>
  <c r="BK144" i="11"/>
  <c r="BE144" i="11"/>
  <c r="BD144" i="11"/>
  <c r="BG144" i="11" s="1"/>
  <c r="BC144" i="11"/>
  <c r="BF144" i="11" s="1"/>
  <c r="BB144" i="11"/>
  <c r="BK143" i="11"/>
  <c r="BE143" i="11"/>
  <c r="BD143" i="11"/>
  <c r="BG143" i="11" s="1"/>
  <c r="BC143" i="11"/>
  <c r="BF143" i="11" s="1"/>
  <c r="BB143" i="11"/>
  <c r="BK142" i="11"/>
  <c r="BE142" i="11"/>
  <c r="BD142" i="11"/>
  <c r="BG142" i="11" s="1"/>
  <c r="BC142" i="11"/>
  <c r="BF142" i="11" s="1"/>
  <c r="BB142" i="11"/>
  <c r="BK141" i="11"/>
  <c r="BE141" i="11"/>
  <c r="BD141" i="11"/>
  <c r="BG141" i="11" s="1"/>
  <c r="BC141" i="11"/>
  <c r="BF141" i="11" s="1"/>
  <c r="BB141" i="11"/>
  <c r="BK140" i="11"/>
  <c r="BE140" i="11"/>
  <c r="BD140" i="11"/>
  <c r="BG140" i="11" s="1"/>
  <c r="BC140" i="11"/>
  <c r="BF140" i="11" s="1"/>
  <c r="BB140" i="11"/>
  <c r="BK139" i="11"/>
  <c r="BE139" i="11"/>
  <c r="BD139" i="11"/>
  <c r="BG139" i="11" s="1"/>
  <c r="BC139" i="11"/>
  <c r="BF139" i="11" s="1"/>
  <c r="BB139" i="11"/>
  <c r="BK138" i="11"/>
  <c r="BE138" i="11"/>
  <c r="BD138" i="11"/>
  <c r="BG138" i="11" s="1"/>
  <c r="BC138" i="11"/>
  <c r="BF138" i="11" s="1"/>
  <c r="BB138" i="11"/>
  <c r="BK137" i="11"/>
  <c r="BE137" i="11"/>
  <c r="BD137" i="11"/>
  <c r="BG137" i="11" s="1"/>
  <c r="BC137" i="11"/>
  <c r="BF137" i="11" s="1"/>
  <c r="BB137" i="11"/>
  <c r="BK136" i="11"/>
  <c r="BE136" i="11"/>
  <c r="BD136" i="11"/>
  <c r="BG136" i="11" s="1"/>
  <c r="BC136" i="11"/>
  <c r="BF136" i="11" s="1"/>
  <c r="BB136" i="11"/>
  <c r="BK135" i="11"/>
  <c r="BE135" i="11"/>
  <c r="BD135" i="11"/>
  <c r="BG135" i="11" s="1"/>
  <c r="BC135" i="11"/>
  <c r="BF135" i="11" s="1"/>
  <c r="BB135" i="11"/>
  <c r="BK134" i="11"/>
  <c r="BE134" i="11"/>
  <c r="BD134" i="11"/>
  <c r="BG134" i="11" s="1"/>
  <c r="BC134" i="11"/>
  <c r="BF134" i="11" s="1"/>
  <c r="BB134" i="11"/>
  <c r="BK133" i="11"/>
  <c r="BE133" i="11"/>
  <c r="BD133" i="11"/>
  <c r="BG133" i="11" s="1"/>
  <c r="BC133" i="11"/>
  <c r="BF133" i="11" s="1"/>
  <c r="BB133" i="11"/>
  <c r="BK132" i="11"/>
  <c r="BE132" i="11"/>
  <c r="BD132" i="11"/>
  <c r="BG132" i="11" s="1"/>
  <c r="BC132" i="11"/>
  <c r="BF132" i="11" s="1"/>
  <c r="BB132" i="11"/>
  <c r="BK131" i="11"/>
  <c r="BE131" i="11"/>
  <c r="BD131" i="11"/>
  <c r="BG131" i="11" s="1"/>
  <c r="BC131" i="11"/>
  <c r="BF131" i="11" s="1"/>
  <c r="BB131" i="11"/>
  <c r="BK130" i="11"/>
  <c r="BE130" i="11"/>
  <c r="BD130" i="11"/>
  <c r="BG130" i="11" s="1"/>
  <c r="BC130" i="11"/>
  <c r="BF130" i="11" s="1"/>
  <c r="BB130" i="11"/>
  <c r="BK129" i="11"/>
  <c r="BE129" i="11"/>
  <c r="BD129" i="11"/>
  <c r="BG129" i="11" s="1"/>
  <c r="BC129" i="11"/>
  <c r="BF129" i="11" s="1"/>
  <c r="BB129" i="11"/>
  <c r="BK128" i="11"/>
  <c r="BE128" i="11"/>
  <c r="BD128" i="11"/>
  <c r="BG128" i="11" s="1"/>
  <c r="BC128" i="11"/>
  <c r="BF128" i="11" s="1"/>
  <c r="BB128" i="11"/>
  <c r="BK127" i="11"/>
  <c r="BE127" i="11"/>
  <c r="BD127" i="11"/>
  <c r="BG127" i="11" s="1"/>
  <c r="BC127" i="11"/>
  <c r="BF127" i="11" s="1"/>
  <c r="BB127" i="11"/>
  <c r="BK126" i="11"/>
  <c r="BE126" i="11"/>
  <c r="BD126" i="11"/>
  <c r="BG126" i="11" s="1"/>
  <c r="BC126" i="11"/>
  <c r="BF126" i="11" s="1"/>
  <c r="BB126" i="11"/>
  <c r="BK125" i="11"/>
  <c r="BE125" i="11"/>
  <c r="BD125" i="11"/>
  <c r="BG125" i="11" s="1"/>
  <c r="BC125" i="11"/>
  <c r="BF125" i="11" s="1"/>
  <c r="BB125" i="11"/>
  <c r="BK124" i="11"/>
  <c r="BE124" i="11"/>
  <c r="BD124" i="11"/>
  <c r="BG124" i="11" s="1"/>
  <c r="BC124" i="11"/>
  <c r="BF124" i="11" s="1"/>
  <c r="BB124" i="11"/>
  <c r="BK123" i="11"/>
  <c r="BE123" i="11"/>
  <c r="BD123" i="11"/>
  <c r="BG123" i="11" s="1"/>
  <c r="BC123" i="11"/>
  <c r="BF123" i="11" s="1"/>
  <c r="BB123" i="11"/>
  <c r="BK122" i="11"/>
  <c r="BE122" i="11"/>
  <c r="BD122" i="11"/>
  <c r="BG122" i="11" s="1"/>
  <c r="BC122" i="11"/>
  <c r="BF122" i="11" s="1"/>
  <c r="BB122" i="11"/>
  <c r="BK121" i="11"/>
  <c r="BE121" i="11"/>
  <c r="BD121" i="11"/>
  <c r="BG121" i="11" s="1"/>
  <c r="BC121" i="11"/>
  <c r="BF121" i="11" s="1"/>
  <c r="BB121" i="11"/>
  <c r="BK120" i="11"/>
  <c r="BE120" i="11"/>
  <c r="BD120" i="11"/>
  <c r="BG120" i="11" s="1"/>
  <c r="BC120" i="11"/>
  <c r="BF120" i="11" s="1"/>
  <c r="BB120" i="11"/>
  <c r="BK119" i="11"/>
  <c r="BE119" i="11"/>
  <c r="BD119" i="11"/>
  <c r="BG119" i="11" s="1"/>
  <c r="BC119" i="11"/>
  <c r="BF119" i="11" s="1"/>
  <c r="BB119" i="11"/>
  <c r="BK118" i="11"/>
  <c r="BE118" i="11"/>
  <c r="BD118" i="11"/>
  <c r="BG118" i="11" s="1"/>
  <c r="BC118" i="11"/>
  <c r="BF118" i="11" s="1"/>
  <c r="BB118" i="11"/>
  <c r="BK117" i="11"/>
  <c r="BE117" i="11"/>
  <c r="BD117" i="11"/>
  <c r="BG117" i="11" s="1"/>
  <c r="BC117" i="11"/>
  <c r="BF117" i="11" s="1"/>
  <c r="BB117" i="11"/>
  <c r="BK116" i="11"/>
  <c r="BE116" i="11"/>
  <c r="BD116" i="11"/>
  <c r="BG116" i="11" s="1"/>
  <c r="BC116" i="11"/>
  <c r="BF116" i="11" s="1"/>
  <c r="BB116" i="11"/>
  <c r="BK115" i="11"/>
  <c r="BE115" i="11"/>
  <c r="BD115" i="11"/>
  <c r="BG115" i="11" s="1"/>
  <c r="BC115" i="11"/>
  <c r="BF115" i="11" s="1"/>
  <c r="BB115" i="11"/>
  <c r="BK114" i="11"/>
  <c r="BE114" i="11"/>
  <c r="BD114" i="11"/>
  <c r="BG114" i="11" s="1"/>
  <c r="BC114" i="11"/>
  <c r="BF114" i="11" s="1"/>
  <c r="BB114" i="11"/>
  <c r="BK113" i="11"/>
  <c r="BE113" i="11"/>
  <c r="BD113" i="11"/>
  <c r="BG113" i="11" s="1"/>
  <c r="BC113" i="11"/>
  <c r="BF113" i="11" s="1"/>
  <c r="BB113" i="11"/>
  <c r="BK112" i="11"/>
  <c r="BE112" i="11"/>
  <c r="BD112" i="11"/>
  <c r="BG112" i="11" s="1"/>
  <c r="BC112" i="11"/>
  <c r="BF112" i="11" s="1"/>
  <c r="BB112" i="11"/>
  <c r="BK111" i="11"/>
  <c r="BE111" i="11"/>
  <c r="BD111" i="11"/>
  <c r="BG111" i="11" s="1"/>
  <c r="BC111" i="11"/>
  <c r="BF111" i="11" s="1"/>
  <c r="BB111" i="11"/>
  <c r="BK110" i="11"/>
  <c r="BE110" i="11"/>
  <c r="BD110" i="11"/>
  <c r="BG110" i="11" s="1"/>
  <c r="BC110" i="11"/>
  <c r="BF110" i="11" s="1"/>
  <c r="BB110" i="11"/>
  <c r="BK109" i="11"/>
  <c r="BE109" i="11"/>
  <c r="BD109" i="11"/>
  <c r="BG109" i="11" s="1"/>
  <c r="BC109" i="11"/>
  <c r="BF109" i="11" s="1"/>
  <c r="BB109" i="11"/>
  <c r="BK108" i="11"/>
  <c r="BE108" i="11"/>
  <c r="BD108" i="11"/>
  <c r="BG108" i="11" s="1"/>
  <c r="BC108" i="11"/>
  <c r="BF108" i="11" s="1"/>
  <c r="BB108" i="11"/>
  <c r="BK107" i="11"/>
  <c r="BE107" i="11"/>
  <c r="BD107" i="11"/>
  <c r="BG107" i="11" s="1"/>
  <c r="BC107" i="11"/>
  <c r="BF107" i="11" s="1"/>
  <c r="BB107" i="11"/>
  <c r="BK106" i="11"/>
  <c r="BE106" i="11"/>
  <c r="BD106" i="11"/>
  <c r="BG106" i="11" s="1"/>
  <c r="BC106" i="11"/>
  <c r="BF106" i="11" s="1"/>
  <c r="BB106" i="11"/>
  <c r="BK105" i="11"/>
  <c r="BE105" i="11"/>
  <c r="BD105" i="11"/>
  <c r="BG105" i="11" s="1"/>
  <c r="BC105" i="11"/>
  <c r="BF105" i="11" s="1"/>
  <c r="BB105" i="11"/>
  <c r="BK104" i="11"/>
  <c r="BE104" i="11"/>
  <c r="BD104" i="11"/>
  <c r="BG104" i="11" s="1"/>
  <c r="BC104" i="11"/>
  <c r="BF104" i="11" s="1"/>
  <c r="BB104" i="11"/>
  <c r="BK103" i="11"/>
  <c r="BE103" i="11"/>
  <c r="BD103" i="11"/>
  <c r="BG103" i="11" s="1"/>
  <c r="BC103" i="11"/>
  <c r="BF103" i="11" s="1"/>
  <c r="BB103" i="11"/>
  <c r="BK102" i="11"/>
  <c r="BE102" i="11"/>
  <c r="BD102" i="11"/>
  <c r="BG102" i="11" s="1"/>
  <c r="BC102" i="11"/>
  <c r="BF102" i="11" s="1"/>
  <c r="BB102" i="11"/>
  <c r="BK101" i="11"/>
  <c r="BE101" i="11"/>
  <c r="BD101" i="11"/>
  <c r="BG101" i="11" s="1"/>
  <c r="BC101" i="11"/>
  <c r="BF101" i="11" s="1"/>
  <c r="BB101" i="11"/>
  <c r="BK100" i="11"/>
  <c r="BE100" i="11"/>
  <c r="BD100" i="11"/>
  <c r="BG100" i="11" s="1"/>
  <c r="BC100" i="11"/>
  <c r="BF100" i="11" s="1"/>
  <c r="BB100" i="11"/>
  <c r="BK99" i="11"/>
  <c r="BE99" i="11"/>
  <c r="BD99" i="11"/>
  <c r="BG99" i="11" s="1"/>
  <c r="BC99" i="11"/>
  <c r="BF99" i="11" s="1"/>
  <c r="BB99" i="11"/>
  <c r="BK98" i="11"/>
  <c r="BE98" i="11"/>
  <c r="BD98" i="11"/>
  <c r="BG98" i="11" s="1"/>
  <c r="BC98" i="11"/>
  <c r="BF98" i="11" s="1"/>
  <c r="BB98" i="11"/>
  <c r="BK97" i="11"/>
  <c r="BE97" i="11"/>
  <c r="BD97" i="11"/>
  <c r="BG97" i="11" s="1"/>
  <c r="BC97" i="11"/>
  <c r="BF97" i="11" s="1"/>
  <c r="BB97" i="11"/>
  <c r="BK96" i="11"/>
  <c r="BE96" i="11"/>
  <c r="BD96" i="11"/>
  <c r="BG96" i="11" s="1"/>
  <c r="BC96" i="11"/>
  <c r="BF96" i="11" s="1"/>
  <c r="BB96" i="11"/>
  <c r="BK95" i="11"/>
  <c r="BE95" i="11"/>
  <c r="BD95" i="11"/>
  <c r="BG95" i="11" s="1"/>
  <c r="BC95" i="11"/>
  <c r="BF95" i="11" s="1"/>
  <c r="BB95" i="11"/>
  <c r="BK94" i="11"/>
  <c r="BE94" i="11"/>
  <c r="BD94" i="11"/>
  <c r="BG94" i="11" s="1"/>
  <c r="BC94" i="11"/>
  <c r="BF94" i="11" s="1"/>
  <c r="BB94" i="11"/>
  <c r="BK93" i="11"/>
  <c r="BE93" i="11"/>
  <c r="BD93" i="11"/>
  <c r="BG93" i="11" s="1"/>
  <c r="BC93" i="11"/>
  <c r="BF93" i="11" s="1"/>
  <c r="BB93" i="11"/>
  <c r="BK92" i="11"/>
  <c r="BE92" i="11"/>
  <c r="BD92" i="11"/>
  <c r="BG92" i="11" s="1"/>
  <c r="BC92" i="11"/>
  <c r="BF92" i="11" s="1"/>
  <c r="BB92" i="11"/>
  <c r="BK91" i="11"/>
  <c r="BE91" i="11"/>
  <c r="BD91" i="11"/>
  <c r="BG91" i="11" s="1"/>
  <c r="BC91" i="11"/>
  <c r="BF91" i="11" s="1"/>
  <c r="BB91" i="11"/>
  <c r="BK90" i="11"/>
  <c r="BE90" i="11"/>
  <c r="BD90" i="11"/>
  <c r="BG90" i="11" s="1"/>
  <c r="BC90" i="11"/>
  <c r="BF90" i="11" s="1"/>
  <c r="BB90" i="11"/>
  <c r="BK89" i="11"/>
  <c r="BE89" i="11"/>
  <c r="BD89" i="11"/>
  <c r="BG89" i="11" s="1"/>
  <c r="BC89" i="11"/>
  <c r="BF89" i="11" s="1"/>
  <c r="BB89" i="11"/>
  <c r="BK88" i="11"/>
  <c r="BE88" i="11"/>
  <c r="BD88" i="11"/>
  <c r="BG88" i="11" s="1"/>
  <c r="BC88" i="11"/>
  <c r="BF88" i="11" s="1"/>
  <c r="BB88" i="11"/>
  <c r="BK87" i="11"/>
  <c r="BE87" i="11"/>
  <c r="BD87" i="11"/>
  <c r="BG87" i="11" s="1"/>
  <c r="BC87" i="11"/>
  <c r="BF87" i="11" s="1"/>
  <c r="BB87" i="11"/>
  <c r="BK86" i="11"/>
  <c r="BE86" i="11"/>
  <c r="BD86" i="11"/>
  <c r="BG86" i="11" s="1"/>
  <c r="BC86" i="11"/>
  <c r="BF86" i="11" s="1"/>
  <c r="BB86" i="11"/>
  <c r="BK85" i="11"/>
  <c r="BE85" i="11"/>
  <c r="BD85" i="11"/>
  <c r="BG85" i="11" s="1"/>
  <c r="BC85" i="11"/>
  <c r="BF85" i="11" s="1"/>
  <c r="BB85" i="11"/>
  <c r="BK84" i="11"/>
  <c r="BE84" i="11"/>
  <c r="BD84" i="11"/>
  <c r="BG84" i="11" s="1"/>
  <c r="BC84" i="11"/>
  <c r="BF84" i="11" s="1"/>
  <c r="BB84" i="11"/>
  <c r="BK83" i="11"/>
  <c r="BE83" i="11"/>
  <c r="BD83" i="11"/>
  <c r="BG83" i="11" s="1"/>
  <c r="BC83" i="11"/>
  <c r="BF83" i="11" s="1"/>
  <c r="BB83" i="11"/>
  <c r="BK82" i="11"/>
  <c r="BE82" i="11"/>
  <c r="BD82" i="11"/>
  <c r="BG82" i="11" s="1"/>
  <c r="BC82" i="11"/>
  <c r="BF82" i="11" s="1"/>
  <c r="BB82" i="11"/>
  <c r="BK81" i="11"/>
  <c r="BE81" i="11"/>
  <c r="BD81" i="11"/>
  <c r="BG81" i="11" s="1"/>
  <c r="BC81" i="11"/>
  <c r="BF81" i="11" s="1"/>
  <c r="BB81" i="11"/>
  <c r="BK80" i="11"/>
  <c r="BE80" i="11"/>
  <c r="BD80" i="11"/>
  <c r="BG80" i="11" s="1"/>
  <c r="BC80" i="11"/>
  <c r="BF80" i="11" s="1"/>
  <c r="BB80" i="11"/>
  <c r="BK79" i="11"/>
  <c r="BE79" i="11"/>
  <c r="BD79" i="11"/>
  <c r="BG79" i="11" s="1"/>
  <c r="BC79" i="11"/>
  <c r="BF79" i="11" s="1"/>
  <c r="BB79" i="11"/>
  <c r="BK78" i="11"/>
  <c r="BE78" i="11"/>
  <c r="BD78" i="11"/>
  <c r="BG78" i="11" s="1"/>
  <c r="BC78" i="11"/>
  <c r="BF78" i="11" s="1"/>
  <c r="BB78" i="11"/>
  <c r="BK77" i="11"/>
  <c r="BE77" i="11"/>
  <c r="BD77" i="11"/>
  <c r="BG77" i="11" s="1"/>
  <c r="BC77" i="11"/>
  <c r="BF77" i="11" s="1"/>
  <c r="BB77" i="11"/>
  <c r="BK76" i="11"/>
  <c r="BE76" i="11"/>
  <c r="BD76" i="11"/>
  <c r="BG76" i="11" s="1"/>
  <c r="BC76" i="11"/>
  <c r="BF76" i="11" s="1"/>
  <c r="BB76" i="11"/>
  <c r="BK75" i="11"/>
  <c r="BE75" i="11"/>
  <c r="BD75" i="11"/>
  <c r="BG75" i="11" s="1"/>
  <c r="BC75" i="11"/>
  <c r="BF75" i="11" s="1"/>
  <c r="BB75" i="11"/>
  <c r="BK74" i="11"/>
  <c r="BE74" i="11"/>
  <c r="BD74" i="11"/>
  <c r="BG74" i="11" s="1"/>
  <c r="BC74" i="11"/>
  <c r="BF74" i="11" s="1"/>
  <c r="BB74" i="11"/>
  <c r="BK73" i="11"/>
  <c r="BE73" i="11"/>
  <c r="BD73" i="11"/>
  <c r="BG73" i="11" s="1"/>
  <c r="BC73" i="11"/>
  <c r="BF73" i="11" s="1"/>
  <c r="BB73" i="11"/>
  <c r="BK72" i="11"/>
  <c r="BE72" i="11"/>
  <c r="BD72" i="11"/>
  <c r="BG72" i="11" s="1"/>
  <c r="BC72" i="11"/>
  <c r="BF72" i="11" s="1"/>
  <c r="BB72" i="11"/>
  <c r="BK71" i="11"/>
  <c r="BE71" i="11"/>
  <c r="BD71" i="11"/>
  <c r="BG71" i="11" s="1"/>
  <c r="BC71" i="11"/>
  <c r="BF71" i="11" s="1"/>
  <c r="BB71" i="11"/>
  <c r="BK70" i="11"/>
  <c r="BE70" i="11"/>
  <c r="BD70" i="11"/>
  <c r="BG70" i="11" s="1"/>
  <c r="BC70" i="11"/>
  <c r="BF70" i="11" s="1"/>
  <c r="BB70" i="11"/>
  <c r="BK69" i="11"/>
  <c r="BE69" i="11"/>
  <c r="BD69" i="11"/>
  <c r="BG69" i="11" s="1"/>
  <c r="BC69" i="11"/>
  <c r="BF69" i="11" s="1"/>
  <c r="BB69" i="11"/>
  <c r="BK68" i="11"/>
  <c r="BE68" i="11"/>
  <c r="BD68" i="11"/>
  <c r="BG68" i="11" s="1"/>
  <c r="BC68" i="11"/>
  <c r="BF68" i="11" s="1"/>
  <c r="BB68" i="11"/>
  <c r="BK67" i="11"/>
  <c r="BE67" i="11"/>
  <c r="BD67" i="11"/>
  <c r="BG67" i="11" s="1"/>
  <c r="BC67" i="11"/>
  <c r="BF67" i="11" s="1"/>
  <c r="BB67" i="11"/>
  <c r="BK66" i="11"/>
  <c r="BE66" i="11"/>
  <c r="BD66" i="11"/>
  <c r="BG66" i="11" s="1"/>
  <c r="BC66" i="11"/>
  <c r="BF66" i="11" s="1"/>
  <c r="BB66" i="11"/>
  <c r="BK65" i="11"/>
  <c r="BE65" i="11"/>
  <c r="BD65" i="11"/>
  <c r="BG65" i="11" s="1"/>
  <c r="BC65" i="11"/>
  <c r="BF65" i="11" s="1"/>
  <c r="BB65" i="11"/>
  <c r="BK64" i="11"/>
  <c r="BE64" i="11"/>
  <c r="BD64" i="11"/>
  <c r="BG64" i="11" s="1"/>
  <c r="BC64" i="11"/>
  <c r="BF64" i="11" s="1"/>
  <c r="BB64" i="11"/>
  <c r="BK63" i="11"/>
  <c r="BE63" i="11"/>
  <c r="BD63" i="11"/>
  <c r="BG63" i="11" s="1"/>
  <c r="BC63" i="11"/>
  <c r="BF63" i="11" s="1"/>
  <c r="BB63" i="11"/>
  <c r="BK62" i="11"/>
  <c r="BE62" i="11"/>
  <c r="BD62" i="11"/>
  <c r="BG62" i="11" s="1"/>
  <c r="BC62" i="11"/>
  <c r="BF62" i="11" s="1"/>
  <c r="BB62" i="11"/>
  <c r="BK61" i="11"/>
  <c r="BE61" i="11"/>
  <c r="BD61" i="11"/>
  <c r="BG61" i="11" s="1"/>
  <c r="BC61" i="11"/>
  <c r="BF61" i="11" s="1"/>
  <c r="BB61" i="11"/>
  <c r="BK60" i="11"/>
  <c r="BE60" i="11"/>
  <c r="BD60" i="11"/>
  <c r="BG60" i="11" s="1"/>
  <c r="BC60" i="11"/>
  <c r="BF60" i="11" s="1"/>
  <c r="BB60" i="11"/>
  <c r="BK59" i="11"/>
  <c r="BE59" i="11"/>
  <c r="BD59" i="11"/>
  <c r="BG59" i="11" s="1"/>
  <c r="BC59" i="11"/>
  <c r="BF59" i="11" s="1"/>
  <c r="BB59" i="11"/>
  <c r="BK58" i="11"/>
  <c r="BE58" i="11"/>
  <c r="BD58" i="11"/>
  <c r="BG58" i="11" s="1"/>
  <c r="BC58" i="11"/>
  <c r="BF58" i="11" s="1"/>
  <c r="BB58" i="11"/>
  <c r="BK57" i="11"/>
  <c r="BE57" i="11"/>
  <c r="BD57" i="11"/>
  <c r="BG57" i="11" s="1"/>
  <c r="BC57" i="11"/>
  <c r="BF57" i="11" s="1"/>
  <c r="BB57" i="11"/>
  <c r="BK56" i="11"/>
  <c r="BE56" i="11"/>
  <c r="BD56" i="11"/>
  <c r="BG56" i="11" s="1"/>
  <c r="BC56" i="11"/>
  <c r="BF56" i="11" s="1"/>
  <c r="BB56" i="11"/>
  <c r="BK55" i="11"/>
  <c r="BE55" i="11"/>
  <c r="BD55" i="11"/>
  <c r="BG55" i="11" s="1"/>
  <c r="BC55" i="11"/>
  <c r="BF55" i="11" s="1"/>
  <c r="BB55" i="11"/>
  <c r="BK54" i="11"/>
  <c r="BE54" i="11"/>
  <c r="BD54" i="11"/>
  <c r="BG54" i="11" s="1"/>
  <c r="BC54" i="11"/>
  <c r="BF54" i="11" s="1"/>
  <c r="BB54" i="11"/>
  <c r="BK53" i="11"/>
  <c r="BE53" i="11"/>
  <c r="BD53" i="11"/>
  <c r="BG53" i="11" s="1"/>
  <c r="BC53" i="11"/>
  <c r="BF53" i="11" s="1"/>
  <c r="BB53" i="11"/>
  <c r="BK52" i="11"/>
  <c r="BE52" i="11"/>
  <c r="BD52" i="11"/>
  <c r="BG52" i="11" s="1"/>
  <c r="BC52" i="11"/>
  <c r="BF52" i="11" s="1"/>
  <c r="BB52" i="11"/>
  <c r="BK51" i="11"/>
  <c r="BE51" i="11"/>
  <c r="BD51" i="11"/>
  <c r="BG51" i="11" s="1"/>
  <c r="BC51" i="11"/>
  <c r="BF51" i="11" s="1"/>
  <c r="BB51" i="11"/>
  <c r="BK50" i="11"/>
  <c r="BE50" i="11"/>
  <c r="BD50" i="11"/>
  <c r="BG50" i="11" s="1"/>
  <c r="BC50" i="11"/>
  <c r="BF50" i="11" s="1"/>
  <c r="BB50" i="11"/>
  <c r="BK49" i="11"/>
  <c r="BE49" i="11"/>
  <c r="BD49" i="11"/>
  <c r="BG49" i="11" s="1"/>
  <c r="BC49" i="11"/>
  <c r="BF49" i="11" s="1"/>
  <c r="BB49" i="11"/>
  <c r="BK48" i="11"/>
  <c r="BE48" i="11"/>
  <c r="BD48" i="11"/>
  <c r="BG48" i="11" s="1"/>
  <c r="BC48" i="11"/>
  <c r="BF48" i="11" s="1"/>
  <c r="BB48" i="11"/>
  <c r="BK47" i="11"/>
  <c r="BE47" i="11"/>
  <c r="BD47" i="11"/>
  <c r="BG47" i="11" s="1"/>
  <c r="BC47" i="11"/>
  <c r="BF47" i="11" s="1"/>
  <c r="BB47" i="11"/>
  <c r="BK46" i="11"/>
  <c r="BE46" i="11"/>
  <c r="BD46" i="11"/>
  <c r="BG46" i="11" s="1"/>
  <c r="BC46" i="11"/>
  <c r="BF46" i="11" s="1"/>
  <c r="BB46" i="11"/>
  <c r="BK45" i="11"/>
  <c r="BE45" i="11"/>
  <c r="BD45" i="11"/>
  <c r="BG45" i="11" s="1"/>
  <c r="BC45" i="11"/>
  <c r="BF45" i="11" s="1"/>
  <c r="BB45" i="11"/>
  <c r="BK44" i="11"/>
  <c r="BE44" i="11"/>
  <c r="BD44" i="11"/>
  <c r="BG44" i="11" s="1"/>
  <c r="BC44" i="11"/>
  <c r="BF44" i="11" s="1"/>
  <c r="BB44" i="11"/>
  <c r="BK43" i="11"/>
  <c r="BE43" i="11"/>
  <c r="BD43" i="11"/>
  <c r="BG43" i="11" s="1"/>
  <c r="BC43" i="11"/>
  <c r="BF43" i="11" s="1"/>
  <c r="BB43" i="11"/>
  <c r="BK42" i="11"/>
  <c r="BE42" i="11"/>
  <c r="BD42" i="11"/>
  <c r="BG42" i="11" s="1"/>
  <c r="BC42" i="11"/>
  <c r="BF42" i="11" s="1"/>
  <c r="BB42" i="11"/>
  <c r="BK41" i="11"/>
  <c r="BE41" i="11"/>
  <c r="BD41" i="11"/>
  <c r="BG41" i="11" s="1"/>
  <c r="BC41" i="11"/>
  <c r="BF41" i="11" s="1"/>
  <c r="BB41" i="11"/>
  <c r="BK40" i="11"/>
  <c r="BE40" i="11"/>
  <c r="BD40" i="11"/>
  <c r="BG40" i="11" s="1"/>
  <c r="BC40" i="11"/>
  <c r="BF40" i="11" s="1"/>
  <c r="BB40" i="11"/>
  <c r="BK39" i="11"/>
  <c r="BE39" i="11"/>
  <c r="BD39" i="11"/>
  <c r="BG39" i="11" s="1"/>
  <c r="BC39" i="11"/>
  <c r="BF39" i="11" s="1"/>
  <c r="BB39" i="11"/>
  <c r="BK38" i="11"/>
  <c r="BE38" i="11"/>
  <c r="BD38" i="11"/>
  <c r="BG38" i="11" s="1"/>
  <c r="BC38" i="11"/>
  <c r="BF38" i="11" s="1"/>
  <c r="BB38" i="11"/>
  <c r="BK37" i="11"/>
  <c r="BE37" i="11"/>
  <c r="BD37" i="11"/>
  <c r="BG37" i="11" s="1"/>
  <c r="BC37" i="11"/>
  <c r="BF37" i="11" s="1"/>
  <c r="BB37" i="11"/>
  <c r="BK36" i="11"/>
  <c r="BE36" i="11"/>
  <c r="BD36" i="11"/>
  <c r="BG36" i="11" s="1"/>
  <c r="BC36" i="11"/>
  <c r="BF36" i="11" s="1"/>
  <c r="BB36" i="11"/>
  <c r="BK35" i="11"/>
  <c r="BE35" i="11"/>
  <c r="BD35" i="11"/>
  <c r="BG35" i="11" s="1"/>
  <c r="BC35" i="11"/>
  <c r="BF35" i="11" s="1"/>
  <c r="BB35" i="11"/>
  <c r="BK34" i="11"/>
  <c r="BE34" i="11"/>
  <c r="BD34" i="11"/>
  <c r="BG34" i="11" s="1"/>
  <c r="BC34" i="11"/>
  <c r="BF34" i="11" s="1"/>
  <c r="BB34" i="11"/>
  <c r="BK33" i="11"/>
  <c r="BE33" i="11"/>
  <c r="BD33" i="11"/>
  <c r="BG33" i="11" s="1"/>
  <c r="BC33" i="11"/>
  <c r="BF33" i="11" s="1"/>
  <c r="BB33" i="11"/>
  <c r="BK32" i="11"/>
  <c r="BE32" i="11"/>
  <c r="BD32" i="11"/>
  <c r="BG32" i="11" s="1"/>
  <c r="BC32" i="11"/>
  <c r="BF32" i="11" s="1"/>
  <c r="BB32" i="11"/>
  <c r="BK31" i="11"/>
  <c r="BE31" i="11"/>
  <c r="BD31" i="11"/>
  <c r="BG31" i="11" s="1"/>
  <c r="BC31" i="11"/>
  <c r="BF31" i="11" s="1"/>
  <c r="BB31" i="11"/>
  <c r="BK30" i="11"/>
  <c r="BE30" i="11"/>
  <c r="BD30" i="11"/>
  <c r="BG30" i="11" s="1"/>
  <c r="BC30" i="11"/>
  <c r="BF30" i="11" s="1"/>
  <c r="BB30" i="11"/>
  <c r="BK29" i="11"/>
  <c r="BE29" i="11"/>
  <c r="BD29" i="11"/>
  <c r="BG29" i="11" s="1"/>
  <c r="BC29" i="11"/>
  <c r="BF29" i="11" s="1"/>
  <c r="BB29" i="11"/>
  <c r="BK28" i="11"/>
  <c r="BE28" i="11"/>
  <c r="BD28" i="11"/>
  <c r="BG28" i="11" s="1"/>
  <c r="BC28" i="11"/>
  <c r="BF28" i="11" s="1"/>
  <c r="BB28" i="11"/>
  <c r="BK27" i="11"/>
  <c r="BE27" i="11"/>
  <c r="BD27" i="11"/>
  <c r="BG27" i="11" s="1"/>
  <c r="BC27" i="11"/>
  <c r="BF27" i="11" s="1"/>
  <c r="BB27" i="11"/>
  <c r="BK26" i="11"/>
  <c r="BE26" i="11"/>
  <c r="BD26" i="11"/>
  <c r="BG26" i="11" s="1"/>
  <c r="BC26" i="11"/>
  <c r="BF26" i="11" s="1"/>
  <c r="BB26" i="11"/>
  <c r="BK25" i="11"/>
  <c r="BE25" i="11"/>
  <c r="BD25" i="11"/>
  <c r="BG25" i="11" s="1"/>
  <c r="BC25" i="11"/>
  <c r="BF25" i="11" s="1"/>
  <c r="BB25" i="11"/>
  <c r="BK24" i="11"/>
  <c r="BE24" i="11"/>
  <c r="BD24" i="11"/>
  <c r="BG24" i="11" s="1"/>
  <c r="BC24" i="11"/>
  <c r="BF24" i="11" s="1"/>
  <c r="BB24" i="11"/>
  <c r="BK23" i="11"/>
  <c r="BE23" i="11"/>
  <c r="BD23" i="11"/>
  <c r="BG23" i="11" s="1"/>
  <c r="BC23" i="11"/>
  <c r="BF23" i="11" s="1"/>
  <c r="BB23" i="11"/>
  <c r="BK22" i="11"/>
  <c r="BE22" i="11"/>
  <c r="BD22" i="11"/>
  <c r="BG22" i="11" s="1"/>
  <c r="BC22" i="11"/>
  <c r="BF22" i="11" s="1"/>
  <c r="BB22" i="11"/>
  <c r="BK21" i="11"/>
  <c r="BE21" i="11"/>
  <c r="BD21" i="11"/>
  <c r="BG21" i="11" s="1"/>
  <c r="BC21" i="11"/>
  <c r="BF21" i="11" s="1"/>
  <c r="BB21" i="11"/>
  <c r="BK20" i="11"/>
  <c r="BE20" i="11"/>
  <c r="BD20" i="11"/>
  <c r="BG20" i="11" s="1"/>
  <c r="BC20" i="11"/>
  <c r="BF20" i="11" s="1"/>
  <c r="BB20" i="11"/>
  <c r="BK19" i="11"/>
  <c r="BE19" i="11"/>
  <c r="BD19" i="11"/>
  <c r="BG19" i="11" s="1"/>
  <c r="BC19" i="11"/>
  <c r="BF19" i="11" s="1"/>
  <c r="BB19" i="11"/>
  <c r="BK18" i="11"/>
  <c r="BE18" i="11"/>
  <c r="BD18" i="11"/>
  <c r="BG18" i="11" s="1"/>
  <c r="BC18" i="11"/>
  <c r="BF18" i="11" s="1"/>
  <c r="BB18" i="11"/>
  <c r="BK17" i="11"/>
  <c r="BE17" i="11"/>
  <c r="BD17" i="11"/>
  <c r="BG17" i="11" s="1"/>
  <c r="BC17" i="11"/>
  <c r="BF17" i="11" s="1"/>
  <c r="BB17" i="11"/>
  <c r="BK16" i="11"/>
  <c r="BE16" i="11"/>
  <c r="BD16" i="11"/>
  <c r="BG16" i="11" s="1"/>
  <c r="BC16" i="11"/>
  <c r="BF16" i="11" s="1"/>
  <c r="BB16" i="11"/>
  <c r="BK15" i="11"/>
  <c r="BE15" i="11"/>
  <c r="BD15" i="11"/>
  <c r="BG15" i="11" s="1"/>
  <c r="BC15" i="11"/>
  <c r="BF15" i="11" s="1"/>
  <c r="BB15" i="11"/>
  <c r="BK14" i="11"/>
  <c r="BE14" i="11"/>
  <c r="BD14" i="11"/>
  <c r="BG14" i="11" s="1"/>
  <c r="BC14" i="11"/>
  <c r="BF14" i="11" s="1"/>
  <c r="BB14" i="11"/>
  <c r="BK13" i="11"/>
  <c r="BE13" i="11"/>
  <c r="BD13" i="11"/>
  <c r="BG13" i="11" s="1"/>
  <c r="BC13" i="11"/>
  <c r="BF13" i="11" s="1"/>
  <c r="BB13" i="11"/>
  <c r="BK12" i="11"/>
  <c r="BE12" i="11"/>
  <c r="BD12" i="11"/>
  <c r="BG12" i="11" s="1"/>
  <c r="BC12" i="11"/>
  <c r="BF12" i="11" s="1"/>
  <c r="BB12" i="11"/>
  <c r="BK11" i="11"/>
  <c r="BE11" i="11"/>
  <c r="BD11" i="11"/>
  <c r="BG11" i="11" s="1"/>
  <c r="BC11" i="11"/>
  <c r="BF11" i="11" s="1"/>
  <c r="BB11" i="11"/>
  <c r="A6" i="9"/>
  <c r="V539" i="11"/>
  <c r="V376" i="11"/>
  <c r="V823" i="11"/>
  <c r="V295" i="11"/>
  <c r="V336" i="11"/>
  <c r="V836" i="11"/>
  <c r="V278" i="11"/>
  <c r="V709" i="11"/>
  <c r="V629" i="11"/>
  <c r="V177" i="11"/>
  <c r="V25" i="11"/>
  <c r="V323" i="11"/>
  <c r="V523" i="11"/>
  <c r="V281" i="11"/>
  <c r="V401" i="11"/>
  <c r="V261" i="11"/>
  <c r="V241" i="11"/>
  <c r="V626" i="11"/>
  <c r="V550" i="11"/>
  <c r="V214" i="11"/>
  <c r="V570" i="11"/>
  <c r="V838" i="11"/>
  <c r="V514" i="11"/>
  <c r="V759" i="11"/>
  <c r="V729" i="11"/>
  <c r="V519" i="11"/>
  <c r="V814" i="11"/>
  <c r="V274" i="11"/>
  <c r="V697" i="11"/>
  <c r="V912" i="11"/>
  <c r="V86" i="11"/>
  <c r="V429" i="11"/>
  <c r="V906" i="11"/>
  <c r="V52" i="11"/>
  <c r="V423" i="11"/>
  <c r="V317" i="11"/>
  <c r="V610" i="11"/>
  <c r="V110" i="11"/>
  <c r="V164" i="11"/>
  <c r="V223" i="11"/>
  <c r="V488" i="11"/>
  <c r="V677" i="11"/>
  <c r="V127" i="11"/>
  <c r="V165" i="11"/>
  <c r="V781" i="11"/>
  <c r="V249" i="11"/>
  <c r="V944" i="11"/>
  <c r="V353" i="11"/>
  <c r="V882" i="11"/>
  <c r="V569" i="11"/>
  <c r="V26" i="11"/>
  <c r="V1002" i="11"/>
  <c r="V233" i="11"/>
  <c r="V20" i="11"/>
  <c r="V807" i="11"/>
  <c r="V422" i="11"/>
  <c r="V558" i="11"/>
  <c r="V552" i="11"/>
  <c r="V98" i="11"/>
  <c r="V616" i="11"/>
  <c r="V835" i="11"/>
  <c r="V363" i="11"/>
  <c r="V508" i="11"/>
  <c r="V779" i="11"/>
  <c r="V480" i="11"/>
  <c r="V861" i="11"/>
  <c r="V373" i="11"/>
  <c r="V981" i="11"/>
  <c r="V182" i="11"/>
  <c r="V143" i="11"/>
  <c r="V150" i="11"/>
  <c r="V30" i="11"/>
  <c r="V700" i="11"/>
  <c r="V987" i="11"/>
  <c r="V220" i="11"/>
  <c r="V766" i="11"/>
  <c r="V430" i="11"/>
  <c r="V587" i="11"/>
  <c r="V357" i="11"/>
  <c r="V932" i="11"/>
  <c r="V525" i="11"/>
  <c r="V498" i="11"/>
  <c r="V601" i="11"/>
  <c r="V201" i="11"/>
  <c r="V190" i="11"/>
  <c r="V699" i="11"/>
  <c r="V355" i="11"/>
  <c r="V903" i="11"/>
  <c r="V72" i="11"/>
  <c r="V1005" i="11"/>
  <c r="V891" i="11"/>
  <c r="V685" i="11"/>
  <c r="V649" i="11"/>
  <c r="V29" i="11"/>
  <c r="V628" i="11"/>
  <c r="V662" i="11"/>
  <c r="V734" i="11"/>
  <c r="V442" i="11"/>
  <c r="V273" i="11"/>
  <c r="V857" i="11"/>
  <c r="V624" i="11"/>
  <c r="V238" i="11"/>
  <c r="V866" i="11"/>
  <c r="V972" i="11"/>
  <c r="V789" i="11"/>
  <c r="V440" i="11"/>
  <c r="V75" i="11"/>
  <c r="V108" i="11"/>
  <c r="V991" i="11"/>
  <c r="V14" i="11"/>
  <c r="V735" i="11"/>
  <c r="V80" i="11"/>
  <c r="V803" i="11"/>
  <c r="V367" i="11"/>
  <c r="V822" i="11"/>
  <c r="V824" i="11"/>
  <c r="V864" i="11"/>
  <c r="V706" i="11"/>
  <c r="V286" i="11"/>
  <c r="V546" i="11"/>
  <c r="V348" i="11"/>
  <c r="V703" i="11"/>
  <c r="V463" i="11"/>
  <c r="V952" i="11"/>
  <c r="V322" i="11"/>
  <c r="V875" i="11"/>
  <c r="V245" i="11"/>
  <c r="V620" i="11"/>
  <c r="V134" i="11"/>
  <c r="V494" i="11"/>
  <c r="V76" i="11"/>
  <c r="V305" i="11"/>
  <c r="V910" i="11"/>
  <c r="V645" i="11"/>
  <c r="V338" i="11"/>
  <c r="V654" i="11"/>
  <c r="V744" i="11"/>
  <c r="V446" i="11"/>
  <c r="V584" i="11"/>
  <c r="V113" i="11"/>
  <c r="V596" i="11"/>
  <c r="V965" i="11"/>
  <c r="V293" i="11"/>
  <c r="V451" i="11"/>
  <c r="V585" i="11"/>
  <c r="V995" i="11"/>
  <c r="V984" i="11"/>
  <c r="V490" i="11"/>
  <c r="V308" i="11"/>
  <c r="V280" i="11"/>
  <c r="V448" i="11"/>
  <c r="V831" i="11"/>
  <c r="V688" i="11"/>
  <c r="V608" i="11"/>
  <c r="V207" i="11"/>
  <c r="V59" i="11"/>
  <c r="V17" i="11"/>
  <c r="V540" i="11"/>
  <c r="V34" i="11"/>
  <c r="V993" i="11"/>
  <c r="V91" i="11"/>
  <c r="V24" i="11"/>
  <c r="V595" i="11"/>
  <c r="V28" i="11"/>
  <c r="V741" i="11"/>
  <c r="V213" i="11"/>
  <c r="V282" i="11"/>
  <c r="V647" i="11"/>
  <c r="V142" i="11"/>
  <c r="V41" i="11"/>
  <c r="V747" i="11"/>
  <c r="V130" i="11"/>
  <c r="V537" i="11"/>
  <c r="V868" i="11"/>
  <c r="V598" i="11"/>
  <c r="V337" i="11"/>
  <c r="V665" i="11"/>
  <c r="V496" i="11"/>
  <c r="V350" i="11"/>
  <c r="V179" i="11"/>
  <c r="V479" i="11"/>
  <c r="V269" i="11"/>
  <c r="V21" i="11"/>
  <c r="V672" i="11"/>
  <c r="V279" i="11"/>
  <c r="V975" i="11"/>
  <c r="V727" i="11"/>
  <c r="V118" i="11"/>
  <c r="V404" i="11"/>
  <c r="V778" i="11"/>
  <c r="V597" i="11"/>
  <c r="V978" i="11"/>
  <c r="V600" i="11"/>
  <c r="V283" i="11"/>
  <c r="V166" i="11"/>
  <c r="V421" i="11"/>
  <c r="V185" i="11"/>
  <c r="V386" i="11"/>
  <c r="V980" i="11"/>
  <c r="V694" i="11"/>
  <c r="V67" i="11"/>
  <c r="V808" i="11"/>
  <c r="V971" i="11"/>
  <c r="V71" i="11"/>
  <c r="V119" i="11"/>
  <c r="V221" i="11"/>
  <c r="V840" i="11"/>
  <c r="V750" i="11"/>
  <c r="V583" i="11"/>
  <c r="V58" i="11"/>
  <c r="V167" i="11"/>
  <c r="V191" i="11"/>
  <c r="V826" i="11"/>
  <c r="V825" i="11"/>
  <c r="V881" i="11"/>
  <c r="V35" i="11"/>
  <c r="V247" i="11"/>
  <c r="V520" i="11"/>
  <c r="V254" i="11"/>
  <c r="V515" i="11"/>
  <c r="V507" i="11"/>
  <c r="V235" i="11"/>
  <c r="V375" i="11"/>
  <c r="V527" i="11"/>
  <c r="V78" i="11"/>
  <c r="V99" i="11"/>
  <c r="V268" i="11"/>
  <c r="V163" i="11"/>
  <c r="V863" i="11"/>
  <c r="V847" i="11"/>
  <c r="V615" i="11"/>
  <c r="V896" i="11"/>
  <c r="V848" i="11"/>
  <c r="V484" i="11"/>
  <c r="V237" i="11"/>
  <c r="V146" i="11"/>
  <c r="V139" i="11"/>
  <c r="V97" i="11"/>
  <c r="V797" i="11"/>
  <c r="V144" i="11"/>
  <c r="V798" i="11"/>
  <c r="V871" i="11"/>
  <c r="V958" i="11"/>
  <c r="V460" i="11"/>
  <c r="V55" i="11"/>
  <c r="V641" i="11"/>
  <c r="V555" i="11"/>
  <c r="V905" i="11"/>
  <c r="V604" i="11"/>
  <c r="V196" i="11"/>
  <c r="V209" i="11"/>
  <c r="V39" i="11"/>
  <c r="V753" i="11"/>
  <c r="V897" i="11"/>
  <c r="V251" i="11"/>
  <c r="V956" i="11"/>
  <c r="V640" i="11"/>
  <c r="V746" i="11"/>
  <c r="V465" i="11"/>
  <c r="V574" i="11"/>
  <c r="V801" i="11"/>
  <c r="V242" i="11"/>
  <c r="V764" i="11"/>
  <c r="V472" i="11"/>
  <c r="V1009" i="11"/>
  <c r="V928" i="11"/>
  <c r="V745" i="11"/>
  <c r="V726" i="11"/>
  <c r="V673" i="11"/>
  <c r="V60" i="11"/>
  <c r="V998" i="11"/>
  <c r="V740" i="11"/>
  <c r="V899" i="11"/>
  <c r="V417" i="11"/>
  <c r="V900" i="11"/>
  <c r="V431" i="11"/>
  <c r="V660" i="11"/>
  <c r="V152" i="11"/>
  <c r="V619" i="11"/>
  <c r="V820" i="11"/>
  <c r="V192" i="11"/>
  <c r="V432" i="11"/>
  <c r="V653" i="11"/>
  <c r="V862" i="11"/>
  <c r="V850" i="11"/>
  <c r="V743" i="11"/>
  <c r="V651" i="11"/>
  <c r="V885" i="11"/>
  <c r="V506" i="11"/>
  <c r="V763" i="11"/>
  <c r="V553" i="11"/>
  <c r="V642" i="11"/>
  <c r="V315" i="11"/>
  <c r="V936" i="11"/>
  <c r="V172" i="11"/>
  <c r="V413" i="11"/>
  <c r="V632" i="11"/>
  <c r="V321" i="11"/>
  <c r="V707" i="11"/>
  <c r="V18" i="11"/>
  <c r="V591" i="11"/>
  <c r="V115" i="11"/>
  <c r="V256" i="11"/>
  <c r="V447" i="11"/>
  <c r="V137" i="11"/>
  <c r="V794" i="11"/>
  <c r="V258" i="11"/>
  <c r="V548" i="11"/>
  <c r="V728" i="11"/>
  <c r="V532" i="11"/>
  <c r="V469" i="11"/>
  <c r="V562" i="11"/>
  <c r="V611" i="11"/>
  <c r="V259" i="11"/>
  <c r="V526" i="11"/>
  <c r="V634" i="11"/>
  <c r="V795" i="11"/>
  <c r="V36" i="11"/>
  <c r="V872" i="11"/>
  <c r="V567" i="11"/>
  <c r="V674" i="11"/>
  <c r="V680" i="11"/>
  <c r="V354" i="11"/>
  <c r="V933" i="11"/>
  <c r="V384" i="11"/>
  <c r="V476" i="11"/>
  <c r="V92" i="11"/>
  <c r="V459" i="11"/>
  <c r="V257" i="11"/>
  <c r="V942" i="11"/>
  <c r="V200" i="11"/>
  <c r="V806" i="11"/>
  <c r="V420" i="11"/>
  <c r="V347" i="11"/>
  <c r="V771" i="11"/>
  <c r="V109" i="11"/>
  <c r="V162" i="11"/>
  <c r="V414" i="11"/>
  <c r="V187" i="11"/>
  <c r="V483" i="11"/>
  <c r="V68" i="11"/>
  <c r="V551" i="11"/>
  <c r="V901" i="11"/>
  <c r="V853" i="11"/>
  <c r="V383" i="11"/>
  <c r="V107" i="11"/>
  <c r="V536" i="11"/>
  <c r="V218" i="11"/>
  <c r="V830" i="11"/>
  <c r="V379" i="11"/>
  <c r="V774" i="11"/>
  <c r="V406" i="11"/>
  <c r="V884" i="11"/>
  <c r="V833" i="11"/>
  <c r="V670" i="11"/>
  <c r="V846" i="11"/>
  <c r="V466" i="11"/>
  <c r="V389" i="11"/>
  <c r="V757" i="11"/>
  <c r="V411" i="11"/>
  <c r="V95" i="11"/>
  <c r="V22" i="11"/>
  <c r="V609" i="11"/>
  <c r="V453" i="11"/>
  <c r="V913" i="11"/>
  <c r="V326" i="11"/>
  <c r="V858" i="11"/>
  <c r="V154" i="11"/>
  <c r="V64" i="11"/>
  <c r="V225" i="11"/>
  <c r="V873" i="11"/>
  <c r="V405" i="11"/>
  <c r="V285" i="11"/>
  <c r="V738" i="11"/>
  <c r="V438" i="11"/>
  <c r="V732" i="11"/>
  <c r="V288" i="11"/>
  <c r="V332" i="11"/>
  <c r="V614" i="11"/>
  <c r="V62" i="11"/>
  <c r="V378" i="11"/>
  <c r="V780" i="11"/>
  <c r="V925" i="11"/>
  <c r="V731" i="11"/>
  <c r="V416" i="11"/>
  <c r="V924" i="11"/>
  <c r="V996" i="11"/>
  <c r="V920" i="11"/>
  <c r="V186" i="11"/>
  <c r="V568" i="11"/>
  <c r="V136" i="11"/>
  <c r="V1000" i="11"/>
  <c r="V579" i="11"/>
  <c r="V106" i="11"/>
  <c r="V176" i="11"/>
  <c r="V865" i="11"/>
  <c r="V470" i="11"/>
  <c r="V129" i="11"/>
  <c r="V243" i="11"/>
  <c r="V945" i="11"/>
  <c r="V211" i="11"/>
  <c r="V419" i="11"/>
  <c r="V212" i="11"/>
  <c r="V856" i="11"/>
  <c r="V637" i="11"/>
  <c r="V121" i="11"/>
  <c r="V739" i="11"/>
  <c r="V594" i="11"/>
  <c r="V581" i="11"/>
  <c r="V810" i="11"/>
  <c r="V120" i="11"/>
  <c r="V125" i="11"/>
  <c r="V625" i="11"/>
  <c r="V344" i="11"/>
  <c r="V767" i="11"/>
  <c r="V721" i="11"/>
  <c r="V844" i="11"/>
  <c r="V173" i="11"/>
  <c r="V457" i="11"/>
  <c r="V730" i="11"/>
  <c r="V948" i="11"/>
  <c r="V791" i="11"/>
  <c r="V997" i="11"/>
  <c r="V88" i="11"/>
  <c r="V66" i="11"/>
  <c r="V511" i="11"/>
  <c r="V501" i="11"/>
  <c r="V690" i="11"/>
  <c r="V111" i="11"/>
  <c r="V314" i="11"/>
  <c r="V531" i="11"/>
  <c r="V800" i="11"/>
  <c r="V667" i="11"/>
  <c r="V328" i="11"/>
  <c r="V554" i="11"/>
  <c r="V410" i="11"/>
  <c r="V959" i="11"/>
  <c r="V424" i="11"/>
  <c r="V547" i="11"/>
  <c r="V976" i="11"/>
  <c r="V316" i="11"/>
  <c r="V782" i="11"/>
  <c r="V452" i="11"/>
  <c r="V718" i="11"/>
  <c r="V949" i="11"/>
  <c r="V37" i="11"/>
  <c r="V433" i="11"/>
  <c r="V994" i="11"/>
  <c r="V631" i="11"/>
  <c r="V402" i="11"/>
  <c r="V636" i="11"/>
  <c r="V171" i="11"/>
  <c r="V391" i="11"/>
  <c r="V240" i="11"/>
  <c r="V388" i="11"/>
  <c r="V482" i="11"/>
  <c r="V829" i="11"/>
  <c r="V612" i="11"/>
  <c r="V950" i="11"/>
  <c r="V412" i="11"/>
  <c r="V112" i="11"/>
  <c r="V329" i="11"/>
  <c r="V199" i="11"/>
  <c r="V425" i="11"/>
  <c r="V449" i="11"/>
  <c r="V38" i="11"/>
  <c r="V683" i="11"/>
  <c r="V345" i="11"/>
  <c r="V183" i="11"/>
  <c r="V695" i="11"/>
  <c r="V63" i="11"/>
  <c r="V725" i="11"/>
  <c r="V712" i="11"/>
  <c r="V434" i="11"/>
  <c r="V839" i="11"/>
  <c r="V719" i="11"/>
  <c r="V752" i="11"/>
  <c r="V1008" i="11"/>
  <c r="V377" i="11"/>
  <c r="V790" i="11"/>
  <c r="V244" i="11"/>
  <c r="V229" i="11"/>
  <c r="V362" i="11"/>
  <c r="V114" i="11"/>
  <c r="V867" i="11"/>
  <c r="V360" i="11"/>
  <c r="V927" i="11"/>
  <c r="V50" i="11"/>
  <c r="V749" i="11"/>
  <c r="V917" i="11"/>
  <c r="V250" i="11"/>
  <c r="V310" i="11"/>
  <c r="V603" i="11"/>
  <c r="V169" i="11"/>
  <c r="V104" i="11"/>
  <c r="V622" i="11"/>
  <c r="V985" i="11"/>
  <c r="V1003" i="11"/>
  <c r="V462" i="11"/>
  <c r="V926" i="11"/>
  <c r="V761" i="11"/>
  <c r="V895" i="11"/>
  <c r="V887" i="11"/>
  <c r="V821" i="11"/>
  <c r="V769" i="11"/>
  <c r="V468" i="11"/>
  <c r="V153" i="11"/>
  <c r="V504" i="11"/>
  <c r="V870" i="11"/>
  <c r="V174" i="11"/>
  <c r="V533" i="11"/>
  <c r="V292" i="11"/>
  <c r="V79" i="11"/>
  <c r="V503" i="11"/>
  <c r="V497" i="11"/>
  <c r="V181" i="11"/>
  <c r="V471" i="11"/>
  <c r="V365" i="11"/>
  <c r="V227" i="11"/>
  <c r="V671" i="11"/>
  <c r="V236" i="11"/>
  <c r="V117" i="11"/>
  <c r="V492" i="11"/>
  <c r="V262" i="11"/>
  <c r="V180" i="11"/>
  <c r="V403" i="11"/>
  <c r="V755" i="11"/>
  <c r="V793" i="11"/>
  <c r="V364" i="11"/>
  <c r="V175" i="11"/>
  <c r="V633" i="11"/>
  <c r="V582" i="11"/>
  <c r="V123" i="11"/>
  <c r="V358" i="11"/>
  <c r="V49" i="11"/>
  <c r="V231" i="11"/>
  <c r="V264" i="11"/>
  <c r="V398" i="11"/>
  <c r="V436" i="11"/>
  <c r="V607" i="11"/>
  <c r="V852" i="11"/>
  <c r="V385" i="11"/>
  <c r="V938" i="11"/>
  <c r="V892" i="11"/>
  <c r="V297" i="11"/>
  <c r="V85" i="11"/>
  <c r="V970" i="11"/>
  <c r="V361" i="11"/>
  <c r="V184" i="11"/>
  <c r="V704" i="11"/>
  <c r="V656" i="11"/>
  <c r="V298" i="11"/>
  <c r="V96" i="11"/>
  <c r="V516" i="11"/>
  <c r="V441" i="11"/>
  <c r="V407" i="11"/>
  <c r="V941" i="11"/>
  <c r="V851" i="11"/>
  <c r="V464" i="11"/>
  <c r="V31" i="11"/>
  <c r="V170" i="11"/>
  <c r="V751" i="11"/>
  <c r="V931" i="11"/>
  <c r="V681" i="11"/>
  <c r="V93" i="11"/>
  <c r="V588" i="11"/>
  <c r="V542" i="11"/>
  <c r="V880" i="11"/>
  <c r="V922" i="11"/>
  <c r="V686" i="11"/>
  <c r="V1004" i="11"/>
  <c r="V122" i="11"/>
  <c r="V161" i="11"/>
  <c r="V44" i="11"/>
  <c r="V369" i="11"/>
  <c r="V232" i="11"/>
  <c r="V812" i="11"/>
  <c r="V911" i="11"/>
  <c r="V270" i="11"/>
  <c r="V572" i="11"/>
  <c r="V327" i="11"/>
  <c r="V979" i="11"/>
  <c r="V962" i="11"/>
  <c r="V974" i="11"/>
  <c r="V70" i="11"/>
  <c r="V435" i="11"/>
  <c r="V837" i="11"/>
  <c r="V828" i="11"/>
  <c r="V450" i="11"/>
  <c r="V973" i="11"/>
  <c r="V989" i="11"/>
  <c r="V371" i="11"/>
  <c r="V188" i="11"/>
  <c r="V89" i="11"/>
  <c r="V56" i="11"/>
  <c r="V666" i="11"/>
  <c r="V246" i="11"/>
  <c r="V696" i="11"/>
  <c r="V921" i="11"/>
  <c r="V599" i="11"/>
  <c r="V301" i="11"/>
  <c r="V217" i="11"/>
  <c r="V140" i="11"/>
  <c r="V722" i="11"/>
  <c r="V661" i="11"/>
  <c r="V733" i="11"/>
  <c r="V477" i="11"/>
  <c r="V893" i="11"/>
  <c r="V817" i="11"/>
  <c r="V939" i="11"/>
  <c r="V263" i="11"/>
  <c r="V426" i="11"/>
  <c r="V399" i="11"/>
  <c r="V777" i="11"/>
  <c r="V340" i="11"/>
  <c r="V698" i="11"/>
  <c r="V566" i="11"/>
  <c r="V65" i="11"/>
  <c r="V715" i="11"/>
  <c r="V493" i="11"/>
  <c r="V518" i="11"/>
  <c r="V131" i="11"/>
  <c r="V627" i="11"/>
  <c r="V478" i="11"/>
  <c r="V544" i="11"/>
  <c r="V655" i="11"/>
  <c r="V772" i="11"/>
  <c r="V512" i="11"/>
  <c r="V918" i="11"/>
  <c r="V486" i="11"/>
  <c r="V48" i="11"/>
  <c r="V300" i="11"/>
  <c r="V380" i="11"/>
  <c r="V428" i="11"/>
  <c r="V307" i="11"/>
  <c r="V43" i="11"/>
  <c r="V126" i="11"/>
  <c r="V521" i="11"/>
  <c r="V877" i="11"/>
  <c r="V216" i="11"/>
  <c r="V879" i="11"/>
  <c r="V500" i="11"/>
  <c r="V272" i="11"/>
  <c r="V473" i="11"/>
  <c r="V657" i="11"/>
  <c r="V535" i="11"/>
  <c r="V155" i="11"/>
  <c r="V392" i="11"/>
  <c r="V869" i="11"/>
  <c r="V334" i="11"/>
  <c r="V775" i="11"/>
  <c r="V701" i="11"/>
  <c r="V907" i="11"/>
  <c r="V11" i="11"/>
  <c r="V643" i="11"/>
  <c r="V786" i="11"/>
  <c r="V394" i="11"/>
  <c r="V208" i="11"/>
  <c r="V284" i="11"/>
  <c r="V299" i="11"/>
  <c r="V467" i="11"/>
  <c r="V395" i="11"/>
  <c r="V265" i="11"/>
  <c r="V205" i="11"/>
  <c r="V955" i="11"/>
  <c r="V606" i="11"/>
  <c r="V248" i="11"/>
  <c r="V124" i="11"/>
  <c r="V957" i="11"/>
  <c r="V818" i="11"/>
  <c r="V456" i="11"/>
  <c r="V427" i="11"/>
  <c r="V898" i="11"/>
  <c r="V889" i="11"/>
  <c r="V141" i="11"/>
  <c r="V758" i="11"/>
  <c r="V303" i="11"/>
  <c r="V576" i="11"/>
  <c r="V687" i="11"/>
  <c r="V792" i="11"/>
  <c r="V458" i="11"/>
  <c r="V194" i="11"/>
  <c r="V290" i="11"/>
  <c r="V768" i="11"/>
  <c r="V302" i="11"/>
  <c r="V762" i="11"/>
  <c r="V90" i="11"/>
  <c r="V669" i="11"/>
  <c r="V543" i="11"/>
  <c r="V306" i="11"/>
  <c r="V765" i="11"/>
  <c r="V94" i="11"/>
  <c r="V489" i="11"/>
  <c r="V802" i="11"/>
  <c r="V916" i="11"/>
  <c r="V845" i="11"/>
  <c r="V646" i="11"/>
  <c r="V639" i="11"/>
  <c r="V969" i="11"/>
  <c r="V339" i="11"/>
  <c r="V47" i="11"/>
  <c r="V538" i="11"/>
  <c r="V27" i="11"/>
  <c r="V841" i="11"/>
  <c r="V617" i="11"/>
  <c r="V73" i="11"/>
  <c r="V54" i="11"/>
  <c r="V203" i="11"/>
  <c r="V304" i="11"/>
  <c r="V934" i="11"/>
  <c r="V224" i="11"/>
  <c r="V787" i="11"/>
  <c r="V855" i="11"/>
  <c r="V324" i="11"/>
  <c r="V843" i="11"/>
  <c r="V397" i="11"/>
  <c r="V556" i="11"/>
  <c r="V854" i="11"/>
  <c r="V613" i="11"/>
  <c r="V723" i="11"/>
  <c r="V105" i="11"/>
  <c r="V621" i="11"/>
  <c r="V602" i="11"/>
  <c r="V816" i="11"/>
  <c r="V517" i="11"/>
  <c r="V890" i="11"/>
  <c r="V593" i="11"/>
  <c r="V309" i="11"/>
  <c r="V228" i="11"/>
  <c r="V81" i="11"/>
  <c r="V352" i="11"/>
  <c r="V19" i="11"/>
  <c r="V333" i="11"/>
  <c r="V156" i="11"/>
  <c r="V999" i="11"/>
  <c r="V571" i="11"/>
  <c r="V382" i="11"/>
  <c r="V951" i="11"/>
  <c r="V234" i="11"/>
  <c r="V349" i="11"/>
  <c r="V561" i="11"/>
  <c r="V499" i="11"/>
  <c r="V930" i="11"/>
  <c r="V320" i="11"/>
  <c r="V773" i="11"/>
  <c r="V387" i="11"/>
  <c r="V929" i="11"/>
  <c r="V437" i="11"/>
  <c r="V408" i="11"/>
  <c r="V708" i="11"/>
  <c r="V294" i="11"/>
  <c r="V693" i="11"/>
  <c r="V904" i="11"/>
  <c r="V968" i="11"/>
  <c r="V947" i="11"/>
  <c r="V737" i="11"/>
  <c r="V590" i="11"/>
  <c r="V74" i="11"/>
  <c r="V12" i="11"/>
  <c r="V760" i="11"/>
  <c r="V356" i="11"/>
  <c r="V148" i="11"/>
  <c r="V832" i="11"/>
  <c r="V342" i="11"/>
  <c r="V61" i="11"/>
  <c r="V396" i="11"/>
  <c r="V577" i="11"/>
  <c r="V684" i="11"/>
  <c r="V149" i="11"/>
  <c r="V291" i="11"/>
  <c r="V513" i="11"/>
  <c r="V849" i="11"/>
  <c r="V116" i="11"/>
  <c r="V799" i="11"/>
  <c r="V151" i="11"/>
  <c r="V560" i="11"/>
  <c r="V57" i="11"/>
  <c r="V888" i="11"/>
  <c r="V215" i="11"/>
  <c r="V534" i="11"/>
  <c r="V650" i="11"/>
  <c r="V370" i="11"/>
  <c r="V390" i="11"/>
  <c r="V505" i="11"/>
  <c r="V409" i="11"/>
  <c r="V202" i="11"/>
  <c r="V239" i="11"/>
  <c r="V648" i="11"/>
  <c r="V586" i="11"/>
  <c r="V481" i="11"/>
  <c r="V676" i="11"/>
  <c r="V335" i="11"/>
  <c r="V77" i="11"/>
  <c r="V267" i="11"/>
  <c r="V541" i="11"/>
  <c r="V330" i="11"/>
  <c r="V15" i="11"/>
  <c r="V415" i="11"/>
  <c r="V69" i="11"/>
  <c r="V160" i="11"/>
  <c r="V663" i="11"/>
  <c r="V630" i="11"/>
  <c r="V509" i="11"/>
  <c r="V575" i="11"/>
  <c r="V374" i="11"/>
  <c r="V100" i="11"/>
  <c r="V819" i="11"/>
  <c r="V13" i="11"/>
  <c r="V578" i="11"/>
  <c r="V659" i="11"/>
  <c r="V204" i="11"/>
  <c r="V668" i="11"/>
  <c r="V260" i="11"/>
  <c r="V1001" i="11"/>
  <c r="V195" i="11"/>
  <c r="V147" i="11"/>
  <c r="V311" i="11"/>
  <c r="V664" i="11"/>
  <c r="V860" i="11"/>
  <c r="V714" i="11"/>
  <c r="V623" i="11"/>
  <c r="V206" i="11"/>
  <c r="V445" i="11"/>
  <c r="V990" i="11"/>
  <c r="V157" i="11"/>
  <c r="V158" i="11"/>
  <c r="V796" i="11"/>
  <c r="V908" i="11"/>
  <c r="V788" i="11"/>
  <c r="V784" i="11"/>
  <c r="V522" i="11"/>
  <c r="V82" i="11"/>
  <c r="V809" i="11"/>
  <c r="V946" i="11"/>
  <c r="V876" i="11"/>
  <c r="V313" i="11"/>
  <c r="V983" i="11"/>
  <c r="V132" i="11"/>
  <c r="V923" i="11"/>
  <c r="V319" i="11"/>
  <c r="V219" i="11"/>
  <c r="V966" i="11"/>
  <c r="V652" i="11"/>
  <c r="V813" i="11"/>
  <c r="V502" i="11"/>
  <c r="V45" i="11"/>
  <c r="V724" i="11"/>
  <c r="V692" i="11"/>
  <c r="V635" i="11"/>
  <c r="V805" i="11"/>
  <c r="V592" i="11"/>
  <c r="V977" i="11"/>
  <c r="V713" i="11"/>
  <c r="V914" i="11"/>
  <c r="V51" i="11"/>
  <c r="V318" i="11"/>
  <c r="V785" i="11"/>
  <c r="V193" i="11"/>
  <c r="V46" i="11"/>
  <c r="V42" i="11"/>
  <c r="V135" i="11"/>
  <c r="V101" i="11"/>
  <c r="V776" i="11"/>
  <c r="V454" i="11"/>
  <c r="V1006" i="11"/>
  <c r="V658" i="11"/>
  <c r="V400" i="11"/>
  <c r="V859" i="11"/>
  <c r="V1007" i="11"/>
  <c r="V988" i="11"/>
  <c r="V331" i="11"/>
  <c r="V748" i="11"/>
  <c r="V159" i="11"/>
  <c r="V545" i="11"/>
  <c r="V275" i="11"/>
  <c r="V372" i="11"/>
  <c r="V943" i="11"/>
  <c r="V940" i="11"/>
  <c r="V255" i="11"/>
  <c r="V40" i="11"/>
  <c r="V783" i="11"/>
  <c r="V563" i="11"/>
  <c r="V530" i="11"/>
  <c r="V168" i="11"/>
  <c r="V573" i="11"/>
  <c r="V589" i="11"/>
  <c r="V878" i="11"/>
  <c r="V804" i="11"/>
  <c r="V834" i="11"/>
  <c r="V565" i="11"/>
  <c r="V312" i="11"/>
  <c r="V381" i="11"/>
  <c r="V53" i="11"/>
  <c r="V756" i="11"/>
  <c r="V705" i="11"/>
  <c r="V443" i="11"/>
  <c r="V343" i="11"/>
  <c r="V618" i="11"/>
  <c r="V710" i="11"/>
  <c r="V564" i="11"/>
  <c r="V874" i="11"/>
  <c r="V580" i="11"/>
  <c r="V439" i="11"/>
  <c r="V491" i="11"/>
  <c r="V716" i="11"/>
  <c r="V754" i="11"/>
  <c r="V678" i="11"/>
  <c r="V1010" i="11"/>
  <c r="V189" i="11"/>
  <c r="V128" i="11"/>
  <c r="V485" i="11"/>
  <c r="V827" i="11"/>
  <c r="V736" i="11"/>
  <c r="V495" i="11"/>
  <c r="V549" i="11"/>
  <c r="V638" i="11"/>
  <c r="V953" i="11"/>
  <c r="V475" i="11"/>
  <c r="V210" i="11"/>
  <c r="V960" i="11"/>
  <c r="V103" i="11"/>
  <c r="V935" i="11"/>
  <c r="V277" i="11"/>
  <c r="V937" i="11"/>
  <c r="V559" i="11"/>
  <c r="V444" i="11"/>
  <c r="V986" i="11"/>
  <c r="V16" i="11"/>
  <c r="V351" i="11"/>
  <c r="V455" i="11"/>
  <c r="V83" i="11"/>
  <c r="V679" i="11"/>
  <c r="V226" i="11"/>
  <c r="V289" i="11"/>
  <c r="V557" i="11"/>
  <c r="V510" i="11"/>
  <c r="V954" i="11"/>
  <c r="V691" i="11"/>
  <c r="V964" i="11"/>
  <c r="V770" i="11"/>
  <c r="V461" i="11"/>
  <c r="V102" i="11"/>
  <c r="V982" i="11"/>
  <c r="V287" i="11"/>
  <c r="V811" i="11"/>
  <c r="V222" i="11"/>
  <c r="V418" i="11"/>
  <c r="V346" i="11"/>
  <c r="V717" i="11"/>
  <c r="V720" i="11"/>
  <c r="V487" i="11"/>
  <c r="V32" i="11"/>
  <c r="V341" i="11"/>
  <c r="V138" i="11"/>
  <c r="V474" i="11"/>
  <c r="V145" i="11"/>
  <c r="V689" i="11"/>
  <c r="V524" i="11"/>
  <c r="V909" i="11"/>
  <c r="V894" i="11"/>
  <c r="V529" i="11"/>
  <c r="V252" i="11"/>
  <c r="V253" i="11"/>
  <c r="V711" i="11"/>
  <c r="V178" i="11"/>
  <c r="V967" i="11"/>
  <c r="V883" i="11"/>
  <c r="V296" i="11"/>
  <c r="V644" i="11"/>
  <c r="V87" i="11"/>
  <c r="V33" i="11"/>
  <c r="V528" i="11"/>
  <c r="V992" i="11"/>
  <c r="V919" i="11"/>
  <c r="V271" i="11"/>
  <c r="V359" i="11"/>
  <c r="V675" i="11"/>
  <c r="V368" i="11"/>
  <c r="V23" i="11"/>
  <c r="V842" i="11"/>
  <c r="V902" i="11"/>
  <c r="V886" i="11"/>
  <c r="V605" i="11"/>
  <c r="V266" i="11"/>
  <c r="V393" i="11"/>
  <c r="V276" i="11"/>
  <c r="V815" i="11"/>
  <c r="V702" i="11"/>
  <c r="V197" i="11"/>
  <c r="V915" i="11"/>
  <c r="V682" i="11"/>
  <c r="V198" i="11"/>
  <c r="V366" i="11"/>
  <c r="V230" i="11"/>
  <c r="V963" i="11"/>
  <c r="V84" i="11"/>
  <c r="V742" i="11"/>
  <c r="V133" i="11"/>
  <c r="V325" i="11"/>
  <c r="V961" i="11"/>
  <c r="Z856" i="18" l="1"/>
  <c r="Z722" i="18"/>
  <c r="Z159" i="18"/>
  <c r="Z183" i="18"/>
  <c r="Z195" i="18"/>
  <c r="Z1009" i="18"/>
  <c r="Z120" i="18"/>
  <c r="Z144" i="18"/>
  <c r="AA144" i="18" s="1"/>
  <c r="Z1012" i="18"/>
  <c r="AA1012" i="18" s="1"/>
  <c r="Z920" i="18"/>
  <c r="Z820" i="18"/>
  <c r="AA820" i="18" s="1"/>
  <c r="Z936" i="18"/>
  <c r="Z753" i="18"/>
  <c r="AA753" i="18" s="1"/>
  <c r="Z102" i="18"/>
  <c r="Z188" i="18"/>
  <c r="Z126" i="18"/>
  <c r="Z268" i="18"/>
  <c r="Z74" i="18"/>
  <c r="Z858" i="18"/>
  <c r="Z1020" i="18"/>
  <c r="AA1020" i="18" s="1"/>
  <c r="Z758" i="18"/>
  <c r="Z158" i="18"/>
  <c r="Z383" i="18"/>
  <c r="AA383" i="18" s="1"/>
  <c r="Z720" i="18"/>
  <c r="Z911" i="18"/>
  <c r="AA911" i="18" s="1"/>
  <c r="Z862" i="18"/>
  <c r="Z915" i="18"/>
  <c r="Z881" i="18"/>
  <c r="Z906" i="18"/>
  <c r="AA906" i="18" s="1"/>
  <c r="Z888" i="18"/>
  <c r="Z1000" i="18"/>
  <c r="Z69" i="18"/>
  <c r="AA69" i="18" s="1"/>
  <c r="Z251" i="18"/>
  <c r="Z322" i="18"/>
  <c r="AA322" i="18" s="1"/>
  <c r="Z493" i="18"/>
  <c r="AA493" i="18" s="1"/>
  <c r="Z851" i="18"/>
  <c r="Z868" i="18"/>
  <c r="AA868" i="18" s="1"/>
  <c r="Z909" i="18"/>
  <c r="AA909" i="18" s="1"/>
  <c r="Z184" i="18"/>
  <c r="Z131" i="18"/>
  <c r="Z167" i="18"/>
  <c r="Z354" i="18"/>
  <c r="Z938" i="18"/>
  <c r="AA938" i="18" s="1"/>
  <c r="Z440" i="18"/>
  <c r="Z111" i="18"/>
  <c r="Z274" i="18"/>
  <c r="Z340" i="18"/>
  <c r="AA340" i="18" s="1"/>
  <c r="Z913" i="18"/>
  <c r="Z765" i="18"/>
  <c r="Z884" i="18"/>
  <c r="AA884" i="18" s="1"/>
  <c r="Z931" i="18"/>
  <c r="Z308" i="18"/>
  <c r="Z923" i="18"/>
  <c r="Z78" i="18"/>
  <c r="Z133" i="18"/>
  <c r="Z155" i="18"/>
  <c r="Z177" i="18"/>
  <c r="Z187" i="18"/>
  <c r="Z782" i="18"/>
  <c r="Z643" i="18"/>
  <c r="AA643" i="18" s="1"/>
  <c r="Z253" i="18"/>
  <c r="AA253" i="18" s="1"/>
  <c r="Z55" i="18"/>
  <c r="AA55" i="18" s="1"/>
  <c r="Z108" i="18"/>
  <c r="Z218" i="18"/>
  <c r="AA218" i="18" s="1"/>
  <c r="Z344" i="18"/>
  <c r="Z469" i="18"/>
  <c r="Z744" i="18"/>
  <c r="Z827" i="18"/>
  <c r="AA827" i="18" s="1"/>
  <c r="Z1036" i="18"/>
  <c r="Z186" i="18"/>
  <c r="AA186" i="18" s="1"/>
  <c r="Z201" i="18"/>
  <c r="AA201" i="18" s="1"/>
  <c r="Z202" i="18"/>
  <c r="AA202" i="18" s="1"/>
  <c r="Z254" i="18"/>
  <c r="AA254" i="18" s="1"/>
  <c r="Z771" i="18"/>
  <c r="AA771" i="18" s="1"/>
  <c r="Z794" i="18"/>
  <c r="Z99" i="18"/>
  <c r="Z104" i="18"/>
  <c r="Z109" i="18"/>
  <c r="Z139" i="18"/>
  <c r="AA139" i="18" s="1"/>
  <c r="Z269" i="18"/>
  <c r="AA269" i="18" s="1"/>
  <c r="Z336" i="18"/>
  <c r="AA336" i="18" s="1"/>
  <c r="Z698" i="18"/>
  <c r="AA698" i="18" s="1"/>
  <c r="Z801" i="18"/>
  <c r="Z839" i="18"/>
  <c r="Z892" i="18"/>
  <c r="AA892" i="18" s="1"/>
  <c r="Z992" i="18"/>
  <c r="AA992" i="18" s="1"/>
  <c r="Z1052" i="18"/>
  <c r="Z68" i="18"/>
  <c r="Z495" i="18"/>
  <c r="AA495" i="18" s="1"/>
  <c r="Z768" i="18"/>
  <c r="Z1038" i="18"/>
  <c r="AA1038" i="18" s="1"/>
  <c r="Z44" i="18"/>
  <c r="AA44" i="18" s="1"/>
  <c r="Z65" i="18"/>
  <c r="Z125" i="18"/>
  <c r="Z137" i="18"/>
  <c r="AA137" i="18" s="1"/>
  <c r="Z271" i="18"/>
  <c r="Z590" i="18"/>
  <c r="AA590" i="18" s="1"/>
  <c r="Z688" i="18"/>
  <c r="AA688" i="18" s="1"/>
  <c r="Z813" i="18"/>
  <c r="Z939" i="18"/>
  <c r="Z533" i="18"/>
  <c r="Z760" i="18"/>
  <c r="Z785" i="18"/>
  <c r="AA785" i="18" s="1"/>
  <c r="Z798" i="18"/>
  <c r="AA798" i="18" s="1"/>
  <c r="Z850" i="18"/>
  <c r="AA850" i="18" s="1"/>
  <c r="Z960" i="18"/>
  <c r="AA960" i="18" s="1"/>
  <c r="Z213" i="18"/>
  <c r="AA213" i="18" s="1"/>
  <c r="Z222" i="18"/>
  <c r="Z296" i="18"/>
  <c r="Z478" i="18"/>
  <c r="Z656" i="18"/>
  <c r="AA656" i="18" s="1"/>
  <c r="Z875" i="18"/>
  <c r="AA875" i="18" s="1"/>
  <c r="Z922" i="18"/>
  <c r="Z63" i="18"/>
  <c r="AA63" i="18" s="1"/>
  <c r="Z165" i="18"/>
  <c r="Z285" i="18"/>
  <c r="AA285" i="18" s="1"/>
  <c r="Z291" i="18"/>
  <c r="Z319" i="18"/>
  <c r="Z864" i="18"/>
  <c r="AA864" i="18" s="1"/>
  <c r="Z952" i="18"/>
  <c r="Z1026" i="18"/>
  <c r="AA1026" i="18" s="1"/>
  <c r="Z257" i="18"/>
  <c r="AA257" i="18" s="1"/>
  <c r="Z345" i="18"/>
  <c r="Z353" i="18"/>
  <c r="AA353" i="18" s="1"/>
  <c r="Z168" i="18"/>
  <c r="AA168" i="18" s="1"/>
  <c r="Z71" i="18"/>
  <c r="AA71" i="18" s="1"/>
  <c r="Z205" i="18"/>
  <c r="Z238" i="18"/>
  <c r="Z252" i="18"/>
  <c r="Z256" i="18"/>
  <c r="AA256" i="18" s="1"/>
  <c r="Z279" i="18"/>
  <c r="AA279" i="18" s="1"/>
  <c r="Z406" i="18"/>
  <c r="AA406" i="18" s="1"/>
  <c r="Z716" i="18"/>
  <c r="Z1068" i="18"/>
  <c r="AA268" i="18"/>
  <c r="Z546" i="18"/>
  <c r="Z848" i="18"/>
  <c r="Z849" i="18"/>
  <c r="Z898" i="18"/>
  <c r="AA898" i="18" s="1"/>
  <c r="Z97" i="18"/>
  <c r="AA97" i="18" s="1"/>
  <c r="Z259" i="18"/>
  <c r="Z277" i="18"/>
  <c r="Z519" i="18"/>
  <c r="AA519" i="18" s="1"/>
  <c r="Z530" i="18"/>
  <c r="AA530" i="18" s="1"/>
  <c r="Z706" i="18"/>
  <c r="Z815" i="18"/>
  <c r="Z1063" i="18"/>
  <c r="Z57" i="18"/>
  <c r="AA57" i="18" s="1"/>
  <c r="Z72" i="18"/>
  <c r="Z248" i="18"/>
  <c r="Z544" i="18"/>
  <c r="Z695" i="18"/>
  <c r="AA695" i="18" s="1"/>
  <c r="Z721" i="18"/>
  <c r="Z736" i="18"/>
  <c r="Z741" i="18"/>
  <c r="AA741" i="18" s="1"/>
  <c r="Z772" i="18"/>
  <c r="Z809" i="18"/>
  <c r="Z832" i="18"/>
  <c r="Z957" i="18"/>
  <c r="AA957" i="18" s="1"/>
  <c r="Z979" i="18"/>
  <c r="Z989" i="18"/>
  <c r="AA989" i="18" s="1"/>
  <c r="Z185" i="18"/>
  <c r="Z496" i="18"/>
  <c r="AA496" i="18" s="1"/>
  <c r="Z972" i="18"/>
  <c r="AA972" i="18" s="1"/>
  <c r="Z1065" i="18"/>
  <c r="AA1065" i="18" s="1"/>
  <c r="Z122" i="18"/>
  <c r="AA122" i="18" s="1"/>
  <c r="Z127" i="18"/>
  <c r="Z189" i="18"/>
  <c r="AA189" i="18" s="1"/>
  <c r="Z278" i="18"/>
  <c r="Z429" i="18"/>
  <c r="AA429" i="18" s="1"/>
  <c r="Z667" i="18"/>
  <c r="Z710" i="18"/>
  <c r="Z764" i="18"/>
  <c r="AA764" i="18" s="1"/>
  <c r="Z770" i="18"/>
  <c r="Z774" i="18"/>
  <c r="Z790" i="18"/>
  <c r="Z829" i="18"/>
  <c r="AA829" i="18" s="1"/>
  <c r="Z830" i="18"/>
  <c r="Z919" i="18"/>
  <c r="Z969" i="18"/>
  <c r="AA969" i="18" s="1"/>
  <c r="Z986" i="18"/>
  <c r="Z993" i="18"/>
  <c r="AA993" i="18" s="1"/>
  <c r="Z1006" i="18"/>
  <c r="AA1006" i="18" s="1"/>
  <c r="Z1024" i="18"/>
  <c r="Z4" i="18"/>
  <c r="AA4" i="18" s="1"/>
  <c r="Z13" i="18"/>
  <c r="AA13" i="18" s="1"/>
  <c r="Z172" i="18"/>
  <c r="AA172" i="18" s="1"/>
  <c r="Z176" i="18"/>
  <c r="Z200" i="18"/>
  <c r="AA200" i="18" s="1"/>
  <c r="Z242" i="18"/>
  <c r="AA242" i="18" s="1"/>
  <c r="Z275" i="18"/>
  <c r="AA275" i="18" s="1"/>
  <c r="Z276" i="18"/>
  <c r="Z416" i="18"/>
  <c r="Z550" i="18"/>
  <c r="Z847" i="18"/>
  <c r="AA847" i="18" s="1"/>
  <c r="Z901" i="18"/>
  <c r="Z985" i="18"/>
  <c r="AA985" i="18" s="1"/>
  <c r="Z990" i="18"/>
  <c r="AA990" i="18" s="1"/>
  <c r="Z1019" i="18"/>
  <c r="AA1019" i="18" s="1"/>
  <c r="Z387" i="18"/>
  <c r="AA387" i="18" s="1"/>
  <c r="Z882" i="18"/>
  <c r="AA882" i="18" s="1"/>
  <c r="Z916" i="18"/>
  <c r="Z947" i="18"/>
  <c r="AA947" i="18" s="1"/>
  <c r="Z950" i="18"/>
  <c r="Z1045" i="18"/>
  <c r="AA1045" i="18" s="1"/>
  <c r="Z28" i="18"/>
  <c r="Z52" i="18"/>
  <c r="Z265" i="18"/>
  <c r="Z287" i="18"/>
  <c r="AA287" i="18" s="1"/>
  <c r="Z320" i="18"/>
  <c r="AA320" i="18" s="1"/>
  <c r="Z328" i="18"/>
  <c r="Z374" i="18"/>
  <c r="AA374" i="18" s="1"/>
  <c r="Z444" i="18"/>
  <c r="Z157" i="18"/>
  <c r="Z307" i="18"/>
  <c r="Z317" i="18"/>
  <c r="Z323" i="18"/>
  <c r="Z325" i="18"/>
  <c r="Z339" i="18"/>
  <c r="Z60" i="18"/>
  <c r="AA60" i="18" s="1"/>
  <c r="Z107" i="18"/>
  <c r="AA107" i="18" s="1"/>
  <c r="Z129" i="18"/>
  <c r="Z132" i="18"/>
  <c r="Z149" i="18"/>
  <c r="Z231" i="18"/>
  <c r="Z239" i="18"/>
  <c r="AA239" i="18" s="1"/>
  <c r="Z281" i="18"/>
  <c r="AA281" i="18" s="1"/>
  <c r="Z314" i="18"/>
  <c r="Z343" i="18"/>
  <c r="AA343" i="18" s="1"/>
  <c r="Z9" i="18"/>
  <c r="AA9" i="18" s="1"/>
  <c r="Z24" i="18"/>
  <c r="AA24" i="18" s="1"/>
  <c r="Z88" i="18"/>
  <c r="AA88" i="18" s="1"/>
  <c r="Z106" i="18"/>
  <c r="Z166" i="18"/>
  <c r="AA166" i="18" s="1"/>
  <c r="Z225" i="18"/>
  <c r="Z236" i="18"/>
  <c r="Z306" i="18"/>
  <c r="AA306" i="18" s="1"/>
  <c r="Z174" i="18"/>
  <c r="AA174" i="18" s="1"/>
  <c r="Z219" i="18"/>
  <c r="AA219" i="18" s="1"/>
  <c r="Z229" i="18"/>
  <c r="AA229" i="18" s="1"/>
  <c r="Z290" i="18"/>
  <c r="Z43" i="18"/>
  <c r="Z82" i="18"/>
  <c r="Z83" i="18"/>
  <c r="Z93" i="18"/>
  <c r="Z121" i="18"/>
  <c r="Z123" i="18"/>
  <c r="Z156" i="18"/>
  <c r="Z171" i="18"/>
  <c r="AA171" i="18" s="1"/>
  <c r="AA195" i="18"/>
  <c r="Z210" i="18"/>
  <c r="Z324" i="18"/>
  <c r="Z385" i="18"/>
  <c r="AA385" i="18" s="1"/>
  <c r="Z434" i="18"/>
  <c r="AA434" i="18" s="1"/>
  <c r="Z181" i="18"/>
  <c r="AA181" i="18" s="1"/>
  <c r="Z299" i="18"/>
  <c r="AA299" i="18" s="1"/>
  <c r="Z401" i="18"/>
  <c r="AA401" i="18" s="1"/>
  <c r="Z175" i="18"/>
  <c r="Z182" i="18"/>
  <c r="Z190" i="18"/>
  <c r="AA190" i="18" s="1"/>
  <c r="Z243" i="18"/>
  <c r="AA243" i="18" s="1"/>
  <c r="Z310" i="18"/>
  <c r="Z366" i="18"/>
  <c r="AA366" i="18" s="1"/>
  <c r="Z379" i="18"/>
  <c r="AA379" i="18" s="1"/>
  <c r="Z5" i="18"/>
  <c r="AA5" i="18" s="1"/>
  <c r="Z12" i="18"/>
  <c r="AA12" i="18" s="1"/>
  <c r="Z27" i="18"/>
  <c r="AA27" i="18" s="1"/>
  <c r="Z67" i="18"/>
  <c r="AA67" i="18" s="1"/>
  <c r="Z84" i="18"/>
  <c r="Z105" i="18"/>
  <c r="Z227" i="18"/>
  <c r="Z266" i="18"/>
  <c r="Z304" i="18"/>
  <c r="AA304" i="18" s="1"/>
  <c r="Z373" i="18"/>
  <c r="AA373" i="18" s="1"/>
  <c r="Z536" i="18"/>
  <c r="Z169" i="18"/>
  <c r="Z221" i="18"/>
  <c r="AA221" i="18" s="1"/>
  <c r="Z232" i="18"/>
  <c r="Z233" i="18"/>
  <c r="AA233" i="18" s="1"/>
  <c r="Z241" i="18"/>
  <c r="AA241" i="18" s="1"/>
  <c r="Z312" i="18"/>
  <c r="Z141" i="18"/>
  <c r="Z147" i="18"/>
  <c r="AA147" i="18" s="1"/>
  <c r="Z163" i="18"/>
  <c r="AA163" i="18" s="1"/>
  <c r="Z313" i="18"/>
  <c r="AA313" i="18" s="1"/>
  <c r="Z378" i="18"/>
  <c r="AA378" i="18" s="1"/>
  <c r="Z945" i="18"/>
  <c r="Z417" i="18"/>
  <c r="AA417" i="18" s="1"/>
  <c r="Z568" i="18"/>
  <c r="AA568" i="18" s="1"/>
  <c r="Z589" i="18"/>
  <c r="AA589" i="18" s="1"/>
  <c r="Z599" i="18"/>
  <c r="AA599" i="18" s="1"/>
  <c r="Z677" i="18"/>
  <c r="AA677" i="18" s="1"/>
  <c r="Z687" i="18"/>
  <c r="Z961" i="18"/>
  <c r="AA961" i="18" s="1"/>
  <c r="Z997" i="18"/>
  <c r="Z1005" i="18"/>
  <c r="AA1005" i="18" s="1"/>
  <c r="Z607" i="18"/>
  <c r="AA607" i="18" s="1"/>
  <c r="Z654" i="18"/>
  <c r="AA654" i="18" s="1"/>
  <c r="Z675" i="18"/>
  <c r="Z692" i="18"/>
  <c r="AA692" i="18" s="1"/>
  <c r="Z696" i="18"/>
  <c r="Z714" i="18"/>
  <c r="Z733" i="18"/>
  <c r="Z867" i="18"/>
  <c r="Z880" i="18"/>
  <c r="AA880" i="18" s="1"/>
  <c r="Z959" i="18"/>
  <c r="AA959" i="18" s="1"/>
  <c r="Z967" i="18"/>
  <c r="AA967" i="18" s="1"/>
  <c r="Z1014" i="18"/>
  <c r="Z702" i="18"/>
  <c r="AA702" i="18" s="1"/>
  <c r="Z750" i="18"/>
  <c r="AA750" i="18" s="1"/>
  <c r="Z843" i="18"/>
  <c r="AA856" i="18"/>
  <c r="Z910" i="18"/>
  <c r="AA910" i="18" s="1"/>
  <c r="Z963" i="18"/>
  <c r="Z1011" i="18"/>
  <c r="AA1011" i="18" s="1"/>
  <c r="Z1031" i="18"/>
  <c r="AA1031" i="18" s="1"/>
  <c r="Z432" i="18"/>
  <c r="Z492" i="18"/>
  <c r="AA492" i="18" s="1"/>
  <c r="Z506" i="18"/>
  <c r="AA506" i="18" s="1"/>
  <c r="Z538" i="18"/>
  <c r="Z560" i="18"/>
  <c r="AA560" i="18" s="1"/>
  <c r="Z725" i="18"/>
  <c r="Z769" i="18"/>
  <c r="Z907" i="18"/>
  <c r="Z953" i="18"/>
  <c r="Z1077" i="18"/>
  <c r="Z445" i="18"/>
  <c r="AA445" i="18" s="1"/>
  <c r="Z455" i="18"/>
  <c r="Z458" i="18"/>
  <c r="Z534" i="18"/>
  <c r="Z578" i="18"/>
  <c r="AA578" i="18" s="1"/>
  <c r="Z648" i="18"/>
  <c r="Z650" i="18"/>
  <c r="AA650" i="18" s="1"/>
  <c r="Z663" i="18"/>
  <c r="AA663" i="18" s="1"/>
  <c r="Z719" i="18"/>
  <c r="Z833" i="18"/>
  <c r="Z845" i="18"/>
  <c r="Z878" i="18"/>
  <c r="Z899" i="18"/>
  <c r="AA899" i="18" s="1"/>
  <c r="Z918" i="18"/>
  <c r="Z999" i="18"/>
  <c r="Z1059" i="18"/>
  <c r="AA1059" i="18" s="1"/>
  <c r="Z557" i="18"/>
  <c r="AA557" i="18" s="1"/>
  <c r="Z586" i="18"/>
  <c r="Z596" i="18"/>
  <c r="Z614" i="18"/>
  <c r="AA614" i="18" s="1"/>
  <c r="Z694" i="18"/>
  <c r="AA694" i="18" s="1"/>
  <c r="Z740" i="18"/>
  <c r="AA740" i="18" s="1"/>
  <c r="Z749" i="18"/>
  <c r="AA749" i="18" s="1"/>
  <c r="Z754" i="18"/>
  <c r="Z786" i="18"/>
  <c r="Z789" i="18"/>
  <c r="Z806" i="18"/>
  <c r="Z825" i="18"/>
  <c r="Z844" i="18"/>
  <c r="AA844" i="18" s="1"/>
  <c r="Z925" i="18"/>
  <c r="Z973" i="18"/>
  <c r="Z977" i="18"/>
  <c r="AA977" i="18" s="1"/>
  <c r="Z1007" i="18"/>
  <c r="AA1007" i="18" s="1"/>
  <c r="Z436" i="18"/>
  <c r="AA436" i="18" s="1"/>
  <c r="Z439" i="18"/>
  <c r="Z466" i="18"/>
  <c r="Z481" i="18"/>
  <c r="Z484" i="18"/>
  <c r="AA484" i="18" s="1"/>
  <c r="Z532" i="18"/>
  <c r="Z564" i="18"/>
  <c r="Z681" i="18"/>
  <c r="Z684" i="18"/>
  <c r="Z755" i="18"/>
  <c r="AA755" i="18" s="1"/>
  <c r="Z778" i="18"/>
  <c r="AA778" i="18" s="1"/>
  <c r="Z797" i="18"/>
  <c r="Z831" i="18"/>
  <c r="AA831" i="18" s="1"/>
  <c r="Z871" i="18"/>
  <c r="AA871" i="18" s="1"/>
  <c r="Z912" i="18"/>
  <c r="AA912" i="18" s="1"/>
  <c r="Z930" i="18"/>
  <c r="AA930" i="18" s="1"/>
  <c r="Z955" i="18"/>
  <c r="Z976" i="18"/>
  <c r="Z980" i="18"/>
  <c r="Z981" i="18"/>
  <c r="Z553" i="18"/>
  <c r="Z717" i="18"/>
  <c r="Z723" i="18"/>
  <c r="Z841" i="18"/>
  <c r="AA841" i="18" s="1"/>
  <c r="Z854" i="18"/>
  <c r="Z865" i="18"/>
  <c r="AA865" i="18" s="1"/>
  <c r="Z897" i="18"/>
  <c r="AA897" i="18" s="1"/>
  <c r="Z903" i="18"/>
  <c r="AA903" i="18" s="1"/>
  <c r="Z908" i="18"/>
  <c r="AA908" i="18" s="1"/>
  <c r="Z962" i="18"/>
  <c r="AA962" i="18" s="1"/>
  <c r="Z983" i="18"/>
  <c r="AA983" i="18" s="1"/>
  <c r="Z984" i="18"/>
  <c r="AA984" i="18" s="1"/>
  <c r="Z1076" i="18"/>
  <c r="Z247" i="18"/>
  <c r="AA247" i="18" s="1"/>
  <c r="Z250" i="18"/>
  <c r="AA250" i="18" s="1"/>
  <c r="Z264" i="18"/>
  <c r="AA264" i="18" s="1"/>
  <c r="Z305" i="18"/>
  <c r="AA305" i="18" s="1"/>
  <c r="Z334" i="18"/>
  <c r="AA334" i="18" s="1"/>
  <c r="Z342" i="18"/>
  <c r="Z349" i="18"/>
  <c r="AA349" i="18" s="1"/>
  <c r="Z410" i="18"/>
  <c r="Z461" i="18"/>
  <c r="AA461" i="18" s="1"/>
  <c r="Z487" i="18"/>
  <c r="AA487" i="18" s="1"/>
  <c r="Z521" i="18"/>
  <c r="AA521" i="18" s="1"/>
  <c r="Z554" i="18"/>
  <c r="Z562" i="18"/>
  <c r="AA562" i="18" s="1"/>
  <c r="Z567" i="18"/>
  <c r="Z693" i="18"/>
  <c r="AA693" i="18" s="1"/>
  <c r="Z735" i="18"/>
  <c r="Z781" i="18"/>
  <c r="AA781" i="18" s="1"/>
  <c r="Z795" i="18"/>
  <c r="AA795" i="18" s="1"/>
  <c r="Z802" i="18"/>
  <c r="Z816" i="18"/>
  <c r="Z838" i="18"/>
  <c r="Z883" i="18"/>
  <c r="Z895" i="18"/>
  <c r="Z927" i="18"/>
  <c r="Z1021" i="18"/>
  <c r="AA1021" i="18" s="1"/>
  <c r="Z1066" i="18"/>
  <c r="Z346" i="18"/>
  <c r="Z356" i="18"/>
  <c r="Z364" i="18"/>
  <c r="AA364" i="18" s="1"/>
  <c r="Z431" i="18"/>
  <c r="AA431" i="18" s="1"/>
  <c r="Z482" i="18"/>
  <c r="AA482" i="18" s="1"/>
  <c r="Z585" i="18"/>
  <c r="Z632" i="18"/>
  <c r="Z1050" i="18"/>
  <c r="AA1050" i="18" s="1"/>
  <c r="Z21" i="18"/>
  <c r="AA21" i="18" s="1"/>
  <c r="Z35" i="18"/>
  <c r="AA35" i="18" s="1"/>
  <c r="Z61" i="18"/>
  <c r="AA61" i="18" s="1"/>
  <c r="Z64" i="18"/>
  <c r="AA64" i="18" s="1"/>
  <c r="Z170" i="18"/>
  <c r="AA170" i="18" s="1"/>
  <c r="Z311" i="18"/>
  <c r="AA311" i="18" s="1"/>
  <c r="Z7" i="18"/>
  <c r="AA7" i="18" s="1"/>
  <c r="Z38" i="18"/>
  <c r="Z46" i="18"/>
  <c r="AA46" i="18" s="1"/>
  <c r="Z50" i="18"/>
  <c r="Z56" i="18"/>
  <c r="AA56" i="18" s="1"/>
  <c r="Z77" i="18"/>
  <c r="AA77" i="18" s="1"/>
  <c r="Z91" i="18"/>
  <c r="Z96" i="18"/>
  <c r="Z118" i="18"/>
  <c r="Z154" i="18"/>
  <c r="Z215" i="18"/>
  <c r="AA215" i="18" s="1"/>
  <c r="Z17" i="18"/>
  <c r="AA17" i="18" s="1"/>
  <c r="Z20" i="18"/>
  <c r="AA20" i="18" s="1"/>
  <c r="Z40" i="18"/>
  <c r="AA40" i="18" s="1"/>
  <c r="Z48" i="18"/>
  <c r="AA48" i="18" s="1"/>
  <c r="Z66" i="18"/>
  <c r="AA66" i="18" s="1"/>
  <c r="Z73" i="18"/>
  <c r="Z75" i="18"/>
  <c r="Z101" i="18"/>
  <c r="Z110" i="18"/>
  <c r="Z140" i="18"/>
  <c r="AA140" i="18" s="1"/>
  <c r="Z22" i="18"/>
  <c r="AA22" i="18" s="1"/>
  <c r="Z26" i="18"/>
  <c r="AA26" i="18" s="1"/>
  <c r="Z146" i="18"/>
  <c r="AA146" i="18" s="1"/>
  <c r="Z8" i="18"/>
  <c r="AA8" i="18" s="1"/>
  <c r="Z25" i="18"/>
  <c r="AA25" i="18" s="1"/>
  <c r="Z37" i="18"/>
  <c r="AA37" i="18" s="1"/>
  <c r="Z51" i="18"/>
  <c r="AA51" i="18" s="1"/>
  <c r="Z76" i="18"/>
  <c r="Z80" i="18"/>
  <c r="Z90" i="18"/>
  <c r="Z119" i="18"/>
  <c r="Z162" i="18"/>
  <c r="Z6" i="18"/>
  <c r="AA6" i="18" s="1"/>
  <c r="Z10" i="18"/>
  <c r="AA10" i="18" s="1"/>
  <c r="Z33" i="18"/>
  <c r="AA33" i="18" s="1"/>
  <c r="Z54" i="18"/>
  <c r="AA54" i="18" s="1"/>
  <c r="Z59" i="18"/>
  <c r="AA59" i="18" s="1"/>
  <c r="Z95" i="18"/>
  <c r="Z124" i="18"/>
  <c r="AA124" i="18" s="1"/>
  <c r="Z142" i="18"/>
  <c r="Z145" i="18"/>
  <c r="AA156" i="18"/>
  <c r="AA159" i="18"/>
  <c r="Z15" i="18"/>
  <c r="AA15" i="18" s="1"/>
  <c r="Z47" i="18"/>
  <c r="AA47" i="18" s="1"/>
  <c r="Z103" i="18"/>
  <c r="Z138" i="18"/>
  <c r="AA138" i="18" s="1"/>
  <c r="Z357" i="18"/>
  <c r="AA357" i="18" s="1"/>
  <c r="Z3" i="18"/>
  <c r="AA3" i="18" s="1"/>
  <c r="Z23" i="18"/>
  <c r="AA23" i="18" s="1"/>
  <c r="Z42" i="18"/>
  <c r="AA42" i="18" s="1"/>
  <c r="Z79" i="18"/>
  <c r="Z81" i="18"/>
  <c r="Z86" i="18"/>
  <c r="Z94" i="18"/>
  <c r="Z135" i="18"/>
  <c r="AA135" i="18" s="1"/>
  <c r="Z148" i="18"/>
  <c r="AA148" i="18" s="1"/>
  <c r="Z36" i="18"/>
  <c r="AA36" i="18" s="1"/>
  <c r="Z58" i="18"/>
  <c r="AA58" i="18" s="1"/>
  <c r="Z136" i="18"/>
  <c r="Z32" i="18"/>
  <c r="AA32" i="18" s="1"/>
  <c r="Z34" i="18"/>
  <c r="Z45" i="18"/>
  <c r="Z70" i="18"/>
  <c r="Z179" i="18"/>
  <c r="Z194" i="18"/>
  <c r="Z16" i="18"/>
  <c r="AA16" i="18" s="1"/>
  <c r="Z30" i="18"/>
  <c r="AA30" i="18" s="1"/>
  <c r="Z39" i="18"/>
  <c r="AA39" i="18" s="1"/>
  <c r="Z113" i="18"/>
  <c r="Z143" i="18"/>
  <c r="AA143" i="18" s="1"/>
  <c r="Z161" i="18"/>
  <c r="Z178" i="18"/>
  <c r="Z196" i="18"/>
  <c r="Z220" i="18"/>
  <c r="AA220" i="18" s="1"/>
  <c r="Z228" i="18"/>
  <c r="Z230" i="18"/>
  <c r="Z235" i="18"/>
  <c r="Z244" i="18"/>
  <c r="AA244" i="18" s="1"/>
  <c r="Z255" i="18"/>
  <c r="Z283" i="18"/>
  <c r="AA283" i="18" s="1"/>
  <c r="Z302" i="18"/>
  <c r="Z337" i="18"/>
  <c r="Z347" i="18"/>
  <c r="Z360" i="18"/>
  <c r="AA360" i="18" s="1"/>
  <c r="Z367" i="18"/>
  <c r="AA367" i="18" s="1"/>
  <c r="Z388" i="18"/>
  <c r="Z412" i="18"/>
  <c r="AA412" i="18" s="1"/>
  <c r="Z443" i="18"/>
  <c r="Z491" i="18"/>
  <c r="AA491" i="18" s="1"/>
  <c r="Z193" i="18"/>
  <c r="AA193" i="18" s="1"/>
  <c r="Z204" i="18"/>
  <c r="AA204" i="18" s="1"/>
  <c r="Z206" i="18"/>
  <c r="AA206" i="18" s="1"/>
  <c r="Z216" i="18"/>
  <c r="Z237" i="18"/>
  <c r="Z261" i="18"/>
  <c r="Z289" i="18"/>
  <c r="AA289" i="18" s="1"/>
  <c r="Z292" i="18"/>
  <c r="AA292" i="18" s="1"/>
  <c r="Z316" i="18"/>
  <c r="AA316" i="18" s="1"/>
  <c r="Z329" i="18"/>
  <c r="AA329" i="18" s="1"/>
  <c r="Z330" i="18"/>
  <c r="AA330" i="18" s="1"/>
  <c r="Z351" i="18"/>
  <c r="AA351" i="18" s="1"/>
  <c r="Z355" i="18"/>
  <c r="AA355" i="18" s="1"/>
  <c r="Z405" i="18"/>
  <c r="AA405" i="18" s="1"/>
  <c r="Z437" i="18"/>
  <c r="Z576" i="18"/>
  <c r="AA576" i="18" s="1"/>
  <c r="Z151" i="18"/>
  <c r="AA151" i="18" s="1"/>
  <c r="Z164" i="18"/>
  <c r="Z191" i="18"/>
  <c r="Z198" i="18"/>
  <c r="Z267" i="18"/>
  <c r="AA267" i="18" s="1"/>
  <c r="Z295" i="18"/>
  <c r="AA295" i="18" s="1"/>
  <c r="Z298" i="18"/>
  <c r="AA298" i="18" s="1"/>
  <c r="Z419" i="18"/>
  <c r="AA419" i="18" s="1"/>
  <c r="Z426" i="18"/>
  <c r="AA426" i="18" s="1"/>
  <c r="Z428" i="18"/>
  <c r="Z511" i="18"/>
  <c r="AA511" i="18" s="1"/>
  <c r="Z365" i="18"/>
  <c r="AA365" i="18" s="1"/>
  <c r="Z398" i="18"/>
  <c r="Z160" i="18"/>
  <c r="AA160" i="18" s="1"/>
  <c r="AA183" i="18"/>
  <c r="Z380" i="18"/>
  <c r="AA380" i="18" s="1"/>
  <c r="Z384" i="18"/>
  <c r="AA384" i="18" s="1"/>
  <c r="Z397" i="18"/>
  <c r="Z460" i="18"/>
  <c r="Z467" i="18"/>
  <c r="AA467" i="18" s="1"/>
  <c r="Z476" i="18"/>
  <c r="Z199" i="18"/>
  <c r="Z234" i="18"/>
  <c r="Z297" i="18"/>
  <c r="AA297" i="18" s="1"/>
  <c r="Z318" i="18"/>
  <c r="Z321" i="18"/>
  <c r="AA321" i="18" s="1"/>
  <c r="Z361" i="18"/>
  <c r="AA361" i="18" s="1"/>
  <c r="Z391" i="18"/>
  <c r="AA391" i="18" s="1"/>
  <c r="Z424" i="18"/>
  <c r="AA424" i="18" s="1"/>
  <c r="Z510" i="18"/>
  <c r="AA510" i="18" s="1"/>
  <c r="Z192" i="18"/>
  <c r="AA192" i="18" s="1"/>
  <c r="Z212" i="18"/>
  <c r="Z249" i="18"/>
  <c r="AA249" i="18" s="1"/>
  <c r="Z258" i="18"/>
  <c r="Z260" i="18"/>
  <c r="AA260" i="18" s="1"/>
  <c r="Z263" i="18"/>
  <c r="AA263" i="18" s="1"/>
  <c r="Z282" i="18"/>
  <c r="AA282" i="18" s="1"/>
  <c r="Z294" i="18"/>
  <c r="AA294" i="18" s="1"/>
  <c r="Z331" i="18"/>
  <c r="Z335" i="18"/>
  <c r="AA335" i="18" s="1"/>
  <c r="Z418" i="18"/>
  <c r="AA418" i="18" s="1"/>
  <c r="Z421" i="18"/>
  <c r="Z523" i="18"/>
  <c r="AA523" i="18" s="1"/>
  <c r="Z559" i="18"/>
  <c r="AA559" i="18" s="1"/>
  <c r="Z112" i="18"/>
  <c r="AA112" i="18" s="1"/>
  <c r="Z116" i="18"/>
  <c r="Z150" i="18"/>
  <c r="Z273" i="18"/>
  <c r="AA273" i="18" s="1"/>
  <c r="Z300" i="18"/>
  <c r="Z369" i="18"/>
  <c r="AA369" i="18" s="1"/>
  <c r="Z403" i="18"/>
  <c r="Z114" i="18"/>
  <c r="Z130" i="18"/>
  <c r="Z153" i="18"/>
  <c r="Z173" i="18"/>
  <c r="Z208" i="18"/>
  <c r="AA208" i="18" s="1"/>
  <c r="Z240" i="18"/>
  <c r="Z245" i="18"/>
  <c r="AA245" i="18" s="1"/>
  <c r="Z280" i="18"/>
  <c r="Z284" i="18"/>
  <c r="Z303" i="18"/>
  <c r="Z327" i="18"/>
  <c r="Z371" i="18"/>
  <c r="Z381" i="18"/>
  <c r="AA381" i="18" s="1"/>
  <c r="Z392" i="18"/>
  <c r="AA392" i="18" s="1"/>
  <c r="Z404" i="18"/>
  <c r="Z647" i="18"/>
  <c r="AA647" i="18" s="1"/>
  <c r="Z658" i="18"/>
  <c r="AA658" i="18" s="1"/>
  <c r="Z246" i="18"/>
  <c r="AA246" i="18" s="1"/>
  <c r="Z288" i="18"/>
  <c r="Z301" i="18"/>
  <c r="Z452" i="18"/>
  <c r="Z561" i="18"/>
  <c r="Z115" i="18"/>
  <c r="Z117" i="18"/>
  <c r="AA117" i="18" s="1"/>
  <c r="Z262" i="18"/>
  <c r="Z270" i="18"/>
  <c r="AA270" i="18" s="1"/>
  <c r="Z272" i="18"/>
  <c r="Z286" i="18"/>
  <c r="AA286" i="18" s="1"/>
  <c r="Z293" i="18"/>
  <c r="AA293" i="18" s="1"/>
  <c r="Z333" i="18"/>
  <c r="AA333" i="18" s="1"/>
  <c r="Z359" i="18"/>
  <c r="AA359" i="18" s="1"/>
  <c r="Z402" i="18"/>
  <c r="Z409" i="18"/>
  <c r="Z413" i="18"/>
  <c r="Z430" i="18"/>
  <c r="AA430" i="18" s="1"/>
  <c r="Z537" i="18"/>
  <c r="Z558" i="18"/>
  <c r="AA558" i="18" s="1"/>
  <c r="Z555" i="18"/>
  <c r="AA555" i="18" s="1"/>
  <c r="Z573" i="18"/>
  <c r="AA573" i="18" s="1"/>
  <c r="Z651" i="18"/>
  <c r="AA651" i="18" s="1"/>
  <c r="Z661" i="18"/>
  <c r="AA661" i="18" s="1"/>
  <c r="Z588" i="18"/>
  <c r="AA588" i="18" s="1"/>
  <c r="Z611" i="18"/>
  <c r="AA611" i="18" s="1"/>
  <c r="Z619" i="18"/>
  <c r="AA619" i="18" s="1"/>
  <c r="Z626" i="18"/>
  <c r="AA626" i="18" s="1"/>
  <c r="Z633" i="18"/>
  <c r="Z652" i="18"/>
  <c r="AA652" i="18" s="1"/>
  <c r="Z665" i="18"/>
  <c r="Z673" i="18"/>
  <c r="Z433" i="18"/>
  <c r="AA433" i="18" s="1"/>
  <c r="Z451" i="18"/>
  <c r="Z454" i="18"/>
  <c r="AA454" i="18" s="1"/>
  <c r="Z542" i="18"/>
  <c r="AA542" i="18" s="1"/>
  <c r="Z571" i="18"/>
  <c r="AA571" i="18" s="1"/>
  <c r="Z579" i="18"/>
  <c r="Z601" i="18"/>
  <c r="AA601" i="18" s="1"/>
  <c r="Z615" i="18"/>
  <c r="Z620" i="18"/>
  <c r="Z704" i="18"/>
  <c r="Z709" i="18"/>
  <c r="Z718" i="18"/>
  <c r="Z731" i="18"/>
  <c r="Z756" i="18"/>
  <c r="Z435" i="18"/>
  <c r="AA435" i="18" s="1"/>
  <c r="Z463" i="18"/>
  <c r="Z490" i="18"/>
  <c r="AA490" i="18" s="1"/>
  <c r="Z499" i="18"/>
  <c r="Z527" i="18"/>
  <c r="Z539" i="18"/>
  <c r="Z639" i="18"/>
  <c r="Z660" i="18"/>
  <c r="AA660" i="18" s="1"/>
  <c r="Z672" i="18"/>
  <c r="Z727" i="18"/>
  <c r="Z872" i="18"/>
  <c r="AA872" i="18" s="1"/>
  <c r="Z425" i="18"/>
  <c r="AA425" i="18" s="1"/>
  <c r="Z446" i="18"/>
  <c r="Z457" i="18"/>
  <c r="AA457" i="18" s="1"/>
  <c r="Z470" i="18"/>
  <c r="AA470" i="18" s="1"/>
  <c r="Z472" i="18"/>
  <c r="AA472" i="18" s="1"/>
  <c r="Z494" i="18"/>
  <c r="Z517" i="18"/>
  <c r="AA517" i="18" s="1"/>
  <c r="Z541" i="18"/>
  <c r="Z543" i="18"/>
  <c r="AA543" i="18" s="1"/>
  <c r="Z552" i="18"/>
  <c r="Z574" i="18"/>
  <c r="AA574" i="18" s="1"/>
  <c r="Z584" i="18"/>
  <c r="AA584" i="18" s="1"/>
  <c r="Z598" i="18"/>
  <c r="AA598" i="18" s="1"/>
  <c r="Z613" i="18"/>
  <c r="AA613" i="18" s="1"/>
  <c r="Z638" i="18"/>
  <c r="AA638" i="18" s="1"/>
  <c r="Z679" i="18"/>
  <c r="AA679" i="18" s="1"/>
  <c r="Z683" i="18"/>
  <c r="Z690" i="18"/>
  <c r="Z701" i="18"/>
  <c r="Z711" i="18"/>
  <c r="Z713" i="18"/>
  <c r="Z724" i="18"/>
  <c r="Z757" i="18"/>
  <c r="AA757" i="18" s="1"/>
  <c r="Z407" i="18"/>
  <c r="Z423" i="18"/>
  <c r="AA423" i="18" s="1"/>
  <c r="Z427" i="18"/>
  <c r="Z448" i="18"/>
  <c r="AA448" i="18" s="1"/>
  <c r="Z498" i="18"/>
  <c r="Z501" i="18"/>
  <c r="AA501" i="18" s="1"/>
  <c r="Z526" i="18"/>
  <c r="AA526" i="18" s="1"/>
  <c r="Z529" i="18"/>
  <c r="Z570" i="18"/>
  <c r="Z577" i="18"/>
  <c r="AA577" i="18" s="1"/>
  <c r="Z581" i="18"/>
  <c r="AA581" i="18" s="1"/>
  <c r="Z605" i="18"/>
  <c r="Z606" i="18"/>
  <c r="AA606" i="18" s="1"/>
  <c r="Z646" i="18"/>
  <c r="Z676" i="18"/>
  <c r="AA676" i="18" s="1"/>
  <c r="Z697" i="18"/>
  <c r="AA697" i="18" s="1"/>
  <c r="Z729" i="18"/>
  <c r="Z732" i="18"/>
  <c r="Z737" i="18"/>
  <c r="Z982" i="18"/>
  <c r="Z377" i="18"/>
  <c r="AA377" i="18" s="1"/>
  <c r="Z386" i="18"/>
  <c r="Z450" i="18"/>
  <c r="Z464" i="18"/>
  <c r="Z497" i="18"/>
  <c r="AA497" i="18" s="1"/>
  <c r="Z540" i="18"/>
  <c r="Z563" i="18"/>
  <c r="Z593" i="18"/>
  <c r="AA593" i="18" s="1"/>
  <c r="Z608" i="18"/>
  <c r="AA608" i="18" s="1"/>
  <c r="Z630" i="18"/>
  <c r="Z644" i="18"/>
  <c r="AA644" i="18" s="1"/>
  <c r="Z657" i="18"/>
  <c r="AA657" i="18" s="1"/>
  <c r="Z726" i="18"/>
  <c r="Z728" i="18"/>
  <c r="Z748" i="18"/>
  <c r="Z442" i="18"/>
  <c r="Z508" i="18"/>
  <c r="AA508" i="18" s="1"/>
  <c r="Z520" i="18"/>
  <c r="Z528" i="18"/>
  <c r="Z583" i="18"/>
  <c r="AA583" i="18" s="1"/>
  <c r="Z623" i="18"/>
  <c r="Z624" i="18"/>
  <c r="AA624" i="18" s="1"/>
  <c r="Z629" i="18"/>
  <c r="Z637" i="18"/>
  <c r="AA637" i="18" s="1"/>
  <c r="Z659" i="18"/>
  <c r="AA659" i="18" s="1"/>
  <c r="Z682" i="18"/>
  <c r="AA682" i="18" s="1"/>
  <c r="Z699" i="18"/>
  <c r="AA699" i="18" s="1"/>
  <c r="Z712" i="18"/>
  <c r="Z742" i="18"/>
  <c r="AA742" i="18" s="1"/>
  <c r="Z745" i="18"/>
  <c r="Z761" i="18"/>
  <c r="AA761" i="18" s="1"/>
  <c r="Z475" i="18"/>
  <c r="AA475" i="18" s="1"/>
  <c r="Z479" i="18"/>
  <c r="AA479" i="18" s="1"/>
  <c r="Z502" i="18"/>
  <c r="AA502" i="18" s="1"/>
  <c r="Z518" i="18"/>
  <c r="AA518" i="18" s="1"/>
  <c r="Z525" i="18"/>
  <c r="AA525" i="18" s="1"/>
  <c r="Z535" i="18"/>
  <c r="AA535" i="18" s="1"/>
  <c r="Z548" i="18"/>
  <c r="AA548" i="18" s="1"/>
  <c r="Z551" i="18"/>
  <c r="AA551" i="18" s="1"/>
  <c r="Z566" i="18"/>
  <c r="AA566" i="18" s="1"/>
  <c r="Z569" i="18"/>
  <c r="AA569" i="18" s="1"/>
  <c r="Z635" i="18"/>
  <c r="Z636" i="18"/>
  <c r="Z669" i="18"/>
  <c r="AA669" i="18" s="1"/>
  <c r="Z678" i="18"/>
  <c r="Z680" i="18"/>
  <c r="AA680" i="18" s="1"/>
  <c r="Z700" i="18"/>
  <c r="AA700" i="18" s="1"/>
  <c r="Z738" i="18"/>
  <c r="Z752" i="18"/>
  <c r="AA752" i="18" s="1"/>
  <c r="Z1040" i="18"/>
  <c r="AA1040" i="18" s="1"/>
  <c r="Z604" i="18"/>
  <c r="Z617" i="18"/>
  <c r="AA617" i="18" s="1"/>
  <c r="Z618" i="18"/>
  <c r="Z662" i="18"/>
  <c r="AA662" i="18" s="1"/>
  <c r="Z674" i="18"/>
  <c r="AA674" i="18" s="1"/>
  <c r="Z707" i="18"/>
  <c r="AA707" i="18" s="1"/>
  <c r="Z734" i="18"/>
  <c r="Z1042" i="18"/>
  <c r="Z488" i="18"/>
  <c r="AA488" i="18" s="1"/>
  <c r="Z507" i="18"/>
  <c r="AA507" i="18" s="1"/>
  <c r="Z524" i="18"/>
  <c r="AA524" i="18" s="1"/>
  <c r="Z545" i="18"/>
  <c r="AA545" i="18" s="1"/>
  <c r="Z580" i="18"/>
  <c r="Z595" i="18"/>
  <c r="AA595" i="18" s="1"/>
  <c r="Z600" i="18"/>
  <c r="AA600" i="18" s="1"/>
  <c r="Z631" i="18"/>
  <c r="AA631" i="18" s="1"/>
  <c r="Z642" i="18"/>
  <c r="AA642" i="18" s="1"/>
  <c r="Z649" i="18"/>
  <c r="AA649" i="18" s="1"/>
  <c r="Z747" i="18"/>
  <c r="Z438" i="18"/>
  <c r="AA438" i="18" s="1"/>
  <c r="Z441" i="18"/>
  <c r="Z477" i="18"/>
  <c r="Z547" i="18"/>
  <c r="AA547" i="18" s="1"/>
  <c r="Z565" i="18"/>
  <c r="AA565" i="18" s="1"/>
  <c r="Z572" i="18"/>
  <c r="Z575" i="18"/>
  <c r="AA575" i="18" s="1"/>
  <c r="Z602" i="18"/>
  <c r="AA602" i="18" s="1"/>
  <c r="Z625" i="18"/>
  <c r="AA625" i="18" s="1"/>
  <c r="Z634" i="18"/>
  <c r="AA634" i="18" s="1"/>
  <c r="Z705" i="18"/>
  <c r="AA705" i="18" s="1"/>
  <c r="Z1013" i="18"/>
  <c r="AA1013" i="18" s="1"/>
  <c r="Z1043" i="18"/>
  <c r="Z1047" i="18"/>
  <c r="Z811" i="18"/>
  <c r="AA811" i="18" s="1"/>
  <c r="Z1015" i="18"/>
  <c r="AA1015" i="18" s="1"/>
  <c r="Z1018" i="18"/>
  <c r="AA1018" i="18" s="1"/>
  <c r="Z1070" i="18"/>
  <c r="Z787" i="18"/>
  <c r="AA787" i="18" s="1"/>
  <c r="AA979" i="18"/>
  <c r="Z1001" i="18"/>
  <c r="AA1001" i="18" s="1"/>
  <c r="Z1004" i="18"/>
  <c r="Z1008" i="18"/>
  <c r="AA1008" i="18" s="1"/>
  <c r="Z1060" i="18"/>
  <c r="AA1060" i="18" s="1"/>
  <c r="Z1075" i="18"/>
  <c r="Z818" i="18"/>
  <c r="AA818" i="18" s="1"/>
  <c r="Z1016" i="18"/>
  <c r="AA1016" i="18" s="1"/>
  <c r="Z777" i="18"/>
  <c r="Z894" i="18"/>
  <c r="AA894" i="18" s="1"/>
  <c r="Z970" i="18"/>
  <c r="AA970" i="18" s="1"/>
  <c r="Z1027" i="18"/>
  <c r="AA1027" i="18" s="1"/>
  <c r="Z1051" i="18"/>
  <c r="AA1051" i="18" s="1"/>
  <c r="Z743" i="18"/>
  <c r="AA743" i="18" s="1"/>
  <c r="Z751" i="18"/>
  <c r="Z767" i="18"/>
  <c r="AA767" i="18" s="1"/>
  <c r="Z780" i="18"/>
  <c r="Z784" i="18"/>
  <c r="Z808" i="18"/>
  <c r="AA808" i="18" s="1"/>
  <c r="Z812" i="18"/>
  <c r="Z817" i="18"/>
  <c r="Z840" i="18"/>
  <c r="AA840" i="18" s="1"/>
  <c r="Z870" i="18"/>
  <c r="AA870" i="18" s="1"/>
  <c r="Z885" i="18"/>
  <c r="AA885" i="18" s="1"/>
  <c r="Z887" i="18"/>
  <c r="AA887" i="18" s="1"/>
  <c r="Z896" i="18"/>
  <c r="AA896" i="18" s="1"/>
  <c r="Z924" i="18"/>
  <c r="Z928" i="18"/>
  <c r="AA928" i="18" s="1"/>
  <c r="Z949" i="18"/>
  <c r="AA949" i="18" s="1"/>
  <c r="Z965" i="18"/>
  <c r="Z975" i="18"/>
  <c r="AA975" i="18" s="1"/>
  <c r="Z987" i="18"/>
  <c r="Z991" i="18"/>
  <c r="AA991" i="18" s="1"/>
  <c r="Z996" i="18"/>
  <c r="AA996" i="18" s="1"/>
  <c r="Z1002" i="18"/>
  <c r="AA1002" i="18" s="1"/>
  <c r="Z1022" i="18"/>
  <c r="AA1022" i="18" s="1"/>
  <c r="Z1037" i="18"/>
  <c r="AA1037" i="18" s="1"/>
  <c r="Z1069" i="18"/>
  <c r="Z746" i="18"/>
  <c r="AA746" i="18" s="1"/>
  <c r="Z775" i="18"/>
  <c r="AA775" i="18" s="1"/>
  <c r="Z788" i="18"/>
  <c r="Z792" i="18"/>
  <c r="AA792" i="18" s="1"/>
  <c r="Z800" i="18"/>
  <c r="AA800" i="18" s="1"/>
  <c r="Z823" i="18"/>
  <c r="AA823" i="18" s="1"/>
  <c r="Z855" i="18"/>
  <c r="Z857" i="18"/>
  <c r="Z877" i="18"/>
  <c r="AA877" i="18" s="1"/>
  <c r="Z893" i="18"/>
  <c r="Z905" i="18"/>
  <c r="AA905" i="18" s="1"/>
  <c r="Z926" i="18"/>
  <c r="AA926" i="18" s="1"/>
  <c r="Z933" i="18"/>
  <c r="AA933" i="18" s="1"/>
  <c r="Z941" i="18"/>
  <c r="AA941" i="18" s="1"/>
  <c r="Z1029" i="18"/>
  <c r="Z1049" i="18"/>
  <c r="AA1049" i="18" s="1"/>
  <c r="Z1058" i="18"/>
  <c r="Z1067" i="18"/>
  <c r="AA1067" i="18" s="1"/>
  <c r="Z1079" i="18"/>
  <c r="AA1079" i="18" s="1"/>
  <c r="Z763" i="18"/>
  <c r="AA763" i="18" s="1"/>
  <c r="Z796" i="18"/>
  <c r="AA796" i="18" s="1"/>
  <c r="Z836" i="18"/>
  <c r="Z853" i="18"/>
  <c r="Z860" i="18"/>
  <c r="AA860" i="18" s="1"/>
  <c r="Z863" i="18"/>
  <c r="Z891" i="18"/>
  <c r="AA891" i="18" s="1"/>
  <c r="Z934" i="18"/>
  <c r="AA934" i="18" s="1"/>
  <c r="Z948" i="18"/>
  <c r="AA948" i="18" s="1"/>
  <c r="Z958" i="18"/>
  <c r="AA958" i="18" s="1"/>
  <c r="Z1003" i="18"/>
  <c r="AA1003" i="18" s="1"/>
  <c r="Z1034" i="18"/>
  <c r="AA1034" i="18" s="1"/>
  <c r="Z766" i="18"/>
  <c r="Z773" i="18"/>
  <c r="AA773" i="18" s="1"/>
  <c r="Z783" i="18"/>
  <c r="Z807" i="18"/>
  <c r="Z846" i="18"/>
  <c r="AA846" i="18" s="1"/>
  <c r="Z861" i="18"/>
  <c r="AA861" i="18" s="1"/>
  <c r="Z914" i="18"/>
  <c r="AA914" i="18" s="1"/>
  <c r="Z929" i="18"/>
  <c r="AA929" i="18" s="1"/>
  <c r="Z932" i="18"/>
  <c r="Z964" i="18"/>
  <c r="AA964" i="18" s="1"/>
  <c r="Z994" i="18"/>
  <c r="AA994" i="18" s="1"/>
  <c r="Z1056" i="18"/>
  <c r="AA1056" i="18" s="1"/>
  <c r="Z759" i="18"/>
  <c r="AA759" i="18" s="1"/>
  <c r="Z779" i="18"/>
  <c r="AA779" i="18" s="1"/>
  <c r="Z803" i="18"/>
  <c r="Z814" i="18"/>
  <c r="Z824" i="18"/>
  <c r="AA824" i="18" s="1"/>
  <c r="Z835" i="18"/>
  <c r="Z837" i="18"/>
  <c r="Z866" i="18"/>
  <c r="AA866" i="18" s="1"/>
  <c r="Z869" i="18"/>
  <c r="Z876" i="18"/>
  <c r="Z890" i="18"/>
  <c r="AA890" i="18" s="1"/>
  <c r="Z917" i="18"/>
  <c r="Z942" i="18"/>
  <c r="AA942" i="18" s="1"/>
  <c r="Z966" i="18"/>
  <c r="Z974" i="18"/>
  <c r="AA974" i="18" s="1"/>
  <c r="Z1017" i="18"/>
  <c r="AA1017" i="18" s="1"/>
  <c r="Z1023" i="18"/>
  <c r="Z1033" i="18"/>
  <c r="Z791" i="18"/>
  <c r="Z793" i="18"/>
  <c r="Z826" i="18"/>
  <c r="Z828" i="18"/>
  <c r="Z842" i="18"/>
  <c r="Z852" i="18"/>
  <c r="AA852" i="18" s="1"/>
  <c r="AA878" i="18"/>
  <c r="AA888" i="18"/>
  <c r="Z921" i="18"/>
  <c r="AA921" i="18" s="1"/>
  <c r="Z935" i="18"/>
  <c r="AA935" i="18" s="1"/>
  <c r="Z944" i="18"/>
  <c r="AA944" i="18" s="1"/>
  <c r="Z954" i="18"/>
  <c r="AA954" i="18" s="1"/>
  <c r="Z978" i="18"/>
  <c r="AA978" i="18" s="1"/>
  <c r="Z1025" i="18"/>
  <c r="AA1025" i="18" s="1"/>
  <c r="Z1054" i="18"/>
  <c r="AA1054" i="18" s="1"/>
  <c r="Z1057" i="18"/>
  <c r="Z1071" i="18"/>
  <c r="Z1073" i="18"/>
  <c r="AA1073" i="18" s="1"/>
  <c r="Z1078" i="18"/>
  <c r="AA1078" i="18" s="1"/>
  <c r="Z762" i="18"/>
  <c r="AA762" i="18" s="1"/>
  <c r="Z804" i="18"/>
  <c r="AA804" i="18" s="1"/>
  <c r="AA815" i="18"/>
  <c r="Z819" i="18"/>
  <c r="AA819" i="18" s="1"/>
  <c r="Z834" i="18"/>
  <c r="Z859" i="18"/>
  <c r="AA867" i="18"/>
  <c r="Z951" i="18"/>
  <c r="AA951" i="18" s="1"/>
  <c r="Z956" i="18"/>
  <c r="AA956" i="18" s="1"/>
  <c r="Z995" i="18"/>
  <c r="AA995" i="18" s="1"/>
  <c r="Z1010" i="18"/>
  <c r="AA1010" i="18" s="1"/>
  <c r="Z29" i="18"/>
  <c r="AA29" i="18" s="1"/>
  <c r="G26" i="19"/>
  <c r="G23" i="19"/>
  <c r="G20" i="19"/>
  <c r="G17" i="19"/>
  <c r="J66" i="19"/>
  <c r="F21" i="19"/>
  <c r="D18" i="19"/>
  <c r="H74" i="19"/>
  <c r="H66" i="19"/>
  <c r="D26" i="19"/>
  <c r="B23" i="19"/>
  <c r="K75" i="19"/>
  <c r="L71" i="19"/>
  <c r="B69" i="19"/>
  <c r="K67" i="19"/>
  <c r="F24" i="19"/>
  <c r="D21" i="19"/>
  <c r="B18" i="19"/>
  <c r="D74" i="19"/>
  <c r="K71" i="19"/>
  <c r="J67" i="19"/>
  <c r="B26" i="19"/>
  <c r="F19" i="19"/>
  <c r="L72" i="19"/>
  <c r="L68" i="19"/>
  <c r="D66" i="19"/>
  <c r="D24" i="19"/>
  <c r="B21" i="19"/>
  <c r="G75" i="19"/>
  <c r="B74" i="19"/>
  <c r="K72" i="19"/>
  <c r="G71" i="19"/>
  <c r="J68" i="19"/>
  <c r="G67" i="19"/>
  <c r="B66" i="19"/>
  <c r="F22" i="19"/>
  <c r="D19" i="19"/>
  <c r="F17" i="19"/>
  <c r="E75" i="19"/>
  <c r="J72" i="19"/>
  <c r="F71" i="19"/>
  <c r="E67" i="19"/>
  <c r="B24" i="19"/>
  <c r="B19" i="19"/>
  <c r="C75" i="19"/>
  <c r="H72" i="19"/>
  <c r="E71" i="19"/>
  <c r="H68" i="19"/>
  <c r="D67" i="19"/>
  <c r="F25" i="19"/>
  <c r="D22" i="19"/>
  <c r="F20" i="19"/>
  <c r="D17" i="19"/>
  <c r="B22" i="19"/>
  <c r="D68" i="19"/>
  <c r="D25" i="19"/>
  <c r="F23" i="19"/>
  <c r="D20" i="19"/>
  <c r="B17" i="19"/>
  <c r="L74" i="19"/>
  <c r="D72" i="19"/>
  <c r="M70" i="19"/>
  <c r="H69" i="19"/>
  <c r="C68" i="19"/>
  <c r="L66" i="19"/>
  <c r="L70" i="19"/>
  <c r="B20" i="19"/>
  <c r="G69" i="19"/>
  <c r="F18" i="19"/>
  <c r="B68" i="19"/>
  <c r="J74" i="19"/>
  <c r="F26" i="19"/>
  <c r="B25" i="19"/>
  <c r="B72" i="19"/>
  <c r="D23" i="19"/>
  <c r="G73" i="19"/>
  <c r="K66" i="19"/>
  <c r="E38" i="19"/>
  <c r="E35" i="19"/>
  <c r="E33" i="19"/>
  <c r="E43" i="19"/>
  <c r="E41" i="19"/>
  <c r="E39" i="19"/>
  <c r="E34" i="19"/>
  <c r="E37" i="19"/>
  <c r="Z11" i="18"/>
  <c r="Z14" i="18"/>
  <c r="AA14" i="18" s="1"/>
  <c r="Z19" i="18"/>
  <c r="AA19" i="18" s="1"/>
  <c r="Z31" i="18"/>
  <c r="B43" i="19"/>
  <c r="E40" i="19"/>
  <c r="B39" i="19"/>
  <c r="E36" i="19"/>
  <c r="B35" i="19"/>
  <c r="E32" i="19"/>
  <c r="H42" i="19" a="1"/>
  <c r="H42" i="19" s="1"/>
  <c r="H38" i="19" a="1"/>
  <c r="H38" i="19" s="1"/>
  <c r="H34" i="19" a="1"/>
  <c r="H34" i="19" s="1"/>
  <c r="E42" i="19"/>
  <c r="B41" i="19"/>
  <c r="G38" i="19" a="1"/>
  <c r="G38" i="19" s="1"/>
  <c r="H33" i="19" a="1"/>
  <c r="H33" i="19" s="1"/>
  <c r="D32" i="19"/>
  <c r="H43" i="19" a="1"/>
  <c r="H43" i="19" s="1"/>
  <c r="B42" i="19"/>
  <c r="D40" i="19"/>
  <c r="H36" i="19" a="1"/>
  <c r="H36" i="19" s="1"/>
  <c r="D35" i="19"/>
  <c r="G33" i="19" a="1"/>
  <c r="G33" i="19" s="1"/>
  <c r="G43" i="19" a="1"/>
  <c r="G43" i="19" s="1"/>
  <c r="B40" i="19"/>
  <c r="D38" i="19"/>
  <c r="B32" i="19"/>
  <c r="H41" i="19" a="1"/>
  <c r="H41" i="19" s="1"/>
  <c r="G36" i="19" a="1"/>
  <c r="G36" i="19" s="1"/>
  <c r="G41" i="19" a="1"/>
  <c r="G41" i="19" s="1"/>
  <c r="H39" i="19" a="1"/>
  <c r="H39" i="19" s="1"/>
  <c r="B38" i="19"/>
  <c r="D33" i="19"/>
  <c r="C7" i="19"/>
  <c r="D43" i="19"/>
  <c r="G39" i="19" a="1"/>
  <c r="G39" i="19" s="1"/>
  <c r="D36" i="19"/>
  <c r="G34" i="19" a="1"/>
  <c r="G34" i="19" s="1"/>
  <c r="D41" i="19"/>
  <c r="H37" i="19" a="1"/>
  <c r="H37" i="19" s="1"/>
  <c r="B36" i="19"/>
  <c r="B33" i="19"/>
  <c r="G37" i="19" a="1"/>
  <c r="G37" i="19" s="1"/>
  <c r="D39" i="19"/>
  <c r="H35" i="19" a="1"/>
  <c r="H35" i="19" s="1"/>
  <c r="D34" i="19"/>
  <c r="H32" i="19" a="1"/>
  <c r="H32" i="19" s="1"/>
  <c r="G42" i="19" a="1"/>
  <c r="G42" i="19" s="1"/>
  <c r="H40" i="19" a="1"/>
  <c r="H40" i="19" s="1"/>
  <c r="D37" i="19"/>
  <c r="G35" i="19" a="1"/>
  <c r="G35" i="19" s="1"/>
  <c r="B34" i="19"/>
  <c r="G32" i="19" a="1"/>
  <c r="G32" i="19" s="1"/>
  <c r="G40" i="19" a="1"/>
  <c r="G40" i="19" s="1"/>
  <c r="B37" i="19"/>
  <c r="D42" i="19"/>
  <c r="Z2" i="18"/>
  <c r="AA2" i="18" s="1"/>
  <c r="AA31" i="18"/>
  <c r="E154" i="19"/>
  <c r="D153" i="19"/>
  <c r="C152" i="19"/>
  <c r="B151" i="19"/>
  <c r="K148" i="19"/>
  <c r="J147" i="19"/>
  <c r="B152" i="19"/>
  <c r="K150" i="19"/>
  <c r="K149" i="19"/>
  <c r="E156" i="19"/>
  <c r="J149" i="19"/>
  <c r="E155" i="19"/>
  <c r="J148" i="19"/>
  <c r="D155" i="19"/>
  <c r="I148" i="19"/>
  <c r="D154" i="19"/>
  <c r="I147" i="19"/>
  <c r="C154" i="19"/>
  <c r="H147" i="19"/>
  <c r="C153" i="19"/>
  <c r="B153" i="19"/>
  <c r="Z18" i="18"/>
  <c r="AA18" i="18" s="1"/>
  <c r="Z41" i="18"/>
  <c r="AA41" i="18" s="1"/>
  <c r="AA45" i="18"/>
  <c r="AA68" i="18"/>
  <c r="I140" i="19"/>
  <c r="F139" i="19"/>
  <c r="C138" i="19"/>
  <c r="I136" i="19"/>
  <c r="F135" i="19"/>
  <c r="C134" i="19"/>
  <c r="I132" i="19"/>
  <c r="F131" i="19"/>
  <c r="C130" i="19"/>
  <c r="K141" i="19"/>
  <c r="H140" i="19"/>
  <c r="E139" i="19"/>
  <c r="K137" i="19"/>
  <c r="H136" i="19"/>
  <c r="E135" i="19"/>
  <c r="K133" i="19"/>
  <c r="H132" i="19"/>
  <c r="E131" i="19"/>
  <c r="K129" i="19"/>
  <c r="J141" i="19"/>
  <c r="G140" i="19"/>
  <c r="J137" i="19"/>
  <c r="G136" i="19"/>
  <c r="J133" i="19"/>
  <c r="G132" i="19"/>
  <c r="J129" i="19"/>
  <c r="I141" i="19"/>
  <c r="F140" i="19"/>
  <c r="C139" i="19"/>
  <c r="I137" i="19"/>
  <c r="F136" i="19"/>
  <c r="C135" i="19"/>
  <c r="I133" i="19"/>
  <c r="F132" i="19"/>
  <c r="C131" i="19"/>
  <c r="I129" i="19"/>
  <c r="H141" i="19"/>
  <c r="E140" i="19"/>
  <c r="K138" i="19"/>
  <c r="H137" i="19"/>
  <c r="E136" i="19"/>
  <c r="K134" i="19"/>
  <c r="H133" i="19"/>
  <c r="E132" i="19"/>
  <c r="K130" i="19"/>
  <c r="H129" i="19"/>
  <c r="G141" i="19"/>
  <c r="J138" i="19"/>
  <c r="G137" i="19"/>
  <c r="J134" i="19"/>
  <c r="G133" i="19"/>
  <c r="J130" i="19"/>
  <c r="G129" i="19"/>
  <c r="F141" i="19"/>
  <c r="C140" i="19"/>
  <c r="I138" i="19"/>
  <c r="F137" i="19"/>
  <c r="C136" i="19"/>
  <c r="I134" i="19"/>
  <c r="F133" i="19"/>
  <c r="C132" i="19"/>
  <c r="I130" i="19"/>
  <c r="F129" i="19"/>
  <c r="E141" i="19"/>
  <c r="K139" i="19"/>
  <c r="H138" i="19"/>
  <c r="E137" i="19"/>
  <c r="K135" i="19"/>
  <c r="H134" i="19"/>
  <c r="E133" i="19"/>
  <c r="K131" i="19"/>
  <c r="H130" i="19"/>
  <c r="E129" i="19"/>
  <c r="J139" i="19"/>
  <c r="G138" i="19"/>
  <c r="J135" i="19"/>
  <c r="G134" i="19"/>
  <c r="J131" i="19"/>
  <c r="G130" i="19"/>
  <c r="C141" i="19"/>
  <c r="I139" i="19"/>
  <c r="F138" i="19"/>
  <c r="C137" i="19"/>
  <c r="I135" i="19"/>
  <c r="F134" i="19"/>
  <c r="C133" i="19"/>
  <c r="I131" i="19"/>
  <c r="F130" i="19"/>
  <c r="C129" i="19"/>
  <c r="H139" i="19"/>
  <c r="H131" i="19"/>
  <c r="G139" i="19"/>
  <c r="G131" i="19"/>
  <c r="E138" i="19"/>
  <c r="E130" i="19"/>
  <c r="K136" i="19"/>
  <c r="J136" i="19"/>
  <c r="H135" i="19"/>
  <c r="G135" i="19"/>
  <c r="E134" i="19"/>
  <c r="K140" i="19"/>
  <c r="K132" i="19"/>
  <c r="J140" i="19"/>
  <c r="J132" i="19"/>
  <c r="Z85" i="18"/>
  <c r="Z89" i="18"/>
  <c r="AA89" i="18" s="1"/>
  <c r="AA99" i="18"/>
  <c r="AA142" i="18"/>
  <c r="AA165" i="18"/>
  <c r="AA38" i="18"/>
  <c r="AA95" i="18"/>
  <c r="Z53" i="18"/>
  <c r="AA53" i="18" s="1"/>
  <c r="Z87" i="18"/>
  <c r="AA87" i="18" s="1"/>
  <c r="AA150" i="18"/>
  <c r="AA70" i="18"/>
  <c r="Z98" i="18"/>
  <c r="AA141" i="18"/>
  <c r="AA126" i="18"/>
  <c r="Z134" i="18"/>
  <c r="AA134" i="18" s="1"/>
  <c r="AA43" i="18"/>
  <c r="AA52" i="18"/>
  <c r="Z92" i="18"/>
  <c r="AA153" i="18"/>
  <c r="Z49" i="18"/>
  <c r="AA49" i="18" s="1"/>
  <c r="AA50" i="18"/>
  <c r="Z152" i="18"/>
  <c r="Z62" i="18"/>
  <c r="AA62" i="18" s="1"/>
  <c r="Z100" i="18"/>
  <c r="F60" i="19"/>
  <c r="F59" i="19"/>
  <c r="F58" i="19"/>
  <c r="F57" i="19"/>
  <c r="F56" i="19"/>
  <c r="F55" i="19"/>
  <c r="F54" i="19"/>
  <c r="F53" i="19"/>
  <c r="F52" i="19"/>
  <c r="F51" i="19"/>
  <c r="F50" i="19"/>
  <c r="F49" i="19"/>
  <c r="D60" i="19"/>
  <c r="D59" i="19"/>
  <c r="D58" i="19"/>
  <c r="D57" i="19"/>
  <c r="B58" i="19"/>
  <c r="D55" i="19"/>
  <c r="D51" i="19"/>
  <c r="C55" i="19"/>
  <c r="C51" i="19"/>
  <c r="E59" i="19"/>
  <c r="E56" i="19"/>
  <c r="B55" i="19"/>
  <c r="E52" i="19"/>
  <c r="B51" i="19"/>
  <c r="C59" i="19"/>
  <c r="D56" i="19"/>
  <c r="D52" i="19"/>
  <c r="B59" i="19"/>
  <c r="C56" i="19"/>
  <c r="C52" i="19"/>
  <c r="B56" i="19"/>
  <c r="E53" i="19"/>
  <c r="B52" i="19"/>
  <c r="E49" i="19"/>
  <c r="E60" i="19"/>
  <c r="E57" i="19"/>
  <c r="D53" i="19"/>
  <c r="D49" i="19"/>
  <c r="C60" i="19"/>
  <c r="C57" i="19"/>
  <c r="C53" i="19"/>
  <c r="C49" i="19"/>
  <c r="B60" i="19"/>
  <c r="B57" i="19"/>
  <c r="E54" i="19"/>
  <c r="B53" i="19"/>
  <c r="E50" i="19"/>
  <c r="B49" i="19"/>
  <c r="D54" i="19"/>
  <c r="D50" i="19"/>
  <c r="E58" i="19"/>
  <c r="C54" i="19"/>
  <c r="C50" i="19"/>
  <c r="E55" i="19"/>
  <c r="B54" i="19"/>
  <c r="E51" i="19"/>
  <c r="B50" i="19"/>
  <c r="C58" i="19"/>
  <c r="AA129" i="18"/>
  <c r="A87" i="19"/>
  <c r="C12" i="19" a="1"/>
  <c r="C12" i="19" s="1"/>
  <c r="Z128" i="18"/>
  <c r="AA128" i="18" s="1"/>
  <c r="G24" i="19"/>
  <c r="G19" i="19"/>
  <c r="G22" i="19"/>
  <c r="G25" i="19"/>
  <c r="G18" i="19"/>
  <c r="G21" i="19"/>
  <c r="AA106" i="18"/>
  <c r="AA119" i="18"/>
  <c r="AA167" i="18"/>
  <c r="AA185" i="18"/>
  <c r="Z224" i="18"/>
  <c r="AA224" i="18" s="1"/>
  <c r="AA205" i="18"/>
  <c r="AA161" i="18"/>
  <c r="AA280" i="18"/>
  <c r="Z180" i="18"/>
  <c r="AA180" i="18" s="1"/>
  <c r="Z209" i="18"/>
  <c r="Z214" i="18"/>
  <c r="AA214" i="18" s="1"/>
  <c r="AA227" i="18"/>
  <c r="AA136" i="18"/>
  <c r="AA176" i="18"/>
  <c r="AA188" i="18"/>
  <c r="Z203" i="18"/>
  <c r="Z223" i="18"/>
  <c r="AA223" i="18" s="1"/>
  <c r="AA131" i="18"/>
  <c r="Z197" i="18"/>
  <c r="AA182" i="18"/>
  <c r="Z207" i="18"/>
  <c r="AA207" i="18" s="1"/>
  <c r="Z226" i="18"/>
  <c r="AA226" i="18" s="1"/>
  <c r="AA251" i="18"/>
  <c r="AA130" i="18"/>
  <c r="AA154" i="18"/>
  <c r="AA149" i="18"/>
  <c r="AA173" i="18"/>
  <c r="AA187" i="18"/>
  <c r="AA191" i="18"/>
  <c r="Z217" i="18"/>
  <c r="AA196" i="18"/>
  <c r="Z211" i="18"/>
  <c r="AA211" i="18" s="1"/>
  <c r="AA222" i="18"/>
  <c r="AA274" i="18"/>
  <c r="AA230" i="18"/>
  <c r="AA266" i="18"/>
  <c r="AA284" i="18"/>
  <c r="AA302" i="18"/>
  <c r="AA331" i="18"/>
  <c r="Z350" i="18"/>
  <c r="AA350" i="18" s="1"/>
  <c r="Z368" i="18"/>
  <c r="AA368" i="18" s="1"/>
  <c r="AA388" i="18"/>
  <c r="Z456" i="18"/>
  <c r="AA456" i="18" s="1"/>
  <c r="AA258" i="18"/>
  <c r="AA276" i="18"/>
  <c r="AA291" i="18"/>
  <c r="AA307" i="18"/>
  <c r="Z309" i="18"/>
  <c r="AA309" i="18" s="1"/>
  <c r="AA323" i="18"/>
  <c r="AA339" i="18"/>
  <c r="AA346" i="18"/>
  <c r="Z362" i="18"/>
  <c r="AA362" i="18" s="1"/>
  <c r="Z376" i="18"/>
  <c r="AA376" i="18" s="1"/>
  <c r="Z399" i="18"/>
  <c r="AA399" i="18" s="1"/>
  <c r="Z415" i="18"/>
  <c r="AA415" i="18" s="1"/>
  <c r="AA265" i="18"/>
  <c r="AA312" i="18"/>
  <c r="AA237" i="18"/>
  <c r="AA255" i="18"/>
  <c r="AA290" i="18"/>
  <c r="AA301" i="18"/>
  <c r="AA319" i="18"/>
  <c r="Z332" i="18"/>
  <c r="AA332" i="18" s="1"/>
  <c r="Z352" i="18"/>
  <c r="AA352" i="18" s="1"/>
  <c r="Z382" i="18"/>
  <c r="AA382" i="18" s="1"/>
  <c r="AA421" i="18"/>
  <c r="AA236" i="18"/>
  <c r="AA272" i="18"/>
  <c r="AA345" i="18"/>
  <c r="Z348" i="18"/>
  <c r="AA348" i="18" s="1"/>
  <c r="Z408" i="18"/>
  <c r="AA441" i="18"/>
  <c r="AA356" i="18"/>
  <c r="Z372" i="18"/>
  <c r="AA372" i="18" s="1"/>
  <c r="AA386" i="18"/>
  <c r="Z390" i="18"/>
  <c r="AA390" i="18" s="1"/>
  <c r="Z422" i="18"/>
  <c r="AA422" i="18" s="1"/>
  <c r="AA235" i="18"/>
  <c r="AA271" i="18"/>
  <c r="AA300" i="18"/>
  <c r="AA318" i="18"/>
  <c r="Z370" i="18"/>
  <c r="AA370" i="18" s="1"/>
  <c r="Z420" i="18"/>
  <c r="AA420" i="18" s="1"/>
  <c r="AA261" i="18"/>
  <c r="AA325" i="18"/>
  <c r="AA337" i="18"/>
  <c r="Z389" i="18"/>
  <c r="AA389" i="18" s="1"/>
  <c r="Z396" i="18"/>
  <c r="AA396" i="18" s="1"/>
  <c r="Z449" i="18"/>
  <c r="AA449" i="18" s="1"/>
  <c r="AA278" i="18"/>
  <c r="AA314" i="18"/>
  <c r="AA328" i="18"/>
  <c r="Z358" i="18"/>
  <c r="AA358" i="18" s="1"/>
  <c r="Z393" i="18"/>
  <c r="AA393" i="18" s="1"/>
  <c r="Z395" i="18"/>
  <c r="AA395" i="18" s="1"/>
  <c r="Z400" i="18"/>
  <c r="AA400" i="18" s="1"/>
  <c r="AA407" i="18"/>
  <c r="Z411" i="18"/>
  <c r="AA411" i="18" s="1"/>
  <c r="AA432" i="18"/>
  <c r="AA439" i="18"/>
  <c r="AA234" i="18"/>
  <c r="AA252" i="18"/>
  <c r="AA317" i="18"/>
  <c r="AA427" i="18"/>
  <c r="AA259" i="18"/>
  <c r="AA303" i="18"/>
  <c r="AA308" i="18"/>
  <c r="Z315" i="18"/>
  <c r="AA315" i="18" s="1"/>
  <c r="AA324" i="18"/>
  <c r="Z326" i="18"/>
  <c r="AA326" i="18" s="1"/>
  <c r="Z338" i="18"/>
  <c r="AA338" i="18" s="1"/>
  <c r="Z341" i="18"/>
  <c r="AA341" i="18" s="1"/>
  <c r="AA342" i="18"/>
  <c r="AA347" i="18"/>
  <c r="AA354" i="18"/>
  <c r="AA371" i="18"/>
  <c r="Z375" i="18"/>
  <c r="AA375" i="18" s="1"/>
  <c r="AA402" i="18"/>
  <c r="Z414" i="18"/>
  <c r="AA414" i="18" s="1"/>
  <c r="Z363" i="18"/>
  <c r="AA363" i="18" s="1"/>
  <c r="Z394" i="18"/>
  <c r="AA394" i="18" s="1"/>
  <c r="AA397" i="18"/>
  <c r="AA499" i="18"/>
  <c r="AA527" i="18"/>
  <c r="AA446" i="18"/>
  <c r="Z462" i="18"/>
  <c r="AA462" i="18" s="1"/>
  <c r="Z474" i="18"/>
  <c r="AA474" i="18" s="1"/>
  <c r="Z485" i="18"/>
  <c r="AA485" i="18" s="1"/>
  <c r="AA498" i="18"/>
  <c r="Z531" i="18"/>
  <c r="AA536" i="18"/>
  <c r="Z483" i="18"/>
  <c r="AA483" i="18" s="1"/>
  <c r="Z515" i="18"/>
  <c r="AA515" i="18" s="1"/>
  <c r="Z592" i="18"/>
  <c r="AA592" i="18" s="1"/>
  <c r="Z459" i="18"/>
  <c r="Z473" i="18"/>
  <c r="AA473" i="18" s="1"/>
  <c r="Z504" i="18"/>
  <c r="AA504" i="18" s="1"/>
  <c r="AA398" i="18"/>
  <c r="Z471" i="18"/>
  <c r="AA471" i="18" s="1"/>
  <c r="AA494" i="18"/>
  <c r="AA520" i="18"/>
  <c r="Z522" i="18"/>
  <c r="AA522" i="18" s="1"/>
  <c r="AA572" i="18"/>
  <c r="AA620" i="18"/>
  <c r="AA416" i="18"/>
  <c r="AA440" i="18"/>
  <c r="AA481" i="18"/>
  <c r="Z500" i="18"/>
  <c r="AA500" i="18" s="1"/>
  <c r="Z503" i="18"/>
  <c r="AA550" i="18"/>
  <c r="Z587" i="18"/>
  <c r="AA587" i="18" s="1"/>
  <c r="AA404" i="18"/>
  <c r="Z447" i="18"/>
  <c r="Z480" i="18"/>
  <c r="AA480" i="18" s="1"/>
  <c r="Z509" i="18"/>
  <c r="AA509" i="18" s="1"/>
  <c r="Z516" i="18"/>
  <c r="AA516" i="18" s="1"/>
  <c r="Z556" i="18"/>
  <c r="AA556" i="18" s="1"/>
  <c r="Z453" i="18"/>
  <c r="AA453" i="18" s="1"/>
  <c r="AA469" i="18"/>
  <c r="Z489" i="18"/>
  <c r="AA489" i="18" s="1"/>
  <c r="Z514" i="18"/>
  <c r="AA413" i="18"/>
  <c r="AA437" i="18"/>
  <c r="AA455" i="18"/>
  <c r="Z468" i="18"/>
  <c r="AA468" i="18" s="1"/>
  <c r="Z549" i="18"/>
  <c r="AA549" i="18" s="1"/>
  <c r="AA344" i="18"/>
  <c r="Z512" i="18"/>
  <c r="AA512" i="18" s="1"/>
  <c r="AA529" i="18"/>
  <c r="Z465" i="18"/>
  <c r="AA537" i="18"/>
  <c r="AA541" i="18"/>
  <c r="Z486" i="18"/>
  <c r="AA486" i="18" s="1"/>
  <c r="Z505" i="18"/>
  <c r="AA505" i="18" s="1"/>
  <c r="Z513" i="18"/>
  <c r="AA513" i="18" s="1"/>
  <c r="AA528" i="18"/>
  <c r="AA532" i="18"/>
  <c r="AA623" i="18"/>
  <c r="AA648" i="18"/>
  <c r="AA706" i="18"/>
  <c r="AA567" i="18"/>
  <c r="AA615" i="18"/>
  <c r="Z622" i="18"/>
  <c r="AA622" i="18" s="1"/>
  <c r="AA633" i="18"/>
  <c r="AA665" i="18"/>
  <c r="Z686" i="18"/>
  <c r="AA686" i="18" s="1"/>
  <c r="Z594" i="18"/>
  <c r="AA594" i="18" s="1"/>
  <c r="AA803" i="18"/>
  <c r="AA546" i="18"/>
  <c r="AA564" i="18"/>
  <c r="Z621" i="18"/>
  <c r="AA621" i="18" s="1"/>
  <c r="AA639" i="18"/>
  <c r="Z655" i="18"/>
  <c r="AA655" i="18" s="1"/>
  <c r="Z664" i="18"/>
  <c r="AA664" i="18" s="1"/>
  <c r="AA690" i="18"/>
  <c r="Z708" i="18"/>
  <c r="AA708" i="18" s="1"/>
  <c r="AA791" i="18"/>
  <c r="AA563" i="18"/>
  <c r="AA580" i="18"/>
  <c r="AA605" i="18"/>
  <c r="Z612" i="18"/>
  <c r="AA612" i="18" s="1"/>
  <c r="AA629" i="18"/>
  <c r="Z645" i="18"/>
  <c r="AA645" i="18" s="1"/>
  <c r="Z671" i="18"/>
  <c r="AA671" i="18" s="1"/>
  <c r="AA683" i="18"/>
  <c r="Z685" i="18"/>
  <c r="AA685" i="18" s="1"/>
  <c r="AA687" i="18"/>
  <c r="Z628" i="18"/>
  <c r="AA628" i="18" s="1"/>
  <c r="Z730" i="18"/>
  <c r="AA540" i="18"/>
  <c r="AA544" i="18"/>
  <c r="Z582" i="18"/>
  <c r="AA582" i="18" s="1"/>
  <c r="Z689" i="18"/>
  <c r="AA689" i="18" s="1"/>
  <c r="AA744" i="18"/>
  <c r="AA809" i="18"/>
  <c r="AA539" i="18"/>
  <c r="AA552" i="18"/>
  <c r="AA570" i="18"/>
  <c r="AA579" i="18"/>
  <c r="Z610" i="18"/>
  <c r="AA610" i="18" s="1"/>
  <c r="Z627" i="18"/>
  <c r="AA627" i="18" s="1"/>
  <c r="AA636" i="18"/>
  <c r="Z670" i="18"/>
  <c r="AA670" i="18" s="1"/>
  <c r="AA675" i="18"/>
  <c r="AA678" i="18"/>
  <c r="AA704" i="18"/>
  <c r="Z715" i="18"/>
  <c r="AA715" i="18" s="1"/>
  <c r="AA747" i="18"/>
  <c r="Z603" i="18"/>
  <c r="AA603" i="18" s="1"/>
  <c r="AA635" i="18"/>
  <c r="Z653" i="18"/>
  <c r="AA653" i="18" s="1"/>
  <c r="Z666" i="18"/>
  <c r="AA666" i="18" s="1"/>
  <c r="Z703" i="18"/>
  <c r="AA703" i="18" s="1"/>
  <c r="AA797" i="18"/>
  <c r="AA534" i="18"/>
  <c r="AA538" i="18"/>
  <c r="AA561" i="18"/>
  <c r="AA585" i="18"/>
  <c r="Z591" i="18"/>
  <c r="AA591" i="18" s="1"/>
  <c r="Z597" i="18"/>
  <c r="AA597" i="18" s="1"/>
  <c r="Z609" i="18"/>
  <c r="AA609" i="18" s="1"/>
  <c r="Z616" i="18"/>
  <c r="AA616" i="18" s="1"/>
  <c r="Z641" i="18"/>
  <c r="AA641" i="18" s="1"/>
  <c r="Z668" i="18"/>
  <c r="AA668" i="18" s="1"/>
  <c r="AA681" i="18"/>
  <c r="Z739" i="18"/>
  <c r="AA739" i="18" s="1"/>
  <c r="Z640" i="18"/>
  <c r="AA640" i="18" s="1"/>
  <c r="Z691" i="18"/>
  <c r="AA691" i="18" s="1"/>
  <c r="AA780" i="18"/>
  <c r="AA745" i="18"/>
  <c r="AA802" i="18"/>
  <c r="AA813" i="18"/>
  <c r="AA684" i="18"/>
  <c r="Z776" i="18"/>
  <c r="AA776" i="18" s="1"/>
  <c r="AA751" i="18"/>
  <c r="AA790" i="18"/>
  <c r="AA812" i="18"/>
  <c r="Z822" i="18"/>
  <c r="AA822" i="18" s="1"/>
  <c r="AA784" i="18"/>
  <c r="AA756" i="18"/>
  <c r="AA772" i="18"/>
  <c r="AA777" i="18"/>
  <c r="AA789" i="18"/>
  <c r="Z821" i="18"/>
  <c r="AA821" i="18" s="1"/>
  <c r="AA696" i="18"/>
  <c r="AA766" i="18"/>
  <c r="AA783" i="18"/>
  <c r="AA826" i="18"/>
  <c r="AA667" i="18"/>
  <c r="AA788" i="18"/>
  <c r="Z805" i="18"/>
  <c r="AA805" i="18" s="1"/>
  <c r="AA816" i="18"/>
  <c r="AA848" i="18"/>
  <c r="AA754" i="18"/>
  <c r="Z799" i="18"/>
  <c r="AA799" i="18" s="1"/>
  <c r="Z810" i="18"/>
  <c r="AA810" i="18" s="1"/>
  <c r="AA825" i="18"/>
  <c r="AA673" i="18"/>
  <c r="AA748" i="18"/>
  <c r="AA770" i="18"/>
  <c r="AA672" i="18"/>
  <c r="AA793" i="18"/>
  <c r="AA758" i="18"/>
  <c r="AA828" i="18"/>
  <c r="AA845" i="18"/>
  <c r="AA839" i="18"/>
  <c r="AA881" i="18"/>
  <c r="AA922" i="18"/>
  <c r="AA838" i="18"/>
  <c r="AA855" i="18"/>
  <c r="AA849" i="18"/>
  <c r="AA869" i="18"/>
  <c r="Z886" i="18"/>
  <c r="AA886" i="18" s="1"/>
  <c r="AA843" i="18"/>
  <c r="Z879" i="18"/>
  <c r="AA837" i="18"/>
  <c r="AA854" i="18"/>
  <c r="Z873" i="18"/>
  <c r="AA873" i="18" s="1"/>
  <c r="AA842" i="18"/>
  <c r="AA920" i="18"/>
  <c r="AA836" i="18"/>
  <c r="Z900" i="18"/>
  <c r="AA900" i="18" s="1"/>
  <c r="AA923" i="18"/>
  <c r="Z874" i="18"/>
  <c r="AA874" i="18" s="1"/>
  <c r="AA876" i="18"/>
  <c r="Z904" i="18"/>
  <c r="AA851" i="18"/>
  <c r="Z889" i="18"/>
  <c r="Z902" i="18"/>
  <c r="AA902" i="18" s="1"/>
  <c r="Z943" i="18"/>
  <c r="AA943" i="18" s="1"/>
  <c r="Z971" i="18"/>
  <c r="AA971" i="18" s="1"/>
  <c r="AA987" i="18"/>
  <c r="Z998" i="18"/>
  <c r="AA998" i="18" s="1"/>
  <c r="AA986" i="18"/>
  <c r="AA1024" i="18"/>
  <c r="AA936" i="18"/>
  <c r="AA966" i="18"/>
  <c r="AA907" i="18"/>
  <c r="Z940" i="18"/>
  <c r="AA940" i="18" s="1"/>
  <c r="Z946" i="18"/>
  <c r="AA946" i="18" s="1"/>
  <c r="AA901" i="18"/>
  <c r="Z988" i="18"/>
  <c r="AA988" i="18" s="1"/>
  <c r="AA924" i="18"/>
  <c r="AA939" i="18"/>
  <c r="AA945" i="18"/>
  <c r="Z968" i="18"/>
  <c r="AA968" i="18" s="1"/>
  <c r="AA999" i="18"/>
  <c r="AA931" i="18"/>
  <c r="AA918" i="18"/>
  <c r="Z937" i="18"/>
  <c r="AA937" i="18" s="1"/>
  <c r="AA1014" i="18"/>
  <c r="Z1032" i="18"/>
  <c r="AA1032" i="18" s="1"/>
  <c r="Z1046" i="18"/>
  <c r="AA1046" i="18" s="1"/>
  <c r="Z1048" i="18"/>
  <c r="AA1048" i="18" s="1"/>
  <c r="AA955" i="18"/>
  <c r="Z1061" i="18"/>
  <c r="AA1061" i="18" s="1"/>
  <c r="Z1072" i="18"/>
  <c r="AA1072" i="18" s="1"/>
  <c r="AA1009" i="18"/>
  <c r="AA1004" i="18"/>
  <c r="Z1041" i="18"/>
  <c r="AA1041" i="18" s="1"/>
  <c r="Z1053" i="18"/>
  <c r="AA1053" i="18" s="1"/>
  <c r="Z1062" i="18"/>
  <c r="AA1062" i="18" s="1"/>
  <c r="AA1033" i="18"/>
  <c r="Z1035" i="18"/>
  <c r="AA1035" i="18" s="1"/>
  <c r="Z1030" i="18"/>
  <c r="AA1030" i="18" s="1"/>
  <c r="AA1068" i="18"/>
  <c r="AA976" i="18"/>
  <c r="AA997" i="18"/>
  <c r="Z1044" i="18"/>
  <c r="AA1044" i="18" s="1"/>
  <c r="AA1052" i="18"/>
  <c r="Z1055" i="18"/>
  <c r="AA1055" i="18" s="1"/>
  <c r="Z1028" i="18"/>
  <c r="AA1028" i="18" s="1"/>
  <c r="Z1039" i="18"/>
  <c r="AA1039" i="18" s="1"/>
  <c r="AA982" i="18"/>
  <c r="Z1064" i="18"/>
  <c r="AA1064" i="18" s="1"/>
  <c r="AA1075" i="18"/>
  <c r="Z1080" i="18"/>
  <c r="AA1080" i="18" s="1"/>
  <c r="M71" i="19"/>
  <c r="AA1042" i="18"/>
  <c r="AA1063" i="18"/>
  <c r="AA1066" i="18"/>
  <c r="K73" i="19"/>
  <c r="AA1057" i="18"/>
  <c r="E72" i="19"/>
  <c r="F156" i="19"/>
  <c r="F74" i="19"/>
  <c r="AA1070" i="18"/>
  <c r="K69" i="19"/>
  <c r="Z1074" i="18"/>
  <c r="AA1074" i="18" s="1"/>
  <c r="AA1077" i="18"/>
  <c r="AA1069" i="18"/>
  <c r="I66" i="19"/>
  <c r="I74" i="19"/>
  <c r="I75" i="19"/>
  <c r="I68" i="19"/>
  <c r="I73" i="19"/>
  <c r="J150" i="19"/>
  <c r="K151" i="19"/>
  <c r="K74" i="19"/>
  <c r="B67" i="19"/>
  <c r="L67" i="19"/>
  <c r="H67" i="19"/>
  <c r="F67" i="19"/>
  <c r="I69" i="19"/>
  <c r="J71" i="19"/>
  <c r="H71" i="19"/>
  <c r="D71" i="19"/>
  <c r="B71" i="19"/>
  <c r="J73" i="19"/>
  <c r="F75" i="19"/>
  <c r="D75" i="19"/>
  <c r="L75" i="19"/>
  <c r="J75" i="19"/>
  <c r="C67" i="19"/>
  <c r="F68" i="19"/>
  <c r="C71" i="19"/>
  <c r="F72" i="19"/>
  <c r="B75" i="19"/>
  <c r="M69" i="19"/>
  <c r="M73" i="19"/>
  <c r="B154" i="19"/>
  <c r="M66" i="19"/>
  <c r="K70" i="19"/>
  <c r="I70" i="19"/>
  <c r="E70" i="19"/>
  <c r="C70" i="19"/>
  <c r="G74" i="19"/>
  <c r="C155" i="19"/>
  <c r="C66" i="19"/>
  <c r="B70" i="19"/>
  <c r="D156" i="19"/>
  <c r="I67" i="19"/>
  <c r="D70" i="19"/>
  <c r="I71" i="19"/>
  <c r="C74" i="19"/>
  <c r="H75" i="19"/>
  <c r="E157" i="19"/>
  <c r="E68" i="19"/>
  <c r="E66" i="19"/>
  <c r="L69" i="19"/>
  <c r="J69" i="19"/>
  <c r="F69" i="19"/>
  <c r="D69" i="19"/>
  <c r="F70" i="19"/>
  <c r="H73" i="19"/>
  <c r="F73" i="19"/>
  <c r="B73" i="19"/>
  <c r="L73" i="19"/>
  <c r="F147" i="19"/>
  <c r="F148" i="19"/>
  <c r="F149" i="19"/>
  <c r="F150" i="19"/>
  <c r="F151" i="19"/>
  <c r="F152" i="19"/>
  <c r="F153" i="19"/>
  <c r="F154" i="19"/>
  <c r="F155" i="19"/>
  <c r="F157" i="19"/>
  <c r="F66" i="19"/>
  <c r="G70" i="19"/>
  <c r="C73" i="19"/>
  <c r="G147" i="19"/>
  <c r="G148" i="19"/>
  <c r="G149" i="19"/>
  <c r="G150" i="19"/>
  <c r="G151" i="19"/>
  <c r="G152" i="19"/>
  <c r="G153" i="19"/>
  <c r="G154" i="19"/>
  <c r="G155" i="19"/>
  <c r="G156" i="19"/>
  <c r="G157" i="19"/>
  <c r="G68" i="19"/>
  <c r="G66" i="19"/>
  <c r="M67" i="19"/>
  <c r="C69" i="19"/>
  <c r="H70" i="19"/>
  <c r="D73" i="19"/>
  <c r="M75" i="19"/>
  <c r="H148" i="19"/>
  <c r="M68" i="19"/>
  <c r="E69" i="19"/>
  <c r="J70" i="19"/>
  <c r="I72" i="19"/>
  <c r="E73" i="19"/>
  <c r="I149" i="19"/>
  <c r="H157" i="19"/>
  <c r="M72" i="19"/>
  <c r="K147" i="19"/>
  <c r="B150" i="19"/>
  <c r="C151" i="19"/>
  <c r="D152" i="19"/>
  <c r="E153" i="19"/>
  <c r="H156" i="19"/>
  <c r="I157" i="19"/>
  <c r="B149" i="19"/>
  <c r="C150" i="19"/>
  <c r="D151" i="19"/>
  <c r="E152" i="19"/>
  <c r="H155" i="19"/>
  <c r="I156" i="19"/>
  <c r="J157" i="19"/>
  <c r="C72" i="19"/>
  <c r="M74" i="19"/>
  <c r="B148" i="19"/>
  <c r="C149" i="19"/>
  <c r="D150" i="19"/>
  <c r="E151" i="19"/>
  <c r="H154" i="19"/>
  <c r="I155" i="19"/>
  <c r="J156" i="19"/>
  <c r="K157" i="19"/>
  <c r="B147" i="19"/>
  <c r="C148" i="19"/>
  <c r="D149" i="19"/>
  <c r="E150" i="19"/>
  <c r="H153" i="19"/>
  <c r="I154" i="19"/>
  <c r="J155" i="19"/>
  <c r="K156" i="19"/>
  <c r="C147" i="19"/>
  <c r="D148" i="19"/>
  <c r="E149" i="19"/>
  <c r="H152" i="19"/>
  <c r="I153" i="19"/>
  <c r="J154" i="19"/>
  <c r="K155" i="19"/>
  <c r="D147" i="19"/>
  <c r="E148" i="19"/>
  <c r="H151" i="19"/>
  <c r="I152" i="19"/>
  <c r="J153" i="19"/>
  <c r="K154" i="19"/>
  <c r="B157" i="19"/>
  <c r="K68" i="19"/>
  <c r="G72" i="19"/>
  <c r="E74" i="19"/>
  <c r="E147" i="19"/>
  <c r="H150" i="19"/>
  <c r="I151" i="19"/>
  <c r="J152" i="19"/>
  <c r="K153" i="19"/>
  <c r="B156" i="19"/>
  <c r="C157" i="19"/>
  <c r="H149" i="19"/>
  <c r="I150" i="19"/>
  <c r="J151" i="19"/>
  <c r="K152" i="19"/>
  <c r="B155" i="19"/>
  <c r="C156" i="19"/>
  <c r="D157" i="19"/>
  <c r="W12" i="17"/>
  <c r="Y12" i="17" s="1"/>
  <c r="W9" i="15"/>
  <c r="Y9" i="15" s="1"/>
  <c r="W29" i="9"/>
  <c r="X29" i="9" s="1"/>
  <c r="W13" i="17"/>
  <c r="X13" i="17" s="1"/>
  <c r="W15" i="9"/>
  <c r="X15" i="9" s="1"/>
  <c r="W14" i="15"/>
  <c r="X14" i="15" s="1"/>
  <c r="L14" i="15" s="1"/>
  <c r="W7" i="15"/>
  <c r="Y7" i="15" s="1"/>
  <c r="W24" i="9"/>
  <c r="Y24" i="9" s="1"/>
  <c r="W7" i="9"/>
  <c r="X7" i="9" s="1"/>
  <c r="W15" i="17"/>
  <c r="Y15" i="17" s="1"/>
  <c r="W12" i="16"/>
  <c r="X12" i="16" s="1"/>
  <c r="W15" i="15"/>
  <c r="X15" i="15" s="1"/>
  <c r="W14" i="17"/>
  <c r="Y14" i="17" s="1"/>
  <c r="W10" i="17"/>
  <c r="X10" i="17" s="1"/>
  <c r="W34" i="9"/>
  <c r="X34" i="9" s="1"/>
  <c r="W9" i="16"/>
  <c r="X9" i="16" s="1"/>
  <c r="W32" i="9"/>
  <c r="X32" i="9" s="1"/>
  <c r="W6" i="14"/>
  <c r="W10" i="15"/>
  <c r="W6" i="15"/>
  <c r="X6" i="15" s="1"/>
  <c r="W15" i="16"/>
  <c r="X15" i="16" s="1"/>
  <c r="W15" i="14"/>
  <c r="X15" i="14" s="1"/>
  <c r="W18" i="9"/>
  <c r="Y18" i="9" s="1"/>
  <c r="W12" i="15"/>
  <c r="X12" i="15" s="1"/>
  <c r="L12" i="15" s="1"/>
  <c r="W8" i="14"/>
  <c r="X8" i="14" s="1"/>
  <c r="W14" i="14"/>
  <c r="X14" i="14" s="1"/>
  <c r="W10" i="16"/>
  <c r="Y10" i="16" s="1"/>
  <c r="W16" i="16"/>
  <c r="Y16" i="16" s="1"/>
  <c r="W19" i="9"/>
  <c r="Y19" i="9" s="1"/>
  <c r="W23" i="9"/>
  <c r="X23" i="9" s="1"/>
  <c r="W9" i="14"/>
  <c r="X9" i="14" s="1"/>
  <c r="W16" i="14"/>
  <c r="X16" i="14" s="1"/>
  <c r="W12" i="14"/>
  <c r="X12" i="14" s="1"/>
  <c r="W8" i="16"/>
  <c r="X8" i="16" s="1"/>
  <c r="W11" i="17"/>
  <c r="Y11" i="17" s="1"/>
  <c r="W30" i="9"/>
  <c r="X30" i="9" s="1"/>
  <c r="W14" i="16"/>
  <c r="X14" i="16" s="1"/>
  <c r="W27" i="9"/>
  <c r="W16" i="9"/>
  <c r="Y16" i="9" s="1"/>
  <c r="W11" i="14"/>
  <c r="X11" i="14" s="1"/>
  <c r="W25" i="9"/>
  <c r="X25" i="9" s="1"/>
  <c r="W11" i="15"/>
  <c r="X11" i="15" s="1"/>
  <c r="L11" i="15" s="1"/>
  <c r="W9" i="17"/>
  <c r="Y9" i="17" s="1"/>
  <c r="W22" i="9"/>
  <c r="W13" i="9"/>
  <c r="W31" i="9"/>
  <c r="W28" i="9"/>
  <c r="W21" i="9"/>
  <c r="W17" i="9"/>
  <c r="W13" i="14"/>
  <c r="W8" i="15"/>
  <c r="W13" i="16"/>
  <c r="W6" i="16"/>
  <c r="W26" i="9"/>
  <c r="W20" i="9"/>
  <c r="W12" i="9"/>
  <c r="W11" i="16"/>
  <c r="W33" i="9"/>
  <c r="W10" i="14"/>
  <c r="W13" i="15"/>
  <c r="W14" i="9"/>
  <c r="W16" i="17"/>
  <c r="Y16" i="17" s="1"/>
  <c r="W6" i="17"/>
  <c r="Y6" i="17" s="1"/>
  <c r="W8" i="17"/>
  <c r="Y8" i="17" s="1"/>
  <c r="F24" i="12"/>
  <c r="G26" i="12"/>
  <c r="H26" i="12"/>
  <c r="H24" i="12"/>
  <c r="F22" i="12"/>
  <c r="G22" i="12"/>
  <c r="H22" i="12"/>
  <c r="D24" i="12"/>
  <c r="D25" i="12"/>
  <c r="E24" i="12"/>
  <c r="E25" i="12"/>
  <c r="E22" i="12"/>
  <c r="G24" i="12"/>
  <c r="D23" i="12"/>
  <c r="F25" i="12"/>
  <c r="E23" i="12"/>
  <c r="G25" i="12"/>
  <c r="F23" i="12"/>
  <c r="H25" i="12"/>
  <c r="G23" i="12"/>
  <c r="D26" i="12"/>
  <c r="H23" i="12"/>
  <c r="E26" i="12"/>
  <c r="F26" i="12"/>
  <c r="D22" i="12"/>
  <c r="H8" i="12"/>
  <c r="G8" i="12"/>
  <c r="F9" i="12"/>
  <c r="D9" i="12"/>
  <c r="H9" i="12"/>
  <c r="H10" i="12"/>
  <c r="H11" i="12"/>
  <c r="D8" i="12"/>
  <c r="E8" i="12"/>
  <c r="F7" i="12"/>
  <c r="G9" i="12"/>
  <c r="D10" i="12"/>
  <c r="E10" i="12"/>
  <c r="F10" i="12"/>
  <c r="G10" i="12"/>
  <c r="F8" i="12"/>
  <c r="D11" i="12"/>
  <c r="E11" i="12"/>
  <c r="F11" i="12"/>
  <c r="E9" i="12"/>
  <c r="G11" i="12"/>
  <c r="H7" i="12"/>
  <c r="G7" i="12"/>
  <c r="D7" i="12"/>
  <c r="E7" i="12"/>
  <c r="W11" i="9"/>
  <c r="Y11" i="9" s="1"/>
  <c r="W8" i="9"/>
  <c r="Y8" i="9" s="1"/>
  <c r="W9" i="9"/>
  <c r="X9" i="9" s="1"/>
  <c r="W10" i="9"/>
  <c r="BH1006" i="11"/>
  <c r="BJ1006" i="11" s="1"/>
  <c r="BH142" i="11"/>
  <c r="BI142" i="11" s="1"/>
  <c r="AH142" i="11" s="1"/>
  <c r="BH154" i="11"/>
  <c r="BI154" i="11" s="1"/>
  <c r="AH154" i="11" s="1"/>
  <c r="BH178" i="11"/>
  <c r="BI178" i="11" s="1"/>
  <c r="AH178" i="11" s="1"/>
  <c r="BH853" i="11"/>
  <c r="BJ853" i="11" s="1"/>
  <c r="BH708" i="11"/>
  <c r="BJ708" i="11" s="1"/>
  <c r="BH780" i="11"/>
  <c r="BJ780" i="11" s="1"/>
  <c r="BH787" i="11"/>
  <c r="BI787" i="11" s="1"/>
  <c r="AH787" i="11" s="1"/>
  <c r="BH1008" i="11"/>
  <c r="BI1008" i="11" s="1"/>
  <c r="AH1008" i="11" s="1"/>
  <c r="BH481" i="11"/>
  <c r="BJ481" i="11" s="1"/>
  <c r="BH580" i="11"/>
  <c r="BJ580" i="11" s="1"/>
  <c r="BH712" i="11"/>
  <c r="BJ712" i="11" s="1"/>
  <c r="BH719" i="11"/>
  <c r="BJ719" i="11" s="1"/>
  <c r="BH736" i="11"/>
  <c r="BI736" i="11" s="1"/>
  <c r="AH736" i="11" s="1"/>
  <c r="BH748" i="11"/>
  <c r="BJ748" i="11" s="1"/>
  <c r="BH808" i="11"/>
  <c r="BJ808" i="11" s="1"/>
  <c r="BH832" i="11"/>
  <c r="BJ832" i="11" s="1"/>
  <c r="BH657" i="11"/>
  <c r="BI657" i="11" s="1"/>
  <c r="AH657" i="11" s="1"/>
  <c r="BH681" i="11"/>
  <c r="BJ681" i="11" s="1"/>
  <c r="BH693" i="11"/>
  <c r="BJ693" i="11" s="1"/>
  <c r="BH705" i="11"/>
  <c r="BI705" i="11" s="1"/>
  <c r="AH705" i="11" s="1"/>
  <c r="BH801" i="11"/>
  <c r="BJ801" i="11" s="1"/>
  <c r="BH595" i="11"/>
  <c r="BJ595" i="11" s="1"/>
  <c r="BH454" i="11"/>
  <c r="BJ454" i="11" s="1"/>
  <c r="BH567" i="11"/>
  <c r="BJ567" i="11" s="1"/>
  <c r="BH716" i="11"/>
  <c r="BJ716" i="11" s="1"/>
  <c r="BH141" i="11"/>
  <c r="BJ141" i="11" s="1"/>
  <c r="BH323" i="11"/>
  <c r="BJ323" i="11" s="1"/>
  <c r="BH127" i="11"/>
  <c r="BJ127" i="11" s="1"/>
  <c r="BH352" i="11"/>
  <c r="BJ352" i="11" s="1"/>
  <c r="BH875" i="11"/>
  <c r="BI875" i="11" s="1"/>
  <c r="AH875" i="11" s="1"/>
  <c r="BH887" i="11"/>
  <c r="BI887" i="11" s="1"/>
  <c r="AH887" i="11" s="1"/>
  <c r="BH923" i="11"/>
  <c r="BI923" i="11" s="1"/>
  <c r="AH923" i="11" s="1"/>
  <c r="BH29" i="11"/>
  <c r="BJ29" i="11" s="1"/>
  <c r="BH523" i="11"/>
  <c r="BJ523" i="11" s="1"/>
  <c r="BH561" i="11"/>
  <c r="BJ561" i="11" s="1"/>
  <c r="BH650" i="11"/>
  <c r="BJ650" i="11" s="1"/>
  <c r="BH825" i="11"/>
  <c r="BI825" i="11" s="1"/>
  <c r="AH825" i="11" s="1"/>
  <c r="BH212" i="11"/>
  <c r="BI212" i="11" s="1"/>
  <c r="AH212" i="11" s="1"/>
  <c r="BH322" i="11"/>
  <c r="BJ322" i="11" s="1"/>
  <c r="BH490" i="11"/>
  <c r="BI490" i="11" s="1"/>
  <c r="AH490" i="11" s="1"/>
  <c r="BH696" i="11"/>
  <c r="BI696" i="11" s="1"/>
  <c r="AH696" i="11" s="1"/>
  <c r="BH260" i="11"/>
  <c r="BI260" i="11" s="1"/>
  <c r="AH260" i="11" s="1"/>
  <c r="BH272" i="11"/>
  <c r="BI272" i="11" s="1"/>
  <c r="AH272" i="11" s="1"/>
  <c r="BH814" i="11"/>
  <c r="BJ814" i="11" s="1"/>
  <c r="BH206" i="11"/>
  <c r="BJ206" i="11" s="1"/>
  <c r="BH304" i="11"/>
  <c r="BJ304" i="11" s="1"/>
  <c r="BH60" i="11"/>
  <c r="BJ60" i="11" s="1"/>
  <c r="BH144" i="11"/>
  <c r="BJ144" i="11" s="1"/>
  <c r="BH168" i="11"/>
  <c r="BJ168" i="11" s="1"/>
  <c r="BH314" i="11"/>
  <c r="BI314" i="11" s="1"/>
  <c r="AH314" i="11" s="1"/>
  <c r="BH587" i="11"/>
  <c r="BJ587" i="11" s="1"/>
  <c r="BH834" i="11"/>
  <c r="BI834" i="11" s="1"/>
  <c r="AH834" i="11" s="1"/>
  <c r="BH197" i="11"/>
  <c r="BJ197" i="11" s="1"/>
  <c r="BH324" i="11"/>
  <c r="BI324" i="11" s="1"/>
  <c r="AH324" i="11" s="1"/>
  <c r="BH420" i="11"/>
  <c r="BJ420" i="11" s="1"/>
  <c r="BH279" i="11"/>
  <c r="BJ279" i="11" s="1"/>
  <c r="BH184" i="11"/>
  <c r="BI184" i="11" s="1"/>
  <c r="AH184" i="11" s="1"/>
  <c r="BH433" i="11"/>
  <c r="BI433" i="11" s="1"/>
  <c r="AH433" i="11" s="1"/>
  <c r="BH474" i="11"/>
  <c r="BI474" i="11" s="1"/>
  <c r="AH474" i="11" s="1"/>
  <c r="BH505" i="11"/>
  <c r="BJ505" i="11" s="1"/>
  <c r="BH52" i="11"/>
  <c r="BI52" i="11" s="1"/>
  <c r="AH52" i="11" s="1"/>
  <c r="BH427" i="11"/>
  <c r="BI427" i="11" s="1"/>
  <c r="AH427" i="11" s="1"/>
  <c r="BH520" i="11"/>
  <c r="BJ520" i="11" s="1"/>
  <c r="BH805" i="11"/>
  <c r="BJ805" i="11" s="1"/>
  <c r="BH45" i="11"/>
  <c r="BI45" i="11" s="1"/>
  <c r="AH45" i="11" s="1"/>
  <c r="BH432" i="11"/>
  <c r="BI432" i="11" s="1"/>
  <c r="AH432" i="11" s="1"/>
  <c r="BH468" i="11"/>
  <c r="BI468" i="11" s="1"/>
  <c r="AH468" i="11" s="1"/>
  <c r="BH551" i="11"/>
  <c r="BI551" i="11" s="1"/>
  <c r="AH551" i="11" s="1"/>
  <c r="BH678" i="11"/>
  <c r="BJ678" i="11" s="1"/>
  <c r="BH690" i="11"/>
  <c r="BI690" i="11" s="1"/>
  <c r="AH690" i="11" s="1"/>
  <c r="BH55" i="11"/>
  <c r="BI55" i="11" s="1"/>
  <c r="AH55" i="11" s="1"/>
  <c r="BH478" i="11"/>
  <c r="BI478" i="11" s="1"/>
  <c r="AH478" i="11" s="1"/>
  <c r="BH435" i="11"/>
  <c r="BI435" i="11" s="1"/>
  <c r="AH435" i="11" s="1"/>
  <c r="BH120" i="11"/>
  <c r="BI120" i="11" s="1"/>
  <c r="AH120" i="11" s="1"/>
  <c r="BH132" i="11"/>
  <c r="BI132" i="11" s="1"/>
  <c r="AH132" i="11" s="1"/>
  <c r="BH151" i="11"/>
  <c r="BJ151" i="11" s="1"/>
  <c r="BH469" i="11"/>
  <c r="BI469" i="11" s="1"/>
  <c r="AH469" i="11" s="1"/>
  <c r="BH559" i="11"/>
  <c r="BJ559" i="11" s="1"/>
  <c r="BH775" i="11"/>
  <c r="BJ775" i="11" s="1"/>
  <c r="BH221" i="11"/>
  <c r="BI221" i="11" s="1"/>
  <c r="AH221" i="11" s="1"/>
  <c r="BH467" i="11"/>
  <c r="BJ467" i="11" s="1"/>
  <c r="BH871" i="11"/>
  <c r="BJ871" i="11" s="1"/>
  <c r="BH883" i="11"/>
  <c r="BJ883" i="11" s="1"/>
  <c r="BH895" i="11"/>
  <c r="BI895" i="11" s="1"/>
  <c r="AH895" i="11" s="1"/>
  <c r="BH876" i="11"/>
  <c r="BI876" i="11" s="1"/>
  <c r="AH876" i="11" s="1"/>
  <c r="BH54" i="11"/>
  <c r="BI54" i="11" s="1"/>
  <c r="AH54" i="11" s="1"/>
  <c r="BH66" i="11"/>
  <c r="BJ66" i="11" s="1"/>
  <c r="BH85" i="11"/>
  <c r="BI85" i="11" s="1"/>
  <c r="AH85" i="11" s="1"/>
  <c r="BH97" i="11"/>
  <c r="BJ97" i="11" s="1"/>
  <c r="BH560" i="11"/>
  <c r="BJ560" i="11" s="1"/>
  <c r="BH651" i="11"/>
  <c r="BJ651" i="11" s="1"/>
  <c r="BH663" i="11"/>
  <c r="BJ663" i="11" s="1"/>
  <c r="BH735" i="11"/>
  <c r="BJ735" i="11" s="1"/>
  <c r="BH771" i="11"/>
  <c r="BI771" i="11" s="1"/>
  <c r="AH771" i="11" s="1"/>
  <c r="BH783" i="11"/>
  <c r="BJ783" i="11" s="1"/>
  <c r="BH795" i="11"/>
  <c r="BI795" i="11" s="1"/>
  <c r="AH795" i="11" s="1"/>
  <c r="BH88" i="11"/>
  <c r="BI88" i="11" s="1"/>
  <c r="AH88" i="11" s="1"/>
  <c r="BH150" i="11"/>
  <c r="BJ150" i="11" s="1"/>
  <c r="BH193" i="11"/>
  <c r="BI193" i="11" s="1"/>
  <c r="AH193" i="11" s="1"/>
  <c r="BH264" i="11"/>
  <c r="BI264" i="11" s="1"/>
  <c r="AH264" i="11" s="1"/>
  <c r="BH368" i="11"/>
  <c r="BI368" i="11" s="1"/>
  <c r="AH368" i="11" s="1"/>
  <c r="BH392" i="11"/>
  <c r="BI392" i="11" s="1"/>
  <c r="AH392" i="11" s="1"/>
  <c r="BH456" i="11"/>
  <c r="BJ456" i="11" s="1"/>
  <c r="BH603" i="11"/>
  <c r="BJ603" i="11" s="1"/>
  <c r="BH744" i="11"/>
  <c r="BJ744" i="11" s="1"/>
  <c r="BH756" i="11"/>
  <c r="BI756" i="11" s="1"/>
  <c r="AH756" i="11" s="1"/>
  <c r="BH26" i="11"/>
  <c r="BJ26" i="11" s="1"/>
  <c r="BH81" i="11"/>
  <c r="BJ81" i="11" s="1"/>
  <c r="BH155" i="11"/>
  <c r="BI155" i="11" s="1"/>
  <c r="AH155" i="11" s="1"/>
  <c r="BH179" i="11"/>
  <c r="BI179" i="11" s="1"/>
  <c r="AH179" i="11" s="1"/>
  <c r="BH186" i="11"/>
  <c r="BI186" i="11" s="1"/>
  <c r="AH186" i="11" s="1"/>
  <c r="BH198" i="11"/>
  <c r="BJ198" i="11" s="1"/>
  <c r="BH248" i="11"/>
  <c r="BJ248" i="11" s="1"/>
  <c r="BH345" i="11"/>
  <c r="BI345" i="11" s="1"/>
  <c r="AH345" i="11" s="1"/>
  <c r="BH440" i="11"/>
  <c r="BJ440" i="11" s="1"/>
  <c r="BH525" i="11"/>
  <c r="BI525" i="11" s="1"/>
  <c r="AH525" i="11" s="1"/>
  <c r="BH553" i="11"/>
  <c r="BI553" i="11" s="1"/>
  <c r="AH553" i="11" s="1"/>
  <c r="BH615" i="11"/>
  <c r="BJ615" i="11" s="1"/>
  <c r="BH720" i="11"/>
  <c r="BJ720" i="11" s="1"/>
  <c r="BH737" i="11"/>
  <c r="BI737" i="11" s="1"/>
  <c r="AH737" i="11" s="1"/>
  <c r="BH761" i="11"/>
  <c r="BI761" i="11" s="1"/>
  <c r="AH761" i="11" s="1"/>
  <c r="BH892" i="11"/>
  <c r="BI892" i="11" s="1"/>
  <c r="AH892" i="11" s="1"/>
  <c r="BH1004" i="11"/>
  <c r="BI1004" i="11" s="1"/>
  <c r="AH1004" i="11" s="1"/>
  <c r="BH136" i="11"/>
  <c r="BI136" i="11" s="1"/>
  <c r="AH136" i="11" s="1"/>
  <c r="BH203" i="11"/>
  <c r="BJ203" i="11" s="1"/>
  <c r="BH281" i="11"/>
  <c r="BI281" i="11" s="1"/>
  <c r="AH281" i="11" s="1"/>
  <c r="BH293" i="11"/>
  <c r="BJ293" i="11" s="1"/>
  <c r="BH336" i="11"/>
  <c r="BI336" i="11" s="1"/>
  <c r="AH336" i="11" s="1"/>
  <c r="BH371" i="11"/>
  <c r="BI371" i="11" s="1"/>
  <c r="AH371" i="11" s="1"/>
  <c r="BH383" i="11"/>
  <c r="BJ383" i="11" s="1"/>
  <c r="BH499" i="11"/>
  <c r="BJ499" i="11" s="1"/>
  <c r="BH620" i="11"/>
  <c r="BJ620" i="11" s="1"/>
  <c r="BH658" i="11"/>
  <c r="BI658" i="11" s="1"/>
  <c r="AH658" i="11" s="1"/>
  <c r="BH670" i="11"/>
  <c r="BJ670" i="11" s="1"/>
  <c r="BH706" i="11"/>
  <c r="BJ706" i="11" s="1"/>
  <c r="BH718" i="11"/>
  <c r="BJ718" i="11" s="1"/>
  <c r="BH730" i="11"/>
  <c r="BJ730" i="11" s="1"/>
  <c r="BH854" i="11"/>
  <c r="BI854" i="11" s="1"/>
  <c r="AH854" i="11" s="1"/>
  <c r="BH866" i="11"/>
  <c r="BJ866" i="11" s="1"/>
  <c r="BH388" i="11"/>
  <c r="BJ388" i="11" s="1"/>
  <c r="BH462" i="11"/>
  <c r="BI462" i="11" s="1"/>
  <c r="AH462" i="11" s="1"/>
  <c r="BH502" i="11"/>
  <c r="BJ502" i="11" s="1"/>
  <c r="BH704" i="11"/>
  <c r="BJ704" i="11" s="1"/>
  <c r="BH793" i="11"/>
  <c r="BI793" i="11" s="1"/>
  <c r="AH793" i="11" s="1"/>
  <c r="BH838" i="11"/>
  <c r="BI838" i="11" s="1"/>
  <c r="AH838" i="11" s="1"/>
  <c r="BH850" i="11"/>
  <c r="BI850" i="11" s="1"/>
  <c r="AH850" i="11" s="1"/>
  <c r="BH857" i="11"/>
  <c r="BJ857" i="11" s="1"/>
  <c r="BH1000" i="11"/>
  <c r="BJ1000" i="11" s="1"/>
  <c r="BH289" i="11"/>
  <c r="BI289" i="11" s="1"/>
  <c r="AH289" i="11" s="1"/>
  <c r="BH308" i="11"/>
  <c r="BJ308" i="11" s="1"/>
  <c r="BH362" i="11"/>
  <c r="BI362" i="11" s="1"/>
  <c r="AH362" i="11" s="1"/>
  <c r="BH592" i="11"/>
  <c r="BJ592" i="11" s="1"/>
  <c r="BH44" i="11"/>
  <c r="BI44" i="11" s="1"/>
  <c r="AH44" i="11" s="1"/>
  <c r="BH75" i="11"/>
  <c r="BJ75" i="11" s="1"/>
  <c r="BH87" i="11"/>
  <c r="BI87" i="11" s="1"/>
  <c r="AH87" i="11" s="1"/>
  <c r="BH99" i="11"/>
  <c r="BJ99" i="11" s="1"/>
  <c r="BH118" i="11"/>
  <c r="BI118" i="11" s="1"/>
  <c r="AH118" i="11" s="1"/>
  <c r="BH216" i="11"/>
  <c r="BI216" i="11" s="1"/>
  <c r="AH216" i="11" s="1"/>
  <c r="BH294" i="11"/>
  <c r="BI294" i="11" s="1"/>
  <c r="AH294" i="11" s="1"/>
  <c r="BH410" i="11"/>
  <c r="BI410" i="11" s="1"/>
  <c r="AH410" i="11" s="1"/>
  <c r="BH460" i="11"/>
  <c r="BI460" i="11" s="1"/>
  <c r="AH460" i="11" s="1"/>
  <c r="BH602" i="11"/>
  <c r="BJ602" i="11" s="1"/>
  <c r="BH671" i="11"/>
  <c r="BI671" i="11" s="1"/>
  <c r="AH671" i="11" s="1"/>
  <c r="BH779" i="11"/>
  <c r="BI779" i="11" s="1"/>
  <c r="AH779" i="11" s="1"/>
  <c r="BH824" i="11"/>
  <c r="BJ824" i="11" s="1"/>
  <c r="BH848" i="11"/>
  <c r="BJ848" i="11" s="1"/>
  <c r="BH855" i="11"/>
  <c r="BJ855" i="11" s="1"/>
  <c r="BH867" i="11"/>
  <c r="BJ867" i="11" s="1"/>
  <c r="BH18" i="11"/>
  <c r="BJ18" i="11" s="1"/>
  <c r="BH25" i="11"/>
  <c r="BJ25" i="11" s="1"/>
  <c r="BH73" i="11"/>
  <c r="BI73" i="11" s="1"/>
  <c r="AH73" i="11" s="1"/>
  <c r="BH111" i="11"/>
  <c r="BJ111" i="11" s="1"/>
  <c r="BH760" i="11"/>
  <c r="BI760" i="11" s="1"/>
  <c r="AH760" i="11" s="1"/>
  <c r="BH829" i="11"/>
  <c r="BJ829" i="11" s="1"/>
  <c r="BH860" i="11"/>
  <c r="BI860" i="11" s="1"/>
  <c r="AH860" i="11" s="1"/>
  <c r="BH872" i="11"/>
  <c r="BI872" i="11" s="1"/>
  <c r="AH872" i="11" s="1"/>
  <c r="BH35" i="11"/>
  <c r="BJ35" i="11" s="1"/>
  <c r="BH90" i="11"/>
  <c r="BJ90" i="11" s="1"/>
  <c r="BH195" i="11"/>
  <c r="BI195" i="11" s="1"/>
  <c r="AH195" i="11" s="1"/>
  <c r="BH252" i="11"/>
  <c r="BI252" i="11" s="1"/>
  <c r="AH252" i="11" s="1"/>
  <c r="BH297" i="11"/>
  <c r="BJ297" i="11" s="1"/>
  <c r="BH309" i="11"/>
  <c r="BI309" i="11" s="1"/>
  <c r="AH309" i="11" s="1"/>
  <c r="BH349" i="11"/>
  <c r="BJ349" i="11" s="1"/>
  <c r="BH394" i="11"/>
  <c r="BI394" i="11" s="1"/>
  <c r="AH394" i="11" s="1"/>
  <c r="BH451" i="11"/>
  <c r="BJ451" i="11" s="1"/>
  <c r="BH503" i="11"/>
  <c r="BI503" i="11" s="1"/>
  <c r="AH503" i="11" s="1"/>
  <c r="BH529" i="11"/>
  <c r="BJ529" i="11" s="1"/>
  <c r="BH605" i="11"/>
  <c r="BJ605" i="11" s="1"/>
  <c r="BH710" i="11"/>
  <c r="BJ710" i="11" s="1"/>
  <c r="BH722" i="11"/>
  <c r="BJ722" i="11" s="1"/>
  <c r="BH734" i="11"/>
  <c r="BJ734" i="11" s="1"/>
  <c r="BH794" i="11"/>
  <c r="BJ794" i="11" s="1"/>
  <c r="BH896" i="11"/>
  <c r="BI896" i="11" s="1"/>
  <c r="AH896" i="11" s="1"/>
  <c r="BH63" i="11"/>
  <c r="BJ63" i="11" s="1"/>
  <c r="BH117" i="11"/>
  <c r="BJ117" i="11" s="1"/>
  <c r="BH157" i="11"/>
  <c r="BJ157" i="11" s="1"/>
  <c r="BH169" i="11"/>
  <c r="BJ169" i="11" s="1"/>
  <c r="BH236" i="11"/>
  <c r="BJ236" i="11" s="1"/>
  <c r="BH254" i="11"/>
  <c r="BI254" i="11" s="1"/>
  <c r="AH254" i="11" s="1"/>
  <c r="BH258" i="11"/>
  <c r="BJ258" i="11" s="1"/>
  <c r="BH278" i="11"/>
  <c r="BJ278" i="11" s="1"/>
  <c r="BH335" i="11"/>
  <c r="BI335" i="11" s="1"/>
  <c r="AH335" i="11" s="1"/>
  <c r="BH387" i="11"/>
  <c r="BI387" i="11" s="1"/>
  <c r="AH387" i="11" s="1"/>
  <c r="BH445" i="11"/>
  <c r="BJ445" i="11" s="1"/>
  <c r="BH450" i="11"/>
  <c r="BJ450" i="11" s="1"/>
  <c r="BH531" i="11"/>
  <c r="BI531" i="11" s="1"/>
  <c r="AH531" i="11" s="1"/>
  <c r="BH538" i="11"/>
  <c r="BJ538" i="11" s="1"/>
  <c r="BH563" i="11"/>
  <c r="BI563" i="11" s="1"/>
  <c r="AH563" i="11" s="1"/>
  <c r="BH584" i="11"/>
  <c r="BJ584" i="11" s="1"/>
  <c r="BH763" i="11"/>
  <c r="BI763" i="11" s="1"/>
  <c r="AH763" i="11" s="1"/>
  <c r="BH772" i="11"/>
  <c r="BJ772" i="11" s="1"/>
  <c r="BH863" i="11"/>
  <c r="BJ863" i="11" s="1"/>
  <c r="BH19" i="11"/>
  <c r="BJ19" i="11" s="1"/>
  <c r="BH105" i="11"/>
  <c r="BJ105" i="11" s="1"/>
  <c r="BH183" i="11"/>
  <c r="BJ183" i="11" s="1"/>
  <c r="BH241" i="11"/>
  <c r="BJ241" i="11" s="1"/>
  <c r="BH263" i="11"/>
  <c r="BI263" i="11" s="1"/>
  <c r="AH263" i="11" s="1"/>
  <c r="BH526" i="11"/>
  <c r="BJ526" i="11" s="1"/>
  <c r="BH234" i="11"/>
  <c r="BI234" i="11" s="1"/>
  <c r="AH234" i="11" s="1"/>
  <c r="BH326" i="11"/>
  <c r="BJ326" i="11" s="1"/>
  <c r="BH359" i="11"/>
  <c r="BJ359" i="11" s="1"/>
  <c r="BH441" i="11"/>
  <c r="BI441" i="11" s="1"/>
  <c r="AH441" i="11" s="1"/>
  <c r="BH480" i="11"/>
  <c r="BI480" i="11" s="1"/>
  <c r="AH480" i="11" s="1"/>
  <c r="BH612" i="11"/>
  <c r="BJ612" i="11" s="1"/>
  <c r="BH483" i="11"/>
  <c r="BJ483" i="11" s="1"/>
  <c r="BH545" i="11"/>
  <c r="BJ545" i="11" s="1"/>
  <c r="BH608" i="11"/>
  <c r="BJ608" i="11" s="1"/>
  <c r="BH847" i="11"/>
  <c r="BJ847" i="11" s="1"/>
  <c r="BH16" i="11"/>
  <c r="BJ16" i="11" s="1"/>
  <c r="BH38" i="11"/>
  <c r="BJ38" i="11" s="1"/>
  <c r="BH374" i="11"/>
  <c r="BI374" i="11" s="1"/>
  <c r="AH374" i="11" s="1"/>
  <c r="BH673" i="11"/>
  <c r="BI673" i="11" s="1"/>
  <c r="AH673" i="11" s="1"/>
  <c r="BH796" i="11"/>
  <c r="BJ796" i="11" s="1"/>
  <c r="BH803" i="11"/>
  <c r="BJ803" i="11" s="1"/>
  <c r="BH205" i="11"/>
  <c r="BJ205" i="11" s="1"/>
  <c r="BH497" i="11"/>
  <c r="BJ497" i="11" s="1"/>
  <c r="BH196" i="11"/>
  <c r="BJ196" i="11" s="1"/>
  <c r="BH367" i="11"/>
  <c r="BI367" i="11" s="1"/>
  <c r="AH367" i="11" s="1"/>
  <c r="BH472" i="11"/>
  <c r="BI472" i="11" s="1"/>
  <c r="AH472" i="11" s="1"/>
  <c r="BH740" i="11"/>
  <c r="BI740" i="11" s="1"/>
  <c r="AH740" i="11" s="1"/>
  <c r="BH12" i="11"/>
  <c r="BI12" i="11" s="1"/>
  <c r="AH12" i="11" s="1"/>
  <c r="BH32" i="11"/>
  <c r="BJ32" i="11" s="1"/>
  <c r="BH156" i="11"/>
  <c r="BJ156" i="11" s="1"/>
  <c r="BH187" i="11"/>
  <c r="BI187" i="11" s="1"/>
  <c r="AH187" i="11" s="1"/>
  <c r="BH244" i="11"/>
  <c r="BJ244" i="11" s="1"/>
  <c r="BH266" i="11"/>
  <c r="BI266" i="11" s="1"/>
  <c r="AH266" i="11" s="1"/>
  <c r="BH277" i="11"/>
  <c r="BJ277" i="11" s="1"/>
  <c r="BH316" i="11"/>
  <c r="BJ316" i="11" s="1"/>
  <c r="BH347" i="11"/>
  <c r="BJ347" i="11" s="1"/>
  <c r="BH386" i="11"/>
  <c r="BI386" i="11" s="1"/>
  <c r="AH386" i="11" s="1"/>
  <c r="BH442" i="11"/>
  <c r="BI442" i="11" s="1"/>
  <c r="AH442" i="11" s="1"/>
  <c r="BH463" i="11"/>
  <c r="BI463" i="11" s="1"/>
  <c r="AH463" i="11" s="1"/>
  <c r="BH477" i="11"/>
  <c r="BI477" i="11" s="1"/>
  <c r="AH477" i="11" s="1"/>
  <c r="BH664" i="11"/>
  <c r="BJ664" i="11" s="1"/>
  <c r="BH444" i="11"/>
  <c r="BJ444" i="11" s="1"/>
  <c r="BH377" i="11"/>
  <c r="BJ377" i="11" s="1"/>
  <c r="BH412" i="11"/>
  <c r="BI412" i="11" s="1"/>
  <c r="AH412" i="11" s="1"/>
  <c r="BH724" i="11"/>
  <c r="BJ724" i="11" s="1"/>
  <c r="BH159" i="11"/>
  <c r="BJ159" i="11" s="1"/>
  <c r="BH238" i="11"/>
  <c r="BJ238" i="11" s="1"/>
  <c r="BH273" i="11"/>
  <c r="BJ273" i="11" s="1"/>
  <c r="BH332" i="11"/>
  <c r="BI332" i="11" s="1"/>
  <c r="AH332" i="11" s="1"/>
  <c r="BH337" i="11"/>
  <c r="BI337" i="11" s="1"/>
  <c r="AH337" i="11" s="1"/>
  <c r="BH375" i="11"/>
  <c r="BJ375" i="11" s="1"/>
  <c r="BH830" i="11"/>
  <c r="BI830" i="11" s="1"/>
  <c r="AH830" i="11" s="1"/>
  <c r="BH846" i="11"/>
  <c r="BJ846" i="11" s="1"/>
  <c r="BH865" i="11"/>
  <c r="BJ865" i="11" s="1"/>
  <c r="BH11" i="11"/>
  <c r="BJ11" i="11" s="1"/>
  <c r="BH112" i="11"/>
  <c r="BH237" i="11"/>
  <c r="BJ237" i="11" s="1"/>
  <c r="BH295" i="11"/>
  <c r="BI295" i="11" s="1"/>
  <c r="AH295" i="11" s="1"/>
  <c r="BH217" i="11"/>
  <c r="BI217" i="11" s="1"/>
  <c r="AH217" i="11" s="1"/>
  <c r="BH606" i="11"/>
  <c r="BI606" i="11" s="1"/>
  <c r="AH606" i="11" s="1"/>
  <c r="BH235" i="11"/>
  <c r="BI235" i="11" s="1"/>
  <c r="AH235" i="11" s="1"/>
  <c r="BH414" i="11"/>
  <c r="BI414" i="11" s="1"/>
  <c r="AH414" i="11" s="1"/>
  <c r="BH214" i="11"/>
  <c r="BJ214" i="11" s="1"/>
  <c r="BH376" i="11"/>
  <c r="BJ376" i="11" s="1"/>
  <c r="BH160" i="11"/>
  <c r="BI160" i="11" s="1"/>
  <c r="AH160" i="11" s="1"/>
  <c r="BH296" i="11"/>
  <c r="BI296" i="11" s="1"/>
  <c r="AH296" i="11" s="1"/>
  <c r="BH354" i="11"/>
  <c r="BJ354" i="11" s="1"/>
  <c r="BH135" i="11"/>
  <c r="BH209" i="11"/>
  <c r="BJ209" i="11" s="1"/>
  <c r="BH218" i="11"/>
  <c r="BI218" i="11" s="1"/>
  <c r="AH218" i="11" s="1"/>
  <c r="BH341" i="11"/>
  <c r="BJ341" i="11" s="1"/>
  <c r="BH403" i="11"/>
  <c r="BJ403" i="11" s="1"/>
  <c r="BH637" i="11"/>
  <c r="BJ637" i="11" s="1"/>
  <c r="BH429" i="11"/>
  <c r="BI429" i="11" s="1"/>
  <c r="AH429" i="11" s="1"/>
  <c r="BH558" i="11"/>
  <c r="BI558" i="11" s="1"/>
  <c r="AH558" i="11" s="1"/>
  <c r="BH283" i="11"/>
  <c r="BJ283" i="11" s="1"/>
  <c r="BH290" i="11"/>
  <c r="BJ290" i="11" s="1"/>
  <c r="BH471" i="11"/>
  <c r="BJ471" i="11" s="1"/>
  <c r="BH517" i="11"/>
  <c r="BJ517" i="11" s="1"/>
  <c r="BH192" i="11"/>
  <c r="BJ192" i="11" s="1"/>
  <c r="BH13" i="11"/>
  <c r="BJ13" i="11" s="1"/>
  <c r="BH70" i="11"/>
  <c r="BI70" i="11" s="1"/>
  <c r="AH70" i="11" s="1"/>
  <c r="BH121" i="11"/>
  <c r="BJ121" i="11" s="1"/>
  <c r="BH399" i="11"/>
  <c r="BI399" i="11" s="1"/>
  <c r="AH399" i="11" s="1"/>
  <c r="BH540" i="11"/>
  <c r="BJ540" i="11" s="1"/>
  <c r="BH631" i="11"/>
  <c r="BJ631" i="11" s="1"/>
  <c r="BH633" i="11"/>
  <c r="BI633" i="11" s="1"/>
  <c r="AH633" i="11" s="1"/>
  <c r="BH635" i="11"/>
  <c r="BJ635" i="11" s="1"/>
  <c r="BH765" i="11"/>
  <c r="BJ765" i="11" s="1"/>
  <c r="BH208" i="11"/>
  <c r="BJ208" i="11" s="1"/>
  <c r="BH249" i="11"/>
  <c r="BJ249" i="11" s="1"/>
  <c r="BH261" i="11"/>
  <c r="BJ261" i="11" s="1"/>
  <c r="BH298" i="11"/>
  <c r="BJ298" i="11" s="1"/>
  <c r="BH300" i="11"/>
  <c r="BI300" i="11" s="1"/>
  <c r="AH300" i="11" s="1"/>
  <c r="BH365" i="11"/>
  <c r="BJ365" i="11" s="1"/>
  <c r="BH423" i="11"/>
  <c r="BJ423" i="11" s="1"/>
  <c r="BH438" i="11"/>
  <c r="BI438" i="11" s="1"/>
  <c r="AH438" i="11" s="1"/>
  <c r="BH536" i="11"/>
  <c r="BJ536" i="11" s="1"/>
  <c r="BH599" i="11"/>
  <c r="BJ599" i="11" s="1"/>
  <c r="BH617" i="11"/>
  <c r="BJ617" i="11" s="1"/>
  <c r="BH778" i="11"/>
  <c r="BJ778" i="11" s="1"/>
  <c r="BH818" i="11"/>
  <c r="BI818" i="11" s="1"/>
  <c r="AH818" i="11" s="1"/>
  <c r="BH41" i="11"/>
  <c r="BJ41" i="11" s="1"/>
  <c r="BH79" i="11"/>
  <c r="BJ79" i="11" s="1"/>
  <c r="BH106" i="11"/>
  <c r="BH108" i="11"/>
  <c r="BJ108" i="11" s="1"/>
  <c r="BH126" i="11"/>
  <c r="BJ126" i="11" s="1"/>
  <c r="BH163" i="11"/>
  <c r="BI163" i="11" s="1"/>
  <c r="AH163" i="11" s="1"/>
  <c r="BH177" i="11"/>
  <c r="BI177" i="11" s="1"/>
  <c r="AH177" i="11" s="1"/>
  <c r="BH226" i="11"/>
  <c r="BJ226" i="11" s="1"/>
  <c r="BH247" i="11"/>
  <c r="BJ247" i="11" s="1"/>
  <c r="BH292" i="11"/>
  <c r="BJ292" i="11" s="1"/>
  <c r="BH317" i="11"/>
  <c r="BJ317" i="11" s="1"/>
  <c r="BH344" i="11"/>
  <c r="BJ344" i="11" s="1"/>
  <c r="BH363" i="11"/>
  <c r="BJ363" i="11" s="1"/>
  <c r="BH395" i="11"/>
  <c r="BI395" i="11" s="1"/>
  <c r="AH395" i="11" s="1"/>
  <c r="BH408" i="11"/>
  <c r="BH447" i="11"/>
  <c r="BI447" i="11" s="1"/>
  <c r="AH447" i="11" s="1"/>
  <c r="BH512" i="11"/>
  <c r="BJ512" i="11" s="1"/>
  <c r="BH516" i="11"/>
  <c r="BI516" i="11" s="1"/>
  <c r="AH516" i="11" s="1"/>
  <c r="BH568" i="11"/>
  <c r="BJ568" i="11" s="1"/>
  <c r="BH629" i="11"/>
  <c r="BI629" i="11" s="1"/>
  <c r="AH629" i="11" s="1"/>
  <c r="BH648" i="11"/>
  <c r="BJ648" i="11" s="1"/>
  <c r="BH662" i="11"/>
  <c r="BJ662" i="11" s="1"/>
  <c r="BH669" i="11"/>
  <c r="BJ669" i="11" s="1"/>
  <c r="BH676" i="11"/>
  <c r="BJ676" i="11" s="1"/>
  <c r="BH688" i="11"/>
  <c r="BJ688" i="11" s="1"/>
  <c r="BH714" i="11"/>
  <c r="BJ714" i="11" s="1"/>
  <c r="BH728" i="11"/>
  <c r="BJ728" i="11" s="1"/>
  <c r="BH742" i="11"/>
  <c r="BJ742" i="11" s="1"/>
  <c r="BH754" i="11"/>
  <c r="BJ754" i="11" s="1"/>
  <c r="BH837" i="11"/>
  <c r="BJ837" i="11" s="1"/>
  <c r="BH851" i="11"/>
  <c r="BI851" i="11" s="1"/>
  <c r="AH851" i="11" s="1"/>
  <c r="BH879" i="11"/>
  <c r="BI879" i="11" s="1"/>
  <c r="AH879" i="11" s="1"/>
  <c r="BH961" i="11"/>
  <c r="BI961" i="11" s="1"/>
  <c r="AH961" i="11" s="1"/>
  <c r="BH973" i="11"/>
  <c r="BJ973" i="11" s="1"/>
  <c r="BH985" i="11"/>
  <c r="BJ985" i="11" s="1"/>
  <c r="BH997" i="11"/>
  <c r="BJ997" i="11" s="1"/>
  <c r="BH1009" i="11"/>
  <c r="BI1009" i="11" s="1"/>
  <c r="AH1009" i="11" s="1"/>
  <c r="BH48" i="11"/>
  <c r="BJ48" i="11" s="1"/>
  <c r="BH145" i="11"/>
  <c r="BJ145" i="11" s="1"/>
  <c r="BH175" i="11"/>
  <c r="BJ175" i="11" s="1"/>
  <c r="BH346" i="11"/>
  <c r="BI346" i="11" s="1"/>
  <c r="AH346" i="11" s="1"/>
  <c r="BH351" i="11"/>
  <c r="BI351" i="11" s="1"/>
  <c r="AH351" i="11" s="1"/>
  <c r="BH357" i="11"/>
  <c r="BI357" i="11" s="1"/>
  <c r="AH357" i="11" s="1"/>
  <c r="BH393" i="11"/>
  <c r="BJ393" i="11" s="1"/>
  <c r="BH406" i="11"/>
  <c r="BJ406" i="11" s="1"/>
  <c r="BH426" i="11"/>
  <c r="BI426" i="11" s="1"/>
  <c r="AH426" i="11" s="1"/>
  <c r="BH436" i="11"/>
  <c r="BI436" i="11" s="1"/>
  <c r="AH436" i="11" s="1"/>
  <c r="BH465" i="11"/>
  <c r="BI465" i="11" s="1"/>
  <c r="AH465" i="11" s="1"/>
  <c r="BH582" i="11"/>
  <c r="BJ582" i="11" s="1"/>
  <c r="BH609" i="11"/>
  <c r="BJ609" i="11" s="1"/>
  <c r="BH611" i="11"/>
  <c r="BJ611" i="11" s="1"/>
  <c r="BH627" i="11"/>
  <c r="BI627" i="11" s="1"/>
  <c r="AH627" i="11" s="1"/>
  <c r="BH660" i="11"/>
  <c r="BJ660" i="11" s="1"/>
  <c r="BH698" i="11"/>
  <c r="BJ698" i="11" s="1"/>
  <c r="BH738" i="11"/>
  <c r="BJ738" i="11" s="1"/>
  <c r="BH752" i="11"/>
  <c r="BJ752" i="11" s="1"/>
  <c r="BH770" i="11"/>
  <c r="BI770" i="11" s="1"/>
  <c r="AH770" i="11" s="1"/>
  <c r="BH790" i="11"/>
  <c r="BI790" i="11" s="1"/>
  <c r="AH790" i="11" s="1"/>
  <c r="BH819" i="11"/>
  <c r="BI819" i="11" s="1"/>
  <c r="AH819" i="11" s="1"/>
  <c r="BH833" i="11"/>
  <c r="BJ833" i="11" s="1"/>
  <c r="BH849" i="11"/>
  <c r="BI849" i="11" s="1"/>
  <c r="AH849" i="11" s="1"/>
  <c r="BH64" i="11"/>
  <c r="BI64" i="11" s="1"/>
  <c r="AH64" i="11" s="1"/>
  <c r="BH115" i="11"/>
  <c r="BJ115" i="11" s="1"/>
  <c r="BH129" i="11"/>
  <c r="BI129" i="11" s="1"/>
  <c r="AH129" i="11" s="1"/>
  <c r="BH138" i="11"/>
  <c r="BJ138" i="11" s="1"/>
  <c r="BH166" i="11"/>
  <c r="BI166" i="11" s="1"/>
  <c r="AH166" i="11" s="1"/>
  <c r="BH180" i="11"/>
  <c r="BJ180" i="11" s="1"/>
  <c r="BH239" i="11"/>
  <c r="BJ239" i="11" s="1"/>
  <c r="BH253" i="11"/>
  <c r="BJ253" i="11" s="1"/>
  <c r="BH265" i="11"/>
  <c r="BJ265" i="11" s="1"/>
  <c r="BH271" i="11"/>
  <c r="BI271" i="11" s="1"/>
  <c r="AH271" i="11" s="1"/>
  <c r="BH282" i="11"/>
  <c r="BI282" i="11" s="1"/>
  <c r="AH282" i="11" s="1"/>
  <c r="BH301" i="11"/>
  <c r="BJ301" i="11" s="1"/>
  <c r="BH307" i="11"/>
  <c r="BI307" i="11" s="1"/>
  <c r="AH307" i="11" s="1"/>
  <c r="BH328" i="11"/>
  <c r="BJ328" i="11" s="1"/>
  <c r="BH391" i="11"/>
  <c r="BI391" i="11" s="1"/>
  <c r="AH391" i="11" s="1"/>
  <c r="BH415" i="11"/>
  <c r="BJ415" i="11" s="1"/>
  <c r="BH424" i="11"/>
  <c r="BI424" i="11" s="1"/>
  <c r="AH424" i="11" s="1"/>
  <c r="BH484" i="11"/>
  <c r="BI484" i="11" s="1"/>
  <c r="AH484" i="11" s="1"/>
  <c r="BH547" i="11"/>
  <c r="BJ547" i="11" s="1"/>
  <c r="BH564" i="11"/>
  <c r="BJ564" i="11" s="1"/>
  <c r="BH577" i="11"/>
  <c r="BJ577" i="11" s="1"/>
  <c r="BH672" i="11"/>
  <c r="BH691" i="11"/>
  <c r="BI691" i="11" s="1"/>
  <c r="AH691" i="11" s="1"/>
  <c r="BH703" i="11"/>
  <c r="BI703" i="11" s="1"/>
  <c r="AH703" i="11" s="1"/>
  <c r="BH757" i="11"/>
  <c r="BJ757" i="11" s="1"/>
  <c r="BH768" i="11"/>
  <c r="BI768" i="11" s="1"/>
  <c r="AH768" i="11" s="1"/>
  <c r="BH792" i="11"/>
  <c r="BJ792" i="11" s="1"/>
  <c r="BH810" i="11"/>
  <c r="BJ810" i="11" s="1"/>
  <c r="BH861" i="11"/>
  <c r="BJ861" i="11" s="1"/>
  <c r="BH199" i="11"/>
  <c r="BJ199" i="11" s="1"/>
  <c r="BH213" i="11"/>
  <c r="BJ213" i="11" s="1"/>
  <c r="BH318" i="11"/>
  <c r="BJ318" i="11" s="1"/>
  <c r="BH361" i="11"/>
  <c r="BI361" i="11" s="1"/>
  <c r="AH361" i="11" s="1"/>
  <c r="BH521" i="11"/>
  <c r="BJ521" i="11" s="1"/>
  <c r="BH788" i="11"/>
  <c r="BJ788" i="11" s="1"/>
  <c r="BH20" i="11"/>
  <c r="BJ20" i="11" s="1"/>
  <c r="BH191" i="11"/>
  <c r="BI191" i="11" s="1"/>
  <c r="AH191" i="11" s="1"/>
  <c r="BH284" i="11"/>
  <c r="BI284" i="11" s="1"/>
  <c r="AH284" i="11" s="1"/>
  <c r="BH355" i="11"/>
  <c r="BJ355" i="11" s="1"/>
  <c r="BH402" i="11"/>
  <c r="BJ402" i="11" s="1"/>
  <c r="BH411" i="11"/>
  <c r="BJ411" i="11" s="1"/>
  <c r="BH541" i="11"/>
  <c r="BJ541" i="11" s="1"/>
  <c r="BH842" i="11"/>
  <c r="BI842" i="11" s="1"/>
  <c r="AH842" i="11" s="1"/>
  <c r="BH859" i="11"/>
  <c r="BJ859" i="11" s="1"/>
  <c r="BH884" i="11"/>
  <c r="BI884" i="11" s="1"/>
  <c r="AH884" i="11" s="1"/>
  <c r="BH948" i="11"/>
  <c r="BJ948" i="11" s="1"/>
  <c r="BH962" i="11"/>
  <c r="BI962" i="11" s="1"/>
  <c r="AH962" i="11" s="1"/>
  <c r="BH974" i="11"/>
  <c r="BI974" i="11" s="1"/>
  <c r="AH974" i="11" s="1"/>
  <c r="BH986" i="11"/>
  <c r="BI986" i="11" s="1"/>
  <c r="AH986" i="11" s="1"/>
  <c r="BH998" i="11"/>
  <c r="BI998" i="11" s="1"/>
  <c r="AH998" i="11" s="1"/>
  <c r="BH382" i="11"/>
  <c r="BI382" i="11" s="1"/>
  <c r="AH382" i="11" s="1"/>
  <c r="BH437" i="11"/>
  <c r="BI437" i="11" s="1"/>
  <c r="AH437" i="11" s="1"/>
  <c r="BH528" i="11"/>
  <c r="BJ528" i="11" s="1"/>
  <c r="BH569" i="11"/>
  <c r="BJ569" i="11" s="1"/>
  <c r="BH845" i="11"/>
  <c r="BJ845" i="11" s="1"/>
  <c r="BH76" i="11"/>
  <c r="BH103" i="11"/>
  <c r="BJ103" i="11" s="1"/>
  <c r="BH162" i="11"/>
  <c r="BJ162" i="11" s="1"/>
  <c r="BH246" i="11"/>
  <c r="BJ246" i="11" s="1"/>
  <c r="BH287" i="11"/>
  <c r="BJ287" i="11" s="1"/>
  <c r="BH400" i="11"/>
  <c r="BI400" i="11" s="1"/>
  <c r="AH400" i="11" s="1"/>
  <c r="BH457" i="11"/>
  <c r="BI457" i="11" s="1"/>
  <c r="AH457" i="11" s="1"/>
  <c r="BH556" i="11"/>
  <c r="BI556" i="11" s="1"/>
  <c r="AH556" i="11" s="1"/>
  <c r="BH576" i="11"/>
  <c r="BJ576" i="11" s="1"/>
  <c r="BH641" i="11"/>
  <c r="BI641" i="11" s="1"/>
  <c r="AH641" i="11" s="1"/>
  <c r="BH643" i="11"/>
  <c r="BJ643" i="11" s="1"/>
  <c r="BH645" i="11"/>
  <c r="BH661" i="11"/>
  <c r="BI661" i="11" s="1"/>
  <c r="AH661" i="11" s="1"/>
  <c r="BH675" i="11"/>
  <c r="BJ675" i="11" s="1"/>
  <c r="BH687" i="11"/>
  <c r="BJ687" i="11" s="1"/>
  <c r="BH699" i="11"/>
  <c r="BJ699" i="11" s="1"/>
  <c r="BH773" i="11"/>
  <c r="BI773" i="11" s="1"/>
  <c r="AH773" i="11" s="1"/>
  <c r="BH806" i="11"/>
  <c r="BJ806" i="11" s="1"/>
  <c r="BH827" i="11"/>
  <c r="BI827" i="11" s="1"/>
  <c r="AH827" i="11" s="1"/>
  <c r="BI866" i="11"/>
  <c r="AH866" i="11" s="1"/>
  <c r="BH96" i="11"/>
  <c r="BJ96" i="11" s="1"/>
  <c r="BH130" i="11"/>
  <c r="BI130" i="11" s="1"/>
  <c r="AH130" i="11" s="1"/>
  <c r="BH139" i="11"/>
  <c r="BJ139" i="11" s="1"/>
  <c r="BH153" i="11"/>
  <c r="BJ153" i="11" s="1"/>
  <c r="BH190" i="11"/>
  <c r="BI190" i="11" s="1"/>
  <c r="AH190" i="11" s="1"/>
  <c r="BH240" i="11"/>
  <c r="BJ240" i="11" s="1"/>
  <c r="BH329" i="11"/>
  <c r="BJ329" i="11" s="1"/>
  <c r="BH396" i="11"/>
  <c r="BI396" i="11" s="1"/>
  <c r="AH396" i="11" s="1"/>
  <c r="BH398" i="11"/>
  <c r="BI398" i="11" s="1"/>
  <c r="AH398" i="11" s="1"/>
  <c r="BH431" i="11"/>
  <c r="BI431" i="11" s="1"/>
  <c r="AH431" i="11" s="1"/>
  <c r="BH453" i="11"/>
  <c r="BI453" i="11" s="1"/>
  <c r="AH453" i="11" s="1"/>
  <c r="BH546" i="11"/>
  <c r="BJ546" i="11" s="1"/>
  <c r="BH614" i="11"/>
  <c r="BI614" i="11" s="1"/>
  <c r="AH614" i="11" s="1"/>
  <c r="BH619" i="11"/>
  <c r="BJ619" i="11" s="1"/>
  <c r="BH680" i="11"/>
  <c r="BJ680" i="11" s="1"/>
  <c r="BH711" i="11"/>
  <c r="BI711" i="11" s="1"/>
  <c r="AH711" i="11" s="1"/>
  <c r="BH732" i="11"/>
  <c r="BI732" i="11" s="1"/>
  <c r="AH732" i="11" s="1"/>
  <c r="BH746" i="11"/>
  <c r="BI746" i="11" s="1"/>
  <c r="AH746" i="11" s="1"/>
  <c r="BH782" i="11"/>
  <c r="BJ782" i="11" s="1"/>
  <c r="BH802" i="11"/>
  <c r="BJ802" i="11" s="1"/>
  <c r="BH843" i="11"/>
  <c r="BI843" i="11" s="1"/>
  <c r="AH843" i="11" s="1"/>
  <c r="BH204" i="11"/>
  <c r="BJ204" i="11" s="1"/>
  <c r="BH404" i="11"/>
  <c r="BI404" i="11" s="1"/>
  <c r="AH404" i="11" s="1"/>
  <c r="BH220" i="11"/>
  <c r="BJ220" i="11" s="1"/>
  <c r="BH224" i="11"/>
  <c r="BI224" i="11" s="1"/>
  <c r="AH224" i="11" s="1"/>
  <c r="BH285" i="11"/>
  <c r="BJ285" i="11" s="1"/>
  <c r="BH306" i="11"/>
  <c r="BJ306" i="11" s="1"/>
  <c r="BH380" i="11"/>
  <c r="BI380" i="11" s="1"/>
  <c r="AH380" i="11" s="1"/>
  <c r="BH43" i="11"/>
  <c r="BJ43" i="11" s="1"/>
  <c r="BH148" i="11"/>
  <c r="BI148" i="11" s="1"/>
  <c r="AH148" i="11" s="1"/>
  <c r="BH222" i="11"/>
  <c r="BI222" i="11" s="1"/>
  <c r="AH222" i="11" s="1"/>
  <c r="BH259" i="11"/>
  <c r="BI259" i="11" s="1"/>
  <c r="AH259" i="11" s="1"/>
  <c r="BH343" i="11"/>
  <c r="BI343" i="11" s="1"/>
  <c r="AH343" i="11" s="1"/>
  <c r="BH459" i="11"/>
  <c r="BJ459" i="11" s="1"/>
  <c r="BH84" i="11"/>
  <c r="BJ84" i="11" s="1"/>
  <c r="BH133" i="11"/>
  <c r="BJ133" i="11" s="1"/>
  <c r="BH231" i="11"/>
  <c r="BI231" i="11" s="1"/>
  <c r="AH231" i="11" s="1"/>
  <c r="BH245" i="11"/>
  <c r="BJ245" i="11" s="1"/>
  <c r="BH255" i="11"/>
  <c r="BJ255" i="11" s="1"/>
  <c r="BH267" i="11"/>
  <c r="BI267" i="11" s="1"/>
  <c r="AH267" i="11" s="1"/>
  <c r="BH313" i="11"/>
  <c r="BJ313" i="11" s="1"/>
  <c r="BH333" i="11"/>
  <c r="BJ333" i="11" s="1"/>
  <c r="BH34" i="11"/>
  <c r="BJ34" i="11" s="1"/>
  <c r="BH82" i="11"/>
  <c r="BI82" i="11" s="1"/>
  <c r="AH82" i="11" s="1"/>
  <c r="BH131" i="11"/>
  <c r="BI131" i="11" s="1"/>
  <c r="AH131" i="11" s="1"/>
  <c r="BH165" i="11"/>
  <c r="BH181" i="11"/>
  <c r="BJ181" i="11" s="1"/>
  <c r="BH201" i="11"/>
  <c r="BI201" i="11" s="1"/>
  <c r="AH201" i="11" s="1"/>
  <c r="BH229" i="11"/>
  <c r="BJ229" i="11" s="1"/>
  <c r="BH243" i="11"/>
  <c r="BI243" i="11" s="1"/>
  <c r="AH243" i="11" s="1"/>
  <c r="BH280" i="11"/>
  <c r="BI280" i="11" s="1"/>
  <c r="AH280" i="11" s="1"/>
  <c r="BH311" i="11"/>
  <c r="BJ311" i="11" s="1"/>
  <c r="BH23" i="11"/>
  <c r="BJ23" i="11" s="1"/>
  <c r="BH31" i="11"/>
  <c r="BJ31" i="11" s="1"/>
  <c r="BH69" i="11"/>
  <c r="BI69" i="11" s="1"/>
  <c r="AH69" i="11" s="1"/>
  <c r="BH124" i="11"/>
  <c r="BI124" i="11" s="1"/>
  <c r="AH124" i="11" s="1"/>
  <c r="BH188" i="11"/>
  <c r="BJ188" i="11" s="1"/>
  <c r="BH219" i="11"/>
  <c r="BI219" i="11" s="1"/>
  <c r="AH219" i="11" s="1"/>
  <c r="BH305" i="11"/>
  <c r="BI305" i="11" s="1"/>
  <c r="AH305" i="11" s="1"/>
  <c r="BH319" i="11"/>
  <c r="BJ319" i="11" s="1"/>
  <c r="BH321" i="11"/>
  <c r="BI321" i="11" s="1"/>
  <c r="AH321" i="11" s="1"/>
  <c r="BH331" i="11"/>
  <c r="BJ331" i="11" s="1"/>
  <c r="BH356" i="11"/>
  <c r="BI356" i="11" s="1"/>
  <c r="AH356" i="11" s="1"/>
  <c r="BH37" i="11"/>
  <c r="BJ37" i="11" s="1"/>
  <c r="BH49" i="11"/>
  <c r="BJ49" i="11" s="1"/>
  <c r="BH58" i="11"/>
  <c r="BI58" i="11" s="1"/>
  <c r="AH58" i="11" s="1"/>
  <c r="BH67" i="11"/>
  <c r="BI67" i="11" s="1"/>
  <c r="AH67" i="11" s="1"/>
  <c r="BH172" i="11"/>
  <c r="BI172" i="11" s="1"/>
  <c r="AH172" i="11" s="1"/>
  <c r="BH227" i="11"/>
  <c r="BJ227" i="11" s="1"/>
  <c r="BH342" i="11"/>
  <c r="BI342" i="11" s="1"/>
  <c r="AH342" i="11" s="1"/>
  <c r="BH384" i="11"/>
  <c r="BH422" i="11"/>
  <c r="BI422" i="11" s="1"/>
  <c r="AH422" i="11" s="1"/>
  <c r="BH439" i="11"/>
  <c r="BI439" i="11" s="1"/>
  <c r="AH439" i="11" s="1"/>
  <c r="BH449" i="11"/>
  <c r="BI449" i="11" s="1"/>
  <c r="AH449" i="11" s="1"/>
  <c r="BH585" i="11"/>
  <c r="BJ585" i="11" s="1"/>
  <c r="BH766" i="11"/>
  <c r="BJ766" i="11" s="1"/>
  <c r="BH78" i="11"/>
  <c r="BI78" i="11" s="1"/>
  <c r="AH78" i="11" s="1"/>
  <c r="BH114" i="11"/>
  <c r="BJ114" i="11" s="1"/>
  <c r="BH256" i="11"/>
  <c r="BJ256" i="11" s="1"/>
  <c r="BH268" i="11"/>
  <c r="BJ268" i="11" s="1"/>
  <c r="BH330" i="11"/>
  <c r="BI330" i="11" s="1"/>
  <c r="AH330" i="11" s="1"/>
  <c r="BH358" i="11"/>
  <c r="BJ358" i="11" s="1"/>
  <c r="BH360" i="11"/>
  <c r="BJ360" i="11" s="1"/>
  <c r="BH366" i="11"/>
  <c r="BH378" i="11"/>
  <c r="BI378" i="11" s="1"/>
  <c r="AH378" i="11" s="1"/>
  <c r="BH397" i="11"/>
  <c r="BJ397" i="11" s="1"/>
  <c r="BH428" i="11"/>
  <c r="BI428" i="11" s="1"/>
  <c r="AH428" i="11" s="1"/>
  <c r="BH493" i="11"/>
  <c r="BJ493" i="11" s="1"/>
  <c r="BH514" i="11"/>
  <c r="BI514" i="11" s="1"/>
  <c r="AH514" i="11" s="1"/>
  <c r="BH527" i="11"/>
  <c r="BJ527" i="11" s="1"/>
  <c r="BH544" i="11"/>
  <c r="BJ544" i="11" s="1"/>
  <c r="BH590" i="11"/>
  <c r="BI590" i="11" s="1"/>
  <c r="AH590" i="11" s="1"/>
  <c r="BH17" i="11"/>
  <c r="BJ17" i="11" s="1"/>
  <c r="BH61" i="11"/>
  <c r="BJ61" i="11" s="1"/>
  <c r="BH72" i="11"/>
  <c r="BI72" i="11" s="1"/>
  <c r="AH72" i="11" s="1"/>
  <c r="BH125" i="11"/>
  <c r="BJ125" i="11" s="1"/>
  <c r="BH149" i="11"/>
  <c r="BJ149" i="11" s="1"/>
  <c r="BH173" i="11"/>
  <c r="BI173" i="11" s="1"/>
  <c r="AH173" i="11" s="1"/>
  <c r="BH242" i="11"/>
  <c r="BJ242" i="11" s="1"/>
  <c r="BH270" i="11"/>
  <c r="BJ270" i="11" s="1"/>
  <c r="BH320" i="11"/>
  <c r="BJ320" i="11" s="1"/>
  <c r="BH370" i="11"/>
  <c r="BJ370" i="11" s="1"/>
  <c r="BH401" i="11"/>
  <c r="BI401" i="11" s="1"/>
  <c r="AH401" i="11" s="1"/>
  <c r="BH407" i="11"/>
  <c r="BI407" i="11" s="1"/>
  <c r="AH407" i="11" s="1"/>
  <c r="BH409" i="11"/>
  <c r="BJ409" i="11" s="1"/>
  <c r="BH416" i="11"/>
  <c r="BI416" i="11" s="1"/>
  <c r="AH416" i="11" s="1"/>
  <c r="BH418" i="11"/>
  <c r="BI418" i="11" s="1"/>
  <c r="AH418" i="11" s="1"/>
  <c r="BH430" i="11"/>
  <c r="BI430" i="11" s="1"/>
  <c r="AH430" i="11" s="1"/>
  <c r="BH475" i="11"/>
  <c r="BI475" i="11" s="1"/>
  <c r="AH475" i="11" s="1"/>
  <c r="BH570" i="11"/>
  <c r="BI570" i="11" s="1"/>
  <c r="AH570" i="11" s="1"/>
  <c r="BH579" i="11"/>
  <c r="BJ579" i="11" s="1"/>
  <c r="BH626" i="11"/>
  <c r="BH936" i="11"/>
  <c r="BJ936" i="11" s="1"/>
  <c r="BH372" i="11"/>
  <c r="BH405" i="11"/>
  <c r="BJ405" i="11" s="1"/>
  <c r="BH413" i="11"/>
  <c r="BI413" i="11" s="1"/>
  <c r="AH413" i="11" s="1"/>
  <c r="BH233" i="11"/>
  <c r="BJ233" i="11" s="1"/>
  <c r="BH286" i="11"/>
  <c r="BI286" i="11" s="1"/>
  <c r="AH286" i="11" s="1"/>
  <c r="BH310" i="11"/>
  <c r="BJ310" i="11" s="1"/>
  <c r="BH325" i="11"/>
  <c r="BI325" i="11" s="1"/>
  <c r="AH325" i="11" s="1"/>
  <c r="BH334" i="11"/>
  <c r="BI334" i="11" s="1"/>
  <c r="AH334" i="11" s="1"/>
  <c r="BH339" i="11"/>
  <c r="BJ339" i="11" s="1"/>
  <c r="BH348" i="11"/>
  <c r="BJ348" i="11" s="1"/>
  <c r="BH353" i="11"/>
  <c r="BJ353" i="11" s="1"/>
  <c r="BH494" i="11"/>
  <c r="BJ494" i="11" s="1"/>
  <c r="BH28" i="11"/>
  <c r="BJ28" i="11" s="1"/>
  <c r="BH40" i="11"/>
  <c r="BJ40" i="11" s="1"/>
  <c r="BH46" i="11"/>
  <c r="BI46" i="11" s="1"/>
  <c r="AH46" i="11" s="1"/>
  <c r="BH57" i="11"/>
  <c r="BJ57" i="11" s="1"/>
  <c r="BH91" i="11"/>
  <c r="BJ91" i="11" s="1"/>
  <c r="BH93" i="11"/>
  <c r="BJ93" i="11" s="1"/>
  <c r="BH100" i="11"/>
  <c r="BH102" i="11"/>
  <c r="BI102" i="11" s="1"/>
  <c r="AH102" i="11" s="1"/>
  <c r="BH123" i="11"/>
  <c r="BH143" i="11"/>
  <c r="BJ143" i="11" s="1"/>
  <c r="BH147" i="11"/>
  <c r="BH167" i="11"/>
  <c r="BJ167" i="11" s="1"/>
  <c r="BH171" i="11"/>
  <c r="BH202" i="11"/>
  <c r="BJ202" i="11" s="1"/>
  <c r="BH210" i="11"/>
  <c r="BI210" i="11" s="1"/>
  <c r="AH210" i="11" s="1"/>
  <c r="BH223" i="11"/>
  <c r="BJ223" i="11" s="1"/>
  <c r="BH288" i="11"/>
  <c r="BJ288" i="11" s="1"/>
  <c r="BH291" i="11"/>
  <c r="BJ291" i="11" s="1"/>
  <c r="BH312" i="11"/>
  <c r="BI312" i="11" s="1"/>
  <c r="AH312" i="11" s="1"/>
  <c r="BH315" i="11"/>
  <c r="BI315" i="11" s="1"/>
  <c r="AH315" i="11" s="1"/>
  <c r="BH350" i="11"/>
  <c r="BI350" i="11" s="1"/>
  <c r="AH350" i="11" s="1"/>
  <c r="BH379" i="11"/>
  <c r="BH417" i="11"/>
  <c r="BI417" i="11" s="1"/>
  <c r="AH417" i="11" s="1"/>
  <c r="BH419" i="11"/>
  <c r="BI419" i="11" s="1"/>
  <c r="AH419" i="11" s="1"/>
  <c r="BH421" i="11"/>
  <c r="BJ421" i="11" s="1"/>
  <c r="BH448" i="11"/>
  <c r="BI448" i="11" s="1"/>
  <c r="AH448" i="11" s="1"/>
  <c r="BH458" i="11"/>
  <c r="BI458" i="11" s="1"/>
  <c r="AH458" i="11" s="1"/>
  <c r="BH492" i="11"/>
  <c r="BJ492" i="11" s="1"/>
  <c r="BH519" i="11"/>
  <c r="BJ519" i="11" s="1"/>
  <c r="BH639" i="11"/>
  <c r="BJ639" i="11" s="1"/>
  <c r="BH189" i="11"/>
  <c r="BJ189" i="11" s="1"/>
  <c r="BH215" i="11"/>
  <c r="BJ215" i="11" s="1"/>
  <c r="BH274" i="11"/>
  <c r="BJ274" i="11" s="1"/>
  <c r="BH327" i="11"/>
  <c r="BI327" i="11" s="1"/>
  <c r="AH327" i="11" s="1"/>
  <c r="BH535" i="11"/>
  <c r="BJ535" i="11" s="1"/>
  <c r="BH174" i="11"/>
  <c r="BI174" i="11" s="1"/>
  <c r="AH174" i="11" s="1"/>
  <c r="BH232" i="11"/>
  <c r="BI232" i="11" s="1"/>
  <c r="AH232" i="11" s="1"/>
  <c r="BH250" i="11"/>
  <c r="BI250" i="11" s="1"/>
  <c r="AH250" i="11" s="1"/>
  <c r="BH262" i="11"/>
  <c r="BJ262" i="11" s="1"/>
  <c r="BH276" i="11"/>
  <c r="BJ276" i="11" s="1"/>
  <c r="BH338" i="11"/>
  <c r="BJ338" i="11" s="1"/>
  <c r="BH466" i="11"/>
  <c r="BI466" i="11" s="1"/>
  <c r="AH466" i="11" s="1"/>
  <c r="BH476" i="11"/>
  <c r="BI476" i="11" s="1"/>
  <c r="AH476" i="11" s="1"/>
  <c r="BH488" i="11"/>
  <c r="BI488" i="11" s="1"/>
  <c r="AH488" i="11" s="1"/>
  <c r="BH511" i="11"/>
  <c r="BJ511" i="11" s="1"/>
  <c r="BH593" i="11"/>
  <c r="BH51" i="11"/>
  <c r="BJ51" i="11" s="1"/>
  <c r="BH94" i="11"/>
  <c r="BI94" i="11" s="1"/>
  <c r="AH94" i="11" s="1"/>
  <c r="BH109" i="11"/>
  <c r="BI109" i="11" s="1"/>
  <c r="AH109" i="11" s="1"/>
  <c r="BH137" i="11"/>
  <c r="BI137" i="11" s="1"/>
  <c r="AH137" i="11" s="1"/>
  <c r="BH161" i="11"/>
  <c r="BI161" i="11" s="1"/>
  <c r="AH161" i="11" s="1"/>
  <c r="BH185" i="11"/>
  <c r="BJ185" i="11" s="1"/>
  <c r="BH225" i="11"/>
  <c r="BJ225" i="11" s="1"/>
  <c r="BH228" i="11"/>
  <c r="BJ228" i="11" s="1"/>
  <c r="BH302" i="11"/>
  <c r="BJ302" i="11" s="1"/>
  <c r="BH340" i="11"/>
  <c r="BI340" i="11" s="1"/>
  <c r="AH340" i="11" s="1"/>
  <c r="BH390" i="11"/>
  <c r="BI390" i="11" s="1"/>
  <c r="AH390" i="11" s="1"/>
  <c r="BH486" i="11"/>
  <c r="BI486" i="11" s="1"/>
  <c r="AH486" i="11" s="1"/>
  <c r="BH524" i="11"/>
  <c r="BJ524" i="11" s="1"/>
  <c r="BH549" i="11"/>
  <c r="BH554" i="11"/>
  <c r="BJ554" i="11" s="1"/>
  <c r="BH571" i="11"/>
  <c r="BI571" i="11" s="1"/>
  <c r="AH571" i="11" s="1"/>
  <c r="BH509" i="11"/>
  <c r="BI509" i="11" s="1"/>
  <c r="AH509" i="11" s="1"/>
  <c r="BH542" i="11"/>
  <c r="BI542" i="11" s="1"/>
  <c r="AH542" i="11" s="1"/>
  <c r="BH548" i="11"/>
  <c r="BJ548" i="11" s="1"/>
  <c r="BH621" i="11"/>
  <c r="BI621" i="11" s="1"/>
  <c r="AH621" i="11" s="1"/>
  <c r="BH677" i="11"/>
  <c r="BJ677" i="11" s="1"/>
  <c r="BH715" i="11"/>
  <c r="BJ715" i="11" s="1"/>
  <c r="BH717" i="11"/>
  <c r="BJ717" i="11" s="1"/>
  <c r="BH741" i="11"/>
  <c r="BJ741" i="11" s="1"/>
  <c r="BH804" i="11"/>
  <c r="BJ804" i="11" s="1"/>
  <c r="BH815" i="11"/>
  <c r="BJ815" i="11" s="1"/>
  <c r="BH828" i="11"/>
  <c r="BI828" i="11" s="1"/>
  <c r="AH828" i="11" s="1"/>
  <c r="BH839" i="11"/>
  <c r="BI839" i="11" s="1"/>
  <c r="AH839" i="11" s="1"/>
  <c r="BH852" i="11"/>
  <c r="BI852" i="11" s="1"/>
  <c r="AH852" i="11" s="1"/>
  <c r="BH856" i="11"/>
  <c r="BJ856" i="11" s="1"/>
  <c r="BH987" i="11"/>
  <c r="BJ987" i="11" s="1"/>
  <c r="BH446" i="11"/>
  <c r="BI446" i="11" s="1"/>
  <c r="AH446" i="11" s="1"/>
  <c r="BH455" i="11"/>
  <c r="BI455" i="11" s="1"/>
  <c r="AH455" i="11" s="1"/>
  <c r="BH464" i="11"/>
  <c r="BI464" i="11" s="1"/>
  <c r="AH464" i="11" s="1"/>
  <c r="BH473" i="11"/>
  <c r="BI473" i="11" s="1"/>
  <c r="AH473" i="11" s="1"/>
  <c r="BH482" i="11"/>
  <c r="BI482" i="11" s="1"/>
  <c r="AH482" i="11" s="1"/>
  <c r="BH513" i="11"/>
  <c r="BJ513" i="11" s="1"/>
  <c r="BH515" i="11"/>
  <c r="BJ515" i="11" s="1"/>
  <c r="BH694" i="11"/>
  <c r="BJ694" i="11" s="1"/>
  <c r="BH709" i="11"/>
  <c r="BI709" i="11" s="1"/>
  <c r="AH709" i="11" s="1"/>
  <c r="BH726" i="11"/>
  <c r="BI726" i="11" s="1"/>
  <c r="AH726" i="11" s="1"/>
  <c r="BH750" i="11"/>
  <c r="BI750" i="11" s="1"/>
  <c r="AH750" i="11" s="1"/>
  <c r="BH786" i="11"/>
  <c r="BH798" i="11"/>
  <c r="BJ798" i="11" s="1"/>
  <c r="BH813" i="11"/>
  <c r="BH826" i="11"/>
  <c r="BH880" i="11"/>
  <c r="BI880" i="11" s="1"/>
  <c r="AH880" i="11" s="1"/>
  <c r="BH956" i="11"/>
  <c r="BJ956" i="11" s="1"/>
  <c r="BH968" i="11"/>
  <c r="BJ968" i="11" s="1"/>
  <c r="BH980" i="11"/>
  <c r="BJ980" i="11" s="1"/>
  <c r="BH992" i="11"/>
  <c r="BI992" i="11" s="1"/>
  <c r="AH992" i="11" s="1"/>
  <c r="BH600" i="11"/>
  <c r="BI600" i="11" s="1"/>
  <c r="AH600" i="11" s="1"/>
  <c r="BH707" i="11"/>
  <c r="BI707" i="11" s="1"/>
  <c r="AH707" i="11" s="1"/>
  <c r="BH888" i="11"/>
  <c r="BI888" i="11" s="1"/>
  <c r="AH888" i="11" s="1"/>
  <c r="BH500" i="11"/>
  <c r="BJ500" i="11" s="1"/>
  <c r="BH533" i="11"/>
  <c r="BJ533" i="11" s="1"/>
  <c r="BH572" i="11"/>
  <c r="BI572" i="11" s="1"/>
  <c r="AH572" i="11" s="1"/>
  <c r="BH574" i="11"/>
  <c r="BJ574" i="11" s="1"/>
  <c r="BH647" i="11"/>
  <c r="BI647" i="11" s="1"/>
  <c r="AH647" i="11" s="1"/>
  <c r="BH659" i="11"/>
  <c r="BI659" i="11" s="1"/>
  <c r="AH659" i="11" s="1"/>
  <c r="BH667" i="11"/>
  <c r="BH682" i="11"/>
  <c r="BH684" i="11"/>
  <c r="BI684" i="11" s="1"/>
  <c r="AH684" i="11" s="1"/>
  <c r="BH686" i="11"/>
  <c r="BJ686" i="11" s="1"/>
  <c r="BH697" i="11"/>
  <c r="BI697" i="11" s="1"/>
  <c r="AH697" i="11" s="1"/>
  <c r="BH731" i="11"/>
  <c r="BJ731" i="11" s="1"/>
  <c r="BH733" i="11"/>
  <c r="BI733" i="11" s="1"/>
  <c r="AH733" i="11" s="1"/>
  <c r="BH755" i="11"/>
  <c r="BJ755" i="11" s="1"/>
  <c r="BH789" i="11"/>
  <c r="BJ789" i="11" s="1"/>
  <c r="BH820" i="11"/>
  <c r="BH831" i="11"/>
  <c r="BI831" i="11" s="1"/>
  <c r="AH831" i="11" s="1"/>
  <c r="BH844" i="11"/>
  <c r="BJ844" i="11" s="1"/>
  <c r="BH959" i="11"/>
  <c r="BJ959" i="11" s="1"/>
  <c r="BH971" i="11"/>
  <c r="BJ971" i="11" s="1"/>
  <c r="BH983" i="11"/>
  <c r="BJ983" i="11" s="1"/>
  <c r="BH995" i="11"/>
  <c r="BJ995" i="11" s="1"/>
  <c r="BH425" i="11"/>
  <c r="BJ425" i="11" s="1"/>
  <c r="BH434" i="11"/>
  <c r="BI434" i="11" s="1"/>
  <c r="AH434" i="11" s="1"/>
  <c r="BH443" i="11"/>
  <c r="BI443" i="11" s="1"/>
  <c r="AH443" i="11" s="1"/>
  <c r="BH452" i="11"/>
  <c r="BI452" i="11" s="1"/>
  <c r="AH452" i="11" s="1"/>
  <c r="BH461" i="11"/>
  <c r="BI461" i="11" s="1"/>
  <c r="AH461" i="11" s="1"/>
  <c r="BH470" i="11"/>
  <c r="BI470" i="11" s="1"/>
  <c r="AH470" i="11" s="1"/>
  <c r="BH479" i="11"/>
  <c r="BJ479" i="11" s="1"/>
  <c r="BH539" i="11"/>
  <c r="BI539" i="11" s="1"/>
  <c r="AH539" i="11" s="1"/>
  <c r="BH586" i="11"/>
  <c r="BI586" i="11" s="1"/>
  <c r="AH586" i="11" s="1"/>
  <c r="BH596" i="11"/>
  <c r="BI596" i="11" s="1"/>
  <c r="AH596" i="11" s="1"/>
  <c r="BH632" i="11"/>
  <c r="BJ632" i="11" s="1"/>
  <c r="BH976" i="11"/>
  <c r="BJ976" i="11" s="1"/>
  <c r="BH506" i="11"/>
  <c r="BI506" i="11" s="1"/>
  <c r="AH506" i="11" s="1"/>
  <c r="BH543" i="11"/>
  <c r="BJ543" i="11" s="1"/>
  <c r="BH557" i="11"/>
  <c r="BI557" i="11" s="1"/>
  <c r="AH557" i="11" s="1"/>
  <c r="BH636" i="11"/>
  <c r="BJ636" i="11" s="1"/>
  <c r="BH695" i="11"/>
  <c r="BJ695" i="11" s="1"/>
  <c r="BH727" i="11"/>
  <c r="BJ727" i="11" s="1"/>
  <c r="BH729" i="11"/>
  <c r="BJ729" i="11" s="1"/>
  <c r="BH751" i="11"/>
  <c r="BJ751" i="11" s="1"/>
  <c r="BH753" i="11"/>
  <c r="BI753" i="11" s="1"/>
  <c r="AH753" i="11" s="1"/>
  <c r="BH799" i="11"/>
  <c r="BI799" i="11" s="1"/>
  <c r="AH799" i="11" s="1"/>
  <c r="BH957" i="11"/>
  <c r="BJ957" i="11" s="1"/>
  <c r="BH969" i="11"/>
  <c r="BJ969" i="11" s="1"/>
  <c r="BH981" i="11"/>
  <c r="BI981" i="11" s="1"/>
  <c r="AH981" i="11" s="1"/>
  <c r="BH993" i="11"/>
  <c r="BJ993" i="11" s="1"/>
  <c r="BH1010" i="11"/>
  <c r="BJ1010" i="11" s="1"/>
  <c r="BH485" i="11"/>
  <c r="BI485" i="11" s="1"/>
  <c r="AH485" i="11" s="1"/>
  <c r="BH487" i="11"/>
  <c r="BI487" i="11" s="1"/>
  <c r="AH487" i="11" s="1"/>
  <c r="BH489" i="11"/>
  <c r="BI489" i="11" s="1"/>
  <c r="AH489" i="11" s="1"/>
  <c r="BH491" i="11"/>
  <c r="BJ491" i="11" s="1"/>
  <c r="BH518" i="11"/>
  <c r="BJ518" i="11" s="1"/>
  <c r="BH522" i="11"/>
  <c r="BJ522" i="11" s="1"/>
  <c r="BH555" i="11"/>
  <c r="BI555" i="11" s="1"/>
  <c r="AH555" i="11" s="1"/>
  <c r="BH594" i="11"/>
  <c r="BI594" i="11" s="1"/>
  <c r="AH594" i="11" s="1"/>
  <c r="BH656" i="11"/>
  <c r="BH689" i="11"/>
  <c r="BJ689" i="11" s="1"/>
  <c r="BH723" i="11"/>
  <c r="BJ723" i="11" s="1"/>
  <c r="BH725" i="11"/>
  <c r="BI725" i="11" s="1"/>
  <c r="AH725" i="11" s="1"/>
  <c r="BH747" i="11"/>
  <c r="BI747" i="11" s="1"/>
  <c r="AH747" i="11" s="1"/>
  <c r="BH749" i="11"/>
  <c r="BI749" i="11" s="1"/>
  <c r="AH749" i="11" s="1"/>
  <c r="BH758" i="11"/>
  <c r="BI758" i="11" s="1"/>
  <c r="AH758" i="11" s="1"/>
  <c r="BH767" i="11"/>
  <c r="BJ767" i="11" s="1"/>
  <c r="BH777" i="11"/>
  <c r="BJ777" i="11" s="1"/>
  <c r="BH781" i="11"/>
  <c r="BJ781" i="11" s="1"/>
  <c r="BH797" i="11"/>
  <c r="BJ797" i="11" s="1"/>
  <c r="BH812" i="11"/>
  <c r="BI812" i="11" s="1"/>
  <c r="AH812" i="11" s="1"/>
  <c r="BH864" i="11"/>
  <c r="BI864" i="11" s="1"/>
  <c r="AH864" i="11" s="1"/>
  <c r="BH868" i="11"/>
  <c r="BI868" i="11" s="1"/>
  <c r="AH868" i="11" s="1"/>
  <c r="BH927" i="11"/>
  <c r="BJ927" i="11" s="1"/>
  <c r="BH929" i="11"/>
  <c r="BJ929" i="11" s="1"/>
  <c r="BH933" i="11"/>
  <c r="BI933" i="11" s="1"/>
  <c r="AH933" i="11" s="1"/>
  <c r="BH935" i="11"/>
  <c r="BJ935" i="11" s="1"/>
  <c r="BH937" i="11"/>
  <c r="BJ937" i="11" s="1"/>
  <c r="BH939" i="11"/>
  <c r="BJ939" i="11" s="1"/>
  <c r="BH941" i="11"/>
  <c r="BI941" i="11" s="1"/>
  <c r="AH941" i="11" s="1"/>
  <c r="BH945" i="11"/>
  <c r="BJ945" i="11" s="1"/>
  <c r="BH949" i="11"/>
  <c r="BI949" i="11" s="1"/>
  <c r="AH949" i="11" s="1"/>
  <c r="BH951" i="11"/>
  <c r="BI951" i="11" s="1"/>
  <c r="AH951" i="11" s="1"/>
  <c r="BH953" i="11"/>
  <c r="BJ953" i="11" s="1"/>
  <c r="BH967" i="11"/>
  <c r="BI967" i="11" s="1"/>
  <c r="AH967" i="11" s="1"/>
  <c r="BH1003" i="11"/>
  <c r="BJ1003" i="11" s="1"/>
  <c r="BH836" i="11"/>
  <c r="BH891" i="11"/>
  <c r="BH530" i="11"/>
  <c r="BJ530" i="11" s="1"/>
  <c r="BH534" i="11"/>
  <c r="BJ534" i="11" s="1"/>
  <c r="BH575" i="11"/>
  <c r="BI575" i="11" s="1"/>
  <c r="AH575" i="11" s="1"/>
  <c r="BH581" i="11"/>
  <c r="BJ581" i="11" s="1"/>
  <c r="BH591" i="11"/>
  <c r="BI591" i="11" s="1"/>
  <c r="AH591" i="11" s="1"/>
  <c r="BH623" i="11"/>
  <c r="BJ623" i="11" s="1"/>
  <c r="BH646" i="11"/>
  <c r="BH652" i="11"/>
  <c r="BH654" i="11"/>
  <c r="BI654" i="11" s="1"/>
  <c r="AH654" i="11" s="1"/>
  <c r="BH666" i="11"/>
  <c r="BI666" i="11" s="1"/>
  <c r="AH666" i="11" s="1"/>
  <c r="BH668" i="11"/>
  <c r="BJ668" i="11" s="1"/>
  <c r="BH679" i="11"/>
  <c r="BJ679" i="11" s="1"/>
  <c r="BH685" i="11"/>
  <c r="BH700" i="11"/>
  <c r="BH702" i="11"/>
  <c r="BJ702" i="11" s="1"/>
  <c r="BH721" i="11"/>
  <c r="BI721" i="11" s="1"/>
  <c r="AH721" i="11" s="1"/>
  <c r="BH745" i="11"/>
  <c r="BJ745" i="11" s="1"/>
  <c r="BH821" i="11"/>
  <c r="BJ821" i="11" s="1"/>
  <c r="BH858" i="11"/>
  <c r="BI858" i="11" s="1"/>
  <c r="AH858" i="11" s="1"/>
  <c r="BH862" i="11"/>
  <c r="BJ862" i="11" s="1"/>
  <c r="BH965" i="11"/>
  <c r="BI965" i="11" s="1"/>
  <c r="AH965" i="11" s="1"/>
  <c r="BH977" i="11"/>
  <c r="BJ977" i="11" s="1"/>
  <c r="BH989" i="11"/>
  <c r="BJ989" i="11" s="1"/>
  <c r="BH1001" i="11"/>
  <c r="BJ1001" i="11" s="1"/>
  <c r="BH14" i="11"/>
  <c r="BH15" i="11"/>
  <c r="BH22" i="11"/>
  <c r="BH230" i="11"/>
  <c r="BH21" i="11"/>
  <c r="BH24" i="11"/>
  <c r="BH27" i="11"/>
  <c r="BH30" i="11"/>
  <c r="BH33" i="11"/>
  <c r="BH36" i="11"/>
  <c r="BH39" i="11"/>
  <c r="BH42" i="11"/>
  <c r="BH194" i="11"/>
  <c r="BH211" i="11"/>
  <c r="BH207" i="11"/>
  <c r="BH50" i="11"/>
  <c r="BH56" i="11"/>
  <c r="BH62" i="11"/>
  <c r="BH68" i="11"/>
  <c r="BH74" i="11"/>
  <c r="BH80" i="11"/>
  <c r="BH86" i="11"/>
  <c r="BH92" i="11"/>
  <c r="BH98" i="11"/>
  <c r="BH104" i="11"/>
  <c r="BH110" i="11"/>
  <c r="BH116" i="11"/>
  <c r="BH122" i="11"/>
  <c r="BH128" i="11"/>
  <c r="BH134" i="11"/>
  <c r="BH140" i="11"/>
  <c r="BH146" i="11"/>
  <c r="BH152" i="11"/>
  <c r="BH158" i="11"/>
  <c r="BH164" i="11"/>
  <c r="BH170" i="11"/>
  <c r="BH176" i="11"/>
  <c r="BH182" i="11"/>
  <c r="BH275" i="11"/>
  <c r="BH200" i="11"/>
  <c r="BH257" i="11"/>
  <c r="BH369" i="11"/>
  <c r="BH47" i="11"/>
  <c r="BH53" i="11"/>
  <c r="BH59" i="11"/>
  <c r="BH65" i="11"/>
  <c r="BH71" i="11"/>
  <c r="BH77" i="11"/>
  <c r="BH83" i="11"/>
  <c r="BH89" i="11"/>
  <c r="BH95" i="11"/>
  <c r="BH101" i="11"/>
  <c r="BH107" i="11"/>
  <c r="BH113" i="11"/>
  <c r="BH119" i="11"/>
  <c r="BH251" i="11"/>
  <c r="BH269" i="11"/>
  <c r="BH303" i="11"/>
  <c r="BH381" i="11"/>
  <c r="BH299" i="11"/>
  <c r="BH373" i="11"/>
  <c r="BH385" i="11"/>
  <c r="BH389" i="11"/>
  <c r="BH364" i="11"/>
  <c r="BH507" i="11"/>
  <c r="BH532" i="11"/>
  <c r="BH496" i="11"/>
  <c r="BH498" i="11"/>
  <c r="BH537" i="11"/>
  <c r="BH504" i="11"/>
  <c r="BH495" i="11"/>
  <c r="BH508" i="11"/>
  <c r="BH510" i="11"/>
  <c r="BH501" i="11"/>
  <c r="BH578" i="11"/>
  <c r="BH565" i="11"/>
  <c r="BH550" i="11"/>
  <c r="BH562" i="11"/>
  <c r="BH573" i="11"/>
  <c r="BH589" i="11"/>
  <c r="BH552" i="11"/>
  <c r="BH588" i="11"/>
  <c r="BH583" i="11"/>
  <c r="BH566" i="11"/>
  <c r="BH598" i="11"/>
  <c r="BH616" i="11"/>
  <c r="BH624" i="11"/>
  <c r="BH634" i="11"/>
  <c r="BH644" i="11"/>
  <c r="BH601" i="11"/>
  <c r="BH597" i="11"/>
  <c r="BH604" i="11"/>
  <c r="BH618" i="11"/>
  <c r="BH607" i="11"/>
  <c r="BH628" i="11"/>
  <c r="BH638" i="11"/>
  <c r="BH610" i="11"/>
  <c r="BH625" i="11"/>
  <c r="BH630" i="11"/>
  <c r="BH640" i="11"/>
  <c r="BH613" i="11"/>
  <c r="BH622" i="11"/>
  <c r="BH642" i="11"/>
  <c r="BH743" i="11"/>
  <c r="BH665" i="11"/>
  <c r="BH683" i="11"/>
  <c r="BH701" i="11"/>
  <c r="BH713" i="11"/>
  <c r="BH739" i="11"/>
  <c r="BH653" i="11"/>
  <c r="BH655" i="11"/>
  <c r="BH674" i="11"/>
  <c r="BH692" i="11"/>
  <c r="BH649" i="11"/>
  <c r="BH784" i="11"/>
  <c r="BH762" i="11"/>
  <c r="BH774" i="11"/>
  <c r="BH785" i="11"/>
  <c r="BH800" i="11"/>
  <c r="BH764" i="11"/>
  <c r="BH776" i="11"/>
  <c r="BH791" i="11"/>
  <c r="BH769" i="11"/>
  <c r="BH759" i="11"/>
  <c r="BH822" i="11"/>
  <c r="BH809" i="11"/>
  <c r="BH835" i="11"/>
  <c r="BH817" i="11"/>
  <c r="BH841" i="11"/>
  <c r="BH816" i="11"/>
  <c r="BH811" i="11"/>
  <c r="BH823" i="11"/>
  <c r="BH840" i="11"/>
  <c r="BH807" i="11"/>
  <c r="BH899" i="11"/>
  <c r="BH902" i="11"/>
  <c r="BH905" i="11"/>
  <c r="BH908" i="11"/>
  <c r="BH911" i="11"/>
  <c r="BH914" i="11"/>
  <c r="BH917" i="11"/>
  <c r="BH920" i="11"/>
  <c r="BH932" i="11"/>
  <c r="BH947" i="11"/>
  <c r="BH979" i="11"/>
  <c r="BH870" i="11"/>
  <c r="BH874" i="11"/>
  <c r="BH878" i="11"/>
  <c r="BH882" i="11"/>
  <c r="BH886" i="11"/>
  <c r="BH890" i="11"/>
  <c r="BH894" i="11"/>
  <c r="BH898" i="11"/>
  <c r="BH901" i="11"/>
  <c r="BH904" i="11"/>
  <c r="BH907" i="11"/>
  <c r="BH910" i="11"/>
  <c r="BH913" i="11"/>
  <c r="BH916" i="11"/>
  <c r="BH919" i="11"/>
  <c r="BH922" i="11"/>
  <c r="BH925" i="11"/>
  <c r="BH931" i="11"/>
  <c r="BH940" i="11"/>
  <c r="BH955" i="11"/>
  <c r="BH991" i="11"/>
  <c r="BH1007" i="11"/>
  <c r="BH869" i="11"/>
  <c r="BH873" i="11"/>
  <c r="BH877" i="11"/>
  <c r="BH881" i="11"/>
  <c r="BH885" i="11"/>
  <c r="BH889" i="11"/>
  <c r="BH893" i="11"/>
  <c r="BH897" i="11"/>
  <c r="BH944" i="11"/>
  <c r="BH1005" i="11"/>
  <c r="BH900" i="11"/>
  <c r="BH903" i="11"/>
  <c r="BH906" i="11"/>
  <c r="BH909" i="11"/>
  <c r="BH912" i="11"/>
  <c r="BH915" i="11"/>
  <c r="BH918" i="11"/>
  <c r="BH921" i="11"/>
  <c r="BH924" i="11"/>
  <c r="BH928" i="11"/>
  <c r="BH943" i="11"/>
  <c r="BH952" i="11"/>
  <c r="BH960" i="11"/>
  <c r="BH972" i="11"/>
  <c r="BH984" i="11"/>
  <c r="BH996" i="11"/>
  <c r="BH964" i="11"/>
  <c r="BH988" i="11"/>
  <c r="BH966" i="11"/>
  <c r="BH978" i="11"/>
  <c r="BH990" i="11"/>
  <c r="BH1002" i="11"/>
  <c r="BH926" i="11"/>
  <c r="BH930" i="11"/>
  <c r="BH934" i="11"/>
  <c r="BH938" i="11"/>
  <c r="BH942" i="11"/>
  <c r="BH946" i="11"/>
  <c r="BH950" i="11"/>
  <c r="BH954" i="11"/>
  <c r="BH963" i="11"/>
  <c r="BH975" i="11"/>
  <c r="BH999" i="11"/>
  <c r="BH958" i="11"/>
  <c r="BH970" i="11"/>
  <c r="BH982" i="11"/>
  <c r="BH994" i="11"/>
  <c r="W6" i="9"/>
  <c r="Y6" i="9" s="1"/>
  <c r="H3" i="2"/>
  <c r="E23" i="19" l="1"/>
  <c r="C158" i="19"/>
  <c r="E21" i="19"/>
  <c r="F39" i="19"/>
  <c r="G55" i="19"/>
  <c r="K142" i="19"/>
  <c r="E19" i="19"/>
  <c r="F158" i="19"/>
  <c r="L156" i="19"/>
  <c r="F76" i="19"/>
  <c r="G57" i="19"/>
  <c r="L148" i="19"/>
  <c r="E106" i="19"/>
  <c r="E104" i="19"/>
  <c r="L149" i="19"/>
  <c r="D61" i="19"/>
  <c r="B93" i="19" s="1"/>
  <c r="I57" i="19"/>
  <c r="J57" i="19" s="1"/>
  <c r="E121" i="19"/>
  <c r="C10" i="19"/>
  <c r="B44" i="19"/>
  <c r="C32" i="19" s="1"/>
  <c r="F37" i="19"/>
  <c r="I58" i="19"/>
  <c r="J58" i="19" s="1"/>
  <c r="E108" i="19"/>
  <c r="F34" i="19"/>
  <c r="M76" i="19"/>
  <c r="B61" i="19"/>
  <c r="G49" i="19"/>
  <c r="G51" i="19"/>
  <c r="I59" i="19"/>
  <c r="E105" i="19"/>
  <c r="E110" i="19"/>
  <c r="F42" i="19"/>
  <c r="B27" i="19"/>
  <c r="C25" i="19" s="1"/>
  <c r="B76" i="19"/>
  <c r="L154" i="19"/>
  <c r="J60" i="19"/>
  <c r="I60" i="19"/>
  <c r="C142" i="19"/>
  <c r="D141" i="19" s="1"/>
  <c r="G142" i="19"/>
  <c r="E107" i="19"/>
  <c r="E103" i="19"/>
  <c r="F41" i="19"/>
  <c r="E20" i="19"/>
  <c r="E26" i="19"/>
  <c r="D158" i="19"/>
  <c r="G53" i="19"/>
  <c r="E61" i="19"/>
  <c r="K50" i="19" s="1"/>
  <c r="F61" i="19"/>
  <c r="L57" i="19" s="1"/>
  <c r="I49" i="19"/>
  <c r="J49" i="19" s="1"/>
  <c r="E109" i="19"/>
  <c r="E112" i="19"/>
  <c r="L153" i="19"/>
  <c r="F43" i="19"/>
  <c r="H76" i="19"/>
  <c r="G50" i="19"/>
  <c r="G52" i="19"/>
  <c r="I50" i="19"/>
  <c r="J50" i="19" s="1"/>
  <c r="F142" i="19"/>
  <c r="E115" i="19"/>
  <c r="E114" i="19"/>
  <c r="F33" i="19"/>
  <c r="E25" i="19"/>
  <c r="L150" i="19"/>
  <c r="J59" i="19"/>
  <c r="I51" i="19"/>
  <c r="J51" i="19" s="1"/>
  <c r="J142" i="19"/>
  <c r="A163" i="19" s="1"/>
  <c r="E120" i="19"/>
  <c r="B123" i="19"/>
  <c r="D118" i="19"/>
  <c r="B117" i="19"/>
  <c r="D112" i="19"/>
  <c r="B111" i="19"/>
  <c r="D106" i="19"/>
  <c r="B105" i="19"/>
  <c r="H121" i="19" a="1"/>
  <c r="H121" i="19" s="1"/>
  <c r="G120" i="19" a="1"/>
  <c r="G120" i="19" s="1"/>
  <c r="E119" i="19"/>
  <c r="H115" i="19" a="1"/>
  <c r="H115" i="19" s="1"/>
  <c r="G114" i="19" a="1"/>
  <c r="G114" i="19" s="1"/>
  <c r="D119" i="19"/>
  <c r="B118" i="19"/>
  <c r="D113" i="19"/>
  <c r="B112" i="19"/>
  <c r="D107" i="19"/>
  <c r="B106" i="19"/>
  <c r="H122" i="19" a="1"/>
  <c r="H122" i="19" s="1"/>
  <c r="H123" i="19" a="1"/>
  <c r="H123" i="19" s="1"/>
  <c r="D121" i="19"/>
  <c r="B120" i="19"/>
  <c r="D115" i="19"/>
  <c r="B114" i="19"/>
  <c r="D109" i="19"/>
  <c r="B108" i="19"/>
  <c r="D103" i="19"/>
  <c r="G123" i="19" a="1"/>
  <c r="G123" i="19" s="1"/>
  <c r="E122" i="19"/>
  <c r="H118" i="19" a="1"/>
  <c r="H118" i="19" s="1"/>
  <c r="G117" i="19" a="1"/>
  <c r="G117" i="19" s="1"/>
  <c r="E116" i="19"/>
  <c r="H112" i="19" a="1"/>
  <c r="H112" i="19" s="1"/>
  <c r="D122" i="19"/>
  <c r="B121" i="19"/>
  <c r="D116" i="19"/>
  <c r="B115" i="19"/>
  <c r="D110" i="19"/>
  <c r="B109" i="19"/>
  <c r="D104" i="19"/>
  <c r="B103" i="19"/>
  <c r="E123" i="19"/>
  <c r="H119" i="19" a="1"/>
  <c r="H119" i="19" s="1"/>
  <c r="G118" i="19" a="1"/>
  <c r="G118" i="19" s="1"/>
  <c r="E117" i="19"/>
  <c r="H113" i="19" a="1"/>
  <c r="H113" i="19" s="1"/>
  <c r="G122" i="19" a="1"/>
  <c r="G122" i="19" s="1"/>
  <c r="H114" i="19" a="1"/>
  <c r="H114" i="19" s="1"/>
  <c r="B107" i="19"/>
  <c r="D105" i="19"/>
  <c r="B122" i="19"/>
  <c r="G110" i="19" a="1"/>
  <c r="G110" i="19" s="1"/>
  <c r="H108" i="19" a="1"/>
  <c r="H108" i="19" s="1"/>
  <c r="G119" i="19" a="1"/>
  <c r="G119" i="19" s="1"/>
  <c r="H116" i="19" a="1"/>
  <c r="H116" i="19" s="1"/>
  <c r="D114" i="19"/>
  <c r="G108" i="19" a="1"/>
  <c r="G108" i="19" s="1"/>
  <c r="H106" i="19" a="1"/>
  <c r="H106" i="19" s="1"/>
  <c r="G121" i="19" a="1"/>
  <c r="G121" i="19" s="1"/>
  <c r="G106" i="19" a="1"/>
  <c r="G106" i="19" s="1"/>
  <c r="H104" i="19" a="1"/>
  <c r="H104" i="19" s="1"/>
  <c r="B119" i="19"/>
  <c r="G116" i="19" a="1"/>
  <c r="G116" i="19" s="1"/>
  <c r="B110" i="19"/>
  <c r="D108" i="19"/>
  <c r="B116" i="19"/>
  <c r="H111" i="19" a="1"/>
  <c r="H111" i="19" s="1"/>
  <c r="G104" i="19" a="1"/>
  <c r="G104" i="19" s="1"/>
  <c r="G113" i="19" a="1"/>
  <c r="G113" i="19" s="1"/>
  <c r="G111" i="19" a="1"/>
  <c r="G111" i="19" s="1"/>
  <c r="H109" i="19" a="1"/>
  <c r="H109" i="19" s="1"/>
  <c r="G115" i="19" a="1"/>
  <c r="G115" i="19" s="1"/>
  <c r="G109" i="19" a="1"/>
  <c r="G109" i="19" s="1"/>
  <c r="H107" i="19" a="1"/>
  <c r="H107" i="19" s="1"/>
  <c r="D123" i="19"/>
  <c r="H120" i="19" a="1"/>
  <c r="H120" i="19" s="1"/>
  <c r="D111" i="19"/>
  <c r="B104" i="19"/>
  <c r="B113" i="19"/>
  <c r="G107" i="19" a="1"/>
  <c r="G107" i="19" s="1"/>
  <c r="H105" i="19" a="1"/>
  <c r="H105" i="19" s="1"/>
  <c r="D120" i="19"/>
  <c r="H117" i="19" a="1"/>
  <c r="H117" i="19" s="1"/>
  <c r="G105" i="19" a="1"/>
  <c r="G105" i="19" s="1"/>
  <c r="H103" i="19" a="1"/>
  <c r="H103" i="19" s="1"/>
  <c r="D117" i="19"/>
  <c r="G112" i="19" a="1"/>
  <c r="G112" i="19" s="1"/>
  <c r="H110" i="19" a="1"/>
  <c r="H110" i="19" s="1"/>
  <c r="G103" i="19" a="1"/>
  <c r="G103" i="19" s="1"/>
  <c r="H158" i="19"/>
  <c r="L152" i="19"/>
  <c r="E44" i="19"/>
  <c r="F32" i="19"/>
  <c r="F35" i="19"/>
  <c r="E18" i="19"/>
  <c r="E158" i="19"/>
  <c r="L155" i="19"/>
  <c r="B158" i="19"/>
  <c r="L147" i="19"/>
  <c r="K158" i="19"/>
  <c r="C76" i="19"/>
  <c r="G54" i="19"/>
  <c r="G60" i="19"/>
  <c r="G56" i="19"/>
  <c r="L52" i="19"/>
  <c r="D95" i="19"/>
  <c r="I52" i="19"/>
  <c r="J52" i="19" s="1"/>
  <c r="E142" i="19"/>
  <c r="D132" i="19"/>
  <c r="E111" i="19"/>
  <c r="J158" i="19"/>
  <c r="F38" i="19"/>
  <c r="I76" i="19"/>
  <c r="C61" i="19"/>
  <c r="L53" i="19"/>
  <c r="I53" i="19"/>
  <c r="J53" i="19" s="1"/>
  <c r="D96" i="19"/>
  <c r="I142" i="19"/>
  <c r="E113" i="19"/>
  <c r="I158" i="19"/>
  <c r="F36" i="19"/>
  <c r="K76" i="19"/>
  <c r="L76" i="19"/>
  <c r="D27" i="19"/>
  <c r="E17" i="19"/>
  <c r="J76" i="19"/>
  <c r="B94" i="19"/>
  <c r="L54" i="19"/>
  <c r="D97" i="19"/>
  <c r="I54" i="19"/>
  <c r="J54" i="19" s="1"/>
  <c r="D137" i="19"/>
  <c r="D131" i="19"/>
  <c r="A162" i="19" s="1"/>
  <c r="E118" i="19"/>
  <c r="L151" i="19"/>
  <c r="G27" i="19"/>
  <c r="E76" i="19"/>
  <c r="L157" i="19"/>
  <c r="G76" i="19"/>
  <c r="G158" i="19"/>
  <c r="G59" i="19"/>
  <c r="L55" i="19"/>
  <c r="I55" i="19"/>
  <c r="J55" i="19" s="1"/>
  <c r="A166" i="19"/>
  <c r="D136" i="19"/>
  <c r="H142" i="19"/>
  <c r="D44" i="19"/>
  <c r="F40" i="19"/>
  <c r="E22" i="19"/>
  <c r="E24" i="19"/>
  <c r="B95" i="19"/>
  <c r="G58" i="19"/>
  <c r="I56" i="19"/>
  <c r="J56" i="19" s="1"/>
  <c r="D130" i="19"/>
  <c r="F27" i="19"/>
  <c r="D76" i="19"/>
  <c r="X9" i="15"/>
  <c r="L9" i="15" s="1"/>
  <c r="Y10" i="17"/>
  <c r="Y34" i="9"/>
  <c r="X12" i="17"/>
  <c r="Y32" i="9"/>
  <c r="Y11" i="14"/>
  <c r="Y14" i="15"/>
  <c r="X7" i="15"/>
  <c r="L7" i="15" s="1"/>
  <c r="Y16" i="14"/>
  <c r="Y29" i="9"/>
  <c r="X15" i="17"/>
  <c r="Y13" i="17"/>
  <c r="X19" i="9"/>
  <c r="L19" i="9" s="1"/>
  <c r="Y14" i="14"/>
  <c r="Y15" i="9"/>
  <c r="L15" i="9" s="1"/>
  <c r="X24" i="9"/>
  <c r="X16" i="16"/>
  <c r="Y7" i="9"/>
  <c r="L7" i="9" s="1"/>
  <c r="X9" i="17"/>
  <c r="Y25" i="9"/>
  <c r="Y12" i="14"/>
  <c r="Y15" i="14"/>
  <c r="Y14" i="16"/>
  <c r="L14" i="16" s="1"/>
  <c r="Y9" i="14"/>
  <c r="X14" i="17"/>
  <c r="Y12" i="15"/>
  <c r="Y12" i="16"/>
  <c r="L12" i="16" s="1"/>
  <c r="Y30" i="9"/>
  <c r="Y15" i="15"/>
  <c r="X18" i="9"/>
  <c r="L18" i="9" s="1"/>
  <c r="X16" i="9"/>
  <c r="L16" i="9" s="1"/>
  <c r="Y15" i="16"/>
  <c r="L15" i="16" s="1"/>
  <c r="X10" i="16"/>
  <c r="L10" i="16" s="1"/>
  <c r="Y6" i="15"/>
  <c r="L6" i="15" s="1"/>
  <c r="Y9" i="16"/>
  <c r="L9" i="16" s="1"/>
  <c r="X8" i="17"/>
  <c r="X27" i="9"/>
  <c r="Y27" i="9"/>
  <c r="Y23" i="9"/>
  <c r="L23" i="9" s="1"/>
  <c r="Y8" i="16"/>
  <c r="L8" i="16" s="1"/>
  <c r="X11" i="17"/>
  <c r="X10" i="15"/>
  <c r="Y10" i="15"/>
  <c r="X6" i="14"/>
  <c r="Y6" i="14"/>
  <c r="X16" i="17"/>
  <c r="Y11" i="15"/>
  <c r="Y8" i="14"/>
  <c r="X8" i="15"/>
  <c r="Y8" i="15"/>
  <c r="X6" i="17"/>
  <c r="L6" i="17" s="1"/>
  <c r="X33" i="9"/>
  <c r="Y33" i="9"/>
  <c r="X14" i="9"/>
  <c r="Y14" i="9"/>
  <c r="X11" i="16"/>
  <c r="Y11" i="16"/>
  <c r="X6" i="16"/>
  <c r="Y6" i="16"/>
  <c r="Y13" i="14"/>
  <c r="X13" i="14"/>
  <c r="X17" i="9"/>
  <c r="Y17" i="9"/>
  <c r="X28" i="9"/>
  <c r="Y28" i="9"/>
  <c r="X13" i="15"/>
  <c r="L13" i="15" s="1"/>
  <c r="Y13" i="15"/>
  <c r="X21" i="9"/>
  <c r="Y21" i="9"/>
  <c r="X31" i="9"/>
  <c r="Y31" i="9"/>
  <c r="X10" i="14"/>
  <c r="Y10" i="14"/>
  <c r="X13" i="16"/>
  <c r="Y13" i="16"/>
  <c r="X13" i="9"/>
  <c r="Y13" i="9"/>
  <c r="X12" i="9"/>
  <c r="Y12" i="9"/>
  <c r="Y22" i="9"/>
  <c r="X22" i="9"/>
  <c r="X20" i="9"/>
  <c r="Y20" i="9"/>
  <c r="X26" i="9"/>
  <c r="Y26" i="9"/>
  <c r="X11" i="9"/>
  <c r="L11" i="9" s="1"/>
  <c r="X8" i="9"/>
  <c r="L8" i="9" s="1"/>
  <c r="Y10" i="9"/>
  <c r="X10" i="9"/>
  <c r="Y9" i="9"/>
  <c r="L9" i="9" s="1"/>
  <c r="X6" i="9"/>
  <c r="L6" i="9" s="1"/>
  <c r="BI567" i="11"/>
  <c r="AH567" i="11" s="1"/>
  <c r="BI719" i="11"/>
  <c r="AH719" i="11" s="1"/>
  <c r="BJ132" i="11"/>
  <c r="BI444" i="11"/>
  <c r="AH444" i="11" s="1"/>
  <c r="BJ771" i="11"/>
  <c r="BI587" i="11"/>
  <c r="AH587" i="11" s="1"/>
  <c r="BI1006" i="11"/>
  <c r="AH1006" i="11" s="1"/>
  <c r="BI806" i="11"/>
  <c r="AH806" i="11" s="1"/>
  <c r="BJ469" i="11"/>
  <c r="BI318" i="11"/>
  <c r="AH318" i="11" s="1"/>
  <c r="BI227" i="11"/>
  <c r="AH227" i="11" s="1"/>
  <c r="BJ54" i="11"/>
  <c r="BJ462" i="11"/>
  <c r="BJ854" i="11"/>
  <c r="BI744" i="11"/>
  <c r="AH744" i="11" s="1"/>
  <c r="BI18" i="11"/>
  <c r="AH18" i="11" s="1"/>
  <c r="BI454" i="11"/>
  <c r="AH454" i="11" s="1"/>
  <c r="BI520" i="11"/>
  <c r="AH520" i="11" s="1"/>
  <c r="BI783" i="11"/>
  <c r="AH783" i="11" s="1"/>
  <c r="BI710" i="11"/>
  <c r="AH710" i="11" s="1"/>
  <c r="BI595" i="11"/>
  <c r="AH595" i="11" s="1"/>
  <c r="BI151" i="11"/>
  <c r="AH151" i="11" s="1"/>
  <c r="BJ490" i="11"/>
  <c r="BI814" i="11"/>
  <c r="AH814" i="11" s="1"/>
  <c r="BJ178" i="11"/>
  <c r="BI592" i="11"/>
  <c r="AH592" i="11" s="1"/>
  <c r="BJ324" i="11"/>
  <c r="BJ272" i="11"/>
  <c r="BJ235" i="11"/>
  <c r="BI803" i="11"/>
  <c r="AH803" i="11" s="1"/>
  <c r="BJ271" i="11"/>
  <c r="BJ830" i="11"/>
  <c r="BI90" i="11"/>
  <c r="AH90" i="11" s="1"/>
  <c r="BJ336" i="11"/>
  <c r="BI599" i="11"/>
  <c r="AH599" i="11" s="1"/>
  <c r="BJ746" i="11"/>
  <c r="BI568" i="11"/>
  <c r="AH568" i="11" s="1"/>
  <c r="BI253" i="11"/>
  <c r="AH253" i="11" s="1"/>
  <c r="BJ525" i="11"/>
  <c r="BJ851" i="11"/>
  <c r="BJ289" i="11"/>
  <c r="BJ427" i="11"/>
  <c r="BJ45" i="11"/>
  <c r="BI863" i="11"/>
  <c r="AH863" i="11" s="1"/>
  <c r="BI205" i="11"/>
  <c r="AH205" i="11" s="1"/>
  <c r="BI197" i="11"/>
  <c r="AH197" i="11" s="1"/>
  <c r="BI25" i="11"/>
  <c r="AH25" i="11" s="1"/>
  <c r="BI748" i="11"/>
  <c r="AH748" i="11" s="1"/>
  <c r="BI450" i="11"/>
  <c r="AH450" i="11" s="1"/>
  <c r="BI855" i="11"/>
  <c r="AH855" i="11" s="1"/>
  <c r="BI708" i="11"/>
  <c r="AH708" i="11" s="1"/>
  <c r="BI678" i="11"/>
  <c r="AH678" i="11" s="1"/>
  <c r="BI845" i="11"/>
  <c r="AH845" i="11" s="1"/>
  <c r="BJ222" i="11"/>
  <c r="BJ163" i="11"/>
  <c r="BJ516" i="11"/>
  <c r="BI239" i="11"/>
  <c r="AH239" i="11" s="1"/>
  <c r="BJ760" i="11"/>
  <c r="BI383" i="11"/>
  <c r="AH383" i="11" s="1"/>
  <c r="BJ155" i="11"/>
  <c r="BJ793" i="11"/>
  <c r="BI635" i="11"/>
  <c r="AH635" i="11" s="1"/>
  <c r="BJ309" i="11"/>
  <c r="BJ260" i="11"/>
  <c r="BJ120" i="11"/>
  <c r="BJ252" i="11"/>
  <c r="BI775" i="11"/>
  <c r="AH775" i="11" s="1"/>
  <c r="BJ606" i="11"/>
  <c r="BI722" i="11"/>
  <c r="AH722" i="11" s="1"/>
  <c r="BI865" i="11"/>
  <c r="AH865" i="11" s="1"/>
  <c r="BJ896" i="11"/>
  <c r="BI853" i="11"/>
  <c r="AH853" i="11" s="1"/>
  <c r="BI734" i="11"/>
  <c r="AH734" i="11" s="1"/>
  <c r="BJ460" i="11"/>
  <c r="BI580" i="11"/>
  <c r="AH580" i="11" s="1"/>
  <c r="BJ468" i="11"/>
  <c r="BI127" i="11"/>
  <c r="AH127" i="11" s="1"/>
  <c r="BJ154" i="11"/>
  <c r="BJ280" i="11"/>
  <c r="BI871" i="11"/>
  <c r="AH871" i="11" s="1"/>
  <c r="BJ1004" i="11"/>
  <c r="BJ974" i="11"/>
  <c r="BJ834" i="11"/>
  <c r="BJ671" i="11"/>
  <c r="BI375" i="11"/>
  <c r="AH375" i="11" s="1"/>
  <c r="BJ142" i="11"/>
  <c r="BI602" i="11"/>
  <c r="AH602" i="11" s="1"/>
  <c r="BI794" i="11"/>
  <c r="AH794" i="11" s="1"/>
  <c r="BJ961" i="11"/>
  <c r="BI529" i="11"/>
  <c r="AH529" i="11" s="1"/>
  <c r="BI105" i="11"/>
  <c r="AH105" i="11" s="1"/>
  <c r="BJ477" i="11"/>
  <c r="BJ332" i="11"/>
  <c r="BJ711" i="11"/>
  <c r="BI268" i="11"/>
  <c r="AH268" i="11" s="1"/>
  <c r="BJ838" i="11"/>
  <c r="BJ787" i="11"/>
  <c r="BJ250" i="11"/>
  <c r="BJ259" i="11"/>
  <c r="BJ85" i="11"/>
  <c r="BI23" i="11"/>
  <c r="AH23" i="11" s="1"/>
  <c r="BI304" i="11"/>
  <c r="AH304" i="11" s="1"/>
  <c r="BJ325" i="11"/>
  <c r="BJ892" i="11"/>
  <c r="BI780" i="11"/>
  <c r="AH780" i="11" s="1"/>
  <c r="BI545" i="11"/>
  <c r="AH545" i="11" s="1"/>
  <c r="BI832" i="11"/>
  <c r="AH832" i="11" s="1"/>
  <c r="BI829" i="11"/>
  <c r="AH829" i="11" s="1"/>
  <c r="BJ551" i="11"/>
  <c r="BI297" i="11"/>
  <c r="AH297" i="11" s="1"/>
  <c r="BI500" i="11"/>
  <c r="AH500" i="11" s="1"/>
  <c r="BJ264" i="11"/>
  <c r="BI149" i="11"/>
  <c r="AH149" i="11" s="1"/>
  <c r="BJ315" i="11"/>
  <c r="BI856" i="11"/>
  <c r="AH856" i="11" s="1"/>
  <c r="BJ750" i="11"/>
  <c r="BI731" i="11"/>
  <c r="AH731" i="11" s="1"/>
  <c r="BJ888" i="11"/>
  <c r="BI547" i="11"/>
  <c r="AH547" i="11" s="1"/>
  <c r="BI423" i="11"/>
  <c r="AH423" i="11" s="1"/>
  <c r="BJ399" i="11"/>
  <c r="BI99" i="11"/>
  <c r="AH99" i="11" s="1"/>
  <c r="BI742" i="11"/>
  <c r="AH742" i="11" s="1"/>
  <c r="BI273" i="11"/>
  <c r="AH273" i="11" s="1"/>
  <c r="BJ503" i="11"/>
  <c r="BJ160" i="11"/>
  <c r="BI411" i="11"/>
  <c r="AH411" i="11" s="1"/>
  <c r="BJ558" i="11"/>
  <c r="BJ447" i="11"/>
  <c r="BJ357" i="11"/>
  <c r="BI406" i="11"/>
  <c r="AH406" i="11" s="1"/>
  <c r="BI26" i="11"/>
  <c r="AH26" i="11" s="1"/>
  <c r="BI108" i="11"/>
  <c r="AH108" i="11" s="1"/>
  <c r="BJ839" i="11"/>
  <c r="BI716" i="11"/>
  <c r="AH716" i="11" s="1"/>
  <c r="BJ234" i="11"/>
  <c r="BI680" i="11"/>
  <c r="AH680" i="11" s="1"/>
  <c r="BJ401" i="11"/>
  <c r="BI859" i="11"/>
  <c r="AH859" i="11" s="1"/>
  <c r="BI837" i="11"/>
  <c r="AH837" i="11" s="1"/>
  <c r="BJ773" i="11"/>
  <c r="BI720" i="11"/>
  <c r="AH720" i="11" s="1"/>
  <c r="BI445" i="11"/>
  <c r="AH445" i="11" s="1"/>
  <c r="BI397" i="11"/>
  <c r="AH397" i="11" s="1"/>
  <c r="BJ296" i="11"/>
  <c r="BI388" i="11"/>
  <c r="AH388" i="11" s="1"/>
  <c r="BJ187" i="11"/>
  <c r="BI97" i="11"/>
  <c r="AH97" i="11" s="1"/>
  <c r="BJ190" i="11"/>
  <c r="BJ736" i="11"/>
  <c r="BJ657" i="11"/>
  <c r="BI833" i="11"/>
  <c r="AH833" i="11" s="1"/>
  <c r="BJ673" i="11"/>
  <c r="BJ553" i="11"/>
  <c r="BJ362" i="11"/>
  <c r="BI393" i="11"/>
  <c r="AH393" i="11" s="1"/>
  <c r="BI277" i="11"/>
  <c r="AH277" i="11" s="1"/>
  <c r="BJ343" i="11"/>
  <c r="BJ281" i="11"/>
  <c r="BJ179" i="11"/>
  <c r="BJ186" i="11"/>
  <c r="BJ12" i="11"/>
  <c r="BI848" i="11"/>
  <c r="AH848" i="11" s="1"/>
  <c r="BI141" i="11"/>
  <c r="AH141" i="11" s="1"/>
  <c r="BJ790" i="11"/>
  <c r="BI662" i="11"/>
  <c r="AH662" i="11" s="1"/>
  <c r="BJ633" i="11"/>
  <c r="BI483" i="11"/>
  <c r="AH483" i="11" s="1"/>
  <c r="BI285" i="11"/>
  <c r="AH285" i="11" s="1"/>
  <c r="BI308" i="11"/>
  <c r="AH308" i="11" s="1"/>
  <c r="BI35" i="11"/>
  <c r="AH35" i="11" s="1"/>
  <c r="BI150" i="11"/>
  <c r="AH150" i="11" s="1"/>
  <c r="BJ818" i="11"/>
  <c r="BJ177" i="11"/>
  <c r="BJ895" i="11"/>
  <c r="BJ486" i="11"/>
  <c r="BI409" i="11"/>
  <c r="AH409" i="11" s="1"/>
  <c r="BI354" i="11"/>
  <c r="AH354" i="11" s="1"/>
  <c r="BI75" i="11"/>
  <c r="AH75" i="11" s="1"/>
  <c r="BJ193" i="11"/>
  <c r="BJ795" i="11"/>
  <c r="BJ87" i="11"/>
  <c r="BI704" i="11"/>
  <c r="AH704" i="11" s="1"/>
  <c r="BJ509" i="11"/>
  <c r="BI157" i="11"/>
  <c r="AH157" i="11" s="1"/>
  <c r="BI402" i="11"/>
  <c r="AH402" i="11" s="1"/>
  <c r="BJ305" i="11"/>
  <c r="BI440" i="11"/>
  <c r="AH440" i="11" s="1"/>
  <c r="BJ852" i="11"/>
  <c r="BI801" i="11"/>
  <c r="AH801" i="11" s="1"/>
  <c r="BI481" i="11"/>
  <c r="AH481" i="11" s="1"/>
  <c r="BJ102" i="11"/>
  <c r="BJ965" i="11"/>
  <c r="BJ351" i="11"/>
  <c r="BI256" i="11"/>
  <c r="AH256" i="11" s="1"/>
  <c r="BJ243" i="11"/>
  <c r="BJ422" i="11"/>
  <c r="BI824" i="11"/>
  <c r="AH824" i="11" s="1"/>
  <c r="BJ761" i="11"/>
  <c r="BI559" i="11"/>
  <c r="AH559" i="11" s="1"/>
  <c r="BI459" i="11"/>
  <c r="AH459" i="11" s="1"/>
  <c r="BI322" i="11"/>
  <c r="AH322" i="11" s="1"/>
  <c r="BI265" i="11"/>
  <c r="AH265" i="11" s="1"/>
  <c r="BJ219" i="11"/>
  <c r="BJ136" i="11"/>
  <c r="BI846" i="11"/>
  <c r="AH846" i="11" s="1"/>
  <c r="BI718" i="11"/>
  <c r="AH718" i="11" s="1"/>
  <c r="BI497" i="11"/>
  <c r="AH497" i="11" s="1"/>
  <c r="BI333" i="11"/>
  <c r="AH333" i="11" s="1"/>
  <c r="BI206" i="11"/>
  <c r="AH206" i="11" s="1"/>
  <c r="BJ195" i="11"/>
  <c r="BJ627" i="11"/>
  <c r="BJ1008" i="11"/>
  <c r="BJ827" i="11"/>
  <c r="BI577" i="11"/>
  <c r="AH577" i="11" s="1"/>
  <c r="BI493" i="11"/>
  <c r="AH493" i="11" s="1"/>
  <c r="BI339" i="11"/>
  <c r="AH339" i="11" s="1"/>
  <c r="BI115" i="11"/>
  <c r="AH115" i="11" s="1"/>
  <c r="BJ621" i="11"/>
  <c r="BJ457" i="11"/>
  <c r="BI451" i="11"/>
  <c r="AH451" i="11" s="1"/>
  <c r="BJ314" i="11"/>
  <c r="BI298" i="11"/>
  <c r="AH298" i="11" s="1"/>
  <c r="BI244" i="11"/>
  <c r="AH244" i="11" s="1"/>
  <c r="BJ300" i="11"/>
  <c r="BJ435" i="11"/>
  <c r="BI181" i="11"/>
  <c r="AH181" i="11" s="1"/>
  <c r="BJ88" i="11"/>
  <c r="BI41" i="11"/>
  <c r="AH41" i="11" s="1"/>
  <c r="BJ294" i="11"/>
  <c r="BI745" i="11"/>
  <c r="AH745" i="11" s="1"/>
  <c r="BI456" i="11"/>
  <c r="AH456" i="11" s="1"/>
  <c r="BJ346" i="11"/>
  <c r="BI328" i="11"/>
  <c r="AH328" i="11" s="1"/>
  <c r="BI238" i="11"/>
  <c r="AH238" i="11" s="1"/>
  <c r="BI38" i="11"/>
  <c r="AH38" i="11" s="1"/>
  <c r="BI637" i="11"/>
  <c r="AH637" i="11" s="1"/>
  <c r="BJ284" i="11"/>
  <c r="BJ52" i="11"/>
  <c r="BI1000" i="11"/>
  <c r="AH1000" i="11" s="1"/>
  <c r="BI735" i="11"/>
  <c r="AH735" i="11" s="1"/>
  <c r="BJ412" i="11"/>
  <c r="BI320" i="11"/>
  <c r="AH320" i="11" s="1"/>
  <c r="BI168" i="11"/>
  <c r="AH168" i="11" s="1"/>
  <c r="BJ923" i="11"/>
  <c r="BI808" i="11"/>
  <c r="AH808" i="11" s="1"/>
  <c r="BJ436" i="11"/>
  <c r="BI467" i="11"/>
  <c r="AH467" i="11" s="1"/>
  <c r="BI279" i="11"/>
  <c r="AH279" i="11" s="1"/>
  <c r="BI233" i="11"/>
  <c r="AH233" i="11" s="1"/>
  <c r="BJ768" i="11"/>
  <c r="BI660" i="11"/>
  <c r="AH660" i="11" s="1"/>
  <c r="BI612" i="11"/>
  <c r="AH612" i="11" s="1"/>
  <c r="BI502" i="11"/>
  <c r="AH502" i="11" s="1"/>
  <c r="BI111" i="11"/>
  <c r="AH111" i="11" s="1"/>
  <c r="BJ868" i="11"/>
  <c r="BI311" i="11"/>
  <c r="AH311" i="11" s="1"/>
  <c r="BJ575" i="11"/>
  <c r="BJ951" i="11"/>
  <c r="BJ286" i="11"/>
  <c r="BJ812" i="11"/>
  <c r="BJ594" i="11"/>
  <c r="BJ981" i="11"/>
  <c r="BI957" i="11"/>
  <c r="AH957" i="11" s="1"/>
  <c r="BJ884" i="11"/>
  <c r="BJ998" i="11"/>
  <c r="BJ1009" i="11"/>
  <c r="BI695" i="11"/>
  <c r="AH695" i="11" s="1"/>
  <c r="BJ696" i="11"/>
  <c r="BJ563" i="11"/>
  <c r="BJ439" i="11"/>
  <c r="BJ368" i="11"/>
  <c r="BJ342" i="11"/>
  <c r="BJ419" i="11"/>
  <c r="BI306" i="11"/>
  <c r="AH306" i="11" s="1"/>
  <c r="BJ184" i="11"/>
  <c r="BI13" i="11"/>
  <c r="AH13" i="11" s="1"/>
  <c r="BJ44" i="11"/>
  <c r="BI561" i="11"/>
  <c r="AH561" i="11" s="1"/>
  <c r="BI883" i="11"/>
  <c r="AH883" i="11" s="1"/>
  <c r="BI535" i="11"/>
  <c r="AH535" i="11" s="1"/>
  <c r="BI363" i="11"/>
  <c r="AH363" i="11" s="1"/>
  <c r="BJ378" i="11"/>
  <c r="BI199" i="11"/>
  <c r="AH199" i="11" s="1"/>
  <c r="BJ231" i="11"/>
  <c r="BJ967" i="11"/>
  <c r="BI948" i="11"/>
  <c r="AH948" i="11" s="1"/>
  <c r="BI805" i="11"/>
  <c r="AH805" i="11" s="1"/>
  <c r="BI712" i="11"/>
  <c r="AH712" i="11" s="1"/>
  <c r="BI679" i="11"/>
  <c r="AH679" i="11" s="1"/>
  <c r="BI617" i="11"/>
  <c r="AH617" i="11" s="1"/>
  <c r="BJ335" i="11"/>
  <c r="BJ295" i="11"/>
  <c r="BI283" i="11"/>
  <c r="AH283" i="11" s="1"/>
  <c r="BJ266" i="11"/>
  <c r="BI79" i="11"/>
  <c r="AH79" i="11" s="1"/>
  <c r="BJ570" i="11"/>
  <c r="BJ590" i="11"/>
  <c r="BI405" i="11"/>
  <c r="AH405" i="11" s="1"/>
  <c r="BJ556" i="11"/>
  <c r="BI620" i="11"/>
  <c r="AH620" i="11" s="1"/>
  <c r="BJ557" i="11"/>
  <c r="BI969" i="11"/>
  <c r="AH969" i="11" s="1"/>
  <c r="BI515" i="11"/>
  <c r="AH515" i="11" s="1"/>
  <c r="BJ707" i="11"/>
  <c r="BJ506" i="11"/>
  <c r="BJ858" i="11"/>
  <c r="BI689" i="11"/>
  <c r="AH689" i="11" s="1"/>
  <c r="BJ434" i="11"/>
  <c r="BJ732" i="11"/>
  <c r="BJ654" i="11"/>
  <c r="BJ697" i="11"/>
  <c r="BJ475" i="11"/>
  <c r="BI302" i="11"/>
  <c r="AH302" i="11" s="1"/>
  <c r="BI133" i="11"/>
  <c r="AH133" i="11" s="1"/>
  <c r="BI162" i="11"/>
  <c r="AH162" i="11" s="1"/>
  <c r="BI564" i="11"/>
  <c r="AH564" i="11" s="1"/>
  <c r="BJ933" i="11"/>
  <c r="BJ864" i="11"/>
  <c r="BI792" i="11"/>
  <c r="AH792" i="11" s="1"/>
  <c r="BI714" i="11"/>
  <c r="AH714" i="11" s="1"/>
  <c r="BI639" i="11"/>
  <c r="AH639" i="11" s="1"/>
  <c r="BI523" i="11"/>
  <c r="AH523" i="11" s="1"/>
  <c r="BJ442" i="11"/>
  <c r="BJ542" i="11"/>
  <c r="BJ441" i="11"/>
  <c r="BI377" i="11"/>
  <c r="AH377" i="11" s="1"/>
  <c r="BI355" i="11"/>
  <c r="AH355" i="11" s="1"/>
  <c r="BI258" i="11"/>
  <c r="AH258" i="11" s="1"/>
  <c r="BI326" i="11"/>
  <c r="AH326" i="11" s="1"/>
  <c r="BI226" i="11"/>
  <c r="AH226" i="11" s="1"/>
  <c r="BI262" i="11"/>
  <c r="AH262" i="11" s="1"/>
  <c r="BJ426" i="11"/>
  <c r="BI310" i="11"/>
  <c r="AH310" i="11" s="1"/>
  <c r="BI323" i="11"/>
  <c r="AH323" i="11" s="1"/>
  <c r="BI175" i="11"/>
  <c r="AH175" i="11" s="1"/>
  <c r="BI236" i="11"/>
  <c r="AH236" i="11" s="1"/>
  <c r="BI188" i="11"/>
  <c r="AH188" i="11" s="1"/>
  <c r="BI156" i="11"/>
  <c r="AH156" i="11" s="1"/>
  <c r="BI66" i="11"/>
  <c r="AH66" i="11" s="1"/>
  <c r="BI19" i="11"/>
  <c r="AH19" i="11" s="1"/>
  <c r="BI403" i="11"/>
  <c r="AH403" i="11" s="1"/>
  <c r="BJ819" i="11"/>
  <c r="BI648" i="11"/>
  <c r="AH648" i="11" s="1"/>
  <c r="BJ629" i="11"/>
  <c r="BJ684" i="11"/>
  <c r="BI499" i="11"/>
  <c r="AH499" i="11" s="1"/>
  <c r="BI631" i="11"/>
  <c r="AH631" i="11" s="1"/>
  <c r="BJ321" i="11"/>
  <c r="BI247" i="11"/>
  <c r="AH247" i="11" s="1"/>
  <c r="BJ350" i="11"/>
  <c r="BJ876" i="11"/>
  <c r="BJ763" i="11"/>
  <c r="BJ721" i="11"/>
  <c r="BI688" i="11"/>
  <c r="AH688" i="11" s="1"/>
  <c r="BJ666" i="11"/>
  <c r="BI425" i="11"/>
  <c r="AH425" i="11" s="1"/>
  <c r="BJ480" i="11"/>
  <c r="BJ124" i="11"/>
  <c r="BI544" i="11"/>
  <c r="AH544" i="11" s="1"/>
  <c r="BI29" i="11"/>
  <c r="AH29" i="11" s="1"/>
  <c r="BI971" i="11"/>
  <c r="AH971" i="11" s="1"/>
  <c r="BJ709" i="11"/>
  <c r="BI524" i="11"/>
  <c r="AH524" i="11" s="1"/>
  <c r="BJ400" i="11"/>
  <c r="BI240" i="11"/>
  <c r="AH240" i="11" s="1"/>
  <c r="BI228" i="11"/>
  <c r="AH228" i="11" s="1"/>
  <c r="BJ263" i="11"/>
  <c r="BJ73" i="11"/>
  <c r="BJ726" i="11"/>
  <c r="BJ224" i="11"/>
  <c r="BI543" i="11"/>
  <c r="AH543" i="11" s="1"/>
  <c r="BJ340" i="11"/>
  <c r="BI729" i="11"/>
  <c r="AH729" i="11" s="1"/>
  <c r="BI847" i="11"/>
  <c r="AH847" i="11" s="1"/>
  <c r="BI574" i="11"/>
  <c r="AH574" i="11" s="1"/>
  <c r="BI527" i="11"/>
  <c r="AH527" i="11" s="1"/>
  <c r="BJ390" i="11"/>
  <c r="BI376" i="11"/>
  <c r="AH376" i="11" s="1"/>
  <c r="BI995" i="11"/>
  <c r="AH995" i="11" s="1"/>
  <c r="BI987" i="11"/>
  <c r="AH987" i="11" s="1"/>
  <c r="BI862" i="11"/>
  <c r="AH862" i="11" s="1"/>
  <c r="BJ470" i="11"/>
  <c r="BI84" i="11"/>
  <c r="AH84" i="11" s="1"/>
  <c r="BJ67" i="11"/>
  <c r="BJ380" i="11"/>
  <c r="BJ232" i="11"/>
  <c r="BI953" i="11"/>
  <c r="AH953" i="11" s="1"/>
  <c r="BI548" i="11"/>
  <c r="AH548" i="11" s="1"/>
  <c r="BJ443" i="11"/>
  <c r="BJ464" i="11"/>
  <c r="BI686" i="11"/>
  <c r="AH686" i="11" s="1"/>
  <c r="BJ600" i="11"/>
  <c r="BJ531" i="11"/>
  <c r="BJ64" i="11"/>
  <c r="BI976" i="11"/>
  <c r="AH976" i="11" s="1"/>
  <c r="BJ733" i="11"/>
  <c r="BI319" i="11"/>
  <c r="AH319" i="11" s="1"/>
  <c r="BJ453" i="11"/>
  <c r="BI989" i="11"/>
  <c r="AH989" i="11" s="1"/>
  <c r="BJ690" i="11"/>
  <c r="BJ753" i="11"/>
  <c r="BI959" i="11"/>
  <c r="AH959" i="11" s="1"/>
  <c r="BI81" i="11"/>
  <c r="AH81" i="11" s="1"/>
  <c r="BI125" i="11"/>
  <c r="AH125" i="11" s="1"/>
  <c r="BI802" i="11"/>
  <c r="AH802" i="11" s="1"/>
  <c r="BI815" i="11"/>
  <c r="AH815" i="11" s="1"/>
  <c r="BI693" i="11"/>
  <c r="AH693" i="11" s="1"/>
  <c r="BI777" i="11"/>
  <c r="AH777" i="11" s="1"/>
  <c r="BI751" i="11"/>
  <c r="AH751" i="11" s="1"/>
  <c r="BI511" i="11"/>
  <c r="AH511" i="11" s="1"/>
  <c r="BI420" i="11"/>
  <c r="AH420" i="11" s="1"/>
  <c r="BJ432" i="11"/>
  <c r="BJ458" i="11"/>
  <c r="BI347" i="11"/>
  <c r="AH347" i="11" s="1"/>
  <c r="BI290" i="11"/>
  <c r="AH290" i="11" s="1"/>
  <c r="BI329" i="11"/>
  <c r="AH329" i="11" s="1"/>
  <c r="BI276" i="11"/>
  <c r="AH276" i="11" s="1"/>
  <c r="BI213" i="11"/>
  <c r="AH213" i="11" s="1"/>
  <c r="BI214" i="11"/>
  <c r="AH214" i="11" s="1"/>
  <c r="BJ356" i="11"/>
  <c r="BI241" i="11"/>
  <c r="AH241" i="11" s="1"/>
  <c r="BI208" i="11"/>
  <c r="AH208" i="11" s="1"/>
  <c r="BI185" i="11"/>
  <c r="AH185" i="11" s="1"/>
  <c r="BJ46" i="11"/>
  <c r="BI204" i="11"/>
  <c r="AH204" i="11" s="1"/>
  <c r="BI560" i="11"/>
  <c r="AH560" i="11" s="1"/>
  <c r="BI196" i="11"/>
  <c r="AH196" i="11" s="1"/>
  <c r="BI20" i="11"/>
  <c r="AH20" i="11" s="1"/>
  <c r="BJ417" i="11"/>
  <c r="BJ78" i="11"/>
  <c r="BI945" i="11"/>
  <c r="AH945" i="11" s="1"/>
  <c r="BJ345" i="11"/>
  <c r="BJ850" i="11"/>
  <c r="BI517" i="11"/>
  <c r="AH517" i="11" s="1"/>
  <c r="BJ514" i="11"/>
  <c r="BJ555" i="11"/>
  <c r="BJ461" i="11"/>
  <c r="BJ218" i="11"/>
  <c r="BJ72" i="11"/>
  <c r="BJ849" i="11"/>
  <c r="BJ828" i="11"/>
  <c r="BI670" i="11"/>
  <c r="AH670" i="11" s="1"/>
  <c r="BI505" i="11"/>
  <c r="AH505" i="11" s="1"/>
  <c r="BJ418" i="11"/>
  <c r="BI209" i="11"/>
  <c r="AH209" i="11" s="1"/>
  <c r="BI471" i="11"/>
  <c r="AH471" i="11" s="1"/>
  <c r="BI353" i="11"/>
  <c r="AH353" i="11" s="1"/>
  <c r="BI248" i="11"/>
  <c r="AH248" i="11" s="1"/>
  <c r="BJ705" i="11"/>
  <c r="BJ879" i="11"/>
  <c r="BJ478" i="11"/>
  <c r="BI522" i="11"/>
  <c r="AH522" i="11" s="1"/>
  <c r="BI60" i="11"/>
  <c r="AH60" i="11" s="1"/>
  <c r="BI985" i="11"/>
  <c r="AH985" i="11" s="1"/>
  <c r="BJ941" i="11"/>
  <c r="BI781" i="11"/>
  <c r="AH781" i="11" s="1"/>
  <c r="BI797" i="11"/>
  <c r="AH797" i="11" s="1"/>
  <c r="BI669" i="11"/>
  <c r="AH669" i="11" s="1"/>
  <c r="BJ703" i="11"/>
  <c r="BJ596" i="11"/>
  <c r="BJ591" i="11"/>
  <c r="BJ485" i="11"/>
  <c r="BJ474" i="11"/>
  <c r="BJ413" i="11"/>
  <c r="BJ267" i="11"/>
  <c r="BJ282" i="11"/>
  <c r="BJ212" i="11"/>
  <c r="BJ221" i="11"/>
  <c r="BJ191" i="11"/>
  <c r="BI348" i="11"/>
  <c r="AH348" i="11" s="1"/>
  <c r="BJ118" i="11"/>
  <c r="BI144" i="11"/>
  <c r="AH144" i="11" s="1"/>
  <c r="BJ55" i="11"/>
  <c r="BI17" i="11"/>
  <c r="AH17" i="11" s="1"/>
  <c r="BJ825" i="11"/>
  <c r="BJ387" i="11"/>
  <c r="BJ658" i="11"/>
  <c r="BI681" i="11"/>
  <c r="AH681" i="11" s="1"/>
  <c r="BI663" i="11"/>
  <c r="AH663" i="11" s="1"/>
  <c r="BJ992" i="11"/>
  <c r="BI1001" i="11"/>
  <c r="AH1001" i="11" s="1"/>
  <c r="BI939" i="11"/>
  <c r="AH939" i="11" s="1"/>
  <c r="BJ949" i="11"/>
  <c r="BJ986" i="11"/>
  <c r="BI778" i="11"/>
  <c r="AH778" i="11" s="1"/>
  <c r="BJ737" i="11"/>
  <c r="BI765" i="11"/>
  <c r="AH765" i="11" s="1"/>
  <c r="BI650" i="11"/>
  <c r="AH650" i="11" s="1"/>
  <c r="BI582" i="11"/>
  <c r="AH582" i="11" s="1"/>
  <c r="BJ433" i="11"/>
  <c r="BI518" i="11"/>
  <c r="AH518" i="11" s="1"/>
  <c r="BJ416" i="11"/>
  <c r="BI278" i="11"/>
  <c r="AH278" i="11" s="1"/>
  <c r="BI316" i="11"/>
  <c r="AH316" i="11" s="1"/>
  <c r="BI301" i="11"/>
  <c r="AH301" i="11" s="1"/>
  <c r="BI291" i="11"/>
  <c r="AH291" i="11" s="1"/>
  <c r="BI48" i="11"/>
  <c r="AH48" i="11" s="1"/>
  <c r="BI521" i="11"/>
  <c r="AH521" i="11" s="1"/>
  <c r="BI202" i="11"/>
  <c r="AH202" i="11" s="1"/>
  <c r="BJ641" i="11"/>
  <c r="BJ887" i="11"/>
  <c r="BI997" i="11"/>
  <c r="AH997" i="11" s="1"/>
  <c r="BJ962" i="11"/>
  <c r="BJ799" i="11"/>
  <c r="BI980" i="11"/>
  <c r="AH980" i="11" s="1"/>
  <c r="BI936" i="11"/>
  <c r="AH936" i="11" s="1"/>
  <c r="BI867" i="11"/>
  <c r="AH867" i="11" s="1"/>
  <c r="BI536" i="11"/>
  <c r="AH536" i="11" s="1"/>
  <c r="BJ465" i="11"/>
  <c r="BJ414" i="11"/>
  <c r="BJ398" i="11"/>
  <c r="BI352" i="11"/>
  <c r="AH352" i="11" s="1"/>
  <c r="BJ371" i="11"/>
  <c r="BI198" i="11"/>
  <c r="AH198" i="11" s="1"/>
  <c r="BJ334" i="11"/>
  <c r="BI63" i="11"/>
  <c r="AH63" i="11" s="1"/>
  <c r="BJ875" i="11"/>
  <c r="BI724" i="11"/>
  <c r="AH724" i="11" s="1"/>
  <c r="BJ860" i="11"/>
  <c r="BJ747" i="11"/>
  <c r="BI581" i="11"/>
  <c r="AH581" i="11" s="1"/>
  <c r="BI632" i="11"/>
  <c r="AH632" i="11" s="1"/>
  <c r="BJ472" i="11"/>
  <c r="BJ448" i="11"/>
  <c r="BJ430" i="11"/>
  <c r="BJ572" i="11"/>
  <c r="BJ428" i="11"/>
  <c r="BI317" i="11"/>
  <c r="AH317" i="11" s="1"/>
  <c r="BI349" i="11"/>
  <c r="AH349" i="11" s="1"/>
  <c r="BI249" i="11"/>
  <c r="AH249" i="11" s="1"/>
  <c r="BI287" i="11"/>
  <c r="AH287" i="11" s="1"/>
  <c r="BI360" i="11"/>
  <c r="AH360" i="11" s="1"/>
  <c r="BI370" i="11"/>
  <c r="AH370" i="11" s="1"/>
  <c r="BI34" i="11"/>
  <c r="AH34" i="11" s="1"/>
  <c r="BI421" i="11"/>
  <c r="AH421" i="11" s="1"/>
  <c r="BI57" i="11"/>
  <c r="AH57" i="11" s="1"/>
  <c r="BI609" i="11"/>
  <c r="AH609" i="11" s="1"/>
  <c r="BI608" i="11"/>
  <c r="AH608" i="11" s="1"/>
  <c r="BI183" i="11"/>
  <c r="AH183" i="11" s="1"/>
  <c r="BI651" i="11"/>
  <c r="AH651" i="11" s="1"/>
  <c r="BI968" i="11"/>
  <c r="AH968" i="11" s="1"/>
  <c r="BJ872" i="11"/>
  <c r="BI766" i="11"/>
  <c r="AH766" i="11" s="1"/>
  <c r="BJ691" i="11"/>
  <c r="BI611" i="11"/>
  <c r="AH611" i="11" s="1"/>
  <c r="BJ131" i="11"/>
  <c r="BJ174" i="11"/>
  <c r="BJ367" i="11"/>
  <c r="BI821" i="11"/>
  <c r="AH821" i="11" s="1"/>
  <c r="BI623" i="11"/>
  <c r="AH623" i="11" s="1"/>
  <c r="BJ539" i="11"/>
  <c r="BI49" i="11"/>
  <c r="AH49" i="11" s="1"/>
  <c r="BJ210" i="11"/>
  <c r="BJ173" i="11"/>
  <c r="BI983" i="11"/>
  <c r="AH983" i="11" s="1"/>
  <c r="BI694" i="11"/>
  <c r="AH694" i="11" s="1"/>
  <c r="BI533" i="11"/>
  <c r="AH533" i="11" s="1"/>
  <c r="BI103" i="11"/>
  <c r="AH103" i="11" s="1"/>
  <c r="BJ69" i="11"/>
  <c r="BI229" i="11"/>
  <c r="AH229" i="11" s="1"/>
  <c r="BJ779" i="11"/>
  <c r="BJ455" i="11"/>
  <c r="BI167" i="11"/>
  <c r="AH167" i="11" s="1"/>
  <c r="BI40" i="11"/>
  <c r="AH40" i="11" s="1"/>
  <c r="BJ842" i="11"/>
  <c r="BJ770" i="11"/>
  <c r="BI61" i="11"/>
  <c r="AH61" i="11" s="1"/>
  <c r="BI153" i="11"/>
  <c r="AH153" i="11" s="1"/>
  <c r="BI699" i="11"/>
  <c r="AH699" i="11" s="1"/>
  <c r="BI51" i="11"/>
  <c r="AH51" i="11" s="1"/>
  <c r="BJ217" i="11"/>
  <c r="BI143" i="11"/>
  <c r="AH143" i="11" s="1"/>
  <c r="BJ166" i="11"/>
  <c r="BI728" i="11"/>
  <c r="AH728" i="11" s="1"/>
  <c r="BI861" i="11"/>
  <c r="AH861" i="11" s="1"/>
  <c r="BI844" i="11"/>
  <c r="AH844" i="11" s="1"/>
  <c r="BI717" i="11"/>
  <c r="AH717" i="11" s="1"/>
  <c r="BJ659" i="11"/>
  <c r="BJ614" i="11"/>
  <c r="BJ571" i="11"/>
  <c r="BJ424" i="11"/>
  <c r="BI365" i="11"/>
  <c r="AH365" i="11" s="1"/>
  <c r="BI534" i="11"/>
  <c r="AH534" i="11" s="1"/>
  <c r="BI359" i="11"/>
  <c r="AH359" i="11" s="1"/>
  <c r="BJ404" i="11"/>
  <c r="BJ137" i="11"/>
  <c r="BI664" i="11"/>
  <c r="AH664" i="11" s="1"/>
  <c r="BJ758" i="11"/>
  <c r="BI738" i="11"/>
  <c r="AH738" i="11" s="1"/>
  <c r="BJ148" i="11"/>
  <c r="BI492" i="11"/>
  <c r="AH492" i="11" s="1"/>
  <c r="BI138" i="11"/>
  <c r="AH138" i="11" s="1"/>
  <c r="BI698" i="11"/>
  <c r="AH698" i="11" s="1"/>
  <c r="BI619" i="11"/>
  <c r="AH619" i="11" s="1"/>
  <c r="BJ482" i="11"/>
  <c r="BJ476" i="11"/>
  <c r="BI810" i="11"/>
  <c r="AH810" i="11" s="1"/>
  <c r="BI796" i="11"/>
  <c r="AH796" i="11" s="1"/>
  <c r="BI741" i="11"/>
  <c r="AH741" i="11" s="1"/>
  <c r="BI96" i="11"/>
  <c r="AH96" i="11" s="1"/>
  <c r="BI220" i="11"/>
  <c r="AH220" i="11" s="1"/>
  <c r="BJ109" i="11"/>
  <c r="BI274" i="11"/>
  <c r="AH274" i="11" s="1"/>
  <c r="BJ130" i="11"/>
  <c r="BI528" i="11"/>
  <c r="AH528" i="11" s="1"/>
  <c r="BJ489" i="11"/>
  <c r="BI675" i="11"/>
  <c r="AH675" i="11" s="1"/>
  <c r="BI727" i="11"/>
  <c r="AH727" i="11" s="1"/>
  <c r="BJ437" i="11"/>
  <c r="BJ449" i="11"/>
  <c r="BJ254" i="11"/>
  <c r="BI255" i="11"/>
  <c r="AH255" i="11" s="1"/>
  <c r="BJ337" i="11"/>
  <c r="BI288" i="11"/>
  <c r="AH288" i="11" s="1"/>
  <c r="BJ82" i="11"/>
  <c r="BI956" i="11"/>
  <c r="AH956" i="11" s="1"/>
  <c r="BI937" i="11"/>
  <c r="AH937" i="11" s="1"/>
  <c r="BJ647" i="11"/>
  <c r="BJ429" i="11"/>
  <c r="BJ330" i="11"/>
  <c r="BI121" i="11"/>
  <c r="AH121" i="11" s="1"/>
  <c r="BI245" i="11"/>
  <c r="AH245" i="11" s="1"/>
  <c r="BJ661" i="11"/>
  <c r="BJ201" i="11"/>
  <c r="BJ880" i="11"/>
  <c r="BJ843" i="11"/>
  <c r="BJ70" i="11"/>
  <c r="BJ756" i="11"/>
  <c r="BJ129" i="11"/>
  <c r="BI935" i="11"/>
  <c r="AH935" i="11" s="1"/>
  <c r="BI676" i="11"/>
  <c r="AH676" i="11" s="1"/>
  <c r="BI605" i="11"/>
  <c r="AH605" i="11" s="1"/>
  <c r="BJ407" i="11"/>
  <c r="BI225" i="11"/>
  <c r="AH225" i="11" s="1"/>
  <c r="BJ312" i="11"/>
  <c r="BI32" i="11"/>
  <c r="AH32" i="11" s="1"/>
  <c r="BJ831" i="11"/>
  <c r="BI857" i="11"/>
  <c r="AH857" i="11" s="1"/>
  <c r="BI788" i="11"/>
  <c r="AH788" i="11" s="1"/>
  <c r="BI715" i="11"/>
  <c r="AH715" i="11" s="1"/>
  <c r="BJ586" i="11"/>
  <c r="BI530" i="11"/>
  <c r="AH530" i="11" s="1"/>
  <c r="BI491" i="11"/>
  <c r="AH491" i="11" s="1"/>
  <c r="BI554" i="11"/>
  <c r="AH554" i="11" s="1"/>
  <c r="BJ307" i="11"/>
  <c r="BI344" i="11"/>
  <c r="AH344" i="11" s="1"/>
  <c r="BJ327" i="11"/>
  <c r="BI117" i="11"/>
  <c r="AH117" i="11" s="1"/>
  <c r="BI192" i="11"/>
  <c r="AH192" i="11" s="1"/>
  <c r="BI538" i="11"/>
  <c r="AH538" i="11" s="1"/>
  <c r="BI91" i="11"/>
  <c r="AH91" i="11" s="1"/>
  <c r="BJ216" i="11"/>
  <c r="BJ396" i="11"/>
  <c r="BJ58" i="11"/>
  <c r="BI1010" i="11"/>
  <c r="AH1010" i="11" s="1"/>
  <c r="BI973" i="11"/>
  <c r="AH973" i="11" s="1"/>
  <c r="BI767" i="11"/>
  <c r="AH767" i="11" s="1"/>
  <c r="BI757" i="11"/>
  <c r="AH757" i="11" s="1"/>
  <c r="BI782" i="11"/>
  <c r="AH782" i="11" s="1"/>
  <c r="BI668" i="11"/>
  <c r="AH668" i="11" s="1"/>
  <c r="BI584" i="11"/>
  <c r="AH584" i="11" s="1"/>
  <c r="BJ488" i="11"/>
  <c r="BJ466" i="11"/>
  <c r="BJ395" i="11"/>
  <c r="BI929" i="11"/>
  <c r="AH929" i="11" s="1"/>
  <c r="BJ725" i="11"/>
  <c r="BI730" i="11"/>
  <c r="AH730" i="11" s="1"/>
  <c r="BI576" i="11"/>
  <c r="AH576" i="11" s="1"/>
  <c r="BI643" i="11"/>
  <c r="AH643" i="11" s="1"/>
  <c r="BI615" i="11"/>
  <c r="AH615" i="11" s="1"/>
  <c r="BJ394" i="11"/>
  <c r="BJ386" i="11"/>
  <c r="BJ391" i="11"/>
  <c r="BI169" i="11"/>
  <c r="AH169" i="11" s="1"/>
  <c r="BI43" i="11"/>
  <c r="AH43" i="11" s="1"/>
  <c r="BI215" i="11"/>
  <c r="AH215" i="11" s="1"/>
  <c r="BJ740" i="11"/>
  <c r="BJ749" i="11"/>
  <c r="BI706" i="11"/>
  <c r="AH706" i="11" s="1"/>
  <c r="BJ463" i="11"/>
  <c r="BJ487" i="11"/>
  <c r="BJ410" i="11"/>
  <c r="BI237" i="11"/>
  <c r="AH237" i="11" s="1"/>
  <c r="BI293" i="11"/>
  <c r="AH293" i="11" s="1"/>
  <c r="BI261" i="11"/>
  <c r="AH261" i="11" s="1"/>
  <c r="BI145" i="11"/>
  <c r="AH145" i="11" s="1"/>
  <c r="BI804" i="11"/>
  <c r="AH804" i="11" s="1"/>
  <c r="BI546" i="11"/>
  <c r="AH546" i="11" s="1"/>
  <c r="BI603" i="11"/>
  <c r="AH603" i="11" s="1"/>
  <c r="BI526" i="11"/>
  <c r="AH526" i="11" s="1"/>
  <c r="BI479" i="11"/>
  <c r="AH479" i="11" s="1"/>
  <c r="BJ374" i="11"/>
  <c r="BI292" i="11"/>
  <c r="AH292" i="11" s="1"/>
  <c r="BI341" i="11"/>
  <c r="AH341" i="11" s="1"/>
  <c r="BI358" i="11"/>
  <c r="AH358" i="11" s="1"/>
  <c r="BI37" i="11"/>
  <c r="AH37" i="11" s="1"/>
  <c r="BI270" i="11"/>
  <c r="AH270" i="11" s="1"/>
  <c r="BI513" i="11"/>
  <c r="AH513" i="11" s="1"/>
  <c r="BI16" i="11"/>
  <c r="AH16" i="11" s="1"/>
  <c r="BI159" i="11"/>
  <c r="AH159" i="11" s="1"/>
  <c r="BI789" i="11"/>
  <c r="AH789" i="11" s="1"/>
  <c r="BI772" i="11"/>
  <c r="AH772" i="11" s="1"/>
  <c r="BI702" i="11"/>
  <c r="AH702" i="11" s="1"/>
  <c r="BJ473" i="11"/>
  <c r="BJ431" i="11"/>
  <c r="BJ392" i="11"/>
  <c r="BJ382" i="11"/>
  <c r="BI203" i="11"/>
  <c r="AH203" i="11" s="1"/>
  <c r="BI11" i="11"/>
  <c r="AH11" i="11" s="1"/>
  <c r="BI31" i="11"/>
  <c r="AH31" i="11" s="1"/>
  <c r="BJ172" i="11"/>
  <c r="BI415" i="11"/>
  <c r="AH415" i="11" s="1"/>
  <c r="BI723" i="11"/>
  <c r="AH723" i="11" s="1"/>
  <c r="BI585" i="11"/>
  <c r="AH585" i="11" s="1"/>
  <c r="BI338" i="11"/>
  <c r="AH338" i="11" s="1"/>
  <c r="BI223" i="11"/>
  <c r="AH223" i="11" s="1"/>
  <c r="BI93" i="11"/>
  <c r="AH93" i="11" s="1"/>
  <c r="BI126" i="11"/>
  <c r="AH126" i="11" s="1"/>
  <c r="BJ361" i="11"/>
  <c r="BI1003" i="11"/>
  <c r="AH1003" i="11" s="1"/>
  <c r="BI313" i="11"/>
  <c r="AH313" i="11" s="1"/>
  <c r="BI408" i="11"/>
  <c r="AH408" i="11" s="1"/>
  <c r="BJ408" i="11"/>
  <c r="BI106" i="11"/>
  <c r="AH106" i="11" s="1"/>
  <c r="BJ106" i="11"/>
  <c r="BJ438" i="11"/>
  <c r="BI76" i="11"/>
  <c r="AH76" i="11" s="1"/>
  <c r="BJ76" i="11"/>
  <c r="BI993" i="11"/>
  <c r="AH993" i="11" s="1"/>
  <c r="BI636" i="11"/>
  <c r="AH636" i="11" s="1"/>
  <c r="BI189" i="11"/>
  <c r="AH189" i="11" s="1"/>
  <c r="BI645" i="11"/>
  <c r="AH645" i="11" s="1"/>
  <c r="BJ645" i="11"/>
  <c r="BI798" i="11"/>
  <c r="AH798" i="11" s="1"/>
  <c r="BJ484" i="11"/>
  <c r="BI540" i="11"/>
  <c r="AH540" i="11" s="1"/>
  <c r="BJ452" i="11"/>
  <c r="BJ94" i="11"/>
  <c r="BI752" i="11"/>
  <c r="AH752" i="11" s="1"/>
  <c r="BI687" i="11"/>
  <c r="AH687" i="11" s="1"/>
  <c r="BI569" i="11"/>
  <c r="AH569" i="11" s="1"/>
  <c r="BJ161" i="11"/>
  <c r="BI114" i="11"/>
  <c r="AH114" i="11" s="1"/>
  <c r="BI755" i="11"/>
  <c r="AH755" i="11" s="1"/>
  <c r="BI677" i="11"/>
  <c r="AH677" i="11" s="1"/>
  <c r="BI519" i="11"/>
  <c r="AH519" i="11" s="1"/>
  <c r="BI180" i="11"/>
  <c r="AH180" i="11" s="1"/>
  <c r="BI112" i="11"/>
  <c r="AH112" i="11" s="1"/>
  <c r="BJ112" i="11"/>
  <c r="BI977" i="11"/>
  <c r="AH977" i="11" s="1"/>
  <c r="BI541" i="11"/>
  <c r="AH541" i="11" s="1"/>
  <c r="BI246" i="11"/>
  <c r="AH246" i="11" s="1"/>
  <c r="BI139" i="11"/>
  <c r="AH139" i="11" s="1"/>
  <c r="BJ672" i="11"/>
  <c r="BI672" i="11"/>
  <c r="AH672" i="11" s="1"/>
  <c r="BI927" i="11"/>
  <c r="AH927" i="11" s="1"/>
  <c r="BI754" i="11"/>
  <c r="AH754" i="11" s="1"/>
  <c r="BJ446" i="11"/>
  <c r="BI494" i="11"/>
  <c r="AH494" i="11" s="1"/>
  <c r="BJ135" i="11"/>
  <c r="BI135" i="11"/>
  <c r="AH135" i="11" s="1"/>
  <c r="BI579" i="11"/>
  <c r="AH579" i="11" s="1"/>
  <c r="BI512" i="11"/>
  <c r="AH512" i="11" s="1"/>
  <c r="BI331" i="11"/>
  <c r="AH331" i="11" s="1"/>
  <c r="BI242" i="11"/>
  <c r="AH242" i="11" s="1"/>
  <c r="BI28" i="11"/>
  <c r="AH28" i="11" s="1"/>
  <c r="BJ147" i="11"/>
  <c r="BI147" i="11"/>
  <c r="AH147" i="11" s="1"/>
  <c r="BJ682" i="11"/>
  <c r="BI682" i="11"/>
  <c r="AH682" i="11" s="1"/>
  <c r="BI379" i="11"/>
  <c r="AH379" i="11" s="1"/>
  <c r="BJ379" i="11"/>
  <c r="BI667" i="11"/>
  <c r="AH667" i="11" s="1"/>
  <c r="BJ667" i="11"/>
  <c r="BJ593" i="11"/>
  <c r="BI593" i="11"/>
  <c r="AH593" i="11" s="1"/>
  <c r="BJ123" i="11"/>
  <c r="BI123" i="11"/>
  <c r="AH123" i="11" s="1"/>
  <c r="BJ700" i="11"/>
  <c r="BI700" i="11"/>
  <c r="AH700" i="11" s="1"/>
  <c r="BI685" i="11"/>
  <c r="AH685" i="11" s="1"/>
  <c r="BJ685" i="11"/>
  <c r="BI100" i="11"/>
  <c r="AH100" i="11" s="1"/>
  <c r="BJ100" i="11"/>
  <c r="BJ366" i="11"/>
  <c r="BI366" i="11"/>
  <c r="AH366" i="11" s="1"/>
  <c r="BI891" i="11"/>
  <c r="AH891" i="11" s="1"/>
  <c r="BJ891" i="11"/>
  <c r="BJ820" i="11"/>
  <c r="BI820" i="11"/>
  <c r="AH820" i="11" s="1"/>
  <c r="BJ826" i="11"/>
  <c r="BI826" i="11"/>
  <c r="AH826" i="11" s="1"/>
  <c r="BI836" i="11"/>
  <c r="AH836" i="11" s="1"/>
  <c r="BJ836" i="11"/>
  <c r="BI813" i="11"/>
  <c r="AH813" i="11" s="1"/>
  <c r="BJ813" i="11"/>
  <c r="BJ626" i="11"/>
  <c r="BI626" i="11"/>
  <c r="AH626" i="11" s="1"/>
  <c r="BJ549" i="11"/>
  <c r="BI549" i="11"/>
  <c r="AH549" i="11" s="1"/>
  <c r="BJ165" i="11"/>
  <c r="BI165" i="11"/>
  <c r="AH165" i="11" s="1"/>
  <c r="BJ786" i="11"/>
  <c r="BI786" i="11"/>
  <c r="AH786" i="11" s="1"/>
  <c r="BJ652" i="11"/>
  <c r="BI652" i="11"/>
  <c r="AH652" i="11" s="1"/>
  <c r="BJ656" i="11"/>
  <c r="BI656" i="11"/>
  <c r="AH656" i="11" s="1"/>
  <c r="BJ646" i="11"/>
  <c r="BI646" i="11"/>
  <c r="AH646" i="11" s="1"/>
  <c r="BJ171" i="11"/>
  <c r="BI171" i="11"/>
  <c r="AH171" i="11" s="1"/>
  <c r="BI372" i="11"/>
  <c r="AH372" i="11" s="1"/>
  <c r="BJ372" i="11"/>
  <c r="BI384" i="11"/>
  <c r="AH384" i="11" s="1"/>
  <c r="BJ384" i="11"/>
  <c r="BJ930" i="11"/>
  <c r="BI930" i="11"/>
  <c r="AH930" i="11" s="1"/>
  <c r="BI649" i="11"/>
  <c r="AH649" i="11" s="1"/>
  <c r="BJ649" i="11"/>
  <c r="BJ597" i="11"/>
  <c r="BI597" i="11"/>
  <c r="AH597" i="11" s="1"/>
  <c r="BJ1002" i="11"/>
  <c r="BI1002" i="11"/>
  <c r="AH1002" i="11" s="1"/>
  <c r="BJ944" i="11"/>
  <c r="BI944" i="11"/>
  <c r="AH944" i="11" s="1"/>
  <c r="BI869" i="11"/>
  <c r="AH869" i="11" s="1"/>
  <c r="BJ869" i="11"/>
  <c r="BI925" i="11"/>
  <c r="AH925" i="11" s="1"/>
  <c r="BJ925" i="11"/>
  <c r="BI886" i="11"/>
  <c r="AH886" i="11" s="1"/>
  <c r="BJ886" i="11"/>
  <c r="BI920" i="11"/>
  <c r="AH920" i="11" s="1"/>
  <c r="BJ920" i="11"/>
  <c r="BJ800" i="11"/>
  <c r="BI800" i="11"/>
  <c r="AH800" i="11" s="1"/>
  <c r="BI713" i="11"/>
  <c r="AH713" i="11" s="1"/>
  <c r="BJ713" i="11"/>
  <c r="BJ251" i="11"/>
  <c r="BI251" i="11"/>
  <c r="AH251" i="11" s="1"/>
  <c r="BI101" i="11"/>
  <c r="AH101" i="11" s="1"/>
  <c r="BJ101" i="11"/>
  <c r="BJ128" i="11"/>
  <c r="BI128" i="11"/>
  <c r="AH128" i="11" s="1"/>
  <c r="BI56" i="11"/>
  <c r="AH56" i="11" s="1"/>
  <c r="BJ56" i="11"/>
  <c r="BJ39" i="11"/>
  <c r="BI39" i="11"/>
  <c r="AH39" i="11" s="1"/>
  <c r="BI900" i="11"/>
  <c r="AH900" i="11" s="1"/>
  <c r="BJ900" i="11"/>
  <c r="BJ990" i="11"/>
  <c r="BI990" i="11"/>
  <c r="AH990" i="11" s="1"/>
  <c r="BI922" i="11"/>
  <c r="AH922" i="11" s="1"/>
  <c r="BJ922" i="11"/>
  <c r="BI882" i="11"/>
  <c r="AH882" i="11" s="1"/>
  <c r="BJ882" i="11"/>
  <c r="BI917" i="11"/>
  <c r="AH917" i="11" s="1"/>
  <c r="BJ917" i="11"/>
  <c r="BJ791" i="11"/>
  <c r="BI791" i="11"/>
  <c r="AH791" i="11" s="1"/>
  <c r="BJ785" i="11"/>
  <c r="BI785" i="11"/>
  <c r="AH785" i="11" s="1"/>
  <c r="BJ784" i="11"/>
  <c r="BI784" i="11"/>
  <c r="AH784" i="11" s="1"/>
  <c r="BJ701" i="11"/>
  <c r="BI701" i="11"/>
  <c r="AH701" i="11" s="1"/>
  <c r="BJ601" i="11"/>
  <c r="BI601" i="11"/>
  <c r="AH601" i="11" s="1"/>
  <c r="BJ565" i="11"/>
  <c r="BI565" i="11"/>
  <c r="AH565" i="11" s="1"/>
  <c r="BI95" i="11"/>
  <c r="AH95" i="11" s="1"/>
  <c r="BJ95" i="11"/>
  <c r="BJ122" i="11"/>
  <c r="BI122" i="11"/>
  <c r="AH122" i="11" s="1"/>
  <c r="BI50" i="11"/>
  <c r="AH50" i="11" s="1"/>
  <c r="BJ50" i="11"/>
  <c r="BJ36" i="11"/>
  <c r="BI36" i="11"/>
  <c r="AH36" i="11" s="1"/>
  <c r="BI877" i="11"/>
  <c r="AH877" i="11" s="1"/>
  <c r="BJ877" i="11"/>
  <c r="BJ975" i="11"/>
  <c r="BI975" i="11"/>
  <c r="AH975" i="11" s="1"/>
  <c r="BJ978" i="11"/>
  <c r="BI978" i="11"/>
  <c r="AH978" i="11" s="1"/>
  <c r="BJ988" i="11"/>
  <c r="BI988" i="11"/>
  <c r="AH988" i="11" s="1"/>
  <c r="BJ996" i="11"/>
  <c r="BI996" i="11"/>
  <c r="AH996" i="11" s="1"/>
  <c r="BJ952" i="11"/>
  <c r="BI952" i="11"/>
  <c r="AH952" i="11" s="1"/>
  <c r="BI924" i="11"/>
  <c r="AH924" i="11" s="1"/>
  <c r="BJ924" i="11"/>
  <c r="BI919" i="11"/>
  <c r="AH919" i="11" s="1"/>
  <c r="BJ919" i="11"/>
  <c r="BI878" i="11"/>
  <c r="AH878" i="11" s="1"/>
  <c r="BJ878" i="11"/>
  <c r="BI914" i="11"/>
  <c r="AH914" i="11" s="1"/>
  <c r="BJ914" i="11"/>
  <c r="BJ823" i="11"/>
  <c r="BI823" i="11"/>
  <c r="AH823" i="11" s="1"/>
  <c r="BJ822" i="11"/>
  <c r="BI822" i="11"/>
  <c r="AH822" i="11" s="1"/>
  <c r="BJ774" i="11"/>
  <c r="BI774" i="11"/>
  <c r="AH774" i="11" s="1"/>
  <c r="BJ630" i="11"/>
  <c r="BI630" i="11"/>
  <c r="AH630" i="11" s="1"/>
  <c r="BJ552" i="11"/>
  <c r="BI552" i="11"/>
  <c r="AH552" i="11" s="1"/>
  <c r="BJ589" i="11"/>
  <c r="BI589" i="11"/>
  <c r="AH589" i="11" s="1"/>
  <c r="BJ504" i="11"/>
  <c r="BI504" i="11"/>
  <c r="AH504" i="11" s="1"/>
  <c r="BJ507" i="11"/>
  <c r="BI507" i="11"/>
  <c r="AH507" i="11" s="1"/>
  <c r="BJ364" i="11"/>
  <c r="BI364" i="11"/>
  <c r="AH364" i="11" s="1"/>
  <c r="BI89" i="11"/>
  <c r="AH89" i="11" s="1"/>
  <c r="BJ89" i="11"/>
  <c r="BI369" i="11"/>
  <c r="AH369" i="11" s="1"/>
  <c r="BJ369" i="11"/>
  <c r="BJ116" i="11"/>
  <c r="BI116" i="11"/>
  <c r="AH116" i="11" s="1"/>
  <c r="BJ33" i="11"/>
  <c r="BI33" i="11"/>
  <c r="AH33" i="11" s="1"/>
  <c r="BJ958" i="11"/>
  <c r="BI958" i="11"/>
  <c r="AH958" i="11" s="1"/>
  <c r="BJ583" i="11"/>
  <c r="BI583" i="11"/>
  <c r="AH583" i="11" s="1"/>
  <c r="BI113" i="11"/>
  <c r="AH113" i="11" s="1"/>
  <c r="BJ113" i="11"/>
  <c r="BJ963" i="11"/>
  <c r="BI963" i="11"/>
  <c r="AH963" i="11" s="1"/>
  <c r="BJ966" i="11"/>
  <c r="BI966" i="11"/>
  <c r="AH966" i="11" s="1"/>
  <c r="BJ984" i="11"/>
  <c r="BI984" i="11"/>
  <c r="AH984" i="11" s="1"/>
  <c r="BI921" i="11"/>
  <c r="AH921" i="11" s="1"/>
  <c r="BJ921" i="11"/>
  <c r="BI916" i="11"/>
  <c r="AH916" i="11" s="1"/>
  <c r="BJ916" i="11"/>
  <c r="BI874" i="11"/>
  <c r="AH874" i="11" s="1"/>
  <c r="BJ874" i="11"/>
  <c r="BI911" i="11"/>
  <c r="AH911" i="11" s="1"/>
  <c r="BJ911" i="11"/>
  <c r="BJ835" i="11"/>
  <c r="BI835" i="11"/>
  <c r="AH835" i="11" s="1"/>
  <c r="BJ653" i="11"/>
  <c r="BI653" i="11"/>
  <c r="AH653" i="11" s="1"/>
  <c r="BJ683" i="11"/>
  <c r="BI683" i="11"/>
  <c r="AH683" i="11" s="1"/>
  <c r="BJ625" i="11"/>
  <c r="BI625" i="11"/>
  <c r="AH625" i="11" s="1"/>
  <c r="BI616" i="11"/>
  <c r="AH616" i="11" s="1"/>
  <c r="BJ616" i="11"/>
  <c r="BJ510" i="11"/>
  <c r="BI510" i="11"/>
  <c r="AH510" i="11" s="1"/>
  <c r="BI83" i="11"/>
  <c r="AH83" i="11" s="1"/>
  <c r="BJ83" i="11"/>
  <c r="BJ182" i="11"/>
  <c r="BI182" i="11"/>
  <c r="AH182" i="11" s="1"/>
  <c r="BJ110" i="11"/>
  <c r="BI110" i="11"/>
  <c r="AH110" i="11" s="1"/>
  <c r="BJ30" i="11"/>
  <c r="BI30" i="11"/>
  <c r="AH30" i="11" s="1"/>
  <c r="BJ954" i="11"/>
  <c r="BI954" i="11"/>
  <c r="AH954" i="11" s="1"/>
  <c r="BJ972" i="11"/>
  <c r="BI972" i="11"/>
  <c r="AH972" i="11" s="1"/>
  <c r="BI918" i="11"/>
  <c r="AH918" i="11" s="1"/>
  <c r="BJ918" i="11"/>
  <c r="BI913" i="11"/>
  <c r="AH913" i="11" s="1"/>
  <c r="BJ913" i="11"/>
  <c r="BI870" i="11"/>
  <c r="AH870" i="11" s="1"/>
  <c r="BJ870" i="11"/>
  <c r="BI908" i="11"/>
  <c r="AH908" i="11" s="1"/>
  <c r="BJ908" i="11"/>
  <c r="BI811" i="11"/>
  <c r="AH811" i="11" s="1"/>
  <c r="BJ811" i="11"/>
  <c r="BI610" i="11"/>
  <c r="AH610" i="11" s="1"/>
  <c r="BJ610" i="11"/>
  <c r="BI598" i="11"/>
  <c r="AH598" i="11" s="1"/>
  <c r="BJ598" i="11"/>
  <c r="BJ573" i="11"/>
  <c r="BI573" i="11"/>
  <c r="AH573" i="11" s="1"/>
  <c r="BJ501" i="11"/>
  <c r="BI501" i="11"/>
  <c r="AH501" i="11" s="1"/>
  <c r="BJ508" i="11"/>
  <c r="BI508" i="11"/>
  <c r="AH508" i="11" s="1"/>
  <c r="BJ299" i="11"/>
  <c r="BI299" i="11"/>
  <c r="AH299" i="11" s="1"/>
  <c r="BI77" i="11"/>
  <c r="AH77" i="11" s="1"/>
  <c r="BJ77" i="11"/>
  <c r="BJ176" i="11"/>
  <c r="BI176" i="11"/>
  <c r="AH176" i="11" s="1"/>
  <c r="BJ104" i="11"/>
  <c r="BI104" i="11"/>
  <c r="AH104" i="11" s="1"/>
  <c r="BJ207" i="11"/>
  <c r="BI207" i="11"/>
  <c r="AH207" i="11" s="1"/>
  <c r="BJ27" i="11"/>
  <c r="BI27" i="11"/>
  <c r="AH27" i="11" s="1"/>
  <c r="BI68" i="11"/>
  <c r="AH68" i="11" s="1"/>
  <c r="BJ68" i="11"/>
  <c r="BJ950" i="11"/>
  <c r="BI950" i="11"/>
  <c r="AH950" i="11" s="1"/>
  <c r="BJ964" i="11"/>
  <c r="BI964" i="11"/>
  <c r="AH964" i="11" s="1"/>
  <c r="BJ960" i="11"/>
  <c r="BI960" i="11"/>
  <c r="AH960" i="11" s="1"/>
  <c r="BJ943" i="11"/>
  <c r="BI943" i="11"/>
  <c r="AH943" i="11" s="1"/>
  <c r="BI915" i="11"/>
  <c r="AH915" i="11" s="1"/>
  <c r="BJ915" i="11"/>
  <c r="BI897" i="11"/>
  <c r="AH897" i="11" s="1"/>
  <c r="BJ897" i="11"/>
  <c r="BJ1007" i="11"/>
  <c r="BI1007" i="11"/>
  <c r="AH1007" i="11" s="1"/>
  <c r="BI910" i="11"/>
  <c r="AH910" i="11" s="1"/>
  <c r="BJ910" i="11"/>
  <c r="BJ979" i="11"/>
  <c r="BI979" i="11"/>
  <c r="AH979" i="11" s="1"/>
  <c r="BI905" i="11"/>
  <c r="AH905" i="11" s="1"/>
  <c r="BJ905" i="11"/>
  <c r="BJ841" i="11"/>
  <c r="BI841" i="11"/>
  <c r="AH841" i="11" s="1"/>
  <c r="BI809" i="11"/>
  <c r="AH809" i="11" s="1"/>
  <c r="BJ809" i="11"/>
  <c r="BJ769" i="11"/>
  <c r="BI769" i="11"/>
  <c r="AH769" i="11" s="1"/>
  <c r="BJ692" i="11"/>
  <c r="BI692" i="11"/>
  <c r="AH692" i="11" s="1"/>
  <c r="BJ665" i="11"/>
  <c r="BI665" i="11"/>
  <c r="AH665" i="11" s="1"/>
  <c r="BJ562" i="11"/>
  <c r="BI562" i="11"/>
  <c r="AH562" i="11" s="1"/>
  <c r="BJ495" i="11"/>
  <c r="BI495" i="11"/>
  <c r="AH495" i="11" s="1"/>
  <c r="BJ537" i="11"/>
  <c r="BI537" i="11"/>
  <c r="AH537" i="11" s="1"/>
  <c r="BI71" i="11"/>
  <c r="AH71" i="11" s="1"/>
  <c r="BJ71" i="11"/>
  <c r="BJ170" i="11"/>
  <c r="BI170" i="11"/>
  <c r="AH170" i="11" s="1"/>
  <c r="BJ98" i="11"/>
  <c r="BI98" i="11"/>
  <c r="AH98" i="11" s="1"/>
  <c r="BJ24" i="11"/>
  <c r="BI24" i="11"/>
  <c r="AH24" i="11" s="1"/>
  <c r="BJ624" i="11"/>
  <c r="BI624" i="11"/>
  <c r="AH624" i="11" s="1"/>
  <c r="BJ140" i="11"/>
  <c r="BI140" i="11"/>
  <c r="AH140" i="11" s="1"/>
  <c r="BJ946" i="11"/>
  <c r="BI946" i="11"/>
  <c r="AH946" i="11" s="1"/>
  <c r="BJ928" i="11"/>
  <c r="BI928" i="11"/>
  <c r="AH928" i="11" s="1"/>
  <c r="BI912" i="11"/>
  <c r="AH912" i="11" s="1"/>
  <c r="BJ912" i="11"/>
  <c r="BI893" i="11"/>
  <c r="AH893" i="11" s="1"/>
  <c r="BJ893" i="11"/>
  <c r="BJ991" i="11"/>
  <c r="BI991" i="11"/>
  <c r="AH991" i="11" s="1"/>
  <c r="BI907" i="11"/>
  <c r="AH907" i="11" s="1"/>
  <c r="BJ907" i="11"/>
  <c r="BI902" i="11"/>
  <c r="AH902" i="11" s="1"/>
  <c r="BJ902" i="11"/>
  <c r="BJ817" i="11"/>
  <c r="BI817" i="11"/>
  <c r="AH817" i="11" s="1"/>
  <c r="BJ642" i="11"/>
  <c r="BI642" i="11"/>
  <c r="AH642" i="11" s="1"/>
  <c r="BJ638" i="11"/>
  <c r="BI638" i="11"/>
  <c r="AH638" i="11" s="1"/>
  <c r="BJ550" i="11"/>
  <c r="BI550" i="11"/>
  <c r="AH550" i="11" s="1"/>
  <c r="BJ498" i="11"/>
  <c r="BI498" i="11"/>
  <c r="AH498" i="11" s="1"/>
  <c r="BJ303" i="11"/>
  <c r="BI303" i="11"/>
  <c r="AH303" i="11" s="1"/>
  <c r="BJ65" i="11"/>
  <c r="BI65" i="11"/>
  <c r="AH65" i="11" s="1"/>
  <c r="BJ257" i="11"/>
  <c r="BI257" i="11"/>
  <c r="AH257" i="11" s="1"/>
  <c r="BJ164" i="11"/>
  <c r="BI164" i="11"/>
  <c r="AH164" i="11" s="1"/>
  <c r="BI92" i="11"/>
  <c r="AH92" i="11" s="1"/>
  <c r="BJ92" i="11"/>
  <c r="BJ21" i="11"/>
  <c r="BI21" i="11"/>
  <c r="AH21" i="11" s="1"/>
  <c r="BI807" i="11"/>
  <c r="AH807" i="11" s="1"/>
  <c r="BJ807" i="11"/>
  <c r="BJ994" i="11"/>
  <c r="BI994" i="11"/>
  <c r="AH994" i="11" s="1"/>
  <c r="BJ942" i="11"/>
  <c r="BI942" i="11"/>
  <c r="AH942" i="11" s="1"/>
  <c r="BI909" i="11"/>
  <c r="AH909" i="11" s="1"/>
  <c r="BJ909" i="11"/>
  <c r="BI889" i="11"/>
  <c r="AH889" i="11" s="1"/>
  <c r="BJ889" i="11"/>
  <c r="BJ955" i="11"/>
  <c r="BI955" i="11"/>
  <c r="AH955" i="11" s="1"/>
  <c r="BI904" i="11"/>
  <c r="AH904" i="11" s="1"/>
  <c r="BJ904" i="11"/>
  <c r="BI899" i="11"/>
  <c r="AH899" i="11" s="1"/>
  <c r="BJ899" i="11"/>
  <c r="BJ762" i="11"/>
  <c r="BI762" i="11"/>
  <c r="AH762" i="11" s="1"/>
  <c r="BJ674" i="11"/>
  <c r="BI674" i="11"/>
  <c r="AH674" i="11" s="1"/>
  <c r="BI622" i="11"/>
  <c r="AH622" i="11" s="1"/>
  <c r="BJ622" i="11"/>
  <c r="BJ628" i="11"/>
  <c r="BI628" i="11"/>
  <c r="AH628" i="11" s="1"/>
  <c r="BJ588" i="11"/>
  <c r="BI588" i="11"/>
  <c r="AH588" i="11" s="1"/>
  <c r="BI389" i="11"/>
  <c r="AH389" i="11" s="1"/>
  <c r="BJ389" i="11"/>
  <c r="BJ59" i="11"/>
  <c r="BI59" i="11"/>
  <c r="AH59" i="11" s="1"/>
  <c r="BJ275" i="11"/>
  <c r="BI275" i="11"/>
  <c r="AH275" i="11" s="1"/>
  <c r="BJ158" i="11"/>
  <c r="BI158" i="11"/>
  <c r="AH158" i="11" s="1"/>
  <c r="BI86" i="11"/>
  <c r="AH86" i="11" s="1"/>
  <c r="BJ86" i="11"/>
  <c r="BJ230" i="11"/>
  <c r="BI230" i="11"/>
  <c r="AH230" i="11" s="1"/>
  <c r="BJ982" i="11"/>
  <c r="BI982" i="11"/>
  <c r="AH982" i="11" s="1"/>
  <c r="BJ938" i="11"/>
  <c r="BI938" i="11"/>
  <c r="AH938" i="11" s="1"/>
  <c r="BI906" i="11"/>
  <c r="AH906" i="11" s="1"/>
  <c r="BJ906" i="11"/>
  <c r="BI885" i="11"/>
  <c r="AH885" i="11" s="1"/>
  <c r="BJ885" i="11"/>
  <c r="BJ940" i="11"/>
  <c r="BI940" i="11"/>
  <c r="AH940" i="11" s="1"/>
  <c r="BI901" i="11"/>
  <c r="AH901" i="11" s="1"/>
  <c r="BJ901" i="11"/>
  <c r="BJ947" i="11"/>
  <c r="BI947" i="11"/>
  <c r="AH947" i="11" s="1"/>
  <c r="BJ776" i="11"/>
  <c r="BI776" i="11"/>
  <c r="AH776" i="11" s="1"/>
  <c r="BI655" i="11"/>
  <c r="AH655" i="11" s="1"/>
  <c r="BJ655" i="11"/>
  <c r="BJ743" i="11"/>
  <c r="BI743" i="11"/>
  <c r="AH743" i="11" s="1"/>
  <c r="BJ613" i="11"/>
  <c r="BI613" i="11"/>
  <c r="AH613" i="11" s="1"/>
  <c r="BI607" i="11"/>
  <c r="AH607" i="11" s="1"/>
  <c r="BJ607" i="11"/>
  <c r="BJ618" i="11"/>
  <c r="BI618" i="11"/>
  <c r="AH618" i="11" s="1"/>
  <c r="BJ644" i="11"/>
  <c r="BI644" i="11"/>
  <c r="AH644" i="11" s="1"/>
  <c r="BJ496" i="11"/>
  <c r="BI496" i="11"/>
  <c r="AH496" i="11" s="1"/>
  <c r="BI385" i="11"/>
  <c r="AH385" i="11" s="1"/>
  <c r="BJ385" i="11"/>
  <c r="BJ53" i="11"/>
  <c r="BI53" i="11"/>
  <c r="AH53" i="11" s="1"/>
  <c r="BJ152" i="11"/>
  <c r="BI152" i="11"/>
  <c r="AH152" i="11" s="1"/>
  <c r="BI80" i="11"/>
  <c r="AH80" i="11" s="1"/>
  <c r="BJ80" i="11"/>
  <c r="BJ211" i="11"/>
  <c r="BI211" i="11"/>
  <c r="AH211" i="11" s="1"/>
  <c r="BJ22" i="11"/>
  <c r="BI22" i="11"/>
  <c r="AH22" i="11" s="1"/>
  <c r="BJ15" i="11"/>
  <c r="BI15" i="11"/>
  <c r="AH15" i="11" s="1"/>
  <c r="BJ14" i="11"/>
  <c r="BI14" i="11"/>
  <c r="AH14" i="11" s="1"/>
  <c r="BJ970" i="11"/>
  <c r="BI970" i="11"/>
  <c r="AH970" i="11" s="1"/>
  <c r="BJ934" i="11"/>
  <c r="BI934" i="11"/>
  <c r="AH934" i="11" s="1"/>
  <c r="BI903" i="11"/>
  <c r="AH903" i="11" s="1"/>
  <c r="BJ903" i="11"/>
  <c r="BI881" i="11"/>
  <c r="AH881" i="11" s="1"/>
  <c r="BJ881" i="11"/>
  <c r="BI898" i="11"/>
  <c r="AH898" i="11" s="1"/>
  <c r="BJ898" i="11"/>
  <c r="BJ932" i="11"/>
  <c r="BI932" i="11"/>
  <c r="AH932" i="11" s="1"/>
  <c r="BJ816" i="11"/>
  <c r="BI816" i="11"/>
  <c r="AH816" i="11" s="1"/>
  <c r="BJ764" i="11"/>
  <c r="BI764" i="11"/>
  <c r="AH764" i="11" s="1"/>
  <c r="BJ640" i="11"/>
  <c r="BI640" i="11"/>
  <c r="AH640" i="11" s="1"/>
  <c r="BI604" i="11"/>
  <c r="AH604" i="11" s="1"/>
  <c r="BJ604" i="11"/>
  <c r="BJ634" i="11"/>
  <c r="BI634" i="11"/>
  <c r="AH634" i="11" s="1"/>
  <c r="BJ566" i="11"/>
  <c r="BI566" i="11"/>
  <c r="AH566" i="11" s="1"/>
  <c r="BJ578" i="11"/>
  <c r="BI578" i="11"/>
  <c r="AH578" i="11" s="1"/>
  <c r="BI373" i="11"/>
  <c r="AH373" i="11" s="1"/>
  <c r="BJ373" i="11"/>
  <c r="BI381" i="11"/>
  <c r="AH381" i="11" s="1"/>
  <c r="BJ381" i="11"/>
  <c r="BJ269" i="11"/>
  <c r="BI269" i="11"/>
  <c r="AH269" i="11" s="1"/>
  <c r="BI119" i="11"/>
  <c r="AH119" i="11" s="1"/>
  <c r="BJ119" i="11"/>
  <c r="BJ47" i="11"/>
  <c r="BI47" i="11"/>
  <c r="AH47" i="11" s="1"/>
  <c r="BJ200" i="11"/>
  <c r="BI200" i="11"/>
  <c r="AH200" i="11" s="1"/>
  <c r="BJ146" i="11"/>
  <c r="BI146" i="11"/>
  <c r="AH146" i="11" s="1"/>
  <c r="BI74" i="11"/>
  <c r="AH74" i="11" s="1"/>
  <c r="BJ74" i="11"/>
  <c r="BJ194" i="11"/>
  <c r="BI194" i="11"/>
  <c r="AH194" i="11" s="1"/>
  <c r="BI894" i="11"/>
  <c r="AH894" i="11" s="1"/>
  <c r="BJ894" i="11"/>
  <c r="BJ999" i="11"/>
  <c r="BI999" i="11"/>
  <c r="AH999" i="11" s="1"/>
  <c r="BJ926" i="11"/>
  <c r="BI926" i="11"/>
  <c r="AH926" i="11" s="1"/>
  <c r="BJ1005" i="11"/>
  <c r="BI1005" i="11"/>
  <c r="AH1005" i="11" s="1"/>
  <c r="BI873" i="11"/>
  <c r="AH873" i="11" s="1"/>
  <c r="BJ873" i="11"/>
  <c r="BJ931" i="11"/>
  <c r="BI931" i="11"/>
  <c r="AH931" i="11" s="1"/>
  <c r="BI890" i="11"/>
  <c r="AH890" i="11" s="1"/>
  <c r="BJ890" i="11"/>
  <c r="BJ840" i="11"/>
  <c r="BI840" i="11"/>
  <c r="AH840" i="11" s="1"/>
  <c r="BJ759" i="11"/>
  <c r="BI759" i="11"/>
  <c r="AH759" i="11" s="1"/>
  <c r="BJ739" i="11"/>
  <c r="BI739" i="11"/>
  <c r="AH739" i="11" s="1"/>
  <c r="BJ532" i="11"/>
  <c r="BI532" i="11"/>
  <c r="AH532" i="11" s="1"/>
  <c r="BI107" i="11"/>
  <c r="AH107" i="11" s="1"/>
  <c r="BJ107" i="11"/>
  <c r="BJ134" i="11"/>
  <c r="BI134" i="11"/>
  <c r="AH134" i="11" s="1"/>
  <c r="BI62" i="11"/>
  <c r="AH62" i="11" s="1"/>
  <c r="BJ62" i="11"/>
  <c r="BJ42" i="11"/>
  <c r="BI42" i="11"/>
  <c r="AH42" i="11" s="1"/>
  <c r="U3" i="2"/>
  <c r="V3" i="2" s="1"/>
  <c r="O3" i="2"/>
  <c r="P3" i="2" s="1"/>
  <c r="A15" i="3"/>
  <c r="A16" i="3" s="1"/>
  <c r="A17" i="3" s="1"/>
  <c r="A18" i="3" s="1"/>
  <c r="A19" i="3" s="1"/>
  <c r="A7" i="3"/>
  <c r="A8" i="3" s="1"/>
  <c r="A9" i="3" s="1"/>
  <c r="A10" i="3" s="1"/>
  <c r="U12" i="2"/>
  <c r="V12" i="2" s="1"/>
  <c r="O12" i="2"/>
  <c r="P12" i="2" s="1"/>
  <c r="U11" i="2"/>
  <c r="V11" i="2" s="1"/>
  <c r="O11" i="2"/>
  <c r="P11" i="2" s="1"/>
  <c r="U10" i="2"/>
  <c r="V10" i="2" s="1"/>
  <c r="O10" i="2"/>
  <c r="P10" i="2" s="1"/>
  <c r="U9" i="2"/>
  <c r="V9" i="2" s="1"/>
  <c r="O9" i="2"/>
  <c r="P9" i="2" s="1"/>
  <c r="U8" i="2"/>
  <c r="V8" i="2" s="1"/>
  <c r="O8" i="2"/>
  <c r="P8" i="2" s="1"/>
  <c r="U7" i="2"/>
  <c r="V7" i="2" s="1"/>
  <c r="O7" i="2"/>
  <c r="P7" i="2" s="1"/>
  <c r="U6" i="2"/>
  <c r="V6" i="2" s="1"/>
  <c r="O6" i="2"/>
  <c r="P6" i="2" s="1"/>
  <c r="U5" i="2"/>
  <c r="V5" i="2" s="1"/>
  <c r="O5" i="2"/>
  <c r="P5" i="2" s="1"/>
  <c r="U4" i="2"/>
  <c r="V4" i="2" s="1"/>
  <c r="O4" i="2"/>
  <c r="P4" i="2" s="1"/>
  <c r="K58" i="19" l="1"/>
  <c r="C43" i="19"/>
  <c r="C33" i="19"/>
  <c r="C34" i="19"/>
  <c r="C38" i="19"/>
  <c r="C42" i="19"/>
  <c r="F44" i="19"/>
  <c r="C36" i="19"/>
  <c r="C39" i="19"/>
  <c r="L56" i="19"/>
  <c r="B97" i="19"/>
  <c r="F117" i="19"/>
  <c r="F111" i="19"/>
  <c r="C37" i="19"/>
  <c r="C35" i="19"/>
  <c r="C41" i="19"/>
  <c r="C22" i="19"/>
  <c r="C24" i="19"/>
  <c r="C20" i="19"/>
  <c r="C18" i="19"/>
  <c r="E27" i="19"/>
  <c r="A82" i="19" s="1"/>
  <c r="C40" i="19"/>
  <c r="D133" i="19"/>
  <c r="F123" i="19"/>
  <c r="D93" i="19"/>
  <c r="L50" i="19"/>
  <c r="M50" i="19" s="1"/>
  <c r="D94" i="19"/>
  <c r="L51" i="19"/>
  <c r="D139" i="19"/>
  <c r="H18" i="19"/>
  <c r="F107" i="19"/>
  <c r="D138" i="19"/>
  <c r="D92" i="19"/>
  <c r="D129" i="19"/>
  <c r="D140" i="19"/>
  <c r="C96" i="19"/>
  <c r="B96" i="19"/>
  <c r="F115" i="19"/>
  <c r="F110" i="19"/>
  <c r="F106" i="19"/>
  <c r="D134" i="19"/>
  <c r="H24" i="19"/>
  <c r="F113" i="19"/>
  <c r="C21" i="19"/>
  <c r="H17" i="19"/>
  <c r="C19" i="19"/>
  <c r="H25" i="19"/>
  <c r="C26" i="19"/>
  <c r="A164" i="19"/>
  <c r="K49" i="19"/>
  <c r="F105" i="19"/>
  <c r="H22" i="19"/>
  <c r="F120" i="19"/>
  <c r="K51" i="19"/>
  <c r="C92" i="19"/>
  <c r="C93" i="19"/>
  <c r="F121" i="19"/>
  <c r="H20" i="19"/>
  <c r="C94" i="19"/>
  <c r="F108" i="19"/>
  <c r="D135" i="19"/>
  <c r="F119" i="19"/>
  <c r="F112" i="19"/>
  <c r="H23" i="19"/>
  <c r="L59" i="19"/>
  <c r="A84" i="19"/>
  <c r="F109" i="19"/>
  <c r="C23" i="19"/>
  <c r="L58" i="19"/>
  <c r="M58" i="19" s="1"/>
  <c r="H21" i="19"/>
  <c r="F116" i="19"/>
  <c r="K56" i="19"/>
  <c r="L60" i="19"/>
  <c r="K57" i="19"/>
  <c r="M57" i="19" s="1"/>
  <c r="L158" i="19"/>
  <c r="A165" i="19" s="1"/>
  <c r="H19" i="19"/>
  <c r="H26" i="19"/>
  <c r="K52" i="19"/>
  <c r="M52" i="19" s="1"/>
  <c r="C17" i="19"/>
  <c r="B92" i="19"/>
  <c r="K59" i="19"/>
  <c r="C95" i="19"/>
  <c r="C11" i="19"/>
  <c r="G61" i="19"/>
  <c r="H59" i="19" s="1"/>
  <c r="K55" i="19"/>
  <c r="M55" i="19" s="1"/>
  <c r="B124" i="19"/>
  <c r="A167" i="19" s="1"/>
  <c r="F122" i="19"/>
  <c r="K54" i="19"/>
  <c r="M54" i="19" s="1"/>
  <c r="I61" i="19"/>
  <c r="K53" i="19"/>
  <c r="M53" i="19" s="1"/>
  <c r="C97" i="19"/>
  <c r="L49" i="19"/>
  <c r="K60" i="19"/>
  <c r="F118" i="19"/>
  <c r="D124" i="19"/>
  <c r="F114" i="19"/>
  <c r="F103" i="19"/>
  <c r="E124" i="19"/>
  <c r="F104" i="19"/>
  <c r="L20" i="9"/>
  <c r="L22" i="9"/>
  <c r="L12" i="9"/>
  <c r="L17" i="9"/>
  <c r="L6" i="14"/>
  <c r="L10" i="15"/>
  <c r="L21" i="9"/>
  <c r="L11" i="16"/>
  <c r="L6" i="16"/>
  <c r="L10" i="9"/>
  <c r="L14" i="9"/>
  <c r="L13" i="9"/>
  <c r="L13" i="16"/>
  <c r="L8" i="15"/>
  <c r="A83" i="19" l="1"/>
  <c r="M56" i="19"/>
  <c r="C44" i="19"/>
  <c r="M51" i="19"/>
  <c r="D142" i="19"/>
  <c r="I18" i="19"/>
  <c r="A81" i="19" s="1"/>
  <c r="C118" i="19"/>
  <c r="M49" i="19"/>
  <c r="A86" i="19" s="1"/>
  <c r="C119" i="19"/>
  <c r="C9" i="19"/>
  <c r="A80" i="19" s="1"/>
  <c r="F124" i="19"/>
  <c r="C105" i="19"/>
  <c r="C114" i="19"/>
  <c r="H56" i="19"/>
  <c r="H58" i="19"/>
  <c r="C120" i="19"/>
  <c r="C116" i="19"/>
  <c r="I21" i="19"/>
  <c r="C117" i="19"/>
  <c r="C111" i="19"/>
  <c r="C122" i="19"/>
  <c r="C103" i="19"/>
  <c r="I23" i="19"/>
  <c r="I20" i="19"/>
  <c r="C104" i="19"/>
  <c r="M60" i="19"/>
  <c r="H53" i="19"/>
  <c r="H60" i="19"/>
  <c r="C123" i="19"/>
  <c r="C115" i="19"/>
  <c r="C27" i="19"/>
  <c r="C107" i="19"/>
  <c r="H55" i="19"/>
  <c r="H57" i="19"/>
  <c r="C112" i="19"/>
  <c r="H49" i="19"/>
  <c r="I26" i="19"/>
  <c r="H54" i="19"/>
  <c r="C110" i="19"/>
  <c r="I19" i="19"/>
  <c r="H51" i="19"/>
  <c r="I25" i="19"/>
  <c r="I17" i="19"/>
  <c r="H50" i="19"/>
  <c r="C109" i="19"/>
  <c r="H52" i="19"/>
  <c r="C113" i="19"/>
  <c r="I22" i="19"/>
  <c r="I24" i="19"/>
  <c r="C108" i="19"/>
  <c r="C106" i="19"/>
  <c r="M59" i="19"/>
  <c r="C121" i="19"/>
  <c r="C124" i="19" l="1"/>
  <c r="H61" i="19"/>
  <c r="A85"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Ricky Pramoedya</author>
  </authors>
  <commentList>
    <comment ref="G2" authorId="0" shapeId="0" xr:uid="{A58B98C4-D808-451F-8C82-3AF68C6773BC}">
      <text>
        <r>
          <rPr>
            <b/>
            <sz val="9"/>
            <color indexed="81"/>
            <rFont val="Tahoma"/>
            <family val="2"/>
          </rPr>
          <t>Ricky Pramoedya:</t>
        </r>
        <r>
          <rPr>
            <sz val="9"/>
            <color indexed="81"/>
            <rFont val="Tahoma"/>
            <family val="2"/>
          </rPr>
          <t xml:space="preserve">
mirip seperti skenario risiko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Ricky Pramoedya</author>
    <author>tc={56C0ECD7-98CD-4FAB-BF85-64421ABFC34F}</author>
    <author>tc={8C27D1C9-DF1A-4511-8761-2E1ABC8197D1}</author>
  </authors>
  <commentList>
    <comment ref="C4" authorId="0" shapeId="0" xr:uid="{D7113918-1697-4855-A743-1A38CCD12B5A}">
      <text>
        <r>
          <rPr>
            <b/>
            <sz val="9"/>
            <color indexed="81"/>
            <rFont val="Tahoma"/>
            <family val="2"/>
          </rPr>
          <t>Ricky Pramoedya:</t>
        </r>
        <r>
          <rPr>
            <sz val="9"/>
            <color indexed="81"/>
            <rFont val="Tahoma"/>
            <family val="2"/>
          </rPr>
          <t xml:space="preserve">
Aktivitas yang berpotensi risiko</t>
        </r>
      </text>
    </comment>
    <comment ref="L4" authorId="1" shapeId="0" xr:uid="{56C0ECD7-98CD-4FAB-BF85-64421ABFC34F}">
      <text>
        <t>[Threaded comment]
Your version of Excel allows you to read this threaded comment; however, any edits to it will get removed if the file is opened in a newer version of Excel. Learn more: https://go.microsoft.com/fwlink/?linkid=870924
Comment:
    Residual risk</t>
      </text>
    </comment>
    <comment ref="O4" authorId="2" shapeId="0" xr:uid="{8C27D1C9-DF1A-4511-8761-2E1ABC8197D1}">
      <text>
        <t>[Threaded comment]
Your version of Excel allows you to read this threaded comment; however, any edits to it will get removed if the file is opened in a newer version of Excel. Learn more: https://go.microsoft.com/fwlink/?linkid=870924
Comment:
    Appetite KPK utk Gratifikasi Rendah</t>
      </text>
    </comment>
    <comment ref="E5" authorId="0" shapeId="0" xr:uid="{97EE5DAF-2604-4AF7-BEB5-9974A988F7D9}">
      <text>
        <r>
          <rPr>
            <b/>
            <sz val="9"/>
            <color indexed="81"/>
            <rFont val="Tahoma"/>
            <family val="2"/>
          </rPr>
          <t>Ricky Pramoedya:</t>
        </r>
        <r>
          <rPr>
            <sz val="9"/>
            <color indexed="81"/>
            <rFont val="Tahoma"/>
            <family val="2"/>
          </rPr>
          <t xml:space="preserve">
Nilai risiko eksisting</t>
        </r>
      </text>
    </comment>
    <comment ref="F5" authorId="0" shapeId="0" xr:uid="{5786CB10-F306-4C0F-8063-0DD66A7E9860}">
      <text>
        <r>
          <rPr>
            <b/>
            <sz val="9"/>
            <color indexed="81"/>
            <rFont val="Tahoma"/>
            <family val="2"/>
          </rPr>
          <t>Ricky Pramoedya:</t>
        </r>
        <r>
          <rPr>
            <sz val="9"/>
            <color indexed="81"/>
            <rFont val="Tahoma"/>
            <family val="2"/>
          </rPr>
          <t xml:space="preserve">
Jelaskan alasan memilih level terkait pada probabilitas risiko</t>
        </r>
      </text>
    </comment>
    <comment ref="G5" authorId="0" shapeId="0" xr:uid="{857210EA-53D1-40E5-815F-BA60356F9A1A}">
      <text>
        <r>
          <rPr>
            <b/>
            <sz val="9"/>
            <color indexed="81"/>
            <rFont val="Tahoma"/>
            <family val="2"/>
          </rPr>
          <t>Ricky Pramoedya:</t>
        </r>
        <r>
          <rPr>
            <sz val="9"/>
            <color indexed="81"/>
            <rFont val="Tahoma"/>
            <family val="2"/>
          </rPr>
          <t xml:space="preserve">
Nilai risiko eksisting</t>
        </r>
      </text>
    </comment>
    <comment ref="H5" authorId="0" shapeId="0" xr:uid="{B2A011E6-EFFF-4035-8B6F-17595D678B22}">
      <text>
        <r>
          <rPr>
            <b/>
            <sz val="9"/>
            <color indexed="81"/>
            <rFont val="Tahoma"/>
            <family val="2"/>
          </rPr>
          <t>Ricky Pramoedya:</t>
        </r>
        <r>
          <rPr>
            <sz val="9"/>
            <color indexed="81"/>
            <rFont val="Tahoma"/>
            <family val="2"/>
          </rPr>
          <t xml:space="preserve">
Jelaskan alasan memilih level terkait pada dampak risiko</t>
        </r>
      </text>
    </comment>
    <comment ref="K5" authorId="0" shapeId="0" xr:uid="{E22BD2E5-3932-4E71-BFD7-9653477F87AE}">
      <text>
        <r>
          <rPr>
            <b/>
            <sz val="9"/>
            <color indexed="81"/>
            <rFont val="Tahoma"/>
            <family val="2"/>
          </rPr>
          <t>Ricky Pramoedya:</t>
        </r>
        <r>
          <rPr>
            <sz val="9"/>
            <color indexed="81"/>
            <rFont val="Tahoma"/>
            <family val="2"/>
          </rPr>
          <t xml:space="preserve">
Isi dengan kalimat penyebab</t>
        </r>
      </text>
    </comment>
    <comment ref="N5" authorId="0" shapeId="0" xr:uid="{F0771D6E-D5B5-412D-8022-75FAC0A4B8F2}">
      <text>
        <r>
          <rPr>
            <b/>
            <sz val="9"/>
            <color indexed="81"/>
            <rFont val="Tahoma"/>
            <family val="2"/>
          </rPr>
          <t>Ricky Pramoedya:</t>
        </r>
        <r>
          <rPr>
            <sz val="9"/>
            <color indexed="81"/>
            <rFont val="Tahoma"/>
            <family val="2"/>
          </rPr>
          <t xml:space="preserve">
Isi dengan "Kontrol yang dilakukan saat ini/eksisting"</t>
        </r>
      </text>
    </comment>
    <comment ref="P5" authorId="0" shapeId="0" xr:uid="{6CF1A36B-7E15-46AA-9E41-80531B1352F9}">
      <text>
        <r>
          <rPr>
            <b/>
            <sz val="9"/>
            <color indexed="81"/>
            <rFont val="Tahoma"/>
            <family val="2"/>
          </rPr>
          <t>Ricky Pramoedya:</t>
        </r>
        <r>
          <rPr>
            <sz val="9"/>
            <color indexed="81"/>
            <rFont val="Tahoma"/>
            <family val="2"/>
          </rPr>
          <t xml:space="preserve">
Isi dengan uraian penanganan risiko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Ricky Pramoedya</author>
  </authors>
  <commentList>
    <comment ref="C4" authorId="0" shapeId="0" xr:uid="{41ADFC91-E085-4410-A8A5-E1EF045A1435}">
      <text>
        <r>
          <rPr>
            <b/>
            <sz val="9"/>
            <color indexed="81"/>
            <rFont val="Tahoma"/>
            <family val="2"/>
          </rPr>
          <t>Ricky Pramoedya:</t>
        </r>
        <r>
          <rPr>
            <sz val="9"/>
            <color indexed="81"/>
            <rFont val="Tahoma"/>
            <family val="2"/>
          </rPr>
          <t xml:space="preserve">
Aktivitas yang berpotensi risiko</t>
        </r>
      </text>
    </comment>
    <comment ref="E5" authorId="0" shapeId="0" xr:uid="{E77D6B87-D7C2-4F9F-9358-72A563650EF2}">
      <text>
        <r>
          <rPr>
            <b/>
            <sz val="9"/>
            <color indexed="81"/>
            <rFont val="Tahoma"/>
            <family val="2"/>
          </rPr>
          <t>Ricky Pramoedya:</t>
        </r>
        <r>
          <rPr>
            <sz val="9"/>
            <color indexed="81"/>
            <rFont val="Tahoma"/>
            <family val="2"/>
          </rPr>
          <t xml:space="preserve">
Nilai risiko eksisting</t>
        </r>
      </text>
    </comment>
    <comment ref="F5" authorId="0" shapeId="0" xr:uid="{05DEAB3B-22C9-4783-9032-E2A300294892}">
      <text>
        <r>
          <rPr>
            <b/>
            <sz val="9"/>
            <color indexed="81"/>
            <rFont val="Tahoma"/>
            <family val="2"/>
          </rPr>
          <t>Ricky Pramoedya:</t>
        </r>
        <r>
          <rPr>
            <sz val="9"/>
            <color indexed="81"/>
            <rFont val="Tahoma"/>
            <family val="2"/>
          </rPr>
          <t xml:space="preserve">
Jelaskan alasan memilih level terkait pada probabilitas risiko</t>
        </r>
      </text>
    </comment>
    <comment ref="G5" authorId="0" shapeId="0" xr:uid="{B7CF25F7-14FF-4BE8-8BC6-2B0C05288CE2}">
      <text>
        <r>
          <rPr>
            <b/>
            <sz val="9"/>
            <color indexed="81"/>
            <rFont val="Tahoma"/>
            <family val="2"/>
          </rPr>
          <t>Ricky Pramoedya:</t>
        </r>
        <r>
          <rPr>
            <sz val="9"/>
            <color indexed="81"/>
            <rFont val="Tahoma"/>
            <family val="2"/>
          </rPr>
          <t xml:space="preserve">
Nilai risiko eksisting</t>
        </r>
      </text>
    </comment>
    <comment ref="H5" authorId="0" shapeId="0" xr:uid="{84D2E60E-AA72-4DE4-8FBE-14B20AD52796}">
      <text>
        <r>
          <rPr>
            <b/>
            <sz val="9"/>
            <color indexed="81"/>
            <rFont val="Tahoma"/>
            <family val="2"/>
          </rPr>
          <t>Ricky Pramoedya:</t>
        </r>
        <r>
          <rPr>
            <sz val="9"/>
            <color indexed="81"/>
            <rFont val="Tahoma"/>
            <family val="2"/>
          </rPr>
          <t xml:space="preserve">
Jelaskan alasan memilih level terkait pada dampak risiko</t>
        </r>
      </text>
    </comment>
    <comment ref="K5" authorId="0" shapeId="0" xr:uid="{DDF39761-3291-4762-9C46-8D1D076AA4F3}">
      <text>
        <r>
          <rPr>
            <b/>
            <sz val="9"/>
            <color indexed="81"/>
            <rFont val="Tahoma"/>
            <family val="2"/>
          </rPr>
          <t>Ricky Pramoedya:</t>
        </r>
        <r>
          <rPr>
            <sz val="9"/>
            <color indexed="81"/>
            <rFont val="Tahoma"/>
            <family val="2"/>
          </rPr>
          <t xml:space="preserve">
Isi dengan kalimat penyebab</t>
        </r>
      </text>
    </comment>
    <comment ref="N5" authorId="0" shapeId="0" xr:uid="{60A38E3F-CED5-4AB3-8B3A-1F593BB76796}">
      <text>
        <r>
          <rPr>
            <b/>
            <sz val="9"/>
            <color indexed="81"/>
            <rFont val="Tahoma"/>
            <family val="2"/>
          </rPr>
          <t>Ricky Pramoedya:</t>
        </r>
        <r>
          <rPr>
            <sz val="9"/>
            <color indexed="81"/>
            <rFont val="Tahoma"/>
            <family val="2"/>
          </rPr>
          <t xml:space="preserve">
Isi dengan "Kontrol yang dilakukan saat ini/eksisting"</t>
        </r>
      </text>
    </comment>
    <comment ref="P5" authorId="0" shapeId="0" xr:uid="{82A3BDCF-1105-4324-8375-0E2028E6A233}">
      <text>
        <r>
          <rPr>
            <b/>
            <sz val="9"/>
            <color indexed="81"/>
            <rFont val="Tahoma"/>
            <family val="2"/>
          </rPr>
          <t>Ricky Pramoedya:</t>
        </r>
        <r>
          <rPr>
            <sz val="9"/>
            <color indexed="81"/>
            <rFont val="Tahoma"/>
            <family val="2"/>
          </rPr>
          <t xml:space="preserve">
Isi dengan uraian penanganan risiko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Ricky Pramoedya</author>
  </authors>
  <commentList>
    <comment ref="C4" authorId="0" shapeId="0" xr:uid="{B65FC50D-3585-4394-A93E-A40459F16030}">
      <text>
        <r>
          <rPr>
            <b/>
            <sz val="9"/>
            <color indexed="81"/>
            <rFont val="Tahoma"/>
            <family val="2"/>
          </rPr>
          <t>Ricky Pramoedya:</t>
        </r>
        <r>
          <rPr>
            <sz val="9"/>
            <color indexed="81"/>
            <rFont val="Tahoma"/>
            <family val="2"/>
          </rPr>
          <t xml:space="preserve">
Aktivitas yang berpotensi risiko</t>
        </r>
      </text>
    </comment>
    <comment ref="E5" authorId="0" shapeId="0" xr:uid="{D8152CAF-150E-4648-BDD0-30BB8C5F72A0}">
      <text>
        <r>
          <rPr>
            <b/>
            <sz val="9"/>
            <color indexed="81"/>
            <rFont val="Tahoma"/>
            <family val="2"/>
          </rPr>
          <t>Ricky Pramoedya:</t>
        </r>
        <r>
          <rPr>
            <sz val="9"/>
            <color indexed="81"/>
            <rFont val="Tahoma"/>
            <family val="2"/>
          </rPr>
          <t xml:space="preserve">
Nilai risiko eksisting</t>
        </r>
      </text>
    </comment>
    <comment ref="F5" authorId="0" shapeId="0" xr:uid="{2F5D6A4C-969E-4F75-8F6A-4FA399352F81}">
      <text>
        <r>
          <rPr>
            <b/>
            <sz val="9"/>
            <color indexed="81"/>
            <rFont val="Tahoma"/>
            <family val="2"/>
          </rPr>
          <t>Ricky Pramoedya:</t>
        </r>
        <r>
          <rPr>
            <sz val="9"/>
            <color indexed="81"/>
            <rFont val="Tahoma"/>
            <family val="2"/>
          </rPr>
          <t xml:space="preserve">
Jelaskan alasan memilih level terkait pada probabilitas risiko</t>
        </r>
      </text>
    </comment>
    <comment ref="G5" authorId="0" shapeId="0" xr:uid="{373647DB-14AA-42B8-8217-E2E7F6282EA1}">
      <text>
        <r>
          <rPr>
            <b/>
            <sz val="9"/>
            <color indexed="81"/>
            <rFont val="Tahoma"/>
            <family val="2"/>
          </rPr>
          <t>Ricky Pramoedya:</t>
        </r>
        <r>
          <rPr>
            <sz val="9"/>
            <color indexed="81"/>
            <rFont val="Tahoma"/>
            <family val="2"/>
          </rPr>
          <t xml:space="preserve">
Nilai risiko eksisting</t>
        </r>
      </text>
    </comment>
    <comment ref="H5" authorId="0" shapeId="0" xr:uid="{9F7B9C48-AD12-4677-B454-AB3DA6A00353}">
      <text>
        <r>
          <rPr>
            <b/>
            <sz val="9"/>
            <color indexed="81"/>
            <rFont val="Tahoma"/>
            <family val="2"/>
          </rPr>
          <t>Ricky Pramoedya:</t>
        </r>
        <r>
          <rPr>
            <sz val="9"/>
            <color indexed="81"/>
            <rFont val="Tahoma"/>
            <family val="2"/>
          </rPr>
          <t xml:space="preserve">
Jelaskan alasan memilih level terkait pada dampak risiko</t>
        </r>
      </text>
    </comment>
    <comment ref="K5" authorId="0" shapeId="0" xr:uid="{D77A4FA2-4E75-4CF2-A8CA-AEF26BD6CB5A}">
      <text>
        <r>
          <rPr>
            <b/>
            <sz val="9"/>
            <color indexed="81"/>
            <rFont val="Tahoma"/>
            <family val="2"/>
          </rPr>
          <t>Ricky Pramoedya:</t>
        </r>
        <r>
          <rPr>
            <sz val="9"/>
            <color indexed="81"/>
            <rFont val="Tahoma"/>
            <family val="2"/>
          </rPr>
          <t xml:space="preserve">
Isi dengan kalimat penyebab</t>
        </r>
      </text>
    </comment>
    <comment ref="N5" authorId="0" shapeId="0" xr:uid="{A3AAF676-4DE6-40C6-8A96-924D57E9A222}">
      <text>
        <r>
          <rPr>
            <b/>
            <sz val="9"/>
            <color indexed="81"/>
            <rFont val="Tahoma"/>
            <family val="2"/>
          </rPr>
          <t>Ricky Pramoedya:</t>
        </r>
        <r>
          <rPr>
            <sz val="9"/>
            <color indexed="81"/>
            <rFont val="Tahoma"/>
            <family val="2"/>
          </rPr>
          <t xml:space="preserve">
Isi dengan "Kontrol yang dilakukan saat ini/eksisting"</t>
        </r>
      </text>
    </comment>
    <comment ref="P5" authorId="0" shapeId="0" xr:uid="{78F09D0F-120D-4009-BCCF-8D5FF45CB422}">
      <text>
        <r>
          <rPr>
            <b/>
            <sz val="9"/>
            <color indexed="81"/>
            <rFont val="Tahoma"/>
            <family val="2"/>
          </rPr>
          <t>Ricky Pramoedya:</t>
        </r>
        <r>
          <rPr>
            <sz val="9"/>
            <color indexed="81"/>
            <rFont val="Tahoma"/>
            <family val="2"/>
          </rPr>
          <t xml:space="preserve">
Isi dengan uraian penanganan risiko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Ricky Pramoedya</author>
  </authors>
  <commentList>
    <comment ref="C4" authorId="0" shapeId="0" xr:uid="{019BC39C-F758-4E93-8D46-7DCF4F7385AC}">
      <text>
        <r>
          <rPr>
            <b/>
            <sz val="9"/>
            <color indexed="81"/>
            <rFont val="Tahoma"/>
            <family val="2"/>
          </rPr>
          <t>Ricky Pramoedya:</t>
        </r>
        <r>
          <rPr>
            <sz val="9"/>
            <color indexed="81"/>
            <rFont val="Tahoma"/>
            <family val="2"/>
          </rPr>
          <t xml:space="preserve">
Aktivitas yang berpotensi risiko</t>
        </r>
      </text>
    </comment>
    <comment ref="E5" authorId="0" shapeId="0" xr:uid="{8F0186A3-362D-4CF4-92F1-A352D5C2370F}">
      <text>
        <r>
          <rPr>
            <b/>
            <sz val="9"/>
            <color indexed="81"/>
            <rFont val="Tahoma"/>
            <family val="2"/>
          </rPr>
          <t>Ricky Pramoedya:</t>
        </r>
        <r>
          <rPr>
            <sz val="9"/>
            <color indexed="81"/>
            <rFont val="Tahoma"/>
            <family val="2"/>
          </rPr>
          <t xml:space="preserve">
Nilai risiko eksisting</t>
        </r>
      </text>
    </comment>
    <comment ref="F5" authorId="0" shapeId="0" xr:uid="{61DABA80-182F-41AA-8CC8-32122FB9B4E9}">
      <text>
        <r>
          <rPr>
            <b/>
            <sz val="9"/>
            <color indexed="81"/>
            <rFont val="Tahoma"/>
            <family val="2"/>
          </rPr>
          <t>Ricky Pramoedya:</t>
        </r>
        <r>
          <rPr>
            <sz val="9"/>
            <color indexed="81"/>
            <rFont val="Tahoma"/>
            <family val="2"/>
          </rPr>
          <t xml:space="preserve">
Jelaskan alasan memilih level terkait pada probabilitas risiko</t>
        </r>
      </text>
    </comment>
    <comment ref="G5" authorId="0" shapeId="0" xr:uid="{B8A41E7A-C59F-450F-BF80-AB8492C49E4E}">
      <text>
        <r>
          <rPr>
            <b/>
            <sz val="9"/>
            <color indexed="81"/>
            <rFont val="Tahoma"/>
            <family val="2"/>
          </rPr>
          <t>Ricky Pramoedya:</t>
        </r>
        <r>
          <rPr>
            <sz val="9"/>
            <color indexed="81"/>
            <rFont val="Tahoma"/>
            <family val="2"/>
          </rPr>
          <t xml:space="preserve">
Nilai risiko eksisting</t>
        </r>
      </text>
    </comment>
    <comment ref="H5" authorId="0" shapeId="0" xr:uid="{2352FB87-7458-4F1D-A228-F04600B79E80}">
      <text>
        <r>
          <rPr>
            <b/>
            <sz val="9"/>
            <color indexed="81"/>
            <rFont val="Tahoma"/>
            <family val="2"/>
          </rPr>
          <t>Ricky Pramoedya:</t>
        </r>
        <r>
          <rPr>
            <sz val="9"/>
            <color indexed="81"/>
            <rFont val="Tahoma"/>
            <family val="2"/>
          </rPr>
          <t xml:space="preserve">
Jelaskan alasan memilih level terkait pada dampak risiko</t>
        </r>
      </text>
    </comment>
    <comment ref="K5" authorId="0" shapeId="0" xr:uid="{CF0F1B3A-B3E8-4FDB-9D93-3204F5A38F52}">
      <text>
        <r>
          <rPr>
            <b/>
            <sz val="9"/>
            <color indexed="81"/>
            <rFont val="Tahoma"/>
            <family val="2"/>
          </rPr>
          <t>Ricky Pramoedya:</t>
        </r>
        <r>
          <rPr>
            <sz val="9"/>
            <color indexed="81"/>
            <rFont val="Tahoma"/>
            <family val="2"/>
          </rPr>
          <t xml:space="preserve">
Isi dengan kalimat penyebab</t>
        </r>
      </text>
    </comment>
    <comment ref="N5" authorId="0" shapeId="0" xr:uid="{7BB9EB23-5B10-4109-AD81-C8EAE9D2728F}">
      <text>
        <r>
          <rPr>
            <b/>
            <sz val="9"/>
            <color indexed="81"/>
            <rFont val="Tahoma"/>
            <family val="2"/>
          </rPr>
          <t>Ricky Pramoedya:</t>
        </r>
        <r>
          <rPr>
            <sz val="9"/>
            <color indexed="81"/>
            <rFont val="Tahoma"/>
            <family val="2"/>
          </rPr>
          <t xml:space="preserve">
Isi dengan "Kontrol yang dilakukan saat ini/eksisting"</t>
        </r>
      </text>
    </comment>
    <comment ref="P5" authorId="0" shapeId="0" xr:uid="{5936501E-BC20-4071-AD2A-1ACCB27F6626}">
      <text>
        <r>
          <rPr>
            <b/>
            <sz val="9"/>
            <color indexed="81"/>
            <rFont val="Tahoma"/>
            <family val="2"/>
          </rPr>
          <t>Ricky Pramoedya:</t>
        </r>
        <r>
          <rPr>
            <sz val="9"/>
            <color indexed="81"/>
            <rFont val="Tahoma"/>
            <family val="2"/>
          </rPr>
          <t xml:space="preserve">
Isi dengan uraian penanganan risiko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Ricky Pramoedya</author>
  </authors>
  <commentList>
    <comment ref="C4" authorId="0" shapeId="0" xr:uid="{3545D93B-CFB8-421F-ACAA-005425B5218F}">
      <text>
        <r>
          <rPr>
            <b/>
            <sz val="9"/>
            <color indexed="81"/>
            <rFont val="Tahoma"/>
            <family val="2"/>
          </rPr>
          <t>Ricky Pramoedya:</t>
        </r>
        <r>
          <rPr>
            <sz val="9"/>
            <color indexed="81"/>
            <rFont val="Tahoma"/>
            <family val="2"/>
          </rPr>
          <t xml:space="preserve">
Aktivitas yang berpotensi risiko</t>
        </r>
      </text>
    </comment>
    <comment ref="E5" authorId="0" shapeId="0" xr:uid="{1240D1D1-305A-4368-A3D6-66063C946959}">
      <text>
        <r>
          <rPr>
            <b/>
            <sz val="9"/>
            <color indexed="81"/>
            <rFont val="Tahoma"/>
            <family val="2"/>
          </rPr>
          <t>Ricky Pramoedya:</t>
        </r>
        <r>
          <rPr>
            <sz val="9"/>
            <color indexed="81"/>
            <rFont val="Tahoma"/>
            <family val="2"/>
          </rPr>
          <t xml:space="preserve">
Nilai risiko eksisting</t>
        </r>
      </text>
    </comment>
    <comment ref="F5" authorId="0" shapeId="0" xr:uid="{45324CF4-83EC-407A-BD75-667148718E65}">
      <text>
        <r>
          <rPr>
            <b/>
            <sz val="9"/>
            <color indexed="81"/>
            <rFont val="Tahoma"/>
            <family val="2"/>
          </rPr>
          <t>Ricky Pramoedya:</t>
        </r>
        <r>
          <rPr>
            <sz val="9"/>
            <color indexed="81"/>
            <rFont val="Tahoma"/>
            <family val="2"/>
          </rPr>
          <t xml:space="preserve">
Jelaskan alasan memilih level terkait pada probabilitas risiko</t>
        </r>
      </text>
    </comment>
    <comment ref="G5" authorId="0" shapeId="0" xr:uid="{CC10EBE1-6595-414B-9B2A-FD8C2F669556}">
      <text>
        <r>
          <rPr>
            <b/>
            <sz val="9"/>
            <color indexed="81"/>
            <rFont val="Tahoma"/>
            <family val="2"/>
          </rPr>
          <t>Ricky Pramoedya:</t>
        </r>
        <r>
          <rPr>
            <sz val="9"/>
            <color indexed="81"/>
            <rFont val="Tahoma"/>
            <family val="2"/>
          </rPr>
          <t xml:space="preserve">
Nilai risiko eksisting</t>
        </r>
      </text>
    </comment>
    <comment ref="H5" authorId="0" shapeId="0" xr:uid="{71D006BB-F7CD-45CA-B4CB-101CD503BEC1}">
      <text>
        <r>
          <rPr>
            <b/>
            <sz val="9"/>
            <color indexed="81"/>
            <rFont val="Tahoma"/>
            <family val="2"/>
          </rPr>
          <t>Ricky Pramoedya:</t>
        </r>
        <r>
          <rPr>
            <sz val="9"/>
            <color indexed="81"/>
            <rFont val="Tahoma"/>
            <family val="2"/>
          </rPr>
          <t xml:space="preserve">
Jelaskan alasan memilih level terkait pada dampak risiko</t>
        </r>
      </text>
    </comment>
    <comment ref="K5" authorId="0" shapeId="0" xr:uid="{D4B0685D-E07D-4A43-B857-1F852D4542AF}">
      <text>
        <r>
          <rPr>
            <b/>
            <sz val="9"/>
            <color indexed="81"/>
            <rFont val="Tahoma"/>
            <family val="2"/>
          </rPr>
          <t>Ricky Pramoedya:</t>
        </r>
        <r>
          <rPr>
            <sz val="9"/>
            <color indexed="81"/>
            <rFont val="Tahoma"/>
            <family val="2"/>
          </rPr>
          <t xml:space="preserve">
Isi dengan kalimat penyebab</t>
        </r>
      </text>
    </comment>
    <comment ref="N5" authorId="0" shapeId="0" xr:uid="{8B1A5A73-1940-47C0-B5C6-FFA62BB35F7D}">
      <text>
        <r>
          <rPr>
            <b/>
            <sz val="9"/>
            <color indexed="81"/>
            <rFont val="Tahoma"/>
            <family val="2"/>
          </rPr>
          <t>Ricky Pramoedya:</t>
        </r>
        <r>
          <rPr>
            <sz val="9"/>
            <color indexed="81"/>
            <rFont val="Tahoma"/>
            <family val="2"/>
          </rPr>
          <t xml:space="preserve">
Isi dengan "Kontrol yang dilakukan saat ini/eksisting"</t>
        </r>
      </text>
    </comment>
    <comment ref="P5" authorId="0" shapeId="0" xr:uid="{4CD369E0-44D4-467F-9596-BC2005C35CE7}">
      <text>
        <r>
          <rPr>
            <b/>
            <sz val="9"/>
            <color indexed="81"/>
            <rFont val="Tahoma"/>
            <family val="2"/>
          </rPr>
          <t>Ricky Pramoedya:</t>
        </r>
        <r>
          <rPr>
            <sz val="9"/>
            <color indexed="81"/>
            <rFont val="Tahoma"/>
            <family val="2"/>
          </rPr>
          <t xml:space="preserve">
Isi dengan uraian penanganan risiko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<sst xmlns="http://schemas.openxmlformats.org/spreadsheetml/2006/main" count="17568" uniqueCount="6530">
  <si>
    <t>PANDUAN PENGGUNAAN PUSTAKA RISIKO (RISK LIBRARY)</t>
  </si>
  <si>
    <t>Untuk Mahkamah Agung RI dan Badan Peradilan di bawahnya</t>
  </si>
  <si>
    <t>Struktur Template:</t>
  </si>
  <si>
    <t>1. Panduan Penggunaan</t>
  </si>
  <si>
    <t>Sheet ini - berisi instruksi penggunaan pustaka risiko</t>
  </si>
  <si>
    <t>2. Master Pustaka Risiko</t>
  </si>
  <si>
    <t>Sheet utama untuk mendokumentasikan pustaka risiko</t>
  </si>
  <si>
    <t>3. Kriteria Penilaian</t>
  </si>
  <si>
    <r>
      <t xml:space="preserve">Definisi skala </t>
    </r>
    <r>
      <rPr>
        <i/>
        <sz val="11"/>
        <color rgb="FF262626"/>
        <rFont val="Calibri"/>
        <family val="2"/>
      </rPr>
      <t>Likelihood</t>
    </r>
    <r>
      <rPr>
        <sz val="11"/>
        <color rgb="FF262626"/>
        <rFont val="Calibri"/>
        <family val="2"/>
      </rPr>
      <t xml:space="preserve"> dan </t>
    </r>
    <r>
      <rPr>
        <i/>
        <sz val="11"/>
        <color rgb="FF262626"/>
        <rFont val="Calibri"/>
        <family val="2"/>
      </rPr>
      <t>Impact</t>
    </r>
    <r>
      <rPr>
        <sz val="11"/>
        <color rgb="FF262626"/>
        <rFont val="Calibri"/>
        <family val="2"/>
      </rPr>
      <t xml:space="preserve"> yang disesuaikan dengan konteks instansi</t>
    </r>
  </si>
  <si>
    <t>4. Matriks Risiko 5x5</t>
  </si>
  <si>
    <t>Visualisasi matriks untuk menentukan level risiko</t>
  </si>
  <si>
    <t>5. Kategori Risiko</t>
  </si>
  <si>
    <r>
      <rPr>
        <i/>
        <sz val="11"/>
        <color rgb="FF262626"/>
        <rFont val="Calibri"/>
        <family val="2"/>
      </rPr>
      <t xml:space="preserve">Master list </t>
    </r>
    <r>
      <rPr>
        <sz val="11"/>
        <color rgb="FF262626"/>
        <rFont val="Calibri"/>
        <family val="2"/>
      </rPr>
      <t>kategori risiko</t>
    </r>
  </si>
  <si>
    <t>6. Katalog Kontrol</t>
  </si>
  <si>
    <t>Katalog kontrol standar yang dapat direferensikan</t>
  </si>
  <si>
    <t>7. Contoh Pengisian</t>
  </si>
  <si>
    <r>
      <t xml:space="preserve">Contoh konkret pengisian untuk referensi </t>
    </r>
    <r>
      <rPr>
        <i/>
        <sz val="11"/>
        <color rgb="FF262626"/>
        <rFont val="Calibri"/>
        <family val="2"/>
      </rPr>
      <t>(came with the template)</t>
    </r>
  </si>
  <si>
    <t>Cara Menggunakan:</t>
  </si>
  <si>
    <t>Langkah 1</t>
  </si>
  <si>
    <t>Sesuaikan Kriteria Penilaian di sheet 'Kriteria Penilaian' dengan konteks instansi Anda</t>
  </si>
  <si>
    <t>Langkah 2</t>
  </si>
  <si>
    <t>Sesuaikan Kategori Risiko di sheet 'Kategori Risiko' sesuai mandat instansi</t>
  </si>
  <si>
    <t>Langkah 3</t>
  </si>
  <si>
    <t>Mulai mengisi Master Pustaka Risiko dengan risiko-risiko yang teridentifikasi</t>
  </si>
  <si>
    <t>Langkah 4</t>
  </si>
  <si>
    <t>Gunakan dropdown yang tersedia untuk memastikan konsistensi data</t>
  </si>
  <si>
    <t>Langkah 5</t>
  </si>
  <si>
    <r>
      <rPr>
        <i/>
        <sz val="11"/>
        <color rgb="FF262626"/>
        <rFont val="Calibri"/>
        <family val="2"/>
      </rPr>
      <t>Review</t>
    </r>
    <r>
      <rPr>
        <sz val="11"/>
        <color rgb="FF262626"/>
        <rFont val="Calibri"/>
        <family val="2"/>
      </rPr>
      <t xml:space="preserve"> dan validasi dengan </t>
    </r>
    <r>
      <rPr>
        <i/>
        <sz val="11"/>
        <color rgb="FF262626"/>
        <rFont val="Calibri"/>
        <family val="2"/>
      </rPr>
      <t>stakeholder</t>
    </r>
    <r>
      <rPr>
        <sz val="11"/>
        <color rgb="FF262626"/>
        <rFont val="Calibri"/>
        <family val="2"/>
      </rPr>
      <t xml:space="preserve"> terkait</t>
    </r>
  </si>
  <si>
    <t>Catatan Penting:</t>
  </si>
  <si>
    <r>
      <t xml:space="preserve">- Pustaka Risiko adalah </t>
    </r>
    <r>
      <rPr>
        <i/>
        <sz val="11"/>
        <color rgb="FF262626"/>
        <rFont val="Calibri"/>
        <family val="2"/>
      </rPr>
      <t>TEMPLATE</t>
    </r>
    <r>
      <rPr>
        <sz val="11"/>
        <color rgb="FF262626"/>
        <rFont val="Calibri"/>
        <family val="2"/>
      </rPr>
      <t xml:space="preserve">, bukan daftar risiko aktif </t>
    </r>
    <r>
      <rPr>
        <i/>
        <sz val="11"/>
        <color rgb="FF262626"/>
        <rFont val="Calibri"/>
        <family val="2"/>
      </rPr>
      <t>(Risk Register)</t>
    </r>
  </si>
  <si>
    <t>- Setiap risiko harus memiliki ID unik untuk kemudahan referensi</t>
  </si>
  <si>
    <t>- Pernyataan risiko harus menggunakan format: [Penyebab] → [Peristiwa] → [Dampak]</t>
  </si>
  <si>
    <r>
      <t xml:space="preserve">- Lakukan </t>
    </r>
    <r>
      <rPr>
        <i/>
        <sz val="11"/>
        <color rgb="FF262626"/>
        <rFont val="Calibri"/>
        <family val="2"/>
      </rPr>
      <t xml:space="preserve">review </t>
    </r>
    <r>
      <rPr>
        <sz val="11"/>
        <color rgb="FF262626"/>
        <rFont val="Calibri"/>
        <family val="2"/>
      </rPr>
      <t xml:space="preserve">dan </t>
    </r>
    <r>
      <rPr>
        <i/>
        <sz val="11"/>
        <color rgb="FF262626"/>
        <rFont val="Calibri"/>
        <family val="2"/>
      </rPr>
      <t xml:space="preserve">update </t>
    </r>
    <r>
      <rPr>
        <sz val="11"/>
        <color rgb="FF262626"/>
        <rFont val="Calibri"/>
        <family val="2"/>
      </rPr>
      <t>Pustaka Risiko minimal setahun sekali</t>
    </r>
  </si>
  <si>
    <t>PROSES BISNIS</t>
  </si>
  <si>
    <t>DEFINISI - SUBPROSES - KEGIATAN</t>
  </si>
  <si>
    <t>Probis</t>
  </si>
  <si>
    <t>Subprobis</t>
  </si>
  <si>
    <t>Kegiatan</t>
  </si>
  <si>
    <t>Manajemen Peradilan</t>
  </si>
  <si>
    <t>…</t>
  </si>
  <si>
    <t>Pelayanan Publik</t>
  </si>
  <si>
    <t>Administrasi Umum</t>
  </si>
  <si>
    <t>Pengadaan B/J P</t>
  </si>
  <si>
    <t>SDM</t>
  </si>
  <si>
    <t>Keuangan DIPA/Titipan pihak ketiga</t>
  </si>
  <si>
    <t>Administrasi Perkara</t>
  </si>
  <si>
    <t>Administrasi Persidangan</t>
  </si>
  <si>
    <t>Pengawasan (Internal dan Eksternal)</t>
  </si>
  <si>
    <t>Penanganan Pengaduan</t>
  </si>
  <si>
    <t>MASTER PUSTAKA RISIKO (RISK LIBRARY)</t>
  </si>
  <si>
    <t>ID Risiko</t>
  </si>
  <si>
    <t>Level</t>
  </si>
  <si>
    <t>Proses Bisnis</t>
  </si>
  <si>
    <t>Kategori Risiko</t>
  </si>
  <si>
    <t>Nama Risiko</t>
  </si>
  <si>
    <t>Deskripsi Risiko</t>
  </si>
  <si>
    <t>Pernyataan Risiko
(Penyebab Utama → Peristiwa → Dampak)</t>
  </si>
  <si>
    <t>Penyebab Utama</t>
  </si>
  <si>
    <t>Daftar Penyebab</t>
  </si>
  <si>
    <t>Dampak Potensial</t>
  </si>
  <si>
    <t>Sasaran Strategis Terkait</t>
  </si>
  <si>
    <t>Likelihood
(Inherent)</t>
  </si>
  <si>
    <t>Impact
(Inherent)</t>
  </si>
  <si>
    <t>Skor Risiko
(Inherent)</t>
  </si>
  <si>
    <t>Level Risiko
(Inherent)</t>
  </si>
  <si>
    <t>Kontrol yang Direkomendasikan</t>
  </si>
  <si>
    <t>Efektivitas Kontrol Target</t>
  </si>
  <si>
    <t>Likelihood
(Residual Target)</t>
  </si>
  <si>
    <t>Impact
(Residual Target)</t>
  </si>
  <si>
    <t>Skor Risiko
(Residual Target)</t>
  </si>
  <si>
    <t>Level Risiko
(Residual Target)</t>
  </si>
  <si>
    <t>Strategi Treatment</t>
  </si>
  <si>
    <t>Rencana Aksi Mitigasi</t>
  </si>
  <si>
    <t>PIC/Risk Owner</t>
  </si>
  <si>
    <t>Catatan</t>
  </si>
  <si>
    <t>R-001</t>
  </si>
  <si>
    <t>Pengadilan Tingkat Pertama</t>
  </si>
  <si>
    <t>Risiko Kecurangan</t>
  </si>
  <si>
    <t>Gratifikasi dalam rangka mendapatkan prioritas urutan antrean</t>
  </si>
  <si>
    <t>Risiko ini merujuk pada praktik gratifikasi yang dilakukan oleh pengunjung atau pihak beperkara kepada petugas antrean, dengan harapan nomor antreannya dapat didahulukan, diprioritaskan, atau dipercepat proses pendaftarannya dengan mengabaikan prosedur antrean yang semestinya</t>
  </si>
  <si>
    <t>Keterbatasan Sistem Layanan (Penumpukan antrean) yang Bertemu dengan Lemahnya Integritas Petugas di Lini Depan</t>
  </si>
  <si>
    <t>1. Faktor Sistem dan Infrastruktur Layanan
1.1. Penumpukan antrean akibat Sistem Manual: Banyak pengadilan mengidentifikasi bahwa antrean panjang terjadi karena sistem pendaftaran dan pengambilan antrean masih dilakukan secara manual atau kurangnya optimalisasi antrean online. Hal ini menyebabkan leher botol (bottleneck) di ruang tunggu.
1.2. Kurangnya Pemahaman Pengunjung Terhadap Sistem Elektronik: Sebagian pengunjung kurang memahami cara menggunakan fasilitas pendaftaran atau antrean online (seperti aplikasi antrean mandiri), sehingga mereka masih bergantung pada antrean kedatangan fisik yang rentan dimanipulasi petugas.
2. Faktor Eksternal (Motivasi Pengunjung/Pihak beperkara)
Keinginan Mendapat Layanan Instan/Cepat: Adanya kepentingan dari pihak beperkara atau pengunjung yang tidak sabar menghadapi antrean panjang dan memiliki keinginan/dorongan untuk diproses, dilayani, atau didahulukan secara lebih cepat dibandingkan pengunjung lain.
3. Faktor Integritas dan Pemahaman Petugas (Internal)
3.1. Lemahnya Integritas Petugas: Kurangnya kepatuhan terhadap kode etik oleh petugas antrean, sekuriti, atau petugas buku tamu, sehingga mudah tergiur oleh iming-iming imbalan.
3.2. Budaya Permisif: Adanya anggapan atau pembenaran dari petugas bahwa praktik suap-menyuap, menerima "uang tip", atau menerima gratifikasi sebagai ucapan terima kasih merupakan hal yang wajar dilakukan dalam pelayanan.
3.3. Ketidakpatuhan Terhadap Aturan/SOP: Petugas tidak menerapkan Standar Operasional Prosedur (SOP) atau Surat Keputusan Pimpinan terkait tata tertib penerimaan tamu dan kewajiban pengisian identitas yang jelas.
4. Faktor Pengawasan (Supervisory)
Lemahnya Pengawasan Atasan: Kurangnya kontrol, pemantauan (monitoring), dan pengawasan melekat dari pimpinan atau penanggung jawab langsung (seperti Kasubbag Umum, atasan PTSP, atau pejabat terkait) terhadap kinerja petugas keamanan dan petugas antrean di lapangan.</t>
  </si>
  <si>
    <t>Rusaknya citra satuan kerja, menurunkan kepercayaan masyarakat terhadap pengadilan, dan secara luas berdampak buruk pada reputasi lembaga Mahkamah Agung.</t>
  </si>
  <si>
    <t>FORMULA LINKED TO B3</t>
  </si>
  <si>
    <t>C-001</t>
  </si>
  <si>
    <t>R-002</t>
  </si>
  <si>
    <t>R-003</t>
  </si>
  <si>
    <t>R-004</t>
  </si>
  <si>
    <t>R-005</t>
  </si>
  <si>
    <t>R-006</t>
  </si>
  <si>
    <t>R-007</t>
  </si>
  <si>
    <t>R-008</t>
  </si>
  <si>
    <t>R-009</t>
  </si>
  <si>
    <t>R-010</t>
  </si>
  <si>
    <t>Risk Management</t>
  </si>
  <si>
    <r>
      <t xml:space="preserve">Memenej </t>
    </r>
    <r>
      <rPr>
        <b/>
        <sz val="11"/>
        <color theme="1"/>
        <rFont val="Calibri"/>
        <family val="2"/>
      </rPr>
      <t>risiko</t>
    </r>
    <r>
      <rPr>
        <sz val="11"/>
        <color theme="1"/>
        <rFont val="Calibri"/>
        <family val="2"/>
      </rPr>
      <t xml:space="preserve"> terhadap pencapaian </t>
    </r>
    <r>
      <rPr>
        <b/>
        <sz val="11"/>
        <color theme="1"/>
        <rFont val="Calibri"/>
        <family val="2"/>
      </rPr>
      <t>sasaran</t>
    </r>
  </si>
  <si>
    <t>?</t>
  </si>
  <si>
    <r>
      <t xml:space="preserve">risiko = sesuatu yang tidak pasti di masa mendatang yang </t>
    </r>
    <r>
      <rPr>
        <sz val="11"/>
        <color rgb="FFFF0000"/>
        <rFont val="Calibri"/>
        <family val="2"/>
      </rPr>
      <t xml:space="preserve">"mengancam" </t>
    </r>
    <r>
      <rPr>
        <sz val="11"/>
        <color theme="1"/>
        <rFont val="Calibri"/>
        <family val="2"/>
      </rPr>
      <t>pencapaian tujuan</t>
    </r>
  </si>
  <si>
    <t>ingin kita mencapai tujuan = MENURUNKAN risiko</t>
  </si>
  <si>
    <t>menurunkan?</t>
  </si>
  <si>
    <r>
      <t xml:space="preserve">melakukan </t>
    </r>
    <r>
      <rPr>
        <b/>
        <sz val="11"/>
        <color theme="1"/>
        <rFont val="Calibri"/>
        <family val="2"/>
      </rPr>
      <t>PENGENDALIAN/KONTROL</t>
    </r>
  </si>
  <si>
    <r>
      <t xml:space="preserve">Jika pengendalian/kontrol/IC kita efektif/memadai, maka level/tingkat risiko itu bisa dipastikan </t>
    </r>
    <r>
      <rPr>
        <b/>
        <sz val="11"/>
        <color theme="1"/>
        <rFont val="Calibri"/>
        <family val="2"/>
      </rPr>
      <t>TURUN</t>
    </r>
  </si>
  <si>
    <t>Jika risiko TURUN maka Sasaran lebih diyakini dapat tercapai.</t>
  </si>
  <si>
    <t>Apakah kita kemudian menurunkan risiko: 1) semaksimal mungkin, 2) sampai risikonya habis/tak bersisa?</t>
  </si>
  <si>
    <t>R1</t>
  </si>
  <si>
    <t>R2</t>
  </si>
  <si>
    <t>sisa R1</t>
  </si>
  <si>
    <t>proses panjang</t>
  </si>
  <si>
    <t>ada risiko yang tidak mungkin dihabiskan: kebakaran</t>
  </si>
  <si>
    <t>ada yg tidak termaintain dari rencana kita</t>
  </si>
  <si>
    <t>sampai tingkat yg diterima</t>
  </si>
  <si>
    <t>unpredictable risk yg sisa</t>
  </si>
  <si>
    <t>Tidak habis 100%:</t>
  </si>
  <si>
    <t>tidak bisa habis 100%</t>
  </si>
  <si>
    <t>Karena organisasi punya keterbatasan sumber daya.</t>
  </si>
  <si>
    <t>analogi helm</t>
  </si>
  <si>
    <t>Mengingat nomor 1, organisasi tidak bisa mengendalikan risiko 100% karena dia butuh untuk growth/tumbuh</t>
  </si>
  <si>
    <t>Kalau SEMUA sumber daya, SEMUA orang disuruh menurunkan risiko masing-masing, terus SIAPA YG KERJA?</t>
  </si>
  <si>
    <t>Kinerja A</t>
  </si>
  <si>
    <t>Risiko A</t>
  </si>
  <si>
    <t>Program pengentasa risiko 100%</t>
  </si>
  <si>
    <t>Kinerja B</t>
  </si>
  <si>
    <t>Risiko B</t>
  </si>
  <si>
    <t>Too much aware</t>
  </si>
  <si>
    <t>Tidak tercapai</t>
  </si>
  <si>
    <t>Jadi akhirnya organisasi memilih risiko mana yang "layak" untuk dikendalikan</t>
  </si>
  <si>
    <t>Prioritisasi Risiko</t>
  </si>
  <si>
    <t>Tertinggi</t>
  </si>
  <si>
    <t>No 2 tertinggi</t>
  </si>
  <si>
    <t>R3</t>
  </si>
  <si>
    <t>No 3 tertinggi</t>
  </si>
  <si>
    <t>R4</t>
  </si>
  <si>
    <t>Mau invest/growth/mencapai tujuan ATAU dia mau mencegah terjadinya risiko?</t>
  </si>
  <si>
    <t>R25?</t>
  </si>
  <si>
    <t>Invest miliaran atau ratusan juta untuk membuat inovasi layanan yg masyarakat masih awam</t>
  </si>
  <si>
    <t>R30?</t>
  </si>
  <si>
    <t>1. Risiko layanan baru tidak optimal</t>
  </si>
  <si>
    <t>R100?</t>
  </si>
  <si>
    <t>2. Risiko reputasi akibat penerimaan masyarakat</t>
  </si>
  <si>
    <t>Aktual: 18</t>
  </si>
  <si>
    <t>1. Monitor</t>
  </si>
  <si>
    <t>SELERA RISIKO</t>
  </si>
  <si>
    <t>IC -&gt;</t>
  </si>
  <si>
    <t>2. Warning</t>
  </si>
  <si>
    <t>Sinyal/KRI</t>
  </si>
  <si>
    <t>Level risiko yang "diterima" oleh pimpinan organisasi</t>
  </si>
  <si>
    <t>KPI = IKU</t>
  </si>
  <si>
    <t>KRI = IRU</t>
  </si>
  <si>
    <t>KCI = IPU</t>
  </si>
  <si>
    <t>20-25</t>
  </si>
  <si>
    <t>Sangat Tinggi</t>
  </si>
  <si>
    <t>Risiko Gratifikasi pada meja PTS</t>
  </si>
  <si>
    <t>Sasaran</t>
  </si>
  <si>
    <t>MR</t>
  </si>
  <si>
    <t>SPIP</t>
  </si>
  <si>
    <t>..</t>
  </si>
  <si>
    <t>"Saya ingin risiko itu tidak lebih dari 10"</t>
  </si>
  <si>
    <t>PK/RKT</t>
  </si>
  <si>
    <t>.</t>
  </si>
  <si>
    <t>6-10</t>
  </si>
  <si>
    <t>Rendah</t>
  </si>
  <si>
    <t>TERIMA</t>
  </si>
  <si>
    <t>(ga usah diapa-apain/ tidak usah dikendalikan)</t>
  </si>
  <si>
    <t>1-5</t>
  </si>
  <si>
    <t>Sangat Rendah</t>
  </si>
  <si>
    <t>IC 1</t>
  </si>
  <si>
    <t>Library</t>
  </si>
  <si>
    <t>IC2</t>
  </si>
  <si>
    <t>RISK MANAGEMENT</t>
  </si>
  <si>
    <t>- Context/Criteria/Scope Selection</t>
  </si>
  <si>
    <t>- Risk Assessment</t>
  </si>
  <si>
    <t>Identifikasi Risiko</t>
  </si>
  <si>
    <t>Analisis Risiko</t>
  </si>
  <si>
    <t>Evaluasi Risiko</t>
  </si>
  <si>
    <t>Output</t>
  </si>
  <si>
    <t>Risk Register</t>
  </si>
  <si>
    <t>Risk Map/Risk Matrix/Heatmap</t>
  </si>
  <si>
    <t>Prioritas Risiko</t>
  </si>
  <si>
    <t>- Risk Treatment</t>
  </si>
  <si>
    <t>Hasil Prioritas Risiko untuk dikendalikan/ditreatment/dimitigasi</t>
  </si>
  <si>
    <t>- Communication</t>
  </si>
  <si>
    <t>Nilai Risiko pasca treatment (treated risk): lebih rendah dari actual risk\</t>
  </si>
  <si>
    <t>ANALISIS TITIK RAWAN:</t>
  </si>
  <si>
    <t>Risk Library - Risk Taxonomy</t>
  </si>
  <si>
    <t>Berisi ketentuan tetap tentang apa yang bisa jadi risiko di tiap-tiap satker: uraian risiko (event), penyebab, konsekuensi/dampak, how to treat</t>
  </si>
  <si>
    <t>Kinerjanya mirip = SK SEKMA 27021/2025 - Penetapan IKU di tingkat pertama dan banding</t>
  </si>
  <si>
    <t>Kasasi</t>
  </si>
  <si>
    <t>PB nya itu sama</t>
  </si>
  <si>
    <t>Yang membedakan hanyalah objek perkara, hukum formil</t>
  </si>
  <si>
    <t>Banding</t>
  </si>
  <si>
    <t>Pengelolaan perkaranya, persidangannya, dst. Itu sama</t>
  </si>
  <si>
    <t>Pertama</t>
  </si>
  <si>
    <t>Kegiatan A</t>
  </si>
  <si>
    <t>Subkegiatan1</t>
  </si>
  <si>
    <t>Risiko?</t>
  </si>
  <si>
    <t>Sub2</t>
  </si>
  <si>
    <t>Kegiatan B</t>
  </si>
  <si>
    <t>Kegiatan C</t>
  </si>
  <si>
    <t>Form Identifikasi Risiko</t>
  </si>
  <si>
    <t>Nama UPG</t>
  </si>
  <si>
    <t>UPG MAHKAMAH AGUNG</t>
  </si>
  <si>
    <t>Triwulan</t>
  </si>
  <si>
    <t>Tahun</t>
  </si>
  <si>
    <t>Keterangan : * Wajib Diisi</t>
  </si>
  <si>
    <t>Klasifikasi Risiko</t>
  </si>
  <si>
    <t>Probabilitas Risiko</t>
  </si>
  <si>
    <t>Dampak Risiko</t>
  </si>
  <si>
    <t>Faktor Penyebab</t>
  </si>
  <si>
    <t>Level Risiko</t>
  </si>
  <si>
    <t>unit kerja</t>
  </si>
  <si>
    <t>No.*</t>
  </si>
  <si>
    <t>Unit Kerja yang memiliki risiko gratifikasi*</t>
  </si>
  <si>
    <t>Potensi Terjadinya Gratifikasi*</t>
  </si>
  <si>
    <t>Klasifikasi Risiko*</t>
  </si>
  <si>
    <t>Probabilitas Potensi Gratifikasi*</t>
  </si>
  <si>
    <t>Dampak Gratifikasi*</t>
  </si>
  <si>
    <t>Alasan/Penyebab Utama</t>
  </si>
  <si>
    <t>Sistem Pengendalian dan Pengawasan yang ada</t>
  </si>
  <si>
    <t>Rencana Mitigasi/Perbaikan</t>
  </si>
  <si>
    <t>Label</t>
  </si>
  <si>
    <t>Id</t>
  </si>
  <si>
    <t>level</t>
  </si>
  <si>
    <t>lower limit</t>
  </si>
  <si>
    <t>upper limit</t>
  </si>
  <si>
    <t>description</t>
  </si>
  <si>
    <t>id</t>
  </si>
  <si>
    <t>nama</t>
  </si>
  <si>
    <t>rowgroup</t>
  </si>
  <si>
    <t>Probabilitas Risiko*</t>
  </si>
  <si>
    <t>Keterangan*</t>
  </si>
  <si>
    <t>Dampak Risiko*</t>
  </si>
  <si>
    <t>No.</t>
  </si>
  <si>
    <t>Klasifikasi Penyebab</t>
  </si>
  <si>
    <t>Keterangan</t>
  </si>
  <si>
    <t>isfromsystem</t>
  </si>
  <si>
    <t>originunitkerja</t>
  </si>
  <si>
    <t>originpotensi</t>
  </si>
  <si>
    <t>originklasifikasirisiko</t>
  </si>
  <si>
    <t>originprobabilitasrisiko</t>
  </si>
  <si>
    <t>originprobabilitasrisikoketerangan</t>
  </si>
  <si>
    <t>origindampakrisiko</t>
  </si>
  <si>
    <t>originketerangandampakrisiko</t>
  </si>
  <si>
    <t>originklasifikasipenyebab</t>
  </si>
  <si>
    <t>originklasifikasipenyebabketerangan</t>
  </si>
  <si>
    <t>originsistempengendaliandanpengawasanyangada</t>
  </si>
  <si>
    <t>originrencanamitigasiperbaikan</t>
  </si>
  <si>
    <t>originitemuuid</t>
  </si>
  <si>
    <t>klasifikasirisikoid</t>
  </si>
  <si>
    <t>probabilitasrisikoid</t>
  </si>
  <si>
    <t>dampakrisikoid</t>
  </si>
  <si>
    <t>faktorpenyebabid</t>
  </si>
  <si>
    <t>levelprobabilitas</t>
  </si>
  <si>
    <t>leveldampak</t>
  </si>
  <si>
    <t>levelrisiko</t>
  </si>
  <si>
    <t>levelrisikoid</t>
  </si>
  <si>
    <t>levelrisikodesc</t>
  </si>
  <si>
    <t>unitkerjaid</t>
  </si>
  <si>
    <t>isfromprevperiod</t>
  </si>
  <si>
    <t>src_tw</t>
  </si>
  <si>
    <t>src_tahun</t>
  </si>
  <si>
    <t>iskegiatanutama</t>
  </si>
  <si>
    <t>kegiatanutamaid</t>
  </si>
  <si>
    <t>kegiatanutamavalue</t>
  </si>
  <si>
    <t>Sektor Pelayanan Publik</t>
  </si>
  <si>
    <t>Level 1 - Hampir Tidak Terjadi</t>
  </si>
  <si>
    <t>Level 1 - Tidak Signifikan</t>
  </si>
  <si>
    <t>Pemahaman</t>
  </si>
  <si>
    <t>Level Risiko Sangat Rendah</t>
  </si>
  <si>
    <t>Pengadilan Tinggi Aceh</t>
  </si>
  <si>
    <t>30-07-2024</t>
  </si>
  <si>
    <t>Sektor Pengadaan Barang dan/atau Jasa</t>
  </si>
  <si>
    <t>Level 2 - Jarang Terjadi</t>
  </si>
  <si>
    <t>Level 2 - Minor</t>
  </si>
  <si>
    <t>Penegakan Aturan</t>
  </si>
  <si>
    <t>Mahkamah Agung</t>
  </si>
  <si>
    <t>Sektor Pengelolaan Sumber Daya Manusia</t>
  </si>
  <si>
    <t>Level 3 - Kadang Terjadi</t>
  </si>
  <si>
    <t>Level 3 - Moderat</t>
  </si>
  <si>
    <t>Pemeriksaan</t>
  </si>
  <si>
    <t>Level Risiko Rendah</t>
  </si>
  <si>
    <t>Pengadilan Tinggi d.i. Yogyakarta</t>
  </si>
  <si>
    <t>Sektor Perizinan</t>
  </si>
  <si>
    <t>Level 4 - Sering Terjadi</t>
  </si>
  <si>
    <t>Level 4 - Signifikan</t>
  </si>
  <si>
    <t>Sistem</t>
  </si>
  <si>
    <t>Level Risiko Sedang</t>
  </si>
  <si>
    <t>Pengadilan Tinggi Sulawesi Selatan</t>
  </si>
  <si>
    <t>Sektor Pemeriksaan/Audit</t>
  </si>
  <si>
    <t>Level 5 - Hampir Pasti Terjadi</t>
  </si>
  <si>
    <t>Level 5 - Sangat Signifikan</t>
  </si>
  <si>
    <t>Lain-lain</t>
  </si>
  <si>
    <t>Level Risiko Tinggi</t>
  </si>
  <si>
    <t>Pengadilan Tinggi Agama d.i. Yogyakarta</t>
  </si>
  <si>
    <t>Sektor Kewenangan Lainnya</t>
  </si>
  <si>
    <t>Level Risiko Sangat Tinggi</t>
  </si>
  <si>
    <t>Pengadilan Tinggi Tata Usaha Negara Jakarta</t>
  </si>
  <si>
    <t>Pengadilan Tinggi Maluku</t>
  </si>
  <si>
    <t>Pengadilan Tinggi Sulawesi Utara</t>
  </si>
  <si>
    <t>Pengadilan Militer</t>
  </si>
  <si>
    <t>Pengadilan Tinggi Tata Usaha Negara Medan</t>
  </si>
  <si>
    <t>Pengadilan Tinggi Bengkulu</t>
  </si>
  <si>
    <t>Pengadilan Tinggi Gorontalo</t>
  </si>
  <si>
    <t>Pengadilan Tinggi Agama Banten</t>
  </si>
  <si>
    <t>Pengadilan Tinggi Agama Jawa Timur</t>
  </si>
  <si>
    <t>Pengadilan Tinggi Agama Sulawesi Utara</t>
  </si>
  <si>
    <t>Pengadilan Tinggi Agama Nusa Tenggara Timur</t>
  </si>
  <si>
    <t>Pengadilan Tinggi Tata Usaha Negara Makassar</t>
  </si>
  <si>
    <t>Pengadilan Tinggi Sulawesi tengah</t>
  </si>
  <si>
    <t>Pengadilan Tinggi Jawa tengah</t>
  </si>
  <si>
    <t>Pengadilan Tinggi Jambi</t>
  </si>
  <si>
    <t>Pengadilan Tinggi Agama Kalimantan Selatan</t>
  </si>
  <si>
    <t>Pengadilan Tinggi Kalimantan Selatan</t>
  </si>
  <si>
    <t>Pengadilan Tinggi Sumatera Utara</t>
  </si>
  <si>
    <t>Pengadilan Tinggi Banten</t>
  </si>
  <si>
    <t>Pengadilan Tinggi Nusa Tenggara Barat</t>
  </si>
  <si>
    <t>Pengadilan Tinggi Agama Sumatera Utara</t>
  </si>
  <si>
    <t>Pengadilan Tinggi Agama Sumatera Selatan</t>
  </si>
  <si>
    <t>Pengadilan Tinggi Agama Kalimantan tengah</t>
  </si>
  <si>
    <t>Pengadilan Tinggi Agama Sulawesi tengah</t>
  </si>
  <si>
    <t>Pengadilan Tinggi Agama Maluku</t>
  </si>
  <si>
    <t>Pengadilan Militer Utama</t>
  </si>
  <si>
    <t>Pengadilan Khusus</t>
  </si>
  <si>
    <t>Pengadilan Tinggi Sumatera Barat</t>
  </si>
  <si>
    <t>Pengadilan Tinggi Sulawesi Tenggara</t>
  </si>
  <si>
    <t>Pengadilan Tinggi Agama Nusa Tenggara Barat</t>
  </si>
  <si>
    <t>Pengadilan Tinggi Nusa Tenggara Timur</t>
  </si>
  <si>
    <t>Pengadilan Tinggi Agama Dki Jakarta</t>
  </si>
  <si>
    <t>Pengadilan Tinggi Agama Sulawesi Selatan</t>
  </si>
  <si>
    <t>Pengadilan Tinggi Agama Gorontalo</t>
  </si>
  <si>
    <t>Pengadilan Tinggi Agama Kalimantan Timur</t>
  </si>
  <si>
    <t>Pengadilan Tinggi Agama Lampung</t>
  </si>
  <si>
    <t>Pengadilan Tinggi Kepulauan Bangka Belitung</t>
  </si>
  <si>
    <t>Mahkamah SYARIYAH Provinsi Aceh</t>
  </si>
  <si>
    <t>Pengadilan Tinggi Agama Riau</t>
  </si>
  <si>
    <t>Pengadilan Tinggi Agama Bengkulu</t>
  </si>
  <si>
    <t>Pengadilan Tinggi Agama Jawa tengah</t>
  </si>
  <si>
    <t>Pengadilan Tinggi Agama Kalimantan Barat</t>
  </si>
  <si>
    <t>Pengadilan Tinggi Agama Papua</t>
  </si>
  <si>
    <t>Pengadilan Militer Tinggi - I</t>
  </si>
  <si>
    <t>Pengadilan Militer Tinggi - III</t>
  </si>
  <si>
    <t>Pengadilan Tinggi Dki Jakarta</t>
  </si>
  <si>
    <t>Pengadilan Tinggi Kalimantan Barat</t>
  </si>
  <si>
    <t>Pengadilan Tinggi Sumatera Selatan</t>
  </si>
  <si>
    <t>Pengadilan Tinggi Papua</t>
  </si>
  <si>
    <t>Pengadilan Tinggi Tata Usaha Negara Surabaya</t>
  </si>
  <si>
    <t>Pengadilan Tinggi Kalimantan tengah</t>
  </si>
  <si>
    <t>Pengadilan Tinggi Lampung</t>
  </si>
  <si>
    <t>Pengadilan Tinggi Riau</t>
  </si>
  <si>
    <t>Pengadilan Tinggi Bali</t>
  </si>
  <si>
    <t>Pengadilan Tinggi Jawa Barat</t>
  </si>
  <si>
    <t>Pengadilan Tinggi Jawa Timur</t>
  </si>
  <si>
    <t>Pengadilan Tinggi Agama Jambi</t>
  </si>
  <si>
    <t>Pengadilan Tinggi Kalimantan Timur</t>
  </si>
  <si>
    <t>Pengadilan Tinggi Maluku Utara</t>
  </si>
  <si>
    <t>Pengadilan Tinggi Agama Sumatera Barat</t>
  </si>
  <si>
    <t>Pengadilan Tinggi Agama Kepulauan Bangka Belitung</t>
  </si>
  <si>
    <t>Pengadilan Tinggi Agama Jawa Barat</t>
  </si>
  <si>
    <t>Pengadilan Tinggi Agama Sulawesi Tenggara</t>
  </si>
  <si>
    <t>Pengadilan Tinggi Agama Maluku Utara</t>
  </si>
  <si>
    <t>Pengadilan Militer Tinggi - II</t>
  </si>
  <si>
    <t>Pengadilan Tinggi Sulawesi Barat</t>
  </si>
  <si>
    <t>Badan Penelitian dan Pengembangan dan Pendidikan dan Pelatihan Hukum dan Peradilan</t>
  </si>
  <si>
    <t>Badan Pengawasan</t>
  </si>
  <si>
    <t>Badan Urusan Administrasi</t>
  </si>
  <si>
    <t>Direktorat Jenderal Badan Peradilan Agama</t>
  </si>
  <si>
    <t>Direktorat Jenderal Badan Peradilan Militer dan Tata Usaha Negara</t>
  </si>
  <si>
    <t>Direktorat Jenderal Badan Peradilan Umum</t>
  </si>
  <si>
    <t>Kepaniteraan Mahkamah Agung RI</t>
  </si>
  <si>
    <t>Sekretaris Mahkamah Agung RI</t>
  </si>
  <si>
    <t>Wakil KETUA/HAKIM Pratama Utama</t>
  </si>
  <si>
    <t>Wakil Ketua Mahkamah Agung RI Bidang Non Yudisial</t>
  </si>
  <si>
    <t>Wakil Ketua Mahkamah Agung RI Bidang Yudisial</t>
  </si>
  <si>
    <t>Pengadilan Tinggi Agama Kupang</t>
  </si>
  <si>
    <t>Pengadilan Tinggi Agama Ambon</t>
  </si>
  <si>
    <t>Pengadilan Tinggi Agama Ternate</t>
  </si>
  <si>
    <t>Pengadilan Tinggi Agama Jayapura</t>
  </si>
  <si>
    <t>Pengadilan Militer Tinggi - I Medan</t>
  </si>
  <si>
    <t>Pimpinan Tertinggi</t>
  </si>
  <si>
    <t>Wakil Ketua Mahkamah Agung Bidang Yudisial</t>
  </si>
  <si>
    <t>Wakil Ketua Mahkamah Agung Bidang Non Yudisial</t>
  </si>
  <si>
    <t>Kamar Pembinaan</t>
  </si>
  <si>
    <t>Kamar Pengawasan</t>
  </si>
  <si>
    <t>Kamar Perdata</t>
  </si>
  <si>
    <t>Kamar Pidana</t>
  </si>
  <si>
    <t>Kamar Tata Usaha Negara</t>
  </si>
  <si>
    <t>Kamar Militer</t>
  </si>
  <si>
    <t>Kamar Agama</t>
  </si>
  <si>
    <t xml:space="preserve">Panitera Muda Perdata </t>
  </si>
  <si>
    <t>Panitera Muda Perdata Khusus</t>
  </si>
  <si>
    <t>Panitera Muda Perdata Agama</t>
  </si>
  <si>
    <t>Panitera Muda Pidana</t>
  </si>
  <si>
    <t>Panitera Muda Pidana Khusus</t>
  </si>
  <si>
    <t>Panitera Muda Tata Usaha Negara</t>
  </si>
  <si>
    <t>Panitera Muda Militer</t>
  </si>
  <si>
    <t>Pengadilan Tinggi NANGGROE Aceh Darussalam</t>
  </si>
  <si>
    <t>Pengadilan Tinggi Medan</t>
  </si>
  <si>
    <t>Pengadilan Tinggi Padang</t>
  </si>
  <si>
    <t>Pengadilan Tinggi Palembang</t>
  </si>
  <si>
    <t>Pengadilan Tinggi Bangka Belitung</t>
  </si>
  <si>
    <t>Pengadilan Tinggi Tanjungkarang</t>
  </si>
  <si>
    <t>Pengadilan Tinggi Jakarta</t>
  </si>
  <si>
    <t>Pengadilan Tinggi Bandung</t>
  </si>
  <si>
    <t>Pengadilan Tinggi Semarang</t>
  </si>
  <si>
    <t>Pengadilan Tinggi Yogyakarta</t>
  </si>
  <si>
    <t>Pengadilan Tinggi Surabaya</t>
  </si>
  <si>
    <t>Pengadilan Tinggi Banjarmasin</t>
  </si>
  <si>
    <t>Pengadilan Tinggi Palangkaraya</t>
  </si>
  <si>
    <t>Pengadilan Tinggi Pontianak</t>
  </si>
  <si>
    <t>Pengadilan Tinggi Samarinda</t>
  </si>
  <si>
    <t>Pengadilan Tinggi Makassar</t>
  </si>
  <si>
    <t xml:space="preserve">Pengadilan Negeri Pasangkayu </t>
  </si>
  <si>
    <t>Pengadilan Tinggi Palu</t>
  </si>
  <si>
    <t>Pengadilan Tinggi Kendari</t>
  </si>
  <si>
    <t>Pengadilan Tinggi Manado</t>
  </si>
  <si>
    <t>Pengadilan Tinggi Denpasar</t>
  </si>
  <si>
    <t>Pengadilan Tinggi Mataram</t>
  </si>
  <si>
    <t>Pengadilan Tinggi Kupang</t>
  </si>
  <si>
    <t>Pengadilan Tinggi Ambon</t>
  </si>
  <si>
    <t>Pengadilan Tinggi Jayapura</t>
  </si>
  <si>
    <t>Mahkamah Syariah Provinsi NANGGROE Aceh Darussalam</t>
  </si>
  <si>
    <t>Pengadilan Tinggi Agama Medan</t>
  </si>
  <si>
    <t>Pengadilan Tinggi Agama Padang</t>
  </si>
  <si>
    <t>Pengadilan Tinggi Agama Pekanbaru</t>
  </si>
  <si>
    <t>Pengadilan Tinggi Agama Palembang</t>
  </si>
  <si>
    <t>Pengadilan Tinggi Agama Bangka Belitung</t>
  </si>
  <si>
    <t>Pengadilan Tinggi Agama Bandar Lampung</t>
  </si>
  <si>
    <t>Pengadilan Tinggi Agama Jakarta</t>
  </si>
  <si>
    <t>Pengadilan Tinggi Agama Bandung</t>
  </si>
  <si>
    <t>Pengadilan Tinggi Agama Semarang</t>
  </si>
  <si>
    <t>Pengadilan Tinggi Agama Yogyakarta</t>
  </si>
  <si>
    <t>Pengadilan Tinggi Agama Surabaya</t>
  </si>
  <si>
    <t>Pengadilan Tinggi Agama Banjarmasin</t>
  </si>
  <si>
    <t>Pengadilan Tinggi Agama Palangkaraya</t>
  </si>
  <si>
    <t>Pengadilan Tinggi Agama Pontianak</t>
  </si>
  <si>
    <t>Pengadilan Tinggi Agama Samarinda</t>
  </si>
  <si>
    <t>Pengadilan Tinggi Agama Makassar</t>
  </si>
  <si>
    <t>Pengadilan Tinggi Agama Palu</t>
  </si>
  <si>
    <t>Pengadilan Tinggi Agama Kendari</t>
  </si>
  <si>
    <t>Pengadilan Tinggi Agama Manado</t>
  </si>
  <si>
    <t>Pengadilan Tinggi Agama Mataram</t>
  </si>
  <si>
    <t>Pengadilan Militer Tinggi - II Jakarta</t>
  </si>
  <si>
    <t>Pengadilan Militer Tinggi - III Surabaya</t>
  </si>
  <si>
    <t>Pengadilan Negeri Ngabang</t>
  </si>
  <si>
    <t>Pengadilan Negeri Situbondo</t>
  </si>
  <si>
    <t>Pengadilan Negeri Cikarang</t>
  </si>
  <si>
    <t>Pengadilan Negeri Trenggalek</t>
  </si>
  <si>
    <t>Pengadilan Negeri Amurang</t>
  </si>
  <si>
    <t>Pengadilan Agama Bontang</t>
  </si>
  <si>
    <t>Pengadilan Negeri Tebing Tinggi</t>
  </si>
  <si>
    <t>Pengadilan Agama Giri Menang</t>
  </si>
  <si>
    <t>Pengadilan Negeri Tahuna</t>
  </si>
  <si>
    <t>Pengadilan Tata Usaha Negara Bandar Lampung</t>
  </si>
  <si>
    <t>Pengadilan Negeri Mukomuko</t>
  </si>
  <si>
    <t>Pengadilan Agama Kajen</t>
  </si>
  <si>
    <t>FORM RISK REGISTER 2026</t>
  </si>
  <si>
    <t>Keterangan: * Wajib diisi. Sheet ini standalone (tidak terhubung ke sheet lain). Kolom abu-abu (Q:Z) berisi kode/skor hasil kalkulasi otomatis dari tabel referensi di kanan (AE:AV), kecuali kolom Z (unitkerjaid) yang diisi manual bila diperlukan.</t>
  </si>
  <si>
    <t>Unit Kerja yang memiliki risiko gratifikasi</t>
  </si>
  <si>
    <t>Potensi Terjadinya Gratifikasi</t>
  </si>
  <si>
    <t>Probabilitas Potensi Gratifikasi</t>
  </si>
  <si>
    <t>Dampak Gratifikasi</t>
  </si>
  <si>
    <t>Tahun Analisis</t>
  </si>
  <si>
    <t>Daftar Satker Relevan (Hasil Analisis 2024–2025)</t>
  </si>
  <si>
    <t>PIC</t>
  </si>
  <si>
    <t>Pengadilan Negeri Palembang</t>
  </si>
  <si>
    <t>Lower Limit</t>
  </si>
  <si>
    <t>Upper Limit</t>
  </si>
  <si>
    <t>Description</t>
  </si>
  <si>
    <t>Permohonan Informasi - Informasi</t>
  </si>
  <si>
    <t>-</t>
  </si>
  <si>
    <t>Turunnya kepercayaan publik terhadap lembaga peradilan</t>
  </si>
  <si>
    <t>1. Sistem: kurangnya pengawasan dari pimpinan.
2. Individu: Keinginan untuk mendapatkan insentif tambahan di luar dari yang seharusnya .</t>
  </si>
  <si>
    <t>1. Sudah dibuatkan SOP tersendiri mengenai peminjaman berkas,
2. Adanya CCTV untuk mengawasi para pelaksana kearsipan,
3. Disediakannya buku register peminjaman berkas baik manual maupun melalui SIPP…</t>
  </si>
  <si>
    <t>Pengadilan Negeri Pati</t>
  </si>
  <si>
    <t>Belanja Barang – Persediaan Barang</t>
  </si>
  <si>
    <t>1. Sistem: kurangnya pengawasan dari pimpinan, yaitu KPN, WKPN, Sekretaris, dan Kasubag. 
2. Individu: keinginan personel PN untuk mendapatkan insentif di luar dari yang seharusnya.</t>
  </si>
  <si>
    <t>1. Pihak yang membeli, membayar, dan menerima barang tidak dilakukan oleh orang yang sama. 
2. Sudah ada Hakim Pengawas Bidang.</t>
  </si>
  <si>
    <t>Pembayaran Kegiatan Belanja Modal – SPM</t>
  </si>
  <si>
    <t>Pengadilan Negeri Bogor</t>
  </si>
  <si>
    <t>Pembayaran Hak-Hak Pegawai – SPM</t>
  </si>
  <si>
    <t>Pengadilan Negeri Wates</t>
  </si>
  <si>
    <t>Pengadilan Negeri Bandung</t>
  </si>
  <si>
    <t>Surat Keterangan Tidak Tersangkut Perkara – menerima dan meneliti berkas permohonan melalui aplikasi ERATERANG; membuat, memeriksa, memverifikasi, dan menandatangani konsep surat keterangan; mencatat dalam buku register; mengarahkan pembayaran PNBP melalui Bank BTN; menerima bukti setor; serta menyerahkan surat keterangan kepada pemohon.</t>
  </si>
  <si>
    <t>Kurangnya integritas dan profesionalitas.</t>
  </si>
  <si>
    <t>1. SOP Surat Keterangan Tidak Tersangkut Perkara. 
2. Penetapan Ketua PN Bandung Nomor 1067/KPN.W11-U1/HK.02/1/2024 tentang biaya PNBP dan panjar perkara</t>
  </si>
  <si>
    <t>Pengadilan Negeri Ambon</t>
  </si>
  <si>
    <t>Legalisasi Surat Akta di Bawah Tangan (Waarmerking) – menerima dan meneliti kelengkapan permohonan; memverifikasi berkas; membuat dan memeriksa catatan waarmerking; menandatangani catatan dengan dihadiri pemohon; mencatat dalam buku register; mengarahkan pembayaran PNBP melalui Bank BTN; menerima bukti setor; serta menyerahkan surat pernyataan ahli waris kepada pemohon.</t>
  </si>
  <si>
    <t>1. Turunnya kepercayaan publik terhadap lembaga peradilan
2. Merusak citra lembaga peradilan</t>
  </si>
  <si>
    <t>1. Buku II Mahkamah Agung RI tentang Pedoman Pelaksanaan Tugas dan Administrasi Peradilan. 2. SOP Legalisasi Surat Akta di Bawah Tangan (Waarmerking).</t>
  </si>
  <si>
    <t>Pengadilan Tata Usaha Negara Serang</t>
  </si>
  <si>
    <t>Pelaksanaan Pengadaan Barang dan Jasa – perencanaan pengadaan; persiapan pengadaan melalui swakelola atau penyedia; pelaksanaan pemilihan; pelaksanaan kontrak; pembayaran; pengawasan; pertanggungjawaban; serta serah terima hasil pekerjaan.</t>
  </si>
  <si>
    <t>1. Turunnya kepercayaan publik terhadap satuan kerja dan Mahkamah Agung. 
2. Terjadinya kerugian negara lebih dari Rp10 juta, dengan pagu belanja barang satker tahun 2023 sejumlah Rp3 miliar. 
3. Adanya keluhan pihak ketiga/rekanan melalui sistem pengaduan internal.</t>
  </si>
  <si>
    <t>1. Kurangnya pengawasan atau pengendalian internal. 
2. Adanya dorongan untuk melakukan fraud karena kebutuhan keuangan pribadi atau keserakahan semata</t>
  </si>
  <si>
    <t>1. Rekonsiliasi/pemeriksaan UAKPA, KPB, Kasubbag TU dan Keuangan, serta Hakim Pengawas Bidang minimal satu kali setiap bulan. 
2. Rekonsiliasi/pemeriksaan koordinator wilayah dan pusat setiap semester. 
3. UU Nomor 17 Tahun 2003 tentang Keuangan Negara. 
4. UU Nomor 1 Tahun 2004 tentang Perbendaharaan Negara. 
5. Perpres Nomor 12 Tahun 2021 tentang Pengadaan Barang/Jasa Pemerintah. 
6. Keputusan Sekretaris MA RI Nomor 657/SEK/SK/X/2018. 
7. SOP Pengadaan Barang/Jasa. 
8. SOP Pertanggungjawaban Belanja terhadap Pihak Ketiga/Rekanan.</t>
  </si>
  <si>
    <t>Pengadilan Tata Usaha Negara Tanjung Pinang</t>
  </si>
  <si>
    <t>Sektor Lainnya</t>
  </si>
  <si>
    <t>Tata Kelola Baperjakat – permohonan jabatan oleh pegawai; disposisi pimpinan; penjadwalan Baperjakat; pelaksanaan rapat; pembuatan berita acara Baperjakat; serta pengiriman surat pengantar dan berita acara secara berjenjang.</t>
  </si>
  <si>
    <t>Turunnya kepercayaan publik terhadap satuan kerja.</t>
  </si>
  <si>
    <t>Pengelola kepegawaian dan Tim Baperjakat kurang berintegritas.</t>
  </si>
  <si>
    <t>1. Pembinaan oleh Ketua setiap bulan. 
2. Pakta integritas. 
3. Perma Nomor 8 Tahun 2016. 
4. Perma Nomor 9 Tahun 2016. 
5. Maklumat KMA Nomor 1 Tahun 2017. 
6. SOP dan Pedoman Baperjakat.</t>
  </si>
  <si>
    <t>Pengadilan Tata Usaha Negara Manado</t>
  </si>
  <si>
    <t>Tugas Kehumasan – melakukan peliputan kegiatan pimpinan dan organisasi; mendokumentasikan kegiatan; membuat berita kegiatan; serta mengunggah kegiatan pada situs web resmi.</t>
  </si>
  <si>
    <t>Turunnya kepercayaan publik terhadap Subbagian Humas di satuan kerja.</t>
  </si>
  <si>
    <t>1. Belum terdapat organisasi dan tata laksana kehumasan secara resmi. 
2. Kurangnya pengawasan dari pimpinan.</t>
  </si>
  <si>
    <t>SK KPN Nomor 1632/KPN.W11-U1/SK.TI.1.2/III/2024 tentang Penunjukan Tim Pengelola Website dan Media Sosial.</t>
  </si>
  <si>
    <t>Pengadilan Negeri Palangkaraya</t>
  </si>
  <si>
    <t>Persidangan Gugatan/permohonan/bantahan perdata/gugatan sederhana/e-court</t>
  </si>
  <si>
    <t>1. Penyalahgunaan wewenang dan hukum acara
2. Tidak berpegang teguh terhadap norma agama dan kode etik hakim dan panitera
3. Ketidak patuhan terhadap jangka waktu penanganan perkara/court calender</t>
  </si>
  <si>
    <t>1. Pembinaan oleh Ketua secara berkala
2. Pakta integritas
3. Perma No 8 Tahun 2016
4. Perma No 9 Tahun 2016
5. SOP dan Hukum Acara
6. Kode etik dan norma perilaku
7. Penggunaan e-court
8. Kepatuhan court calender
9. satgas SIPP
10. Pelaksanaan MIS
11. Campaign anti grativikasi</t>
  </si>
  <si>
    <t>Pengadilan Negeri Pontianak</t>
  </si>
  <si>
    <t>Salinan putusan/penetapan (gugatan/permohonan/bantahan perdata/gugatan sederhana)</t>
  </si>
  <si>
    <t>1. Penetapan dan pembayaran biaya PS dilakukan tidak sesuai ketentuan
2. Tidak berpegang teguh terhadap norma agama dan kode etik Hakim, Panitera dan ASN</t>
  </si>
  <si>
    <t>1. Pembinaan oleh Ketua secara berkala
2. Pakta integritas
3. Perma No 8 Tahun 2016
4. Perma No 9 Tahun 2016
5. SOP dan Hukum Acara
6. Kode etik dan norma perilaku
7. Penggunaan E-court
8. Penggunaan Aplikasi inovasi PIE
9. Pelaksanaan MIS</t>
  </si>
  <si>
    <t>Pemeriksaan setempat</t>
  </si>
  <si>
    <t>1. Pembinaan oleh Ketua secara berkala
2. Pakta integritas
3. Penguatan kerohanian
4. Perma No 8 Tahun 2016
5. Perma No 9 Tahun 2016
6. SOP dan Hukum Acara
7. Kode etik dan norma perilaku</t>
  </si>
  <si>
    <t>Pengadilan Negeri Klaten</t>
  </si>
  <si>
    <t>Penunjukan Majelis Hakim/panitera
pengganti/jurusita</t>
  </si>
  <si>
    <t>1. Mempengaruhi kualitas putusan.
2. Turunnya kepercayaan publik terhadap lembaga peradilan
3. Merusak citra lembaga peradilan
4. Murunnya nilai SPIP lembaga peradilan
5. Pengaduan Masyarakat
6. Turunnya nilai SIPP</t>
  </si>
  <si>
    <t>1. Kepentingan yang diluar peraturan.
2. tidak berpegang teguh terhadap norma agama dan kode etik Hakim, Panitera dan ASN</t>
  </si>
  <si>
    <t>1. Pembinaan oleh Ketua secara berkala
2. Pakta integritas
3. Penguatan kerohanian
4.  Perma No 8 Tahun 2016
5. Perma No 9 Tahun 2016
6. SOP dan Hukum Acara
7. Kode etik dan norma perilaku
8. Penggunaan SIPP
9. Pelaksanaan MIS
10. Pembagian sesuai kompetensi majelis dan beban perkara</t>
  </si>
  <si>
    <t>Pengadilan Negeri Tulungagung</t>
  </si>
  <si>
    <t>Panggilan/Pemberitahuan</t>
  </si>
  <si>
    <t>1. Mempengaruhi kualitas putusan.
2. Turunnya kepercayaan publik terhadap lembaga peradilan
3. Merusak citra lembaga peeradilan
4. Turunnya nilai SPIP lembaga peradilan
5. Pengaduan Masyarakat</t>
  </si>
  <si>
    <t>1. Kepentingan yang diluar peraturan.
2. Kurangnya pengawasan oleh pimpinan terhadap pelaksanaan panggilan/pemberitahuan
3. Jangka waktu pelaksanaan panggilan/pemberitahuan tidak dilaksanakan sesuai dengan SOP dan peraturan
4. tidak berpegang teguh terhadap norma agama dan kode etik Panitera dan ASN</t>
  </si>
  <si>
    <t>1. Pembinaan oleh Ketua dan Panitera secara
berkala
2. Pakta integritas
3. Penguatan kerohanian
4. Perma No 8 Tahun 2016
5. Perma No 9 Tahun 2016
6. SOP dan Hukum Acara
7. Kode etik dan norma perilaku
8. Pelaksanaan panggilan melalui surat tercatat/POS/elektronik</t>
  </si>
  <si>
    <t>Pengadilan Negeri Mojokerto</t>
  </si>
  <si>
    <t>Pengadilan Agama Denpasar</t>
  </si>
  <si>
    <t>Pengembalian Sisa Panjar: praktik penggelapan dalam jabatan (kasir) dengan tidak mengembalikan sisa panjar kepada pihak berhak atau tidak menyetorkan sisa panjar &gt;6 bulan ke negara</t>
  </si>
  <si>
    <t>Kerugian materil kepada pihak dan turunnya kepercayaan publik terhadap PA Denpasar</t>
  </si>
  <si>
    <t>1. Kurangnya integritas petugas kasir
2. Adanya tujuan untuk mencari keuntungan pribadi</t>
  </si>
  <si>
    <t>1. Memaksimalkan monitoring keuangan perkara
2. Briefing Senin Pagi (BRISI) bagi petugas layanan
3. Penguatan integritas melalui kegiatan Kamis Ceria (KACER BALI)</t>
  </si>
  <si>
    <t>Pengadilan Negeri Semarang</t>
  </si>
  <si>
    <t>Pendaftaran Perkara: Terjadi gratifikasi kepada petugas layanan pendaftaran perkara agar perkaranya didahulukan/dipercepat pendaftarannya</t>
  </si>
  <si>
    <t>Turunnya kepercayaan publik terhadap pelayanan PA Denpasar</t>
  </si>
  <si>
    <t>1. Belum digunakannya sistem nomor antrean sehingga terjadi penumpukan antrian
2. Pihak/kuasa hukum tidak sabar menunggu antrian</t>
  </si>
  <si>
    <t>1. Melaksanakan antrian sesuai SOP
2. Melakukan monev pendaftaran perkara</t>
  </si>
  <si>
    <t>Pengadilan Negeri Malang</t>
  </si>
  <si>
    <t>Pemeriksaan Setempat: Terjadi praktik suap dan gratifikasi oleh pihak kepada aparatur peradilan saat pemberitahuan PS, serta penggelapan jabatan dengan membuat BA PS tidak sesuai fakta</t>
  </si>
  <si>
    <t>1. Merugikan salah satu pihak yang berperkara
2. Turunnya kepercayaan publik terhadap Pengadilan Agama Denpasar</t>
  </si>
  <si>
    <t>1. Kurangnya integritas hakim, PP, dan jurusita/JSP
2. Kurangnya kontrol dan pengawasan dari pimpinan
3. Adanya tujuan pihak untuk mendapatkan kemudahan/keuntungan dari PS</t>
  </si>
  <si>
    <t>1. Pembinaan kode etik hakim, panitera/PP dan jurusita
2. Monitoring dan evaluasi tenaga teknis secara berkesinambungan
3. Implementasi SOP Pemeriksaan Setempat</t>
  </si>
  <si>
    <t>Pengadilan Negeri Banyuwangi</t>
  </si>
  <si>
    <t>Eksekusi: Terjadi suap pada saat proses eksekusi oleh pihak berperkara kepada Ketua/Panitera/JS/JSP agar menguntungkan salah satu pihak</t>
  </si>
  <si>
    <t>1. Turunnya kepercayaan publik terhadap lembaga peradilan
2. Adanya keluhan/pengaduan masyarakat karena pelaksanaan eksekusi merugikan pihak</t>
  </si>
  <si>
    <t>1. Kurangnya integritas Ketua, Panitera, dan Jurusita/JSP dalam pelaksanaan eksekusi
2. Adanya harapan pihak berperkara untuk mendapatkan kemudahan dan keuntungan dalam eksekusi</t>
  </si>
  <si>
    <t>1. Penguatan pemahaman terhadap hukum acara eksekusi
2. Public Campaign pelaksanaan SMAP pada Pengadilan Agama
3. Implementasi SOP eksekusi</t>
  </si>
  <si>
    <t>Pengadilan Negeri Tasikmalaya Klas 1A</t>
  </si>
  <si>
    <t>Penunjukan Majelis Hakim/Hakim – setelah perkara pidana dilimpahkan melalui PTSP dan diinput ke SIPP, Panitera Muda Pidana mengajukan penunjukan Majelis Hakim kepada Ketua/Wakil Ketua Pengadilan Negeri.</t>
  </si>
  <si>
    <t>Meski sudah ada otorisasi user dan password personal pada aplikasi SIPP, masih terbuka celah permintaan pemilihan Majelis Hakim oleh pihak berperkara/jaksa maupun inisiatif hakim/panitera, sehingga potensi terjadinya tergolong kadang terjadi.</t>
  </si>
  <si>
    <t>Kurangnya kepercayaan masyarakat terhadap Mahkamah Agung apabila penunjukan Majelis Hakim disalahgunakan untuk kepentingan suap atau gratifikasi.</t>
  </si>
  <si>
    <t> </t>
  </si>
  <si>
    <t>1. Adanya permintaan pihak berperkara atau jaksa terkait pemilihan Majelis Hakim.
2. Adanya permintaan hakim untuk memilih perkara yang mengandung suap/gratifikasi, atau permintaan Panitera/Panmud atas keinginan pihak berperkara, termasuk potensi pemerasan oleh Ketua/Wakil Ketua, Hakim, Panitera, atau Panmud dengan menjanjikan pemilihan Majelis Hakim.</t>
  </si>
  <si>
    <t>12 - Level Risiko Sedang</t>
  </si>
  <si>
    <t>1. Pembinaan oleh Ketua setiap bulan.
2. Pakta integritas.
3. Perma No. 7 Tahun 2016, Perma No. 8 Tahun 2016, dan Perma No. 9 Tahun 2016.
4. Maklumat 01/Maklumat/KMA/IX/2017.
5. SKB Ketua MA RI dan Ketua KY RI No. 047/KMA/SKB/IV/2009-02/SKB/P.KY/IV/2009 tentang Kode Etik dan Pedoman Perilaku Hakim.
6. Otorisasi pengguna aplikasi SIPP melalui user dan password personal.</t>
  </si>
  <si>
    <t>Sosialisasi dan internalisasi kode etik dan pedoman perilaku hakim serta Perma No.7/2016 dan No.8/2018, penerapan pengawasan melekat, sosialisasi Maklumat KMA 01/2017, dan otorisasi personal user/password SIPP. PIC: Ketua/Wakil Ketua Pengadilan, target Juli 2024.</t>
  </si>
  <si>
    <t>Pengadilan Negeri Bantul</t>
  </si>
  <si>
    <t>Proses Persidangan dan Penjatuhan Putusan – pemeriksaan perkara pidana oleh Majelis Hakim hingga penjatuhan putusan.</t>
  </si>
  <si>
    <t>Belum adanya pembatasan akses hakim dengan para pihak berperkara membuka peluang komunikasi yang berpotensi disalahgunakan, meskipun sudah diterapkan pengawasan melekat dan pembatasan interaksi.</t>
  </si>
  <si>
    <t>Kurangnya kepercayaan masyarakat Indonesia terhadap lembaga Mahkamah Agung apabila proses persidangan/putusan dipengaruhi suap atau gratifikasi.</t>
  </si>
  <si>
    <t>Adanya keinginan/niat pribadi Hakim untuk dengan sengaja 'bermain perkara', serta belum adanya batasan akses antara hakim dengan para pihak berperkara.</t>
  </si>
  <si>
    <t>1. Pembinaan oleh Ketua setiap bulan.
2. Pakta integritas.
3. Perma No. 7 Tahun 2016 dan No. 8 Tahun 2016.
4. Maklumat 01/Maklumat/KMA/IX/2017.
5. SKB Ketua MA RI-KY RI tentang Kode Etik dan Pedoman Perilaku Hakim.
6. Pembatasan akses masuk melalui personalisasi security lock door.
7. Pembatasan interaksi dengan para pihak (larangan pertukaran nomor HP, pemisahan tempat makan di kantin).</t>
  </si>
  <si>
    <t>Sosialisasi kode etik dan Perma terkait, penguatan pengawasan melekat, serta pembatasan akses masuk dan interaksi dengan para pihak berperkara. PIC: Ketua/Wakil Ketua Pengadilan, target Juli 2024.</t>
  </si>
  <si>
    <t>Pengadilan Agama Magelang</t>
  </si>
  <si>
    <t>Proses Penyerahan Salinan Putusan – putusan yang telah diparaf dan ditandatangani Majelis Hakim dilimpahkan ke Kepaniteraan Pidana untuk dikirimkan salinan dan petikan putusan kepada Kejaksaan, Kepolisian, Penasihat Hukum, Terdakwa, serta Kalapas.</t>
  </si>
  <si>
    <t>Adanya pihak berkepentingan yang berupaya menunda atau mempercepat proses penerbitan salinan putusan menimbulkan potensi permintaan imbalan, meski sudah ada pengawasan melekat dan sosialisasi kode etik kepaniteraan.</t>
  </si>
  <si>
    <t>Kurangnya kepercayaan masyarakat terhadap Pengadilan Negeri Wates apabila proses penyerahan salinan putusan dijadikan sarana pemerasan atau gratifikasi.</t>
  </si>
  <si>
    <t>Adanya pihak berkepentingan yang berupaya menunda-nunda atau mempercepat proses dikeluarkannya putusan untuk kepentingan pribadi.</t>
  </si>
  <si>
    <t>9 - Level Risiko Rendah</t>
  </si>
  <si>
    <t>1. Sosialisasi Maklumat 01/Maklumat/KMA/IX/2017.
2. Sosialisasi Keputusan KMA No.122/KMA/SK/VII/2013 tentang Kode Etik dan Pedoman Perilaku Panitera dan Juru Sita.
3. Penerapan pengawasan melekat.
4. Penerapan Aplikasi layanan SPPT-TI Pidana (e-Berpadu).</t>
  </si>
  <si>
    <t>Penguatan sosialisasi kode etik kepaniteraan dan jurusita serta penerapan pengawasan melekat secara konsisten. PIC: Ketua/Wakil Ketua Pengadilan, target Juli 2024.</t>
  </si>
  <si>
    <t>Pengadilan Agama Banjarmasin Kelas IA</t>
  </si>
  <si>
    <t>Eksekusi – penerimaan dan penelaahan permohonan eksekusi, penaksiran dan pembayaran biaya eksekusi, pembuatan penetapan eksekusi, pelaksanaan aanmaning, hingga pelaksanaan eksekusi.</t>
  </si>
  <si>
    <t>Proses eksekusi melibatkan interaksi intensif antara Jurusita dan para pihak di lapangan sehingga rawan permintaan atau pemberian gratifikasi, meskipun sudah ada SOP dan Pedoman Eksekusi.</t>
  </si>
  <si>
    <t>Berdampak pada reputasi/kepercayaan publik atas Pengadilan Negeri Wates apabila pelaksanaan eksekusi diwarnai suap, gratifikasi, atau pemerasan.</t>
  </si>
  <si>
    <t>1. Kurangnya pengawasan oleh pimpinan saat pelaksanaan eksekusi.
2. Jangka waktu penanganan eksekusi tidak dilaksanakan sesuai SOP Eksekusi.</t>
  </si>
  <si>
    <t>1. Pembinaan oleh Ketua setiap bulan.
2. Pakta integritas.
3. Perma No. 8 Tahun 2016 dan No. 9 Tahun 2016.
4. SOP dan Pedoman Eksekusi.
5. Sosialisasi kode etik pegawai dan pemberian stiker SMAP pada setiap pengunjung.</t>
  </si>
  <si>
    <t>Sosialisasi kode etik pegawai, penguatan pengawasan melekat, pemasangan media edukasi anti-gratifikasi (audio, stiker SMAP), dan pembacaan SE SEKMA No.17/2019. PIC: Ketua Pengadilan/Panitera, target Juli 2024.</t>
  </si>
  <si>
    <t>Pengadilan Agama Jakarta Selatan</t>
  </si>
  <si>
    <t>Persidangan Gugatan/Permohonan/Bantahan Perdata/Gugatan Sederhana/e-Court – penunjukan hakim/majelis, panitera, dan jurusita, penetapan hari sidang, hingga proses persidangan sampai putusan.</t>
  </si>
  <si>
    <t>Interaksi antara Hakim/Panitera Pengganti dengan para pihak berperkara dalam proses persidangan tetap membuka peluang gratifikasi meski telah ada larangan pemberian nomor kontak dan janji kepada para pihak.</t>
  </si>
  <si>
    <t>Berdampak kepada reputasi/kepercayaan publik atas Mahkamah Agung apabila proses persidangan hingga putusan perkara perdata dipengaruhi suap atau gratifikasi.</t>
  </si>
  <si>
    <t>Kurangnya pengawasan pimpinan saat proses persidangan serta proses persidangan yang tidak sepenuhnya dilakukan berdasarkan SOP.</t>
  </si>
  <si>
    <t>1. Sosialisasi dan internalisasi kode etik kepaniteraan, jurusita, dan pegawai.
2. Penerapan pengawasan melekat.
3. Tidak berhubungan dengan para pihak berperkara melalui pemberian nomor kontak.
4. Tidak memberikan janji kepada pihak yang berperkara.</t>
  </si>
  <si>
    <t>Penguatan sosialisasi kode etik dan larangan interaksi personal dengan para pihak berperkara, disertai pengawasan melekat oleh Ketua/Wakil Ketua/Panitera. PIC: Hakim, target Juli 2024.</t>
  </si>
  <si>
    <t>Pengadilan Agama Tangerang</t>
  </si>
  <si>
    <t>Pendaftaran Surat Ijin Kuasa Insidentil – penerimaan berkas permohonan, penelitian kelengkapan, pembuatan dan penandatanganan penetapan, pencatatan register, hingga penyerahan surat kuasa insidentil kepada pemohon.</t>
  </si>
  <si>
    <t>Proses berjenjang yang melibatkan beberapa pejabat (Panmud Hukum, Panitera, Ketua Pengadilan) membuka celah penyalahgunaan wewenang untuk memperoleh insentif di luar ketentuan.</t>
  </si>
  <si>
    <t>Berdampak kepada reputasi/kepercayaan publik atas Bagian/Subbagian akibat penyalahgunaan wewenang dalam penerbitan izin kuasa insidentil.</t>
  </si>
  <si>
    <t>1. Kurangnya pengawasan dari pimpinan.
2. Penyalahgunaan wewenang untuk mendapatkan insentif yang tidak seharusnya.</t>
  </si>
  <si>
    <t>1. Sosialisasi SOP pendaftaran Surat Kuasa Insidentil melalui brosur.
2. Adanya checklist persyaratan pendaftaran.
3. Pengawasan Hawasbid PTSP.</t>
  </si>
  <si>
    <t>Sosialisasi SOP pendaftaran melalui brosur, penerapan checklist persyaratan, dan penguatan pengawasan Hawasbid PTSP. PIC: Ketua/Panitera/Panmud Hukum/Petugas PTSP, target Juli 2024.</t>
  </si>
  <si>
    <t>Pengadilan Agama Jakarta Utara</t>
  </si>
  <si>
    <t>Pertanggungjawaban Belanja terhadap Pihak Ketiga/Rekanan – pemeriksaan dokumen permintaan pembayaran, penghitungan pajak, pembuatan SPBy/SPP, pengujian oleh PPK, hingga penerbitan SPM dan pengiriman data ke KPPN.</t>
  </si>
  <si>
    <t>Interaksi rutin dengan rekanan dalam proses pembayaran menimbulkan potensi gratifikasi meski telah ada pakta integritas rekanan dan pemeriksaan berjenjang oleh Kimwasbid.</t>
  </si>
  <si>
    <t>Menurunnya kepercayaan publik kepada yang bersangkutan, Bagian/Subbagian, dan Pengadilan (Satker) apabila terjadi kerugian keuangan negara akibat suap/gratifikasi dalam pembayaran kepada rekanan.</t>
  </si>
  <si>
    <t>Kurangnya integritas dari pengelola keuangan dan lemahnya pengawasan dari atasan dalam proses pembayaran kepada pihak ketiga/rekanan.</t>
  </si>
  <si>
    <t>1. Pembinaan dan pengawasan oleh atasan.
2. Pemeriksaan oleh Kimwasbid.
3. Pernyataan rekanan untuk tidak melakukan suap/korupsi/gratifikasi yang dibuktikan dengan pakta integritas.</t>
  </si>
  <si>
    <t>Penguatan pembinaan dan pengawasan oleh atasan serta konsistensi penandatanganan pakta integritas oleh rekanan pada setiap transaksi. PIC: Sekretaris/PPK/PPSPM/Kasubbag Umum dan Keuangan, target Juli 2024.</t>
  </si>
  <si>
    <t>Pengadilan Agama Bogor</t>
  </si>
  <si>
    <t>Pelaksanaan Pengadaan Barang dan Jasa – perencanaan, persiapan, pemilihan penyedia, pengelolaan kontrak, hingga penerimaan hasil pekerjaan/pengiriman barang.</t>
  </si>
  <si>
    <t>Proses pemilihan penyedia dan pengelolaan kontrak yang melibatkan pihak ketiga tetap berpotensi diwarnai suap/gratifikasi meski proses pengadaan telah dipublikasikan secara terbuka.</t>
  </si>
  <si>
    <t>Menurunnya kepercayaan publik kepada yang bersangkutan, Bagian/Subbagian, dan Pengadilan (Satker) akibat kerugian keuangan negara dalam pengadaan barang/jasa.</t>
  </si>
  <si>
    <t>Adanya kesempatan/peluang akibat lemahnya pengawasan serta dorongan individu untuk memperkaya diri sendiri/kelompoknya dalam proses pengadaan.</t>
  </si>
  <si>
    <t>1. Pembinaan dan pengawasan oleh atasan.
2. Pemeriksaan oleh Kimwasbid.
3. Pernyataan rekanan melalui pakta integritas.
4. Proses pengadaan yang terbuka dan dipublikasikan.</t>
  </si>
  <si>
    <t>Penguatan transparansi proses pengadaan melalui publikasi terbuka dan pengawasan berjenjang oleh Kimwasbid. PIC: Sekretaris/PPK/PBJ, target Juli 2024.</t>
  </si>
  <si>
    <t>Pengadilan Agama Yogyakarta</t>
  </si>
  <si>
    <t>Penatausahaan Sewa BMN – pengajuan usulan sewa ke KPKNL, survei/penilaian objek sewa, penentuan besaran sewa, penetapan sewa oleh KPKNL, hingga pembayaran biaya sewa ke kas negara dan pelaporan.</t>
  </si>
  <si>
    <t>Proses usulan dan penetapan sewa yang cukup panjang dan melibatkan lebih dari satu pihak (KPKNL dan Sekretaris MA RI) membuka celah permintaan imbalan dari calon penyewa.</t>
  </si>
  <si>
    <t>Turunnya kepercayaan publik terhadap individu, bagian/sub bagian, maupun Pengadilan (Satker) apabila proses persewaan BMN diwarnai gratifikasi atau pemerasan.</t>
  </si>
  <si>
    <t>1. Kurangnya pengawasan oleh pimpinan.
2. Kurangnya pemahaman atas SOP Sewa BMN.
3. Proses usulan dan penetapan sewa memerlukan waktu panjang dan melibatkan lebih dari satu pihak.</t>
  </si>
  <si>
    <t>1. Pembinaan dan pengawasan oleh atasan.
2. Sosialisasi peraturan dan SOP yang berlaku.
3. Kontrak berdasarkan penetapan dari KPKNL.</t>
  </si>
  <si>
    <t>Penguatan sosialisasi SOP Sewa BMN dan monitoring berkala atas proses usulan-penetapan sewa. PIC: Operator BMN/Kasub Umum dan Keuangan/Sekretaris, target Juli 2024.</t>
  </si>
  <si>
    <t>Pengadilan Agama Batam</t>
  </si>
  <si>
    <t>Tata Kelola Baperjakat – pelaksanaan rapat Baperjakat sesuai SK KMA/SEKMA dengan mempertimbangkan Analisis Kebutuhan Pegawai, Peta Jabatan, dan Peta Kekuatan Pegawai.</t>
  </si>
  <si>
    <t>Keterbatasan jabatan struktural yang tersedia serta keinginan pegawai/pimpinan untuk mengarahkan jabatan tertentu berpotensi memicu gratifikasi meski telah diterapkan pakta integritas.</t>
  </si>
  <si>
    <t>Berdampak pada reputasi/kepercayaan publik atas individu yang bersangkutan, Bagian/Subbagian, dan Pengadilan (Satker) apabila proses Baperjakat tidak obyektif.</t>
  </si>
  <si>
    <t>1. Terbatasnya jabatan struktural yang tersedia/menunggu pejabat lama pensiun.
2. Keinginan pegawai untuk memperoleh jabatan tertentu, atau kecenderungan pimpinan/Tim Baperjakat kepada orang tertentu di luar kewenangan.</t>
  </si>
  <si>
    <t>1. Pembinaan oleh Ketua setiap bulan.
2. Pakta integritas.
3. Perma No. 9 Tahun 2016.
4. Kode Etik dan Pedoman Perilaku Hakim dan PNS.
5. PP No. 94 Tahun 2021 tentang Disiplin PNS.
6. SOP Baperjakat.
7. Berita Acara Rapat Tim Baperjakat yang menegaskan bebas dari KKN, penyuapan, dan gratifikasi.</t>
  </si>
  <si>
    <t>Penguatan sosialisasi kode etik dan konsistensi penandatanganan pakta integritas pada setiap rapat Baperjakat. PIC: Ketua/Tim Baperjakat, target Juli 2024.</t>
  </si>
  <si>
    <t>Tata Kelola Rekrutmen, Pembinaan, dan Evaluasi Tenaga PPNPN – seleksi terbuka berpedoman SK SEKMA No.811/SEK/SK/VIII/2021 serta evaluasi kinerja triwulanan.</t>
  </si>
  <si>
    <t>Belum ditunjuknya tim independen untuk seleksi tenaga kontrak serta anggapan bahwa praktik suap dianggap wajar meningkatkan potensi gratifikasi dalam proses rekrutmen PPNPN.</t>
  </si>
  <si>
    <t>Berdampak pada reputasi/kepercayaan publik atas individu, Bagian/Subbagian, dan Pengadilan (Satker) apabila rekrutmen PPNPN tidak transparan.</t>
  </si>
  <si>
    <t>1. Belum ditunjuknya tim independen untuk menyeleksi penerimaan tenaga kontrak.
2. Keinginan internal untuk memasukkan anggota keluarga/saudara sebagai tenaga honorer.
3. Anggapan bahwa praktik suap-menyuap adalah wajar (rasionalisasi).</t>
  </si>
  <si>
    <t>1. Pembinaan oleh Ketua setiap bulan.
2. Pakta integritas.
3. Perma No. 9 Tahun 2016.
4. Kode Etik dan Pedoman Perilaku Hakim dan PNS.
5. PP No. 94 Tahun 2021 tentang Disiplin PNS.
6. Pengumuman pengadaan PPNPN secara terbuka melalui website dan media sosial.</t>
  </si>
  <si>
    <t>Pembentukan tim seleksi yang lebih independen dan penguatan pengumuman terbuka pada setiap tahap rekrutmen PPNPN. PIC: Ketua/Tim Pengadaan PPNPN, target Juli 2024.</t>
  </si>
  <si>
    <t>Pengadilan Militer II-09 Bandung</t>
  </si>
  <si>
    <t>Pengadilan Tata Usaha Negara Yogyakarta</t>
  </si>
  <si>
    <t>1. Turunnya kepercayaan publik terhadap lembaga peradilan
2. Merusak citra lembaga peradilan
3. Turunnya nilai SPIP lembaga peradilan
4. Pengaduan Masyarakat
5. Turunnya nilai SIPP</t>
  </si>
  <si>
    <t>1. Jangka waktu penanganan salinan putusan tidak dilaksanakan sesuai dengan SOP dan peraturan
2. Tidak berpegang teguh terhadap norma agama dan kode etik</t>
  </si>
  <si>
    <t>Putusan perkara gugatan/permohonan/bantahan perdata/gugatan sederhana</t>
  </si>
  <si>
    <t>Satuan Kerja</t>
  </si>
  <si>
    <t>FILE</t>
  </si>
  <si>
    <t>PENGADILAN NEGERI WATES</t>
  </si>
  <si>
    <t>https://smap.mahkamahagung.go.id/evaluasi/documents/evidence/2024/163/smap-evidence-51-2024-05-21-15-03-19.pdf</t>
  </si>
  <si>
    <t>https://drive.google.com/file/d/1c4E2P_KLkF7Vgt8rdPUGpbyX3W2tFqIN/view?usp=sharing</t>
  </si>
  <si>
    <t>PENGADILAN NEGERI PALANGKARAYA</t>
  </si>
  <si>
    <t>https://drive.google.com/drive/folders/1iJQMXDgyIiz54CEr58vT_wubSSbOcQKz?usp=share_link</t>
  </si>
  <si>
    <t>PENGADILAN NEGERI BANTUL</t>
  </si>
  <si>
    <t>https://smap.mahkamahagung.go.id/evaluasi/documents/evidence/2025/166/smap-evidence-51-2025-05-28-19-28-10.pdf</t>
  </si>
  <si>
    <t>PENGADILAN NEGERI MOJOKERTO</t>
  </si>
  <si>
    <t>https://smap.mahkamahagung.go.id/evaluasi/documents/evidence/2025/173/smap-evidence-51-2025-05-27-14-58-09.pdf</t>
  </si>
  <si>
    <t>Proses persidangan dan penjatuhan putusan: 1. Upaya penyuapan dari pihak berperkara untuk mengatur persidangan agar memihak kepada penggugat ataupun tergugat dengan memberikan suap kepada Majelis Hakim
2. Mengatur percepatan persidangan oleh pihak berperkara melalui Panitera, Panitera Muda Pidana, Panitera Pengganti dan Jurusita/Jurusita Pengganti dengan memberikan sejumlah uang ataupun gratifikasi.</t>
  </si>
  <si>
    <t xml:space="preserve">Turunnya kepercayaan publik terhadap lembaga peradilan
</t>
  </si>
  <si>
    <t>1. Sistem : masih kurangnya pengawasan dari pengawas eksternal (Pengadilan Tinggi)
2. Individu: Keinginan untuk mendapatkan insentif diluar dari yang seharusnya oleh personil PN, dorongan dari pihak berperkara untuk mengatur perkara.
3. Rasionalisasi: Adanya anggapan bahwa praktik suap menyuap itu wajar.</t>
  </si>
  <si>
    <t>1. Sudah ada fit and proper test untuk penentuan KPN dan WKPN.
2. Sudah ada Hakim Pengawasan.
3. Sudah ada kanal WBS dan Pelaporan lainnya (SIMWAS).
4. PN telah menerapkan SMAP.</t>
  </si>
  <si>
    <t>https://smap.mahkamahagung.go.id/evaluasi/documents/evidence/2025/173/smap-evidence-51-2025-05-27-14-59-21.pdf</t>
  </si>
  <si>
    <t>Penetapan Penahanan oleh Majelis Hakim: 1. Upaya penyuapan ataupun gratifikasi kepada Majelis Hakim melalui Panmud Pidana agar Penetapan penahanan disetuji
2. Panmud Pidana meminta sejumlah uang agar penetapan penahanan dapat disetuji
3. Upaya penyuapan ataupun gratifikasi dari pihak yang akan ditahan agar penetapan penahanan tidak disetujui</t>
  </si>
  <si>
    <t>1. Sistem: kurangnya pengawasan dari KPT (HAWASBID)
2. Individu: adanya keinginan agar penetapan penahanan cepat dilaksanakan diluar ketentuan, adanya keinginan dari pihak yang akan ditahan agar penetapan penahanan tidak disetujui, keinginan untuk mendapatkan insentif dari personil PN
3. Rasionalisasi: Upaya penetapan penahanan yang memiliki hubungan afiliasi dengan pemohon ataupun termohon</t>
  </si>
  <si>
    <t>1) Telah dilaksanakan pengawasan dari Hakim Tinggi Pengawas / Hawasbid; 
2) Telah ada Pelaporan (SIWAS); 
3) Adanya Kode Etik PPH; 
4) Adanya pakta Integritas;
5) Adanya Komitmen Bersama Anti Penyuapan;
 6) Kebijakan Mutu Anti Penyuapan</t>
  </si>
  <si>
    <t>https://smap.mahkamahagung.go.id/evaluasi/documents/evidence/2025/173/smap-evidence-51-2025-05-27-15-00-01.pdf</t>
  </si>
  <si>
    <t>Permohonan Izin/Persetujuan Besuk: 1. Upaya penyuapan ataupun gratifikasi kepada Panmud Pidana melalui petugas PTSP agar permohonan Izin/Persetujuan besuk di setujui
2. Panmud Pidana meminta sejumlah uang ke pemohon agar izin besuk dapat disetujui</t>
  </si>
  <si>
    <t>1. Sistem: kurangnya pengawasan dari KPT (HAWASBID)
2. Individu: adanya keinginan agar proses permohonan izin besuk cepat dilaksanakan diluar ketentuan dan disetujui
3. Rasionalisasi: Adanya pemerasan dari Panmud Pidana dan petugas PTSP bagian Pidana agar izin besuk disetujui</t>
  </si>
  <si>
    <t>1) Telah ada Pelaporan (SIWAS);
2) Adanya kontrol di PTSP dari Hawasbid PTSP
3) Adanya Kode Etik PPH;
4) Adanya pakta Integritas;
5) Adanya Komitmen Bersama Anti Penyuapan;
6) Kebijakan Mutu Anti Penyuapan</t>
  </si>
  <si>
    <t>https://drive.google.com/drive/folders/1j1y6lO0-SM7ychhmwCn5Byh4kOtxSQ-I?usp=share_link</t>
  </si>
  <si>
    <t>Proses permohonan izin/persetujuan penggeledahan &amp; Penyitaan: 1. Upaya penyuapan ataupun gratifikasi dari pihak berperkara kepada KPN/WKPN melalui Penyidik untuk meloloskan berkas permohonan izin penggeledahan &amp; penyitaan yang tidak lengkap
2. KPN/WKPN melalui Panmud Pidana meminta sejumlah uang agar permohonan izin penggeledahan &amp; penyitaan dapat segera diproses (didahulukan prosesnya)</t>
  </si>
  <si>
    <t>1. Sistem: kurangnya pengawasan dari KPT (HAWASBID)
2. Individu: adanya keinginan agar proses permohonan cepat dilaksanakan diluar ketentuan, adanya keinginan dari pihak yang akan digeledah &amp; disita agar permohonan izin penggeledahan &amp; penyitaan tidak disetujui, keinginan untuk mendapatkan insentif dari personil PN
3. Rasionalisasi: Upaya izin penggeledahan &amp; penyitaan yang memiliki hubungan afiliasi dengan yang berperkara, masih adanya anggapan bahwa suap menyuap wajar dilakukan dari internal dan eksternal</t>
  </si>
  <si>
    <t>1) Telah ada fit and propert test;
2) Telah dilaksanakan pengawasan dari Hakim Tinggi Pengawas / Hawasbid;
3) Telah ada Pelaporan (SIWAS);
4) Adanya kontrol di PTSP
5) Adanya Kode Etik PPH;
6) Adanya pakta Integritas;
7) Adanya Komitmen Bersama Anti Penyuapan;
8) Kebijakan Mutu Anti Penyuapan</t>
  </si>
  <si>
    <t>PENGADILAN MILITER II-09 BANDUNG</t>
  </si>
  <si>
    <t>https://drive.google.com/drive/folders/1YjWTR6gRKUnfYh64R8aOjFco2G7vHlJK?usp=sharing</t>
  </si>
  <si>
    <t>Permohonan Izin Berobat Tahanan: 1. Upaya penyuapan ataupun gratifikasi kepada Panmud Pidana melalui petugas PTSP agar permohonan Izin berobat tahanan di setujui meskipun tidak memenuhi peryaratan
2. Panmud Pidana meminta sejumlah uang ke pemohon agar proses permohonan Izin berobat tahanan diutamakan prosesnya</t>
  </si>
  <si>
    <t>1. Sistem: kurangnya pengawasan dari KPT (HAWASBID)
2. Individu: adanya keinginan agar proses permohonan izin berobat tahanan cepat dilaksanakan diluar ketentuan dan disetujui
3. Rasionalisasi: Adanya pemerasan dari Panmud Pidana dan petugas PTSP bagian Pidana agar permohonan izin berobat disetujui</t>
  </si>
  <si>
    <t>PENGADILAN AGAMA JAKARTA UTARA</t>
  </si>
  <si>
    <t>https://drive.google.com/drive/folders/1zHGDut1INVfVxetNXdypAP2GADRJtqbW?usp=drive_link</t>
  </si>
  <si>
    <t>Proses penyelesaian perkara pelanggaran lalu lintas : 1. Upaya penyuapan ataupun gratifikasi dari Pelanggar lalu lintas agar proses penyelesaian perkara pelanggaran lalu lintas lebih cepat diproses
2. Panmud Pidana meminta sejumlah uang agar proses penyelesaian perkara pelanggaran lalu lintas dapat segera diproses</t>
  </si>
  <si>
    <t>1. Sistem: Proses penyelesaian perkara pelanggaran lalu lintas masih kurang efektif karena beberapa masyarakat proses tersebut belum tersosialisasikan kepada seluruh lapisan masyarakat
2. Individu: Masyarakat beranggapan bahwa proses tilang yang berbelit, sulit dan ribet serta membutuhkan waktu dan tenaga membuat masyarakat malas untuk menyelesaikan tilang sesuai dengan prosedur, keinginan untuk mendapatkan insentif dari personil PN
3. Rasionalisasi: Upaya proses penyelesaian perkara pelanggaran lalu lintas yang memiliki hubungan afiliasi</t>
  </si>
  <si>
    <t>1) Telah dilaksanakan pengawasan dari Hakim Tinggi Pengawas / Hawasbid;
2) Telah ada Pelaporan (SIWAS);
3) Adanya Kode Etik PPH;
4) Adanya pakta Integritas;
5) Adanya Komitmen Bersama Anti Penyuapan;
6) Kebijakan Mutu Anti Penyuapan</t>
  </si>
  <si>
    <t>Proses Persidangan dan Penjatuhan Putusan (Pidana Umum): potensi penyuapan agar putusan perkara pidana memihak kepada pihak tertentu</t>
  </si>
  <si>
    <t>Kualitas putusan buruk sehingga menurunkan kepercayaan publik terhadap Hakim/Majelis Hakim dan lembaga peradilan</t>
  </si>
  <si>
    <t>Penunjukan Majelis Hakim / Hakim 
- Penyuapan saat Penetapan Majelis hakim</t>
  </si>
  <si>
    <t>- Kurang pengawasan dari pimpinan
- Adanya kepentingan dari pihak tertentu</t>
  </si>
  <si>
    <t>- Pembinaan dan pengawasan oleh Ketua PT secara berkala
- Pakta integritas
- SOP dan Pedoman yang berkaitan dengan kode etik hakim dan pimpinan dalam hal ini Ketua PN</t>
  </si>
  <si>
    <t>Penyuapan sebelum Pembacaan Putusan</t>
  </si>
  <si>
    <t>- Kurang pengawasan dari pimpinan sebagai pejabat yang melakukan pengawasan kepada hakim
- Adanya kepentingan dari pihak tertentu</t>
  </si>
  <si>
    <t xml:space="preserve">- Pembinaan dan pengawasan oleh Ketua PN secara berkala
- Pakta integritas
- SOP dan Pedoman yang berkaitan dengan kode etik hakim </t>
  </si>
  <si>
    <t xml:space="preserve">Gratifikasi pada saat pembuatan
penetapan pinjam pakai barang bukti
</t>
  </si>
  <si>
    <t>berdampak kepada
reputasi/kepercayaan publik atas
Pengadilan (Satker)</t>
  </si>
  <si>
    <t>- Kurang pengawasan dari pimpinan sebagai pejabat yang melakukan pengawasan kepada hakim
- Kurang pengawasan dari panitera sebagai atasan langsung dari staff
- Pelaku ingin menjadikan proses tersebut sebagai objek untuk mencari uang tambahan</t>
  </si>
  <si>
    <t xml:space="preserve">- PPembinaan dan pengawasan terintegrasi oleh Ketua, Wakil Ketua dan Nanitera secara berkala
- Pakta integritas
- SOP dan regulasi yang berkaitan dengan proses Pinjam Pakai Barang Bukti </t>
  </si>
  <si>
    <t>Suap menyuap pada saat penjatuhan
denda</t>
  </si>
  <si>
    <t>Berdampak kepada reputasi/kepercayaan publik atas individu yang bersangkutan saja</t>
  </si>
  <si>
    <t>- Kurang pengawasan dari pimpinan sebagai pejabat yang melakukan pengawasan kepada hakim
- Kurang pengawasan dari Panitera sebagai atasan langsung dari Panitera Pengganti
- Pelaku ingin menjadikan proses tersebut sebagai objek untuk mencari uang tambahan</t>
  </si>
  <si>
    <t>- Pembinaan dan pengawasan terintegrasi oleh Ketua, Wakil Ketua dan Panitera secara berkala
- Pakta integritas
- SOP dan regulasi yang berkaitan dengan proses penyelesaian perkara lalulintas</t>
  </si>
  <si>
    <t>Terjadi gratifikas pada saat pembuatan izin
besuk ketika proses Permintaan izin/persetujuan besuk, proses pembuatan izin/persetujuan besuk</t>
  </si>
  <si>
    <t xml:space="preserve">- Kurang pengawasan dari pimpinan sebagai pejabat yang melakukan pengawasan kepada hakim
- Kurang pengawasan dari panitera sebagai atasan langsung dari staff
- Pelaku ingin menjadikan proses tersebut sebagai objek untuk mencari uang tambahan
</t>
  </si>
  <si>
    <t xml:space="preserve">- Pembinaan dan pengawasan terintegrasi oleh Ketua, Wakil Ketua dan Nanitera secara berkala
- Pakta integritas
- SOP dan regulasi yang berkaitan dengan proses permohonan izin besuk
</t>
  </si>
  <si>
    <t xml:space="preserve">Suap menyuap pada saat pendaftaran oleh petugas meja e-court saat pendaftaran berkas perkara di Pengadilan
melalui ecourt
</t>
  </si>
  <si>
    <t xml:space="preserve">- Kurang pengawasan dari Panitera sebagai pejabat yang melakukan pengawasan kepada staff
- Pelaku ingin menerima sesuatu yang seharusnya tidak menjadi milik pribadi
</t>
  </si>
  <si>
    <t>- Pembinaan dan pengawasan oleh Ketua PN secara berkala
- Pakta integritas
- SOP dan Pedoman yang berkaitan dengan kode etik hakim dan pimpinan dalam hal ini Ketua PN
- SK 144/DJU/SK.HM1.1./I/2024</t>
  </si>
  <si>
    <t>Suap menyuap pada saat penetapan
Majelis Hakim, Panitera Pengganti dan Jurusita
Ketika Berkas perkara dibawa ke Ketua PN, Penetapan majelis hakim oleh Ketua, Penetapan Panitera Pengganti dan Jurusita
oleh Panitera</t>
  </si>
  <si>
    <t xml:space="preserve">Kurangnya pengawasan pimpinan </t>
  </si>
  <si>
    <t xml:space="preserve">Suap menyuap pada saat penyerahan
salinan putusan ketika proses copy salinan dan penyerahan salinan
putusan
</t>
  </si>
  <si>
    <t>- Kurang pengawasan dari panitera sebagai pejabat yang melakukan pengawasan kepada JS, staff
- pelaku ingin menerima sesuatu yang seharusnya tidak menjadi milik pribadi</t>
  </si>
  <si>
    <t>- Pembinaan dan pengawasan oleh panitera secara berkala
- Pakta integritas
- SOP dan dasar hukum yang berkaitan dengan kode etik pegawai dan proses pengiriman putusan</t>
  </si>
  <si>
    <t xml:space="preserve">Suap menyuap pada saat pengembalian
sisa panjar perkara ketika proses pengembalian sisa panjar melalui
kasir
</t>
  </si>
  <si>
    <t xml:space="preserve">- Kurang pengawasan dari pimpinan
- Kurang pengawasan dari panitera sebagai atasan langsung dari staff
- Pelaku ingin menjadikan proses tersebut sebagai objek untuk mencari uang tambahan
</t>
  </si>
  <si>
    <t>- Pembinaan dan pengawasan terintegrasi oleh Panitera secara berkala
- Pakta integritas
- SOP dan regulasi yang berkaitan dengan proses pengembalian sisa panjar perkara</t>
  </si>
  <si>
    <t>Suap menyuap pada saat pelaksanaan
eksekusi ketika proses permohonan eksekusi, resume, anmaaning, konstatering, pelaksanaan eksekusi</t>
  </si>
  <si>
    <t xml:space="preserve">- Kurang pengawasan dari pimpinan sebagai pejabat yang melakukan pengawasan
- Kurang pengawasan dari panitera sebagai atasan langsung
- Pelaku ingin menjadikan proses tersebut sebagai objek untuk mencari uang tambahan
</t>
  </si>
  <si>
    <t xml:space="preserve">- Pembinaan dan pengawasan terintegrasi oleh panitera secara berkala
- Pakta integritas
- SOP dan regulasi yang berkaitan dengan eksekusi
</t>
  </si>
  <si>
    <t xml:space="preserve">Penyuapan pada saat penetapan majelis
hakim ketika proses penerimaan pelimpahan berkas perkara di
Pengadilan, Penetapan majelis hakim
 </t>
  </si>
  <si>
    <t xml:space="preserve">- Kurang pengawasan dan pembinaan dari pimpinan
- Adanya kepentingan pihak tertentu
</t>
  </si>
  <si>
    <t xml:space="preserve">-Pembinaan oleh Ketua PT secara berkala
- Pakta integritas
- SOP dan Pedoman yang berkaitan dengan kode etik hakim dan pimpinan dalam hal ini Ketua PN
</t>
  </si>
  <si>
    <t>Pendaftaran Gugatan – penerimaan pendaftaran perkara gugatan</t>
  </si>
  <si>
    <t>1. Sistem: kurangnya pengawasan dari pimpinan (KPN, WKPN, Panitera, Panmud). 
2. Individu: keinginan untuk mendapatkan insentif di luar dari yang seharusnya oleh personel PN. 
3. Rasionalisasi: adanya anggapan bahwa praktik suap-menyuap itu wajar.</t>
  </si>
  <si>
    <t>1. Adanya SOP yang mengatur durasi pendaftaran perkara. 
2. Penerimaan perkara sudah terpusat di PTSP atau melalui e-Court. 
3. Sudah ada kanal WBS dan pelaporan lainnya, yaitu WhatsApp, Kotak Pengaduan, dan SIWAS. 
4. Penerapan ZI dan SMAP. 
5. Pembatasan akses area kantor dengan pintu berpassword. 
6. Pemutaran audio anti penyuapan dan gratifikasi setiap satu jam sekali.</t>
  </si>
  <si>
    <t>1 Penunjukan Majelis
Hakim/hakim</t>
  </si>
  <si>
    <t>2 Penunjukan Panitera
Pengganti</t>
  </si>
  <si>
    <t>3 Penunjukan
Jurusita/Jurusita
Pengganti</t>
  </si>
  <si>
    <t>4 Proses persidangan dan
penjatuhan putusan</t>
  </si>
  <si>
    <t>5 Proses Penyelesaian
Perkara Pidana Anak
Diversi Berhasil</t>
  </si>
  <si>
    <t>6 Proses Penyelesaian
Perkara Pidana Anak
Diversi Gagal</t>
  </si>
  <si>
    <t>7 Upaya Hukum ( Banding,
Kasasi, Peninjauan
Kembali)</t>
  </si>
  <si>
    <t>8 Proses Pengiriman
Putusan atas Upaya
Hukum (Banding, Kasasi,
Peninjauan Kembali)
kepada para pihak</t>
  </si>
  <si>
    <t>9 Permintaan Permohonan
Perpanjangan
Penahananan oleh PU
Berdasarkan Pasal 25
KUHAP</t>
  </si>
  <si>
    <t>10 Penetapan Penahanan
oleh Majelis Hakim</t>
  </si>
  <si>
    <t>11 Permohonan
Izin/Persetujuan Besuk</t>
  </si>
  <si>
    <t>12 Permohonan Pengalihan
Penahanan</t>
  </si>
  <si>
    <t>13 Permohonan
Penangguhan Penahanan</t>
  </si>
  <si>
    <t>14 Proses permohonan
izin/persetujuan
penggeledahan &amp;
Penyitaan</t>
  </si>
  <si>
    <t>15 Izin Pembantaran
Penahanan</t>
  </si>
  <si>
    <t>16 Pencabutan Permohonan
Upaya Hukum (Banding,
Kasasi, Peninjuaun
Kembali)</t>
  </si>
  <si>
    <t>17 Permohonan Pinjam
Pakai Barang Bukti</t>
  </si>
  <si>
    <t>18 Permohonan Izin Berobat
Tahanan</t>
  </si>
  <si>
    <t>19 Proses penyelesaian
perkara pelanggaran lalu
lintas</t>
  </si>
  <si>
    <t>20 Proses penyerahan
salinan putusan</t>
  </si>
  <si>
    <t>1 Eksekusi</t>
  </si>
  <si>
    <t>2 Pendaftaran
Gugatan/permohonan/b
antahan
perdata/gugatan
sederhana/e-court</t>
  </si>
  <si>
    <t>3 Permohonan
konsinyasi/pengadaan
tanah untuk kepentingan
umum</t>
  </si>
  <si>
    <t>4 Penunjukan Majelis
Hakim/panitera
pengganti/jurusita</t>
  </si>
  <si>
    <t>5 Panggilan/
Pemberitahuan</t>
  </si>
  <si>
    <t>6 Mediasi</t>
  </si>
  <si>
    <t>7 Persidangan Gugatan/
permohonan/ bantahan
perdata/gugatan
sederhana/ e-court</t>
  </si>
  <si>
    <t>8 Pemeriksaan setempat</t>
  </si>
  <si>
    <t>9 Putusan perkara
gugatan/ permohonan/
bantahan perdata/
gugatan sederhana</t>
  </si>
  <si>
    <t>10 Penetapan permohonan
konsinyasi/ pengadaan
tanah untuk kepentingan
umum</t>
  </si>
  <si>
    <t>11 Sita jaminan/ eksekusi/
marital</t>
  </si>
  <si>
    <t>12 Salinan putusan/
penetapan (gugatan/
permohonan bantahan
perdata/ gugatan
sederhana)</t>
  </si>
  <si>
    <t>14 Upaya hukum
(banding/kasasi/peninjau
an kembali)</t>
  </si>
  <si>
    <t>15 Pengembalian sisa panjar
biaya perkara</t>
  </si>
  <si>
    <t>16 Eksekusi</t>
  </si>
  <si>
    <t>17 Konsinyasi</t>
  </si>
  <si>
    <t>2 Pendaftaran Surat Kuasa
Khusus</t>
  </si>
  <si>
    <t>3 Pendaftaran Surat Ijin
Kuasa Insidentil</t>
  </si>
  <si>
    <t>4 Surat Keterangan Tidak
Tersangkut Perkara</t>
  </si>
  <si>
    <t>5 Legalisasi Surat Akta Di
Bawah Tangan
(Waarmeking)</t>
  </si>
  <si>
    <t>1 Pertanggungjawaban
belanja gaji pegawai</t>
  </si>
  <si>
    <t>2 Pertanggungjawaban
belanja terhadap pihak
ketiga / rekanan</t>
  </si>
  <si>
    <t>3 Pertanggungjawaban
belanja pemeliharaan/
perawatan gedung
kantor pengadilan</t>
  </si>
  <si>
    <t>4 Pertanggungjawaban
belanja pemeliharaan/
perawatan rumah dinas</t>
  </si>
  <si>
    <t>5 Pertanggungjawaban
belanja pengadaan
peralatan dan mesin</t>
  </si>
  <si>
    <t>6 Pertanggungjawaban
belanja pemeliharaan /
perawatan peralatan dan
mesin</t>
  </si>
  <si>
    <t>7 Pertanggungjawaban
belanja pembayaran
listrik dan air rumah
dinas</t>
  </si>
  <si>
    <t>8 Pertanggungjawaban
belanja pengadaan
seragam/ baju dinas</t>
  </si>
  <si>
    <t>9 Pertanggungjawaban
belanja tunjangan
kinerja, uang makan dan
transportasi</t>
  </si>
  <si>
    <t>10 Pertanggungjawaban
belanja perjalanan dinas</t>
  </si>
  <si>
    <t>11 Pelaksanaan Pengadaan
Barang dan Jasa</t>
  </si>
  <si>
    <t>1 Penatausahaan Barang
Persediaan</t>
  </si>
  <si>
    <t>4 Penatausahaan Sewa
BMN</t>
  </si>
  <si>
    <t>1 Tata kelola Baperjakat</t>
  </si>
  <si>
    <t>2 Tata kelola promosi,
demosi dan mutasi</t>
  </si>
  <si>
    <t>3 Tata kelola
absensi/disiplin hakim
dan aparatur pengadilan</t>
  </si>
  <si>
    <t>4 Tata kelola rekruitment,
pembinaan dan evaluasi
tenaga PPnPN (Pegawai
Pemerintah Non Pegawai
Negeri)</t>
  </si>
  <si>
    <t>5 Tata kelola Pelantikan
dan alih tugas pejabat
dan aparatur Pengadilan</t>
  </si>
  <si>
    <t>PETA RISIKO UPG MAHKAMAH AGUNG</t>
  </si>
  <si>
    <t>Peta Risiko Gratifikasi — kombinasi Probabilitas x Dampak, dibedah dari formula Level Risiko pada sheet Risk Register 2026</t>
  </si>
  <si>
    <t>TINGKAT DAMPAK</t>
  </si>
  <si>
    <t>TINGKAT PROBABILITAS</t>
  </si>
  <si>
    <t>Legenda:</t>
  </si>
  <si>
    <t>Sangat Rendah (1–5)</t>
  </si>
  <si>
    <t>Rendah (6–11)</t>
  </si>
  <si>
    <t>Sedang (12–15)</t>
  </si>
  <si>
    <t>Tinggi (16–19)</t>
  </si>
  <si>
    <t>Sangat Tinggi (20–25)</t>
  </si>
  <si>
    <t>JUMLAH RISIKO TERISI PER SEL (dari Risk Register 2026)</t>
  </si>
  <si>
    <t>KRITERIA PENILAIAN RISIKO</t>
  </si>
  <si>
    <t>A. SKALA LIKELIHOOD (KEMUNGKINAN)</t>
  </si>
  <si>
    <t>Level Kemungkinan</t>
  </si>
  <si>
    <t>Nilai</t>
  </si>
  <si>
    <t>Persentase dalam 1 tahun</t>
  </si>
  <si>
    <t>Jumlah frekuensi dalam 1 tahun</t>
  </si>
  <si>
    <t>Hampir tidak terjadi</t>
  </si>
  <si>
    <t>1</t>
  </si>
  <si>
    <t>0% &lt; x ≤ 10%</t>
  </si>
  <si>
    <t>sangat jarang: &lt; 2 kali</t>
  </si>
  <si>
    <t>Jarang terjadi</t>
  </si>
  <si>
    <t>2</t>
  </si>
  <si>
    <t>10% &lt; x ≤ 30%</t>
  </si>
  <si>
    <t>jarang: 2 kali s.d. 5 kali</t>
  </si>
  <si>
    <t>Kadang terjadi</t>
  </si>
  <si>
    <t>3</t>
  </si>
  <si>
    <t>30% &lt; x ≤ 50%</t>
  </si>
  <si>
    <t>cukup sering: 6 s.d. 9 kali</t>
  </si>
  <si>
    <t>Sering terjadi</t>
  </si>
  <si>
    <t>4</t>
  </si>
  <si>
    <t>50% &lt; x ≤ 90%</t>
  </si>
  <si>
    <t>sering: 10 kali s.d. 12 kali</t>
  </si>
  <si>
    <t>Hampir pasti terjadi</t>
  </si>
  <si>
    <t>5</t>
  </si>
  <si>
    <t>90% &lt; x &lt; 100%</t>
  </si>
  <si>
    <t>sangat sering: &gt; 12 kali</t>
  </si>
  <si>
    <t>B. SKALA IMPACT (DAMPAK)</t>
  </si>
  <si>
    <t>Area Dampak</t>
  </si>
  <si>
    <t>Sangat Rendah (1)</t>
  </si>
  <si>
    <t>Rendah (2)</t>
  </si>
  <si>
    <t>Sedang (3)</t>
  </si>
  <si>
    <t>Tinggi (4)</t>
  </si>
  <si>
    <t>Sangat Tinggi (5)</t>
  </si>
  <si>
    <t>Kerugian Keuangan Negara dan Pihak Ketiga</t>
  </si>
  <si>
    <t>≤0,01% dari total anggaran non Belanja Pegawai pada unit Pemilik Risiko</t>
  </si>
  <si>
    <t>&gt;0,01% - 0,1% dari total anggaran non Belanja Pegawai pada unit Pemilik Risiko</t>
  </si>
  <si>
    <t>&gt;0,1% - 1% dari total anggaran non Belanja Pegawai pada unit Pemilik Risiko</t>
  </si>
  <si>
    <t>&gt;1% - 5% dari total anggaran non Belanja Pegawai pada unit Pemilik Risiko</t>
  </si>
  <si>
    <t>&gt;5% dari total anggaran non Belanja Pegawai pada unit Pemilik Risiko</t>
  </si>
  <si>
    <t>Penurunan Reputasi</t>
  </si>
  <si>
    <t>Jumlah keluhan pemangku kepentingan (stakeholder) &lt;10</t>
  </si>
  <si>
    <t>Jumlah keluhan pemangku kepentingan (stakeholder) sebanyak 10 s.d 20</t>
  </si>
  <si>
    <t>Jumlah keluhan pemangku kepentingan (stakeholder) &gt;20</t>
  </si>
  <si>
    <t>Pemberitaan negatif di media lokal dan media sosial yang sesuai fakta</t>
  </si>
  <si>
    <t>Pemberitaan negatif di media massa nasional dan atau media massa internasional</t>
  </si>
  <si>
    <t>Kesehatan dan Keselamatan Kerja</t>
  </si>
  <si>
    <t>Tidak berbahaya</t>
  </si>
  <si>
    <t>Gangguan kesehatan fisik ringan (mampu bekerja pada hari yang sama)</t>
  </si>
  <si>
    <t>Gangguan kesehatan fisik dan/atau mental sedang (tidak mampu melaksanakan tugas &gt;1 hari s/d 3 minggu)</t>
  </si>
  <si>
    <t>Gangguan kesehatan fisik dan/atau mental berat (tidak mampu melaksanakan tugas &gt;3 minggu atau mengakibatkan cacat tetap atau gangguan jiwa permanen)</t>
  </si>
  <si>
    <t>Kejadian fatal/kematian</t>
  </si>
  <si>
    <t>Realisasi Capaian Kinerja Sasaran Strategis</t>
  </si>
  <si>
    <t>100% &gt; Capaian IKU &gt; 97%</t>
  </si>
  <si>
    <t>97% &gt; Capaian IKU &gt; 92%</t>
  </si>
  <si>
    <t>92% &gt; Capaian IKU &gt; 87%</t>
  </si>
  <si>
    <t>87% &gt; Capaian IKU &gt; 80%</t>
  </si>
  <si>
    <t>80% &gt; Capaian IKU &gt; 70%</t>
  </si>
  <si>
    <t>Temuan hasil pemeriksaan BPK dan hasil pengawasan Badan Pengawasan</t>
  </si>
  <si>
    <t>Tidak ada temuan pengembalian uang ke kas negara dan penyimpangan material</t>
  </si>
  <si>
    <t>Ada temuan pengembalian uang ke kas negara dan/atau penyimpangan s/d 0,1% dari total anggaran</t>
  </si>
  <si>
    <t>Ada temuan pengembalian uang ke kas negara dan/atau penyimpangan &gt;0,1% - 1% dari total anggaran</t>
  </si>
  <si>
    <t>Ada temuan pengembalian uang ke kas negara dan/atau penyimpangan</t>
  </si>
  <si>
    <t>Gangguan terhadap Layanan Tusi Organisasi</t>
  </si>
  <si>
    <t>Layanan terganggu maksimal 1 jam</t>
  </si>
  <si>
    <t>Layanan terganggu maksimal 1 – 2,5 jam</t>
  </si>
  <si>
    <t>Layanan terganggu maksimal 2,5 - 5 jam</t>
  </si>
  <si>
    <t>Layanan terganggu maksimal 5 – 7,5 jam</t>
  </si>
  <si>
    <t>Layanan terganggu maksimal 1 hari kerja</t>
  </si>
  <si>
    <t>MATRIKS RISIKO 5x5</t>
  </si>
  <si>
    <t>A. Peta</t>
  </si>
  <si>
    <t>Matriks Analisis Risiko 5 x 5</t>
  </si>
  <si>
    <t>Tingkat Dampak</t>
  </si>
  <si>
    <t>Sedang</t>
  </si>
  <si>
    <t>Tinggi</t>
  </si>
  <si>
    <t>Kemungkinan besar terjadi</t>
  </si>
  <si>
    <t>Mungkin terjadi</t>
  </si>
  <si>
    <t>Kemungkinan kecil terjadi</t>
  </si>
  <si>
    <t>Kemungkinan tidak terjadi</t>
  </si>
  <si>
    <t>B. Status Risiko</t>
  </si>
  <si>
    <t>Status Risiko</t>
  </si>
  <si>
    <t>Besaran risiko</t>
  </si>
  <si>
    <t>Warna</t>
  </si>
  <si>
    <t>20 s.d 25</t>
  </si>
  <si>
    <t>Merah</t>
  </si>
  <si>
    <t>16 s.d 19</t>
  </si>
  <si>
    <t>Orange</t>
  </si>
  <si>
    <t>Moderat</t>
  </si>
  <si>
    <t>11 s.d 15</t>
  </si>
  <si>
    <t>Kuning</t>
  </si>
  <si>
    <t>6 s.d 10</t>
  </si>
  <si>
    <t>Hijau</t>
  </si>
  <si>
    <t>1 s.d 5</t>
  </si>
  <si>
    <t>Biru</t>
  </si>
  <si>
    <t>MASTER KATEGORI RISIKO</t>
  </si>
  <si>
    <t>Kode</t>
  </si>
  <si>
    <t>Definisi</t>
  </si>
  <si>
    <t>STR</t>
  </si>
  <si>
    <t>Risiko Strategis</t>
  </si>
  <si>
    <t>Risiko yang dapat menghambat organisasi mencapai tujuan jangka panjangnya, baik karena keputusan strategis yang salah maupun karena kegagalan beradaptasi dengan perubahan internal dan eksternal yang dapat berdampak signifikan pada arah dan keberlangsungan organisasi. Risiko Strategis hanya terdapat pada Pemilik Risiko Tingkat Lembaga Mahkamah Agung dan Eselon I.</t>
  </si>
  <si>
    <t>KBJ</t>
  </si>
  <si>
    <t>Risiko Kebijakan</t>
  </si>
  <si>
    <t>Risiko yang berkaitan dengan ketidaktepatan perumusan dan penetapan kebijakan internal maupun eksternal organisasi.</t>
  </si>
  <si>
    <t>KCR</t>
  </si>
  <si>
    <t>Risiko yang berkaitan dengan perbuatan yang mengandung unsur kesengajaan, niat, menguntungkan diri sendiri atau orang lain, penipuan, penggelapan, dan penyalahgunaan wewenang yang bertujuan untuk memperoleh keuntungan secara tidak sah yang dapat berupa uang, barang/harta, jasa, dan tidak membayar jasa, yang dilakukan oleh satu individu atau lebih di lingkungan organisasi.</t>
  </si>
  <si>
    <t>BNC</t>
  </si>
  <si>
    <t>Risiko Bencana</t>
  </si>
  <si>
    <t>Risiko yang berkaitan dengan potensi terjadinya peristiwa atau rangkaian peristiwa yang mengancam dan mengganggu layanan peradilan yang disebabkan oleh: faktor alam, dan/atau faktor non alam (antara lain faktor manusia dan kegagalan sistem teknologi informasi).</t>
  </si>
  <si>
    <t>KEP</t>
  </si>
  <si>
    <t>Risiko Kepatuhan</t>
  </si>
  <si>
    <t>Risiko yang berkaitan dengan ketidakpatuhan terhadap peraturan perundang-undangan, kesepakatan internasional, atau ketentuan lain yang berlaku.</t>
  </si>
  <si>
    <t>OPR</t>
  </si>
  <si>
    <t>Risiko Operasional</t>
  </si>
  <si>
    <t>Risiko yang berkaitan dengan tidak berfungsinya proses bisnis Mahkamah Agung, sistem informasi, atau keselamatan kerja individu.</t>
  </si>
  <si>
    <t>MTR</t>
  </si>
  <si>
    <t>Risiko Kemitraan</t>
  </si>
  <si>
    <t>Risiko yang berkaitan dengan pola hubungan antar unit kerja di dalam organisasi, dan antara organisasi dengan pihak eksternal.</t>
  </si>
  <si>
    <t>KATALOG KONTROL STANDAR</t>
  </si>
  <si>
    <t>ID Kontrol</t>
  </si>
  <si>
    <t>Nama Kontrol</t>
  </si>
  <si>
    <t>Jenis Kontrol</t>
  </si>
  <si>
    <t>Deskripsi</t>
  </si>
  <si>
    <t>Optimalisasi Aplikasi Antrian Elektronik dan Buku Tamu Digital</t>
  </si>
  <si>
    <t>Preventive</t>
  </si>
  <si>
    <t>Mengganti sistem pencatatan tamu dan antrian manual dengan optimalisasi aplikasi buku tamu dan antrian online yang dapat diakses publik. Sistem yang terotomatisasi secara rigid ini bertujuan untuk mencegah atau menekan peluang interaksi tawar-menawar antara pengunjung dan petugas di lini depan. Hal ini menutup celah bagi petugas keamanan atau resepsionis untuk memanipulasi, menyelipkan, atau mendahulukan pihak tertentu.</t>
  </si>
  <si>
    <t>C-002</t>
  </si>
  <si>
    <t>Approval Process</t>
  </si>
  <si>
    <t>Proses persetujuan berjenjang untuk transaksi/keputusan penting</t>
  </si>
  <si>
    <t>C-003</t>
  </si>
  <si>
    <t>Dual Control</t>
  </si>
  <si>
    <t>Dua orang diperlukan untuk menyelesaikan transaksi kritis</t>
  </si>
  <si>
    <t>C-004</t>
  </si>
  <si>
    <t>Access Control</t>
  </si>
  <si>
    <t>Pembatasan akses sistem berdasarkan role dan need-to-know</t>
  </si>
  <si>
    <t>C-005</t>
  </si>
  <si>
    <t>Regular Backup</t>
  </si>
  <si>
    <t>Corrective</t>
  </si>
  <si>
    <t>Backup data secara berkala (harian/mingguan)</t>
  </si>
  <si>
    <t>C-006</t>
  </si>
  <si>
    <t>Disaster Recovery Plan</t>
  </si>
  <si>
    <t>Rencana pemulihan sistem dan data saat terjadi bencana</t>
  </si>
  <si>
    <t>C-007</t>
  </si>
  <si>
    <t>Monitoring &amp; Logging</t>
  </si>
  <si>
    <t>Detective</t>
  </si>
  <si>
    <t>Pencatatan dan pemantauan aktivitas sistem secara real-time</t>
  </si>
  <si>
    <t>C-008</t>
  </si>
  <si>
    <t>Reconciliation</t>
  </si>
  <si>
    <t>Rekonsiliasi data secara berkala untuk mendeteksi ketidaksesuaian</t>
  </si>
  <si>
    <t>C-009</t>
  </si>
  <si>
    <t>Internal Audit</t>
  </si>
  <si>
    <t>Audit internal berkala oleh APIP</t>
  </si>
  <si>
    <t>C-010</t>
  </si>
  <si>
    <t>Training &amp; Awareness</t>
  </si>
  <si>
    <t>Pelatihan rutin untuk meningkatkan kompetensi dan kesadaran</t>
  </si>
  <si>
    <t>C-011</t>
  </si>
  <si>
    <t>Standard Operating Procedure</t>
  </si>
  <si>
    <t>Prosedur kerja standar yang terdokumentasi</t>
  </si>
  <si>
    <t>C-012</t>
  </si>
  <si>
    <t>Encryption</t>
  </si>
  <si>
    <t>Enkripsi data sensitif saat penyimpanan dan transmisi</t>
  </si>
  <si>
    <t>C-013</t>
  </si>
  <si>
    <t>Firewall &amp; Antivirus</t>
  </si>
  <si>
    <t>Perlindungan sistem dari ancaman siber</t>
  </si>
  <si>
    <t>C-014</t>
  </si>
  <si>
    <t>Physical Security</t>
  </si>
  <si>
    <t>Keamanan fisik gedung, ruangan, dan aset</t>
  </si>
  <si>
    <t>C-015</t>
  </si>
  <si>
    <t>Insurance</t>
  </si>
  <si>
    <t>Transfer</t>
  </si>
  <si>
    <t>Asuransi untuk mengalihkan risiko finansial</t>
  </si>
  <si>
    <t>CONTOH PENGISIAN PUSTAKA RISIKO (REFERENSI)</t>
  </si>
  <si>
    <t>Pernyataan Risiko
(Penyebab → Peristiwa → Dampak)</t>
  </si>
  <si>
    <t>Risiko SPBE</t>
  </si>
  <si>
    <t>Kegagalan Sistem Informasi Pelayanan Publik</t>
  </si>
  <si>
    <t>[Karena kurangnya maintenance rutin dan tidak adanya redundant server] menyebabkan [Kegagalan sistem informasi pelayanan publik] sehingga mengakibatkan [Layanan publik terhenti, masyarakat tidak dapat mengakses layanan, dan reputasi instansi menurun]</t>
  </si>
  <si>
    <t>Kurangnya maintenance rutin; Tidak ada redundant server; SDM IT terbatas</t>
  </si>
  <si>
    <t>Layanan publik terhenti; Keluhan masyarakat meningkat; Pemberitaan negatif; Kerugian finansial</t>
  </si>
  <si>
    <t>Meningkatkan Kepuasan Layanan Publik (IKU 1.1)</t>
  </si>
  <si>
    <t>Maintenance rutin bulanan; Backup data mingguan; Implementasi redundant server; Disaster Recovery Plan</t>
  </si>
  <si>
    <t>Efektif</t>
  </si>
  <si>
    <t>Mitigate + Transfer</t>
  </si>
  <si>
    <t>1) Implementasi redundant server (6 bulan); 2) Penyusunan DRP (3 bulan); 3) Asuransi cyber (2 bulan)</t>
  </si>
  <si>
    <t>Kepala Bagian IT</t>
  </si>
  <si>
    <t>Prioritas tinggi, butuh dukungan anggaran</t>
  </si>
  <si>
    <t>Risiko Fraud</t>
  </si>
  <si>
    <t>Penyalahgunaan Dana Bantuan Sosial</t>
  </si>
  <si>
    <t>[Karena lemahnya verifikasi penerima bantuan dan tidak adanya monitoring distribusi] menyebabkan [Penyalahgunaan dana bantuan sosial oleh oknum] sehingga mengakibatkan [Kerugian negara, bantuan tidak tepat sasaran, dan potensi tuntutan hukum]</t>
  </si>
  <si>
    <t>Lemahnya verifikasi data penerima; Tidak ada monitoring distribusi; Kurangnya transparansi</t>
  </si>
  <si>
    <t>Kerugian negara; Bantuan tidak tepat sasaran; Investigasi KPK/Kejaksaan; Sanksi pidana</t>
  </si>
  <si>
    <t>Penyaluran Bantuan Sosial Tepat Sasaran (IKU 2.3)</t>
  </si>
  <si>
    <t>Ekstrem</t>
  </si>
  <si>
    <t>Verifikasi data by name by address; Sistem informasi terintegrasi; Monitoring distribusi real-time; Audit berkala</t>
  </si>
  <si>
    <t>Mitigate</t>
  </si>
  <si>
    <t>1) Implementasi sistem verifikasi terintegrasi (4 bulan); 2) Pelatihan petugas (2 bulan); 3) Audit triwulanan</t>
  </si>
  <si>
    <t>Kepala Dinas Sosial</t>
  </si>
  <si>
    <t>Koordinasi dengan Kemensos untuk sistem terintegrasi</t>
  </si>
  <si>
    <t>Keterlambatan Penyampaian Laporan Keuangan</t>
  </si>
  <si>
    <t>[Karena keterbatasan SDM keuangan dan sistem pelaporan manual] menyebabkan [Keterlambatan penyampaian laporan keuangan] sehingga mengakibatkan [Temuan BPK, opini tidak wajar, dan sanksi administratif]</t>
  </si>
  <si>
    <t>Keterbatasan SDM; Sistem pelaporan manual; Kurangnya koordinasi antar unit</t>
  </si>
  <si>
    <t>Temuan BPK; Opini tidak wajar; Sanksi administratif; Reputasi buruk</t>
  </si>
  <si>
    <t>Mendapatkan Opini WTP dari BPK (IKU 3.1)</t>
  </si>
  <si>
    <t>Rekrutmen SDM; Implementasi sistem keuangan terintegrasi; SOP pelaporan; Reminder system</t>
  </si>
  <si>
    <t>1) Rekrutmen 2 staf keuangan (3 bulan); 2) Implementasi SIMDA (6 bulan); 3) Penyusunan SOP (1 bulan)</t>
  </si>
  <si>
    <t>Kepala Bagian Keuangan</t>
  </si>
  <si>
    <t>Koordinasi dengan BKD untuk rekrutmen</t>
  </si>
  <si>
    <t>#</t>
  </si>
  <si>
    <t>nik</t>
  </si>
  <si>
    <t>jabatan</t>
  </si>
  <si>
    <t>satker</t>
  </si>
  <si>
    <t>nomor_laporan</t>
  </si>
  <si>
    <t>jenis_penerimaan</t>
  </si>
  <si>
    <t>tanggal_penerimaan</t>
  </si>
  <si>
    <t>uraian_jenis_objek_gratifikasi</t>
  </si>
  <si>
    <t>nilai_penetapan</t>
  </si>
  <si>
    <t>nama_pemberi</t>
  </si>
  <si>
    <t>tanggal_lapor_kpk</t>
  </si>
  <si>
    <t>status_penetapan</t>
  </si>
  <si>
    <t>nomor_sk</t>
  </si>
  <si>
    <t>nama_instansi</t>
  </si>
  <si>
    <t>nama_sub_unit_kerja</t>
  </si>
  <si>
    <t>nama_unit_kerja</t>
  </si>
  <si>
    <t>Kelompok Jabatan</t>
  </si>
  <si>
    <t>Kategori Objek</t>
  </si>
  <si>
    <t>Skenario Gratifikasi</t>
  </si>
  <si>
    <t>Tahun Penerimaan</t>
  </si>
  <si>
    <t>Tipe Pemberi</t>
  </si>
  <si>
    <t>Bulan Penerimaan</t>
  </si>
  <si>
    <t>Kegiatan dari Uraian</t>
  </si>
  <si>
    <t>Dugaan dari Relasi/Momen</t>
  </si>
  <si>
    <t>Dugaan Kegiatan/Momen (final)</t>
  </si>
  <si>
    <t>SUGIYANTO</t>
  </si>
  <si>
    <t xml:space="preserve">3318102411670001 </t>
  </si>
  <si>
    <t>Sekretaris Mahkamah Agung</t>
  </si>
  <si>
    <t>/</t>
  </si>
  <si>
    <t>Penerimaan</t>
  </si>
  <si>
    <t>2023-04-18</t>
  </si>
  <si>
    <t>parsel harvest (cake) dan kue2 kering serta minuman</t>
  </si>
  <si>
    <t>an. Pimpinan Bank BSI Cabang Gedung Sekretariat MA RI</t>
  </si>
  <si>
    <t>2025-02-27 00:00:00</t>
  </si>
  <si>
    <t>Danang Prasetyo Nugroho</t>
  </si>
  <si>
    <t xml:space="preserve">3373023005850007 </t>
  </si>
  <si>
    <t>Panitera Pengganti</t>
  </si>
  <si>
    <t>Pengadilan Tinggi Agama Semarang/Pengadilan Agama Ambarawa</t>
  </si>
  <si>
    <t>G013-202501-013022-BIG</t>
  </si>
  <si>
    <t>2025-01-02</t>
  </si>
  <si>
    <t>Uang</t>
  </si>
  <si>
    <t>Ismail fahmi</t>
  </si>
  <si>
    <t>2025-01-02 17:28:46</t>
  </si>
  <si>
    <t>TIDAK WAJIB LAPOR</t>
  </si>
  <si>
    <t>Pengadilan Agama Ambarawa</t>
  </si>
  <si>
    <t>Wahyu Puji Leksono</t>
  </si>
  <si>
    <t xml:space="preserve">3374070312810002 </t>
  </si>
  <si>
    <t>Sekretaris</t>
  </si>
  <si>
    <t>Pengadilan Tinggi Agama Semarang/Pengadilan Agama Magelang</t>
  </si>
  <si>
    <t>G013-202501-013024-BIG</t>
  </si>
  <si>
    <t>2024-12-23</t>
  </si>
  <si>
    <t>Makanan Ringan khas wonosobo dalam kemasan</t>
  </si>
  <si>
    <t>Drs. Abdul Malik, SH., M.SI</t>
  </si>
  <si>
    <t>2025-01-03 08:29:08</t>
  </si>
  <si>
    <t>Ismaya Salindri</t>
  </si>
  <si>
    <t xml:space="preserve">3372014105910007 </t>
  </si>
  <si>
    <t>Hakim</t>
  </si>
  <si>
    <t>G013-202501-013039-BIG</t>
  </si>
  <si>
    <t>2025-01-03</t>
  </si>
  <si>
    <t>Parsel pecah belah</t>
  </si>
  <si>
    <t>Kristalina</t>
  </si>
  <si>
    <t>2025-01-04 12:13:28</t>
  </si>
  <si>
    <t>DIKELOLA INSTANSI</t>
  </si>
  <si>
    <t>Muhammad Azhar Hasibuan, S.H.I., MA.</t>
  </si>
  <si>
    <t xml:space="preserve">1271091408820002 </t>
  </si>
  <si>
    <t>Ketua</t>
  </si>
  <si>
    <t>Pengadilan Tinggi Agama Medan/Pengadilan Agama Sibolga</t>
  </si>
  <si>
    <t>G013-202501-013059-BIG</t>
  </si>
  <si>
    <t>Tidak Diketahui</t>
  </si>
  <si>
    <t>2025-01-06 17:07:52</t>
  </si>
  <si>
    <t>Pengadilan Agama Sibolga</t>
  </si>
  <si>
    <t>DIAN ANGGRAINI</t>
  </si>
  <si>
    <t xml:space="preserve">3303057012760002 </t>
  </si>
  <si>
    <t>Hakim Yustisial</t>
  </si>
  <si>
    <t>Badan Pengawasan/Badan Pengawasan</t>
  </si>
  <si>
    <t>2025-01-09 00:00:00</t>
  </si>
  <si>
    <t>YUNUS</t>
  </si>
  <si>
    <t xml:space="preserve">7314022712920001 </t>
  </si>
  <si>
    <t>Pengadilan Tinggi Makassar/Pengadilan Negeri Sinjai</t>
  </si>
  <si>
    <t>G013-202501-013117-BIG</t>
  </si>
  <si>
    <t>ANDI ALAUDDIN, S.H., M.H.</t>
  </si>
  <si>
    <t>2025-01-09 16:02:34</t>
  </si>
  <si>
    <t>Pengadilan Negeri Sinjai</t>
  </si>
  <si>
    <t>Adji Prakoso</t>
  </si>
  <si>
    <t xml:space="preserve">3275081702880013 </t>
  </si>
  <si>
    <t>Pengadilan Tinggi Jawa Timur/Pengadilan Negeri Sampang</t>
  </si>
  <si>
    <t>G013-202501-013118-BIG</t>
  </si>
  <si>
    <t>Kue Gapit Satu Kantong Kecil dan Dodol Khas Pontianak</t>
  </si>
  <si>
    <t>Eliyas Eko Setyo</t>
  </si>
  <si>
    <t>2025-01-09 17:00:55</t>
  </si>
  <si>
    <t>Pengadilan Negeri Sampang</t>
  </si>
  <si>
    <t>G013-202501-013119-BIG</t>
  </si>
  <si>
    <t>2025-01-06</t>
  </si>
  <si>
    <t>Kue dan kopi bubuk</t>
  </si>
  <si>
    <t>Ahmad Adib, S.H., M.H.</t>
  </si>
  <si>
    <t>2025-01-09 17:06:20</t>
  </si>
  <si>
    <t>G013-202501-013128-BIG</t>
  </si>
  <si>
    <t>Penolakan</t>
  </si>
  <si>
    <t>2025-01-10</t>
  </si>
  <si>
    <t>Nasi Kotak</t>
  </si>
  <si>
    <t>Agus Andrianto</t>
  </si>
  <si>
    <t>2025-01-10 08:51:53</t>
  </si>
  <si>
    <t>Azizah Amalia</t>
  </si>
  <si>
    <t xml:space="preserve">3175095611910002 </t>
  </si>
  <si>
    <t>Hakim Pratama Muda</t>
  </si>
  <si>
    <t>Pengadilan Tinggi Sulawesi tengah/Pengadilan Negeri Luwuk</t>
  </si>
  <si>
    <t>G013-202501-013145-BIG</t>
  </si>
  <si>
    <t>2024-12-27</t>
  </si>
  <si>
    <t>Universitas Negeri Malang</t>
  </si>
  <si>
    <t>2025-01-10 16:10:54</t>
  </si>
  <si>
    <t>Pengadilan Negeri Luwuk</t>
  </si>
  <si>
    <t>I Kadek Apdila Wirawan</t>
  </si>
  <si>
    <t xml:space="preserve">5105022104920004 </t>
  </si>
  <si>
    <t>Pengadilan Tinggi Bali/Pengadilan Negeri Gianyar</t>
  </si>
  <si>
    <t>G013-202501-013155-BIG</t>
  </si>
  <si>
    <t>Permen Ting Ting Jahe</t>
  </si>
  <si>
    <t>Cik</t>
  </si>
  <si>
    <t>2025-01-12 20:44:46</t>
  </si>
  <si>
    <t>Pengadilan Negeri Gianyar</t>
  </si>
  <si>
    <t>I Ketut Darpawan</t>
  </si>
  <si>
    <t xml:space="preserve">5106022405800001 </t>
  </si>
  <si>
    <t>Pengadilan Tinggi Mataram/Pengadilan Negeri Dompu</t>
  </si>
  <si>
    <t>G013-202501-013166-BIG</t>
  </si>
  <si>
    <t>Kurma, Air Zam-Zam, Kacang</t>
  </si>
  <si>
    <t>Dr. HERY SUPRIYONO, S.H., M.Hum (KPT NTB)</t>
  </si>
  <si>
    <t>2025-01-13 16:40:11</t>
  </si>
  <si>
    <t>Pengadilan Negeri Dompu</t>
  </si>
  <si>
    <t>Sarung</t>
  </si>
  <si>
    <t>Muh Irfan Husaeni</t>
  </si>
  <si>
    <t xml:space="preserve">1301052410740001 </t>
  </si>
  <si>
    <t>G013-202501-013168-BIG</t>
  </si>
  <si>
    <t>Prof. Dr. Ilyya Muhsin, S.HI., M.Si</t>
  </si>
  <si>
    <t>2025-01-13 21:28:32</t>
  </si>
  <si>
    <t>SEBAGIAN MILIK NEGARA</t>
  </si>
  <si>
    <t>144/GTF.02/13/01/2025</t>
  </si>
  <si>
    <t>Nanang Andrianto, S.T.</t>
  </si>
  <si>
    <t xml:space="preserve">3402082202770001 </t>
  </si>
  <si>
    <t>Kasub.Bag. Umum dan Keuangan</t>
  </si>
  <si>
    <t>Pengadilan Tinggi Agama Yogyakarta/Pengadilan Agama Wates</t>
  </si>
  <si>
    <t>G013-202501-013180-BIG</t>
  </si>
  <si>
    <t>2025-01-13</t>
  </si>
  <si>
    <t>Teko dan cup</t>
  </si>
  <si>
    <t>Pengadilan Agama Wates</t>
  </si>
  <si>
    <t>2025-01-14 10:23:44</t>
  </si>
  <si>
    <t>G013-202501-013176-BIG</t>
  </si>
  <si>
    <t>Selusin sendok</t>
  </si>
  <si>
    <t>kasir</t>
  </si>
  <si>
    <t>2025-01-14 10:02:10</t>
  </si>
  <si>
    <t>Justice Yosie A Simanjuntak</t>
  </si>
  <si>
    <t xml:space="preserve">1271216510910001 </t>
  </si>
  <si>
    <t>2025-01-14 00:00:00</t>
  </si>
  <si>
    <t>Ari Wibowo</t>
  </si>
  <si>
    <t xml:space="preserve">3404061111840006 </t>
  </si>
  <si>
    <t>Kepala Sub Bagian Kepegawaian dan Ortala</t>
  </si>
  <si>
    <t>G013-202501-013192-BIG</t>
  </si>
  <si>
    <t>4 buah cangkir dan 1 teko</t>
  </si>
  <si>
    <t>Kantor Pengadilan Agama Wates</t>
  </si>
  <si>
    <t>2025-01-14 12:09:38</t>
  </si>
  <si>
    <t>Agung Sulistiyono</t>
  </si>
  <si>
    <t xml:space="preserve">3401021802670021 </t>
  </si>
  <si>
    <t>Hakim Tinggi</t>
  </si>
  <si>
    <t>Pengadilan Tinggi Banjarmasin/Pengadilan Tinggi Banjarmasin</t>
  </si>
  <si>
    <t>Irma Devi Megandari</t>
  </si>
  <si>
    <t xml:space="preserve">3404146605900002 </t>
  </si>
  <si>
    <t>Jurusita Pengganti</t>
  </si>
  <si>
    <t>G013-202501-013198-BIG</t>
  </si>
  <si>
    <t>Satu set gelas</t>
  </si>
  <si>
    <t>Ketua Pengadilan</t>
  </si>
  <si>
    <t>2025-01-15 03:05:36</t>
  </si>
  <si>
    <t>Sidik</t>
  </si>
  <si>
    <t xml:space="preserve">3209150307900013 </t>
  </si>
  <si>
    <t>Staff Penelaah Teknis Kebijakan</t>
  </si>
  <si>
    <t>G013-202501-013200-BIG</t>
  </si>
  <si>
    <t>Gelas Kaca yang masih baru</t>
  </si>
  <si>
    <t>Ketua Pengadilan Agama Wates</t>
  </si>
  <si>
    <t>2025-01-15 08:05:48</t>
  </si>
  <si>
    <t>G013-202501-013211-BIG</t>
  </si>
  <si>
    <t>2024-12-13</t>
  </si>
  <si>
    <t>Baby walker</t>
  </si>
  <si>
    <t>Ibu Ketua Dharmayukti Karini Cabang Sampang</t>
  </si>
  <si>
    <t>2025-01-15 15:47:24</t>
  </si>
  <si>
    <t>Agus Wantoro</t>
  </si>
  <si>
    <t xml:space="preserve">3401021908780001 </t>
  </si>
  <si>
    <t>Panitera Muda Hukum</t>
  </si>
  <si>
    <t>G013-202501-013213-BIG</t>
  </si>
  <si>
    <t>4 buah cangkir dan 1 buah teko</t>
  </si>
  <si>
    <t>2025-01-15 16:39:30</t>
  </si>
  <si>
    <t>Subhan</t>
  </si>
  <si>
    <t xml:space="preserve">6302061603750002 </t>
  </si>
  <si>
    <t>Pengadilan Tinggi Agama Banjarmasin/Pengadilan Agama Banjarmasin</t>
  </si>
  <si>
    <t>G013-202501-013216-BIG</t>
  </si>
  <si>
    <t>2025-01-14</t>
  </si>
  <si>
    <t>Sri Mawarni, S.Sos., M.Si.</t>
  </si>
  <si>
    <t>2025-01-16 07:52:09</t>
  </si>
  <si>
    <t>MILIK NEGARA</t>
  </si>
  <si>
    <t>133/GTF.02/13/01/2025</t>
  </si>
  <si>
    <t>Pengadilan Agama Banjarmasin</t>
  </si>
  <si>
    <t>Septianah</t>
  </si>
  <si>
    <t xml:space="preserve">1604104209790003 </t>
  </si>
  <si>
    <t>Pengadilan Tinggi Agama Yogyakarta/Pengadilan Agama Bantul</t>
  </si>
  <si>
    <t>G013-202501-013218-BIG</t>
  </si>
  <si>
    <t>paket tempat minum dan power bank berlogo pemberi</t>
  </si>
  <si>
    <t>Michael R. Risakotta, S.H., S.I.K</t>
  </si>
  <si>
    <t>2025-01-16 10:23:20</t>
  </si>
  <si>
    <t>Pengadilan Agama Bantul</t>
  </si>
  <si>
    <t>G013-202501-013238-BIG</t>
  </si>
  <si>
    <t>2025-01-16</t>
  </si>
  <si>
    <t>Nasi kotak disertai satu gelas aqua</t>
  </si>
  <si>
    <t>Ainur Rochman</t>
  </si>
  <si>
    <t>2025-01-16 17:06:48</t>
  </si>
  <si>
    <t>Solihin Niar Ramadhan, S.H.</t>
  </si>
  <si>
    <t xml:space="preserve">3273231803930005 </t>
  </si>
  <si>
    <t>Pengadilan Tinggi Jawa Barat/Pengadilan Negeri Majalengka</t>
  </si>
  <si>
    <t>G013-202501-013243-BIG</t>
  </si>
  <si>
    <t>2025-01-17</t>
  </si>
  <si>
    <t>Durian Sinapeul</t>
  </si>
  <si>
    <t>Termohon Konsinyasi a.n Edi Supardi melalui Panitera dan Panitera Muda Perdata</t>
  </si>
  <si>
    <t>2025-01-17 08:15:46</t>
  </si>
  <si>
    <t>156/GTF.02/13/01/2025</t>
  </si>
  <si>
    <t>Pengadilan Negeri Majalengka</t>
  </si>
  <si>
    <t>Hasanudin</t>
  </si>
  <si>
    <t xml:space="preserve">3206241304780001 </t>
  </si>
  <si>
    <t>Direktur Pembinaan Tenaga Teknis</t>
  </si>
  <si>
    <t>Direktorat Jenderal Badan Peradilan Umum/Direktorat Pembinaan Tenaga Teknis Peradilan Umum</t>
  </si>
  <si>
    <t>G013-202501-013251-BIG</t>
  </si>
  <si>
    <t>Satu dus berisi beberapa bungkus Kopi Gayo dengan berbagai macam rasa dan makanan khas</t>
  </si>
  <si>
    <t>Deny</t>
  </si>
  <si>
    <t>2025-01-17 13:12:12</t>
  </si>
  <si>
    <t>Direktorat Pembinaan Tenaga Teknis Peradilan Umum</t>
  </si>
  <si>
    <t>Edy Akhmad Fauzi</t>
  </si>
  <si>
    <t xml:space="preserve">3305132905770001 </t>
  </si>
  <si>
    <t>PPNPN</t>
  </si>
  <si>
    <t>G013-202501-013252-BIG</t>
  </si>
  <si>
    <t>Dekan Fakultas Syari'ah</t>
  </si>
  <si>
    <t>2025-01-17 13:50:15</t>
  </si>
  <si>
    <t>202/GTF.02/13/02/2025</t>
  </si>
  <si>
    <t>G013-202501-013261-BIG</t>
  </si>
  <si>
    <t>Plakat akrilik beserta tempat penyimpanan sejumlah 1 (satu) set</t>
  </si>
  <si>
    <t>2025-01-17 17:14:58</t>
  </si>
  <si>
    <t>Arya Mulatua</t>
  </si>
  <si>
    <t xml:space="preserve">1401011511930002 </t>
  </si>
  <si>
    <t>Pengadilan Tinggi Banjarmasin/</t>
  </si>
  <si>
    <t>G013-202501-013272-BIG</t>
  </si>
  <si>
    <t>2025-01-15</t>
  </si>
  <si>
    <t>Rahmat Tri Wib</t>
  </si>
  <si>
    <t>2025-01-20 14:00:35</t>
  </si>
  <si>
    <t>165/GTF.02/13/01/2025</t>
  </si>
  <si>
    <t>Dian Nur Pratiwi</t>
  </si>
  <si>
    <t xml:space="preserve">3371034801810001 </t>
  </si>
  <si>
    <t>Wakil Ketua Pengadilan Negeri (Hakim)</t>
  </si>
  <si>
    <t>G013-202501-013288-BIG</t>
  </si>
  <si>
    <t>2024-12-12</t>
  </si>
  <si>
    <t>Makan siang</t>
  </si>
  <si>
    <t>Dian mariana</t>
  </si>
  <si>
    <t>2025-01-21 14:39:57</t>
  </si>
  <si>
    <t>167/GTF.02/13/01/2025</t>
  </si>
  <si>
    <t>G013-202501-013328-BIG</t>
  </si>
  <si>
    <t>2025-01-25</t>
  </si>
  <si>
    <t>4 potong Kue bolu buatan rumah</t>
  </si>
  <si>
    <t>dr. Marthinus Santoso</t>
  </si>
  <si>
    <t>2025-01-25 19:29:53</t>
  </si>
  <si>
    <t>Junita Beatrix Ma'i, S.H., M.H.</t>
  </si>
  <si>
    <t xml:space="preserve">7171035406780001 </t>
  </si>
  <si>
    <t>Ketua Pengadilan Negeri Amurang</t>
  </si>
  <si>
    <t>Pengadilan Negeri Amurang/</t>
  </si>
  <si>
    <t>G013-202501-013354-BUK</t>
  </si>
  <si>
    <t>Parcel Makanan berisi 8 Toples Kue Kering Holand Bakery dan Minuman (Sirup)</t>
  </si>
  <si>
    <t>Kepala Kepolisian Resor Minahasa Selatan</t>
  </si>
  <si>
    <t>2025-01-31 15:32:05</t>
  </si>
  <si>
    <t>G013-202501-013355-BUK</t>
  </si>
  <si>
    <t>1 buah box berisi kue kering Holand Bakery</t>
  </si>
  <si>
    <t>Akbar Ridho dan Keluarga</t>
  </si>
  <si>
    <t>2025-01-31 15:41:22</t>
  </si>
  <si>
    <t>G013-202501-013356-BUK</t>
  </si>
  <si>
    <t>Parcel pecah belah</t>
  </si>
  <si>
    <t>2025-01-31 15:48:09</t>
  </si>
  <si>
    <t>233/GTF.02/13/02/2025</t>
  </si>
  <si>
    <t>G013-202501-013357-BUK</t>
  </si>
  <si>
    <t>Parcel kue kering</t>
  </si>
  <si>
    <t>2025-01-31 15:52:07</t>
  </si>
  <si>
    <t>Muhamad Ainun Najib</t>
  </si>
  <si>
    <t xml:space="preserve">3308202512940001 </t>
  </si>
  <si>
    <t>G013-202502-013368-BIG</t>
  </si>
  <si>
    <t>2025-01-31</t>
  </si>
  <si>
    <t>Donat merk Alif's Bakery</t>
  </si>
  <si>
    <t>MELYSA ADA YUSMITA</t>
  </si>
  <si>
    <t>2025-02-03 11:08:30</t>
  </si>
  <si>
    <t>Yossius Reinando Siagian</t>
  </si>
  <si>
    <t xml:space="preserve">3509211707930007 </t>
  </si>
  <si>
    <t>Pengadilan Tinggi Kupang/Pengadilan Negeri Bajawa</t>
  </si>
  <si>
    <t>G013-202502-013372-BIG</t>
  </si>
  <si>
    <t>2025-02-01</t>
  </si>
  <si>
    <t>Uang Tunai</t>
  </si>
  <si>
    <t>Iptu Yakobus Sanam</t>
  </si>
  <si>
    <t>2025-02-03 15:16:17</t>
  </si>
  <si>
    <t>234/GTF.02/13/02/2025</t>
  </si>
  <si>
    <t>Pengadilan Negeri Bajawa</t>
  </si>
  <si>
    <t>G013-202502-013378-BIG</t>
  </si>
  <si>
    <t>2025-02-03</t>
  </si>
  <si>
    <t>Mug, bolpoint dan booknote</t>
  </si>
  <si>
    <t>2025-02-03 19:07:55</t>
  </si>
  <si>
    <t>Mohammad Roy Irawan</t>
  </si>
  <si>
    <t xml:space="preserve">3374062107790003 </t>
  </si>
  <si>
    <t>Pengadilan Tinggi Agama Semarang/Pengadilan Agama Semarang</t>
  </si>
  <si>
    <t>G013-202502-013379-BIG</t>
  </si>
  <si>
    <t>Block Note, Mug dan Bolpoin berlogo</t>
  </si>
  <si>
    <t>2025-02-03 19:59:16</t>
  </si>
  <si>
    <t>Pengadilan Agama Semarang</t>
  </si>
  <si>
    <t>Akbar Syaiful</t>
  </si>
  <si>
    <t xml:space="preserve">3311052804830002 </t>
  </si>
  <si>
    <t>Pengadilan Tinggi Agama Semarang/Pengadilan Agama Temanggung</t>
  </si>
  <si>
    <t>G013-202502-013380-BIG</t>
  </si>
  <si>
    <t>Gelas, note book dan ballpoint</t>
  </si>
  <si>
    <t>2025-02-03 20:07:08</t>
  </si>
  <si>
    <t>Pengadilan Agama Temanggung</t>
  </si>
  <si>
    <t>Mulyono</t>
  </si>
  <si>
    <t xml:space="preserve">3318030412830001 </t>
  </si>
  <si>
    <t>Pengadilan Tinggi Agama Semarang/Pengadilan Agama Demak</t>
  </si>
  <si>
    <t>G013-202502-013381-BIG</t>
  </si>
  <si>
    <t>Mug, bloknote dan ballpoint dalam goodybag</t>
  </si>
  <si>
    <t>2025-02-03 20:28:07</t>
  </si>
  <si>
    <t>Pengadilan Agama Demak</t>
  </si>
  <si>
    <t>G013-202502-013391-BIG</t>
  </si>
  <si>
    <t>2025-01-30</t>
  </si>
  <si>
    <t>makanan berisikan 4 buah kue basah</t>
  </si>
  <si>
    <t>Sucipto</t>
  </si>
  <si>
    <t>2025-02-04 11:23:25</t>
  </si>
  <si>
    <t>Siti Erlania Fitrianingsih</t>
  </si>
  <si>
    <t xml:space="preserve">3603184105890013 </t>
  </si>
  <si>
    <t>Kasubbag Perencanaan, Teknologi Informasi dan Pelaporan</t>
  </si>
  <si>
    <t>Pengadilan Tinggi Agama Bandung/Pengadilan Agama Bogor</t>
  </si>
  <si>
    <t>G013-202502-013414-BIG</t>
  </si>
  <si>
    <t>Kalender dinding dan kalender meja tahun 2025</t>
  </si>
  <si>
    <t>Ibu Wardah</t>
  </si>
  <si>
    <t>2025-02-05 17:22:55</t>
  </si>
  <si>
    <t>G013-202502-013434-BIG</t>
  </si>
  <si>
    <t>2025-02-07</t>
  </si>
  <si>
    <t>Kalender Bali dengan logo bumk setara dan skincare luna woo</t>
  </si>
  <si>
    <t>Bumi Setara</t>
  </si>
  <si>
    <t>2025-02-07 12:15:53</t>
  </si>
  <si>
    <t>Ishak Lubis</t>
  </si>
  <si>
    <t xml:space="preserve">1210022206690002 </t>
  </si>
  <si>
    <t>Wakil Ketua</t>
  </si>
  <si>
    <t>Pengadilan Tinggi Agama Bandung/Pengadilan Agama Sumber</t>
  </si>
  <si>
    <t>G013-202502-013448-BIG</t>
  </si>
  <si>
    <t>2025-01-24</t>
  </si>
  <si>
    <t>Pengurus Masjid Agung Sumber</t>
  </si>
  <si>
    <t>2025-02-09 18:01:11</t>
  </si>
  <si>
    <t>Pengadilan Agama Sumber</t>
  </si>
  <si>
    <t>G013-202502-013452-BIG</t>
  </si>
  <si>
    <t>Jam dinding berlogo SMK Al-Hafiz</t>
  </si>
  <si>
    <t>Guru SMK</t>
  </si>
  <si>
    <t>2025-02-10 09:24:48</t>
  </si>
  <si>
    <t>G013-202502-013460-BIG</t>
  </si>
  <si>
    <t>Mug, buku catatan, pulpen dan card holder</t>
  </si>
  <si>
    <t>Indri</t>
  </si>
  <si>
    <t>2025-02-10 14:39:12</t>
  </si>
  <si>
    <t>asep husni</t>
  </si>
  <si>
    <t xml:space="preserve">3272022812780041 </t>
  </si>
  <si>
    <t>Panitera</t>
  </si>
  <si>
    <t>G013-202502-013467-BIG</t>
  </si>
  <si>
    <t>2025-02-10</t>
  </si>
  <si>
    <t>cangkir mini dan buku catatan kecil</t>
  </si>
  <si>
    <t>Bank BSI Cimahi</t>
  </si>
  <si>
    <t>2025-02-10 21:48:26</t>
  </si>
  <si>
    <t>G013-202502-013472-BIG</t>
  </si>
  <si>
    <t>Sendok makan</t>
  </si>
  <si>
    <t>Kasir dari toko roti dewi bread house</t>
  </si>
  <si>
    <t>2025-02-11 11:54:18</t>
  </si>
  <si>
    <t>Septi Maria Manalu</t>
  </si>
  <si>
    <t xml:space="preserve">1273014109940001 </t>
  </si>
  <si>
    <t>Pengelola Penanganan Perkara</t>
  </si>
  <si>
    <t>Pengadilan Tinggi Jambi/Pengadilan Negeri Jambi</t>
  </si>
  <si>
    <t>2025-02-11 00:00:00</t>
  </si>
  <si>
    <t>Pengadilan Negeri Jambi</t>
  </si>
  <si>
    <t>Djulia Herjanara</t>
  </si>
  <si>
    <t xml:space="preserve">3673050107700002 </t>
  </si>
  <si>
    <t>Pengadilan Tinggi Agama Bandung/Pengadilan Agama Cimahi</t>
  </si>
  <si>
    <t>G013-202502-013475-BIG</t>
  </si>
  <si>
    <t>2025-02-11</t>
  </si>
  <si>
    <t>Kue dan roti kering</t>
  </si>
  <si>
    <t>Bapak Agung</t>
  </si>
  <si>
    <t>2025-02-11 14:11:38</t>
  </si>
  <si>
    <t>PASAL 6</t>
  </si>
  <si>
    <t>Pengadilan Agama Cimahi</t>
  </si>
  <si>
    <t>G013-202502-013485-BIG</t>
  </si>
  <si>
    <t>Buku "Pemenuhan Hak Anak dalam Norma dan Praktek"</t>
  </si>
  <si>
    <t>Prof. Dr. H. Ali Safiqin, M.Ag.</t>
  </si>
  <si>
    <t>2025-02-11 20:12:57</t>
  </si>
  <si>
    <t>SUTRISNO</t>
  </si>
  <si>
    <t xml:space="preserve">9171052504790001 </t>
  </si>
  <si>
    <t>Sekretaris Pengadilan Agama Bandung</t>
  </si>
  <si>
    <t>Pengadilan Tinggi Agama Bandung/Pengadilan Agama Bandung</t>
  </si>
  <si>
    <t>G013-202503-014051-BIG</t>
  </si>
  <si>
    <t>2025-03-21</t>
  </si>
  <si>
    <t>Hampers makanan ringan.</t>
  </si>
  <si>
    <t>Pos Bantuan Hukum (Posbakum) Fakultas Hukum &amp; Syariah UIN Sunan Gunung Djati Bandung.</t>
  </si>
  <si>
    <t>2025-03-22 10:25:14</t>
  </si>
  <si>
    <t>583/GTF.02/13/04/2025</t>
  </si>
  <si>
    <t>Pengadilan Agama Bandung</t>
  </si>
  <si>
    <t>M.IHSAN</t>
  </si>
  <si>
    <t xml:space="preserve">1104032410680001 </t>
  </si>
  <si>
    <t>ketua</t>
  </si>
  <si>
    <t>Pengadilan Tinggi Agama Bandung/Pengadilan Agama Majalengka</t>
  </si>
  <si>
    <t>2025-02-12 00:00:00</t>
  </si>
  <si>
    <t>Pengadilan Agama Majalengka</t>
  </si>
  <si>
    <t>Eldi Harponi</t>
  </si>
  <si>
    <t xml:space="preserve">1113021101730001 </t>
  </si>
  <si>
    <t>Pengadilan Tinggi Agama Bandung/Pengadilan Agama Purwakarta</t>
  </si>
  <si>
    <t>G013-202502-013493-BIG</t>
  </si>
  <si>
    <t>2025-02-08</t>
  </si>
  <si>
    <t>Toples Kaca</t>
  </si>
  <si>
    <t>Rahman Aziz Yustandar, S.Sy.</t>
  </si>
  <si>
    <t>2025-02-12 13:41:59</t>
  </si>
  <si>
    <t>Pengadilan Agama Purwakarta</t>
  </si>
  <si>
    <t>G013-202502-013496-BIG</t>
  </si>
  <si>
    <t>2025-02-12</t>
  </si>
  <si>
    <t>Gelas dan tumbler</t>
  </si>
  <si>
    <t>PT. Nexa</t>
  </si>
  <si>
    <t>2025-02-12 16:59:52</t>
  </si>
  <si>
    <t>G013-202502-013497-BIG</t>
  </si>
  <si>
    <t>Plakat</t>
  </si>
  <si>
    <t>Mahasiswa Magang Kerja Pengadilan Agama (MKPA) UIN Sunan Gunung Djati Bandung</t>
  </si>
  <si>
    <t>2025-02-12 17:31:23</t>
  </si>
  <si>
    <t>Marzha Tweedo Dikky Paraanugrah</t>
  </si>
  <si>
    <t xml:space="preserve">3471090803920001 </t>
  </si>
  <si>
    <t>Pengadilan Tinggi Yogyakarta/Pengadilan Negeri Wonosari</t>
  </si>
  <si>
    <t>G013-202502-013509-BIG</t>
  </si>
  <si>
    <t>2025-02-13</t>
  </si>
  <si>
    <t>Teko set</t>
  </si>
  <si>
    <t>Widha Sinulingga</t>
  </si>
  <si>
    <t>2025-02-13 12:41:01</t>
  </si>
  <si>
    <t>288/GTF.02/13/02/2025</t>
  </si>
  <si>
    <t>Pengadilan Negeri Wonosari</t>
  </si>
  <si>
    <t>G013-202502-013516-BIG</t>
  </si>
  <si>
    <t>Mahasiswa</t>
  </si>
  <si>
    <t>2025-02-14 08:19:36</t>
  </si>
  <si>
    <t>G013-202502-013517-BIG</t>
  </si>
  <si>
    <t>Plakat Kenang -Kenangan</t>
  </si>
  <si>
    <t>Dr. H. Nanang Naisabur, M.H.</t>
  </si>
  <si>
    <t>2025-02-14 08:22:44</t>
  </si>
  <si>
    <t>G013-202502-013528-BIG</t>
  </si>
  <si>
    <t>2025-02-14</t>
  </si>
  <si>
    <t>Snack, nasi box, dan paket sembako</t>
  </si>
  <si>
    <t>Hanifi, S.H.</t>
  </si>
  <si>
    <t>2025-02-14 15:11:33</t>
  </si>
  <si>
    <t>Hirpan Hilmi, S.T.</t>
  </si>
  <si>
    <t xml:space="preserve">3217093101770004 </t>
  </si>
  <si>
    <t>Pengadilan Tinggi Agama Bandung/Pengadilan Agama Tasikmalaya</t>
  </si>
  <si>
    <t>Kalender dan buku agenda</t>
  </si>
  <si>
    <t>Bank Syariah Indonesia (BSI)</t>
  </si>
  <si>
    <t>2025-02-20 00:00:00</t>
  </si>
  <si>
    <t>Pengadilan Agama Tasikmalaya</t>
  </si>
  <si>
    <t>MAHALLI</t>
  </si>
  <si>
    <t xml:space="preserve">7502042602660001 </t>
  </si>
  <si>
    <t>HAKIM</t>
  </si>
  <si>
    <t>G013-202502-013618-BIG</t>
  </si>
  <si>
    <t>2025-02-20</t>
  </si>
  <si>
    <t>FAKULTAS HUKUM UNIVERSITAS ISLAM KALIMANTAN</t>
  </si>
  <si>
    <t>2025-02-20 15:31:31</t>
  </si>
  <si>
    <t>369/GTF.02/13/02/2025</t>
  </si>
  <si>
    <t>G013-202502-013619-BIG</t>
  </si>
  <si>
    <t>BINGKISAN BERUPA BUAH-BUAHAN</t>
  </si>
  <si>
    <t>Najwa Amalia Putri</t>
  </si>
  <si>
    <t>2025-02-20 15:37:08</t>
  </si>
  <si>
    <t>RAUDATUL JANNAH</t>
  </si>
  <si>
    <t xml:space="preserve">6303054510680007 </t>
  </si>
  <si>
    <t>G013-202502-013623-BIG</t>
  </si>
  <si>
    <t>NAJWA AMALIA PUTRI</t>
  </si>
  <si>
    <t>2025-02-21 09:19:49</t>
  </si>
  <si>
    <t>G013-202502-013640-BIG</t>
  </si>
  <si>
    <t>2025-02-21</t>
  </si>
  <si>
    <t>Satu Box Styrofoam berisi oleh-oleh makanan khas Lampung</t>
  </si>
  <si>
    <t>Salman</t>
  </si>
  <si>
    <t>2025-02-21 23:04:57</t>
  </si>
  <si>
    <t>Ratna Wardhani</t>
  </si>
  <si>
    <t xml:space="preserve">6372054808750003 </t>
  </si>
  <si>
    <t>Panitera Pengadilan</t>
  </si>
  <si>
    <t>G013-202502-013662-BIG</t>
  </si>
  <si>
    <t>2025-02-25</t>
  </si>
  <si>
    <t>PAKET SEMBAKO</t>
  </si>
  <si>
    <t>KPRI IHSAN</t>
  </si>
  <si>
    <t>2025-02-25 14:31:16</t>
  </si>
  <si>
    <t>Yendra Irwanna</t>
  </si>
  <si>
    <t xml:space="preserve">6371040107780573 </t>
  </si>
  <si>
    <t>Analis Pengelola Keuangan APBN</t>
  </si>
  <si>
    <t>G013-202502-013684-BIG</t>
  </si>
  <si>
    <t>2025-02-26</t>
  </si>
  <si>
    <t>paket sembako</t>
  </si>
  <si>
    <t>Koperasi KPRI Ihsan Banjarmasin</t>
  </si>
  <si>
    <t>2025-02-27 10:21:30</t>
  </si>
  <si>
    <t>Era Rahmi Muinah</t>
  </si>
  <si>
    <t xml:space="preserve">6371025508720008 </t>
  </si>
  <si>
    <t>Panitera Muda Permohonan</t>
  </si>
  <si>
    <t>G013-202502-013685-BIG</t>
  </si>
  <si>
    <t>KPRI IHSAN BANJARMASIN</t>
  </si>
  <si>
    <t>2025-02-27 10:27:13</t>
  </si>
  <si>
    <t>Mahmudah</t>
  </si>
  <si>
    <t xml:space="preserve">6271034405740004 </t>
  </si>
  <si>
    <t>G013-202502-013689-BIG</t>
  </si>
  <si>
    <t>Koperasi KPRI Ihsan</t>
  </si>
  <si>
    <t>2025-02-27 13:27:05</t>
  </si>
  <si>
    <t>Yuni Yulyanti</t>
  </si>
  <si>
    <t xml:space="preserve">6303026706930003 </t>
  </si>
  <si>
    <t>PPPK</t>
  </si>
  <si>
    <t>G013-202503-013723-BIG</t>
  </si>
  <si>
    <t>2025-02-28</t>
  </si>
  <si>
    <t>Koperasi Bersama</t>
  </si>
  <si>
    <t>2025-03-03 10:10:38</t>
  </si>
  <si>
    <t>Drajat Prakosa</t>
  </si>
  <si>
    <t xml:space="preserve">3303050803870002 </t>
  </si>
  <si>
    <t>Kepala Sub Bagian Perencanaan, TI, dan Pelaporan</t>
  </si>
  <si>
    <t>Pengadilan Tinggi Agama Semarang/Pengadilan Agama Banyumas</t>
  </si>
  <si>
    <t>G013-202503-013708-BIG</t>
  </si>
  <si>
    <t>2025-02-27</t>
  </si>
  <si>
    <t>Kain Batik</t>
  </si>
  <si>
    <t>M. Isna Wahyudi</t>
  </si>
  <si>
    <t>2025-03-03 08:35:24</t>
  </si>
  <si>
    <t>Pengadilan Agama Banyumas</t>
  </si>
  <si>
    <t>Marlina</t>
  </si>
  <si>
    <t xml:space="preserve">6371024203970007 </t>
  </si>
  <si>
    <t>Pranata Komputer Ahli Pertama</t>
  </si>
  <si>
    <t>G013-202503-013715-BIG</t>
  </si>
  <si>
    <t>KPN Bersama</t>
  </si>
  <si>
    <t>2025-03-03 09:05:34</t>
  </si>
  <si>
    <t>G013-202503-013727-BIG</t>
  </si>
  <si>
    <t>KOPERASI BERSAMA</t>
  </si>
  <si>
    <t>2025-03-03 11:00:22</t>
  </si>
  <si>
    <t>Nurul Hikmah</t>
  </si>
  <si>
    <t xml:space="preserve">6303075711710001 </t>
  </si>
  <si>
    <t>Wakil Ketua Pengadilan</t>
  </si>
  <si>
    <t>G013-202503-013729-BIG</t>
  </si>
  <si>
    <t>2025-03-03 11:31:52</t>
  </si>
  <si>
    <t>G013-202503-013734-BIG</t>
  </si>
  <si>
    <t>2025-03-03 12:47:24</t>
  </si>
  <si>
    <t>Noor Fatiah</t>
  </si>
  <si>
    <t xml:space="preserve">6303054101770014 </t>
  </si>
  <si>
    <t>G013-202503-013735-BIG</t>
  </si>
  <si>
    <t>2025-03-03 12:53:18</t>
  </si>
  <si>
    <t>Maulida Noor Izaty</t>
  </si>
  <si>
    <t xml:space="preserve">6311077001800001 </t>
  </si>
  <si>
    <t>Kasubbag Perencanaan, TI dan Pelaporan</t>
  </si>
  <si>
    <t>G013-202503-013736-BIG</t>
  </si>
  <si>
    <t>2025-03-03 12:56:56</t>
  </si>
  <si>
    <t>Noorhidayah</t>
  </si>
  <si>
    <t xml:space="preserve">6305045702740002 </t>
  </si>
  <si>
    <t>Panitera Pengganti Pengadilan</t>
  </si>
  <si>
    <t>G013-202503-013737-BIG</t>
  </si>
  <si>
    <t>2025-03-03 13:01:09</t>
  </si>
  <si>
    <t>G013-202503-013738-BIG</t>
  </si>
  <si>
    <t>2025-03-03 13:04:14</t>
  </si>
  <si>
    <t>M. Ridho Muzakkir</t>
  </si>
  <si>
    <t xml:space="preserve">6371040201930005 </t>
  </si>
  <si>
    <t>G013-202503-013740-BIG</t>
  </si>
  <si>
    <t>2025-03-03 13:10:16</t>
  </si>
  <si>
    <t>NORHAYATI</t>
  </si>
  <si>
    <t xml:space="preserve">6203014801680004 </t>
  </si>
  <si>
    <t>KETUA PENGADILAN</t>
  </si>
  <si>
    <t>G013-202503-013741-BIG</t>
  </si>
  <si>
    <t>2 buah buku berisi tentang Biografi Presiden Prabowo</t>
  </si>
  <si>
    <t>Prabowo Subianto</t>
  </si>
  <si>
    <t>2025-03-03 13:41:45</t>
  </si>
  <si>
    <t>G013-202503-013745-BIG</t>
  </si>
  <si>
    <t>Muhammad Tambrin</t>
  </si>
  <si>
    <t>2025-03-03 16:02:31</t>
  </si>
  <si>
    <t>409/GTF.02/13/03/2025</t>
  </si>
  <si>
    <t>Syarifah Aini</t>
  </si>
  <si>
    <t xml:space="preserve">1671075008720012 </t>
  </si>
  <si>
    <t>Pengadilan Tinggi Agama Palembang/Pengadilan Agama Kayu Agung</t>
  </si>
  <si>
    <t>G013-202503-013748-BIG</t>
  </si>
  <si>
    <t>2025-03-03</t>
  </si>
  <si>
    <t>Tas wanita</t>
  </si>
  <si>
    <t>H. Sandi Pahlevi</t>
  </si>
  <si>
    <t>2025-03-03 18:26:02</t>
  </si>
  <si>
    <t>412/GTF.02/13/03/2025</t>
  </si>
  <si>
    <t>Pengadilan Agama Kayu Agung</t>
  </si>
  <si>
    <t>HASANUDDIN</t>
  </si>
  <si>
    <t xml:space="preserve">6371021206620004 </t>
  </si>
  <si>
    <t>G013-202503-013749-BIG</t>
  </si>
  <si>
    <t>2025-03-04 06:40:23</t>
  </si>
  <si>
    <t>Ahmad Zaki Anshari</t>
  </si>
  <si>
    <t xml:space="preserve">6371050806840005 </t>
  </si>
  <si>
    <t>Juru Sita Pengadilan</t>
  </si>
  <si>
    <t>G013-202503-013750-BIG</t>
  </si>
  <si>
    <t>2025-03-04 06:51:48</t>
  </si>
  <si>
    <t>Arupi Retno Kumolo</t>
  </si>
  <si>
    <t xml:space="preserve">6372045502880001 </t>
  </si>
  <si>
    <t>Plt. Kasubbag Umum dan Keuangan / Analis Pengelolaan Keuangan APBN Ahli Muda</t>
  </si>
  <si>
    <t>G013-202503-013751-BIG</t>
  </si>
  <si>
    <t>2025-03-04 06:55:45</t>
  </si>
  <si>
    <t>G013-202503-013752-BIG</t>
  </si>
  <si>
    <t>2025-03-04 06:59:30</t>
  </si>
  <si>
    <t>RAHMI SUPIA</t>
  </si>
  <si>
    <t xml:space="preserve">6371024711690008 </t>
  </si>
  <si>
    <t>PANITERA PENGGANTI</t>
  </si>
  <si>
    <t>G013-202503-013753-BIG</t>
  </si>
  <si>
    <t>2025-03-04 07:43:40</t>
  </si>
  <si>
    <t>G013-202503-013754-BIG</t>
  </si>
  <si>
    <t>Kue Bolu</t>
  </si>
  <si>
    <t>Mahasiswa Magang</t>
  </si>
  <si>
    <t>2025-03-04 08:11:22</t>
  </si>
  <si>
    <t>RUBYANTI</t>
  </si>
  <si>
    <t xml:space="preserve">6371024809760008 </t>
  </si>
  <si>
    <t>G013-202503-013755-BIG</t>
  </si>
  <si>
    <t>2025-03-04 08:11:31</t>
  </si>
  <si>
    <t>G013-202503-013764-BUG</t>
  </si>
  <si>
    <t>Guess Gents Watch INTEGRITY 2-Tone - GW0631G1 dan  GUESS Ladies Watch MIST 2-Tone - GW0723L1</t>
  </si>
  <si>
    <t>Bertha Arry Wahyuni</t>
  </si>
  <si>
    <t>2025-03-04 10:05:32</t>
  </si>
  <si>
    <t>477/GTF.02/01/03/2025</t>
  </si>
  <si>
    <t>Yulia Erliana Wulandari</t>
  </si>
  <si>
    <t xml:space="preserve">6371045408860014 </t>
  </si>
  <si>
    <t>G013-202503-013757-BIG</t>
  </si>
  <si>
    <t>2025-03-04 08:54:30</t>
  </si>
  <si>
    <t>G013-202503-013767-BUG</t>
  </si>
  <si>
    <t>Bingkisan Makanan</t>
  </si>
  <si>
    <t>2025-03-04 10:15:34</t>
  </si>
  <si>
    <t>Evi Afriani</t>
  </si>
  <si>
    <t xml:space="preserve">6371046504920005 </t>
  </si>
  <si>
    <t>G013-202503-013769-BIG</t>
  </si>
  <si>
    <t>2025-03-04 10:36:46</t>
  </si>
  <si>
    <t>Arina Haque</t>
  </si>
  <si>
    <t xml:space="preserve">6371046908870002 </t>
  </si>
  <si>
    <t>Pranata Keuangan APBN</t>
  </si>
  <si>
    <t>G013-202503-013771-BIG</t>
  </si>
  <si>
    <t>2025-03-04</t>
  </si>
  <si>
    <t>2025-03-04 11:25:37</t>
  </si>
  <si>
    <t>G013-202503-013775-BIG</t>
  </si>
  <si>
    <t>2025-03-04 12:29:09</t>
  </si>
  <si>
    <t>ABD. HAMID</t>
  </si>
  <si>
    <t xml:space="preserve">6306010806660003 </t>
  </si>
  <si>
    <t>G013-202503-013776-BIG</t>
  </si>
  <si>
    <t>2025-03-04 12:32:14</t>
  </si>
  <si>
    <t>Mutia Hasanah</t>
  </si>
  <si>
    <t xml:space="preserve">6371027011860003 </t>
  </si>
  <si>
    <t>G013-202503-013777-BIG</t>
  </si>
  <si>
    <t>2025-03-04 12:55:53</t>
  </si>
  <si>
    <t>SYARBAINI</t>
  </si>
  <si>
    <t xml:space="preserve">6303052806690001 </t>
  </si>
  <si>
    <t>SEKRETARIS</t>
  </si>
  <si>
    <t>G013-202503-013778-BIG</t>
  </si>
  <si>
    <t>2025-03-04 13:12:21</t>
  </si>
  <si>
    <t>Boedi Haryantho</t>
  </si>
  <si>
    <t xml:space="preserve">3515070702760002 </t>
  </si>
  <si>
    <t>Ketua Pengadilan Negeri Kota Madiun</t>
  </si>
  <si>
    <t>Pengadilan Tinggi Surabaya/Pengadilan Negeri Madiun</t>
  </si>
  <si>
    <t>G013-202503-013781-BIG</t>
  </si>
  <si>
    <t>Kartu fasilitas harga khusus kamar hotel, keanggotaan Body &amp; Soul Health Club selama 1 tahun dan diskon F&amp;B di Aston &amp; Fave Hotel Madiun dan Cafe lainnya member Success Jaya Group di Kota Madiun</t>
  </si>
  <si>
    <t>Aston Madiun</t>
  </si>
  <si>
    <t>2025-03-04 16:54:32</t>
  </si>
  <si>
    <t>437/GTF.02/13/03/2025</t>
  </si>
  <si>
    <t>Pengadilan Negeri Madiun</t>
  </si>
  <si>
    <t>Ahmad syafiq</t>
  </si>
  <si>
    <t xml:space="preserve">5272052604780001 </t>
  </si>
  <si>
    <t>Ketua pengadilan negeri semarang</t>
  </si>
  <si>
    <t>Pengadilan Tinggi Semarang/Pengadilan Negeri Pati</t>
  </si>
  <si>
    <t>G013-202503-013795-BIG</t>
  </si>
  <si>
    <t>Kain batik</t>
  </si>
  <si>
    <t>Sudjarwanto dwiatmoko</t>
  </si>
  <si>
    <t>2025-03-05 14:40:44</t>
  </si>
  <si>
    <t>MASTINA</t>
  </si>
  <si>
    <t xml:space="preserve">6305046808700003 </t>
  </si>
  <si>
    <t>G013-202503-013782-BIG</t>
  </si>
  <si>
    <t>2025-03-05 08:11:00</t>
  </si>
  <si>
    <t>Antung Jumberi</t>
  </si>
  <si>
    <t xml:space="preserve">6371011311600001 </t>
  </si>
  <si>
    <t>G013-202503-013783-BIG</t>
  </si>
  <si>
    <t>2025-03-05 08:15:23</t>
  </si>
  <si>
    <t>Muhammad Jazuli</t>
  </si>
  <si>
    <t xml:space="preserve">6371040308740003 </t>
  </si>
  <si>
    <t>Juru Sita</t>
  </si>
  <si>
    <t>G013-202503-013784-BIG</t>
  </si>
  <si>
    <t>2025-03-05 08:18:00</t>
  </si>
  <si>
    <t>Siti Raudah</t>
  </si>
  <si>
    <t xml:space="preserve">6303054312830005 </t>
  </si>
  <si>
    <t>Panitera Muda Gugatan</t>
  </si>
  <si>
    <t>G013-202503-013802-BIG</t>
  </si>
  <si>
    <t>2025-03-05</t>
  </si>
  <si>
    <t>Paket sembako</t>
  </si>
  <si>
    <t>Koperasi bersama</t>
  </si>
  <si>
    <t>2025-03-05 22:25:20</t>
  </si>
  <si>
    <t>G013-202503-013797-BIG</t>
  </si>
  <si>
    <t>Dua buah buku dalam tas goody bag</t>
  </si>
  <si>
    <t>Presiden RI Prabowo Subianto</t>
  </si>
  <si>
    <t>2025-03-05 14:54:27</t>
  </si>
  <si>
    <t>Muhammad Taufiq Rahman Dwi Cahyo</t>
  </si>
  <si>
    <t xml:space="preserve">6371042709970005 </t>
  </si>
  <si>
    <t>ppnpn</t>
  </si>
  <si>
    <t>G013-202503-013804-BIG</t>
  </si>
  <si>
    <t>Koperasi Bersama PA Banjarmasin</t>
  </si>
  <si>
    <t>2025-03-06 09:48:57</t>
  </si>
  <si>
    <t>NOOR AIDA</t>
  </si>
  <si>
    <t xml:space="preserve">6304155102700002 </t>
  </si>
  <si>
    <t>STAF PELAKSANA</t>
  </si>
  <si>
    <t>G013-202503-013817-BIG</t>
  </si>
  <si>
    <t>2025-03-07 07:14:29</t>
  </si>
  <si>
    <t>Al Fahni</t>
  </si>
  <si>
    <t xml:space="preserve">6306041305660002 </t>
  </si>
  <si>
    <t>G013-202503-013827-BIG</t>
  </si>
  <si>
    <t>2025-03-07 13:45:34</t>
  </si>
  <si>
    <t>MUHAMMAD ZAINURI</t>
  </si>
  <si>
    <t xml:space="preserve">6371021906780004 </t>
  </si>
  <si>
    <t>JURU SITA</t>
  </si>
  <si>
    <t>G013-202503-013843-BIG</t>
  </si>
  <si>
    <t>2025-03-07</t>
  </si>
  <si>
    <t>2025-03-10 10:37:53</t>
  </si>
  <si>
    <t>G013-202503-013846-BIG</t>
  </si>
  <si>
    <t>2025-03-10</t>
  </si>
  <si>
    <t>Kue tradisional</t>
  </si>
  <si>
    <t>Desi</t>
  </si>
  <si>
    <t>2025-03-10 13:37:36</t>
  </si>
  <si>
    <t>G013-202503-013847-BIG</t>
  </si>
  <si>
    <t>Bingkisan hari raya berupa barang pecah belah piring, mangkok, dll.</t>
  </si>
  <si>
    <t>Direktur perusahaan daerah air minum (PDAM) Tirta Bening Kabupaten Pati</t>
  </si>
  <si>
    <t>2025-03-10 13:40:38</t>
  </si>
  <si>
    <t>G013-202503-013848-BIG</t>
  </si>
  <si>
    <t>Jam dinding</t>
  </si>
  <si>
    <t>Dosen Pembimbing</t>
  </si>
  <si>
    <t>2025-03-10 14:08:21</t>
  </si>
  <si>
    <t>MARGONO</t>
  </si>
  <si>
    <t xml:space="preserve">6371030510740009 </t>
  </si>
  <si>
    <t>G013-202503-013857-BIG</t>
  </si>
  <si>
    <t>BERUPA PAKET SEMBAKO</t>
  </si>
  <si>
    <t>2025-03-11 11:17:49</t>
  </si>
  <si>
    <t>HUSAINI</t>
  </si>
  <si>
    <t xml:space="preserve">6371010705760011 </t>
  </si>
  <si>
    <t>G013-202503-013858-BIG</t>
  </si>
  <si>
    <t>2025-03-11 11:38:35</t>
  </si>
  <si>
    <t>Muhammad Radhia Wardana, S.H.I.., M.H.</t>
  </si>
  <si>
    <t xml:space="preserve">6371053003830005 </t>
  </si>
  <si>
    <t>G013-202503-013862-BIG</t>
  </si>
  <si>
    <t>2025-03-09</t>
  </si>
  <si>
    <t>Takmir Mesjid Al Ummah Banjarmasin</t>
  </si>
  <si>
    <t>2025-03-11 13:02:23</t>
  </si>
  <si>
    <t>KHAIRUNNISA</t>
  </si>
  <si>
    <t xml:space="preserve">6371035705930010 </t>
  </si>
  <si>
    <t>G013-202503-013885-BIG</t>
  </si>
  <si>
    <t>2025-03-13</t>
  </si>
  <si>
    <t>2025-03-13 08:14:57</t>
  </si>
  <si>
    <t>JUNAIDI</t>
  </si>
  <si>
    <t xml:space="preserve">6305040607620001 </t>
  </si>
  <si>
    <t>G013-202503-013891-BIG</t>
  </si>
  <si>
    <t>KUE IPAU (KUE TRADISIONAL DAERAH KALIMANTAN SELATAN)</t>
  </si>
  <si>
    <t>HJ. NURUL HIKMAH</t>
  </si>
  <si>
    <t>2025-03-13 12:37:06</t>
  </si>
  <si>
    <t>SUTEYO</t>
  </si>
  <si>
    <t xml:space="preserve">6371021010700009 </t>
  </si>
  <si>
    <t>G013-202503-013892-BIG</t>
  </si>
  <si>
    <t>MAKANAN DALAM BENTUK PAKET SEMBAKO</t>
  </si>
  <si>
    <t>2025-03-13 13:21:13</t>
  </si>
  <si>
    <t>NOR HASANUDDIN</t>
  </si>
  <si>
    <t xml:space="preserve">6472030504780012 </t>
  </si>
  <si>
    <t>Pengadilan Tinggi Agama Kalimantan Timur/</t>
  </si>
  <si>
    <t>G013-202503-013905-BIG</t>
  </si>
  <si>
    <t>Toples kaca</t>
  </si>
  <si>
    <t>Kepala Bank BPD Kaltimtara Cabang Bontang</t>
  </si>
  <si>
    <t>2025-03-14 13:52:38</t>
  </si>
  <si>
    <t>474/GTF.02/13/03/2025</t>
  </si>
  <si>
    <t>Yang Ariani</t>
  </si>
  <si>
    <t xml:space="preserve">1377015304730002 </t>
  </si>
  <si>
    <t>Ketua Pengadilan Agama Kebumen</t>
  </si>
  <si>
    <t>Pengadilan Tinggi Agama Semarang/Pengadilan Agama Kebumen</t>
  </si>
  <si>
    <t>G013-202503-013945-BIG</t>
  </si>
  <si>
    <t>Parcel Ramadhan 2025 berupa Makanan</t>
  </si>
  <si>
    <t>Abu Wafa Imanullah</t>
  </si>
  <si>
    <t>2025-03-18 11:49:29</t>
  </si>
  <si>
    <t>Pengadilan Agama Kebumen</t>
  </si>
  <si>
    <t>G013-202503-013946-BIG</t>
  </si>
  <si>
    <t>Kue</t>
  </si>
  <si>
    <t>Pegawai bank BTN</t>
  </si>
  <si>
    <t>2025-03-18 11:58:40</t>
  </si>
  <si>
    <t>G013-202503-013951-BIG</t>
  </si>
  <si>
    <t>2025-03-17</t>
  </si>
  <si>
    <t>Jumali</t>
  </si>
  <si>
    <t>2025-03-18 16:51:35</t>
  </si>
  <si>
    <t>G013-202503-013961-BIG</t>
  </si>
  <si>
    <t>2025-03-19</t>
  </si>
  <si>
    <t>Mauly</t>
  </si>
  <si>
    <t>2025-03-19 10:31:22</t>
  </si>
  <si>
    <t>Parcel Makanan</t>
  </si>
  <si>
    <t>G013-202503-013962-BIG</t>
  </si>
  <si>
    <t>Parcel kue lebaran</t>
  </si>
  <si>
    <t>PT Jala Lintas Media (JLM)</t>
  </si>
  <si>
    <t>2025-03-19 10:52:35</t>
  </si>
  <si>
    <t>G013-202503-013964-BIG</t>
  </si>
  <si>
    <t>parcel lebaran berisi produk kacang dua kelinci</t>
  </si>
  <si>
    <t>Direktur</t>
  </si>
  <si>
    <t>2025-03-19 12:46:26</t>
  </si>
  <si>
    <t>Murniawati Priscilia Djaksa Djamaluddin</t>
  </si>
  <si>
    <t xml:space="preserve">3578306911920001 </t>
  </si>
  <si>
    <t>Pengadilan Tinggi Bengkulu/Pengadilan Negeri Tais</t>
  </si>
  <si>
    <t>G013-202503-013969-BIG</t>
  </si>
  <si>
    <t>Day Day Bird Nest 24 kaleng</t>
  </si>
  <si>
    <t>Bank Syariah Indonesia cabang Seluma</t>
  </si>
  <si>
    <t>2025-03-19 14:53:27</t>
  </si>
  <si>
    <t>Pengadilan Negeri Tais</t>
  </si>
  <si>
    <t>Andi Bungawali Anastasia</t>
  </si>
  <si>
    <t xml:space="preserve">3578047004920004 </t>
  </si>
  <si>
    <t>G013-202503-013997-BIG</t>
  </si>
  <si>
    <t>1 karton Dayday Bird Nest Kaleng 300ml isi 24 pcs</t>
  </si>
  <si>
    <t>Bank Syariah Indonesia KCP Seluma</t>
  </si>
  <si>
    <t>2025-03-20 15:41:17</t>
  </si>
  <si>
    <t>Miftah Faridi</t>
  </si>
  <si>
    <t xml:space="preserve">6305040411830001 </t>
  </si>
  <si>
    <t>Ketua Pengadilan Agama Batulicin</t>
  </si>
  <si>
    <t>Pengadilan Tinggi Agama Banjarmasin/Pengadilan Agama Batu Licin</t>
  </si>
  <si>
    <t>G013-202503-013974-BIG</t>
  </si>
  <si>
    <t>PIMPINAN BSI BATULICN</t>
  </si>
  <si>
    <t>2025-03-20 07:59:04</t>
  </si>
  <si>
    <t>Pengadilan Agama Batu Licin</t>
  </si>
  <si>
    <t>G013-202503-013980-BIG</t>
  </si>
  <si>
    <t>2025-03-20</t>
  </si>
  <si>
    <t>cubiespot semarang</t>
  </si>
  <si>
    <t>2025-03-20 11:25:05</t>
  </si>
  <si>
    <t>G013-202503-013981-BIG</t>
  </si>
  <si>
    <t>Mug dengan Logo Sekolah</t>
  </si>
  <si>
    <t>Iyad Supriadi</t>
  </si>
  <si>
    <t>2025-03-20 11:45:39</t>
  </si>
  <si>
    <t>Nesia Hapsari</t>
  </si>
  <si>
    <t xml:space="preserve">3302074309930001 </t>
  </si>
  <si>
    <t>G013-202504-014477-BIG</t>
  </si>
  <si>
    <t>Dayday Birdnest Minuman Kaleng sejumlah 24 kaleng</t>
  </si>
  <si>
    <t>2025-04-08 10:02:28</t>
  </si>
  <si>
    <t>ZULFA YENTI</t>
  </si>
  <si>
    <t xml:space="preserve">1901016810770005 </t>
  </si>
  <si>
    <t>2025-03-20 00:00:00</t>
  </si>
  <si>
    <t>G013-202503-014004-BIG</t>
  </si>
  <si>
    <t>Hampers</t>
  </si>
  <si>
    <t>2025-03-21 08:59:35</t>
  </si>
  <si>
    <t>Adil Fakhru Roza</t>
  </si>
  <si>
    <t xml:space="preserve">1306033006820002 </t>
  </si>
  <si>
    <t>Hakim/Ketua Pengadilan</t>
  </si>
  <si>
    <t>Pengadilan Tinggi Agama Semarang/Pengadilan Agama Salatiga</t>
  </si>
  <si>
    <t>G013-202503-014005-BIG</t>
  </si>
  <si>
    <t>Satu set mangkuk dan piring makan</t>
  </si>
  <si>
    <t>Aryuni Novitasari</t>
  </si>
  <si>
    <t>2025-03-21 09:52:59</t>
  </si>
  <si>
    <t>503/GTF.02/13/03/2025</t>
  </si>
  <si>
    <t>Pengadilan Agama Salatiga</t>
  </si>
  <si>
    <t>Eksi Riyanti</t>
  </si>
  <si>
    <t xml:space="preserve">3302234710750002 </t>
  </si>
  <si>
    <t>Kepala Sub Bagian Umum dan Keuangan</t>
  </si>
  <si>
    <t>Pengadilan Tinggi Agama Semarang/</t>
  </si>
  <si>
    <t>G013-202503-014011-BIG</t>
  </si>
  <si>
    <t>2025-03-21 11:13:45</t>
  </si>
  <si>
    <t>572/GTF.02/13/04/2025</t>
  </si>
  <si>
    <t>Fitrah Akbar Citrawan</t>
  </si>
  <si>
    <t xml:space="preserve">3174092605940004 </t>
  </si>
  <si>
    <t>Pengadilan Tinggi Banten/Pengadilan Negeri Rangkasbitung</t>
  </si>
  <si>
    <t>G013-202503-014026-BIG</t>
  </si>
  <si>
    <t>Kemeja</t>
  </si>
  <si>
    <t>Perwakilan Bank Indonesia (BI) Sibolga</t>
  </si>
  <si>
    <t>2025-03-21 13:32:56</t>
  </si>
  <si>
    <t>523/GTF.02/13/03/2025</t>
  </si>
  <si>
    <t>Pengadilan Negeri Rangkasbitung</t>
  </si>
  <si>
    <t>G013-202503-014023-BIG</t>
  </si>
  <si>
    <t>Hidangan berbuka puasa</t>
  </si>
  <si>
    <t>2025-03-21 13:25:14</t>
  </si>
  <si>
    <t>Dr. Sugiri Permana, S.Ag., M.H.</t>
  </si>
  <si>
    <t xml:space="preserve">3207302004750002 </t>
  </si>
  <si>
    <t>G013-202503-014027-BIG</t>
  </si>
  <si>
    <t>Al-Qur'an</t>
  </si>
  <si>
    <t>Baznas Kabupaten Tasikmalaya</t>
  </si>
  <si>
    <t>2025-03-21 13:34:44</t>
  </si>
  <si>
    <t>FITRIAH ADE MAYA</t>
  </si>
  <si>
    <t xml:space="preserve">7314076909760005 </t>
  </si>
  <si>
    <t>Ketua Pengadilan Negeri</t>
  </si>
  <si>
    <t>Pengadilan Tinggi Makassar/Pengadilan Negeri SIDRAP</t>
  </si>
  <si>
    <t>G013-202503-014029-BIG</t>
  </si>
  <si>
    <t>Parcel</t>
  </si>
  <si>
    <t>AKBP Fantry Taherong</t>
  </si>
  <si>
    <t>2025-03-21 15:12:28</t>
  </si>
  <si>
    <t>Pengadilan Negeri SIDRAP</t>
  </si>
  <si>
    <t>Ana Efandari Sulistyowati</t>
  </si>
  <si>
    <t xml:space="preserve">3402044410840003 </t>
  </si>
  <si>
    <t>G013-202503-014030-BIG</t>
  </si>
  <si>
    <t>Taffware Air Humidifier K-H98</t>
  </si>
  <si>
    <t>Rektor Unimma Magelang</t>
  </si>
  <si>
    <t>2025-03-21 15:20:39</t>
  </si>
  <si>
    <t>G013-202504-014987-BIG</t>
  </si>
  <si>
    <t>Parsel makanan dan minuman</t>
  </si>
  <si>
    <t>Tidak Dikenal</t>
  </si>
  <si>
    <t>2025-04-25 17:41:44</t>
  </si>
  <si>
    <t>G013-202503-014052-BIG</t>
  </si>
  <si>
    <t>2025-03-22</t>
  </si>
  <si>
    <t>Gelang kerajinan tangan</t>
  </si>
  <si>
    <t>Masyarakat Kampung Adat Bena</t>
  </si>
  <si>
    <t>2025-03-22 20:04:18</t>
  </si>
  <si>
    <t>524/GTF.02/13/03/2025</t>
  </si>
  <si>
    <t>G013-202503-014053-BIG</t>
  </si>
  <si>
    <t>Puding</t>
  </si>
  <si>
    <t>Genta Utama Putra</t>
  </si>
  <si>
    <t>2025-03-22 20:10:58</t>
  </si>
  <si>
    <t>Ria Resti Dewanti</t>
  </si>
  <si>
    <t xml:space="preserve">3575014804880006 </t>
  </si>
  <si>
    <t>G013-202503-014290-BIG</t>
  </si>
  <si>
    <t>Seminar kit, mug, jilbab</t>
  </si>
  <si>
    <t>Panitia/Pengurus Dharmayukti Karini Daerah Mamuju</t>
  </si>
  <si>
    <t>2025-03-27 10:00:06</t>
  </si>
  <si>
    <t>Diah Sulastri Dewi</t>
  </si>
  <si>
    <t xml:space="preserve">3273224204610001 </t>
  </si>
  <si>
    <t>Pengadilan Tinggi Riau/</t>
  </si>
  <si>
    <t>G013-202503-014054-BIG</t>
  </si>
  <si>
    <t>Satu buah parcel kue kering</t>
  </si>
  <si>
    <t>Yuliansyah Andrias</t>
  </si>
  <si>
    <t>2025-03-23 08:38:27</t>
  </si>
  <si>
    <t>2025-03-24 00:00:00</t>
  </si>
  <si>
    <t>Muhamad Isna Wahyudi</t>
  </si>
  <si>
    <t xml:space="preserve">3404120205810008 </t>
  </si>
  <si>
    <t>G013-202503-014076-BIG</t>
  </si>
  <si>
    <t>Parcel lebaran</t>
  </si>
  <si>
    <t>Kombes Pol Dr. Ari Wibowo, S.I.K., M.H.</t>
  </si>
  <si>
    <t>2025-03-24 10:32:31</t>
  </si>
  <si>
    <t>533/GTF.02/13/04/2025</t>
  </si>
  <si>
    <t>R. ADJI SURYOSUMIRAT</t>
  </si>
  <si>
    <t xml:space="preserve">3174040704690018 </t>
  </si>
  <si>
    <t>Ketua Pengadilan Negeri Klaten</t>
  </si>
  <si>
    <t>Pengadilan Tinggi Jawa tengah/Pengadilan Negeri Klaten</t>
  </si>
  <si>
    <t>G013-202503-014083-BIG</t>
  </si>
  <si>
    <t>Parcel berisi Ace Kris Oven Toaster dan Delicia Set Dispenser</t>
  </si>
  <si>
    <t>Pemerintah Daerah Kabupaten Klaten</t>
  </si>
  <si>
    <t>2025-03-24 11:50:11</t>
  </si>
  <si>
    <t>517/GTF.02/13/03/2025</t>
  </si>
  <si>
    <t>Benedictus Rinanta</t>
  </si>
  <si>
    <t xml:space="preserve">6301031707780003 </t>
  </si>
  <si>
    <t>Ketua Pengadilan Negeri Pacitan</t>
  </si>
  <si>
    <t>Pengadilan Tinggi Surabaya/Pengadilan Negeri Pacitan</t>
  </si>
  <si>
    <t>G013-202503-014089-BIG</t>
  </si>
  <si>
    <t>PT aneka jaya mukti</t>
  </si>
  <si>
    <t>2025-03-24 13:23:23</t>
  </si>
  <si>
    <t>Pengadilan Negeri Pacitan</t>
  </si>
  <si>
    <t>Komandan Kodim 0801 Pacitan</t>
  </si>
  <si>
    <t>Roli Wilpa</t>
  </si>
  <si>
    <t xml:space="preserve">1508132405830002 </t>
  </si>
  <si>
    <t>Pengadilan Tinggi Agama Palembang/Pengadilan Agama Lahat</t>
  </si>
  <si>
    <t>G013-202503-014085-BIG</t>
  </si>
  <si>
    <t>Parcel Pecah Belah</t>
  </si>
  <si>
    <t>BSI KCP Kota Agung</t>
  </si>
  <si>
    <t>2025-03-24 12:06:54</t>
  </si>
  <si>
    <t>Pengadilan Agama Lahat</t>
  </si>
  <si>
    <t>G013-202503-014092-BIG</t>
  </si>
  <si>
    <t>2025-03-24</t>
  </si>
  <si>
    <t>Kue/roti kering 5 macam, masing masing 3  dalam toples paling kecil 2 dalam plastik.</t>
  </si>
  <si>
    <t>Endo Refano</t>
  </si>
  <si>
    <t>2025-03-24 14:02:17</t>
  </si>
  <si>
    <t>G013-202503-014090-BIG</t>
  </si>
  <si>
    <t>Tray emas</t>
  </si>
  <si>
    <t>BANK BRI KANTOR CABANG PANGERAN SAMUDERA BANJARMASIN</t>
  </si>
  <si>
    <t>2025-03-24 13:34:44</t>
  </si>
  <si>
    <t>549/GTF.02/13/04/2025</t>
  </si>
  <si>
    <t>HAMPERS LEBARAN BERISI TAS TOTEBAG</t>
  </si>
  <si>
    <t>TOPLES KACA BERISI KUE KERING</t>
  </si>
  <si>
    <t>G013-202503-014100-BIG</t>
  </si>
  <si>
    <t>Goodie Bag Parcel Idulfitri</t>
  </si>
  <si>
    <t>2025-03-24 14:40:06</t>
  </si>
  <si>
    <t>Feriyanto</t>
  </si>
  <si>
    <t xml:space="preserve">1608062802940001 </t>
  </si>
  <si>
    <t>Pengadilan Tinggi Agama Palembang/Pengadilan Agama Muaradua</t>
  </si>
  <si>
    <t>G013-202503-014104-BIG</t>
  </si>
  <si>
    <t>Yang bersangkutan memberikan gratifikasi berupa 10 paket bingkisan untuk Pengadilan Agama Muaradua dimana perbingkisan berisi 1 Kaleng Wafello, 1 Kaleng Biskuit Roma Kelapa, 1 Botol Sprite, dan 1 Botol Sirup ABC</t>
  </si>
  <si>
    <t>Anwar, S.Sy</t>
  </si>
  <si>
    <t>2025-03-24 15:23:20</t>
  </si>
  <si>
    <t>Pengadilan Agama Muaradua</t>
  </si>
  <si>
    <t>Dr. Muhammad Adil Kasim, SH.,MH.</t>
  </si>
  <si>
    <t xml:space="preserve">7371091211750009 </t>
  </si>
  <si>
    <t>Pengadilan Tinggi Semarang/Pengadilan Negeri Slawi</t>
  </si>
  <si>
    <t>G013-202503-014102-BIG</t>
  </si>
  <si>
    <t>2025-03-23</t>
  </si>
  <si>
    <t>Kue Kering</t>
  </si>
  <si>
    <t>G Media</t>
  </si>
  <si>
    <t>2025-03-24 15:07:21</t>
  </si>
  <si>
    <t>Pengadilan Negeri Slawi</t>
  </si>
  <si>
    <t>Tas dan Gelas (berlogo instansi pemberi)</t>
  </si>
  <si>
    <t>G013-202503-014103-BIG</t>
  </si>
  <si>
    <t>Opus One Set Piring 2 Mangkuk 2 Sumpit</t>
  </si>
  <si>
    <t>Pimpinan Cabang BRI</t>
  </si>
  <si>
    <t>2025-03-24 15:17:06</t>
  </si>
  <si>
    <t>530/GTF.02/13/04/2025</t>
  </si>
  <si>
    <t>G013-202503-014105-BIG</t>
  </si>
  <si>
    <t>Parcel Lebaran</t>
  </si>
  <si>
    <t>Bapak Muhammad Syahrir Azis</t>
  </si>
  <si>
    <t>2025-03-24 15:43:35</t>
  </si>
  <si>
    <t>MUADZ JUNIZAR</t>
  </si>
  <si>
    <t xml:space="preserve">3309102606759002 </t>
  </si>
  <si>
    <t>Pengadilan Tinggi Agama Semarang/Pengadilan Agama Karanganyar</t>
  </si>
  <si>
    <t>Pengadilan Agama Karanganyar</t>
  </si>
  <si>
    <t>Ummu Hafizhah</t>
  </si>
  <si>
    <t xml:space="preserve">3404075008810013 </t>
  </si>
  <si>
    <t>Pengadilan Tinggi Agama Semarang/Pengadilan Agama Klaten</t>
  </si>
  <si>
    <t>2025-03-25 00:00:00</t>
  </si>
  <si>
    <t>Pengadilan Agama Klaten</t>
  </si>
  <si>
    <t>G013-202503-014134-BIG</t>
  </si>
  <si>
    <t>Parcel berupa kue kering</t>
  </si>
  <si>
    <t>Arlan Adinata</t>
  </si>
  <si>
    <t>2025-03-25 10:44:19</t>
  </si>
  <si>
    <t>Aziz Mahmud Idris</t>
  </si>
  <si>
    <t xml:space="preserve">3328082006790002 </t>
  </si>
  <si>
    <t>Pengadilan Tinggi Agama Semarang/Pengadilan Agama Slawi</t>
  </si>
  <si>
    <t>G013-202503-014144-BIG</t>
  </si>
  <si>
    <t>parcel berupa piring set</t>
  </si>
  <si>
    <t>PT Bank Syariah Indonesia Tbk KCP Tegal Slawi</t>
  </si>
  <si>
    <t>2025-03-25 13:55:53</t>
  </si>
  <si>
    <t>532/GTF.02/13/04/2025</t>
  </si>
  <si>
    <t>Pengadilan Agama Slawi</t>
  </si>
  <si>
    <t>parcel berupa cangkir set</t>
  </si>
  <si>
    <t>DEWAN PENGURUS CABANG PARTAI KEBANGKITAN BANGSA KABUPATEN TEGAL</t>
  </si>
  <si>
    <t>Riana Ekawati</t>
  </si>
  <si>
    <t xml:space="preserve">3311015605780002 </t>
  </si>
  <si>
    <t>Parcel Hari Raya Idul Fitri yang berupa kue kering dengan tanggal kadaluarsa 8 Juli 2025</t>
  </si>
  <si>
    <t>BRI Cabang Klaten</t>
  </si>
  <si>
    <t>Sukahata Wakano</t>
  </si>
  <si>
    <t xml:space="preserve">5309061708810005 </t>
  </si>
  <si>
    <t>Pengadilan Tinggi Agama Palu/Pengadilan Agama Parigi</t>
  </si>
  <si>
    <t>G013-202503-014135-BIG</t>
  </si>
  <si>
    <t>2025-03-25</t>
  </si>
  <si>
    <t>BRI Cabang Parigi</t>
  </si>
  <si>
    <t>2025-03-25 10:45:53</t>
  </si>
  <si>
    <t>545/GTF.02/13/04/2025</t>
  </si>
  <si>
    <t>Pengadilan Agama Parigi</t>
  </si>
  <si>
    <t>G013-202503-014139-BIG</t>
  </si>
  <si>
    <t>Souvenir Hampers Lebaran berupa peralatan mandi set</t>
  </si>
  <si>
    <t>Karyawan BSI Batulicin</t>
  </si>
  <si>
    <t>2025-03-25 11:43:21</t>
  </si>
  <si>
    <t>536/GTF.02/13/04/2025</t>
  </si>
  <si>
    <t>G013-202503-014140-BIG</t>
  </si>
  <si>
    <t>Parsel untuk hari raya Idul Fitri !446 H</t>
  </si>
  <si>
    <t>Ahmad Zaeni</t>
  </si>
  <si>
    <t>2025-03-25 12:21:10</t>
  </si>
  <si>
    <t>Subronto</t>
  </si>
  <si>
    <t xml:space="preserve">1403011307790001 </t>
  </si>
  <si>
    <t>Pengadilan Tinggi Semarang/Pengadilan Negeri Purwodadi</t>
  </si>
  <si>
    <t>G013-202503-014143-BIG</t>
  </si>
  <si>
    <t>Kue lebaran</t>
  </si>
  <si>
    <t>dr. H. Utomo DS, Sp.OG</t>
  </si>
  <si>
    <t>2025-03-25 13:05:39</t>
  </si>
  <si>
    <t>Pengadilan Negeri Purwodadi</t>
  </si>
  <si>
    <t>Sofyan Zefri</t>
  </si>
  <si>
    <t xml:space="preserve">3578033101830006 </t>
  </si>
  <si>
    <t>Ketua Pengadilan Agama Kota Madiun</t>
  </si>
  <si>
    <t>Pengadilan Tinggi Agama Surabaya/Pengadilan Agama Kota Madiun</t>
  </si>
  <si>
    <t>Pengadilan Agama Kota Madiun</t>
  </si>
  <si>
    <t>Arief Rahman</t>
  </si>
  <si>
    <t xml:space="preserve">5108060204840002 </t>
  </si>
  <si>
    <t>Pengadilan Tinggi Agama Mataram/Pengadilan Agama Badung</t>
  </si>
  <si>
    <t>G013-202503-014196-BIG</t>
  </si>
  <si>
    <t>2 Buah Parcel Makanan</t>
  </si>
  <si>
    <t>Styven</t>
  </si>
  <si>
    <t>2025-03-26 10:00:31</t>
  </si>
  <si>
    <t>Pengadilan Agama Badung</t>
  </si>
  <si>
    <t>Eko Supriyanto</t>
  </si>
  <si>
    <t xml:space="preserve">8172022504820002 </t>
  </si>
  <si>
    <t>KPN Rangkasbitung</t>
  </si>
  <si>
    <t>G013-202504-014727-BIG</t>
  </si>
  <si>
    <t>30 LEMBAR VOUCHER @ Rp. 50.000,00 sejumlah Rp. 1.500.000,00</t>
  </si>
  <si>
    <t>Bank BTN</t>
  </si>
  <si>
    <t>2025-04-14 08:38:37</t>
  </si>
  <si>
    <t>Dr. Arizal Anwar, SH.MH.</t>
  </si>
  <si>
    <t xml:space="preserve">1312032210780001 </t>
  </si>
  <si>
    <t>Ketua Pengadilan Negeri Kepanjen</t>
  </si>
  <si>
    <t>G013-202503-014214-BIG</t>
  </si>
  <si>
    <t>2025-03-26</t>
  </si>
  <si>
    <t>Seperangkat toples / pecah belah rumah tangga</t>
  </si>
  <si>
    <t>Seto Apriyandi</t>
  </si>
  <si>
    <t>2025-03-26 11:44:42</t>
  </si>
  <si>
    <t>G013-202503-014221-BIG</t>
  </si>
  <si>
    <t>parsel berisi makanan ringan dalam rangka hari raya Idul Fitri 1446 H</t>
  </si>
  <si>
    <t>Sudewo, ST., MT.</t>
  </si>
  <si>
    <t>2025-03-26 12:18:20</t>
  </si>
  <si>
    <t>G013-202503-014226-BIG</t>
  </si>
  <si>
    <t>parsel berisi barang pecah belah dan makanan ringan</t>
  </si>
  <si>
    <t>Direktur KSH</t>
  </si>
  <si>
    <t>2025-03-26 12:56:13</t>
  </si>
  <si>
    <t>Kurnia Ramadhan</t>
  </si>
  <si>
    <t xml:space="preserve">3174100803920003 </t>
  </si>
  <si>
    <t>Hakim Peradilan Umum</t>
  </si>
  <si>
    <t>Pengadilan Tinggi Bengkulu/Pengadilan Negeri TUBEI</t>
  </si>
  <si>
    <t>G013-202504-014451-BIG</t>
  </si>
  <si>
    <t>2025-03-27</t>
  </si>
  <si>
    <t>Parcel Kue Kering</t>
  </si>
  <si>
    <t>Jesa</t>
  </si>
  <si>
    <t>2025-04-01 02:05:33</t>
  </si>
  <si>
    <t>Pengadilan Negeri TUBEI</t>
  </si>
  <si>
    <t>G013-202503-014256-BIG</t>
  </si>
  <si>
    <t>Hery Riyadi</t>
  </si>
  <si>
    <t>2025-03-26 15:55:44</t>
  </si>
  <si>
    <t>G013-202503-014258-BIG</t>
  </si>
  <si>
    <t>Set pecah belah dan kue kering</t>
  </si>
  <si>
    <t>Antony</t>
  </si>
  <si>
    <t>2025-03-26 16:04:33</t>
  </si>
  <si>
    <t>G013-202503-014259-BIG</t>
  </si>
  <si>
    <t>Andi Rahmat Saleh, SE.,M.Si.</t>
  </si>
  <si>
    <t>2025-03-26 16:26:33</t>
  </si>
  <si>
    <t>G013-202503-014261-BIG</t>
  </si>
  <si>
    <t>Ismail Fahmi,S.H., M.H.</t>
  </si>
  <si>
    <t>2025-03-26 18:29:42</t>
  </si>
  <si>
    <t>Mohamad Zakiuddin</t>
  </si>
  <si>
    <t xml:space="preserve">6101012411810005 </t>
  </si>
  <si>
    <t>Pengadilan Tinggi Pontianak/Pengadilan Negeri Singkawang</t>
  </si>
  <si>
    <t>G013-202503-014263-BIG</t>
  </si>
  <si>
    <t>Parsel berisi Barang pecah belah dan makanan</t>
  </si>
  <si>
    <t>Fkpd</t>
  </si>
  <si>
    <t>2025-03-26 21:10:11</t>
  </si>
  <si>
    <t>Pengadilan Negeri Singkawang</t>
  </si>
  <si>
    <t>Sapuan, S.H.I., M.H.</t>
  </si>
  <si>
    <t xml:space="preserve">8204172608800001 </t>
  </si>
  <si>
    <t>Pengadilan Tinggi Agama Papua/Pengadilan Agama Sorong</t>
  </si>
  <si>
    <t>G013-202503-014265-BIG</t>
  </si>
  <si>
    <t>2024-12-09</t>
  </si>
  <si>
    <t>Sebuah tas berlogo instansi dengan isi: botol tumbler, gantungan kunci, pena, jam alarm, audio speaker</t>
  </si>
  <si>
    <t>Panitia HUT KE-2 PROVINSI PBD</t>
  </si>
  <si>
    <t>2025-03-27 06:26:16</t>
  </si>
  <si>
    <t>Pengadilan Agama Sorong</t>
  </si>
  <si>
    <t>G013-202503-014266-BIG</t>
  </si>
  <si>
    <t>2025-01-07</t>
  </si>
  <si>
    <t>Kain batik dengan dibungkus box/kotak khusus</t>
  </si>
  <si>
    <t>Abner Jacob</t>
  </si>
  <si>
    <t>2025-03-27 06:26:25</t>
  </si>
  <si>
    <t>551/GTF.02/13/04/2025</t>
  </si>
  <si>
    <t>G013-202503-014270-BIG</t>
  </si>
  <si>
    <t>Parcel Paket Lebaran</t>
  </si>
  <si>
    <t>Agus</t>
  </si>
  <si>
    <t>2025-03-27 08:22:30</t>
  </si>
  <si>
    <t>G013-202503-014283-BIG</t>
  </si>
  <si>
    <t>Kue Basah, Kue Kering, dan Nasi Tumpeng</t>
  </si>
  <si>
    <t>Hotel Aston Madiun &amp; Hotel Mercure Madiun</t>
  </si>
  <si>
    <t>2025-03-27 09:38:21</t>
  </si>
  <si>
    <t>Rr. Arum Fitriana Rohmah</t>
  </si>
  <si>
    <t xml:space="preserve">3401055710740001 </t>
  </si>
  <si>
    <t>Pengadilan Tinggi Agama Yogyakarta/Pengadilan Agama Sleman</t>
  </si>
  <si>
    <t>G013-202503-014312-BIG</t>
  </si>
  <si>
    <t>Kue kering</t>
  </si>
  <si>
    <t>GMedia</t>
  </si>
  <si>
    <t>2025-03-27 11:11:35</t>
  </si>
  <si>
    <t>Pengadilan Agama Sleman</t>
  </si>
  <si>
    <t>G013-202503-014327-BIG</t>
  </si>
  <si>
    <t>parcel lebaran berisi oven listrik</t>
  </si>
  <si>
    <t>Agus Budiraharja, S.KM., M.KES</t>
  </si>
  <si>
    <t>2025-03-27 12:02:38</t>
  </si>
  <si>
    <t>643/GTF.02/13/04/2025</t>
  </si>
  <si>
    <t>parcel lebaran berisi chopper</t>
  </si>
  <si>
    <t>parcel lebaran berisi piring set</t>
  </si>
  <si>
    <t>Rika HIdayati</t>
  </si>
  <si>
    <t xml:space="preserve">1502024908790001 </t>
  </si>
  <si>
    <t>G013-202503-014350-BIG</t>
  </si>
  <si>
    <t>BSI</t>
  </si>
  <si>
    <t>2025-03-27 13:47:14</t>
  </si>
  <si>
    <t>Doddy Armando Aska Assegaff</t>
  </si>
  <si>
    <t xml:space="preserve">9271011905840005 </t>
  </si>
  <si>
    <t>G013-202503-014329-BIG</t>
  </si>
  <si>
    <t>2 krat Minuman Kaleng (Fanta dan Cocacola)</t>
  </si>
  <si>
    <t>Kurnia</t>
  </si>
  <si>
    <t>2025-03-27 12:24:53</t>
  </si>
  <si>
    <t>557/GTF.02/13/04/2025</t>
  </si>
  <si>
    <t>2 mangkok makan, 2 toples, 3 Nampan, 1 Keranjang Rotan</t>
  </si>
  <si>
    <t>Titik Handriyani, S.H., M.S.I</t>
  </si>
  <si>
    <t xml:space="preserve">3402085504700006 </t>
  </si>
  <si>
    <t>G013-202503-014339-BIG</t>
  </si>
  <si>
    <t>Parcel lebaran berisi 1 set cangkir keramik</t>
  </si>
  <si>
    <t>Wakil Ketua DPRD ( Titis )</t>
  </si>
  <si>
    <t>2025-03-27 13:14:51</t>
  </si>
  <si>
    <t>613/GTF.02/13/04/2025</t>
  </si>
  <si>
    <t>Fajar Widodo</t>
  </si>
  <si>
    <t xml:space="preserve">3471131601810001 </t>
  </si>
  <si>
    <t>G013-202503-014348-BIG</t>
  </si>
  <si>
    <t>Parsel pecah belah berisi 2 piring dan 1 mangkuk</t>
  </si>
  <si>
    <t>Bank BSI</t>
  </si>
  <si>
    <t>2025-03-27 13:40:06</t>
  </si>
  <si>
    <t>710/GTF.02/13/04/2025</t>
  </si>
  <si>
    <t>G013-202503-014384-BIG</t>
  </si>
  <si>
    <t>BRI Cabang Purwodadi</t>
  </si>
  <si>
    <t>2025-03-27 15:13:45</t>
  </si>
  <si>
    <t>Arina Rahmaniar</t>
  </si>
  <si>
    <t xml:space="preserve">3404036004890002 </t>
  </si>
  <si>
    <t>Pengadilan Tinggi Agama Yogyakarta/Pengadilan Agama Yogyakarta</t>
  </si>
  <si>
    <t>G013-202503-014402-BIG</t>
  </si>
  <si>
    <t>2025-03-27 16:23:34</t>
  </si>
  <si>
    <t>G013-202503-014417-BIG</t>
  </si>
  <si>
    <t>Hampers berisi Satu Toples kecil Kue Putri Salju dan 1 Kg Kurma merek El Jazirah</t>
  </si>
  <si>
    <t>Kepala Cabang BSI Cabang Dago Kota Bandung.</t>
  </si>
  <si>
    <t>2025-03-27 18:13:05</t>
  </si>
  <si>
    <t>597/GTF.02/13/04/2025</t>
  </si>
  <si>
    <t>G013-202503-014427-BIG</t>
  </si>
  <si>
    <t>Peralatan Lengkap Rumah Tangga</t>
  </si>
  <si>
    <t>Wali Kota Bontang</t>
  </si>
  <si>
    <t>2025-03-28 10:02:54</t>
  </si>
  <si>
    <t>600/GTF.02/13/04/2025</t>
  </si>
  <si>
    <t>G013-202503-014432-BIG</t>
  </si>
  <si>
    <t>2025-03-28</t>
  </si>
  <si>
    <t>parsel lebaran dengan isi makanan ringan</t>
  </si>
  <si>
    <t>Ali Badrudin, SE</t>
  </si>
  <si>
    <t>2025-03-28 13:11:15</t>
  </si>
  <si>
    <t>Nur Asiyah</t>
  </si>
  <si>
    <t xml:space="preserve">3471134709790001 </t>
  </si>
  <si>
    <t>Kasubbag Perencanaan TI dan Pelaporan</t>
  </si>
  <si>
    <t>G013-202503-014433-BIG</t>
  </si>
  <si>
    <t>Parcel lebaran berisi makanan</t>
  </si>
  <si>
    <t>Bupati Bantul</t>
  </si>
  <si>
    <t>2025-03-28 14:15:59</t>
  </si>
  <si>
    <t>635/GTF.02/13/04/2025</t>
  </si>
  <si>
    <t>Parcel cangkir set</t>
  </si>
  <si>
    <t>IRLINA</t>
  </si>
  <si>
    <t xml:space="preserve">5201036609720002 </t>
  </si>
  <si>
    <t>Pengadilan Tinggi Jawa Timur/Pengadilan Negeri Surabaya</t>
  </si>
  <si>
    <t>G013-202503-014434-BIG</t>
  </si>
  <si>
    <t>PARCEL LEBARAN YANG BERISI KUE KERING 2 (DUA) TOPLES, PIRING KERAMIK 3 (TIGA) BUAH, DAN TEMPATNYA BERUPA KERANJANG ROTAN</t>
  </si>
  <si>
    <t>BAPAK DANNY CURIA NOVITAWAN, SH</t>
  </si>
  <si>
    <t>2025-03-28 14:51:12</t>
  </si>
  <si>
    <t>Pengadilan Negeri Surabaya</t>
  </si>
  <si>
    <t>Mahendrasmara Purnamajati</t>
  </si>
  <si>
    <t xml:space="preserve">3502172701750007 </t>
  </si>
  <si>
    <t>Pengadilan Tinggi Nusa Tenggara Barat/Pengadilan Negeri Mataram</t>
  </si>
  <si>
    <t>G013-202503-014436-BIG</t>
  </si>
  <si>
    <t>Danny Curia Novitawan, S.H</t>
  </si>
  <si>
    <t>2025-03-28 16:49:44</t>
  </si>
  <si>
    <t>Pengadilan Negeri Mataram</t>
  </si>
  <si>
    <t>G013-202503-014444-BIG</t>
  </si>
  <si>
    <t>2025-03-29</t>
  </si>
  <si>
    <t>Kanwil Kementerian Agama Banjarmasin</t>
  </si>
  <si>
    <t>2025-03-29 23:09:21</t>
  </si>
  <si>
    <t>Ahmad Syahrus Sikti</t>
  </si>
  <si>
    <t xml:space="preserve">3171062702870001 </t>
  </si>
  <si>
    <t>Wakil Ketua Pengadilan Agama Batang</t>
  </si>
  <si>
    <t>Pengadilan Tinggi Agama Jawa tengah/</t>
  </si>
  <si>
    <t>G013-202503-014445-BIG</t>
  </si>
  <si>
    <t>Banana cake</t>
  </si>
  <si>
    <t>Paolo Siagian</t>
  </si>
  <si>
    <t>2025-03-30 04:29:46</t>
  </si>
  <si>
    <t>G013-202503-014449-BIG</t>
  </si>
  <si>
    <t>Uang honorarium dan transportasi kegiatan rukyatul hilal</t>
  </si>
  <si>
    <t>Dr. Drs. H. M. TAMBRIN, M.M.Pd.I.</t>
  </si>
  <si>
    <t>2025-03-31 16:22:32</t>
  </si>
  <si>
    <t>Nurrahmawaty</t>
  </si>
  <si>
    <t xml:space="preserve">5204084405790001 </t>
  </si>
  <si>
    <t>Ketua Pengadilan Agama Klungkung</t>
  </si>
  <si>
    <t>Pengadilan Tinggi Agama Mataram/Pengadilan Agama Klungkung</t>
  </si>
  <si>
    <t>G013-202504-014457-BIG</t>
  </si>
  <si>
    <t>2025-04-08</t>
  </si>
  <si>
    <t>Bingkisan Hari Raya</t>
  </si>
  <si>
    <t>Kepala BRI Cabang Semarapura</t>
  </si>
  <si>
    <t>2025-04-08 08:32:31</t>
  </si>
  <si>
    <t>Pengadilan Agama Klungkung</t>
  </si>
  <si>
    <t>ISRIZAL ANWAR</t>
  </si>
  <si>
    <t xml:space="preserve">6203010601730002 </t>
  </si>
  <si>
    <t>Pengadilan Tinggi Agama Bandung/Pengadilan Agama Karawang</t>
  </si>
  <si>
    <t>G013-202504-014572-BIG</t>
  </si>
  <si>
    <t>4 kaleng kecil makanan</t>
  </si>
  <si>
    <t>Bupati Karawang</t>
  </si>
  <si>
    <t>2025-04-09 11:14:01</t>
  </si>
  <si>
    <t>654/GTF.02/13/04/2025</t>
  </si>
  <si>
    <t>Pengadilan Agama Karawang</t>
  </si>
  <si>
    <t>gelas, mini sajadah dan tasbih</t>
  </si>
  <si>
    <t>Syaifullah</t>
  </si>
  <si>
    <t>3 kotak makanan</t>
  </si>
  <si>
    <t>Bank BRI</t>
  </si>
  <si>
    <t>kue kering</t>
  </si>
  <si>
    <t>1 mukena, 2 mangkok dan 1 batik meja</t>
  </si>
  <si>
    <t>Yuniar Nelly</t>
  </si>
  <si>
    <t xml:space="preserve">6171036406770002 </t>
  </si>
  <si>
    <t>Pengadilan Tinggi Pontianak/Pengadilan Negeri Pontianak</t>
  </si>
  <si>
    <t>G013-202504-014520-BIG</t>
  </si>
  <si>
    <t>Makanan berupa kue dan minuman kaleng</t>
  </si>
  <si>
    <t>Staf Bank Tabungan Negara (BTN) Cabang Pontianak</t>
  </si>
  <si>
    <t>2025-04-08 16:09:27</t>
  </si>
  <si>
    <t>Indra Fitriadi</t>
  </si>
  <si>
    <t xml:space="preserve">1901011906770007 </t>
  </si>
  <si>
    <t>Pengadilan Tinggi Agama Semarang/Pengadilan Agama Wonosobo</t>
  </si>
  <si>
    <t>G013-202504-014569-BIG</t>
  </si>
  <si>
    <t>Barang terbuat dari keramik yang terdiri dari 2 mangkok, 2 piring, 2 sendok dan 1 Gelas, sedangkan makanan dalam bentuk kue kering jenis Nastar dan Sagu Keju</t>
  </si>
  <si>
    <t>Anggi Febriyanto Kusumo</t>
  </si>
  <si>
    <t>2025-04-09 11:05:56</t>
  </si>
  <si>
    <t>LAPORAN PENOLAKAN</t>
  </si>
  <si>
    <t>Pengadilan Agama Wonosobo</t>
  </si>
  <si>
    <t>MAHMUD HADI RIYANTO</t>
  </si>
  <si>
    <t xml:space="preserve">3506201605860002 </t>
  </si>
  <si>
    <t>Wakil Ketua Pengadilan Agama Demak</t>
  </si>
  <si>
    <t>G013-202504-014607-BIG</t>
  </si>
  <si>
    <t>2025-03-18</t>
  </si>
  <si>
    <t>Parcel Hari Raya Idul Fitri</t>
  </si>
  <si>
    <t>Pimpinan Cabang Bank BRI BO Maumere</t>
  </si>
  <si>
    <t>2025-04-10 08:54:22</t>
  </si>
  <si>
    <t>Putri Atikah Dewi</t>
  </si>
  <si>
    <t xml:space="preserve">3308034612960003 </t>
  </si>
  <si>
    <t>Penata Layanan Operasional</t>
  </si>
  <si>
    <t>Pengadilan Tinggi Agama Semarang/Pengadilan Agama Purworejo</t>
  </si>
  <si>
    <t>G013-202504-014608-BIG</t>
  </si>
  <si>
    <t>Barang terbuat dari keramik yang terdiri dari 2 mangkok, 2 piring, 2 sendok, dan 1 gelas. Sedangkan makanan dalam bentuk kue kering.</t>
  </si>
  <si>
    <t>Andhika</t>
  </si>
  <si>
    <t>2025-04-10 08:57:51</t>
  </si>
  <si>
    <t>Pengadilan Agama Purworejo</t>
  </si>
  <si>
    <t>G013-202504-014609-BIG</t>
  </si>
  <si>
    <t>makana ringan seperti biskuit, permen, roti dan beberapa minuman kaleng bersoda</t>
  </si>
  <si>
    <t>Manajer PT. PLN ICON Plus</t>
  </si>
  <si>
    <t>2025-04-10 09:00:39</t>
  </si>
  <si>
    <t>G013-202504-014612-BIG</t>
  </si>
  <si>
    <t>Ketua Pengadilan Negeri Maumere</t>
  </si>
  <si>
    <t>2025-04-10 09:38:43</t>
  </si>
  <si>
    <t>G013-202504-014614-BIG</t>
  </si>
  <si>
    <t>makanan ringan, biskuit khong guan, minuman bersoda, Marjan, kurma, wafer, permen, coklat biskuit, tango</t>
  </si>
  <si>
    <t>Christian Njoe</t>
  </si>
  <si>
    <t>2025-04-10 09:56:22</t>
  </si>
  <si>
    <t>G013-202504-014617-BIG</t>
  </si>
  <si>
    <t>Teh Botol, Kopi, roti, kue, minuman bersoda dan cangkir kopi</t>
  </si>
  <si>
    <t>AKBP. MOH. MUKHSON, S.H., S.I.K., M.H.</t>
  </si>
  <si>
    <t>2025-04-10 10:05:56</t>
  </si>
  <si>
    <t>G013-202504-014618-BIG</t>
  </si>
  <si>
    <t>2025-03-31</t>
  </si>
  <si>
    <t>Jamuan makan pagi berupa bakso, soto, sate, sup, kopi, teh, air mineral</t>
  </si>
  <si>
    <t>Kolonel Marinir Anjas Wicaksono Putro</t>
  </si>
  <si>
    <t>2025-04-10 10:15:01</t>
  </si>
  <si>
    <t>G013-202504-014622-BIG</t>
  </si>
  <si>
    <t>2025-03-30</t>
  </si>
  <si>
    <t>Jamuan makan</t>
  </si>
  <si>
    <t>Letkol Arm Denny Riesta Permana</t>
  </si>
  <si>
    <t>2025-04-10 10:38:30</t>
  </si>
  <si>
    <t>G013-202504-014624-BIG</t>
  </si>
  <si>
    <t>Buku karya Jendral TNI (Purn.) Prabowo Subianto</t>
  </si>
  <si>
    <t>Jenderal TNI (Purn) H. Prabowo Subianto</t>
  </si>
  <si>
    <t>2025-04-10 10:48:27</t>
  </si>
  <si>
    <t>G013-202504-014628-BIG</t>
  </si>
  <si>
    <t>2025-04-06</t>
  </si>
  <si>
    <t>Jasa pembersihan Rumah Jabatan Ketua Pengadilan Agama Maumere</t>
  </si>
  <si>
    <t>Wachid Kurniawan Budi Santoso</t>
  </si>
  <si>
    <t>2025-04-10 11:08:51</t>
  </si>
  <si>
    <t>TIDAK MEMENUHI</t>
  </si>
  <si>
    <t>G013-202504-014674-BIG</t>
  </si>
  <si>
    <t>uang</t>
  </si>
  <si>
    <t>2025-04-10 15:57:36</t>
  </si>
  <si>
    <t>Faridl Muzaky</t>
  </si>
  <si>
    <t xml:space="preserve">3273252812850002 </t>
  </si>
  <si>
    <t>Kepala Subbagian Kepegawaian dan Teknologi Informasi</t>
  </si>
  <si>
    <t>Pengadilan Tinggi Agama Bandung/Pengadilan Tinggi Agama Bandung</t>
  </si>
  <si>
    <t>G013-202504-014673-BIG</t>
  </si>
  <si>
    <t>2025-04-10</t>
  </si>
  <si>
    <t>Makanan kue lapis</t>
  </si>
  <si>
    <t>Siti</t>
  </si>
  <si>
    <t>2025-04-10 15:56:26</t>
  </si>
  <si>
    <t>Dwira Kurnianto Widodo</t>
  </si>
  <si>
    <t xml:space="preserve">3372012407910003 </t>
  </si>
  <si>
    <t>Pengadilan Tinggi Agama Palangkaraya/Pengadilan Agama Sampit</t>
  </si>
  <si>
    <t>2025-04-11 00:00:00</t>
  </si>
  <si>
    <t>Pengadilan Agama Sampit</t>
  </si>
  <si>
    <t>Nurhasan</t>
  </si>
  <si>
    <t xml:space="preserve">3205050803830008 </t>
  </si>
  <si>
    <t>G013-202504-014714-BIG</t>
  </si>
  <si>
    <t>2025-04-09</t>
  </si>
  <si>
    <t>Parcel Hari Raya Idul Fitri 2025</t>
  </si>
  <si>
    <t>Mohammad Irfan, SH</t>
  </si>
  <si>
    <t>2025-04-11 17:36:58</t>
  </si>
  <si>
    <t>G013-202504-014715-BIG</t>
  </si>
  <si>
    <t>Makanan kaleng</t>
  </si>
  <si>
    <t>Bu Ummi Khoiriyyah, SH</t>
  </si>
  <si>
    <t>2025-04-11 17:43:18</t>
  </si>
  <si>
    <t>G013-202504-014716-BIG</t>
  </si>
  <si>
    <t>Kepala Cabang BRI Cabang Kota Magelang</t>
  </si>
  <si>
    <t>2025-04-11 17:50:12</t>
  </si>
  <si>
    <t>G013-202504-014720-BIG</t>
  </si>
  <si>
    <t>Makanan dengan masa berlaku</t>
  </si>
  <si>
    <t>Bank Tabungan Negara</t>
  </si>
  <si>
    <t>2025-04-13 16:23:32</t>
  </si>
  <si>
    <t>Raden Narendra Mohni Iswoyokusumo</t>
  </si>
  <si>
    <t xml:space="preserve">3214013008760001 </t>
  </si>
  <si>
    <t>Ketua Pengadilan/Hakim</t>
  </si>
  <si>
    <t>Pengadilan Tinggi Kalimantan Timur/Pengadilan Negeri Nunukan</t>
  </si>
  <si>
    <t>G013-202504-014726-BIG</t>
  </si>
  <si>
    <t>Parsel berisi 1 piring kecil,1 mangkuk kecil, 1 mug kecil, dan 1 sajadah lipat</t>
  </si>
  <si>
    <t>Nonok Soekarno, Branch office head BRI Nunukan</t>
  </si>
  <si>
    <t>2025-04-14 08:29:36</t>
  </si>
  <si>
    <t>691/GTF.02/13/04/2025</t>
  </si>
  <si>
    <t>Pengadilan Negeri Nunukan</t>
  </si>
  <si>
    <t>Parsel berisi 2 toples kue kering</t>
  </si>
  <si>
    <t>G013-202504-014888-BIG</t>
  </si>
  <si>
    <t>2025-04-14</t>
  </si>
  <si>
    <t>Supandi</t>
  </si>
  <si>
    <t>2025-04-19 22:12:14</t>
  </si>
  <si>
    <t>G013-202504-014740-BIG</t>
  </si>
  <si>
    <t>2025-04-13</t>
  </si>
  <si>
    <t>5 buah toples kaca</t>
  </si>
  <si>
    <t>Sriyani</t>
  </si>
  <si>
    <t>2025-04-14 11:08:53</t>
  </si>
  <si>
    <t>680/GTF.02/13/04/2025</t>
  </si>
  <si>
    <t>G013-202504-014772-BIG</t>
  </si>
  <si>
    <t>Kapolres Pacitan</t>
  </si>
  <si>
    <t>2025-04-15 10:26:24</t>
  </si>
  <si>
    <t>678/GTF.02/13/04/2025</t>
  </si>
  <si>
    <t>Rika Dwi Setyaningsih</t>
  </si>
  <si>
    <t xml:space="preserve">3521055505980003 </t>
  </si>
  <si>
    <t>Pengadilan Tinggi Agama Mataram/Pengadilan Agama Karangasem</t>
  </si>
  <si>
    <t>G013-202504-014801-BIG</t>
  </si>
  <si>
    <t>Makanan kering</t>
  </si>
  <si>
    <t>Iqbal</t>
  </si>
  <si>
    <t>2025-04-16 12:00:54</t>
  </si>
  <si>
    <t>Pengadilan Agama Karangasem</t>
  </si>
  <si>
    <t>G013-202504-014773-BIG</t>
  </si>
  <si>
    <t>Parcel Lebaran berupa piring set</t>
  </si>
  <si>
    <t>Bank Jatim KC Pacitan</t>
  </si>
  <si>
    <t>2025-04-15 10:36:47</t>
  </si>
  <si>
    <t>677/GTF.02/13/04/2025</t>
  </si>
  <si>
    <t>Parcel makanan</t>
  </si>
  <si>
    <t>PT Pos KC Pacitan</t>
  </si>
  <si>
    <t>G013-202504-014798-BIG</t>
  </si>
  <si>
    <t>Coffee Maker</t>
  </si>
  <si>
    <t>Mediator non Hakim</t>
  </si>
  <si>
    <t>2025-04-16 11:11:23</t>
  </si>
  <si>
    <t>689/GTF.02/13/04/2025</t>
  </si>
  <si>
    <t>G013-202504-014806-BIG</t>
  </si>
  <si>
    <t>Kapolres</t>
  </si>
  <si>
    <t>2025-04-16 15:06:06</t>
  </si>
  <si>
    <t>708/GTF.02/13/04/2025</t>
  </si>
  <si>
    <t>Nasri</t>
  </si>
  <si>
    <t xml:space="preserve">1171023112750028 </t>
  </si>
  <si>
    <t>Pengadilan Tinggi Jawa tengah/Pengadilan Negeri Karanganyar</t>
  </si>
  <si>
    <t>G013-202504-014840-BIG</t>
  </si>
  <si>
    <t>Rober Cristanto (Bupati)</t>
  </si>
  <si>
    <t>2025-04-17 16:52:05</t>
  </si>
  <si>
    <t>716/GTF.02/13/04/2025</t>
  </si>
  <si>
    <t>Pengadilan Negeri Karanganyar</t>
  </si>
  <si>
    <t>G013-202504-014843-BIG</t>
  </si>
  <si>
    <t>2025-04-17</t>
  </si>
  <si>
    <t>Djarot Supriyoto</t>
  </si>
  <si>
    <t>2025-04-17 21:21:47</t>
  </si>
  <si>
    <t>741/GTF.02/13/04/2025</t>
  </si>
  <si>
    <t>Gillang Pamungkas</t>
  </si>
  <si>
    <t xml:space="preserve">3304060510900003 </t>
  </si>
  <si>
    <t>Pengadilan Negeri Ngabang/</t>
  </si>
  <si>
    <t>G013-202504-014844-BIG</t>
  </si>
  <si>
    <t>24 kaleng minuman oishiiyori</t>
  </si>
  <si>
    <t>Bayu K. N.</t>
  </si>
  <si>
    <t>2025-04-18 17:58:03</t>
  </si>
  <si>
    <t>709/GTF.02/13/04/2025</t>
  </si>
  <si>
    <t>Novitasari Tri Haryanti</t>
  </si>
  <si>
    <t xml:space="preserve">3402085811930004 </t>
  </si>
  <si>
    <t>Pengadilan Tinggi Pontianak/Pengadilan Negeri Sanggau</t>
  </si>
  <si>
    <t>G013-202504-014900-BIG</t>
  </si>
  <si>
    <t>Minuman</t>
  </si>
  <si>
    <t>Munawar Rahim</t>
  </si>
  <si>
    <t>2025-04-21 13:04:51</t>
  </si>
  <si>
    <t>Pengadilan Negeri Sanggau</t>
  </si>
  <si>
    <t>G013-202504-014913-BIG</t>
  </si>
  <si>
    <t>2025-04-22</t>
  </si>
  <si>
    <t>Tas Tangan Pria</t>
  </si>
  <si>
    <t>Rully Agus Widanarto</t>
  </si>
  <si>
    <t>2025-04-22 07:28:35</t>
  </si>
  <si>
    <t>Denny Budi Kusuma</t>
  </si>
  <si>
    <t xml:space="preserve">3322180812920001 </t>
  </si>
  <si>
    <t>Pengadilan Tinggi Palangkaraya/Pengadilan Negeri Muara Teweh</t>
  </si>
  <si>
    <t>G013-202504-014933-BIG</t>
  </si>
  <si>
    <t>Suyanto</t>
  </si>
  <si>
    <t>2025-04-22 16:07:12</t>
  </si>
  <si>
    <t>768/GTF.02/13/05/2025</t>
  </si>
  <si>
    <t>Pengadilan Negeri Muara Teweh</t>
  </si>
  <si>
    <t>G013-202504-014951-BIG</t>
  </si>
  <si>
    <t>2025-04-23</t>
  </si>
  <si>
    <t>Canang 3 buah</t>
  </si>
  <si>
    <t>Wayan Suratni (bu mangku)</t>
  </si>
  <si>
    <t>2025-04-23 20:15:56</t>
  </si>
  <si>
    <t>Firdaus</t>
  </si>
  <si>
    <t xml:space="preserve">1306040108730001 </t>
  </si>
  <si>
    <t>G013-202504-014953-BIG</t>
  </si>
  <si>
    <t>BRI</t>
  </si>
  <si>
    <t>2025-04-24 08:32:19</t>
  </si>
  <si>
    <t>769/GTF.02/13/05/2025</t>
  </si>
  <si>
    <t>Ridwan Pratama</t>
  </si>
  <si>
    <t xml:space="preserve">1871110808940002 </t>
  </si>
  <si>
    <t>Pengadilan Tinggi Tanjungkarang/Pengadilan Negeri Blambangan Umpu</t>
  </si>
  <si>
    <t>G013-202504-014957-BIG</t>
  </si>
  <si>
    <t>Umroh gift</t>
  </si>
  <si>
    <t>Ratmini, S.H., M.H. (WKPN Blambangan Umpu)</t>
  </si>
  <si>
    <t>2025-04-24 11:05:39</t>
  </si>
  <si>
    <t>Pengadilan Negeri Blambangan Umpu</t>
  </si>
  <si>
    <t>G013-202504-014958-BIG</t>
  </si>
  <si>
    <t>Souvenir Pernikahan</t>
  </si>
  <si>
    <t>Maya Riska KP</t>
  </si>
  <si>
    <t>2025-04-24 11:28:47</t>
  </si>
  <si>
    <t>Annisa Noviyati</t>
  </si>
  <si>
    <t xml:space="preserve">3471035307780002 </t>
  </si>
  <si>
    <t>G013-202504-014973-BUK</t>
  </si>
  <si>
    <t>Endah Subekti Kuntariningsih</t>
  </si>
  <si>
    <t>2025-04-25 10:32:30</t>
  </si>
  <si>
    <t>731/GTF.02/13/04/2025</t>
  </si>
  <si>
    <t>Taufik</t>
  </si>
  <si>
    <t xml:space="preserve">1304010611810001 </t>
  </si>
  <si>
    <t>G013-202504-014974-BIG</t>
  </si>
  <si>
    <t>Parsel makanan</t>
  </si>
  <si>
    <t>Kapolres Kulon Progo</t>
  </si>
  <si>
    <t>2025-04-25 10:43:44</t>
  </si>
  <si>
    <t>G013-202504-014976-BIG</t>
  </si>
  <si>
    <t>5 Buah Buku</t>
  </si>
  <si>
    <t>Dr. Kurniawan Tri Wibowo SH., MH.</t>
  </si>
  <si>
    <t>2025-04-25 11:05:52</t>
  </si>
  <si>
    <t>753/GTF.02/13/04/2025</t>
  </si>
  <si>
    <t>Fathur Rahman</t>
  </si>
  <si>
    <t xml:space="preserve">6271011302850002 </t>
  </si>
  <si>
    <t>Pengadilan Tinggi Agama Kalimantan tengah/</t>
  </si>
  <si>
    <t>G013-202504-015001-BIG</t>
  </si>
  <si>
    <t>Karyawan BSI</t>
  </si>
  <si>
    <t>2025-04-28 08:43:01</t>
  </si>
  <si>
    <t>G013-202504-014981-BIG</t>
  </si>
  <si>
    <t>2025-04-01</t>
  </si>
  <si>
    <t>2025-04-25 14:41:03</t>
  </si>
  <si>
    <t>782/GTF.02/13/05/2025</t>
  </si>
  <si>
    <t>G013-202504-014983-BIG</t>
  </si>
  <si>
    <t>2025-04-25</t>
  </si>
  <si>
    <t>Satu dus berisi makanan  (oleh-oleh / buah tangan) khas Situbondo</t>
  </si>
  <si>
    <t>Haries S. Lubis</t>
  </si>
  <si>
    <t>2025-04-25 16:33:39</t>
  </si>
  <si>
    <t>G013-202504-014991-BUG</t>
  </si>
  <si>
    <t>Parsel berupa makanan kering dan barang pecah belah</t>
  </si>
  <si>
    <t>Sahlanudin, S.Ag., S.H., M.H.</t>
  </si>
  <si>
    <t>2025-04-27 08:44:49</t>
  </si>
  <si>
    <t>G013-202504-014992-BUG</t>
  </si>
  <si>
    <t>Parsel makanan dan pecah belah</t>
  </si>
  <si>
    <t>Rosyidatus Syarifeini, S.Psi., M.H.</t>
  </si>
  <si>
    <t>2025-04-27 08:50:43</t>
  </si>
  <si>
    <t>G013-202504-014993-BUG</t>
  </si>
  <si>
    <t>Bank Mandiri</t>
  </si>
  <si>
    <t>2025-04-27 09:00:05</t>
  </si>
  <si>
    <t>G013-202504-014994-BUG</t>
  </si>
  <si>
    <t>Institutional Banking Group BSI</t>
  </si>
  <si>
    <t>2025-04-27 09:17:25</t>
  </si>
  <si>
    <t>G013-202504-014995-BUG</t>
  </si>
  <si>
    <t>Eid Royal Gift Box Maga</t>
  </si>
  <si>
    <t>Bank Rakyat Indonesia</t>
  </si>
  <si>
    <t>2025-04-27 09:26:46</t>
  </si>
  <si>
    <t>759/GTF.02/13/05/2025</t>
  </si>
  <si>
    <t>G013-202504-014996-BUG</t>
  </si>
  <si>
    <t>Parsel Makanan</t>
  </si>
  <si>
    <t>Stevano R. Adranacus</t>
  </si>
  <si>
    <t>2025-04-27 09:34:42</t>
  </si>
  <si>
    <t>G013-202504-015002-BIG</t>
  </si>
  <si>
    <t>Karyawan BRI</t>
  </si>
  <si>
    <t>2025-04-28 08:48:12</t>
  </si>
  <si>
    <t>G013-202504-015003-BIG</t>
  </si>
  <si>
    <t>Parsel piring</t>
  </si>
  <si>
    <t>Kajari Barito Timur</t>
  </si>
  <si>
    <t>2025-04-28 09:04:47</t>
  </si>
  <si>
    <t>775/GTF.02/13/05/2025</t>
  </si>
  <si>
    <t>G013-202503-014055-BIG</t>
  </si>
  <si>
    <t>Parcel lebaran (cangkir)</t>
  </si>
  <si>
    <t>Deva Indah</t>
  </si>
  <si>
    <t>2025-03-23 17:06:14</t>
  </si>
  <si>
    <t>684/GTF.02/13/04/2025</t>
  </si>
  <si>
    <t>G013-202504-015019-BIG</t>
  </si>
  <si>
    <t>Kepala Bank BRI Cabang Kulon Progo</t>
  </si>
  <si>
    <t>2025-04-29 08:15:17</t>
  </si>
  <si>
    <t>Yusri</t>
  </si>
  <si>
    <t xml:space="preserve">7202012910710001 </t>
  </si>
  <si>
    <t>Pengadilan Tinggi Agama Palangkaraya/Pengadilan Agama Palangkaraya</t>
  </si>
  <si>
    <t>G013-202603-019350-BIG</t>
  </si>
  <si>
    <t>2026-03-13</t>
  </si>
  <si>
    <t>Parsel makanan minuman</t>
  </si>
  <si>
    <t>Fairid Naparin, S.E.</t>
  </si>
  <si>
    <t>2026-03-16 11:51:11</t>
  </si>
  <si>
    <t>DISALURKAN</t>
  </si>
  <si>
    <t>Pengadilan Agama Palangkaraya</t>
  </si>
  <si>
    <t>G013-202504-015045-BIG</t>
  </si>
  <si>
    <t>2025-04-30</t>
  </si>
  <si>
    <t>Gede Gandha</t>
  </si>
  <si>
    <t>2025-04-30 10:58:00</t>
  </si>
  <si>
    <t>G013-202505-015071-BIG</t>
  </si>
  <si>
    <t>2025-05-02</t>
  </si>
  <si>
    <t>2025-05-02 15:30:30</t>
  </si>
  <si>
    <t>G013-202505-015077-BIG</t>
  </si>
  <si>
    <t>2025-04-20</t>
  </si>
  <si>
    <t>Tas tangan</t>
  </si>
  <si>
    <t>Andre Trisandi</t>
  </si>
  <si>
    <t>2025-05-03 18:23:23</t>
  </si>
  <si>
    <t>G013-202505-015095-BIG</t>
  </si>
  <si>
    <t>2025-05-01</t>
  </si>
  <si>
    <t>Keripik talas</t>
  </si>
  <si>
    <t>Pengurus Darmayukti Karini Daerah Jawa Tengah</t>
  </si>
  <si>
    <t>2025-05-06 06:19:47</t>
  </si>
  <si>
    <t>Eri Junianto</t>
  </si>
  <si>
    <t xml:space="preserve">3305102006870001 </t>
  </si>
  <si>
    <t>Pengadilan Tinggi Agama Kupang/Pengadilan Agama SO`E</t>
  </si>
  <si>
    <t>G013-202505-015096-BIG</t>
  </si>
  <si>
    <t>Anto</t>
  </si>
  <si>
    <t>2025-05-06 08:05:36</t>
  </si>
  <si>
    <t>Pengadilan Agama SO`E</t>
  </si>
  <si>
    <t>Wawan</t>
  </si>
  <si>
    <t xml:space="preserve">3201200508690005 </t>
  </si>
  <si>
    <t>2025-05-06 00:00:00</t>
  </si>
  <si>
    <t>G013-202505-015109-BIG</t>
  </si>
  <si>
    <t>2025-05-05</t>
  </si>
  <si>
    <t>bingkisan berisi makanan</t>
  </si>
  <si>
    <t>Priscilla</t>
  </si>
  <si>
    <t>2025-05-06 15:21:00</t>
  </si>
  <si>
    <t>G013-202505-015144-BIG</t>
  </si>
  <si>
    <t>2025-05-08</t>
  </si>
  <si>
    <t>Tulus Rizki Ganda Purba, S.H.</t>
  </si>
  <si>
    <t>2025-05-08 15:06:27</t>
  </si>
  <si>
    <t>Darmoko Yuti Witanto</t>
  </si>
  <si>
    <t xml:space="preserve">3302231301780001 </t>
  </si>
  <si>
    <t>Kepala Pusat</t>
  </si>
  <si>
    <t>Badan Penelitian dan Pengembangan dan Pendidikan dan Pelatihan Hukum dan Peradilan/Pusat Pendidikan dan Pelatihan Manajemen dan Kepemimpinan</t>
  </si>
  <si>
    <t>G013-202505-015156-BIG</t>
  </si>
  <si>
    <t>Selendang Tenun</t>
  </si>
  <si>
    <t>Aliansi Masyarakat Adat Nusantara (AMAN)</t>
  </si>
  <si>
    <t>2025-05-09 16:04:06</t>
  </si>
  <si>
    <t>825/GTF.02/13/05/2025</t>
  </si>
  <si>
    <t>Pusat Pendidikan dan Pelatihan Manajemen dan Kepemimpinan</t>
  </si>
  <si>
    <t>G013-202505-015157-BIG</t>
  </si>
  <si>
    <t>Jam Meja</t>
  </si>
  <si>
    <t>Aisyah</t>
  </si>
  <si>
    <t>2025-05-09 16:20:48</t>
  </si>
  <si>
    <t>821/GTF.02/13/05/2025</t>
  </si>
  <si>
    <t>Muklas Arifin</t>
  </si>
  <si>
    <t xml:space="preserve">3312172707800003 </t>
  </si>
  <si>
    <t>2025-05-09 00:00:00</t>
  </si>
  <si>
    <t>G013-202505-015163-BIG</t>
  </si>
  <si>
    <t>Dua toples kue kering</t>
  </si>
  <si>
    <t>Ratna Mutia Rinanti</t>
  </si>
  <si>
    <t>2025-05-13 12:08:09</t>
  </si>
  <si>
    <t>G013-202506-015344-BIG</t>
  </si>
  <si>
    <t>2025-05-14</t>
  </si>
  <si>
    <t>2025-06-02 14:31:39</t>
  </si>
  <si>
    <t>DANIL ISNADI</t>
  </si>
  <si>
    <t xml:space="preserve">1304030509850003 </t>
  </si>
  <si>
    <t>G013-202505-015175-BIG</t>
  </si>
  <si>
    <t>Dosen Pembimbing Mahasiswa Praktek Hukum Lapangan (PHL)</t>
  </si>
  <si>
    <t>2025-05-14 14:50:29</t>
  </si>
  <si>
    <t>G013-202505-015201-BIG</t>
  </si>
  <si>
    <t>2025-05-16</t>
  </si>
  <si>
    <t>Kue TAR Ulang Tahun</t>
  </si>
  <si>
    <t>I Nyoman Slamet Destrawan</t>
  </si>
  <si>
    <t>2025-05-16 09:10:44</t>
  </si>
  <si>
    <t>G013-202505-015218-BIG</t>
  </si>
  <si>
    <t>Drs. H. Abd. Rozaq, M.H. (Ketua Takmir Masjid Kiyai Mojo PTA Semarang)</t>
  </si>
  <si>
    <t>2025-05-16 17:29:59</t>
  </si>
  <si>
    <t>G013-202505-015222-BIG</t>
  </si>
  <si>
    <t>2025-05-18</t>
  </si>
  <si>
    <t>Buku dengan judul Anotasi KUHP Nasional oleh Eddy OS Hiariej dan Topi Santoso</t>
  </si>
  <si>
    <t>Erwin Munthe</t>
  </si>
  <si>
    <t>2025-05-18 13:18:23</t>
  </si>
  <si>
    <t>G013-202505-015238-BIG</t>
  </si>
  <si>
    <t>2025-05-19</t>
  </si>
  <si>
    <t>1 (satu) buah kaos dan 1 (satu) buah totebag</t>
  </si>
  <si>
    <t>Pusat Pelaporan dan Analisis Transaksi Keuangan (PPATK)</t>
  </si>
  <si>
    <t>2025-05-19 18:05:04</t>
  </si>
  <si>
    <t>G013-202505-015267-BIG</t>
  </si>
  <si>
    <t>2025-05-21</t>
  </si>
  <si>
    <t>Kopi</t>
  </si>
  <si>
    <t>Anggota Polres Pulang Pisau</t>
  </si>
  <si>
    <t>2025-05-21 18:44:59</t>
  </si>
  <si>
    <t>G013-202505-015324-BIG</t>
  </si>
  <si>
    <t>2025-05-27</t>
  </si>
  <si>
    <t>Kanwil Kementrian Agama Provinsi Kalimantan Selatan</t>
  </si>
  <si>
    <t>2025-05-28 16:50:41</t>
  </si>
  <si>
    <t>Yosedo Pratama Putra</t>
  </si>
  <si>
    <t xml:space="preserve">3372040401930001 </t>
  </si>
  <si>
    <t>Pengadilan Tinggi Semarang/Pengadilan Negeri Batang</t>
  </si>
  <si>
    <t>2025-05-28</t>
  </si>
  <si>
    <t>makanan berupa tahu bakso</t>
  </si>
  <si>
    <t>belum diketahui secara pasti</t>
  </si>
  <si>
    <t>2025-05-28 00:00:00</t>
  </si>
  <si>
    <t>Pengadilan Negeri Batang</t>
  </si>
  <si>
    <t>G013-202505-015328-BIG</t>
  </si>
  <si>
    <t>2025-05-24</t>
  </si>
  <si>
    <t>Mie Ayam</t>
  </si>
  <si>
    <t>Jim</t>
  </si>
  <si>
    <t>2025-05-30 06:08:23</t>
  </si>
  <si>
    <t>883/GTF.02/13/06/2025</t>
  </si>
  <si>
    <t>Melinda Aritonang</t>
  </si>
  <si>
    <t xml:space="preserve">1271215109780003 </t>
  </si>
  <si>
    <t>Pembina TK-I</t>
  </si>
  <si>
    <t>Pengadilan Tinggi Bangka Belitung/Pengadilan Negeri Sungailiat</t>
  </si>
  <si>
    <t>G013-202506-015329-BUK</t>
  </si>
  <si>
    <t>Pakaian wanita</t>
  </si>
  <si>
    <t>Wisnu Hamboro</t>
  </si>
  <si>
    <t>2025-06-02 08:17:18</t>
  </si>
  <si>
    <t>888/GTF.02/13/06/2025</t>
  </si>
  <si>
    <t>Pengadilan Negeri Sungailiat</t>
  </si>
  <si>
    <t>G013-202506-015347-BIG</t>
  </si>
  <si>
    <t>Kementerian Agama RI Kanwil Kalimantan Selatan</t>
  </si>
  <si>
    <t>2025-06-03 07:24:49</t>
  </si>
  <si>
    <t>G013-202506-015348-BIG</t>
  </si>
  <si>
    <t>2025-06-03 07:33:21</t>
  </si>
  <si>
    <t>G013-202506-015349-BIG</t>
  </si>
  <si>
    <t>2025-06-03 08:25:53</t>
  </si>
  <si>
    <t>891/GTF.02/13/06/2025</t>
  </si>
  <si>
    <t>G013-202506-015356-BIG</t>
  </si>
  <si>
    <t>2025-06-03</t>
  </si>
  <si>
    <t>Payung dan Mug</t>
  </si>
  <si>
    <t>PT Bank Syariah Indonesia</t>
  </si>
  <si>
    <t>2025-06-03 15:21:25</t>
  </si>
  <si>
    <t>Muhammad Luthfan Hadi Darus</t>
  </si>
  <si>
    <t xml:space="preserve">1271110706910009 </t>
  </si>
  <si>
    <t>Pengadilan Tinggi Medan/Pengadilan Negeri Sei Rampah</t>
  </si>
  <si>
    <t>G013-202506-015358-BIG</t>
  </si>
  <si>
    <t>HEZRON F SARAGIH</t>
  </si>
  <si>
    <t>2025-06-03 20:24:59</t>
  </si>
  <si>
    <t>924/GTF.02/13/06/2025</t>
  </si>
  <si>
    <t>Pengadilan Negeri Sei Rampah</t>
  </si>
  <si>
    <t>G013-202506-015359-BIG</t>
  </si>
  <si>
    <t>Hezron F Saragih</t>
  </si>
  <si>
    <t>2025-06-03 20:27:52</t>
  </si>
  <si>
    <t>G013-202506-015398-BIG</t>
  </si>
  <si>
    <t>Deviyanti Silitonga</t>
  </si>
  <si>
    <t>2025-06-07 21:20:43</t>
  </si>
  <si>
    <t>G013-202506-015399-BIG</t>
  </si>
  <si>
    <t>2025-02-19</t>
  </si>
  <si>
    <t>Maria CN Barus</t>
  </si>
  <si>
    <t>2025-06-07 22:27:47</t>
  </si>
  <si>
    <t>910/GTF.02/13/06/2025</t>
  </si>
  <si>
    <t>G013-202506-015414-BIG</t>
  </si>
  <si>
    <t>Dinas Kesbangpol Nunukan</t>
  </si>
  <si>
    <t>2025-06-10 16:01:47</t>
  </si>
  <si>
    <t>Gerry Dwi Anggara Chandra</t>
  </si>
  <si>
    <t xml:space="preserve">3273201606810004 </t>
  </si>
  <si>
    <t>Sekertaris</t>
  </si>
  <si>
    <t>Pengadilan Tinggi Jawa tengah/Pengadilan Negeri Slawi</t>
  </si>
  <si>
    <t>2025-06-10</t>
  </si>
  <si>
    <t>TIDAK BERMEREK</t>
  </si>
  <si>
    <t>RIZKIA SANTI WARDHANI, S.H.</t>
  </si>
  <si>
    <t>2025-06-10 00:00:00</t>
  </si>
  <si>
    <t>G013-202506-015432-BIG</t>
  </si>
  <si>
    <t>2025-06-11</t>
  </si>
  <si>
    <t>Makanan</t>
  </si>
  <si>
    <t>2025-06-12 11:14:01</t>
  </si>
  <si>
    <t>G013-202506-015464-BIG</t>
  </si>
  <si>
    <t>2025-06-13</t>
  </si>
  <si>
    <t>Handuk</t>
  </si>
  <si>
    <t>SITI RAHMAH</t>
  </si>
  <si>
    <t>2025-06-14 19:37:20</t>
  </si>
  <si>
    <t>Kain</t>
  </si>
  <si>
    <t>Tidak diketahui</t>
  </si>
  <si>
    <t>ID Card Holder</t>
  </si>
  <si>
    <t>Angga Wahyu Perdana, S.H</t>
  </si>
  <si>
    <t>Pulpen Parker</t>
  </si>
  <si>
    <t>Irma Rahmawati, S.H</t>
  </si>
  <si>
    <t>Kaos Olahraga</t>
  </si>
  <si>
    <t>Topi</t>
  </si>
  <si>
    <t>Rizky Ramadhan, S.H, M.H.</t>
  </si>
  <si>
    <t>Kopi dan Madu</t>
  </si>
  <si>
    <t>Tanfidzul Akbar dan Maya Rohana</t>
  </si>
  <si>
    <t>Botol Minum</t>
  </si>
  <si>
    <t>Ricky Indra Yohanis, S.H</t>
  </si>
  <si>
    <t>Buku</t>
  </si>
  <si>
    <t>Resa Okta Yogananta, SE</t>
  </si>
  <si>
    <t>G013-202506-015469-BIG</t>
  </si>
  <si>
    <t>2025-06-02</t>
  </si>
  <si>
    <t>PMI Kabupaten Bantul</t>
  </si>
  <si>
    <t>2025-06-16 10:45:05</t>
  </si>
  <si>
    <t>G013-202506-015489-BIG</t>
  </si>
  <si>
    <t>2025-05-23</t>
  </si>
  <si>
    <t>Jamuan Minuman</t>
  </si>
  <si>
    <t>Sardi Hutabarat</t>
  </si>
  <si>
    <t>2025-06-17 11:58:40</t>
  </si>
  <si>
    <t>Firdaus Muhammad</t>
  </si>
  <si>
    <t xml:space="preserve">6372062511800001 </t>
  </si>
  <si>
    <t>Pengadilan Tinggi Agama Semarang/Pengadilan Agama Rembang</t>
  </si>
  <si>
    <t>G013-202506-015493-BIG</t>
  </si>
  <si>
    <t>2025-06-05</t>
  </si>
  <si>
    <t>Tas hand bag</t>
  </si>
  <si>
    <t>Heri</t>
  </si>
  <si>
    <t>2025-06-17 13:15:54</t>
  </si>
  <si>
    <t>Pengadilan Agama Rembang</t>
  </si>
  <si>
    <t>Pengadilan Agama Bontang/</t>
  </si>
  <si>
    <t>G013-202506-015509-BIG</t>
  </si>
  <si>
    <t>2025-06-18</t>
  </si>
  <si>
    <t>Tumblr, buku agenda, pulpen dan dompet</t>
  </si>
  <si>
    <t>Komandan Batalyon Arhanud 7/ABC</t>
  </si>
  <si>
    <t>2025-06-18 16:30:45</t>
  </si>
  <si>
    <t>Ahmad Edi Purwanto</t>
  </si>
  <si>
    <t xml:space="preserve">7371100808800005 </t>
  </si>
  <si>
    <t>Pengadilan Tinggi Agama Manado/</t>
  </si>
  <si>
    <t>2025-07-14 00:00:00</t>
  </si>
  <si>
    <t>Dr. Maman Abdur Rahman, S.H.I., M.Hum</t>
  </si>
  <si>
    <t xml:space="preserve">1771061503810002 </t>
  </si>
  <si>
    <t>G013-202506-015543-BIG</t>
  </si>
  <si>
    <t>2025-06-17</t>
  </si>
  <si>
    <t>Bantal Leher, Handuk dan Sajadah</t>
  </si>
  <si>
    <t>Yudi</t>
  </si>
  <si>
    <t>2025-06-20 18:40:53</t>
  </si>
  <si>
    <t>G013-202506-015586-BIG</t>
  </si>
  <si>
    <t>2025-06-23</t>
  </si>
  <si>
    <t>Payung Lipat</t>
  </si>
  <si>
    <t>2025-06-25 08:01:00</t>
  </si>
  <si>
    <t>G013-202506-015597-BIG</t>
  </si>
  <si>
    <t>2025-06-24</t>
  </si>
  <si>
    <t>Institute for the study of Law and muslim society (Islams)</t>
  </si>
  <si>
    <t>2025-06-25 18:04:24</t>
  </si>
  <si>
    <t>G013-202506-015599-BIG</t>
  </si>
  <si>
    <t>2025-06-25</t>
  </si>
  <si>
    <t>Payung dan gelas</t>
  </si>
  <si>
    <t>Zakaria</t>
  </si>
  <si>
    <t>2025-06-26 07:21:58</t>
  </si>
  <si>
    <t>G013-202506-015600-BIG</t>
  </si>
  <si>
    <t>KPTA Semarang</t>
  </si>
  <si>
    <t>2025-06-26 07:36:09</t>
  </si>
  <si>
    <t>G013-202506-015602-BIG</t>
  </si>
  <si>
    <t>2025-06-20</t>
  </si>
  <si>
    <t>Firda Fahrin Nisa, SH</t>
  </si>
  <si>
    <t>2025-06-26 09:54:18</t>
  </si>
  <si>
    <t>Yayan Sopyan</t>
  </si>
  <si>
    <t xml:space="preserve">3210032005680081 </t>
  </si>
  <si>
    <t>G013-202506-015607-BIG</t>
  </si>
  <si>
    <t>Parfum</t>
  </si>
  <si>
    <t>Miranti Roesamsi</t>
  </si>
  <si>
    <t>2025-06-26 11:42:02</t>
  </si>
  <si>
    <t>979/GTF.02/13/07/2025</t>
  </si>
  <si>
    <t>G013-202506-015610-BIG</t>
  </si>
  <si>
    <t>Satu set Teko dan gelas (Glass Jug Set)</t>
  </si>
  <si>
    <t>Letkol. Arh. Viki Herwandi, S.Sos</t>
  </si>
  <si>
    <t>2025-06-26 13:35:50</t>
  </si>
  <si>
    <t>1003/GTF.02/13/07/2025</t>
  </si>
  <si>
    <t>G013-202506-015616-BIG</t>
  </si>
  <si>
    <t>2025-06-29</t>
  </si>
  <si>
    <t>Topi olahraga merk airwalk</t>
  </si>
  <si>
    <t>Vidi</t>
  </si>
  <si>
    <t>2025-06-29 12:51:11</t>
  </si>
  <si>
    <t>G013-202506-015621-BIG</t>
  </si>
  <si>
    <t>payung lipat warna pink hitam tanpa merk dengan logo koperasi bina sejahtera</t>
  </si>
  <si>
    <t>ketua koperasi bina sejahtera</t>
  </si>
  <si>
    <t>2025-06-30 11:37:01</t>
  </si>
  <si>
    <t>G013-202506-015623-BIG</t>
  </si>
  <si>
    <t>2025-06-30</t>
  </si>
  <si>
    <t>Kaos jersey</t>
  </si>
  <si>
    <t>Sekretaris Daerah Wali Kota Magelang</t>
  </si>
  <si>
    <t>2025-06-30 11:49:14</t>
  </si>
  <si>
    <t>G013-202507-015647-BIG</t>
  </si>
  <si>
    <t>2025-06-12</t>
  </si>
  <si>
    <t>Ibu Sucipto</t>
  </si>
  <si>
    <t>2025-07-01 09:54:21</t>
  </si>
  <si>
    <t>G013-202507-015652-BIG</t>
  </si>
  <si>
    <t>2025-07-01</t>
  </si>
  <si>
    <t>Kaos dan tempat minum</t>
  </si>
  <si>
    <t>Kapolres Kota Magelang</t>
  </si>
  <si>
    <t>2025-07-01 17:15:22</t>
  </si>
  <si>
    <t>Tama Ulinta Br. Tarigan</t>
  </si>
  <si>
    <t xml:space="preserve">1271174303650002 </t>
  </si>
  <si>
    <t>HAKIM AGUNG</t>
  </si>
  <si>
    <t>G013-202507-015704-BIG</t>
  </si>
  <si>
    <t>2025-06-21</t>
  </si>
  <si>
    <t>Keluarga Besar di Medan</t>
  </si>
  <si>
    <t>2025-07-06 06:45:10</t>
  </si>
  <si>
    <t>G013-202507-015675-BIG</t>
  </si>
  <si>
    <t>2025-07-03</t>
  </si>
  <si>
    <t>Surat Keterangan Sehat</t>
  </si>
  <si>
    <t>dr. Nurlaila Usman</t>
  </si>
  <si>
    <t>2025-07-03 09:25:40</t>
  </si>
  <si>
    <t>1028/GTF.02/13/07/2025</t>
  </si>
  <si>
    <t>G013-202507-015703-BIG</t>
  </si>
  <si>
    <t>Kacamata Anti Radiasi beserta case, 2 kain pembersih lensa, dan 2 pembersih Lensa merk Master Clener</t>
  </si>
  <si>
    <t>2025-07-05 19:13:20</t>
  </si>
  <si>
    <t>1040/GTF.02/13/07/2025</t>
  </si>
  <si>
    <t>G013-202507-015707-BIG</t>
  </si>
  <si>
    <t>2025-07-07</t>
  </si>
  <si>
    <t>Power bank</t>
  </si>
  <si>
    <t>2025-07-07 08:30:01</t>
  </si>
  <si>
    <t>G013-202507-015706-BIG</t>
  </si>
  <si>
    <t>Moh. Mukson</t>
  </si>
  <si>
    <t>2025-07-07 08:26:59</t>
  </si>
  <si>
    <t>MUH. ARASY LATIF</t>
  </si>
  <si>
    <t xml:space="preserve">7315111403740001 </t>
  </si>
  <si>
    <t>Pengadilan Tinggi Agama Surabaya/Pengadilan Agama Jombang</t>
  </si>
  <si>
    <t>G013-202507-015713-BIG</t>
  </si>
  <si>
    <t>Uang tunai sejumlah Rp 1.912.500,00</t>
  </si>
  <si>
    <t>Kaniran</t>
  </si>
  <si>
    <t>2025-07-07 11:08:58</t>
  </si>
  <si>
    <t>Pengadilan Agama Jombang</t>
  </si>
  <si>
    <t>G013-202507-015725-BIG</t>
  </si>
  <si>
    <t>Sudewo</t>
  </si>
  <si>
    <t>2025-07-08 06:11:40</t>
  </si>
  <si>
    <t>G013-202507-015734-BIG</t>
  </si>
  <si>
    <t>2025-06-27</t>
  </si>
  <si>
    <t>H. Jumardin</t>
  </si>
  <si>
    <t>2025-07-08 09:40:37</t>
  </si>
  <si>
    <t>G013-202507-015738-BIG</t>
  </si>
  <si>
    <t>2025-07-08</t>
  </si>
  <si>
    <t>Vacuum Flask (Botol Minum Termos)</t>
  </si>
  <si>
    <t>BANK BSI KCP GATOT SUBROTO</t>
  </si>
  <si>
    <t>2025-07-08 12:26:07</t>
  </si>
  <si>
    <t>M. Buchary Kurniata T</t>
  </si>
  <si>
    <t xml:space="preserve">3404120305680007 </t>
  </si>
  <si>
    <t>G013-202507-015794-BIG</t>
  </si>
  <si>
    <t>2025-07-04</t>
  </si>
  <si>
    <t>Emas UBS 0,05 gr</t>
  </si>
  <si>
    <t>Bank Syariah Indonesia</t>
  </si>
  <si>
    <t>2025-07-11 16:48:41</t>
  </si>
  <si>
    <t>1107/GTF.02/13/07/2025</t>
  </si>
  <si>
    <t>Victor Parlindungan</t>
  </si>
  <si>
    <t xml:space="preserve">3271062103930002 </t>
  </si>
  <si>
    <t>Pranata Komputer</t>
  </si>
  <si>
    <t>Badan Pengawasan/Sekretariat Badan Pengawasan</t>
  </si>
  <si>
    <t>2025-07-11 00:00:00</t>
  </si>
  <si>
    <t>Sekretariat Badan Pengawasan</t>
  </si>
  <si>
    <t>Mohammad Ilhamuna</t>
  </si>
  <si>
    <t xml:space="preserve">3305030305860005 </t>
  </si>
  <si>
    <t>Wakil ketua pengadilan agama</t>
  </si>
  <si>
    <t>Pengadilan Tinggi Agama Bandar Lampung/Pengadilan Agama Metro</t>
  </si>
  <si>
    <t>2025-07-13 00:00:00</t>
  </si>
  <si>
    <t>Pengadilan Agama Metro</t>
  </si>
  <si>
    <t>G013-202507-015803-BIG</t>
  </si>
  <si>
    <t>2025-07-11</t>
  </si>
  <si>
    <t>TAS KERAJINAN TANGAN ANYAMAN PURUN</t>
  </si>
  <si>
    <t>Pengadilan Agama Tanjung</t>
  </si>
  <si>
    <t>2025-07-14 08:46:47</t>
  </si>
  <si>
    <t>GELAS TUMBLR KACA</t>
  </si>
  <si>
    <t>KOPI KEMASAN</t>
  </si>
  <si>
    <t>Rasyid Rizani, S.H.I. M.H.I.</t>
  </si>
  <si>
    <t xml:space="preserve">5309062806850001 </t>
  </si>
  <si>
    <t>Pengadilan Tinggi Agama Banjarmasin/Pengadilan Agama Rantau</t>
  </si>
  <si>
    <t>G013-202507-015805-BIG</t>
  </si>
  <si>
    <t>2025-07-10</t>
  </si>
  <si>
    <t>2 buah sajadah</t>
  </si>
  <si>
    <t>AKBP Jimmy Kurniawan SIK (Kapolres)</t>
  </si>
  <si>
    <t>2025-07-14 09:03:15</t>
  </si>
  <si>
    <t>1073/GTF.02/13/07/2025</t>
  </si>
  <si>
    <t>Pengadilan Agama Rantau</t>
  </si>
  <si>
    <t>G013-202507-015804-BIG</t>
  </si>
  <si>
    <t>2025-07-14 08:51:54</t>
  </si>
  <si>
    <t>G013-202507-015868-BUG</t>
  </si>
  <si>
    <t>2025-07-14</t>
  </si>
  <si>
    <t>set cangkir</t>
  </si>
  <si>
    <t>DPRD Salatiga</t>
  </si>
  <si>
    <t>2025-07-17 09:33:35</t>
  </si>
  <si>
    <t>Nurul Huda</t>
  </si>
  <si>
    <t xml:space="preserve">9171052508600003 </t>
  </si>
  <si>
    <t>2025-07-15 00:00:00</t>
  </si>
  <si>
    <t>G013-202507-015830-BIG</t>
  </si>
  <si>
    <t>2025-07-15</t>
  </si>
  <si>
    <t>Buku Jangan Menyerah Untuk Jiwa Yang Lelah</t>
  </si>
  <si>
    <t>Karyarini Fathonah</t>
  </si>
  <si>
    <t>2025-07-15 13:35:08</t>
  </si>
  <si>
    <t>G013-202507-015844-BIG</t>
  </si>
  <si>
    <t>Kaos Oblong dengan desain custom</t>
  </si>
  <si>
    <t>2025-07-16 09:18:51</t>
  </si>
  <si>
    <t>G013-202507-015831-BIG</t>
  </si>
  <si>
    <t>Karya Rini Fatonah</t>
  </si>
  <si>
    <t>2025-07-15 13:42:16</t>
  </si>
  <si>
    <t>H. ABU JAHID DARSO ATMOJO, LC., L.L.M., Ph.D</t>
  </si>
  <si>
    <t xml:space="preserve">3275040607780040 </t>
  </si>
  <si>
    <t>Pengadilan Tinggi Agama Bandung/Pengadilan Agama Soreang</t>
  </si>
  <si>
    <t>G013-202507-015846-BIG</t>
  </si>
  <si>
    <t>1 buah Mug dan 1 buah tumbler minum</t>
  </si>
  <si>
    <t>2025-07-16 10:34:37</t>
  </si>
  <si>
    <t>Pengadilan Agama Soreang</t>
  </si>
  <si>
    <t>2025-04-21</t>
  </si>
  <si>
    <t>1 buah cangkir dan 1 bungkus kopi</t>
  </si>
  <si>
    <t>Pemerintah Daerah Kabupaten Bandung</t>
  </si>
  <si>
    <t>G013-202507-015855-BIG</t>
  </si>
  <si>
    <t>Buku berjudul Jangan Menyerah untuk Jiwa Yang Lelah dan Kaos Paguyuban Sekretaris</t>
  </si>
  <si>
    <t>Karyarini Fatonah</t>
  </si>
  <si>
    <t>2025-07-16 15:42:15</t>
  </si>
  <si>
    <t>Fajar Pardanny Putri</t>
  </si>
  <si>
    <t xml:space="preserve">3521095710930004 </t>
  </si>
  <si>
    <t>G013-202507-015874-BUG</t>
  </si>
  <si>
    <t>Emas 0.5 gr</t>
  </si>
  <si>
    <t>WARIS Sampoerna</t>
  </si>
  <si>
    <t>2025-07-17 10:30:03</t>
  </si>
  <si>
    <t>1101/GTF.02/13/07/2025</t>
  </si>
  <si>
    <t>Adhi Kurniawan, S.Kom., S.H.</t>
  </si>
  <si>
    <t xml:space="preserve">3374131807840003 </t>
  </si>
  <si>
    <t>Pembina (IV/a)</t>
  </si>
  <si>
    <t>G013-202507-015867-BUG</t>
  </si>
  <si>
    <t>Handuk dan Payung</t>
  </si>
  <si>
    <t>Polres Salatiga</t>
  </si>
  <si>
    <t>2025-07-17 09:33:23</t>
  </si>
  <si>
    <t>G013-202507-015866-BIG</t>
  </si>
  <si>
    <t>2025-07-17</t>
  </si>
  <si>
    <t>Bacca Coffe Guatemala</t>
  </si>
  <si>
    <t>2025-07-17 09:27:16</t>
  </si>
  <si>
    <t>G013-202507-015882-BUG</t>
  </si>
  <si>
    <t>vacum flask set</t>
  </si>
  <si>
    <t>PT Jala Lintas Media</t>
  </si>
  <si>
    <t>2025-07-17 15:11:45</t>
  </si>
  <si>
    <t>G013-202507-015886-BIG</t>
  </si>
  <si>
    <t>Kain adat motif Bajawa warna ungu hitam</t>
  </si>
  <si>
    <t>Ketua PN Bajawa, Ni Luh Putu Partiwi</t>
  </si>
  <si>
    <t>2025-07-18 05:43:33</t>
  </si>
  <si>
    <t>G013-202507-015887-BIG</t>
  </si>
  <si>
    <t>Tas</t>
  </si>
  <si>
    <t>Sekretaris PN Bajawa</t>
  </si>
  <si>
    <t>2025-07-18 05:51:39</t>
  </si>
  <si>
    <t>G013-202507-015899-BIG</t>
  </si>
  <si>
    <t>Sarung, sajadah dan mukena</t>
  </si>
  <si>
    <t>Sugondo</t>
  </si>
  <si>
    <t>2025-07-18 14:25:24</t>
  </si>
  <si>
    <t>G013-202507-015900-BIG</t>
  </si>
  <si>
    <t>2025-07-18</t>
  </si>
  <si>
    <t>Kaos</t>
  </si>
  <si>
    <t>Imam Prabowo</t>
  </si>
  <si>
    <t>2025-07-18 15:12:44</t>
  </si>
  <si>
    <t>G013-202507-015903-BIG</t>
  </si>
  <si>
    <t>Buah buahan terdiri dari anggur jeruk belimbing dan pir</t>
  </si>
  <si>
    <t>Bondan Marutohening</t>
  </si>
  <si>
    <t>2025-07-18 16:19:43</t>
  </si>
  <si>
    <t>G013-202507-015904-BIG</t>
  </si>
  <si>
    <t>TUMBLER BOTOL MINUM</t>
  </si>
  <si>
    <t>MAN 2 BANJARMASIN</t>
  </si>
  <si>
    <t>2025-07-18 16:22:04</t>
  </si>
  <si>
    <t>G013-202507-015908-BIG</t>
  </si>
  <si>
    <t>Bondan Marutohening Ketua DPRD Kabupaten Semarang</t>
  </si>
  <si>
    <t>2025-07-18 17:52:44</t>
  </si>
  <si>
    <t>SYARIF BASTAMAN</t>
  </si>
  <si>
    <t xml:space="preserve">3273252311790005 </t>
  </si>
  <si>
    <t>Kepala Bagian Perencanaan dan Kepegawaian</t>
  </si>
  <si>
    <t>G013-202507-015909-BIG</t>
  </si>
  <si>
    <t>1 potong Batik Danar Hadi dan 1 potong baju koko muslim Syamil</t>
  </si>
  <si>
    <t>Rd. Ade Solehah Nurlaela, SH</t>
  </si>
  <si>
    <t>2025-07-18 20:20:07</t>
  </si>
  <si>
    <t>1118/GTF.02/13/07/2025</t>
  </si>
  <si>
    <t>Agung Dwi Cahya Laksana</t>
  </si>
  <si>
    <t xml:space="preserve">3371012911940003 </t>
  </si>
  <si>
    <t>2025-07-21 00:00:00</t>
  </si>
  <si>
    <t>Muhamad Fauzan Haryadi</t>
  </si>
  <si>
    <t xml:space="preserve">3210071502780101 </t>
  </si>
  <si>
    <t>Pengadilan Tinggi Semarang/Pengadilan Negeri Demak</t>
  </si>
  <si>
    <t>G013-202507-015913-BIG</t>
  </si>
  <si>
    <t>Raket, Sepatu dan kaos kaki</t>
  </si>
  <si>
    <t>Ari Cahya Nugraha</t>
  </si>
  <si>
    <t>2025-07-21 11:55:09</t>
  </si>
  <si>
    <t>1121/GTF.02/13/07/2025</t>
  </si>
  <si>
    <t>Pengadilan Negeri Demak</t>
  </si>
  <si>
    <t>Khoirul Anam</t>
  </si>
  <si>
    <t xml:space="preserve">3307090607870005 </t>
  </si>
  <si>
    <t>G013-202507-015915-BIG</t>
  </si>
  <si>
    <t>Takmir Masjid Agung Al Mabrur Kabupaten Semarang</t>
  </si>
  <si>
    <t>2025-07-21 14:04:29</t>
  </si>
  <si>
    <t>St. Zubaidah</t>
  </si>
  <si>
    <t xml:space="preserve">6205056211750001 </t>
  </si>
  <si>
    <t>Pengadilan Tinggi Agama Surabaya/Pengadilan Agama Surabaya</t>
  </si>
  <si>
    <t>G013-202507-015916-BIG</t>
  </si>
  <si>
    <t>uang sejumlah Rp. 50.000,-</t>
  </si>
  <si>
    <t>tidak diketahui</t>
  </si>
  <si>
    <t>2025-07-21 14:28:32</t>
  </si>
  <si>
    <t>Pengadilan Agama Surabaya</t>
  </si>
  <si>
    <t>Robin Pangihutan</t>
  </si>
  <si>
    <t xml:space="preserve">1901020712910002 </t>
  </si>
  <si>
    <t>Pengadilan Tinggi Riau/Pengadilan Negeri Bangkinang</t>
  </si>
  <si>
    <t>G013-202507-015931-BIG</t>
  </si>
  <si>
    <t>2025-07-21</t>
  </si>
  <si>
    <t>2025-07-21 20:49:50</t>
  </si>
  <si>
    <t>Pengadilan Negeri Bangkinang</t>
  </si>
  <si>
    <t>DWI CAHYONO</t>
  </si>
  <si>
    <t xml:space="preserve">3578100309800008 </t>
  </si>
  <si>
    <t>Tenaga Kebersihan</t>
  </si>
  <si>
    <t>G013-202507-015936-BIG</t>
  </si>
  <si>
    <t>Tidak ada dikenal/pihak berperkara</t>
  </si>
  <si>
    <t>2025-07-22 12:28:48</t>
  </si>
  <si>
    <t>1158/GTF.02/13/08/2025</t>
  </si>
  <si>
    <t>G013-202507-015937-BIG</t>
  </si>
  <si>
    <t>2025-07-22</t>
  </si>
  <si>
    <t>Fatoni Hatam</t>
  </si>
  <si>
    <t>2025-07-22 12:35:40</t>
  </si>
  <si>
    <t>1150/GTF.02/13/07/2025</t>
  </si>
  <si>
    <t>G013-202507-015948-BIG</t>
  </si>
  <si>
    <t>Reza Boentoro</t>
  </si>
  <si>
    <t>2025-07-22 16:40:49</t>
  </si>
  <si>
    <t>G013-202507-015952-BIG</t>
  </si>
  <si>
    <t>PENGADILAN AGAMA TANJUNG</t>
  </si>
  <si>
    <t>2025-07-23 09:25:42</t>
  </si>
  <si>
    <t>Tas kerajinan dan tumbler</t>
  </si>
  <si>
    <t>G013-202507-015963-BIG</t>
  </si>
  <si>
    <t>2025-07-23</t>
  </si>
  <si>
    <t>Honorarium bulan Juli 2025 sebagai forkopimda kabupaten Nunukan</t>
  </si>
  <si>
    <t>Pemkab Nunukan / Dinas Kesbangpol Nunukan</t>
  </si>
  <si>
    <t>2025-07-23 11:50:59</t>
  </si>
  <si>
    <t>G013-202507-015965-BIG</t>
  </si>
  <si>
    <t>2025-06-16</t>
  </si>
  <si>
    <t>Honorarium Forkopimda Kab Nunukan untuk bulan Mei dan Juni 2025</t>
  </si>
  <si>
    <t>Pemerintah Kabupaten Nunukan/ Dinas Kesbangpol Nunukan</t>
  </si>
  <si>
    <t>2025-07-23 12:18:23</t>
  </si>
  <si>
    <t>G013-202507-015966-BIG</t>
  </si>
  <si>
    <t>Makanan dalam Kotak dan Mug</t>
  </si>
  <si>
    <t>M Faris &amp; Nirmalasari</t>
  </si>
  <si>
    <t>2025-07-23 13:35:40</t>
  </si>
  <si>
    <t>G013-202507-015968-BIG</t>
  </si>
  <si>
    <t>Ni Luh Putu Partiwi</t>
  </si>
  <si>
    <t>2025-07-23 14:17:32</t>
  </si>
  <si>
    <t>G013-202507-015969-BIG</t>
  </si>
  <si>
    <t>Kemeja batik</t>
  </si>
  <si>
    <t>Arlan Suharlan</t>
  </si>
  <si>
    <t>2025-07-23 16:30:07</t>
  </si>
  <si>
    <t>1122/GTF.02/13/07/2025</t>
  </si>
  <si>
    <t>G013-202507-015985-BIG</t>
  </si>
  <si>
    <t>Kain daerah NTT</t>
  </si>
  <si>
    <t>2025-07-24 15:54:57</t>
  </si>
  <si>
    <t>EDWARD AGUS</t>
  </si>
  <si>
    <t xml:space="preserve">1771020103800012 </t>
  </si>
  <si>
    <t>Pengadilan Tinggi Jakarta/Pengadilan Negeri Jakarta Selatan</t>
  </si>
  <si>
    <t>G013-202507-015987-BIG</t>
  </si>
  <si>
    <t>2025-07-24</t>
  </si>
  <si>
    <t>Buah</t>
  </si>
  <si>
    <t>WILGANIA AMMERILIA</t>
  </si>
  <si>
    <t>2025-07-24 17:53:17</t>
  </si>
  <si>
    <t>Pengadilan Negeri Jakarta Selatan</t>
  </si>
  <si>
    <t>G013-202507-016002-BIG</t>
  </si>
  <si>
    <t>Tahun dan Keripik</t>
  </si>
  <si>
    <t>PATMAWATI (PANITERA MUDA HUKUM)</t>
  </si>
  <si>
    <t>2025-07-25 15:35:39</t>
  </si>
  <si>
    <t>G013-202507-016010-BIG</t>
  </si>
  <si>
    <t>Kaos paseduluran sak lawase</t>
  </si>
  <si>
    <t>Paguyuban sekretaris</t>
  </si>
  <si>
    <t>2025-07-26 22:04:16</t>
  </si>
  <si>
    <t>G013-202507-016011-BIG</t>
  </si>
  <si>
    <t>Buku jangan menyerah untuk jiwa yang lelah</t>
  </si>
  <si>
    <t>Rini</t>
  </si>
  <si>
    <t>2025-07-26 22:09:57</t>
  </si>
  <si>
    <t>G013-202507-016012-BIG</t>
  </si>
  <si>
    <t>Honorarium sosialisasi fitur posbakum online pada Aplikasi Pandu Saloka</t>
  </si>
  <si>
    <t>Majelis Hukum dan Ham Aisyiyah Jawa Tengah</t>
  </si>
  <si>
    <t>2025-07-26 22:15:16</t>
  </si>
  <si>
    <t>G013-202507-016014-BIG</t>
  </si>
  <si>
    <t>Fathul Hadi</t>
  </si>
  <si>
    <t>2025-07-26 22:27:03</t>
  </si>
  <si>
    <t>G013-202507-016023-BIG</t>
  </si>
  <si>
    <t>2025-07-25</t>
  </si>
  <si>
    <t>Sarung/Kain Sumba Warna Hijau</t>
  </si>
  <si>
    <t>Yohanes Nangkut &amp; Keluarga</t>
  </si>
  <si>
    <t>2025-07-28 10:27:19</t>
  </si>
  <si>
    <t>1155/GTF.02/13/08/2025</t>
  </si>
  <si>
    <t>Daniel Edwin Indrajaya Gore</t>
  </si>
  <si>
    <t xml:space="preserve">3573011106920004 </t>
  </si>
  <si>
    <t>Direktorat Jenderal Badan Peradilan Umum/Pengadilan Tinggi Kupang</t>
  </si>
  <si>
    <t>G013-202507-016036-BIG</t>
  </si>
  <si>
    <t>Esti</t>
  </si>
  <si>
    <t>2025-07-29 04:03:08</t>
  </si>
  <si>
    <t>G013-202507-016038-BIG</t>
  </si>
  <si>
    <t>Sajadah</t>
  </si>
  <si>
    <t>Amar Ma'ruf</t>
  </si>
  <si>
    <t>2025-07-29 08:58:49</t>
  </si>
  <si>
    <t>G013-202507-016069-BIG</t>
  </si>
  <si>
    <t>Jamuan makan siang</t>
  </si>
  <si>
    <t>Sisa Panjar Perkara</t>
  </si>
  <si>
    <t>2025-07-30 10:57:42</t>
  </si>
  <si>
    <t>1175/GTF.02/13/08/2025</t>
  </si>
  <si>
    <t>G013-202507-016068-BIG</t>
  </si>
  <si>
    <t>2025-07-30 10:57:25</t>
  </si>
  <si>
    <t>1174/GTF.02/13/08/2025</t>
  </si>
  <si>
    <t>G013-202507-016067-BIG</t>
  </si>
  <si>
    <t>2025-07-30 10:56:58</t>
  </si>
  <si>
    <t>1173/GTF.02/13/08/2025</t>
  </si>
  <si>
    <t>G013-202507-016066-BIG</t>
  </si>
  <si>
    <t>2025-07-28</t>
  </si>
  <si>
    <t>Cakra/Pin Hakim</t>
  </si>
  <si>
    <t>Sri Wahyuni atau Panitera PN Sei Rampah</t>
  </si>
  <si>
    <t>2025-07-30 10:56:02</t>
  </si>
  <si>
    <t>G013-202507-016071-BIG</t>
  </si>
  <si>
    <t>2025-07-30</t>
  </si>
  <si>
    <t>Felicia</t>
  </si>
  <si>
    <t>2025-07-30 13:49:08</t>
  </si>
  <si>
    <t>G013-202507-016072-BIG</t>
  </si>
  <si>
    <t>Febri</t>
  </si>
  <si>
    <t>2025-07-30 13:59:18</t>
  </si>
  <si>
    <t>G013-202507-016100-BIG</t>
  </si>
  <si>
    <t>2025-07-16</t>
  </si>
  <si>
    <t>Sejumlah Buku</t>
  </si>
  <si>
    <t>Dharma Setiawan Negara</t>
  </si>
  <si>
    <t>2025-07-31 15:59:00</t>
  </si>
  <si>
    <t>1197/GTF.02/13/08/2025</t>
  </si>
  <si>
    <t>G013-202508-016118-BIG</t>
  </si>
  <si>
    <t>2025-07-12</t>
  </si>
  <si>
    <t>Biaya konsultasi dokter spesialis anak</t>
  </si>
  <si>
    <t>dr. Suryani Margono. Sp.A</t>
  </si>
  <si>
    <t>2025-08-01 14:53:15</t>
  </si>
  <si>
    <t>1212/GTF.02/13/08/2025</t>
  </si>
  <si>
    <t>G013-202508-016119-BIG</t>
  </si>
  <si>
    <t>2025-08-01</t>
  </si>
  <si>
    <t>Kue brownies kukus merk amanda</t>
  </si>
  <si>
    <t>lutfatul Qatra</t>
  </si>
  <si>
    <t>2025-08-01 14:53:23</t>
  </si>
  <si>
    <t>G013-202508-016127-BIG</t>
  </si>
  <si>
    <t>Buku catatan harian dan jam dinding</t>
  </si>
  <si>
    <t>Sekretaris Perusahaan PT. Kaltim Nitrate Indonesia</t>
  </si>
  <si>
    <t>2025-08-04 06:33:11</t>
  </si>
  <si>
    <t>1209/GTF.02/13/08/2025</t>
  </si>
  <si>
    <t>Rizky Ramadhan</t>
  </si>
  <si>
    <t xml:space="preserve">3174022203930003 </t>
  </si>
  <si>
    <t>Hakim Pratama</t>
  </si>
  <si>
    <t>Pengadilan Tinggi Nusa Tenggara Barat/Pengadilan Negeri Dompu</t>
  </si>
  <si>
    <t>G013-202508-016177-BIG</t>
  </si>
  <si>
    <t>Handuk dari Bolly Mart Dompu</t>
  </si>
  <si>
    <t>Ibu Rahmah</t>
  </si>
  <si>
    <t>2025-08-06 19:26:57</t>
  </si>
  <si>
    <t>1239/GTF.02/13/08/2025</t>
  </si>
  <si>
    <t>Earphone merek Tangzu Waner 2nd Gen</t>
  </si>
  <si>
    <t>ADITYA KURNIAWAN SETIAJI, S.Kom</t>
  </si>
  <si>
    <t>Bahan Batik Khas Dompu</t>
  </si>
  <si>
    <t>Pak Moerdianto dan Ibu Juliati</t>
  </si>
  <si>
    <t>Ibu Citra</t>
  </si>
  <si>
    <t>Topi Adidas Trefoil Baseball Cap</t>
  </si>
  <si>
    <t>IKAHI PN Dompu Angkatan 9</t>
  </si>
  <si>
    <t>Kaos sablonan</t>
  </si>
  <si>
    <t>Pak Firdaus</t>
  </si>
  <si>
    <t>Kemeja Batik merek Danar Hadi</t>
  </si>
  <si>
    <t>Lutfi dan Rosi</t>
  </si>
  <si>
    <t>Baju olahraga merek New Balance</t>
  </si>
  <si>
    <t>Rion Apraloka dan Novy Ariyanti</t>
  </si>
  <si>
    <t>Bagian Umum dan Keuangan</t>
  </si>
  <si>
    <t>Batik merek Redblit</t>
  </si>
  <si>
    <t>Pak Upy Supriyatna</t>
  </si>
  <si>
    <t>G013-202508-016149-BIG</t>
  </si>
  <si>
    <t>2025-08-04</t>
  </si>
  <si>
    <t>Karangan Bunga</t>
  </si>
  <si>
    <t>Bu Ana</t>
  </si>
  <si>
    <t>2025-08-04 18:54:45</t>
  </si>
  <si>
    <t>Andi Ramdhan Adi Saputra</t>
  </si>
  <si>
    <t xml:space="preserve">7308220604890001 </t>
  </si>
  <si>
    <t>Pengadilan Tinggi Surabaya/Pengadilan Negeri Magetan</t>
  </si>
  <si>
    <t>G013-202508-016178-BIG</t>
  </si>
  <si>
    <t>Kain Khas Gorontalo</t>
  </si>
  <si>
    <t>Nur'ayin, S.H.</t>
  </si>
  <si>
    <t>2025-08-06 19:38:07</t>
  </si>
  <si>
    <t>Pengadilan Negeri Magetan</t>
  </si>
  <si>
    <t>G013-202508-016207-BIG</t>
  </si>
  <si>
    <t>Kartu brizzi</t>
  </si>
  <si>
    <t>Tony Irwan</t>
  </si>
  <si>
    <t>2025-08-09 07:53:41</t>
  </si>
  <si>
    <t>1268/GTF.02/13/08/2025</t>
  </si>
  <si>
    <t>Galih Erlangga</t>
  </si>
  <si>
    <t xml:space="preserve">3271052910930006 </t>
  </si>
  <si>
    <t>Pengadilan Tinggi Tanjungkarang/Pengadilan Negeri Metro</t>
  </si>
  <si>
    <t>G013-202508-016211-BIG</t>
  </si>
  <si>
    <t>Tumbler berlogo instansi pemberi</t>
  </si>
  <si>
    <t>Dewi Kartika, S.H.</t>
  </si>
  <si>
    <t>2025-08-10 19:19:05</t>
  </si>
  <si>
    <t>1263/GTF.02/13/08/2025</t>
  </si>
  <si>
    <t>Pengadilan Negeri Metro</t>
  </si>
  <si>
    <t>Sajadah dan Sarung</t>
  </si>
  <si>
    <t>Gabena Pohan, S.H.</t>
  </si>
  <si>
    <t>G013-202508-016240-BIG</t>
  </si>
  <si>
    <t>2025-08-08</t>
  </si>
  <si>
    <t>Tumbler dan dompet kartu nama</t>
  </si>
  <si>
    <t>Melina</t>
  </si>
  <si>
    <t>2025-08-12 09:06:55</t>
  </si>
  <si>
    <t>G013-202508-016244-BIG</t>
  </si>
  <si>
    <t>2025-08-12</t>
  </si>
  <si>
    <t>Beberapa Jenis Peralatan Elektronik antara lain Blender, Kompor, Kipas Angin, Magicom, Chopper, Teko Listrik dan Setrika Listrik</t>
  </si>
  <si>
    <t>BRI Kota Magelang</t>
  </si>
  <si>
    <t>2025-08-12 10:08:38</t>
  </si>
  <si>
    <t>G013-202508-016246-BIG</t>
  </si>
  <si>
    <t>1 Blender, 1 Kompor 2tg, 1 Kipas angin, 1 Megicom, 1 Cooper, 1 Kan elwktrik 2lt, 1 Stlika 1</t>
  </si>
  <si>
    <t>Bapak Edi</t>
  </si>
  <si>
    <t>2025-08-12 10:22:18</t>
  </si>
  <si>
    <t>G013-202508-016252-BIG</t>
  </si>
  <si>
    <t>Souvenir berupa Mug, Card Holder dan Phone Holder</t>
  </si>
  <si>
    <t>PT. Jala Lintas Media</t>
  </si>
  <si>
    <t>2025-08-12 13:27:02</t>
  </si>
  <si>
    <t>G013-202508-016265-BIG</t>
  </si>
  <si>
    <t>2025-08-13</t>
  </si>
  <si>
    <t>Kaos Futsal dengan Logo BRI</t>
  </si>
  <si>
    <t>2025-08-13 12:18:51</t>
  </si>
  <si>
    <t>G013-202508-016266-BIG</t>
  </si>
  <si>
    <t>Kaos Olahraga BRI</t>
  </si>
  <si>
    <t>2025-08-13 12:24:57</t>
  </si>
  <si>
    <t>G013-202508-016298-BIG</t>
  </si>
  <si>
    <t>2025-08-02</t>
  </si>
  <si>
    <t>3 butir telur asin, satu plastik keripik pisang kecil, satu bungkus teh dan satu gepuk kering</t>
  </si>
  <si>
    <t>Petra Kusuma Aji</t>
  </si>
  <si>
    <t>2025-08-15 22:03:25</t>
  </si>
  <si>
    <t>G013-202508-016299-BIG</t>
  </si>
  <si>
    <t>2025-08-10</t>
  </si>
  <si>
    <t>Bandeng presto dan roti goreng</t>
  </si>
  <si>
    <t>Ria Permata Sukma</t>
  </si>
  <si>
    <t>2025-08-15 22:15:33</t>
  </si>
  <si>
    <t>G013-202508-016302-BIG</t>
  </si>
  <si>
    <t>2025-08-17</t>
  </si>
  <si>
    <t>Bakpia</t>
  </si>
  <si>
    <t>Muhamad Imron</t>
  </si>
  <si>
    <t>2025-08-17 19:00:08</t>
  </si>
  <si>
    <t>G013-202508-016303-BIG</t>
  </si>
  <si>
    <t>2025-08-18</t>
  </si>
  <si>
    <t>Karangan Bunga HUT MA RI</t>
  </si>
  <si>
    <t>2025-08-18 17:30:44</t>
  </si>
  <si>
    <t>G013-202508-016304-BIG</t>
  </si>
  <si>
    <t>Karangan Bunga Printing</t>
  </si>
  <si>
    <t>Pimpinan Cabang Bank BRI</t>
  </si>
  <si>
    <t>2025-08-18 18:44:12</t>
  </si>
  <si>
    <t>Dr. Muhammad Fajar Arief, S.H., M.H.</t>
  </si>
  <si>
    <t xml:space="preserve">7309082704870004 </t>
  </si>
  <si>
    <t>Pengadilan Tinggi Agama Makassar/Pengadilan Agama Enrekang</t>
  </si>
  <si>
    <t>G013-202508-016305-BIG</t>
  </si>
  <si>
    <t>Padeli, S.H., M.Hum</t>
  </si>
  <si>
    <t>2025-08-18 19:27:58</t>
  </si>
  <si>
    <t>Pengadilan Agama Enrekang</t>
  </si>
  <si>
    <t>G013-202508-016313-BIG</t>
  </si>
  <si>
    <t>2025-08-19</t>
  </si>
  <si>
    <t>Ariska Puspitasari</t>
  </si>
  <si>
    <t>2025-08-19 10:43:23</t>
  </si>
  <si>
    <t>Karangan bunga</t>
  </si>
  <si>
    <t>Kepala Cabang Bank BRI Cabang Magelang</t>
  </si>
  <si>
    <t>G013-202508-016314-BIG</t>
  </si>
  <si>
    <t>Nasi Tumpeng</t>
  </si>
  <si>
    <t>2025-08-19 10:48:56</t>
  </si>
  <si>
    <t>G013-202508-016387-BIG</t>
  </si>
  <si>
    <t>Nasi Tumpeng dan pernak-pernik hiasan</t>
  </si>
  <si>
    <t>Bank BRI KC Purwokerto dan BSI KCP Banyumas Sokaraja</t>
  </si>
  <si>
    <t>2025-08-23 08:18:10</t>
  </si>
  <si>
    <t>G013-202508-016320-BIG</t>
  </si>
  <si>
    <t>Bupati H. Ngesti Nugraha, S.H., M.H.</t>
  </si>
  <si>
    <t>2025-08-19 15:00:17</t>
  </si>
  <si>
    <t>G013-202508-016321-BIG</t>
  </si>
  <si>
    <t>Wakil Bupati Dra. Hj. Nur Arifah</t>
  </si>
  <si>
    <t>2025-08-19 15:13:13</t>
  </si>
  <si>
    <t>G013-202508-016322-BIG</t>
  </si>
  <si>
    <t>Ketua Dewan Bondan Marutohening</t>
  </si>
  <si>
    <t>2025-08-19 16:30:54</t>
  </si>
  <si>
    <t>FAUZIAH BURHAN</t>
  </si>
  <si>
    <t xml:space="preserve">5371044409860006 </t>
  </si>
  <si>
    <t>G013-202508-016343-BIG</t>
  </si>
  <si>
    <t>1 set pakaian olahraga</t>
  </si>
  <si>
    <t>Pemda Timor Tengah Selatan</t>
  </si>
  <si>
    <t>2025-08-21 07:28:06</t>
  </si>
  <si>
    <t>G013-202508-016326-BIG</t>
  </si>
  <si>
    <t>Honorarium Forkompimda</t>
  </si>
  <si>
    <t>Dinas Kesbangpol Nunukan / Pemkab Nunukan</t>
  </si>
  <si>
    <t>2025-08-20 09:41:16</t>
  </si>
  <si>
    <t>Pengadilan Tinggi Kendari/Pengadilan Negeri BAU-BAU</t>
  </si>
  <si>
    <t>G013-202508-016329-BIG</t>
  </si>
  <si>
    <t>Kain Adat Bali</t>
  </si>
  <si>
    <t>Ni Luh Putu Partiwi, S.H., M.H.</t>
  </si>
  <si>
    <t>2025-08-20 14:42:48</t>
  </si>
  <si>
    <t>Pengadilan Negeri BAU-BAU</t>
  </si>
  <si>
    <t>G013-202508-016330-BIG</t>
  </si>
  <si>
    <t>Helai Kain Adat Bali</t>
  </si>
  <si>
    <t>I Kadek Apdila Wirawan, S.H.</t>
  </si>
  <si>
    <t>2025-08-20 14:55:11</t>
  </si>
  <si>
    <t>G013-202508-016334-BIG</t>
  </si>
  <si>
    <t>1 Tas Adat Nagekeo &amp; 1 Kain Adat Nagekeo</t>
  </si>
  <si>
    <t>Hakim-hakim dan Pegawai-pegawai Pengadilan Negeri Bajawa</t>
  </si>
  <si>
    <t>2025-08-20 15:09:10</t>
  </si>
  <si>
    <t>Erni Sumarni</t>
  </si>
  <si>
    <t xml:space="preserve">5371045003810010 </t>
  </si>
  <si>
    <t>Pengadilan Tinggi Agama Kupang/Pengadilan Agama Atambua</t>
  </si>
  <si>
    <t>G013-202508-016335-BIG</t>
  </si>
  <si>
    <t>Kue Ulang Tahun</t>
  </si>
  <si>
    <t>BRI Cabang Atambua</t>
  </si>
  <si>
    <t>2025-08-20 15:49:11</t>
  </si>
  <si>
    <t>1295/GTF.02/13/08/2025</t>
  </si>
  <si>
    <t>Pengadilan Agama Atambua</t>
  </si>
  <si>
    <t>G013-202508-016339-BIG</t>
  </si>
  <si>
    <t>2025-08-20</t>
  </si>
  <si>
    <t>Papan karangan bunga</t>
  </si>
  <si>
    <t>Ikrar Eran Batu</t>
  </si>
  <si>
    <t>2025-08-20 17:27:41</t>
  </si>
  <si>
    <t>G013-202508-016342-BIG</t>
  </si>
  <si>
    <t>2025-08-21</t>
  </si>
  <si>
    <t>Muh. Yusuf Ritangnga dan M. Yusuf Liwang</t>
  </si>
  <si>
    <t>2025-08-21 06:26:15</t>
  </si>
  <si>
    <t>G013-202508-016344-BIG</t>
  </si>
  <si>
    <t>2025-08-14</t>
  </si>
  <si>
    <t>Kain celana kantor</t>
  </si>
  <si>
    <t>Sumantri, S.H.</t>
  </si>
  <si>
    <t>2025-08-21 07:49:00</t>
  </si>
  <si>
    <t>1294/GTF.02/13/08/2025</t>
  </si>
  <si>
    <t>G013-202508-016351-BIG</t>
  </si>
  <si>
    <t>2025-08-15</t>
  </si>
  <si>
    <t>Muzayyin (Kepala BRI Kanca Kulon Progo)</t>
  </si>
  <si>
    <t>2025-08-21 12:14:20</t>
  </si>
  <si>
    <t>1292/GTF.02/13/08/2025</t>
  </si>
  <si>
    <t>Aria Surya Putra</t>
  </si>
  <si>
    <t xml:space="preserve">3217011202980009 </t>
  </si>
  <si>
    <t>Jurusita</t>
  </si>
  <si>
    <t>G013-202508-016353-BIG</t>
  </si>
  <si>
    <t>2025-08-21 13:46:04</t>
  </si>
  <si>
    <t>G013-202508-016356-BIG</t>
  </si>
  <si>
    <t>BTN KC BANDAR LAMPUNG</t>
  </si>
  <si>
    <t>2025-08-21 15:32:22</t>
  </si>
  <si>
    <t>G013-202508-016359-BIG</t>
  </si>
  <si>
    <t>Radityo Egi Pratama dan Syaiful Anwar</t>
  </si>
  <si>
    <t>2025-08-21 16:04:49</t>
  </si>
  <si>
    <t>Khalid Gailea, S.H.,M.H.</t>
  </si>
  <si>
    <t xml:space="preserve">3275031011690038 </t>
  </si>
  <si>
    <t>Pengadilan Tinggi Agama Banten/Pengadilan Agama Tangerang</t>
  </si>
  <si>
    <t>G013-202508-016374-BIG</t>
  </si>
  <si>
    <t>Kue Ulang tahun</t>
  </si>
  <si>
    <t>BSI cabang Tangerang</t>
  </si>
  <si>
    <t>2025-08-22 12:04:47</t>
  </si>
  <si>
    <t>G013-202508-016364-BIG</t>
  </si>
  <si>
    <t>Tea Set dan Car Charger</t>
  </si>
  <si>
    <t>Panitia lomba HUT 17 RI</t>
  </si>
  <si>
    <t>2025-08-21 17:26:51</t>
  </si>
  <si>
    <t>G013-202508-016368-BIG</t>
  </si>
  <si>
    <t>Makanan 1 porsi di rumah makan</t>
  </si>
  <si>
    <t>Iamawati, S.H</t>
  </si>
  <si>
    <t>2025-08-22 09:06:11</t>
  </si>
  <si>
    <t>1293/GTF.02/13/08/2025</t>
  </si>
  <si>
    <t>G013-202508-016375-BIG</t>
  </si>
  <si>
    <t>kain tenun merek srihanna homemade</t>
  </si>
  <si>
    <t>Mohamad Zaenuri</t>
  </si>
  <si>
    <t>2025-08-22 12:40:39</t>
  </si>
  <si>
    <t>G013-202508-016377-BIG</t>
  </si>
  <si>
    <t>Kain tenun</t>
  </si>
  <si>
    <t>Pegadaian Cabang Soe</t>
  </si>
  <si>
    <t>2025-08-22 13:46:08</t>
  </si>
  <si>
    <t>G013-202508-016388-BIG</t>
  </si>
  <si>
    <t>2025-08-22</t>
  </si>
  <si>
    <t>Sprei Merk Lady King Rose Prime</t>
  </si>
  <si>
    <t>Syarifah Isnaeni</t>
  </si>
  <si>
    <t>2025-08-23 08:44:51</t>
  </si>
  <si>
    <t>G013-202508-016402-BIG</t>
  </si>
  <si>
    <t>2025-08-25</t>
  </si>
  <si>
    <t>2 buah kaos berlogo instansi</t>
  </si>
  <si>
    <t>Sekretaris Daerah Drs. Djarot Supriyoto, M.M.</t>
  </si>
  <si>
    <t>2025-08-25 16:27:25</t>
  </si>
  <si>
    <t>Muhammad Yahya Suqri</t>
  </si>
  <si>
    <t xml:space="preserve">7307050207960001 </t>
  </si>
  <si>
    <t>Analis Perkara Peradilan</t>
  </si>
  <si>
    <t>G013-202508-016441-BIG</t>
  </si>
  <si>
    <t>Kelik Jalmo Widodo</t>
  </si>
  <si>
    <t>2025-08-27 09:19:51</t>
  </si>
  <si>
    <t>G013-202508-016443-BIG</t>
  </si>
  <si>
    <t>Kerudung</t>
  </si>
  <si>
    <t>Faizal</t>
  </si>
  <si>
    <t>2025-08-27 10:06:04</t>
  </si>
  <si>
    <t>1371/GTF.02/13/09/2025</t>
  </si>
  <si>
    <t>G013-202508-016456-BIG</t>
  </si>
  <si>
    <t>2025-08-28</t>
  </si>
  <si>
    <t>Gervasius Portasius Mude, SH., MH.</t>
  </si>
  <si>
    <t>2025-08-28 07:57:11</t>
  </si>
  <si>
    <t>G013-202508-016483-BIG</t>
  </si>
  <si>
    <t>Marthin Lauter Sesa</t>
  </si>
  <si>
    <t>2025-08-28 11:11:11</t>
  </si>
  <si>
    <t>G013-202508-016485-BIG</t>
  </si>
  <si>
    <t>Dr. Henderina Malo</t>
  </si>
  <si>
    <t>2025-08-28 11:16:36</t>
  </si>
  <si>
    <t>G013-202508-016490-BIG</t>
  </si>
  <si>
    <t>Zakiudin</t>
  </si>
  <si>
    <t>2025-08-28 11:45:20</t>
  </si>
  <si>
    <t>ZULLVAN SUGIANTORO, ST</t>
  </si>
  <si>
    <t xml:space="preserve">6271032307840003 </t>
  </si>
  <si>
    <t>Kepala Sub Bagian Dokumentasi dan Informasi</t>
  </si>
  <si>
    <t>G013-202508-016503-BIG</t>
  </si>
  <si>
    <t>Kepaniteraan Mahkamah Agung</t>
  </si>
  <si>
    <t>2025-08-28 15:16:47</t>
  </si>
  <si>
    <t>1438/GTF.02/13/09/2025</t>
  </si>
  <si>
    <t>G013-202509-016554-BIG</t>
  </si>
  <si>
    <t>2025-09-01</t>
  </si>
  <si>
    <t>Handuk mandi</t>
  </si>
  <si>
    <t>M. Ilham</t>
  </si>
  <si>
    <t>2025-09-01 18:55:48</t>
  </si>
  <si>
    <t>G013-202509-016563-BIG</t>
  </si>
  <si>
    <t>2025-09-02</t>
  </si>
  <si>
    <t>UANG TUNAI SEJUMLAH Rp550.000</t>
  </si>
  <si>
    <t>Bendahara Praktikum PA 2025</t>
  </si>
  <si>
    <t>2025-09-02 15:35:07</t>
  </si>
  <si>
    <t>G013-202509-016564-BIG</t>
  </si>
  <si>
    <t>Kaos berlogo instansi</t>
  </si>
  <si>
    <t>Sekretaris Daerah Drs. Djarot Supriyoto, M.M</t>
  </si>
  <si>
    <t>2025-09-02 20:11:48</t>
  </si>
  <si>
    <t>G013-202509-016566-BIG</t>
  </si>
  <si>
    <t>2025-09-03</t>
  </si>
  <si>
    <t>Ilham</t>
  </si>
  <si>
    <t>2025-09-03 07:42:09</t>
  </si>
  <si>
    <t>G013-202509-016576-BIG</t>
  </si>
  <si>
    <t>2025-09-04 09:57:55</t>
  </si>
  <si>
    <t>G013-202509-016577-BIG</t>
  </si>
  <si>
    <t>Kaos seragam</t>
  </si>
  <si>
    <t>Dr. Ipang Setiawan, Mpd</t>
  </si>
  <si>
    <t>2025-09-04 10:18:25</t>
  </si>
  <si>
    <t>G013-202509-016617-BIG</t>
  </si>
  <si>
    <t>2025-09-04</t>
  </si>
  <si>
    <t>Dinas Pemberdayaan Perempuan Dan Perlindungan Anak, Pengendalian Penduduk Dan Keluarga Berencana Serta Pemberdayaan Masyarakat Desa</t>
  </si>
  <si>
    <t>2025-09-09 13:37:07</t>
  </si>
  <si>
    <t>G013-202509-016636-BIG</t>
  </si>
  <si>
    <t>2025-09-10</t>
  </si>
  <si>
    <t>Hartono</t>
  </si>
  <si>
    <t>2025-09-10 12:27:00</t>
  </si>
  <si>
    <t>G013-202509-016639-BIG</t>
  </si>
  <si>
    <t>Siti Anisah</t>
  </si>
  <si>
    <t>2025-09-10 16:39:09</t>
  </si>
  <si>
    <t>G013-202509-016640-BIG</t>
  </si>
  <si>
    <t>Awiek D.U</t>
  </si>
  <si>
    <t>2025-09-10 16:44:00</t>
  </si>
  <si>
    <t>G013-202509-016641-BIG</t>
  </si>
  <si>
    <t>Faris</t>
  </si>
  <si>
    <t>2025-09-10 16:49:22</t>
  </si>
  <si>
    <t>G013-202509-016642-BIG</t>
  </si>
  <si>
    <t>Anwar</t>
  </si>
  <si>
    <t>2025-09-10 16:52:50</t>
  </si>
  <si>
    <t>G013-202509-016643-BIG</t>
  </si>
  <si>
    <t>Fery</t>
  </si>
  <si>
    <t>2025-09-10 16:55:59</t>
  </si>
  <si>
    <t>G013-202509-016644-BIG</t>
  </si>
  <si>
    <t>Imam</t>
  </si>
  <si>
    <t>2025-09-10 16:58:52</t>
  </si>
  <si>
    <t>G013-202509-016645-BIG</t>
  </si>
  <si>
    <t>Prasetyo</t>
  </si>
  <si>
    <t>2025-09-10 17:02:27</t>
  </si>
  <si>
    <t>G013-202509-016646-BIG</t>
  </si>
  <si>
    <t>Budi</t>
  </si>
  <si>
    <t>2025-09-10 17:05:00</t>
  </si>
  <si>
    <t>G013-202509-016652-BIG</t>
  </si>
  <si>
    <t>2025-09-08</t>
  </si>
  <si>
    <t>UIN Walisongo Semarang</t>
  </si>
  <si>
    <t>2025-09-11 09:00:39</t>
  </si>
  <si>
    <t>G013-202509-016653-BIG</t>
  </si>
  <si>
    <t>Universitas Islam Sultan Agung Semarang</t>
  </si>
  <si>
    <t>2025-09-11 09:10:13</t>
  </si>
  <si>
    <t>Ardhian Wahyu Firmansyah</t>
  </si>
  <si>
    <t xml:space="preserve">3501030909910003 </t>
  </si>
  <si>
    <t>G013-202509-016701-BIG</t>
  </si>
  <si>
    <t>2025-09-14</t>
  </si>
  <si>
    <t>kaos dagadu anak</t>
  </si>
  <si>
    <t>2025-09-18 10:13:43</t>
  </si>
  <si>
    <t>G013-202509-016703-BIG</t>
  </si>
  <si>
    <t>2025-09-18</t>
  </si>
  <si>
    <t>Roti Brownis dan kerupuk</t>
  </si>
  <si>
    <t>Tri Matwanto</t>
  </si>
  <si>
    <t>2025-09-18 11:02:08</t>
  </si>
  <si>
    <t>Jeni Nugraha Djulis</t>
  </si>
  <si>
    <t xml:space="preserve">3526011410760004 </t>
  </si>
  <si>
    <t>G013-202509-016720-BIG</t>
  </si>
  <si>
    <t>2025-09-15</t>
  </si>
  <si>
    <t>Seperangkat baju adat terdiri dari kemeja adat, celana panjang adat, ikat kepala adat dan sarung samping adat</t>
  </si>
  <si>
    <t>Pemerintahan Kota Pangkalpinang</t>
  </si>
  <si>
    <t>2025-09-19 14:15:35</t>
  </si>
  <si>
    <t>G013-202509-016734-BIG</t>
  </si>
  <si>
    <t>2025-09-19</t>
  </si>
  <si>
    <t>Brownies Coklat</t>
  </si>
  <si>
    <t>IPDA Alwan Dimas Saputra, S.Tr.K.</t>
  </si>
  <si>
    <t>2025-09-19 21:14:42</t>
  </si>
  <si>
    <t>Edvin Dwi Kurnia</t>
  </si>
  <si>
    <t xml:space="preserve">3521090807020002 </t>
  </si>
  <si>
    <t>Pelaksana</t>
  </si>
  <si>
    <t>Pengadilan Tinggi Agama Pontianak/Pengadilan Agama Sintang</t>
  </si>
  <si>
    <t>G013-202509-016742-BIG</t>
  </si>
  <si>
    <t>Hand Bag Custom Dengan Logo TNI AD</t>
  </si>
  <si>
    <t>Letko Inf Rangga Bayu Widiartha, S.A.P.</t>
  </si>
  <si>
    <t>2025-09-22 15:29:44</t>
  </si>
  <si>
    <t>Pengadilan Agama Sintang</t>
  </si>
  <si>
    <t>G013-202509-016743-BIG</t>
  </si>
  <si>
    <t>2025-09-12</t>
  </si>
  <si>
    <t>Sarung Tenun warna hitam dengan cover custom BSI dan Note book kecil, dan selebaran flyer tentang produk BSI</t>
  </si>
  <si>
    <t>Barid Paladin Apramada</t>
  </si>
  <si>
    <t>2025-09-22 15:56:28</t>
  </si>
  <si>
    <t>Massadi</t>
  </si>
  <si>
    <t xml:space="preserve">6112090108760002 </t>
  </si>
  <si>
    <t>Ketua Pengadilan Agama Sintang</t>
  </si>
  <si>
    <t>G013-202509-016780-BIG</t>
  </si>
  <si>
    <t>Sarung warna hitam dengan sedikit motif warna emas tanpa merk dengan bungkus custom BSI dan notebook kecil</t>
  </si>
  <si>
    <t>2025-09-25 15:00:19</t>
  </si>
  <si>
    <t>Hand Bag Custom Berlogo TNI AD berwarna Hitam</t>
  </si>
  <si>
    <t>Letkol Inf Rangga Bayu Widiartha, S.A.P</t>
  </si>
  <si>
    <t>M. Kamaruddin Amri</t>
  </si>
  <si>
    <t xml:space="preserve">7271030309790001 </t>
  </si>
  <si>
    <t>KETUA</t>
  </si>
  <si>
    <t>Pengadilan Tinggi Agama Kendari/Pengadilan Agama Pasarwajo</t>
  </si>
  <si>
    <t>2025-09-26 00:00:00</t>
  </si>
  <si>
    <t>Pengadilan Agama Pasarwajo</t>
  </si>
  <si>
    <t>G013-202509-016789-BIG</t>
  </si>
  <si>
    <t>2025-09-26</t>
  </si>
  <si>
    <t>Mangkuk Kaca dengan Penutup</t>
  </si>
  <si>
    <t>Firda</t>
  </si>
  <si>
    <t>2025-09-26 13:30:26</t>
  </si>
  <si>
    <t>Sahrul romadon</t>
  </si>
  <si>
    <t xml:space="preserve">3671100102980001 </t>
  </si>
  <si>
    <t>pppk</t>
  </si>
  <si>
    <t>G013-202509-016806-BIG</t>
  </si>
  <si>
    <t>Mediator non hakim Pa,Tangerang</t>
  </si>
  <si>
    <t>2025-09-29 11:09:04</t>
  </si>
  <si>
    <t>G013-202509-016807-BIG</t>
  </si>
  <si>
    <t>2025-09-16</t>
  </si>
  <si>
    <t>2025-09-29 11:13:07</t>
  </si>
  <si>
    <t>Abdurrahman Rahim</t>
  </si>
  <si>
    <t xml:space="preserve">3171012803830002 </t>
  </si>
  <si>
    <t>Pengadilan Tinggi Agama Banten/Pengadilan Agama Cilegon</t>
  </si>
  <si>
    <t>G013-202509-016826-BIG</t>
  </si>
  <si>
    <t>2 Buah Kain Batik</t>
  </si>
  <si>
    <t>Rizki Khairul Ichwan</t>
  </si>
  <si>
    <t>2025-09-30 11:47:26</t>
  </si>
  <si>
    <t>1562/GTF.02/13/10/2025</t>
  </si>
  <si>
    <t>Pengadilan Agama Cilegon</t>
  </si>
  <si>
    <t>Ratna Sari Fitriyani</t>
  </si>
  <si>
    <t xml:space="preserve">3604024101680970 </t>
  </si>
  <si>
    <t>Pengadilan Tinggi Agama Banten/Pengadilan Tinggi Agama Banten</t>
  </si>
  <si>
    <t>2025-09-30 00:00:00</t>
  </si>
  <si>
    <t>Ainal Mardhiah</t>
  </si>
  <si>
    <t xml:space="preserve">1171034405660001 </t>
  </si>
  <si>
    <t>Hakim agung</t>
  </si>
  <si>
    <t>Mahkamah Agung/</t>
  </si>
  <si>
    <t>2025-10-06 00:00:00</t>
  </si>
  <si>
    <t>G013-202510-016889-BIG</t>
  </si>
  <si>
    <t>2025-10-04</t>
  </si>
  <si>
    <t>Sertifikat Penghargaan dan Plakat dengan logo APSI dan LBH UIN Salatiga</t>
  </si>
  <si>
    <t>Wahyu Indriyanto, S.H. (Sekretaris Palaksana PPA).</t>
  </si>
  <si>
    <t>2025-10-06 11:22:31</t>
  </si>
  <si>
    <t>Honorarium Narasumber</t>
  </si>
  <si>
    <t>G013-202510-016902-BIG</t>
  </si>
  <si>
    <t>2025-10-06</t>
  </si>
  <si>
    <t>Ceramic Tableware High Quality merk LUK 6 pcs</t>
  </si>
  <si>
    <t>Fitri</t>
  </si>
  <si>
    <t>2025-10-06 15:35:40</t>
  </si>
  <si>
    <t>Nasich Salam</t>
  </si>
  <si>
    <t xml:space="preserve">3275091206770014 </t>
  </si>
  <si>
    <t>Pengadilan Tinggi Agama Bandung/Pengadilan Agama Cirebon</t>
  </si>
  <si>
    <t>G013-202510-016936-BIG</t>
  </si>
  <si>
    <t>2025-10-08</t>
  </si>
  <si>
    <t>Tumblr minum dan Gelas Minum berlogo instansi pemberi</t>
  </si>
  <si>
    <t>Bank Syariah indonesia</t>
  </si>
  <si>
    <t>2025-10-08 11:45:42</t>
  </si>
  <si>
    <t>Pengadilan Agama Cirebon</t>
  </si>
  <si>
    <t>G013-202510-016973-BIG</t>
  </si>
  <si>
    <t>2025-10-10</t>
  </si>
  <si>
    <t>Makanan dan Voucher Berenang</t>
  </si>
  <si>
    <t>Hj. Safaria Fitri, A.Md., S.H.</t>
  </si>
  <si>
    <t>2025-10-10 22:22:20</t>
  </si>
  <si>
    <t>Heri Senoaji</t>
  </si>
  <si>
    <t xml:space="preserve">3276022309890006 </t>
  </si>
  <si>
    <t>Pengadilan Tata Usaha Negara Bandar Lampung/</t>
  </si>
  <si>
    <t>G013-202510-016976-BIG</t>
  </si>
  <si>
    <t>2025-10-01</t>
  </si>
  <si>
    <t>Panitia PKKMB 2025 Universitas Logistik dan Bisnis Internasional</t>
  </si>
  <si>
    <t>2025-10-13 09:20:29</t>
  </si>
  <si>
    <t>G013-202510-016979-BIG</t>
  </si>
  <si>
    <t>2025-10-13</t>
  </si>
  <si>
    <t>Botol minum berlogo BNI</t>
  </si>
  <si>
    <t>Elizabeth Donna M. Sine</t>
  </si>
  <si>
    <t>2025-10-13 10:28:43</t>
  </si>
  <si>
    <t>G013-202510-016981-BIG</t>
  </si>
  <si>
    <t>Denny Riesta Permana</t>
  </si>
  <si>
    <t>2025-10-13 10:48:20</t>
  </si>
  <si>
    <t>G013-202510-016987-BIG</t>
  </si>
  <si>
    <t>2025-09-28</t>
  </si>
  <si>
    <t>Makanan dan Minuman</t>
  </si>
  <si>
    <t>2025-10-13 13:05:40</t>
  </si>
  <si>
    <t>G013-202510-016998-BIG</t>
  </si>
  <si>
    <t>Beverage Cup 900 ml</t>
  </si>
  <si>
    <t>Pembimbing PKL</t>
  </si>
  <si>
    <t>2025-10-14 07:39:05</t>
  </si>
  <si>
    <t>G013-202510-017010-BIG</t>
  </si>
  <si>
    <t>2025-10-15</t>
  </si>
  <si>
    <t>Donat susu sebanyak 6 buah dalam satu box</t>
  </si>
  <si>
    <t>Fiddiini aquila, Nesya Alinda Putri Firmansyah, Hilmy Zahrani Mahda, Jeni Cantika</t>
  </si>
  <si>
    <t>2025-10-15 23:41:02</t>
  </si>
  <si>
    <t>G013-202510-017011-BIG</t>
  </si>
  <si>
    <t>2025-10-03</t>
  </si>
  <si>
    <t>Satu buah tumbler, dua buah cangkir berukuran kecil dan satu buah tas waist bag</t>
  </si>
  <si>
    <t>Kepala Kantor BRI Cabang Bontang</t>
  </si>
  <si>
    <t>2025-10-16 06:24:16</t>
  </si>
  <si>
    <t>Mukhrom</t>
  </si>
  <si>
    <t xml:space="preserve">3672060510790002 </t>
  </si>
  <si>
    <t>Ketua Pengadilan Agama Rengat</t>
  </si>
  <si>
    <t>Pengadilan Tinggi Agama Pekanbaru/Pengadilan Agama Rengat</t>
  </si>
  <si>
    <t>G013-202510-017014-BIG</t>
  </si>
  <si>
    <t>kontraktor</t>
  </si>
  <si>
    <t>2025-10-16 08:52:13</t>
  </si>
  <si>
    <t>1745/GTF.02/13/11/2025</t>
  </si>
  <si>
    <t>Pengadilan Agama Rengat</t>
  </si>
  <si>
    <t>G013-202510-017016-BIG</t>
  </si>
  <si>
    <t>2025-10-16</t>
  </si>
  <si>
    <t>botol minum berlogo SMK Sangkuriang</t>
  </si>
  <si>
    <t>Kepala Sekolah SMK Sangkurinag 1 Cimahi</t>
  </si>
  <si>
    <t>2025-10-16 11:03:36</t>
  </si>
  <si>
    <t>G013-202510-017017-BIG</t>
  </si>
  <si>
    <t>Plakat bertuliskan ULBI, warna biru kuning dan dibungkus kotak merah</t>
  </si>
  <si>
    <t>Panitia PKKMB Universitas Logistik dan Bisnis Internasional</t>
  </si>
  <si>
    <t>2025-10-16 11:25:48</t>
  </si>
  <si>
    <t>G013-202510-017019-BIG</t>
  </si>
  <si>
    <t>Plakat terbuat dari bahan akrilik dikemas dengan kotak kayu berbalut kain beludru</t>
  </si>
  <si>
    <t>Bagus</t>
  </si>
  <si>
    <t>2025-10-16 13:20:09</t>
  </si>
  <si>
    <t>G013-202510-017020-BIG</t>
  </si>
  <si>
    <t>2025-08-29</t>
  </si>
  <si>
    <t>Buku Rekonstruksi Ushul Fiqih: Perspektif Hasan Al-Turabi, Buku Filsafat Hukum – Dr. M. Alpi Syahrin, S.H., M.H., dan Buku Kajian Negara Hukum Dan Demokrasi Praktik dalam Negara Kesatuan Republik Indonesia</t>
  </si>
  <si>
    <t>Dosen UIN Suska Riau</t>
  </si>
  <si>
    <t>2025-10-16 13:25:57</t>
  </si>
  <si>
    <t>G013-202510-017040-BUG</t>
  </si>
  <si>
    <t>2025-10-12</t>
  </si>
  <si>
    <t>1. Uang Rupiah dengan nilai total sebesar Rp447.159.000,-, 2. Uang Mata Uang Asing: Dollar Amerika 1.200 USD dan Dollar Singapura 500 SGD, 3. Barang Berupa Kerudung dan Scraf. Perkiraan Nilai Equivalen selain rupiah menggunakan Kurs Dollar Amerika per 13 Oktober 2025 : Rp16.582,- dan Kurs Dollar Singapura per 13 Oktober 2025 : Rp12.762</t>
  </si>
  <si>
    <t>Undangan Pernikahan sebanyak 865 Orang yang memberikan hadiah</t>
  </si>
  <si>
    <t>2025-10-17 15:15:57</t>
  </si>
  <si>
    <t>Zikri</t>
  </si>
  <si>
    <t xml:space="preserve">1805020201810001 </t>
  </si>
  <si>
    <t>Mahkamah SYARIYAH Provinsi Aceh/</t>
  </si>
  <si>
    <t>G013-202510-017041-BIG</t>
  </si>
  <si>
    <t>2025-10-17</t>
  </si>
  <si>
    <t>Honorarium narasumber</t>
  </si>
  <si>
    <t>Vivin Dwi Suyanti, S.Pd (Bendahara Pengeluaran)</t>
  </si>
  <si>
    <t>2025-10-17 15:57:23</t>
  </si>
  <si>
    <t>G013-202510-017042-BIG</t>
  </si>
  <si>
    <t>2025-10-07</t>
  </si>
  <si>
    <t>2025-10-18 05:12:21</t>
  </si>
  <si>
    <t>G013-202510-017043-BIG</t>
  </si>
  <si>
    <t>Nasi kotak</t>
  </si>
  <si>
    <t>Keluarga besar PN Sampang</t>
  </si>
  <si>
    <t>2025-10-18 05:18:15</t>
  </si>
  <si>
    <t>G013-202510-017044-BIG</t>
  </si>
  <si>
    <t>Talenan keramik</t>
  </si>
  <si>
    <t>Ratna Mutia rinanti</t>
  </si>
  <si>
    <t>2025-10-18 05:26:22</t>
  </si>
  <si>
    <t>G013-202510-017045-BIG</t>
  </si>
  <si>
    <t>Batik merk margaria</t>
  </si>
  <si>
    <t>Ahmad Adib</t>
  </si>
  <si>
    <t>2025-10-18 05:34:18</t>
  </si>
  <si>
    <t>G013-202510-017046-BIG</t>
  </si>
  <si>
    <t>Jilbab merk klamby</t>
  </si>
  <si>
    <t>Tutining Ahmad adib</t>
  </si>
  <si>
    <t>2025-10-18 05:38:41</t>
  </si>
  <si>
    <t>1662/GTF.02/13/10/2025</t>
  </si>
  <si>
    <t>G013-202510-017047-BIG</t>
  </si>
  <si>
    <t>Pulpen merk parker</t>
  </si>
  <si>
    <t>Alfin Irfanda</t>
  </si>
  <si>
    <t>2025-10-18 05:46:15</t>
  </si>
  <si>
    <t>G013-202510-017048-BIG</t>
  </si>
  <si>
    <t>Dua buah kain batik seragam dan selembar syal khas ntt</t>
  </si>
  <si>
    <t>Petra Kusuma aji</t>
  </si>
  <si>
    <t>2025-10-18 05:58:55</t>
  </si>
  <si>
    <t>G013-202510-017049-BIG</t>
  </si>
  <si>
    <t>Sabuk merk bostanten dan pulpen</t>
  </si>
  <si>
    <t>M. Hendra Cordova Masputra</t>
  </si>
  <si>
    <t>2025-10-18 06:01:39</t>
  </si>
  <si>
    <t>G013-202510-017050-BIG</t>
  </si>
  <si>
    <t>Baju Koko merk carparelli</t>
  </si>
  <si>
    <t>2025-10-18 06:07:12</t>
  </si>
  <si>
    <t>G013-202510-017051-BIG</t>
  </si>
  <si>
    <t>Sebuah selimut</t>
  </si>
  <si>
    <t>Rokhi Maghfur</t>
  </si>
  <si>
    <t>2025-10-18 06:11:51</t>
  </si>
  <si>
    <t>G013-202510-017052-BIG</t>
  </si>
  <si>
    <t>Kain batik merk has 711 Pekalongan</t>
  </si>
  <si>
    <t>Ria permata sukma</t>
  </si>
  <si>
    <t>2025-10-18 06:20:18</t>
  </si>
  <si>
    <t>G013-202510-017053-BIG</t>
  </si>
  <si>
    <t>Dua helai kain merk margaria</t>
  </si>
  <si>
    <t>Yola Eska afrina sihombing</t>
  </si>
  <si>
    <t>2025-10-18 06:28:39</t>
  </si>
  <si>
    <t>1691/GTF.02/13/11/2025</t>
  </si>
  <si>
    <t>G013-202510-017054-BIG</t>
  </si>
  <si>
    <t>Selembar kain batik</t>
  </si>
  <si>
    <t>Eko wahono</t>
  </si>
  <si>
    <t>2025-10-18 06:33:42</t>
  </si>
  <si>
    <t>G013-202510-017055-BIG</t>
  </si>
  <si>
    <t>Sarung merk bhs</t>
  </si>
  <si>
    <t>Kepaniteraan PN Sampang</t>
  </si>
  <si>
    <t>2025-10-18 07:25:30</t>
  </si>
  <si>
    <t>G013-202510-017056-BIG</t>
  </si>
  <si>
    <t>Seprei dan sarung bantal merk lady rose</t>
  </si>
  <si>
    <t>Kesekretariatan PN Sampang</t>
  </si>
  <si>
    <t>2025-10-18 07:29:29</t>
  </si>
  <si>
    <t>G013-202510-017057-BIG</t>
  </si>
  <si>
    <t>Plakat bertuliskan nama dan foto pelapor</t>
  </si>
  <si>
    <t>Ikatan hakim Indonesia (ikahi) PN Sampang</t>
  </si>
  <si>
    <t>2025-10-18 09:23:01</t>
  </si>
  <si>
    <t>G013-202510-017059-BIG</t>
  </si>
  <si>
    <t>2025-10-19</t>
  </si>
  <si>
    <t>Gameboot merk brick 3 buah, sebuah mukena, paket momogi 3 buah, sebuah boneka dan sebuah Snack promina</t>
  </si>
  <si>
    <t>Alfin Irfanda dan isteri</t>
  </si>
  <si>
    <t>2025-10-19 15:58:34</t>
  </si>
  <si>
    <t>Jakfaroni</t>
  </si>
  <si>
    <t xml:space="preserve">1276010805690001 </t>
  </si>
  <si>
    <t>Ketua Pengadilan Agama Cibadak</t>
  </si>
  <si>
    <t>Pengadilan Tinggi Agama Bandung/Pengadilan Agama Cibadak</t>
  </si>
  <si>
    <t>G013-202510-017072-BIG</t>
  </si>
  <si>
    <t>Humidifier merk Humi warna Coklat tua dan Pouch custom warna hitam</t>
  </si>
  <si>
    <t>Andhi Ardana</t>
  </si>
  <si>
    <t>2025-10-20 13:40:57</t>
  </si>
  <si>
    <t>1684/GTF.02/13/11/2025</t>
  </si>
  <si>
    <t>Pengadilan Agama Cibadak</t>
  </si>
  <si>
    <t>Khoiriyah Roihan</t>
  </si>
  <si>
    <t xml:space="preserve">1403016609743281 </t>
  </si>
  <si>
    <t>G013-202510-017073-BIG</t>
  </si>
  <si>
    <t>2025-10-20</t>
  </si>
  <si>
    <t>Nur Rohman</t>
  </si>
  <si>
    <t>2025-10-20 13:58:31</t>
  </si>
  <si>
    <t>1678/GTF.02/13/11/2025</t>
  </si>
  <si>
    <t>Hilman Maulana Yusuf</t>
  </si>
  <si>
    <t xml:space="preserve">3207301210910001 </t>
  </si>
  <si>
    <t>Pengadilan Tinggi Jawa Barat/</t>
  </si>
  <si>
    <t>G013-202510-017081-BIG</t>
  </si>
  <si>
    <t>Alif</t>
  </si>
  <si>
    <t>2025-10-20 17:41:32</t>
  </si>
  <si>
    <t>Megananda Hersayekti Cecriana</t>
  </si>
  <si>
    <t xml:space="preserve">3401025307990021 </t>
  </si>
  <si>
    <t>2025-10-23 00:00:00</t>
  </si>
  <si>
    <t>G013-202510-017113-BIG</t>
  </si>
  <si>
    <t>Sisa Panjar Perkara 28/Pdt.G/2025/PN Srh</t>
  </si>
  <si>
    <t>2025-10-23 13:13:35</t>
  </si>
  <si>
    <t>1681/GTF.02/13/11/2025</t>
  </si>
  <si>
    <t>G013-202510-017115-BIG</t>
  </si>
  <si>
    <t>Sisa Panjar Perkara 29/Pdt.G/2025/PN Srh</t>
  </si>
  <si>
    <t>2025-10-23 13:30:00</t>
  </si>
  <si>
    <t>1685/GTF.02/13/11/2025</t>
  </si>
  <si>
    <t>Mohamad Irfan</t>
  </si>
  <si>
    <t xml:space="preserve">3671091005850011 </t>
  </si>
  <si>
    <t>G013-202510-017132-BIG</t>
  </si>
  <si>
    <t>2025-10-24</t>
  </si>
  <si>
    <t>Makanan Lapis Bogor</t>
  </si>
  <si>
    <t>Putri Galuh, S.H dkk</t>
  </si>
  <si>
    <t>2025-10-24 15:55:05</t>
  </si>
  <si>
    <t>G013-202511-017246-BIG</t>
  </si>
  <si>
    <t>Tas, pouch, buku, pulpen dan emoney</t>
  </si>
  <si>
    <t>Siska</t>
  </si>
  <si>
    <t>2025-11-06 20:01:00</t>
  </si>
  <si>
    <t>G013-202510-017134-BIG</t>
  </si>
  <si>
    <t>2025-10-26</t>
  </si>
  <si>
    <t>6 bungkus Abon ayam dan 1 bungkus Abon lele</t>
  </si>
  <si>
    <t>Ketua Pimpinan Daerah Aisyiyah Kabupaten Kendal</t>
  </si>
  <si>
    <t>2025-10-26 16:14:18</t>
  </si>
  <si>
    <t>G013-202510-017140-BUG</t>
  </si>
  <si>
    <t>Uang Dollar Amerika</t>
  </si>
  <si>
    <t>Para Undangan Pernikahan</t>
  </si>
  <si>
    <t>2025-10-27 15:23:01</t>
  </si>
  <si>
    <t>1713/GTF.02/10/11/2025</t>
  </si>
  <si>
    <t>Dr. Minanoer Rachman, S.H., M.H.</t>
  </si>
  <si>
    <t xml:space="preserve">3578310106660002 </t>
  </si>
  <si>
    <t>Kepaniteraan Mahkamah Agung RI/Panitera Muda Pidana</t>
  </si>
  <si>
    <t>G013-202510-017141-BUG</t>
  </si>
  <si>
    <t>2025-10-27 15:23:08</t>
  </si>
  <si>
    <t>1714/GTF.02/10/11/2025</t>
  </si>
  <si>
    <t>Uang Dollar Singapura</t>
  </si>
  <si>
    <t>G013-202510-017163-BIG</t>
  </si>
  <si>
    <t>2025-10-27</t>
  </si>
  <si>
    <t>Jeruk</t>
  </si>
  <si>
    <t>IAI Darussalam Martapura</t>
  </si>
  <si>
    <t>2025-10-28 15:44:06</t>
  </si>
  <si>
    <t>G013-202510-017156-BIG</t>
  </si>
  <si>
    <t>Oleh-oleh makanan khas Bali (Kripik, kacang, dll)</t>
  </si>
  <si>
    <t>Tude Noviarta</t>
  </si>
  <si>
    <t>2025-10-28 13:55:37</t>
  </si>
  <si>
    <t>G013-202511-017220-BIG</t>
  </si>
  <si>
    <t>2025-10-22</t>
  </si>
  <si>
    <t>Mug</t>
  </si>
  <si>
    <t>Mohd Khair bn Zainal Abidin</t>
  </si>
  <si>
    <t>2025-11-04 14:15:54</t>
  </si>
  <si>
    <t>G013-202510-017167-BIG</t>
  </si>
  <si>
    <t>Haji Amirul Akmal bin Sahardin</t>
  </si>
  <si>
    <t>2025-10-29 13:39:29</t>
  </si>
  <si>
    <t>G013-202510-017170-BIG</t>
  </si>
  <si>
    <t>2025-10-23</t>
  </si>
  <si>
    <t>Panitia Bimtek Pengelolaan PNBP Pengadilan Agama se- Wilayah Pengadilan Tinggi Agama Bandung</t>
  </si>
  <si>
    <t>2025-10-29 22:32:42</t>
  </si>
  <si>
    <t>G013-202510-017179-BIG</t>
  </si>
  <si>
    <t>2025-10-31</t>
  </si>
  <si>
    <t>Buku Agenda</t>
  </si>
  <si>
    <t>Bank BTN Syariah</t>
  </si>
  <si>
    <t>2025-10-31 09:27:39</t>
  </si>
  <si>
    <t>Zephania, S.H.</t>
  </si>
  <si>
    <t xml:space="preserve">1271110308860007 </t>
  </si>
  <si>
    <t>Badan Pengawasan/Inspektorat Wilayah IV</t>
  </si>
  <si>
    <t>G013-202511-017214-BIG</t>
  </si>
  <si>
    <t>Jam Tangan Fossil</t>
  </si>
  <si>
    <t>Delima Mariaigo Simanjuntak, S.H., M.H.</t>
  </si>
  <si>
    <t>2025-11-04 09:29:40</t>
  </si>
  <si>
    <t>1755/GTF.02/13/11/2025</t>
  </si>
  <si>
    <t>Inspektorat Wilayah IV</t>
  </si>
  <si>
    <t>Taslim, SH</t>
  </si>
  <si>
    <t xml:space="preserve">3310202301700001 </t>
  </si>
  <si>
    <t>G013-202511-017216-BIG</t>
  </si>
  <si>
    <t>Mug Stainles</t>
  </si>
  <si>
    <t>Jabatan Pendakwaan Syariah Pahang</t>
  </si>
  <si>
    <t>2025-11-04 09:51:21</t>
  </si>
  <si>
    <t>Panitera Muda Hukum PTA Banten</t>
  </si>
  <si>
    <t xml:space="preserve">3329092110590002 </t>
  </si>
  <si>
    <t>G013-202511-017229-BUK</t>
  </si>
  <si>
    <t>2025-11-03</t>
  </si>
  <si>
    <t>Card Holder warna hitam dengan box bertuliskan Integrity Strengthens Justice (Program Peningkatan Integritas Hakim)</t>
  </si>
  <si>
    <t>2025-11-05 10:42:29</t>
  </si>
  <si>
    <t>G013-202511-017238-BIG</t>
  </si>
  <si>
    <t>2025-11-05</t>
  </si>
  <si>
    <t>Tumbler</t>
  </si>
  <si>
    <t>Bintang</t>
  </si>
  <si>
    <t>2025-11-05 16:23:48</t>
  </si>
  <si>
    <t>G013-202511-017242-BIG</t>
  </si>
  <si>
    <t>2025-11-01</t>
  </si>
  <si>
    <t>Panitia Penyelenggara Pendidikan PKPA</t>
  </si>
  <si>
    <t>2025-11-06 09:38:27</t>
  </si>
  <si>
    <t>G013-202511-017251-BIG</t>
  </si>
  <si>
    <t>2025-11-06</t>
  </si>
  <si>
    <t>Makanan basah dan buah parcel</t>
  </si>
  <si>
    <t>Setyo Hadi</t>
  </si>
  <si>
    <t>2025-11-07 03:43:07</t>
  </si>
  <si>
    <t>G013-202511-017247-BIG</t>
  </si>
  <si>
    <t>2025-11-06 20:08:53</t>
  </si>
  <si>
    <t>G013-202511-017248-BIG</t>
  </si>
  <si>
    <t>Kain dan Selendang</t>
  </si>
  <si>
    <t>Dewi Santini SH MH</t>
  </si>
  <si>
    <t>2025-11-06 20:20:39</t>
  </si>
  <si>
    <t>G013-202511-017249-BIG</t>
  </si>
  <si>
    <t>Fasilitas Tenis</t>
  </si>
  <si>
    <t>Ollyvia</t>
  </si>
  <si>
    <t>2025-11-06 20:45:49</t>
  </si>
  <si>
    <t>1753/GTF.02/13/11/2025</t>
  </si>
  <si>
    <t>G013-202511-017288-BIG</t>
  </si>
  <si>
    <t>2025-11-10</t>
  </si>
  <si>
    <t>Gantungan ID Card warna hitam</t>
  </si>
  <si>
    <t>Surveyor</t>
  </si>
  <si>
    <t>2025-11-10 13:29:05</t>
  </si>
  <si>
    <t>G013-202511-017296-BIG</t>
  </si>
  <si>
    <t>2025-11-11</t>
  </si>
  <si>
    <t>Humaedi</t>
  </si>
  <si>
    <t>2025-11-11 10:03:29</t>
  </si>
  <si>
    <t>G013-202510-017117-BIG</t>
  </si>
  <si>
    <t>2025-09-22</t>
  </si>
  <si>
    <t>Maria Cristine Natalia Barus</t>
  </si>
  <si>
    <t>2025-10-23 14:35:29</t>
  </si>
  <si>
    <t>1734.1/GTF.02/13/11/2025</t>
  </si>
  <si>
    <t>HANDIKA FUJI SUNU SHI</t>
  </si>
  <si>
    <t xml:space="preserve">1221050406870001 </t>
  </si>
  <si>
    <t>G013-202511-017326-BIG</t>
  </si>
  <si>
    <t>2025-11-07</t>
  </si>
  <si>
    <t>Donny K. Ritonga</t>
  </si>
  <si>
    <t>2025-11-13 08:18:27</t>
  </si>
  <si>
    <t>1802/GTF.02/13/11/2025</t>
  </si>
  <si>
    <t>Dr. Ahmad Hodri, S.H.I,.M.H.</t>
  </si>
  <si>
    <t xml:space="preserve">5101050701830002 </t>
  </si>
  <si>
    <t>G013-202511-017360-BIG</t>
  </si>
  <si>
    <t>2025-10-29</t>
  </si>
  <si>
    <t>Boneka, mug, buku notes berlogo instansi pemberi</t>
  </si>
  <si>
    <t>Hendri S.W</t>
  </si>
  <si>
    <t>2025-11-17 12:11:10</t>
  </si>
  <si>
    <t>Muhammad Nur Ibrahim</t>
  </si>
  <si>
    <t xml:space="preserve">7316023004760001 </t>
  </si>
  <si>
    <t>Wakil Ketua Pengadilan Negeri Sengkang</t>
  </si>
  <si>
    <t>Pengadilan Tinggi Makassar/Pengadilan Negeri Sengkang</t>
  </si>
  <si>
    <t>G013-202511-017342-BIG</t>
  </si>
  <si>
    <t>satu paket makanan</t>
  </si>
  <si>
    <t>Sera Achmad</t>
  </si>
  <si>
    <t>2025-11-14 13:46:51</t>
  </si>
  <si>
    <t>Pengadilan Negeri Sengkang</t>
  </si>
  <si>
    <t>G013-202511-017343-BIG</t>
  </si>
  <si>
    <t>2025-11-13</t>
  </si>
  <si>
    <t>Hj Aisah Adama dan Andi Nurhaswah</t>
  </si>
  <si>
    <t>2025-11-14 13:53:35</t>
  </si>
  <si>
    <t>G013-202511-017344-BIG</t>
  </si>
  <si>
    <t>karangan bunga</t>
  </si>
  <si>
    <t>Hongkun Ottoh S.H.,M.H</t>
  </si>
  <si>
    <t>2025-11-14 13:59:46</t>
  </si>
  <si>
    <t>Cantika Firghotul Khasanah</t>
  </si>
  <si>
    <t xml:space="preserve">3325084710990003 </t>
  </si>
  <si>
    <t>Pengadilan Tinggi Jawa tengah/Pengadilan Negeri Purwodadi</t>
  </si>
  <si>
    <t>G013-202511-017362-BIG</t>
  </si>
  <si>
    <t>2025-11-17</t>
  </si>
  <si>
    <t>Buah Mangga</t>
  </si>
  <si>
    <t>Wibowo, S.I.Pem, S.H.</t>
  </si>
  <si>
    <t>2025-11-17 15:29:56</t>
  </si>
  <si>
    <t>G013-202511-017438-BIG</t>
  </si>
  <si>
    <t>2025-11-20</t>
  </si>
  <si>
    <t>Ayam goreng Nasi uduk</t>
  </si>
  <si>
    <t>Agustono Sinaga</t>
  </si>
  <si>
    <t>2025-11-20 20:47:56</t>
  </si>
  <si>
    <t>2025-11-21 00:00:00</t>
  </si>
  <si>
    <t>Sa'diyah, S.H.</t>
  </si>
  <si>
    <t xml:space="preserve">3523055105930002 </t>
  </si>
  <si>
    <t>G013-202511-017445-BIG</t>
  </si>
  <si>
    <t>Selendang tenun khas Desa Oeekam</t>
  </si>
  <si>
    <t>Muhtar Anabanu</t>
  </si>
  <si>
    <t>2025-11-21 10:21:00</t>
  </si>
  <si>
    <t>1871/GTF.02/13/12/2025</t>
  </si>
  <si>
    <t>Nurman Sulaiman</t>
  </si>
  <si>
    <t xml:space="preserve">3175082907970006 </t>
  </si>
  <si>
    <t>Analis perkara peradilan</t>
  </si>
  <si>
    <t>G013-202511-017449-BIG</t>
  </si>
  <si>
    <t>Selendang tenun khas Oeekam</t>
  </si>
  <si>
    <t>2025-11-21 14:14:07</t>
  </si>
  <si>
    <t>Muhammad salman al faris</t>
  </si>
  <si>
    <t xml:space="preserve">5371010607860005 </t>
  </si>
  <si>
    <t>Penata layanan operasiolan</t>
  </si>
  <si>
    <t>G013-202511-017448-BIG</t>
  </si>
  <si>
    <t>Selendang tenun khas oeekam</t>
  </si>
  <si>
    <t>2025-11-21 14:12:29</t>
  </si>
  <si>
    <t>Medli. S</t>
  </si>
  <si>
    <t xml:space="preserve">1771064611970004 </t>
  </si>
  <si>
    <t>G013-202511-017452-BIG</t>
  </si>
  <si>
    <t>Selendang tenun khas Daerah Kabupaten Timor Tengah Selatan</t>
  </si>
  <si>
    <t>2025-11-21 18:34:44</t>
  </si>
  <si>
    <t>G013-202511-017456-BIG</t>
  </si>
  <si>
    <t>Fasilitas Menginap 2 (dua) malam di Hotel Aryaduta Bandung</t>
  </si>
  <si>
    <t>Yogi Dulhadi</t>
  </si>
  <si>
    <t>2025-11-21 23:02:04</t>
  </si>
  <si>
    <t>1829/GTF.02/13/11/2025</t>
  </si>
  <si>
    <t>G013-202511-017460-BIG</t>
  </si>
  <si>
    <t>2025-11-21</t>
  </si>
  <si>
    <t>Orita</t>
  </si>
  <si>
    <t>2025-11-23 23:50:05</t>
  </si>
  <si>
    <t>G013-202511-017459-BIG</t>
  </si>
  <si>
    <t>2025-11-18</t>
  </si>
  <si>
    <t>Akhmad Syukri dan Pantas Maruba</t>
  </si>
  <si>
    <t>2025-11-23 23:49:16</t>
  </si>
  <si>
    <t>G013-202511-017462-BIG</t>
  </si>
  <si>
    <t>Husni Lete bin Syamsudin Lele</t>
  </si>
  <si>
    <t>2025-11-24 08:06:28</t>
  </si>
  <si>
    <t>G013-202511-017461-BIG</t>
  </si>
  <si>
    <t>2025-11-24</t>
  </si>
  <si>
    <t>Gelas dan Tas Kain Belanja</t>
  </si>
  <si>
    <t>2025-11-24 08:01:45</t>
  </si>
  <si>
    <t>G013-202511-017471-BIG</t>
  </si>
  <si>
    <t>Nur Evianti Meliala</t>
  </si>
  <si>
    <t>2025-11-24 12:41:09</t>
  </si>
  <si>
    <t>Regita Desi Fitriani, S.H.</t>
  </si>
  <si>
    <t xml:space="preserve">3325016412000001 </t>
  </si>
  <si>
    <t>Pengadilan Tinggi Agama Semarang/Pengadilan Agama Batang</t>
  </si>
  <si>
    <t>G013-202511-017477-BUG</t>
  </si>
  <si>
    <t>Opak (Makanan olahan dari singkong}</t>
  </si>
  <si>
    <t>Sulistiyani</t>
  </si>
  <si>
    <t>2025-11-24 14:04:28</t>
  </si>
  <si>
    <t>Pengadilan Agama Batang</t>
  </si>
  <si>
    <t>G013-202511-017487-BIG</t>
  </si>
  <si>
    <t>Mayasari Oktavia, S.H.,M.H.</t>
  </si>
  <si>
    <t>2025-11-24 16:53:43</t>
  </si>
  <si>
    <t>1854/GTF.02/13/11/2025</t>
  </si>
  <si>
    <t>G013-202511-017497-BIG</t>
  </si>
  <si>
    <t>2025-11-25</t>
  </si>
  <si>
    <t>Edi Supriadi, S.H.</t>
  </si>
  <si>
    <t>2025-11-25 15:23:58</t>
  </si>
  <si>
    <t>1869/GTF.02/13/12/2025</t>
  </si>
  <si>
    <t>G013-202511-017506-BIG</t>
  </si>
  <si>
    <t>Power Bank</t>
  </si>
  <si>
    <t>Eko Riduwan</t>
  </si>
  <si>
    <t>2025-11-26 07:30:07</t>
  </si>
  <si>
    <t>G013-202511-017510-BUK</t>
  </si>
  <si>
    <t>Seminar kit berupa pouch, powerbank, dan tumbler</t>
  </si>
  <si>
    <t>Bank Indonesia</t>
  </si>
  <si>
    <t>2025-11-26 13:45:23</t>
  </si>
  <si>
    <t>G013-202511-017526-BIG</t>
  </si>
  <si>
    <t>Dispenser</t>
  </si>
  <si>
    <t>Susilowati SH.,M.H</t>
  </si>
  <si>
    <t>2025-11-27 13:05:54</t>
  </si>
  <si>
    <t>Pengadilan Tinggi Surabaya/Pengadilan Negeri Trenggalek</t>
  </si>
  <si>
    <t>G013-202512-018023-BIG</t>
  </si>
  <si>
    <t>Voucher Indomaret</t>
  </si>
  <si>
    <t>Kantor Perwakilan Bank Indonesia Jawa Timur</t>
  </si>
  <si>
    <t>2025-12-24 18:23:49</t>
  </si>
  <si>
    <t>5/GTF.02/13/01/2026</t>
  </si>
  <si>
    <t>G013-202511-017537-BIG</t>
  </si>
  <si>
    <t>2025-11-28</t>
  </si>
  <si>
    <t>Haryo</t>
  </si>
  <si>
    <t>2025-11-28 18:31:17</t>
  </si>
  <si>
    <t>1898/GTF.02/13/12/2025</t>
  </si>
  <si>
    <t>Dr. Supandriyo, S.H., M.H.</t>
  </si>
  <si>
    <t xml:space="preserve">6301031101810002 </t>
  </si>
  <si>
    <t>Wakil Ketua Pengadilan Negeri Wates</t>
  </si>
  <si>
    <t>Pengadilan Tinggi Yogyakarta/Pengadilan Negeri Wates</t>
  </si>
  <si>
    <t>G013-202511-017541-BIG</t>
  </si>
  <si>
    <t>2025-11-26</t>
  </si>
  <si>
    <t>Miniatur Kapal Pinisi</t>
  </si>
  <si>
    <t>Ahmad Nur</t>
  </si>
  <si>
    <t>2025-11-30 21:57:19</t>
  </si>
  <si>
    <t>G013-202511-017542-BIG</t>
  </si>
  <si>
    <t>Bunga meja anggrek bulan ungu (Phalaenopsis)</t>
  </si>
  <si>
    <t>Horseman Boris Ivan</t>
  </si>
  <si>
    <t>2025-11-30 22:09:42</t>
  </si>
  <si>
    <t>1908/GTF.02/13/12/2025</t>
  </si>
  <si>
    <t>G013-202512-017579-BIG</t>
  </si>
  <si>
    <t>2025-12-01</t>
  </si>
  <si>
    <t>Rumah Sakit UII Yogyakarta</t>
  </si>
  <si>
    <t>2025-12-02 15:04:35</t>
  </si>
  <si>
    <t>Gideon Iman Kristiandri</t>
  </si>
  <si>
    <t xml:space="preserve">3573021009930006 </t>
  </si>
  <si>
    <t>Klerek - Penelaah Teknis Kebijakan</t>
  </si>
  <si>
    <t>G013-202512-017589-BIG</t>
  </si>
  <si>
    <t>2025-12-03</t>
  </si>
  <si>
    <t>Gelas</t>
  </si>
  <si>
    <t>Marhani, S.H., M.H</t>
  </si>
  <si>
    <t>2025-12-03 12:51:19</t>
  </si>
  <si>
    <t>RIsky Ridho Djauhari</t>
  </si>
  <si>
    <t xml:space="preserve">3372012211000003 </t>
  </si>
  <si>
    <t>G013-202512-017590-BIG</t>
  </si>
  <si>
    <t>Marhani. M., S.H., M.H.</t>
  </si>
  <si>
    <t>2025-12-03 12:53:43</t>
  </si>
  <si>
    <t>G013-202512-017593-BIG</t>
  </si>
  <si>
    <t>Marhani</t>
  </si>
  <si>
    <t>2025-12-03 13:04:00</t>
  </si>
  <si>
    <t>Annissa Salsabila Sandy Arrohmah</t>
  </si>
  <si>
    <t xml:space="preserve">3305196906970001 </t>
  </si>
  <si>
    <t>Arsiparis</t>
  </si>
  <si>
    <t>G013-202512-017594-BIG</t>
  </si>
  <si>
    <t>MARHANI M, S.H., M.H.</t>
  </si>
  <si>
    <t>2025-12-03 13:04:20</t>
  </si>
  <si>
    <t>Kelik Iswandi</t>
  </si>
  <si>
    <t xml:space="preserve">3402082708970001 </t>
  </si>
  <si>
    <t>Klerek - Analis Perkara Peradilan</t>
  </si>
  <si>
    <t>G013-202512-017595-BIG</t>
  </si>
  <si>
    <t>Marhani M</t>
  </si>
  <si>
    <t>2025-12-03 13:27:26</t>
  </si>
  <si>
    <t>ANDRY CAHYO UTOMO</t>
  </si>
  <si>
    <t xml:space="preserve">3305132311840004 </t>
  </si>
  <si>
    <t>G013-202512-017602-BIG</t>
  </si>
  <si>
    <t>gelas</t>
  </si>
  <si>
    <t>2025-12-03 16:20:41</t>
  </si>
  <si>
    <t>Nur Fitriyah</t>
  </si>
  <si>
    <t xml:space="preserve">3520114704960002 </t>
  </si>
  <si>
    <t>Klerek-Pengolah Data dan Informasi</t>
  </si>
  <si>
    <t>G013-202512-017626-BIG</t>
  </si>
  <si>
    <t>Marhani M., S.H., M.H</t>
  </si>
  <si>
    <t>2025-12-04 15:36:06</t>
  </si>
  <si>
    <t>G013-202512-017641-BIG</t>
  </si>
  <si>
    <t>2025-12-04</t>
  </si>
  <si>
    <t>Jamuan makan siang di Rumah Makan Omah Cobek Resto</t>
  </si>
  <si>
    <t>Lalu Sandi Iramaya</t>
  </si>
  <si>
    <t>2025-12-05 13:06:44</t>
  </si>
  <si>
    <t>G013-202512-017628-BIG</t>
  </si>
  <si>
    <t>cinderamata berupa botol air minum</t>
  </si>
  <si>
    <t>Nur Latifah Hanum</t>
  </si>
  <si>
    <t>2025-12-04 23:15:30</t>
  </si>
  <si>
    <t>G013-202512-017758-BIG</t>
  </si>
  <si>
    <t>2025-12-10</t>
  </si>
  <si>
    <t>1 buah Mangkok bertuliskan Keluarga Besar Pengadilan Negeri Sengkang</t>
  </si>
  <si>
    <t>Hartati, Andi Mihrum dan Syamsuddin</t>
  </si>
  <si>
    <t>2025-12-10 14:00:22</t>
  </si>
  <si>
    <t>G013-202512-017766-BIG</t>
  </si>
  <si>
    <t>Mangkok</t>
  </si>
  <si>
    <t>Andi Mihrum, Syamsuddin, dan Hartati</t>
  </si>
  <si>
    <t>2025-12-10 16:07:51</t>
  </si>
  <si>
    <t>G013-202512-017771-BIG</t>
  </si>
  <si>
    <t>Andi Haswah dan Hj. Aisyah Adama</t>
  </si>
  <si>
    <t>2025-12-11 07:49:47</t>
  </si>
  <si>
    <t>G013-202512-017791-BIG</t>
  </si>
  <si>
    <t>Mangkok Keramik</t>
  </si>
  <si>
    <t>Hartati, S.H., Syamsuddin, S.H., dan Andi Mihrum A. Miri, S.H., M.H.</t>
  </si>
  <si>
    <t>2025-12-12 13:04:14</t>
  </si>
  <si>
    <t>G013-202512-017792-BIG</t>
  </si>
  <si>
    <t>2025-10-09</t>
  </si>
  <si>
    <t>Andi Nur Haswah, S.H. dan Hj. Aisyah Adama, S.H., M.H.</t>
  </si>
  <si>
    <t>2025-12-12 13:09:28</t>
  </si>
  <si>
    <t>G013-202512-017796-BIG</t>
  </si>
  <si>
    <t>mangkok</t>
  </si>
  <si>
    <t>Hartati, Andi Mihrum, Syamsuddin</t>
  </si>
  <si>
    <t>2025-12-12 14:38:11</t>
  </si>
  <si>
    <t>G013-202512-017801-BIG</t>
  </si>
  <si>
    <t>Andi Mihrum, Hartati, dan Syamsuddin</t>
  </si>
  <si>
    <t>2025-12-12 18:46:04</t>
  </si>
  <si>
    <t>G013-202512-017802-BIG</t>
  </si>
  <si>
    <t>2024-07-29</t>
  </si>
  <si>
    <t>Erwan, S.H., M.H</t>
  </si>
  <si>
    <t>2025-12-15 08:48:24</t>
  </si>
  <si>
    <t>G013-202512-017819-BIG</t>
  </si>
  <si>
    <t>Payung</t>
  </si>
  <si>
    <t>Dewi Novita Sari</t>
  </si>
  <si>
    <t>2025-12-15 12:42:48</t>
  </si>
  <si>
    <t>G013-202512-017822-BIG</t>
  </si>
  <si>
    <t>2025-12-15</t>
  </si>
  <si>
    <t>Mukenah dan sajadah</t>
  </si>
  <si>
    <t>Hj. Riawan Woro Endartiningrum, S.E.</t>
  </si>
  <si>
    <t>2025-12-15 13:45:09</t>
  </si>
  <si>
    <t>45/GTF.02/13/01/2026</t>
  </si>
  <si>
    <t>HARTANTO ARIESYANDI</t>
  </si>
  <si>
    <t xml:space="preserve">6371042003960007 </t>
  </si>
  <si>
    <t>Pengadilan Tinggi Palangkaraya/Pengadilan Negeri Pulang Pisau</t>
  </si>
  <si>
    <t>G013-202512-017820-BIG</t>
  </si>
  <si>
    <t>Kue Natal</t>
  </si>
  <si>
    <t>HAIDIR RAHMAN</t>
  </si>
  <si>
    <t>2025-12-15 13:20:17</t>
  </si>
  <si>
    <t>1986/GTF.02/13/12/2025</t>
  </si>
  <si>
    <t>Pengadilan Negeri Pulang Pisau</t>
  </si>
  <si>
    <t>G013-202512-017844-BIG</t>
  </si>
  <si>
    <t>2025-12-16</t>
  </si>
  <si>
    <t>Botol minum</t>
  </si>
  <si>
    <t>Siswa PKL dari SMKN 1 Bancak Kabupaten Semarang</t>
  </si>
  <si>
    <t>2025-12-16 10:10:24</t>
  </si>
  <si>
    <t>G013-202512-017867-BIG</t>
  </si>
  <si>
    <t>2025-12-05</t>
  </si>
  <si>
    <t>Lekol Inf. Sabirin &amp; Keluarga</t>
  </si>
  <si>
    <t>2025-12-17 11:02:35</t>
  </si>
  <si>
    <t>Dukatis Zulmi</t>
  </si>
  <si>
    <t xml:space="preserve">3201133112970004 </t>
  </si>
  <si>
    <t>Pengadilan Tinggi Agama Pekanbaru/Pengadilan Agama Bengkalis</t>
  </si>
  <si>
    <t>G013-202512-017888-BIG</t>
  </si>
  <si>
    <t>2025-12-17</t>
  </si>
  <si>
    <t>Mahasiswa IAIN Bandar Laksamana Bengkalis</t>
  </si>
  <si>
    <t>2025-12-17 18:20:24</t>
  </si>
  <si>
    <t>2025/GTF.02/13/12/2025</t>
  </si>
  <si>
    <t>Pengadilan Agama Bengkalis</t>
  </si>
  <si>
    <t>Sertifikat</t>
  </si>
  <si>
    <t>IAIN Bandar Laksamana Bengkalis</t>
  </si>
  <si>
    <t>G013-202512-017889-BIG</t>
  </si>
  <si>
    <t>2025-12-17 20:56:57</t>
  </si>
  <si>
    <t>2024/GTF.02/13/12/2025</t>
  </si>
  <si>
    <t>Parhasuhutan Saragih</t>
  </si>
  <si>
    <t xml:space="preserve">1403132705920005 </t>
  </si>
  <si>
    <t>Calon Hakim</t>
  </si>
  <si>
    <t>G013-202512-017891-BIG</t>
  </si>
  <si>
    <t>Bingkisan parcel berisi cangkir set, makanan ringan dan kotak kado</t>
  </si>
  <si>
    <t>Jaksa Tebo</t>
  </si>
  <si>
    <t>2025-12-17 23:07:26</t>
  </si>
  <si>
    <t>2026/GTF.02/13/12/2025</t>
  </si>
  <si>
    <t>Rahmat Hadi Darmawan</t>
  </si>
  <si>
    <t xml:space="preserve">3471080903920002 </t>
  </si>
  <si>
    <t>Kepala Sub Bagian Kepegawaian dan Organisasi Tata Laksana</t>
  </si>
  <si>
    <t>G013-202512-017916-BIG</t>
  </si>
  <si>
    <t>2025-12-02</t>
  </si>
  <si>
    <t>Kalender</t>
  </si>
  <si>
    <t>Universitas Alma Ata</t>
  </si>
  <si>
    <t>2025-12-18 14:31:15</t>
  </si>
  <si>
    <t>2027/GTF.02/13/12/2025</t>
  </si>
  <si>
    <t>G013-202512-017920-BIG</t>
  </si>
  <si>
    <t>2025-12-11</t>
  </si>
  <si>
    <t>Jam dinding dengan logo SMP Muhammadiyah Suruh Kabupaten Semarang dan tulisan Edutrip X Mozu Goes to Pengadilan Agama Ambarawa 11 Desember 2025</t>
  </si>
  <si>
    <t>Ibu Athi Thohiroh Mahsunah, S.Pd. Kepala Sekolah</t>
  </si>
  <si>
    <t>2025-12-18 18:53:06</t>
  </si>
  <si>
    <t>G013-202512-018025-BIG</t>
  </si>
  <si>
    <t>2025-12-08</t>
  </si>
  <si>
    <t>UANG TUNAI</t>
  </si>
  <si>
    <t>LEMAN, S.E., M.M</t>
  </si>
  <si>
    <t>2025-12-25 10:01:54</t>
  </si>
  <si>
    <t>G013-202512-017999-BIG</t>
  </si>
  <si>
    <t>Buku agenda dan pulpen</t>
  </si>
  <si>
    <t>Nancy Purba dan Putra Barus</t>
  </si>
  <si>
    <t>2025-12-24 10:19:54</t>
  </si>
  <si>
    <t>150 TAHUN 2026</t>
  </si>
  <si>
    <t>Eko Setiawan</t>
  </si>
  <si>
    <t xml:space="preserve">6304150906790001 </t>
  </si>
  <si>
    <t>G013-202512-018008-BIG</t>
  </si>
  <si>
    <t>Kemeja dan Tas</t>
  </si>
  <si>
    <t>Letkol Infanteri Putut Januarto</t>
  </si>
  <si>
    <t>2025-12-24 14:44:24</t>
  </si>
  <si>
    <t>57/GTF.02/13/01/2026</t>
  </si>
  <si>
    <t>G013-202512-018089-BIG</t>
  </si>
  <si>
    <t>2025-12-18</t>
  </si>
  <si>
    <t>Parcel berupa makanan kering</t>
  </si>
  <si>
    <t>Bank BPD Yogyakarta Cabang Wates</t>
  </si>
  <si>
    <t>2025-12-30 11:01:55</t>
  </si>
  <si>
    <t>DWI HANANTA</t>
  </si>
  <si>
    <t xml:space="preserve">3174060312790001 </t>
  </si>
  <si>
    <t>Ketua Pengadilan Negeri Sukoharjo</t>
  </si>
  <si>
    <t>G013-202601-018143-BIG</t>
  </si>
  <si>
    <t>2025-12-31</t>
  </si>
  <si>
    <t>Parcel Buah-buahan</t>
  </si>
  <si>
    <t>Kepala Kepolisian Resor Sukoharjo</t>
  </si>
  <si>
    <t>2026-01-02 15:08:13</t>
  </si>
  <si>
    <t>G013-202601-018151-BIG</t>
  </si>
  <si>
    <t>2025-12-22</t>
  </si>
  <si>
    <t>Parsel Natal</t>
  </si>
  <si>
    <t>Bank BRI KC Pacitan</t>
  </si>
  <si>
    <t>2026-01-05 08:29:44</t>
  </si>
  <si>
    <t>115 TAHUN 2026</t>
  </si>
  <si>
    <t>LIS SUSILOWATI, S.H., M.H.</t>
  </si>
  <si>
    <t xml:space="preserve">3404064404760004 </t>
  </si>
  <si>
    <t>Direktorat Jenderal Badan Peradilan Umum/Pengadilan Tinggi Semarang</t>
  </si>
  <si>
    <t>G013-202601-018175-BIG</t>
  </si>
  <si>
    <t>Letkol Inf. Hermawn Setya Budi, M.Han</t>
  </si>
  <si>
    <t>2026-01-05 15:34:15</t>
  </si>
  <si>
    <t>190 TAHUN 2026</t>
  </si>
  <si>
    <t>A. Renaldy Firnanda</t>
  </si>
  <si>
    <t xml:space="preserve">1671122105920004 </t>
  </si>
  <si>
    <t>Penelaah Teknis Kebijakan</t>
  </si>
  <si>
    <t>G013-202601-018191-BIG</t>
  </si>
  <si>
    <t>2025-12-26</t>
  </si>
  <si>
    <t>Madu berjumlah 4 Botol</t>
  </si>
  <si>
    <t>Insani</t>
  </si>
  <si>
    <t>2026-01-06 09:08:57</t>
  </si>
  <si>
    <t>G013-202601-018215-BIG</t>
  </si>
  <si>
    <t>UANG</t>
  </si>
  <si>
    <t>2026-01-07 05:58:01</t>
  </si>
  <si>
    <t>hana nuraeni</t>
  </si>
  <si>
    <t xml:space="preserve">3671076806840001 </t>
  </si>
  <si>
    <t>sekretaris</t>
  </si>
  <si>
    <t>G013-202601-018224-BIG</t>
  </si>
  <si>
    <t>2026-01-06</t>
  </si>
  <si>
    <t>Jam dinding, buku agenda, kalender 2026 dengan logo instansi pemberi</t>
  </si>
  <si>
    <t>tim Magang SMK dewantoro Tangerang</t>
  </si>
  <si>
    <t>2026-01-07 10:57:38</t>
  </si>
  <si>
    <t>Jamadi</t>
  </si>
  <si>
    <t xml:space="preserve">3529241405780003 </t>
  </si>
  <si>
    <t>Wakil Ketua Pengadilan Agama Boyolali</t>
  </si>
  <si>
    <t>Pengadilan Tinggi Agama Semarang/Pengadilan Agama Boyolali</t>
  </si>
  <si>
    <t>G013-202601-018230-BIG</t>
  </si>
  <si>
    <t>2025-12-29</t>
  </si>
  <si>
    <t>Panitia Ulang Tahun Ke-76 DPRD Boyolali</t>
  </si>
  <si>
    <t>2026-01-07 15:20:14</t>
  </si>
  <si>
    <t>Pengadilan Agama Boyolali</t>
  </si>
  <si>
    <t>Rahmawati</t>
  </si>
  <si>
    <t xml:space="preserve">3404106503740002 </t>
  </si>
  <si>
    <t>G013-202601-018250-BUK</t>
  </si>
  <si>
    <t>Dewi Pramukti</t>
  </si>
  <si>
    <t>2026-01-08 14:38:42</t>
  </si>
  <si>
    <t>141 TAHUN 2026</t>
  </si>
  <si>
    <t>G013-202601-018258-BIG</t>
  </si>
  <si>
    <t>2025-12-24</t>
  </si>
  <si>
    <t>Muhammad Alif Praditya</t>
  </si>
  <si>
    <t>2026-01-09 09:09:24</t>
  </si>
  <si>
    <t>173 TAHUN 2026</t>
  </si>
  <si>
    <t>G013-202601-018288-BIG</t>
  </si>
  <si>
    <t>2026-01-09</t>
  </si>
  <si>
    <t>The harvest Cake</t>
  </si>
  <si>
    <t>Yoga</t>
  </si>
  <si>
    <t>2026-01-12 14:14:55</t>
  </si>
  <si>
    <t>G013-202601-018294-BIG</t>
  </si>
  <si>
    <t>2026-01-12</t>
  </si>
  <si>
    <t>Karangan Buah Segar</t>
  </si>
  <si>
    <t>AKBP Awaluddin Syam, S.I.K., M.M</t>
  </si>
  <si>
    <t>2026-01-12 17:06:07</t>
  </si>
  <si>
    <t>G013-202601-018295-BIG</t>
  </si>
  <si>
    <t>2 (dua) Buah Kain Palembang Warna Merah (Sarimbit)</t>
  </si>
  <si>
    <t>AKBP Muhammad Yakin Rusdi, S.I.K</t>
  </si>
  <si>
    <t>2026-01-12 18:18:58</t>
  </si>
  <si>
    <t>183 TAHUN 2026</t>
  </si>
  <si>
    <t>G013-202601-018296-BIG</t>
  </si>
  <si>
    <t>2026-01-13</t>
  </si>
  <si>
    <t>Handuk mandi dan gelas</t>
  </si>
  <si>
    <t>AKBP ANITA INDAH SETYANINGRUM, SIK., MH</t>
  </si>
  <si>
    <t>2026-01-13 08:45:26</t>
  </si>
  <si>
    <t>Sudarmin</t>
  </si>
  <si>
    <t xml:space="preserve">7313061302860001 </t>
  </si>
  <si>
    <t>Kepala Sub Bagian Kepegawaian, Organisasi dan Tata Laksana</t>
  </si>
  <si>
    <t>G013-202601-018317-BIG</t>
  </si>
  <si>
    <t>2026-01-14</t>
  </si>
  <si>
    <t>Voucher indomaret</t>
  </si>
  <si>
    <t>2026-01-14 08:38:15</t>
  </si>
  <si>
    <t>ARMANSYAH, SH</t>
  </si>
  <si>
    <t xml:space="preserve">7308212704870001 </t>
  </si>
  <si>
    <t>G013-202601-018320-BIG</t>
  </si>
  <si>
    <t>H. Marhani, S.H., M.H.</t>
  </si>
  <si>
    <t>2026-01-14 09:41:00</t>
  </si>
  <si>
    <t>G013-202601-018398-BIG</t>
  </si>
  <si>
    <t>2026-01-20</t>
  </si>
  <si>
    <t>5 (lima) Buku</t>
  </si>
  <si>
    <t>POLDA Bangka Belitung</t>
  </si>
  <si>
    <t>2026-01-20 12:40:30</t>
  </si>
  <si>
    <t>Leman</t>
  </si>
  <si>
    <t xml:space="preserve">7308212805810003 </t>
  </si>
  <si>
    <t>G013-202601-018413-BIG</t>
  </si>
  <si>
    <t>2026-01-21</t>
  </si>
  <si>
    <t>Minyak goreng</t>
  </si>
  <si>
    <t>Tim Sosialisasi MR Pengadilan Negeri Sengkang</t>
  </si>
  <si>
    <t>2026-01-21 08:44:46</t>
  </si>
  <si>
    <t>ANDI JAMRI, S.H</t>
  </si>
  <si>
    <t xml:space="preserve">7313062705680004 </t>
  </si>
  <si>
    <t>Kasub Umum dan Keuangan</t>
  </si>
  <si>
    <t>2026-02-25 00:00:00</t>
  </si>
  <si>
    <t>catur gunawan</t>
  </si>
  <si>
    <t xml:space="preserve">3471132608800002 </t>
  </si>
  <si>
    <t>G013-202601-018415-BIG</t>
  </si>
  <si>
    <t>Kalender 2026</t>
  </si>
  <si>
    <t>Baznas Yogyakarta</t>
  </si>
  <si>
    <t>2026-01-21 10:29:18</t>
  </si>
  <si>
    <t>FIFIT FITRI LUTFIANINGSIH, S.H., M.H., M.M.</t>
  </si>
  <si>
    <t xml:space="preserve">3515024402830003 </t>
  </si>
  <si>
    <t>G013-202601-018420-BIG</t>
  </si>
  <si>
    <t>Sejumlah uang yang dimasukkan dalam map</t>
  </si>
  <si>
    <t>Ali Syafiq</t>
  </si>
  <si>
    <t>2026-01-21 12:12:52</t>
  </si>
  <si>
    <t>G013-202601-018421-BIG</t>
  </si>
  <si>
    <t>kue</t>
  </si>
  <si>
    <t>intan dan nanda</t>
  </si>
  <si>
    <t>2026-01-21 13:12:25</t>
  </si>
  <si>
    <t>MOHAMMAD AMRULLAH</t>
  </si>
  <si>
    <t xml:space="preserve">3526010805770005 </t>
  </si>
  <si>
    <t>Wakil Ketua/Hakim</t>
  </si>
  <si>
    <t>Pengadilan Tinggi Semarang/Pengadilan Negeri Klaten</t>
  </si>
  <si>
    <t>G013-202601-018422-BIG</t>
  </si>
  <si>
    <t>2026-01-07</t>
  </si>
  <si>
    <t>Kalender dinding. kalender meja, tas /clutch, buku agenda</t>
  </si>
  <si>
    <t>2026-01-21 14:21:34</t>
  </si>
  <si>
    <t>G013-202601-018426-BIG</t>
  </si>
  <si>
    <t>Kalender dinding, kalender meja, tas/clutch, buku agenda</t>
  </si>
  <si>
    <t>2026-01-21 15:27:40</t>
  </si>
  <si>
    <t>WIJAYA BINU KAMDANI</t>
  </si>
  <si>
    <t xml:space="preserve">3310242303720002 </t>
  </si>
  <si>
    <t>Sekretaris Pengadilan Negeri Klaten</t>
  </si>
  <si>
    <t>G013-202601-018424-BIG</t>
  </si>
  <si>
    <t>Kalender dinding, kalender meja, tas/ clutch, buku agenda</t>
  </si>
  <si>
    <t>2026-01-21 14:52:26</t>
  </si>
  <si>
    <t>HENING WAHYUNINGTYAS, SH</t>
  </si>
  <si>
    <t xml:space="preserve">3374074609720001 </t>
  </si>
  <si>
    <t>Panitera Pengadilan Negeri Klaten</t>
  </si>
  <si>
    <t>G013-202601-018425-BIG</t>
  </si>
  <si>
    <t>Kalender, tas tangan, dan buku agenda</t>
  </si>
  <si>
    <t>2026-01-21 15:05:46</t>
  </si>
  <si>
    <t>G013-202601-018436-BIG</t>
  </si>
  <si>
    <t>2026-01-05</t>
  </si>
  <si>
    <t>Kalender dan buku notes</t>
  </si>
  <si>
    <t>Barid Paladin</t>
  </si>
  <si>
    <t>2026-01-22 11:38:40</t>
  </si>
  <si>
    <t>2026-01-22 00:00:00</t>
  </si>
  <si>
    <t>G013-202601-018437-BIG</t>
  </si>
  <si>
    <t>2026-01-08</t>
  </si>
  <si>
    <t>Tas, Note book, dan Flashdisk</t>
  </si>
  <si>
    <t>Syamsul Arif</t>
  </si>
  <si>
    <t>2026-01-22 11:57:59</t>
  </si>
  <si>
    <t>Muhammad Nurulloh Jarmoko</t>
  </si>
  <si>
    <t xml:space="preserve">3404071910910004 </t>
  </si>
  <si>
    <t>Pengadilan Tinggi Jawa Timur/Pengadilan Negeri Trenggalek</t>
  </si>
  <si>
    <t>G013-202601-018468-BIG</t>
  </si>
  <si>
    <t>2026-01-17</t>
  </si>
  <si>
    <t>Panci, kompor, dan piring piring</t>
  </si>
  <si>
    <t>wiwik saptorini</t>
  </si>
  <si>
    <t>2026-01-25 22:23:11</t>
  </si>
  <si>
    <t>EFENDI</t>
  </si>
  <si>
    <t xml:space="preserve">1471072610680001 </t>
  </si>
  <si>
    <t>WAKIL</t>
  </si>
  <si>
    <t>Pengadilan Tinggi Jakarta/Pengadilan Negeri Jakarta Pusat</t>
  </si>
  <si>
    <t>G013-202601-018471-BIG</t>
  </si>
  <si>
    <t>2026-01-23</t>
  </si>
  <si>
    <t>Buku Tindak Pidana Pencucian Uang, edisi pertama, karya DR. Yunus Husein, SH., LLM dan Ichsan Zikey, SH., LLM</t>
  </si>
  <si>
    <t>Dr. Yunus husein SH,LLM.</t>
  </si>
  <si>
    <t>2026-01-26 11:53:47</t>
  </si>
  <si>
    <t>293 TAHUN 2026</t>
  </si>
  <si>
    <t>Pengadilan Negeri Jakarta Pusat</t>
  </si>
  <si>
    <t>Alfonsus Nahak</t>
  </si>
  <si>
    <t xml:space="preserve">1408012901770002 </t>
  </si>
  <si>
    <t>Ketua Pengadilan Negeri Lasusua</t>
  </si>
  <si>
    <t>G013-202601-018490-BIG</t>
  </si>
  <si>
    <t>2026-01-02</t>
  </si>
  <si>
    <t>Parsel berisi 3 Buah Toples Kecil, 2 Buah Toples Besar, 1 Buah Jam Dinding</t>
  </si>
  <si>
    <t>Kapolres Kolaka Utara</t>
  </si>
  <si>
    <t>2026-01-27 13:31:41</t>
  </si>
  <si>
    <t>298 TAHUN 2026</t>
  </si>
  <si>
    <t>Parsel berisi 1 Buah Storage Box ukuran sedang, 6 Buah Piring ukuran kecil, 2 Buah Piring ukuran Sedang, 1 Buah Piring ukuran Besar</t>
  </si>
  <si>
    <t>Kepala Bank Rakyat Indonesia Cabang Kolaka Utara</t>
  </si>
  <si>
    <t>G013-202601-018319-BIG</t>
  </si>
  <si>
    <t>Voucher belanja</t>
  </si>
  <si>
    <t>MUHAMMAD NUR IBRAHIM, S.H., M.H.</t>
  </si>
  <si>
    <t>2026-01-14 08:49:32</t>
  </si>
  <si>
    <t>182 TAHUN 2026</t>
  </si>
  <si>
    <t>G013-202601-018501-BIG</t>
  </si>
  <si>
    <t>2026-01-28</t>
  </si>
  <si>
    <t>Kaos dan Tas</t>
  </si>
  <si>
    <t>Pimpinan Bank Rakyat Indonesia Cabang Purwokerto</t>
  </si>
  <si>
    <t>2026-01-28 16:36:28</t>
  </si>
  <si>
    <t>G013-202601-018503-BIG</t>
  </si>
  <si>
    <t>2025-12-23</t>
  </si>
  <si>
    <t>Kue bolu</t>
  </si>
  <si>
    <t>Valentino Oscar Satria</t>
  </si>
  <si>
    <t>2026-01-29 06:36:25</t>
  </si>
  <si>
    <t>289 TAHUN 2026</t>
  </si>
  <si>
    <t>Khalim Mudrik Masruhan</t>
  </si>
  <si>
    <t xml:space="preserve">3322020607770003 </t>
  </si>
  <si>
    <t>G013-202601-018513-BUK</t>
  </si>
  <si>
    <t>2026-01-29</t>
  </si>
  <si>
    <t>Kejaksaan Negeri Kabupaten Semarang</t>
  </si>
  <si>
    <t>2026-01-29 14:03:51</t>
  </si>
  <si>
    <t>G013-202602-018536-BIG</t>
  </si>
  <si>
    <t>2026-01-30</t>
  </si>
  <si>
    <t>Jam Tangan</t>
  </si>
  <si>
    <t>Kapolres Rembang AKBP Dhanang Bagus Anggoro, S.I.K., M.H. &amp; Ny. Rani Dhanang</t>
  </si>
  <si>
    <t>2026-02-02 07:51:09</t>
  </si>
  <si>
    <t>290 TAHUN 2026</t>
  </si>
  <si>
    <t>G013-202602-018548-BIG</t>
  </si>
  <si>
    <t>2026-02-02</t>
  </si>
  <si>
    <t>Tumblr</t>
  </si>
  <si>
    <t>PT Taspen Persero</t>
  </si>
  <si>
    <t>2026-02-02 15:16:55</t>
  </si>
  <si>
    <t>G013-202602-018549-BIG</t>
  </si>
  <si>
    <t>mug coffe</t>
  </si>
  <si>
    <t>PT Taspen persero cab.yogyakarta</t>
  </si>
  <si>
    <t>2026-02-02 15:26:17</t>
  </si>
  <si>
    <t>G013-202602-018550-BIG</t>
  </si>
  <si>
    <t>Jam meja</t>
  </si>
  <si>
    <t>PT Taspen persero cabang yogyakarta</t>
  </si>
  <si>
    <t>2026-02-02 15:29:16</t>
  </si>
  <si>
    <t>G013-202602-018551-BIG</t>
  </si>
  <si>
    <t>Hiasan wayang terbuat dari monel</t>
  </si>
  <si>
    <t>Bank Rakyat Indonesia Cab. Katamso Yogyakarta</t>
  </si>
  <si>
    <t>2026-02-02 15:35:09</t>
  </si>
  <si>
    <t>G013-202602-018554-BIG</t>
  </si>
  <si>
    <t>2 box Brand Bakery Premium (keju, coklat Belgia, red velvet, dll)</t>
  </si>
  <si>
    <t>Zidant Fahrisky Mahasiswa Penelitian skripsi</t>
  </si>
  <si>
    <t>2026-02-02 21:07:06</t>
  </si>
  <si>
    <t>Esti Kusumastuti</t>
  </si>
  <si>
    <t xml:space="preserve">3174044706830008 </t>
  </si>
  <si>
    <t>2026-02-03 00:00:00</t>
  </si>
  <si>
    <t>Putri Nuraeni, SE</t>
  </si>
  <si>
    <t xml:space="preserve">3278046802960005 </t>
  </si>
  <si>
    <t>Kasub. Bag Umum dan Keuangan</t>
  </si>
  <si>
    <t>G013-202602-018648-BIG</t>
  </si>
  <si>
    <t>2026-02-04</t>
  </si>
  <si>
    <t>Virginia</t>
  </si>
  <si>
    <t>2026-02-05 18:45:13</t>
  </si>
  <si>
    <t>382 TAHUN 2026</t>
  </si>
  <si>
    <t>Martabak bolu</t>
  </si>
  <si>
    <t>G013-202602-018662-BIG</t>
  </si>
  <si>
    <t>Ketua, Wakil Ketua dan Para Hakim</t>
  </si>
  <si>
    <t>2026-02-07 11:20:21</t>
  </si>
  <si>
    <t>366 TAHUN 2026</t>
  </si>
  <si>
    <t>Novita Megawaty Aritonang</t>
  </si>
  <si>
    <t xml:space="preserve">1271035105930002 </t>
  </si>
  <si>
    <t>2026-02-09 00:00:00</t>
  </si>
  <si>
    <t>Among Tri Handayani</t>
  </si>
  <si>
    <t xml:space="preserve">3671110512820007 </t>
  </si>
  <si>
    <t>G013-202602-018693-BUK</t>
  </si>
  <si>
    <t>2026-02-10</t>
  </si>
  <si>
    <t>Sri Suhartanta</t>
  </si>
  <si>
    <t>2026-02-10 11:26:29</t>
  </si>
  <si>
    <t>ADHITYA MIZAR PRANATA</t>
  </si>
  <si>
    <t xml:space="preserve">3273121904930003 </t>
  </si>
  <si>
    <t>2026-02-11 00:00:00</t>
  </si>
  <si>
    <t>Syihabuddin</t>
  </si>
  <si>
    <t xml:space="preserve">3527030204792779 </t>
  </si>
  <si>
    <t>Badan Penelitian dan Pengembangan dan Pendidikan dan Pelatihan Hukum dan Peradilan/Pusat Pendidikan dan Pelatihan Tenaga Teknis Peradilan</t>
  </si>
  <si>
    <t>Pusat Pendidikan dan Pelatihan Tenaga Teknis Peradilan</t>
  </si>
  <si>
    <t>Satriyo Wiraningyudha Widi Purboyo</t>
  </si>
  <si>
    <t xml:space="preserve">3302271311900002 </t>
  </si>
  <si>
    <t>Pengadilan Tinggi Jawa tengah/Pengadilan Negeri Purwokerto</t>
  </si>
  <si>
    <t>Pengadilan Negeri Purwokerto</t>
  </si>
  <si>
    <t>Erwan, SH</t>
  </si>
  <si>
    <t xml:space="preserve">7471012010800002 </t>
  </si>
  <si>
    <t>G013-202602-018731-BIG</t>
  </si>
  <si>
    <t>2026-02-11</t>
  </si>
  <si>
    <t>jamaan elvi eluwus</t>
  </si>
  <si>
    <t>2026-02-12 08:58:10</t>
  </si>
  <si>
    <t>385 TAHUN 2026</t>
  </si>
  <si>
    <t>SURADI</t>
  </si>
  <si>
    <t xml:space="preserve">3310251110670004 </t>
  </si>
  <si>
    <t>Hakim Agung</t>
  </si>
  <si>
    <t>G013-202602-018738-BIG</t>
  </si>
  <si>
    <t>2026-02-12</t>
  </si>
  <si>
    <t>Origami Lantern (The Six-Foot Lane Folding Rotating Lamp)</t>
  </si>
  <si>
    <t>Ketua Kamar Pidana Mahkamah Agung China</t>
  </si>
  <si>
    <t>2026-02-12 14:01:27</t>
  </si>
  <si>
    <t>G013-202602-018752-BIG</t>
  </si>
  <si>
    <t>1 pcs Raket Tenis Wilson Rolland Garros Triumph</t>
  </si>
  <si>
    <t>Hapsari Handayani</t>
  </si>
  <si>
    <t>2026-02-12 17:12:40</t>
  </si>
  <si>
    <t>401 TAHUN 2026</t>
  </si>
  <si>
    <t>G013-202602-018753-BIG</t>
  </si>
  <si>
    <t>Pembayaran konsumsi/makan siang oleh Advokat di rumah makan.</t>
  </si>
  <si>
    <t>Jamaan Elvi Eluwis</t>
  </si>
  <si>
    <t>2026-02-12 19:15:31</t>
  </si>
  <si>
    <t>RA Asriningrum Kusumawardhani, SH.MH</t>
  </si>
  <si>
    <t xml:space="preserve">3404075912750007 </t>
  </si>
  <si>
    <t>G013-202602-018758-BIG</t>
  </si>
  <si>
    <t>Pempek</t>
  </si>
  <si>
    <t>Darlansyah</t>
  </si>
  <si>
    <t>2026-02-13 08:41:23</t>
  </si>
  <si>
    <t>G013-202602-018770-BIG</t>
  </si>
  <si>
    <t>2026-02-13</t>
  </si>
  <si>
    <t>Sri Mulyaningsih</t>
  </si>
  <si>
    <t>2026-02-13 11:54:06</t>
  </si>
  <si>
    <t>G013-202602-018781-BIG</t>
  </si>
  <si>
    <t>Raket Tenis Merek Wilson Clash</t>
  </si>
  <si>
    <t>2026-02-14 07:21:57</t>
  </si>
  <si>
    <t>2026-02-15 00:00:00</t>
  </si>
  <si>
    <t>M. Zaki Mubarok Panjaitan, S.Pd.I., S.H.I., M.H.</t>
  </si>
  <si>
    <t xml:space="preserve">1271152402840001 </t>
  </si>
  <si>
    <t>Pengadilan Tinggi Agama Medan/Pengadilan Agama Panyabungan</t>
  </si>
  <si>
    <t>G013-202602-018783-BIG</t>
  </si>
  <si>
    <t>Peci kopiah hitam</t>
  </si>
  <si>
    <t>2026-02-17 17:47:32</t>
  </si>
  <si>
    <t>438 TAHUN 2026</t>
  </si>
  <si>
    <t>Pengadilan Agama Panyabungan</t>
  </si>
  <si>
    <t>2026-01-19</t>
  </si>
  <si>
    <t>Ikan asap</t>
  </si>
  <si>
    <t>Rolin</t>
  </si>
  <si>
    <t>G013-202602-018785-BIG</t>
  </si>
  <si>
    <t>2026-02-18</t>
  </si>
  <si>
    <t>Tidak ada dikenal / Pihak Berkara</t>
  </si>
  <si>
    <t>2026-02-18 09:27:37</t>
  </si>
  <si>
    <t>451 TAHUN 2026</t>
  </si>
  <si>
    <t>G013-202602-018800-BIG</t>
  </si>
  <si>
    <t>Koperasi Kantor</t>
  </si>
  <si>
    <t>2026-02-19 09:27:06</t>
  </si>
  <si>
    <t>G013-202602-018798-BIG</t>
  </si>
  <si>
    <t>Paket Sembako</t>
  </si>
  <si>
    <t>2026-02-19 08:49:37</t>
  </si>
  <si>
    <t>nanda wulandari</t>
  </si>
  <si>
    <t xml:space="preserve">6371025901910007 </t>
  </si>
  <si>
    <t>Operator Layanan Penata Operasional</t>
  </si>
  <si>
    <t>G013-202602-018802-BIG</t>
  </si>
  <si>
    <t>koperasi bersama</t>
  </si>
  <si>
    <t>2026-02-19 09:36:11</t>
  </si>
  <si>
    <t>G013-202602-018801-BIG</t>
  </si>
  <si>
    <t>2026-02-19 09:34:47</t>
  </si>
  <si>
    <t>Eva Mazidatun Nimah</t>
  </si>
  <si>
    <t xml:space="preserve">3374135006980002 </t>
  </si>
  <si>
    <t>Pengolah Data dan Informasi</t>
  </si>
  <si>
    <t>G013-202602-018809-BIG</t>
  </si>
  <si>
    <t>2026-02-19 10:54:54</t>
  </si>
  <si>
    <t>G013-202602-018814-BIG</t>
  </si>
  <si>
    <t>PENGADILAN AGAMA BANJARMASIN</t>
  </si>
  <si>
    <t>2026-02-19 12:43:45</t>
  </si>
  <si>
    <t>2026-02-19 00:00:00</t>
  </si>
  <si>
    <t>G013-202602-018815-BIG</t>
  </si>
  <si>
    <t>2026-02-19 13:05:07</t>
  </si>
  <si>
    <t>G013-202602-018816-BIG</t>
  </si>
  <si>
    <t>2026-02-19 13:14:54</t>
  </si>
  <si>
    <t>G013-202602-018817-BIG</t>
  </si>
  <si>
    <t>2026-02-19 13:21:19</t>
  </si>
  <si>
    <t>Kartini</t>
  </si>
  <si>
    <t xml:space="preserve">6303034311730002 </t>
  </si>
  <si>
    <t>G013-202602-018818-BIG</t>
  </si>
  <si>
    <t>2026-02-19 13:28:13</t>
  </si>
  <si>
    <t>Eva Mayang Sari, SH</t>
  </si>
  <si>
    <t xml:space="preserve">6371026401720002 </t>
  </si>
  <si>
    <t>Analis Perkara Peardilan</t>
  </si>
  <si>
    <t>G013-202602-018820-BIG</t>
  </si>
  <si>
    <t>2026-02-19 13:33:30</t>
  </si>
  <si>
    <t>Maslian</t>
  </si>
  <si>
    <t xml:space="preserve">6303035003700007 </t>
  </si>
  <si>
    <t>Pengadministrasi Umum</t>
  </si>
  <si>
    <t>G013-202602-018821-BIG</t>
  </si>
  <si>
    <t>2026-02-19 13:35:38</t>
  </si>
  <si>
    <t>G013-202602-018824-BIG</t>
  </si>
  <si>
    <t>2026-02-19 13:50:35</t>
  </si>
  <si>
    <t>G013-202602-018834-BIG</t>
  </si>
  <si>
    <t>KOPERASI BERSAMA PENGADILAN AGAMA BANJARMASIN</t>
  </si>
  <si>
    <t>2026-02-20 09:08:36</t>
  </si>
  <si>
    <t>G013-202602-018836-BIG</t>
  </si>
  <si>
    <t>2026-02-20 09:12:12</t>
  </si>
  <si>
    <t>G013-202602-018837-BIG</t>
  </si>
  <si>
    <t>2026-02-20 09:16:28</t>
  </si>
  <si>
    <t>G013-202602-018838-BIG</t>
  </si>
  <si>
    <t>2026-02-20 09:21:45</t>
  </si>
  <si>
    <t>G013-202602-018839-BIG</t>
  </si>
  <si>
    <t>2026-02-20 09:26:05</t>
  </si>
  <si>
    <t>G013-202602-018840-BIG</t>
  </si>
  <si>
    <t>2026-02-20 09:29:35</t>
  </si>
  <si>
    <t>G013-202602-018841-BIG</t>
  </si>
  <si>
    <t>2026-02-20 09:34:08</t>
  </si>
  <si>
    <t>G013-202602-018842-BIG</t>
  </si>
  <si>
    <t>2026-02-20 09:38:00</t>
  </si>
  <si>
    <t>G013-202602-018843-BIG</t>
  </si>
  <si>
    <t>2026-02-20 09:43:05</t>
  </si>
  <si>
    <t>G013-202602-018844-BIG</t>
  </si>
  <si>
    <t>2026-02-20 09:46:53</t>
  </si>
  <si>
    <t>G013-202602-018845-BIG</t>
  </si>
  <si>
    <t>2026-02-20 09:52:18</t>
  </si>
  <si>
    <t>G013-202602-018849-BIG</t>
  </si>
  <si>
    <t>2026-02-20 09:56:32</t>
  </si>
  <si>
    <t>G013-202602-018853-BIG</t>
  </si>
  <si>
    <t>2026-02-20 10:06:19</t>
  </si>
  <si>
    <t>norhidayah, S.Sos</t>
  </si>
  <si>
    <t xml:space="preserve">6371014909820007 </t>
  </si>
  <si>
    <t>Kasubbag Umum dan Keuangan</t>
  </si>
  <si>
    <t>G013-202602-018854-BIG</t>
  </si>
  <si>
    <t>2026-02-20 10:09:18</t>
  </si>
  <si>
    <t>G013-202602-018856-BIG</t>
  </si>
  <si>
    <t>Koperasi Bersama Pengadilan Agama Banjarmasin</t>
  </si>
  <si>
    <t>2026-02-20 10:31:47</t>
  </si>
  <si>
    <t>Muhammad Muhaimin</t>
  </si>
  <si>
    <t xml:space="preserve">6371042809860004 </t>
  </si>
  <si>
    <t>Penata</t>
  </si>
  <si>
    <t>G013-202602-018869-BIG</t>
  </si>
  <si>
    <t>2026-02-20 14:55:55</t>
  </si>
  <si>
    <t>G013-202602-018873-BIG</t>
  </si>
  <si>
    <t>2026-02-05</t>
  </si>
  <si>
    <t>Bahan kain jumputan, jilbab, dan bahan kain kemeja</t>
  </si>
  <si>
    <t>PKK Kota Prabumulih</t>
  </si>
  <si>
    <t>2026-02-22 21:00:24</t>
  </si>
  <si>
    <t>520 TAHUN 2026</t>
  </si>
  <si>
    <t>G013-202602-018886-BIG</t>
  </si>
  <si>
    <t>Badan Pengawasan Mahkamah Agung RI</t>
  </si>
  <si>
    <t>2026-02-23 13:27:48</t>
  </si>
  <si>
    <t>Seprai</t>
  </si>
  <si>
    <t>Suradi SH.,Sos., M.Hum</t>
  </si>
  <si>
    <t>Junita Pancawati, S.H., M.H.</t>
  </si>
  <si>
    <t xml:space="preserve">3271065206770016 </t>
  </si>
  <si>
    <t>G013-202602-018889-BUK</t>
  </si>
  <si>
    <t>Agung Sugiharto, S.Kom., M.H.</t>
  </si>
  <si>
    <t>2026-02-23 14:40:33</t>
  </si>
  <si>
    <t>518 TAHUN 2026</t>
  </si>
  <si>
    <t>G013-202602-018896-BIG</t>
  </si>
  <si>
    <t>2026-02-17</t>
  </si>
  <si>
    <t>Uang Saku Dan Transport</t>
  </si>
  <si>
    <t>Kementerian Agama Provinsi Kalimantan Selatan</t>
  </si>
  <si>
    <t>2026-02-24 10:15:29</t>
  </si>
  <si>
    <t>522 TAHUN 2026</t>
  </si>
  <si>
    <t>G013-202602-018897-BIG</t>
  </si>
  <si>
    <t>KEMENTERIAN AGAMA KANTOR WILAYAH PROVINSI KALIMANTAN SELATAN</t>
  </si>
  <si>
    <t>2026-02-24 10:44:25</t>
  </si>
  <si>
    <t>521 TAHUN 2026</t>
  </si>
  <si>
    <t>Kiki Muhamad Zikri</t>
  </si>
  <si>
    <t xml:space="preserve">3172032703831001 </t>
  </si>
  <si>
    <t>G013-202602-018952-BIG</t>
  </si>
  <si>
    <t>2026-02-27</t>
  </si>
  <si>
    <t>Mangkuk plastik kecil dan makanan ringan</t>
  </si>
  <si>
    <t>Peserta PKL Siswa SMK Cihampelas</t>
  </si>
  <si>
    <t>2026-02-27 13:47:04</t>
  </si>
  <si>
    <t>G013-202603-019185-BIG</t>
  </si>
  <si>
    <t>tumbler dan kalender 2026</t>
  </si>
  <si>
    <t>CV. FORTE</t>
  </si>
  <si>
    <t>2026-03-12 11:13:44</t>
  </si>
  <si>
    <t>G013-202602-018958-BIG</t>
  </si>
  <si>
    <t>Mangkuk</t>
  </si>
  <si>
    <t>Siswa PKL SMK 11 Bandung</t>
  </si>
  <si>
    <t>2026-02-27 14:54:07</t>
  </si>
  <si>
    <t>499 TAHUN 2026</t>
  </si>
  <si>
    <t>Gelas Kopi</t>
  </si>
  <si>
    <t>Siswa SMK Bina Putra</t>
  </si>
  <si>
    <t>2026-01-27</t>
  </si>
  <si>
    <t>Gelas, Buku Catatan dan Kipas tangan</t>
  </si>
  <si>
    <t>Pimpinan STAI Siliwangi Kota Cimahi</t>
  </si>
  <si>
    <t>G013-202603-019184-BIG</t>
  </si>
  <si>
    <t>Batik Khas Bantul</t>
  </si>
  <si>
    <t>Muntolib, S.Ag., M.S.I.</t>
  </si>
  <si>
    <t>2026-03-12 11:13:32</t>
  </si>
  <si>
    <t>2026-02-14</t>
  </si>
  <si>
    <t>Pouch</t>
  </si>
  <si>
    <t>Dekan Fakultas Hukum UGM</t>
  </si>
  <si>
    <t>Salasti Faridatun Hasanah</t>
  </si>
  <si>
    <t xml:space="preserve">1805294604970001 </t>
  </si>
  <si>
    <t>2026-03-02 00:00:00</t>
  </si>
  <si>
    <t>Uswatun Hasanah</t>
  </si>
  <si>
    <t xml:space="preserve">3301105308790002 </t>
  </si>
  <si>
    <t>Pengadilan Tinggi Agama Bandar Lampung/Pengadilan Agama Blambangan Umpu</t>
  </si>
  <si>
    <t>G013-202603-018971-BIG</t>
  </si>
  <si>
    <t>Kurma Sukari 3 Kg</t>
  </si>
  <si>
    <t>Ayu Asalasiyah</t>
  </si>
  <si>
    <t>2026-03-02 09:20:42</t>
  </si>
  <si>
    <t>Pengadilan Agama Blambangan Umpu</t>
  </si>
  <si>
    <t>G013-202603-018977-BIG</t>
  </si>
  <si>
    <t>2026-02-25</t>
  </si>
  <si>
    <t>40 paket terasi perkiraan senilai 1 jt</t>
  </si>
  <si>
    <t>M. Nur Kholis, S.H., M.H.</t>
  </si>
  <si>
    <t>2026-03-02 10:58:38</t>
  </si>
  <si>
    <t>G013-202603-018983-BIG</t>
  </si>
  <si>
    <t>2026-02-20</t>
  </si>
  <si>
    <t>Parcel makanan dengan masa daluwarsa</t>
  </si>
  <si>
    <t>Kodim 0717 Grobogan</t>
  </si>
  <si>
    <t>2026-03-02 16:40:44</t>
  </si>
  <si>
    <t>G013-202603-018984-BIG</t>
  </si>
  <si>
    <t>2026-03-02</t>
  </si>
  <si>
    <t>Stefanus Juarto</t>
  </si>
  <si>
    <t>2026-03-02 16:48:48</t>
  </si>
  <si>
    <t>519 TAHUN 2026</t>
  </si>
  <si>
    <t>G013-202603-019013-BIG</t>
  </si>
  <si>
    <t>Plakat Akrilik berwarna merah berdimensi 20 cm x 3 cm x 7 cm</t>
  </si>
  <si>
    <t>Badan Peradilan Agama Mahkamah Agung RI</t>
  </si>
  <si>
    <t>2026-03-04 15:13:33</t>
  </si>
  <si>
    <t>Cenderamata berbentuk tas tangan terbuat dari kulit berdimensi 3 cm x 20 cm x 10 cm</t>
  </si>
  <si>
    <t>G013-202603-019020-BUG</t>
  </si>
  <si>
    <t>2026-03-04</t>
  </si>
  <si>
    <t>Riana</t>
  </si>
  <si>
    <t>2026-03-05 08:26:14</t>
  </si>
  <si>
    <t>Yunianto Agung Nurcahyo</t>
  </si>
  <si>
    <t xml:space="preserve">9171012406790008 </t>
  </si>
  <si>
    <t>Pengadilan Negeri Pasangkayu /</t>
  </si>
  <si>
    <t>G013-202603-019024-BUK</t>
  </si>
  <si>
    <t>2026-03-03</t>
  </si>
  <si>
    <t>Hampers berisi snack dan kue lebaran</t>
  </si>
  <si>
    <t>Lekol Arh Imam Hanafi</t>
  </si>
  <si>
    <t>2026-03-05 10:04:28</t>
  </si>
  <si>
    <t>G013-202603-019025-BIG</t>
  </si>
  <si>
    <t>PT. Gmedia</t>
  </si>
  <si>
    <t>2026-03-05 11:26:27</t>
  </si>
  <si>
    <t>G013-202603-019026-BIG</t>
  </si>
  <si>
    <t>Handbag</t>
  </si>
  <si>
    <t>PT Gmedia</t>
  </si>
  <si>
    <t>2026-03-05 11:35:47</t>
  </si>
  <si>
    <t>G013-202603-019027-BIG</t>
  </si>
  <si>
    <t>Pena</t>
  </si>
  <si>
    <t>2026-03-05 11:37:41</t>
  </si>
  <si>
    <t>Ali Akbarul Falah</t>
  </si>
  <si>
    <t xml:space="preserve">1602052705850008 </t>
  </si>
  <si>
    <t>Direktorat Jenderal Badan Peradilan Agama/Pengadilan Tinggi Agama Palu</t>
  </si>
  <si>
    <t>G013-202603-019028-BIG</t>
  </si>
  <si>
    <t>2026-03-05</t>
  </si>
  <si>
    <t>Berisi Kurma Merk Ajwa Almadina Organic Premium</t>
  </si>
  <si>
    <t>Pimpinan Cabang</t>
  </si>
  <si>
    <t>2026-03-05 12:42:51</t>
  </si>
  <si>
    <t>G013-202603-019037-BIG</t>
  </si>
  <si>
    <t>2026-03-06 06:15:36</t>
  </si>
  <si>
    <t>G013-202603-019040-BIG</t>
  </si>
  <si>
    <t>Aini - Sales Manager PT JLM</t>
  </si>
  <si>
    <t>2026-03-06 08:27:01</t>
  </si>
  <si>
    <t>Ahmad Miftahul Huda</t>
  </si>
  <si>
    <t xml:space="preserve">3571011404880007 </t>
  </si>
  <si>
    <t>Penata layanan operasional</t>
  </si>
  <si>
    <t>2026-03-06 00:00:00</t>
  </si>
  <si>
    <t>ASYROF SYARIFUDDIN</t>
  </si>
  <si>
    <t xml:space="preserve">3320112706800003 </t>
  </si>
  <si>
    <t>Pengadilan Tinggi Agama Padang/Pengadilan Agama Sawah LUNTO</t>
  </si>
  <si>
    <t>G013-202603-019042-BIG</t>
  </si>
  <si>
    <t>Voucher Iftar Ramadhan</t>
  </si>
  <si>
    <t>Saka Ombilin Heritage Hotel</t>
  </si>
  <si>
    <t>2026-03-06 09:58:50</t>
  </si>
  <si>
    <t>501 TAHUN 2026</t>
  </si>
  <si>
    <t>Pengadilan Agama Sawah LUNTO</t>
  </si>
  <si>
    <t>G013-202603-019051-BIG</t>
  </si>
  <si>
    <t>2026-03-06</t>
  </si>
  <si>
    <t>Hampers Bingkisan Lebaran</t>
  </si>
  <si>
    <t>Aini</t>
  </si>
  <si>
    <t>2026-03-06 22:19:01</t>
  </si>
  <si>
    <t>G013-202603-019052-BIG</t>
  </si>
  <si>
    <t>2026-03-07</t>
  </si>
  <si>
    <t>PARSEL BERUPA KUE KERING DIDALAM TOPLES</t>
  </si>
  <si>
    <t>Letkol Czi Bayu Nugroho</t>
  </si>
  <si>
    <t>2026-03-07 01:03:08</t>
  </si>
  <si>
    <t>G013-202603-019056-BIG</t>
  </si>
  <si>
    <t>Dua minuman kaleng dan dua botol sirup marjan</t>
  </si>
  <si>
    <t>Masruri</t>
  </si>
  <si>
    <t>2026-03-07 15:49:44</t>
  </si>
  <si>
    <t>G013-202603-019060-BIG</t>
  </si>
  <si>
    <t>Tumbler Vacuum</t>
  </si>
  <si>
    <t>Kepala Bank BSI KCP Sipirok</t>
  </si>
  <si>
    <t>2026-03-09 10:05:43</t>
  </si>
  <si>
    <t>G013-202603-019159-BIG</t>
  </si>
  <si>
    <t>2026-03-09</t>
  </si>
  <si>
    <t>1 krat minuman kaleng coca cola</t>
  </si>
  <si>
    <t>Charlie Nobel, S.H., M.H.</t>
  </si>
  <si>
    <t>2026-03-11 16:30:59</t>
  </si>
  <si>
    <t>G013-202603-019075-BIG</t>
  </si>
  <si>
    <t>2026-03-09 23:04:48</t>
  </si>
  <si>
    <t>ABDULLAH MAHRUS</t>
  </si>
  <si>
    <t xml:space="preserve">7305072807790001 </t>
  </si>
  <si>
    <t>Pengadilan Tinggi Jawa Barat/Pengadilan Negeri Cibinong</t>
  </si>
  <si>
    <t>G013-202603-019074-BIG</t>
  </si>
  <si>
    <t>Makanan kue kering</t>
  </si>
  <si>
    <t>Rekan Hakim</t>
  </si>
  <si>
    <t>2026-03-09 22:04:12</t>
  </si>
  <si>
    <t>Pengadilan Negeri Cibinong</t>
  </si>
  <si>
    <t>G013-202603-019098-BIG</t>
  </si>
  <si>
    <t>Buku Agenda ukuran A5 dan bolpoint</t>
  </si>
  <si>
    <t>Panitia Rapat Koordinasi</t>
  </si>
  <si>
    <t>2026-03-10 12:30:01</t>
  </si>
  <si>
    <t>G013-202603-019099-BIG</t>
  </si>
  <si>
    <t>2026-03-10</t>
  </si>
  <si>
    <t>Tote bag belogo pegadaian berisi kalender berlogo pegadaian dan buku catatan</t>
  </si>
  <si>
    <t>2026-03-10 12:45:17</t>
  </si>
  <si>
    <t>G013-202603-019137-BIG</t>
  </si>
  <si>
    <t>Makanan berupa roti kaleng dan minuman</t>
  </si>
  <si>
    <t>2026-03-11 11:07:57</t>
  </si>
  <si>
    <t>G013-202603-019108-BIG</t>
  </si>
  <si>
    <t>Hampers berisi piring gelas toples tanpa merek</t>
  </si>
  <si>
    <t>2026-03-10 18:57:46</t>
  </si>
  <si>
    <t>Yuniati Faizah</t>
  </si>
  <si>
    <t xml:space="preserve">3471135406690002 </t>
  </si>
  <si>
    <t>Ketua Pengadilan Agama Sleman</t>
  </si>
  <si>
    <t>G013-202603-019113-BIG</t>
  </si>
  <si>
    <t>Cangkir set</t>
  </si>
  <si>
    <t>Fakultas  Syariah dan Hukum</t>
  </si>
  <si>
    <t>2026-03-11 08:19:51</t>
  </si>
  <si>
    <t>538 TAHUN 2026</t>
  </si>
  <si>
    <t>G013-202604-020024-BIG</t>
  </si>
  <si>
    <t>Kalender, Buku, Pena, Tumbler dan Payung</t>
  </si>
  <si>
    <t>GMEDIA</t>
  </si>
  <si>
    <t>2026-04-07 13:12:19</t>
  </si>
  <si>
    <t>Paket Sembako Hari Raya</t>
  </si>
  <si>
    <t>BRI Katamso</t>
  </si>
  <si>
    <t>G013-202603-019135-BUK</t>
  </si>
  <si>
    <t>Hampers berisi snack dan minuman</t>
  </si>
  <si>
    <t>Bagus Budi Anggara, S.Si., M.AP (Kepala BPN Pasangkayu)</t>
  </si>
  <si>
    <t>2026-03-11 11:00:09</t>
  </si>
  <si>
    <t>Ermanita Alfiah</t>
  </si>
  <si>
    <t xml:space="preserve">1606015803830001 </t>
  </si>
  <si>
    <t>Ketua Pengadilan Agama Mukomuko</t>
  </si>
  <si>
    <t>G013-202603-019142-BIG</t>
  </si>
  <si>
    <t>2026-03-11</t>
  </si>
  <si>
    <t>Parcel piring dan mangkok</t>
  </si>
  <si>
    <t>Bank syariah Indonesia</t>
  </si>
  <si>
    <t>2026-03-11 12:28:49</t>
  </si>
  <si>
    <t>517 TAHUN 2026</t>
  </si>
  <si>
    <t>Abdurrahman</t>
  </si>
  <si>
    <t xml:space="preserve">6303022012760004 </t>
  </si>
  <si>
    <t>Pengadilan Tinggi Agama Samarinda/Pengadilan Agama Tanjung Selor</t>
  </si>
  <si>
    <t>G013-202603-019186-BIG</t>
  </si>
  <si>
    <t>Parsel berisi kue, pecah belah berupa set piring dan gelas, toples serta pewangi ruangan</t>
  </si>
  <si>
    <t>Pimpinan BRI Kantor Cabang Tanjung Selor Kalimantan Utara</t>
  </si>
  <si>
    <t>2026-03-12 11:26:34</t>
  </si>
  <si>
    <t>Pengadilan Agama Tanjung Selor</t>
  </si>
  <si>
    <t>G013-202603-019145-BIG</t>
  </si>
  <si>
    <t>BSI KCP Batulicin</t>
  </si>
  <si>
    <t>2026-03-11 13:18:09</t>
  </si>
  <si>
    <t>Lilis Warni Gea</t>
  </si>
  <si>
    <t xml:space="preserve">1201036712970007 </t>
  </si>
  <si>
    <t>Dokumentalis Hukum</t>
  </si>
  <si>
    <t>Pengadilan Tinggi Palu/Pengadilan Negeri Buol</t>
  </si>
  <si>
    <t>G013-202603-019148-BIG</t>
  </si>
  <si>
    <t>Makanan Berupa Buah-buahan</t>
  </si>
  <si>
    <t>Kepala Cabang BRI Buol</t>
  </si>
  <si>
    <t>2026-03-11 13:51:59</t>
  </si>
  <si>
    <t>Pengadilan Negeri Buol</t>
  </si>
  <si>
    <t>Ofiq Taofiqurahman</t>
  </si>
  <si>
    <t xml:space="preserve">3207313005790001 </t>
  </si>
  <si>
    <t>G013-202603-019154-BIG</t>
  </si>
  <si>
    <t>Dinner Set 3 in 1 Merk Oppetite sebanyak 1 set dan French Press Coffee Maker Merk one two cups 350ML sebanyak 2 pcs</t>
  </si>
  <si>
    <t>PT. AMARTA GLOBAL SERVICE</t>
  </si>
  <si>
    <t>2026-03-11 14:55:12</t>
  </si>
  <si>
    <t>541 TAHUN 2026</t>
  </si>
  <si>
    <t>Mug Merk Amarta Global Service sebanyak 2 pcs</t>
  </si>
  <si>
    <t>Makanan (Kue) toples kecil sebanyak 4 pcs</t>
  </si>
  <si>
    <t>G013-202603-019157-BIG</t>
  </si>
  <si>
    <t>Coffee Maker dan Coffee Set (gelas dll)</t>
  </si>
  <si>
    <t>Septian</t>
  </si>
  <si>
    <t>2026-03-11 15:49:26</t>
  </si>
  <si>
    <t>Juan Maulana Alfedo</t>
  </si>
  <si>
    <t xml:space="preserve">3522082606990003 </t>
  </si>
  <si>
    <t>2026-03-12 00:00:00</t>
  </si>
  <si>
    <t>G013-202603-019183-BIG</t>
  </si>
  <si>
    <t>RINDA RAGIEL</t>
  </si>
  <si>
    <t>2026-03-12 11:10:50</t>
  </si>
  <si>
    <t>616 TAHUN 2026</t>
  </si>
  <si>
    <t>Siti Juwariyah</t>
  </si>
  <si>
    <t xml:space="preserve">3321136501800002 </t>
  </si>
  <si>
    <t>G013-202603-019244-BIG</t>
  </si>
  <si>
    <t>Parsel kue lebaran</t>
  </si>
  <si>
    <t>BRI Tabanan</t>
  </si>
  <si>
    <t>2026-03-13 10:11:07</t>
  </si>
  <si>
    <t>Sri Rizki Dwi Putri, S.H.,M.H</t>
  </si>
  <si>
    <t xml:space="preserve">1671075212850015 </t>
  </si>
  <si>
    <t>Pengadilan Tinggi Agama Jambi/Pengadilan Agama Kuala Tungkal</t>
  </si>
  <si>
    <t>G013-202603-019190-BIG</t>
  </si>
  <si>
    <t>Parsel berisi piring gelas dan toples</t>
  </si>
  <si>
    <t>Hamdani, SE</t>
  </si>
  <si>
    <t>2026-03-12 12:27:36</t>
  </si>
  <si>
    <t>Pengadilan Agama Kuala Tungkal</t>
  </si>
  <si>
    <t>G013-202603-019191-BIG</t>
  </si>
  <si>
    <t>2026-03-12</t>
  </si>
  <si>
    <t>Taufan, SE</t>
  </si>
  <si>
    <t>2026-03-12 12:34:51</t>
  </si>
  <si>
    <t>Sinung Bagas Pramuaji</t>
  </si>
  <si>
    <t xml:space="preserve">3311042407980001 </t>
  </si>
  <si>
    <t>Anis Aprilia</t>
  </si>
  <si>
    <t xml:space="preserve">3323086404940002 </t>
  </si>
  <si>
    <t>G013-202603-019196-BIG</t>
  </si>
  <si>
    <t>Parcel snack</t>
  </si>
  <si>
    <t>Mewikristya</t>
  </si>
  <si>
    <t>2026-03-12 13:21:59</t>
  </si>
  <si>
    <t>G013-202603-019199-BIG</t>
  </si>
  <si>
    <t>2026-02-26</t>
  </si>
  <si>
    <t>Putra Jody Susetyo, S.I.A.</t>
  </si>
  <si>
    <t>2026-03-12 13:54:46</t>
  </si>
  <si>
    <t>Bagoes Kharisma Akbar</t>
  </si>
  <si>
    <t xml:space="preserve">3204101808930002 </t>
  </si>
  <si>
    <t>Pengadilan Tinggi Agama Medan/Pengadilan Agama Tanjung Balai</t>
  </si>
  <si>
    <t>Pengadilan Agama Tanjung Balai</t>
  </si>
  <si>
    <t>Khairul</t>
  </si>
  <si>
    <t xml:space="preserve">7371031311790012 </t>
  </si>
  <si>
    <t>G013-202603-019205-BIG</t>
  </si>
  <si>
    <t>Gelas dan piring jamuan makan 1 set</t>
  </si>
  <si>
    <t>AKBP Anggi Saputra Ibrahim, S.H., S.I.K., M.H</t>
  </si>
  <si>
    <t>2026-03-12 14:22:42</t>
  </si>
  <si>
    <t>G013-202603-019221-BIG</t>
  </si>
  <si>
    <t>2026-02-24</t>
  </si>
  <si>
    <t>cangkir set merk sango warna ungu</t>
  </si>
  <si>
    <t>Dekan Fakultas Syariah dan Hukum</t>
  </si>
  <si>
    <t>2026-03-12 16:18:38</t>
  </si>
  <si>
    <t>G013-202603-019226-BIG</t>
  </si>
  <si>
    <t>Sarung merek Howel &amp; Co, Biskuit Butter Cookies, Sirup Marjan, dan Wafer Selamat</t>
  </si>
  <si>
    <t>Ibu Rochmah dan Pak dr. Heri Susanto, Sp.OG</t>
  </si>
  <si>
    <t>2026-03-12 23:36:58</t>
  </si>
  <si>
    <t>T-Shirt merek Hammer</t>
  </si>
  <si>
    <t>RATNA MUTIA RINANTI, S.H., M.Hum.</t>
  </si>
  <si>
    <t>2026-03-13 00:00:00</t>
  </si>
  <si>
    <t>kurnia fitrianingsih</t>
  </si>
  <si>
    <t xml:space="preserve">3471054802810001 </t>
  </si>
  <si>
    <t>G013-202603-019233-BIG</t>
  </si>
  <si>
    <t>Parsel lebaran berisi makanan, sirup dan cangkir serta alasnya</t>
  </si>
  <si>
    <t>Haidir Rahman, S.H., M.H</t>
  </si>
  <si>
    <t>2026-03-13 08:41:59</t>
  </si>
  <si>
    <t>Fadillah Usman, S.H., M.H.</t>
  </si>
  <si>
    <t xml:space="preserve">1871101301920002 </t>
  </si>
  <si>
    <t>Pengadilan Tinggi Jambi/Pengadilan Negeri Tebo</t>
  </si>
  <si>
    <t>G013-202603-019234-BIG</t>
  </si>
  <si>
    <t>PARCEL LEBARAN DENGAN ISI 1 SET GELAS PECAH BELAH DAN MAKANAN</t>
  </si>
  <si>
    <t>Jaksa pada Kejaksaan Negeri Tebo</t>
  </si>
  <si>
    <t>2026-03-13 08:54:26</t>
  </si>
  <si>
    <t>613 TAHUN 2026</t>
  </si>
  <si>
    <t>Pengadilan Negeri Tebo</t>
  </si>
  <si>
    <t>G013-202603-019235-BIG</t>
  </si>
  <si>
    <t>DEWI ASRI YUNIAWATI, S.H.</t>
  </si>
  <si>
    <t>2026-03-13 09:01:54</t>
  </si>
  <si>
    <t>G013-202603-019241-BIG</t>
  </si>
  <si>
    <t>KUE KERING</t>
  </si>
  <si>
    <t>Titis Ajeng Ganis Mareti, S.T.</t>
  </si>
  <si>
    <t>2026-03-13 09:49:40</t>
  </si>
  <si>
    <t>Pengadilan Tinggi Palembang/Pengadilan Negeri Prabumulih</t>
  </si>
  <si>
    <t>G013-202603-019243-BIG</t>
  </si>
  <si>
    <t>minuman kaleng merk Panda 10 karton</t>
  </si>
  <si>
    <t>AKP Muhamad Arafah SH</t>
  </si>
  <si>
    <t>2026-03-13 10:04:52</t>
  </si>
  <si>
    <t>Pengadilan Negeri Prabumulih</t>
  </si>
  <si>
    <t>G013-202603-019240-BIG</t>
  </si>
  <si>
    <t>Kristanti Yuni Purnawanti, S.H., M.H.</t>
  </si>
  <si>
    <t>2026-03-13 09:49:22</t>
  </si>
  <si>
    <t>Rahmawati Wahyu Saptaningtias</t>
  </si>
  <si>
    <t xml:space="preserve">3404116908770002 </t>
  </si>
  <si>
    <t>wakil ketua pengadilan negeri kelas II</t>
  </si>
  <si>
    <t>G013-202603-019273-BIG</t>
  </si>
  <si>
    <t>parcel berisi pecah belah</t>
  </si>
  <si>
    <t>Kasi Pidum Kejari Bangka Belitung Timur</t>
  </si>
  <si>
    <t>2026-03-13 15:02:10</t>
  </si>
  <si>
    <t>617 TAHUN 2026</t>
  </si>
  <si>
    <t>G013-202603-019249-BIG</t>
  </si>
  <si>
    <t>1 set piring, gelas dan kue kering dalam satu paket parcel</t>
  </si>
  <si>
    <t>Vinanda Prameswati, S.H., M.Kn..</t>
  </si>
  <si>
    <t>2026-03-13 10:52:15</t>
  </si>
  <si>
    <t>Wiryawan Arif, S.H.I., M.H.</t>
  </si>
  <si>
    <t xml:space="preserve">6203010712810008 </t>
  </si>
  <si>
    <t>Ketua Pengadilan Agama Pulang Pisau</t>
  </si>
  <si>
    <t>G013-202603-019254-BIG</t>
  </si>
  <si>
    <t>Parcel Hari Raya berupa beberapa piring, cangkir set, coffee maker dan trolly</t>
  </si>
  <si>
    <t>Komandan Distrik Militer (KODIM)</t>
  </si>
  <si>
    <t>2026-03-13 11:25:46</t>
  </si>
  <si>
    <t>559 TAHUN 2026</t>
  </si>
  <si>
    <t>Endang Winarni, S.H.</t>
  </si>
  <si>
    <t xml:space="preserve">3402075508680002 </t>
  </si>
  <si>
    <t>G013-202603-019253-BIG</t>
  </si>
  <si>
    <t>Mahasiswa magang</t>
  </si>
  <si>
    <t>2026-03-13 11:20:25</t>
  </si>
  <si>
    <t>586 TAHUN 2026</t>
  </si>
  <si>
    <t>G013-202603-019259-BIG</t>
  </si>
  <si>
    <t>Parcel bingkisan makanan</t>
  </si>
  <si>
    <t>Katino, A.Md,</t>
  </si>
  <si>
    <t>2026-03-13 13:29:11</t>
  </si>
  <si>
    <t>G013-202605-020549-BIG</t>
  </si>
  <si>
    <t>2026-05-06 10:06:23</t>
  </si>
  <si>
    <t>G013-202603-019267-BIG</t>
  </si>
  <si>
    <t>PAKET PARCEL BERUPA SATU SET CANGKIR DAN PIRING</t>
  </si>
  <si>
    <t>MUHAMMAD YAMIN (WALI KOTA BANJARMASIN)</t>
  </si>
  <si>
    <t>2026-03-13 14:27:35</t>
  </si>
  <si>
    <t>615 TAHUN 2026</t>
  </si>
  <si>
    <t>G013-202603-019295-BIG</t>
  </si>
  <si>
    <t>BTN kota pangkalpinang</t>
  </si>
  <si>
    <t>2026-03-14 07:20:18</t>
  </si>
  <si>
    <t>Rizky Heber</t>
  </si>
  <si>
    <t xml:space="preserve">3306092306870004 </t>
  </si>
  <si>
    <t>G013-202603-019296-BIG</t>
  </si>
  <si>
    <t>Hampers berisi Sirup, Biskuit, Snack, Gula, Kopi</t>
  </si>
  <si>
    <t>Dewi Asri, SH.. (Jaksa Penuntut Umum)</t>
  </si>
  <si>
    <t>2026-03-14 09:08:14</t>
  </si>
  <si>
    <t>G013-202603-019301-BIG</t>
  </si>
  <si>
    <t>2026-03-14</t>
  </si>
  <si>
    <t>Berupa snack, nasikotak, sertifikat dan plakat</t>
  </si>
  <si>
    <t>Udayana Moot Court Community</t>
  </si>
  <si>
    <t>2026-03-15 07:13:57</t>
  </si>
  <si>
    <t>G013-202603-019302-BIG</t>
  </si>
  <si>
    <t>Bupati Grobogan</t>
  </si>
  <si>
    <t>2026-03-15 09:58:58</t>
  </si>
  <si>
    <t>Nusra Arini Lubis</t>
  </si>
  <si>
    <t xml:space="preserve">3275126812860004 </t>
  </si>
  <si>
    <t>Ketua Pengadilan Agama Tanjungbalai</t>
  </si>
  <si>
    <t>G013-202603-019333-BIG</t>
  </si>
  <si>
    <t>BERBENTUK BINGKISAN/PARCEL YANG TERDIRI DARI BARANG PECAH BELAH DAN MAKANAN DENGAN MASA BERLAKU</t>
  </si>
  <si>
    <t>BSI KCP TANJUNGBALAI</t>
  </si>
  <si>
    <t>2026-03-16 10:07:24</t>
  </si>
  <si>
    <t>PARCEL YANG TERDIRI DARI BARANG PECAH BELAH</t>
  </si>
  <si>
    <t>BRI KC TANJUNGBALAI</t>
  </si>
  <si>
    <t>Ikin, S.Ag</t>
  </si>
  <si>
    <t xml:space="preserve">1802041605720002 </t>
  </si>
  <si>
    <t>G013-202603-019345-BUG</t>
  </si>
  <si>
    <t>Kapolres Batang</t>
  </si>
  <si>
    <t>2026-03-16 11:21:20</t>
  </si>
  <si>
    <t>668 TAHUN 2026</t>
  </si>
  <si>
    <t>G013-202603-019323-BIG</t>
  </si>
  <si>
    <t>Parcel yang berisi 1 kg gula, 1 ltr minyak goreng, 1 kantong skm (350 ml) 1 botol sirup ABC, 1 kaleng wafer tenggo dan 1 bungkus keripik kentang</t>
  </si>
  <si>
    <t>Pimpinan RBH AFTA</t>
  </si>
  <si>
    <t>2026-03-16 09:18:52</t>
  </si>
  <si>
    <t>G013-202603-019338-BIG</t>
  </si>
  <si>
    <t>septian dwi putra, SH</t>
  </si>
  <si>
    <t>2026-03-16 10:23:45</t>
  </si>
  <si>
    <t>G013-202603-019342-BIG</t>
  </si>
  <si>
    <t>Plt. Walikota Madiun</t>
  </si>
  <si>
    <t>2026-03-16 11:10:08</t>
  </si>
  <si>
    <t>Warsito</t>
  </si>
  <si>
    <t xml:space="preserve">3577010202760001 </t>
  </si>
  <si>
    <t>Ketua Pengadilan Negeri Sumenep</t>
  </si>
  <si>
    <t>Pengadilan Tinggi Surabaya/Pengadilan Negeri Sumenep</t>
  </si>
  <si>
    <t>G013-202603-019331-BUK</t>
  </si>
  <si>
    <t>Parcel lebaran berisi kue kering</t>
  </si>
  <si>
    <t>Achmad Fauzi</t>
  </si>
  <si>
    <t>2026-03-16 09:54:45</t>
  </si>
  <si>
    <t>Pengadilan Negeri Sumenep</t>
  </si>
  <si>
    <t>G013-202603-019346-BUG</t>
  </si>
  <si>
    <t>Maesaroh</t>
  </si>
  <si>
    <t>2026-03-16 11:21:30</t>
  </si>
  <si>
    <t>Lia Auliyah</t>
  </si>
  <si>
    <t xml:space="preserve">3204054201840011 </t>
  </si>
  <si>
    <t>G013-202603-019347-BUG</t>
  </si>
  <si>
    <t>4 Kue Lebaran dan 1 Botol Minuman</t>
  </si>
  <si>
    <t>2026-03-16 11:21:42</t>
  </si>
  <si>
    <t>G013-202603-019500-BIG</t>
  </si>
  <si>
    <t>2026-03-16</t>
  </si>
  <si>
    <t>2026-03-17 20:50:49</t>
  </si>
  <si>
    <t>Kepala Kantor Pertanahan Kabupaten Pacitan</t>
  </si>
  <si>
    <t>2026-03-17</t>
  </si>
  <si>
    <t>Bingkisan Hari Raya Idul Fitri yang setiap tahunnya yang juga diberikan</t>
  </si>
  <si>
    <t>G013-202603-019348-BIG</t>
  </si>
  <si>
    <t>Kalapas Kelas I Madiun</t>
  </si>
  <si>
    <t>2026-03-16 11:33:56</t>
  </si>
  <si>
    <t>G013-202603-019349-BIG</t>
  </si>
  <si>
    <t>2026-03-15</t>
  </si>
  <si>
    <t>Piring, gelas, mangkuk dan nampan porselen</t>
  </si>
  <si>
    <t>Kapolresta Madiun</t>
  </si>
  <si>
    <t>2026-03-16 11:45:28</t>
  </si>
  <si>
    <t>G013-202603-019351-BIG</t>
  </si>
  <si>
    <t>Barang Pecah Belah</t>
  </si>
  <si>
    <t>2026-03-16 12:04:19</t>
  </si>
  <si>
    <t>G013-202603-019369-BIG</t>
  </si>
  <si>
    <t>Piring, sendok dan garpu</t>
  </si>
  <si>
    <t>2026-03-16 14:33:59</t>
  </si>
  <si>
    <t>G013-202603-019370-BIG</t>
  </si>
  <si>
    <t>1 Piring, 2 mangkok, 1 teko, 2 cangkir</t>
  </si>
  <si>
    <t>2026-03-16 14:34:10</t>
  </si>
  <si>
    <t>Makanan dan minuman kemasan</t>
  </si>
  <si>
    <t>G013-202603-019374-BIG</t>
  </si>
  <si>
    <t>barang pecah belah 5 set cangkir dan 1 teko keramik</t>
  </si>
  <si>
    <t>Dandim 0210 Tapanuli Utara</t>
  </si>
  <si>
    <t>2026-03-16 14:47:45</t>
  </si>
  <si>
    <t>2026-03-16 00:00:00</t>
  </si>
  <si>
    <t>G013-202603-019378-BIG</t>
  </si>
  <si>
    <t>3 Kg Beras, 2 Liter Minyak  Bimoli, 1 Kg Gula Rose Brand, 3 biji Indomie</t>
  </si>
  <si>
    <t>Valeanto Soekendro  Sekretaris Daerah Kabupaten Semarang</t>
  </si>
  <si>
    <t>2026-03-16 14:59:19</t>
  </si>
  <si>
    <t>G013-202603-019383-BIG</t>
  </si>
  <si>
    <t>Novi Nuradhayanti</t>
  </si>
  <si>
    <t>2026-03-16 16:08:30</t>
  </si>
  <si>
    <t>G013-202603-019384-BIG</t>
  </si>
  <si>
    <t>2 buah parsel pecah belah dan makanan kue kering</t>
  </si>
  <si>
    <t>Yedi Cahyadi (pimpinan cabang)</t>
  </si>
  <si>
    <t>2026-03-16 16:23:05</t>
  </si>
  <si>
    <t>G013-202603-019386-BIG</t>
  </si>
  <si>
    <t>Parcel 1 set piring</t>
  </si>
  <si>
    <t>Akp achmad elyasarif martadinata (Kasat Reskrim Kota Kediri)</t>
  </si>
  <si>
    <t>2026-03-16 16:35:31</t>
  </si>
  <si>
    <t>G013-202603-019388-BIG</t>
  </si>
  <si>
    <t>1 set piring</t>
  </si>
  <si>
    <t>Pimpinan KCP BSI Kota Kediri</t>
  </si>
  <si>
    <t>2026-03-16 17:25:42</t>
  </si>
  <si>
    <t>G013-202603-019508-BIG</t>
  </si>
  <si>
    <t>PARCEL BERUPA KUE, BOTOL, SAJADAH</t>
  </si>
  <si>
    <t>AKBP Muhammad Taat Resdianto</t>
  </si>
  <si>
    <t>2026-03-17 22:14:02</t>
  </si>
  <si>
    <t>G013-202604-019966-BIG</t>
  </si>
  <si>
    <t>Bank Syariah Indonesia Cabang Sibolga</t>
  </si>
  <si>
    <t>2026-04-06 12:34:37</t>
  </si>
  <si>
    <t>Miftakul Arwani, SHI</t>
  </si>
  <si>
    <t xml:space="preserve">6172012001820002 </t>
  </si>
  <si>
    <t>Pengadilan Tinggi Agama Pontianak/Pengadilan Agama Bengkayang</t>
  </si>
  <si>
    <t>G013-202603-019390-BIG</t>
  </si>
  <si>
    <t>Parcel Lebaran berupa pecah belah</t>
  </si>
  <si>
    <t>Bank BRI KCP Bengkayang</t>
  </si>
  <si>
    <t>2026-03-16 23:42:29</t>
  </si>
  <si>
    <t>Pengadilan Agama Bengkayang</t>
  </si>
  <si>
    <t>G013-202603-019393-BIG</t>
  </si>
  <si>
    <t>Kue brownies</t>
  </si>
  <si>
    <t>Bupati Kabupaten Rembang</t>
  </si>
  <si>
    <t>2026-03-17 06:01:44</t>
  </si>
  <si>
    <t>ABDULLAH</t>
  </si>
  <si>
    <t xml:space="preserve">6204063105800001 </t>
  </si>
  <si>
    <t>G013-202603-019452-BIG</t>
  </si>
  <si>
    <t>Barang Pecah Belah, Piring dan Gelas Terbuat Dari Keramik, dan Toples Terbuat Dari Kaca</t>
  </si>
  <si>
    <t>Andrian Prisdianto</t>
  </si>
  <si>
    <t>2026-03-17 13:04:48</t>
  </si>
  <si>
    <t>620 TAHUN 2026</t>
  </si>
  <si>
    <t>Samsir Toona, S.HI</t>
  </si>
  <si>
    <t xml:space="preserve">1271211203780004 </t>
  </si>
  <si>
    <t>Pengadilan Tinggi Agama Medan/Pengadilan Agama Medan</t>
  </si>
  <si>
    <t>G013-202603-019455-BIG</t>
  </si>
  <si>
    <t>Bowo</t>
  </si>
  <si>
    <t>2026-03-17 13:29:36</t>
  </si>
  <si>
    <t>Pengadilan Agama Medan</t>
  </si>
  <si>
    <t>Parcel Lebaran (kue nastar)</t>
  </si>
  <si>
    <t>Parcel lebaran yang berisi minuman/kue/jajanan hari raya</t>
  </si>
  <si>
    <t>Ravi</t>
  </si>
  <si>
    <t>PT. Tri Satya Lancana</t>
  </si>
  <si>
    <t>G013-202603-019411-BIG</t>
  </si>
  <si>
    <t>Cocolatos, biskitop, butter cookies, brownies crispoes, biskuit mic moji</t>
  </si>
  <si>
    <t>BRI Cabang Rembang</t>
  </si>
  <si>
    <t>2026-03-17 10:11:20</t>
  </si>
  <si>
    <t>G013-202603-019420-BUK</t>
  </si>
  <si>
    <t>Endah Subekti Kuntariningsih (Bupati Gunungkidul)</t>
  </si>
  <si>
    <t>2026-03-17 11:01:21</t>
  </si>
  <si>
    <t>622 TAHUN 2026</t>
  </si>
  <si>
    <t>Sugito, S.H.</t>
  </si>
  <si>
    <t xml:space="preserve">3401100704740014 </t>
  </si>
  <si>
    <t>G013-202603-019430-BIG</t>
  </si>
  <si>
    <t>Paket parcel Lebaran beruka kue khas lebaran</t>
  </si>
  <si>
    <t>Yose Hana</t>
  </si>
  <si>
    <t>2026-03-17 11:27:59</t>
  </si>
  <si>
    <t>parcel lebaran berupa paket makanan/kue khas lebaran</t>
  </si>
  <si>
    <t>M Harits</t>
  </si>
  <si>
    <t>G013-202603-019424-BUK</t>
  </si>
  <si>
    <t>2026-03-17 11:12:43</t>
  </si>
  <si>
    <t>609 TAHUN 2026</t>
  </si>
  <si>
    <t>Agung Nugroho Suryo Sulistio, SH.M.Hum</t>
  </si>
  <si>
    <t xml:space="preserve">3577030702760002 </t>
  </si>
  <si>
    <t>G013-202603-019456-BIG</t>
  </si>
  <si>
    <t>Roti Kaleng, Minyak Goreng,  Madu Badui</t>
  </si>
  <si>
    <t>Rektor Universitas Bojonegoro, Polres Tuban, Kejaksaan Negeri Tuban dan Lapas Tuban</t>
  </si>
  <si>
    <t>2026-03-17 13:31:28</t>
  </si>
  <si>
    <t>SRU HANDARU</t>
  </si>
  <si>
    <t xml:space="preserve">3577031610730002 </t>
  </si>
  <si>
    <t>2026-03-17 00:00:00</t>
  </si>
  <si>
    <t>G013-202603-019451-BIG</t>
  </si>
  <si>
    <t>Toples kaca, piring, gelas, mangkok</t>
  </si>
  <si>
    <t>Rakhmat Tri Saputra</t>
  </si>
  <si>
    <t>2026-03-17 13:03:28</t>
  </si>
  <si>
    <t>G013-202603-019448-BIG</t>
  </si>
  <si>
    <t>2026-03-17 12:52:37</t>
  </si>
  <si>
    <t>G013-202603-019449-BIG</t>
  </si>
  <si>
    <t>Piring, gelas, mangko, kue coklat, astor,kokokrunh, Milo, tunsh</t>
  </si>
  <si>
    <t>Gregorius Herkulanus Bala</t>
  </si>
  <si>
    <t>2026-03-17 13:01:17</t>
  </si>
  <si>
    <t>G013-202603-019459-BIG</t>
  </si>
  <si>
    <t>Deny Viktoria</t>
  </si>
  <si>
    <t>2026-03-17 14:10:16</t>
  </si>
  <si>
    <t>621 TAHUN 2026</t>
  </si>
  <si>
    <t>G013-202603-019464-BIG</t>
  </si>
  <si>
    <t>Berisi kue kering, sirup, minyak, teh</t>
  </si>
  <si>
    <t>2026-03-17 14:29:23</t>
  </si>
  <si>
    <t>Haryuni Azmi</t>
  </si>
  <si>
    <t xml:space="preserve">1371035606870005 </t>
  </si>
  <si>
    <t>Bendahara Pengeluaran</t>
  </si>
  <si>
    <t>G013-202603-019465-BIG</t>
  </si>
  <si>
    <t>Kue Kering 3 toples</t>
  </si>
  <si>
    <t>2026-03-17 14:33:49</t>
  </si>
  <si>
    <t>Drs RD. MAHBUB TOBRI, M.H.</t>
  </si>
  <si>
    <t xml:space="preserve">3328101905600002 </t>
  </si>
  <si>
    <t>KETUA PENGADILAN TINGGI AGAMA KALIMANTAN UTARA</t>
  </si>
  <si>
    <t>G013-202603-019501-BIG</t>
  </si>
  <si>
    <t>Parcel berisi kue, pecah belah berupa set piring dan gelas, toples serta pewangi ruangan</t>
  </si>
  <si>
    <t>Rachel U.H.</t>
  </si>
  <si>
    <t>2026-03-17 21:44:27</t>
  </si>
  <si>
    <t>G013-202603-019511-BIG</t>
  </si>
  <si>
    <t>Parcel berupa perabot set piring makan</t>
  </si>
  <si>
    <t>Kepala Basan Pertanahan Nasional Grobogan</t>
  </si>
  <si>
    <t>2026-03-17 23:12:38</t>
  </si>
  <si>
    <t>G013-202603-019516-BIG</t>
  </si>
  <si>
    <t>Parsel berupa kue</t>
  </si>
  <si>
    <t>AKP HAFIZ PRASETIA AKBAR</t>
  </si>
  <si>
    <t>2026-03-18 08:58:28</t>
  </si>
  <si>
    <t>G013-202603-019517-BIG</t>
  </si>
  <si>
    <t>PARCEL BERUPA TOPLES DAN PIRING</t>
  </si>
  <si>
    <t>Drs. H.M. SANUSI, M.M.</t>
  </si>
  <si>
    <t>2026-03-18 09:13:06</t>
  </si>
  <si>
    <t>2026-03-18 00:00:00</t>
  </si>
  <si>
    <t>Verawati Widjaja</t>
  </si>
  <si>
    <t xml:space="preserve">3403106506780001 </t>
  </si>
  <si>
    <t>Kasubbag Kepegawaian, Organisasi dan Tata Laksana</t>
  </si>
  <si>
    <t>G013-202603-019527-BIG</t>
  </si>
  <si>
    <t>Parcel lebaran berisi 1 set cangkir dan kue kering</t>
  </si>
  <si>
    <t>Yessita Dewi</t>
  </si>
  <si>
    <t>2026-03-18 19:29:17</t>
  </si>
  <si>
    <t>Tas cinderamata berisi buku catatan, pulpen, kalender duduk, payung dan mug.</t>
  </si>
  <si>
    <t>G013-202603-019538-BIG</t>
  </si>
  <si>
    <t>2026-03-19</t>
  </si>
  <si>
    <t>Parcel buah dan kue kering</t>
  </si>
  <si>
    <t>Firdaus (Ketua DPRD Kota Kediri)</t>
  </si>
  <si>
    <t>2026-03-19 11:22:26</t>
  </si>
  <si>
    <t>G013-202603-019553-BIG</t>
  </si>
  <si>
    <t>2 toples kecil kue kering dengan goodie bag</t>
  </si>
  <si>
    <t>Miftah</t>
  </si>
  <si>
    <t>2026-03-20 13:49:46</t>
  </si>
  <si>
    <t>Dwi Ananda Fajarwati</t>
  </si>
  <si>
    <t xml:space="preserve">6371015412800009 </t>
  </si>
  <si>
    <t>Pengadilan Tinggi Banjarmasin/Pengadilan Negeri Marabahan</t>
  </si>
  <si>
    <t>G013-202603-019555-BIG</t>
  </si>
  <si>
    <t>Andrianto Budi Santoso</t>
  </si>
  <si>
    <t>2026-03-20 15:24:19</t>
  </si>
  <si>
    <t>Pengadilan Negeri Marabahan</t>
  </si>
  <si>
    <t>G013-202603-019573-BIG</t>
  </si>
  <si>
    <t>2026-03-25</t>
  </si>
  <si>
    <t>KC Bank BRI Kota Magelang</t>
  </si>
  <si>
    <t>2026-03-25 09:33:26</t>
  </si>
  <si>
    <t>NIsa zahra Alifah</t>
  </si>
  <si>
    <t xml:space="preserve">3207016702010001 </t>
  </si>
  <si>
    <t>Pengadilan Tinggi Bandung/Pengadilan Negeri Tasikmalaya</t>
  </si>
  <si>
    <t>2026-03-25 00:00:00</t>
  </si>
  <si>
    <t>Pengadilan Negeri Tasikmalaya</t>
  </si>
  <si>
    <t>Khoiruman Pandu Kesuma Harahap</t>
  </si>
  <si>
    <t xml:space="preserve">3309061608750001 </t>
  </si>
  <si>
    <t>Ketua Pengadilan Negeri Tasikmalaya</t>
  </si>
  <si>
    <t>G013-202603-019580-BIG</t>
  </si>
  <si>
    <t>Parcel berisi makanan dan minuman kemasan</t>
  </si>
  <si>
    <t>Marmer Alam</t>
  </si>
  <si>
    <t>2026-03-25 11:20:39</t>
  </si>
  <si>
    <t>Parcel berisi makanan dan Toples</t>
  </si>
  <si>
    <t>Wali Kota Tasikmalaya</t>
  </si>
  <si>
    <t>Parcel Berisi Kue Kering</t>
  </si>
  <si>
    <t>Kasat Narkoba Polres Tasikmalaya Kota</t>
  </si>
  <si>
    <t>Parcel Lebaran berupa 1 Set Piring</t>
  </si>
  <si>
    <t>Kapolres Tasikmalaya Kota</t>
  </si>
  <si>
    <t>G013-202603-019604-BIG</t>
  </si>
  <si>
    <t>2026-03-25 16:05:39</t>
  </si>
  <si>
    <t>G013-202603-019606-BIG</t>
  </si>
  <si>
    <t>2026-03-24</t>
  </si>
  <si>
    <t>Satu Tas berisi, minuman berupa Sirup dan kue kering serta makanan lainnya</t>
  </si>
  <si>
    <t>Hidayat Sarjana</t>
  </si>
  <si>
    <t>2026-03-25 16:43:18</t>
  </si>
  <si>
    <t xml:space="preserve">5272040808810002 </t>
  </si>
  <si>
    <t>G013-202603-019608-BIG</t>
  </si>
  <si>
    <t>1 (satu) set piring dan cangkir</t>
  </si>
  <si>
    <t>Bupati</t>
  </si>
  <si>
    <t>2026-03-25 19:09:28</t>
  </si>
  <si>
    <t>G013-202603-019619-BUK</t>
  </si>
  <si>
    <t>H. Zainal Arifin</t>
  </si>
  <si>
    <t>2026-03-26 10:32:42</t>
  </si>
  <si>
    <t>I Made Aditya Nugraha, S.H.</t>
  </si>
  <si>
    <t xml:space="preserve">5102052610790001 </t>
  </si>
  <si>
    <t>Direktorat Jenderal Badan Peradilan Umum/Pengadilan Tinggi Surabaya</t>
  </si>
  <si>
    <t>G013-202603-019625-BIG</t>
  </si>
  <si>
    <t>bingkisan yang berisi makanan</t>
  </si>
  <si>
    <t>Dr. Tri Astuti Handayani, S.H., M.Hum</t>
  </si>
  <si>
    <t>2026-03-26 13:15:08</t>
  </si>
  <si>
    <t>G013-202603-019659-BIG</t>
  </si>
  <si>
    <t>Kue Lebaran</t>
  </si>
  <si>
    <t>Novira Br. Sembiring, Nopelita Sembiring dan Betari Karlina (Rekan sesama Hakim)</t>
  </si>
  <si>
    <t>2026-03-27 14:29:22</t>
  </si>
  <si>
    <t>G013-202603-019661-BIG</t>
  </si>
  <si>
    <t>Sacral Ritonga/Ketua PN Sei Rampah</t>
  </si>
  <si>
    <t>2026-03-27 14:40:26</t>
  </si>
  <si>
    <t>G013-202603-019680-BIG</t>
  </si>
  <si>
    <t>MAKANAN BERUPA KUE DENGAN MASA BERLAKU</t>
  </si>
  <si>
    <t>2026-03-27 18:42:40</t>
  </si>
  <si>
    <t>G013-202603-019681-BIG</t>
  </si>
  <si>
    <t>Makanan berupa Kue dengan masa berlaku</t>
  </si>
  <si>
    <t>Staf Lembaga Bantuan Hukum Universitas Panca Bhakti Pontianak</t>
  </si>
  <si>
    <t>2026-03-27 18:51:25</t>
  </si>
  <si>
    <t>G013-202603-019693-BIG</t>
  </si>
  <si>
    <t>Kepala Kepolisian Resor Barito Timur</t>
  </si>
  <si>
    <t>2026-03-30 09:30:19</t>
  </si>
  <si>
    <t>774 TAHUN 2026</t>
  </si>
  <si>
    <t>Parsel pecah belah dan dua buah kue kering</t>
  </si>
  <si>
    <t>G013-202603-019704-BIG</t>
  </si>
  <si>
    <t>2026-03-18</t>
  </si>
  <si>
    <t>Barang Pecah Belah berupa cangkir, piring set</t>
  </si>
  <si>
    <t>Komandan Lanal Pacitan &amp; Ketua Cabang 13 Daerah Kodaeral V GJK  RI</t>
  </si>
  <si>
    <t>2026-03-30 11:09:51</t>
  </si>
  <si>
    <t>704 TAHUN 2026</t>
  </si>
  <si>
    <t>Airfryer merk Philip NA 120/00 4,2 L Low Watt warna putih</t>
  </si>
  <si>
    <t>BUPATI PACITAN</t>
  </si>
  <si>
    <t>Barang Pecah Belah Berupa gelas piring berupa 1 set</t>
  </si>
  <si>
    <t>G013-202603-019692-BUG</t>
  </si>
  <si>
    <t>Kue Lebaran dalam satu paket Hampers terdiri dari 6 Paket Kue (Kotak)</t>
  </si>
  <si>
    <t>Komandan Kodim (Dandim) 0736/Batang</t>
  </si>
  <si>
    <t>2026-03-30 09:26:40</t>
  </si>
  <si>
    <t>G013-202603-019706-BIG</t>
  </si>
  <si>
    <t>Parsel berisi pecah belah dan makanan</t>
  </si>
  <si>
    <t>AKBP Bobby Kusumawardhana , SH, S.IK, S.Si, kapolres Prabumuilih</t>
  </si>
  <si>
    <t>2026-03-30 11:20:37</t>
  </si>
  <si>
    <t>776 TAHUN 2026</t>
  </si>
  <si>
    <t>G013-202603-019721-BIG</t>
  </si>
  <si>
    <t>H. MASLANI</t>
  </si>
  <si>
    <t>2026-03-30 14:32:57</t>
  </si>
  <si>
    <t>770 TAHUN 2026</t>
  </si>
  <si>
    <t>Tea set</t>
  </si>
  <si>
    <t>AKBP Fiki. N. Ardiansyah, S.H., S.I.K., M.K.P., M.Si</t>
  </si>
  <si>
    <t>4 kue</t>
  </si>
  <si>
    <t>H. AEP SYAEPULOH, S.E</t>
  </si>
  <si>
    <t>2 mangkok</t>
  </si>
  <si>
    <t>7 Toples Makanan</t>
  </si>
  <si>
    <t>dr. Cellica Nurrachadiana</t>
  </si>
  <si>
    <t>1 mukena dan 1 batik meja</t>
  </si>
  <si>
    <t>ZUHAIRI BHARATA ASHBAHI</t>
  </si>
  <si>
    <t xml:space="preserve">3174062704850004 </t>
  </si>
  <si>
    <t>G013-202604-019849-BIG</t>
  </si>
  <si>
    <t>Parcel Hari Raya</t>
  </si>
  <si>
    <t>2026-04-01 15:42:29</t>
  </si>
  <si>
    <t>G013-202603-019743-BIG</t>
  </si>
  <si>
    <t>Berupa 1 (satu) kue lapis, 1 (satu) kue nastar, dan 2 (dua) kue kering lainnya</t>
  </si>
  <si>
    <t>2026-03-31 06:25:04</t>
  </si>
  <si>
    <t>Aries Sholeh Efendi, S.H., M.H.</t>
  </si>
  <si>
    <t xml:space="preserve">3308072103780003 </t>
  </si>
  <si>
    <t>Pengadilan Tinggi Yogyakarta/Pengadilan Negeri Bantul</t>
  </si>
  <si>
    <t>G013-202603-019744-BUK</t>
  </si>
  <si>
    <t>Bingkisan lebaran berupa makanan/minuman kemasan (roti, snack, teh, gula, sirup, cokelat, kacang, roti) dengan masa berlaku dengan diberi tempat keranjang susun tiga dengan omamen dominan warna biru</t>
  </si>
  <si>
    <t>Abdul Halim Muslih</t>
  </si>
  <si>
    <t>2026-03-31 07:12:13</t>
  </si>
  <si>
    <t>G013-202603-019745-BUK</t>
  </si>
  <si>
    <t>Bingkisan lebaran berupa toples set, coffee maker, dan oven listrik</t>
  </si>
  <si>
    <t>Pimpinan DPRD Kab Bantul</t>
  </si>
  <si>
    <t>2026-03-31 07:19:35</t>
  </si>
  <si>
    <t>G013-202603-019746-BUK</t>
  </si>
  <si>
    <t>Bingkisan lebaran berupa makanan/minuman kemasan (roti, snack, teh, gula, sirup, cokelat, kacang, roti) dengan masa berlaku dengan dibungkus kardus</t>
  </si>
  <si>
    <t>Agus Budiraharja</t>
  </si>
  <si>
    <t>2026-03-31 07:26:16</t>
  </si>
  <si>
    <t>G013-202603-019747-BUK</t>
  </si>
  <si>
    <t>Hampers makanan dan minuman</t>
  </si>
  <si>
    <t>Atas nama BPKAD Kabupaten Bantul</t>
  </si>
  <si>
    <t>2026-03-31 07:30:24</t>
  </si>
  <si>
    <t>Syahirul Alim</t>
  </si>
  <si>
    <t xml:space="preserve">5108022306820003 </t>
  </si>
  <si>
    <t>Pengadilan Tinggi Agama Kupang/Pengadilan Agama KALABAHI</t>
  </si>
  <si>
    <t>G013-202603-019804-BIG</t>
  </si>
  <si>
    <t>parcel lebaran</t>
  </si>
  <si>
    <t>2026-03-31 14:54:11</t>
  </si>
  <si>
    <t>Pengadilan Agama KALABAHI</t>
  </si>
  <si>
    <t>G013-202604-019916-BIG</t>
  </si>
  <si>
    <t>Wardah</t>
  </si>
  <si>
    <t>2026-04-02 17:40:14</t>
  </si>
  <si>
    <t>777 TAHUN 2026</t>
  </si>
  <si>
    <t>Teko Tea Set SAKATO</t>
  </si>
  <si>
    <t>Samian</t>
  </si>
  <si>
    <t>Cangkir Lepek Nakami E224-RED</t>
  </si>
  <si>
    <t>Yasinta</t>
  </si>
  <si>
    <t>G013-202603-019770-BUK</t>
  </si>
  <si>
    <t>1 set hampers berisi piring dan gelas</t>
  </si>
  <si>
    <t>Tedhy Widodo, S.H., M.H. (Ketua Kejaksaan Negeri Pasangkayu)</t>
  </si>
  <si>
    <t>2026-03-31 10:59:35</t>
  </si>
  <si>
    <t>G013-202603-019783-BIG</t>
  </si>
  <si>
    <t>Coffee maker dan barang pecah belah</t>
  </si>
  <si>
    <t>Pimpinan DPRD Kab. Bantul</t>
  </si>
  <si>
    <t>2026-03-31 12:19:32</t>
  </si>
  <si>
    <t>714 TAHUN 2026</t>
  </si>
  <si>
    <t>G013-202603-019785-BIG</t>
  </si>
  <si>
    <t>Makanan dalam toples kecil berisi kurma dan Kue lebaran beserta keramik cangkir</t>
  </si>
  <si>
    <t>Padmasari Martini Sondhi</t>
  </si>
  <si>
    <t>2026-03-31 13:18:46</t>
  </si>
  <si>
    <t>G013-202603-019786-BIG</t>
  </si>
  <si>
    <t>parcel makanan</t>
  </si>
  <si>
    <t>2026-03-31 13:46:40</t>
  </si>
  <si>
    <t>Supriyo</t>
  </si>
  <si>
    <t xml:space="preserve">6301030601730002 </t>
  </si>
  <si>
    <t>G013-202604-019823-BIG</t>
  </si>
  <si>
    <t>Paket parcel lebaran</t>
  </si>
  <si>
    <t>Kharist</t>
  </si>
  <si>
    <t>2026-04-01 09:16:18</t>
  </si>
  <si>
    <t>G013-202604-019879-BIG</t>
  </si>
  <si>
    <t>2026-04-01</t>
  </si>
  <si>
    <t>1 piring ukuran besar, 1 piring kecil dan 1 toples</t>
  </si>
  <si>
    <t>Pimpinan Cabang BSI</t>
  </si>
  <si>
    <t>2026-04-02 09:55:34</t>
  </si>
  <si>
    <t>TOHARUN, S.AG, SH</t>
  </si>
  <si>
    <t xml:space="preserve">3301231803700001 </t>
  </si>
  <si>
    <t>G013-202604-019887-BIG</t>
  </si>
  <si>
    <t>2026-04-02 11:21:32</t>
  </si>
  <si>
    <t>Lessy Yunilasari</t>
  </si>
  <si>
    <t xml:space="preserve">3404064306780006 </t>
  </si>
  <si>
    <t>G013-202604-019888-BIG</t>
  </si>
  <si>
    <t>2026-04-02 11:32:48</t>
  </si>
  <si>
    <t>Afrizal</t>
  </si>
  <si>
    <t xml:space="preserve">1371051208720004 </t>
  </si>
  <si>
    <t>G013-202604-019899-BIG</t>
  </si>
  <si>
    <t>1 piring ukuran besar, 1 piring ukuran kecil, dan 1 toples</t>
  </si>
  <si>
    <t>2026-04-02 14:39:48</t>
  </si>
  <si>
    <t>MEILITA</t>
  </si>
  <si>
    <t xml:space="preserve">6172025305920003 </t>
  </si>
  <si>
    <t>Plt.Umum dan Keuangan</t>
  </si>
  <si>
    <t>Pengadilan Tinggi Agama Palangkaraya/Pengadilan Tinggi Agama Palangkaraya</t>
  </si>
  <si>
    <t>G013-202604-020295-BIG</t>
  </si>
  <si>
    <t>PARSEL HARI RAYA</t>
  </si>
  <si>
    <t>TIDAK DIKENAL</t>
  </si>
  <si>
    <t>2026-04-20 08:54:03</t>
  </si>
  <si>
    <t>G013-202604-019911-BUK</t>
  </si>
  <si>
    <t>Hampers berisi kue</t>
  </si>
  <si>
    <t>Agus Ambo Djiwa dan Ny</t>
  </si>
  <si>
    <t>2026-04-02 15:51:14</t>
  </si>
  <si>
    <t>Hampers berisi pecah belah</t>
  </si>
  <si>
    <t>G013-202604-019919-BIG</t>
  </si>
  <si>
    <t>Asep Japar</t>
  </si>
  <si>
    <t>2026-04-02 17:55:35</t>
  </si>
  <si>
    <t>Ahmad Fahlevi</t>
  </si>
  <si>
    <t xml:space="preserve">6201021309810002 </t>
  </si>
  <si>
    <t>Pengadilan Tinggi Agama Banjarmasin/Pengadilan Agama Kota Baru</t>
  </si>
  <si>
    <t>G013-202604-020032-BIG</t>
  </si>
  <si>
    <t>Doli M Tanjung</t>
  </si>
  <si>
    <t>2026-04-07 14:09:44</t>
  </si>
  <si>
    <t>Pengadilan Agama Kota Baru</t>
  </si>
  <si>
    <t>G013-202604-020025-BIG</t>
  </si>
  <si>
    <t>Taruli Phalti Patuan,</t>
  </si>
  <si>
    <t>2026-04-07 13:16:33</t>
  </si>
  <si>
    <t>G013-202604-020023-BIG</t>
  </si>
  <si>
    <t>Zainal Arifin</t>
  </si>
  <si>
    <t>2026-04-07 13:07:17</t>
  </si>
  <si>
    <t>768 TAHUN 2026</t>
  </si>
  <si>
    <t>Taruli Phalti Patuan</t>
  </si>
  <si>
    <t>Handbag berlogo</t>
  </si>
  <si>
    <t>Irfansyah</t>
  </si>
  <si>
    <t>Hj. Suwanti</t>
  </si>
  <si>
    <t>parsel berisi makanan dan minuman</t>
  </si>
  <si>
    <t>Syairi Mukhlis</t>
  </si>
  <si>
    <t>Parcel makanan dan minuman kemasan</t>
  </si>
  <si>
    <t>Al Gazali Mus</t>
  </si>
  <si>
    <t xml:space="preserve">7471102409790003 </t>
  </si>
  <si>
    <t>Pengadilan Tinggi Agama Manado/Pengadilan Agama Tondano</t>
  </si>
  <si>
    <t>G013-202604-019935-BIG</t>
  </si>
  <si>
    <t>2026-04-02</t>
  </si>
  <si>
    <t>Makanan Ringan</t>
  </si>
  <si>
    <t>Julinda</t>
  </si>
  <si>
    <t>2026-04-06 08:17:51</t>
  </si>
  <si>
    <t>Pengadilan Agama Tondano</t>
  </si>
  <si>
    <t>Nasrulloh</t>
  </si>
  <si>
    <t xml:space="preserve">9171032407690002 </t>
  </si>
  <si>
    <t>Pengadilan Khusus/</t>
  </si>
  <si>
    <t>G013-202604-019963-BIG</t>
  </si>
  <si>
    <t>2026-03-30</t>
  </si>
  <si>
    <t>3 bingkisan berisi aneka jenis buah</t>
  </si>
  <si>
    <t>Puji Wijayanto</t>
  </si>
  <si>
    <t>2026-04-06 12:17:57</t>
  </si>
  <si>
    <t>G013-202604-019968-BIG</t>
  </si>
  <si>
    <t>Hampers pecah belah</t>
  </si>
  <si>
    <t>Danil, S.H.</t>
  </si>
  <si>
    <t>2026-04-06 13:35:02</t>
  </si>
  <si>
    <t>G013-202604-019974-BIG</t>
  </si>
  <si>
    <t>Hampers kotak berisi makanan kue kering dengan masa berlaku</t>
  </si>
  <si>
    <t>Rubianto Kamil</t>
  </si>
  <si>
    <t>2026-04-06 14:15:28</t>
  </si>
  <si>
    <t>Mashuri</t>
  </si>
  <si>
    <t xml:space="preserve">3275060305770022 </t>
  </si>
  <si>
    <t>Ketua Pengadilan Agama</t>
  </si>
  <si>
    <t>Pengadilan Tinggi Agama Semarang/Pengadilan Agama Kajen</t>
  </si>
  <si>
    <t>G013-202604-019991-BIG</t>
  </si>
  <si>
    <t>2026-03-31</t>
  </si>
  <si>
    <t>Parcel Lebaran berupa makanan dan minuman kemasan</t>
  </si>
  <si>
    <t>Letkol Arm Ihalauw Garry Herlambang, S.Sos (Dandim 0710/Pekalongan)</t>
  </si>
  <si>
    <t>2026-04-06 16:26:00</t>
  </si>
  <si>
    <t>mulyadi</t>
  </si>
  <si>
    <t xml:space="preserve">6271031508850009 </t>
  </si>
  <si>
    <t>2026-04-06 00:00:00</t>
  </si>
  <si>
    <t>Husaini</t>
  </si>
  <si>
    <t xml:space="preserve">1114021912680001 </t>
  </si>
  <si>
    <t>Pengadilan Tinggi Agama Semarang/Pengadilan Agama Pekalongan</t>
  </si>
  <si>
    <t>G013-202604-020091-BIG</t>
  </si>
  <si>
    <t>Parcel Idul Fitri tyang berisi berbagai merk biskuit</t>
  </si>
  <si>
    <t>Komandan Kodim 0710/Pekalongan</t>
  </si>
  <si>
    <t>2026-04-09 09:57:09</t>
  </si>
  <si>
    <t>Pengadilan Agama Pekalongan</t>
  </si>
  <si>
    <t>Andri Falahandika Ansyahrul,SH,MH</t>
  </si>
  <si>
    <t xml:space="preserve">3674020301770008 </t>
  </si>
  <si>
    <t>Wakil</t>
  </si>
  <si>
    <t>Pengadilan Negeri Cikarang/</t>
  </si>
  <si>
    <t>G013-202604-020117-BIG</t>
  </si>
  <si>
    <t>1 botol Madu Hutan</t>
  </si>
  <si>
    <t>Gusti Rai Adriani,SH,MH</t>
  </si>
  <si>
    <t>2026-04-09 15:45:21</t>
  </si>
  <si>
    <t xml:space="preserve">6372056603840005 </t>
  </si>
  <si>
    <t>Pengadilan Tinggi Agama Bandar Lampung/Pengadilan Agama Tulang Bawang</t>
  </si>
  <si>
    <t>2026-04-07 00:00:00</t>
  </si>
  <si>
    <t>Pengadilan Agama Tulang Bawang</t>
  </si>
  <si>
    <t>G013-202604-020034-BIG</t>
  </si>
  <si>
    <t>H. Eka Saprudin</t>
  </si>
  <si>
    <t>2026-04-07 14:14:05</t>
  </si>
  <si>
    <t>712 TAHUN 2026</t>
  </si>
  <si>
    <t>G013-202604-020036-BIG</t>
  </si>
  <si>
    <t>2026-04-07 14:18:26</t>
  </si>
  <si>
    <t>G013-202604-020037-BIG</t>
  </si>
  <si>
    <t>2026-04-07 14:24:40</t>
  </si>
  <si>
    <t>G013-202604-020040-BIG</t>
  </si>
  <si>
    <t>2026-04-07 14:29:31</t>
  </si>
  <si>
    <t>G013-202604-020041-BIG</t>
  </si>
  <si>
    <t>H. Muhammad Rusli</t>
  </si>
  <si>
    <t>2026-04-07 14:33:45</t>
  </si>
  <si>
    <t>711 TAHUN 2026</t>
  </si>
  <si>
    <t>G013-202604-020048-BIG</t>
  </si>
  <si>
    <t>selendang tenun motif Kabupaten Timor Tengah Selatan</t>
  </si>
  <si>
    <t>Kepala KUA Kecamatan Amanuban Timur</t>
  </si>
  <si>
    <t>2026-04-08 07:22:33</t>
  </si>
  <si>
    <t>773 TAHUN 2026</t>
  </si>
  <si>
    <t>ALWIN</t>
  </si>
  <si>
    <t xml:space="preserve">1271090501730007 </t>
  </si>
  <si>
    <t>Pengadilan Tinggi Agama Semarang/Pengadilan Agama Purbalingga</t>
  </si>
  <si>
    <t>G013-202604-020068-BIG</t>
  </si>
  <si>
    <t>SARUNG DAN MUKENA</t>
  </si>
  <si>
    <t>DIMAS PRASETYAHANI, S.E.,M.M</t>
  </si>
  <si>
    <t>2026-04-08 13:22:49</t>
  </si>
  <si>
    <t>775 TAHUN 2026</t>
  </si>
  <si>
    <t>Pengadilan Agama Purbalingga</t>
  </si>
  <si>
    <t>PARCEL LEBARAN</t>
  </si>
  <si>
    <t>BAMBANG IRAWAN</t>
  </si>
  <si>
    <t>PT POS KAB PURBALINGGA</t>
  </si>
  <si>
    <t>BINGKISAN LEBARAN BERUPA SNACK DAN JAJAN</t>
  </si>
  <si>
    <t>Herni Sulastri SH MH CFra</t>
  </si>
  <si>
    <t>SURIB WAHYUDI</t>
  </si>
  <si>
    <t xml:space="preserve">3513142107680003 </t>
  </si>
  <si>
    <t>G013-202604-020345-BIG</t>
  </si>
  <si>
    <t>2026-04-21 14:30:30</t>
  </si>
  <si>
    <t>G013-202604-020077-BIG</t>
  </si>
  <si>
    <t>Parsel kue kering dan sajadah</t>
  </si>
  <si>
    <t>Robert Simatupang, S.H.,M.H.</t>
  </si>
  <si>
    <t>2026-04-08 16:33:06</t>
  </si>
  <si>
    <t>G013-202604-020079-BIG</t>
  </si>
  <si>
    <t>PEMERINTAH KOTA TANJUNGBALAI</t>
  </si>
  <si>
    <t>2026-04-08 16:44:48</t>
  </si>
  <si>
    <t>G013-202604-020078-BIG</t>
  </si>
  <si>
    <t>Bupati Kabupaten Mesuji</t>
  </si>
  <si>
    <t>2026-04-08 16:42:30</t>
  </si>
  <si>
    <t>772 TAHUN 2026</t>
  </si>
  <si>
    <t>Nurul Mawaddah</t>
  </si>
  <si>
    <t xml:space="preserve">1205075411890012 </t>
  </si>
  <si>
    <t>Arsiparis Terampil</t>
  </si>
  <si>
    <t>Pengadilan Tinggi Agama Medan/Pengadilan Agama Rantau PRAPAT</t>
  </si>
  <si>
    <t>2026-04-09 00:00:00</t>
  </si>
  <si>
    <t>Pengadilan Agama Rantau PRAPAT</t>
  </si>
  <si>
    <t>FAISAL AKBARUDDIN TAQWA</t>
  </si>
  <si>
    <t xml:space="preserve">7371131512770011 </t>
  </si>
  <si>
    <t>G013-202604-020102-BIG</t>
  </si>
  <si>
    <t>Semeru, S.H., M.Hum</t>
  </si>
  <si>
    <t>2026-04-09 11:57:41</t>
  </si>
  <si>
    <t>1 (satu) botol Madu Hutan (The Forest Honey) dari Oh Honey</t>
  </si>
  <si>
    <t>Gusti Rai Adriani, SH</t>
  </si>
  <si>
    <t>ZUL QIFLI M. NUR PUA MOLE</t>
  </si>
  <si>
    <t xml:space="preserve">3578231907840001 </t>
  </si>
  <si>
    <t>G013-202604-020130-BIG</t>
  </si>
  <si>
    <t>2026-04-10 10:28:28</t>
  </si>
  <si>
    <t>820 TAHUN 2026</t>
  </si>
  <si>
    <t>G013-202604-020141-BIG</t>
  </si>
  <si>
    <t>Hampers kue kering dan minuman kemasan</t>
  </si>
  <si>
    <t>2026-04-10 16:44:39</t>
  </si>
  <si>
    <t>EDDY SUMARDI</t>
  </si>
  <si>
    <t xml:space="preserve">1210011506770004 </t>
  </si>
  <si>
    <t>Panitera Pengadilan Agama Tanjung Balai</t>
  </si>
  <si>
    <t>G013-202604-020149-BIG</t>
  </si>
  <si>
    <t>PARCEL YANG TERDIRI DARI MAKANAN DENGAN MASA BERLAKU</t>
  </si>
  <si>
    <t>2026-04-12 22:20:32</t>
  </si>
  <si>
    <t>G013-202604-020150-BIG</t>
  </si>
  <si>
    <t>PARCEL BARANG PECAH BELAH</t>
  </si>
  <si>
    <t>2026-04-12 22:24:45</t>
  </si>
  <si>
    <t>PARCEL MAKANAN KEMASAN DENGAN MASA BERLAKU</t>
  </si>
  <si>
    <t>G013-202604-020166-BIG</t>
  </si>
  <si>
    <t>Parcel Hari Raya Idul Fitri yang berupa kue kering</t>
  </si>
  <si>
    <t>2026-04-13 14:31:56</t>
  </si>
  <si>
    <t>MADHIKA SIDDHIMANTRA</t>
  </si>
  <si>
    <t xml:space="preserve">3313120907760002 </t>
  </si>
  <si>
    <t>Panitera Pengadilan Negeri Pacitan</t>
  </si>
  <si>
    <t>G013-202604-020237-BIG</t>
  </si>
  <si>
    <t>2026-04-06</t>
  </si>
  <si>
    <t>Parcel Lebaran berupa makanan</t>
  </si>
  <si>
    <t>DIREKTUR BTN KCP PONOROGO</t>
  </si>
  <si>
    <t>2026-04-15 20:13:41</t>
  </si>
  <si>
    <t>818 TAHUN 2026</t>
  </si>
  <si>
    <t>Parcel 4 Cangkir set dan 2 Mangkok</t>
  </si>
  <si>
    <t>Supriono</t>
  </si>
  <si>
    <t xml:space="preserve">1208021409740001 </t>
  </si>
  <si>
    <t>G013-202604-020216-BIG</t>
  </si>
  <si>
    <t>PARCEL PECAH BELAH DAN MAKANAN KEMASAN DENGAN MASA BERLAKU</t>
  </si>
  <si>
    <t>2026-04-15 09:35:39</t>
  </si>
  <si>
    <t>796 TAHUN 2026</t>
  </si>
  <si>
    <t>PARCEL PECAH BELAH DAN MAKANAN DENGAN MASA BERLAKU</t>
  </si>
  <si>
    <t>Rizki Andriani</t>
  </si>
  <si>
    <t xml:space="preserve">1209194505950004 </t>
  </si>
  <si>
    <t>BENDAHARA PENGELUARAN</t>
  </si>
  <si>
    <t>G013-202604-020219-BIG</t>
  </si>
  <si>
    <t>PARCEL BARANG PECAH BELAH DAN MAKANAN KEMASAN DENGAN MASA BERLAKU</t>
  </si>
  <si>
    <t>2026-04-15 10:22:10</t>
  </si>
  <si>
    <t>815 TAHUN 2026</t>
  </si>
  <si>
    <t>G013-202605-020522-BIG</t>
  </si>
  <si>
    <t>selendang tenun</t>
  </si>
  <si>
    <t>Suherman Naitboho</t>
  </si>
  <si>
    <t>2026-05-04 15:41:59</t>
  </si>
  <si>
    <t>957 TAHUN 2026</t>
  </si>
  <si>
    <t>HELMAN FAJRY, S.HI., M.HI.</t>
  </si>
  <si>
    <t xml:space="preserve">3514173004840001 </t>
  </si>
  <si>
    <t>Ketua Pengadilan Agama Sanggau</t>
  </si>
  <si>
    <t>Pengadilan Tinggi Agama Pontianak/Pengadilan Agama Sanggau</t>
  </si>
  <si>
    <t>G013-202604-020227-BIG</t>
  </si>
  <si>
    <t>2017-03-20</t>
  </si>
  <si>
    <t>2026-04-15 14:03:33</t>
  </si>
  <si>
    <t>Pengadilan Agama Sanggau</t>
  </si>
  <si>
    <t>G013-202604-020228-BIG</t>
  </si>
  <si>
    <t>Parcel pecah belah antara lain toples 3 pcs, piring, sendok dan mangkuk.</t>
  </si>
  <si>
    <t>2026-04-15 14:16:27</t>
  </si>
  <si>
    <t>G013-202604-020239-BIG</t>
  </si>
  <si>
    <t>2026-04-15 21:53:03</t>
  </si>
  <si>
    <t>826 TAHUN 2026</t>
  </si>
  <si>
    <t>Parcel makanan minuman</t>
  </si>
  <si>
    <t>G013-202604-020238-BIG</t>
  </si>
  <si>
    <t>MINUMAN KEMASAN DENGAN MASA BERLAKU</t>
  </si>
  <si>
    <t>Komandan Yonif TP 934 SBY</t>
  </si>
  <si>
    <t>2026-04-15 21:51:03</t>
  </si>
  <si>
    <t>3 Piring Keramik dan gelas</t>
  </si>
  <si>
    <t>G013-202604-020256-BIG</t>
  </si>
  <si>
    <t>2026-04-16</t>
  </si>
  <si>
    <t>Perwakilan sekolah</t>
  </si>
  <si>
    <t>2026-04-16 16:57:51</t>
  </si>
  <si>
    <t>Mari</t>
  </si>
  <si>
    <t xml:space="preserve">1271076204690001 </t>
  </si>
  <si>
    <t>Staf</t>
  </si>
  <si>
    <t>Pengadilan Tinggi Agama Dki Jakarta/Pengadilan Agama Jakarta Pusat</t>
  </si>
  <si>
    <t>1 buah jam tangan</t>
  </si>
  <si>
    <t>Rudi</t>
  </si>
  <si>
    <t>2026-04-20 00:00:00</t>
  </si>
  <si>
    <t>Pengadilan Agama Jakarta Pusat</t>
  </si>
  <si>
    <t>Dini Aulia Safitri, S.H.</t>
  </si>
  <si>
    <t xml:space="preserve">3515134307840010 </t>
  </si>
  <si>
    <t>G013-202604-020315-BIG</t>
  </si>
  <si>
    <t>2026-04-20</t>
  </si>
  <si>
    <t>2026-04-20 12:41:12</t>
  </si>
  <si>
    <t>872 TAHUN 2026</t>
  </si>
  <si>
    <t>G013-202604-020347-BIG</t>
  </si>
  <si>
    <t>2026-04-21</t>
  </si>
  <si>
    <t>2026-04-21 16:44:57</t>
  </si>
  <si>
    <t>G013-202604-020376-BIG</t>
  </si>
  <si>
    <t>2026-04-13</t>
  </si>
  <si>
    <t>Panitia Kementerian Hukum</t>
  </si>
  <si>
    <t>2026-04-23 05:38:51</t>
  </si>
  <si>
    <t>Gelas berlogo</t>
  </si>
  <si>
    <t>Nasi kotak makan siang</t>
  </si>
  <si>
    <t>G013-202604-020399-BIG</t>
  </si>
  <si>
    <t>2026-04-22</t>
  </si>
  <si>
    <t>Oleh-oleh berupa kue dan makanan kering</t>
  </si>
  <si>
    <t>Agustin Mega P</t>
  </si>
  <si>
    <t>2026-04-24 15:52:33</t>
  </si>
  <si>
    <t>G013-202604-020409-BIG</t>
  </si>
  <si>
    <t>2026-04-27</t>
  </si>
  <si>
    <t>Bahan kain</t>
  </si>
  <si>
    <t>Kol.Inf.Ikhsan Agung, SIP, M.H.I.</t>
  </si>
  <si>
    <t>2026-04-27 10:21:07</t>
  </si>
  <si>
    <t>867 TAHUN 2026</t>
  </si>
  <si>
    <t>Sulistianingtias Wibawanty</t>
  </si>
  <si>
    <t xml:space="preserve">1673086402770001 </t>
  </si>
  <si>
    <t>G013-202604-020420-BIG</t>
  </si>
  <si>
    <t>2026-04-15</t>
  </si>
  <si>
    <t>Mug dan kalender</t>
  </si>
  <si>
    <t>BTN Cab. YOGYAKARTA</t>
  </si>
  <si>
    <t>2026-04-27 14:37:29</t>
  </si>
  <si>
    <t>Dra. Nurhudayah sh,mh</t>
  </si>
  <si>
    <t xml:space="preserve">7501017112620001 </t>
  </si>
  <si>
    <t>G013-202604-020423-BIG</t>
  </si>
  <si>
    <t>BTN Cab Yogyakarta</t>
  </si>
  <si>
    <t>2026-04-27 14:47:53</t>
  </si>
  <si>
    <t>ISYHAD WIRA BUDIAWAN, S.H.I., M.S.I.</t>
  </si>
  <si>
    <t xml:space="preserve">3471031011800002 </t>
  </si>
  <si>
    <t>Pengadilan Tinggi Agama Banjarmasin/Pengadilan Agama Kandangan</t>
  </si>
  <si>
    <t>G013-202604-020457-BIG</t>
  </si>
  <si>
    <t>2026-04-29 07:51:20</t>
  </si>
  <si>
    <t>Pengadilan Agama Kandangan</t>
  </si>
  <si>
    <t>RIZAL PASI</t>
  </si>
  <si>
    <t xml:space="preserve">1210012104620002 </t>
  </si>
  <si>
    <t>G013-202604-020427-BIG</t>
  </si>
  <si>
    <t>2026-04-27 15:16:05</t>
  </si>
  <si>
    <t>Fadhilah Halim</t>
  </si>
  <si>
    <t xml:space="preserve">1271045204840013 </t>
  </si>
  <si>
    <t>G013-202604-020430-BIG</t>
  </si>
  <si>
    <t>minuman sirup</t>
  </si>
  <si>
    <t>pejabat reskrim</t>
  </si>
  <si>
    <t>2026-04-27 16:30:50</t>
  </si>
  <si>
    <t>Dr SUHARTONO, S.Ag., S.H., M.H.</t>
  </si>
  <si>
    <t xml:space="preserve">3524220210710002 </t>
  </si>
  <si>
    <t>G013-202604-020439-BIG</t>
  </si>
  <si>
    <t>Kuasa Hukum Pemohon Perkara No. 1/Pdt.Eks/2024/PA.Sby, dalam hal ini PT. Bank Panin Dubai Syariah atas nama Ali Syafiq</t>
  </si>
  <si>
    <t>2026-04-28 13:49:37</t>
  </si>
  <si>
    <t>G013-202604-020443-BIG</t>
  </si>
  <si>
    <t>2026-04-28</t>
  </si>
  <si>
    <t>satu toples kue kering dan Krupuk</t>
  </si>
  <si>
    <t>Siti Azizah</t>
  </si>
  <si>
    <t>2026-04-28 14:47:23</t>
  </si>
  <si>
    <t>G013-202604-020456-BIG</t>
  </si>
  <si>
    <t>2026-04-29 07:50:59</t>
  </si>
  <si>
    <t>Pengadilan Tinggi Agama Bandung/Pengadilan Agama Cikarang</t>
  </si>
  <si>
    <t>2026-04-29 00:00:00</t>
  </si>
  <si>
    <t>Pengadilan Agama Cikarang</t>
  </si>
  <si>
    <t>G013-202604-020486-BIG</t>
  </si>
  <si>
    <t>2026-04-30</t>
  </si>
  <si>
    <t>Kaos lengan pendek warna putih ukuran XL</t>
  </si>
  <si>
    <t>Valeanto Soekendro, S.Sos., M.Si.</t>
  </si>
  <si>
    <t>2026-04-30 10:45:08</t>
  </si>
  <si>
    <t>G013-202604-020493-BIG</t>
  </si>
  <si>
    <t>2026-04-30 12:26:44</t>
  </si>
  <si>
    <t>hakim</t>
  </si>
  <si>
    <t>Pengadilan Tinggi Dki Jakarta/Pengadilan Negeri Jakarta Selatan</t>
  </si>
  <si>
    <t>G013-202604-020501-BIG</t>
  </si>
  <si>
    <t>Bidkum Polda Metro Jaya</t>
  </si>
  <si>
    <t>2026-04-30 16:48:01</t>
  </si>
  <si>
    <t>G013-202605-020508-BIG</t>
  </si>
  <si>
    <t>2026-05-01</t>
  </si>
  <si>
    <t>Tidak disebutkan nilainya namun niatan senior ingin mentraktir</t>
  </si>
  <si>
    <t>Dr. I Ketut Sudira, S.H., M.H.</t>
  </si>
  <si>
    <t>2026-05-02 18:40:17</t>
  </si>
  <si>
    <t>2026-05-04 00:00:00</t>
  </si>
  <si>
    <t>G013-202605-020514-BIG</t>
  </si>
  <si>
    <t>Iswati</t>
  </si>
  <si>
    <t>2026-05-04 09:44:16</t>
  </si>
  <si>
    <t>G013-202605-020518-BIG</t>
  </si>
  <si>
    <t>2026-04-14</t>
  </si>
  <si>
    <t>Pemerintah Kabupaten Cirebon</t>
  </si>
  <si>
    <t>2026-05-04 13:54:01</t>
  </si>
  <si>
    <t>958 TAHUN 2026</t>
  </si>
  <si>
    <t>G013-202605-020521-BIG</t>
  </si>
  <si>
    <t>2026-05-04</t>
  </si>
  <si>
    <t>2 Kotak Donat</t>
  </si>
  <si>
    <t>Erna ST. Nursiyah</t>
  </si>
  <si>
    <t>2026-05-04 14:47:23</t>
  </si>
  <si>
    <t>G013-202605-020548-BIG</t>
  </si>
  <si>
    <t>2026-04-29</t>
  </si>
  <si>
    <t>Mukenah</t>
  </si>
  <si>
    <t>2026-05-06 10:05:03</t>
  </si>
  <si>
    <t>980 TAHUN 2026</t>
  </si>
  <si>
    <t>G013-202605-020550-BIG</t>
  </si>
  <si>
    <t>peralatan makan</t>
  </si>
  <si>
    <t>2026-05-06 10:10:34</t>
  </si>
  <si>
    <t>G013-202605-020558-BIG</t>
  </si>
  <si>
    <t>2026-04-10</t>
  </si>
  <si>
    <t>Sisa Panjar Perkara 83/Pdt.G/2025/PN Srh</t>
  </si>
  <si>
    <t>2026-05-07 09:46:53</t>
  </si>
  <si>
    <t>992 TAHUN 2026</t>
  </si>
  <si>
    <t>G013-202605-020559-BIG</t>
  </si>
  <si>
    <t>Ujang</t>
  </si>
  <si>
    <t>2026-05-07 10:29:14</t>
  </si>
  <si>
    <t>G013-202605-020560-BIG</t>
  </si>
  <si>
    <t>Pecah belah mangkok dan piring</t>
  </si>
  <si>
    <t>2026-05-07 10:37:25</t>
  </si>
  <si>
    <t>975 TAHUN 2026</t>
  </si>
  <si>
    <t>G013-202605-020561-BIG</t>
  </si>
  <si>
    <t>Gelas dan cawan</t>
  </si>
  <si>
    <t>Festia</t>
  </si>
  <si>
    <t>2026-05-07 10:51:43</t>
  </si>
  <si>
    <t>984 TAHUN 2026</t>
  </si>
  <si>
    <t>Agus Maksum Mulyohadi</t>
  </si>
  <si>
    <t xml:space="preserve">3309051708780004 </t>
  </si>
  <si>
    <t>Pengadilan Tinggi Jawa tengah/Pengadilan Negeri Pekalongan</t>
  </si>
  <si>
    <t>G013-202605-020577-BIG</t>
  </si>
  <si>
    <t>2026-04-23</t>
  </si>
  <si>
    <t>parsel buah</t>
  </si>
  <si>
    <t>M. NAFIDZUL HAQ, dkk</t>
  </si>
  <si>
    <t>2026-05-08 08:16:52</t>
  </si>
  <si>
    <t>Pengadilan Negeri Pekalongan</t>
  </si>
  <si>
    <t>G013-202605-020581-BIG</t>
  </si>
  <si>
    <t>2026-05-08</t>
  </si>
  <si>
    <t>Makanan dalam kotak makanan konsumsi narasumber yang jumlahnya 3</t>
  </si>
  <si>
    <t>Jawa Pos Radar Kediri</t>
  </si>
  <si>
    <t>2026-05-08 12:39:14</t>
  </si>
  <si>
    <t>G013-202605-020585-BIG</t>
  </si>
  <si>
    <t>Makanan dan Minuman Yang Ada Masa Kadaluarsa</t>
  </si>
  <si>
    <t>Yabes Nubatonis, S.H.</t>
  </si>
  <si>
    <t>2026-05-08 14:59:10</t>
  </si>
  <si>
    <t>G013-202605-020586-BIG</t>
  </si>
  <si>
    <t>makanan dan minuman</t>
  </si>
  <si>
    <t>Kepolisian Polsek Dolok Masihul</t>
  </si>
  <si>
    <t>2026-05-08 15:59:17</t>
  </si>
  <si>
    <t>Iswardi</t>
  </si>
  <si>
    <t xml:space="preserve">1171080306800001 </t>
  </si>
  <si>
    <t>Pengadilan Tinggi NANGGROE Aceh Darussalam/Pengadilan Negeri SINGKEL</t>
  </si>
  <si>
    <t>G013-202605-020592-BIG</t>
  </si>
  <si>
    <t>Penyidik Polri</t>
  </si>
  <si>
    <t>2026-05-11 11:51:03</t>
  </si>
  <si>
    <t>960 TAHUN 2026</t>
  </si>
  <si>
    <t>Pengadilan Negeri SINGKEL</t>
  </si>
  <si>
    <t>G013-202605-020588-BIG</t>
  </si>
  <si>
    <t>Minuman Tradisional jamu kemasan botol</t>
  </si>
  <si>
    <t>Ibu Asih</t>
  </si>
  <si>
    <t>2026-05-11 07:22:23</t>
  </si>
  <si>
    <t>G013-202605-020651-BIG</t>
  </si>
  <si>
    <t>2026-05-19</t>
  </si>
  <si>
    <t>Baju, kain taplak, gantungan kunci</t>
  </si>
  <si>
    <t>Fachrian Rizki</t>
  </si>
  <si>
    <t>2026-05-19 14:04:25</t>
  </si>
  <si>
    <t>G013-202605-020660-BIG</t>
  </si>
  <si>
    <t>2026-05-20</t>
  </si>
  <si>
    <t>PT. Medialink Global Mandiri</t>
  </si>
  <si>
    <t>2026-05-20 08:35:24</t>
  </si>
  <si>
    <t>Ahmad Fuad Noor Ghufron</t>
  </si>
  <si>
    <t xml:space="preserve">3374132211900001 </t>
  </si>
  <si>
    <t>G013-202605-020687-BIG</t>
  </si>
  <si>
    <t>2026-05-22</t>
  </si>
  <si>
    <t>Karangan bunga ucapan selamat</t>
  </si>
  <si>
    <t>Tidak dikenal</t>
  </si>
  <si>
    <t>2026-05-22 09:18:04</t>
  </si>
  <si>
    <t>Marsudi</t>
  </si>
  <si>
    <t xml:space="preserve">3402120301780003 </t>
  </si>
  <si>
    <t>OPERATOR LAYANAN OPERASIONAL</t>
  </si>
  <si>
    <t>G013-202605-020695-BIG</t>
  </si>
  <si>
    <t>2026-05-21</t>
  </si>
  <si>
    <t>VICTOR</t>
  </si>
  <si>
    <t>2026-05-22 15:11:57</t>
  </si>
  <si>
    <t>1021 TAHUN 2026</t>
  </si>
  <si>
    <t>G013-202605-020696-BIG</t>
  </si>
  <si>
    <t>2026-05-13</t>
  </si>
  <si>
    <t>Sarung Atlas Idaman 555 (motif premium standar, masih baru dalam plastik) Tp100.000 dan Sajadah motif masjid dengan rumbai ukuran dewasa (beludru/polyester standar, bukan Turki premium) Rp150.000</t>
  </si>
  <si>
    <t>Drs. H. Anwar Rosidi</t>
  </si>
  <si>
    <t>2026-05-22 17:11:42</t>
  </si>
  <si>
    <t>raineswadi</t>
  </si>
  <si>
    <t xml:space="preserve">3174092907970005 </t>
  </si>
  <si>
    <t>G013-202605-020704-BIG</t>
  </si>
  <si>
    <t>2026-05-24</t>
  </si>
  <si>
    <t>Donat 4 buah</t>
  </si>
  <si>
    <t>Dedy Agustia, S.H., M.H.</t>
  </si>
  <si>
    <t>2026-05-24 12:04:13</t>
  </si>
  <si>
    <t>Muslim Setiawan</t>
  </si>
  <si>
    <t xml:space="preserve">6309042804770002 </t>
  </si>
  <si>
    <t>Pengadilan Tinggi Semarang/Pengadilan Negeri Pemalang</t>
  </si>
  <si>
    <t>G013-202605-020747-BIG</t>
  </si>
  <si>
    <t>Baju koko putih</t>
  </si>
  <si>
    <t>Kantor Pemerintah Kabupaten Pemalang</t>
  </si>
  <si>
    <t>2026-05-26 15:47:31</t>
  </si>
  <si>
    <t>1068 TAHUN 2026</t>
  </si>
  <si>
    <t>Pengadilan Negeri Pemalang</t>
  </si>
  <si>
    <t>Chairia Meidi Rifada</t>
  </si>
  <si>
    <t xml:space="preserve">3674035605980003 </t>
  </si>
  <si>
    <t>2026-05-29 00:00:00</t>
  </si>
  <si>
    <t>YULI PURNOMOSIDI</t>
  </si>
  <si>
    <t xml:space="preserve">6301032907770002 </t>
  </si>
  <si>
    <t>WAKIL KETUA</t>
  </si>
  <si>
    <t>Pengadilan Tinggi Semarang/Pengadilan Negeri Kudus</t>
  </si>
  <si>
    <t>G013-202605-020763-BIG</t>
  </si>
  <si>
    <t>UANG HONORARIUM PEMBIMBING (DOSEN PAMONG) PPL MAHASISWA UIN WALISONGO SEMARANG</t>
  </si>
  <si>
    <t>UIN WALISONGO SEMARANG</t>
  </si>
  <si>
    <t>2026-05-29 14:20:49</t>
  </si>
  <si>
    <t>Pengadilan Negeri Kudus</t>
  </si>
  <si>
    <t>Nur Wijayanto</t>
  </si>
  <si>
    <t xml:space="preserve">6473022507800012 </t>
  </si>
  <si>
    <t>G013-202605-020764-BIG</t>
  </si>
  <si>
    <t>2026-05-26</t>
  </si>
  <si>
    <t>1 ekor kambing untuk dikurbankan dalam kondisi sehat</t>
  </si>
  <si>
    <t>Heriyadi</t>
  </si>
  <si>
    <t>2026-05-29 14:42:17</t>
  </si>
  <si>
    <t>G013-202605-020765-BIG</t>
  </si>
  <si>
    <t>Afnan, S.H.</t>
  </si>
  <si>
    <t>2026-05-29 15:26:02</t>
  </si>
  <si>
    <t>G013-202606-020778-BUG</t>
  </si>
  <si>
    <t>2026-05-29</t>
  </si>
  <si>
    <t>Bucket bunga dengan identitas instansi</t>
  </si>
  <si>
    <t>BSI Batang</t>
  </si>
  <si>
    <t>2026-06-02 13:34:35</t>
  </si>
  <si>
    <t>G013-202606-020780-BIG</t>
  </si>
  <si>
    <t>2026-06-02</t>
  </si>
  <si>
    <t>Lenajati Rahmawati</t>
  </si>
  <si>
    <t>2026-06-02 14:47:01</t>
  </si>
  <si>
    <t>Dr. Jufri</t>
  </si>
  <si>
    <t>2026-06-03 00:00:00</t>
  </si>
  <si>
    <t>G013-202606-020793-BIG</t>
  </si>
  <si>
    <t>Shopeepay</t>
  </si>
  <si>
    <t>Panggih</t>
  </si>
  <si>
    <t>2026-06-03 09:46:17</t>
  </si>
  <si>
    <t>G013-202606-020798-BIG</t>
  </si>
  <si>
    <t>2026-06-03 13:25:09</t>
  </si>
  <si>
    <t>G013-202606-020805-BIG</t>
  </si>
  <si>
    <t>2026-06-04</t>
  </si>
  <si>
    <t>Plakat Akrilik</t>
  </si>
  <si>
    <t>Branch Manager</t>
  </si>
  <si>
    <t>2026-06-04 09:29:44</t>
  </si>
  <si>
    <t>Hasan Basri</t>
  </si>
  <si>
    <t xml:space="preserve">6409021908860002 </t>
  </si>
  <si>
    <t>G013-202606-020815-BIG</t>
  </si>
  <si>
    <t>2026-06-03</t>
  </si>
  <si>
    <t>tumbler</t>
  </si>
  <si>
    <t>2026-06-04 15:00:27</t>
  </si>
  <si>
    <t>Andika Hidayat Sitepu</t>
  </si>
  <si>
    <t xml:space="preserve">1206121012970001 </t>
  </si>
  <si>
    <t>Pengelola Perkara</t>
  </si>
  <si>
    <t>2026-06-05 00:00:00</t>
  </si>
  <si>
    <t>G013-202606-020831-BIG</t>
  </si>
  <si>
    <t>2026-06-05</t>
  </si>
  <si>
    <t>Tas Daur Ulang yang berisi tas dompet perempuan, payung kecil, tempat payung kecil dan kalender</t>
  </si>
  <si>
    <t>Kepala Cabang PT Taspen Pangkalpinang</t>
  </si>
  <si>
    <t>2026-06-05 15:52:55</t>
  </si>
  <si>
    <t>Darma Indo Damanik</t>
  </si>
  <si>
    <t xml:space="preserve">1209201503770006 </t>
  </si>
  <si>
    <t>Wakil Ketua Pengadilan Negeri</t>
  </si>
  <si>
    <t>Pengadilan Tinggi Bangka Belitung/Pengadilan Negeri Pangkal Pinang</t>
  </si>
  <si>
    <t>G013-202606-020845-BIG</t>
  </si>
  <si>
    <t>Jam Dinding berlogo PT.Taspen</t>
  </si>
  <si>
    <t>PT. TASPEN</t>
  </si>
  <si>
    <t>2026-06-09 09:40:50</t>
  </si>
  <si>
    <t>Pengadilan Negeri Pangkal Pinang</t>
  </si>
  <si>
    <t>Melin Simorangkir</t>
  </si>
  <si>
    <t xml:space="preserve">3214016901000004 </t>
  </si>
  <si>
    <t>Pengadilan Tinggi Tata Usaha Negara Jakarta/Pengadilan Tata Usaha Negara Serang</t>
  </si>
  <si>
    <t>2026-06-09 00:00:00</t>
  </si>
  <si>
    <t>G013-202606-020848-BIG</t>
  </si>
  <si>
    <t>Plakat dengan nama dan instansi pemberi</t>
  </si>
  <si>
    <t>Letkol Arm. Denny Riesta Permana, S.Sos., M.Han</t>
  </si>
  <si>
    <t>2026-06-09 11:42:31</t>
  </si>
  <si>
    <t>Didi Karyadi</t>
  </si>
  <si>
    <t xml:space="preserve">1603042110930001 </t>
  </si>
  <si>
    <t>Staff</t>
  </si>
  <si>
    <t>Pengadilan Tinggi Agama Palembang/Pengadilan Tinggi Agama Palembang</t>
  </si>
  <si>
    <t>2026-06-11 00:00:00</t>
  </si>
  <si>
    <t>G013-202606-020901-BIG</t>
  </si>
  <si>
    <t>2026-06-11</t>
  </si>
  <si>
    <t>Sisa Panjar Perkara 12/Pdt.G/2025/PN Srh</t>
  </si>
  <si>
    <t>2026-06-12 14:09:10</t>
  </si>
  <si>
    <t>1084 TAHUN 2026</t>
  </si>
  <si>
    <t>G013-202606-020937-BIG</t>
  </si>
  <si>
    <t>2026-06-12</t>
  </si>
  <si>
    <t>Pemerintah Kabupaten Rembang</t>
  </si>
  <si>
    <t>2026-06-17 12:03:50</t>
  </si>
  <si>
    <t>G013-202606-020940-BIG</t>
  </si>
  <si>
    <t>2026-06-17</t>
  </si>
  <si>
    <t>2026-06-17 14:49:48</t>
  </si>
  <si>
    <t>1111 TAHUN 2026</t>
  </si>
  <si>
    <t>G013-202606-020941-BIG</t>
  </si>
  <si>
    <t>Tas bekal dan handuk</t>
  </si>
  <si>
    <t>2026-06-17 22:13:29</t>
  </si>
  <si>
    <t>G013-202606-020942-BIG</t>
  </si>
  <si>
    <t>NoteBook dengan Logo JLM, USB OTG</t>
  </si>
  <si>
    <t>JLM</t>
  </si>
  <si>
    <t>2026-06-18 05:03:50</t>
  </si>
  <si>
    <t>I Putu Bimbisara WR</t>
  </si>
  <si>
    <t xml:space="preserve">5108051905990009 </t>
  </si>
  <si>
    <t>Pengadilan Tinggi Kupang/Pengadilan Negeri Maumere</t>
  </si>
  <si>
    <t>2026-06-18 00:00:00</t>
  </si>
  <si>
    <t>Pengadilan Negeri Maumere</t>
  </si>
  <si>
    <t>G013-202606-020956-BIG</t>
  </si>
  <si>
    <t>2026-06-19</t>
  </si>
  <si>
    <t>Buku note dan usb port adapter</t>
  </si>
  <si>
    <t>2026-06-19 11:09:32</t>
  </si>
  <si>
    <t>G013-202606-020980-BIG</t>
  </si>
  <si>
    <t>Notebook dan usb hub</t>
  </si>
  <si>
    <t>2026-06-22 11:52:34</t>
  </si>
  <si>
    <t>Noor Faiz</t>
  </si>
  <si>
    <t xml:space="preserve">3471030801850003 </t>
  </si>
  <si>
    <t>Pengadilan Tinggi Agama Banjarmasin/Pengadilan Agama Tanjung</t>
  </si>
  <si>
    <t>G013-202606-020986-BIG</t>
  </si>
  <si>
    <t>2026-06-18</t>
  </si>
  <si>
    <t>sajadah merek Kiswah, parfum merek Reef &amp; Kiswah</t>
  </si>
  <si>
    <t>2026-06-22 15:43:58</t>
  </si>
  <si>
    <t>1121 TAHUN 2026</t>
  </si>
  <si>
    <t>kurma</t>
  </si>
  <si>
    <t>PENGADILAN NEGERI PRAYA</t>
  </si>
  <si>
    <t xml:space="preserve">5271022808830001 </t>
  </si>
  <si>
    <t>Pengadilan Tinggi Mataram/Pengadilan Negeri Praya</t>
  </si>
  <si>
    <t>2026-06-23 00:00:00</t>
  </si>
  <si>
    <t>Pengadilan Negeri Praya</t>
  </si>
  <si>
    <t>Widodo Arif Wicaksono</t>
  </si>
  <si>
    <t xml:space="preserve">3374112911840001 </t>
  </si>
  <si>
    <t>G013-202606-020993-BIG</t>
  </si>
  <si>
    <t>Buku Agenda warna hitam</t>
  </si>
  <si>
    <t>2026-06-23 10:59:05</t>
  </si>
  <si>
    <t>G013-202606-020994-BIG</t>
  </si>
  <si>
    <t>2026-06-23</t>
  </si>
  <si>
    <t>Kudapan, berisi kue, tahu, agar-agar, jeruk dan air mineral gelas</t>
  </si>
  <si>
    <t>Aniq</t>
  </si>
  <si>
    <t>2026-06-23 11:07:40</t>
  </si>
  <si>
    <t>AHMAD ZUHRI, S.H.I., M.Sy</t>
  </si>
  <si>
    <t xml:space="preserve">6203011304830007 </t>
  </si>
  <si>
    <t>Ketua Pengadilan Agama Giri Menang</t>
  </si>
  <si>
    <t>Pengadilan Tinggi Agama Mataram/Pengadilan Agama Giri Menang</t>
  </si>
  <si>
    <t>G013-202606-021000-BUK</t>
  </si>
  <si>
    <t>2026-05-25</t>
  </si>
  <si>
    <t>Zubaidi, Hedy Adhitya P, Eka Jauhari, Fery Apriawan</t>
  </si>
  <si>
    <t>2026-06-23 16:23:22</t>
  </si>
  <si>
    <t>G013-202606-021005-BIG</t>
  </si>
  <si>
    <t>2026-06-24</t>
  </si>
  <si>
    <t>Muk atau gelas keramik</t>
  </si>
  <si>
    <t>2026-06-24 10:10:50</t>
  </si>
  <si>
    <t>G013-202606-021006-BIG</t>
  </si>
  <si>
    <t>Gelas/Mug</t>
  </si>
  <si>
    <t>Sari Quratul Ainy</t>
  </si>
  <si>
    <t>2026-06-24 10:11:29</t>
  </si>
  <si>
    <t>Roni Evi Dongoran</t>
  </si>
  <si>
    <t xml:space="preserve">3275044204950019 </t>
  </si>
  <si>
    <t>2026-06-24 00:00:00</t>
  </si>
  <si>
    <t>DHANI HASWAR, S.HI.,MH.</t>
  </si>
  <si>
    <t xml:space="preserve">5271010401850002 </t>
  </si>
  <si>
    <t>G013-202606-021010-BUK</t>
  </si>
  <si>
    <t>Karangan Bunga ucapan selamat atas pelantikan jabatan</t>
  </si>
  <si>
    <t>The Law office of Mahayudin &amp; Partners</t>
  </si>
  <si>
    <t>2026-06-24 16:11:31</t>
  </si>
  <si>
    <t>hasbullah wahyudin</t>
  </si>
  <si>
    <t xml:space="preserve">3278033101840006 </t>
  </si>
  <si>
    <t>G013-202606-021018-BIG</t>
  </si>
  <si>
    <t>tas laptop</t>
  </si>
  <si>
    <t>dody</t>
  </si>
  <si>
    <t>2026-06-25 09:28:21</t>
  </si>
  <si>
    <t>G013-202606-021019-BIG</t>
  </si>
  <si>
    <t>Hand Bag kulit Sintetis logo BRI dan Notebook eksklusif BRI</t>
  </si>
  <si>
    <t>Tohana</t>
  </si>
  <si>
    <t>2026-06-25 10:43:33</t>
  </si>
  <si>
    <t>G013-202606-021043-BIG</t>
  </si>
  <si>
    <t>2026-06-20</t>
  </si>
  <si>
    <t>Ketua DYK Kab Bantul</t>
  </si>
  <si>
    <t>2026-06-26 17:58:40</t>
  </si>
  <si>
    <t>Moch. Irfan Dwi Syahroni</t>
  </si>
  <si>
    <t xml:space="preserve">3523160707980003 </t>
  </si>
  <si>
    <t>Pengadilan Tinggi Agama Kupang/Pengadilan Agama Maumere</t>
  </si>
  <si>
    <t>2026-06-29 00:00:00</t>
  </si>
  <si>
    <t>Pengadilan Agama Maumere</t>
  </si>
  <si>
    <t>ANALISIS RISIKO GRATIFIKASI — HUBUNGAN JABATAN × OBJEK GRATIFIKASI</t>
  </si>
  <si>
    <t>Sumber: sheet Worksheet (1.079 laporan). Kategori objek, skenario, dan kelompok jabatan dihasilkan otomatis dari kamus kata kunci di sheet Kamus (kolom bantu Worksheet!S:V).</t>
  </si>
  <si>
    <t>RINGKASAN EKSEKUTIF</t>
  </si>
  <si>
    <t>Total laporan gratifikasi</t>
  </si>
  <si>
    <t>Bobot volume laporan</t>
  </si>
  <si>
    <t>Total nilai penetapan (Rp)</t>
  </si>
  <si>
    <t>Bobot proporsi objek uang</t>
  </si>
  <si>
    <t>Laporan dengan objek berupa uang</t>
  </si>
  <si>
    <t>Bobot nilai penetapan</t>
  </si>
  <si>
    <t>Tingkat penolakan gratifikasi</t>
  </si>
  <si>
    <t>Total bobot</t>
  </si>
  <si>
    <t>Jabatan paling berisiko (skor tertinggi)</t>
  </si>
  <si>
    <t>Objek gratifikasi paling banyak</t>
  </si>
  <si>
    <t>Skenario gratifikasi paling sering</t>
  </si>
  <si>
    <t>Periode tanggal penerimaan</t>
  </si>
  <si>
    <t>A. JABATAN PALING BERISIKO</t>
  </si>
  <si>
    <t>Jumlah Laporan</t>
  </si>
  <si>
    <t>% dari Total</t>
  </si>
  <si>
    <t>Laporan Objek Uang</t>
  </si>
  <si>
    <t>% Objek Uang</t>
  </si>
  <si>
    <t>Nilai Penetapan (Rp)</t>
  </si>
  <si>
    <t>Laporan Ditolak</t>
  </si>
  <si>
    <t>Skor Risiko (0-100)</t>
  </si>
  <si>
    <t>Peringkat Risiko</t>
  </si>
  <si>
    <t>Staf/Pegawai Pelaksana</t>
  </si>
  <si>
    <t>Pejabat Struktural (Kasubbag/Kabag)</t>
  </si>
  <si>
    <t>Jabatan Lainnya</t>
  </si>
  <si>
    <t>Pimpinan Satker/Direktorat</t>
  </si>
  <si>
    <t>TOTAL</t>
  </si>
  <si>
    <t>B. OBJEK GRATIFIKASI PALING BANYAK DIBERIKAN</t>
  </si>
  <si>
    <t>% Ditolak</t>
  </si>
  <si>
    <t>Kelompok Jabatan Dominan</t>
  </si>
  <si>
    <t>Skenario Dominan</t>
  </si>
  <si>
    <t>Makanan &amp; Minuman</t>
  </si>
  <si>
    <t>Peralatan Rumah Tangga / Pecah Belah</t>
  </si>
  <si>
    <t>Uang &amp; Setara Uang</t>
  </si>
  <si>
    <t>Pakaian &amp; Kain</t>
  </si>
  <si>
    <t>Suvenir &amp; Merchandise</t>
  </si>
  <si>
    <t>Buku &amp; Publikasi</t>
  </si>
  <si>
    <t>Parsel/Bingkisan (tidak dirinci)</t>
  </si>
  <si>
    <t>Karangan Bunga / Ucapan</t>
  </si>
  <si>
    <t>Elektronik &amp; Gadget</t>
  </si>
  <si>
    <t>Fasilitas &amp; Jasa</t>
  </si>
  <si>
    <t>Barang Lain / Tidak Terinci</t>
  </si>
  <si>
    <t>(tidak diisi)</t>
  </si>
  <si>
    <t>C. SKENARIO GRATIFIKASI PALING SERING &amp; TRENNYA DARI TAHUN KE TAHUN</t>
  </si>
  <si>
    <t>2026*</t>
  </si>
  <si>
    <t>Total Laporan</t>
  </si>
  <si>
    <t>Δ 2026 vs 2025</t>
  </si>
  <si>
    <t>Arah Tren</t>
  </si>
  <si>
    <t>Share 2025</t>
  </si>
  <si>
    <t>Share 2026*</t>
  </si>
  <si>
    <t>Δ Share (pp)</t>
  </si>
  <si>
    <t>Pemberian Umum / Tanpa Konteks</t>
  </si>
  <si>
    <t>Parsel/Bingkisan Umum (non-hari raya)</t>
  </si>
  <si>
    <t>Pemberian Uang Langsung</t>
  </si>
  <si>
    <t>Suvenir / Merchandise Kegiatan &amp; Kunjungan</t>
  </si>
  <si>
    <t>Bingkisan Hari Raya / Keagamaan</t>
  </si>
  <si>
    <t>Jamuan / Konsumsi Rapat &amp; Kegiatan</t>
  </si>
  <si>
    <t>Ucapan Duka/Selamat (Karangan Bunga)</t>
  </si>
  <si>
    <t>Oleh-oleh / Buah Tangan Perjalanan</t>
  </si>
  <si>
    <t>Honor / Uang Kegiatan</t>
  </si>
  <si>
    <t>Hadiah Acara Personal</t>
  </si>
  <si>
    <t>*2026 = data s.d. Juli 2026 (belum setahun penuh)</t>
  </si>
  <si>
    <t>D. CROSS-REFERENCING: KELOMPOK JABATAN × KATEGORI OBJEK (jumlah laporan)</t>
  </si>
  <si>
    <t>Kelompok Jabatan \ Objek</t>
  </si>
  <si>
    <t>E. TEMUAN UTAMA &amp; REKOMENDASI</t>
  </si>
  <si>
    <t>REKOMENDASI: (a) fokuskan sosialisasi &amp; pengendalian pada Ketua Pengadilan dan Hakim, terutama pada musim hari raya (Maret–April); (b) wajibkan uraian objek yang rinci (jenis, jumlah, nilai, konteks pemberian) agar laporan 'tanpa konteks' turun dari 40%; (c) pantau khusus objek Uang serta Fasilitas &amp; Jasa karena mendominasi nilai rupiah; (d) jadikan tanggal penerimaan sebagai field wajib.</t>
  </si>
  <si>
    <t>F. DATA GRAFIK: TREN 6 SKENARIO TERBESAR (proporsi laporan per tahun)</t>
  </si>
  <si>
    <t>Skenario</t>
  </si>
  <si>
    <t>G. KEGIATAN / MOMEN YANG RENTAN PENERIMAAN GRATIFIKASI (inferensi — bersifat indikatif)</t>
  </si>
  <si>
    <t>Metode: label diambil dari kata kunci kegiatan pada uraian objek (Kamus!M:N). Jika uraian tidak menyebut kegiatan, label diduga dari kombinasi momen (bulan) + tipe pemberi (Kamus!J:K dan Kamus!P:Q). Kolom bantu: Worksheet!W:AA.</t>
  </si>
  <si>
    <t>Dugaan Kegiatan / Momen</t>
  </si>
  <si>
    <t>Objek Dominan</t>
  </si>
  <si>
    <t>Dasar Label</t>
  </si>
  <si>
    <t>Relasi Personal / Tidak Teridentifikasi</t>
  </si>
  <si>
    <t>Momen Hari Raya (dugaan musiman)</t>
  </si>
  <si>
    <t>Momen Hari Raya (Ramadan/Idulfitri)</t>
  </si>
  <si>
    <t>Kegiatan Sosial / Bantuan (Paket Sembako)</t>
  </si>
  <si>
    <t>Koordinasi Antarinstansi (dugaan)</t>
  </si>
  <si>
    <t>Relasi Layanan/Kerja Sama Perbankan (dugaan)</t>
  </si>
  <si>
    <t>Kunjungan/Koordinasi Internal Peradilan (dugaan)</t>
  </si>
  <si>
    <t>Kerja Sama Pendidikan/PKL (dugaan)</t>
  </si>
  <si>
    <t>Rapat / Jamuan Dinas</t>
  </si>
  <si>
    <t>Ucapan Selamat/Duka atas Acara Instansi</t>
  </si>
  <si>
    <t>Pemberi Tidak Diketahui</t>
  </si>
  <si>
    <t>Relasi Vendor/Pengadaan (dugaan)</t>
  </si>
  <si>
    <t>Kegiatan Organisasi/Panitia (dugaan)</t>
  </si>
  <si>
    <t>Diklat / Bimtek / Seminar &amp; Narasumber</t>
  </si>
  <si>
    <t>Acara Personal (Pernikahan/Duka/Wisuda)</t>
  </si>
  <si>
    <t>HUT / Peresmian &amp; Syukuran Instansi</t>
  </si>
  <si>
    <t>Momen Hari Besar Keagamaan Lain</t>
  </si>
  <si>
    <t>Kegiatan Keagamaan Dinas (Rukyatul Hilal)</t>
  </si>
  <si>
    <t>Relasi Profesi Hukum/Perkara (dugaan)</t>
  </si>
  <si>
    <t>Pelantikan / Pisah Sambut / Mutasi</t>
  </si>
  <si>
    <t>Tidak Teridentifikasi</t>
  </si>
  <si>
    <t>H. MUSIM RAWAN: DISTRIBUSI BULAN PENERIMAAN × SKENARIO</t>
  </si>
  <si>
    <t>Bulan</t>
  </si>
  <si>
    <t>Parsel/Bingkisan Umum</t>
  </si>
  <si>
    <t>Suvenir/Merchandise Kegiatan</t>
  </si>
  <si>
    <t>Jamuan/Konsumsi Dinas</t>
  </si>
  <si>
    <t>Januari</t>
  </si>
  <si>
    <t>Februari</t>
  </si>
  <si>
    <t>Maret</t>
  </si>
  <si>
    <t>April</t>
  </si>
  <si>
    <t>Mei</t>
  </si>
  <si>
    <t>Juni</t>
  </si>
  <si>
    <t>Juli</t>
  </si>
  <si>
    <t>Agustus</t>
  </si>
  <si>
    <t>September</t>
  </si>
  <si>
    <t>Oktober</t>
  </si>
  <si>
    <t>November</t>
  </si>
  <si>
    <t>Desember</t>
  </si>
  <si>
    <t>Tanggal tidak diisi</t>
  </si>
  <si>
    <t>I. MATRIKS TIPE PEMBERI × KELOMPOK JABATAN PENERIMA (jumlah laporan)</t>
  </si>
  <si>
    <t>Tipe Pemberi \ Jabatan</t>
  </si>
  <si>
    <t>Total</t>
  </si>
  <si>
    <t>Individu / Perorangan</t>
  </si>
  <si>
    <t>Bank &amp; Lembaga Keuangan</t>
  </si>
  <si>
    <t>Pemerintah Daerah</t>
  </si>
  <si>
    <t>Aparat/Instansi Penegak Hukum &amp; Vertikal</t>
  </si>
  <si>
    <t>Internal Peradilan / Instansi Sendiri</t>
  </si>
  <si>
    <t>Kampus &amp; Sekolah</t>
  </si>
  <si>
    <t>Perusahaan / Vendor</t>
  </si>
  <si>
    <t>Organisasi / Panitia Kegiatan</t>
  </si>
  <si>
    <t>Advokat/Notaris/Profesi Hukum</t>
  </si>
  <si>
    <t>J. TEMUAN KEGIATAN RENTAN &amp; KETERBATASAN METODE</t>
  </si>
  <si>
    <t>REKOMENDASI: (a) tambahkan field wajib "kegiatan/kejadian saat pemberian" dan "hubungan pemberi dengan penerima" pada formulir pelaporan agar analisis ini tidak lagi berbasis dugaan; (b) terbitkan surat imbauan pra-Ramadan (Januari) dan pra-Idulfitri ke seluruh satker, karena 51% laporan terjadi Februari–April; (c) awasi khusus kegiatan kerja sama perbankan, koordinasi antarinstansi, dan kerja sama pendidikan/PKL karena objeknya dominan uang dan nilainya besar; (d) minta panitia kegiatan (bimtek/seminar/kunjungan) menegaskan larangan suvenir bernilai kepada narasumber/pejabat.</t>
  </si>
  <si>
    <t>KAMUS KLASIFIKASI (kata kunci -&gt; kategori, dibaca berurutan dari atas; kecocokan pertama dipakai)</t>
  </si>
  <si>
    <t>Kata Kunci (jabatan)</t>
  </si>
  <si>
    <t>Kata Kunci (objek)</t>
  </si>
  <si>
    <t>Kata Kunci (skenario)</t>
  </si>
  <si>
    <t>Kata Kunci (nama pemberi)</t>
  </si>
  <si>
    <t>Kata Kunci (uraian objek)</t>
  </si>
  <si>
    <t>Dugaan Konteks Kegiatan (jika uraian tidak menyebut kegiatan)</t>
  </si>
  <si>
    <t>wakil ketua</t>
  </si>
  <si>
    <t>lebaran</t>
  </si>
  <si>
    <t>bank</t>
  </si>
  <si>
    <t>pelantikan</t>
  </si>
  <si>
    <t>tunai</t>
  </si>
  <si>
    <t>idul fitri</t>
  </si>
  <si>
    <t>bsi</t>
  </si>
  <si>
    <t>pisah sambut</t>
  </si>
  <si>
    <t>kpn</t>
  </si>
  <si>
    <t>voucher</t>
  </si>
  <si>
    <t>idulfitri</t>
  </si>
  <si>
    <t xml:space="preserve">bri </t>
  </si>
  <si>
    <t>serah terima jabatan</t>
  </si>
  <si>
    <t>honorarium</t>
  </si>
  <si>
    <t>hari raya</t>
  </si>
  <si>
    <t>bni</t>
  </si>
  <si>
    <t>sertijab</t>
  </si>
  <si>
    <t>panitera</t>
  </si>
  <si>
    <t>transfer</t>
  </si>
  <si>
    <t>ramadhan</t>
  </si>
  <si>
    <t>mandiri</t>
  </si>
  <si>
    <t>mutasi</t>
  </si>
  <si>
    <t>juru sita</t>
  </si>
  <si>
    <t>saldo</t>
  </si>
  <si>
    <t>ramadan</t>
  </si>
  <si>
    <t>btn</t>
  </si>
  <si>
    <t>promosi</t>
  </si>
  <si>
    <t>jurusita</t>
  </si>
  <si>
    <t>gopay</t>
  </si>
  <si>
    <t>natal</t>
  </si>
  <si>
    <t>bpd</t>
  </si>
  <si>
    <t>perpisahan</t>
  </si>
  <si>
    <t>ovo</t>
  </si>
  <si>
    <t>tahun baru</t>
  </si>
  <si>
    <t>bjb</t>
  </si>
  <si>
    <t>pensiun</t>
  </si>
  <si>
    <t>Pensiun / Purna Tugas</t>
  </si>
  <si>
    <t>kasub</t>
  </si>
  <si>
    <t>thr</t>
  </si>
  <si>
    <t>imlek</t>
  </si>
  <si>
    <t>syariah</t>
  </si>
  <si>
    <t>purna</t>
  </si>
  <si>
    <t>kepala sub</t>
  </si>
  <si>
    <t>jasa</t>
  </si>
  <si>
    <t>nyepi</t>
  </si>
  <si>
    <t>koperasi</t>
  </si>
  <si>
    <t>purnabakti</t>
  </si>
  <si>
    <t>kabag</t>
  </si>
  <si>
    <t>fasilitas</t>
  </si>
  <si>
    <t>galungan</t>
  </si>
  <si>
    <t>pegadaian</t>
  </si>
  <si>
    <t>rukyat</t>
  </si>
  <si>
    <t>kepala bagian</t>
  </si>
  <si>
    <t>diskon</t>
  </si>
  <si>
    <t>syawal</t>
  </si>
  <si>
    <t>asuransi</t>
  </si>
  <si>
    <t>hilal</t>
  </si>
  <si>
    <t>direktur</t>
  </si>
  <si>
    <t>keanggotaan</t>
  </si>
  <si>
    <t>fitri</t>
  </si>
  <si>
    <t>leasing</t>
  </si>
  <si>
    <t>isbat</t>
  </si>
  <si>
    <t>kepala badan</t>
  </si>
  <si>
    <t>membership</t>
  </si>
  <si>
    <t>idul adha</t>
  </si>
  <si>
    <t>finance</t>
  </si>
  <si>
    <t>narasumber</t>
  </si>
  <si>
    <t>tiket</t>
  </si>
  <si>
    <t>kurban</t>
  </si>
  <si>
    <t>polres</t>
  </si>
  <si>
    <t>diklat</t>
  </si>
  <si>
    <t>akomodasi</t>
  </si>
  <si>
    <t>sembako</t>
  </si>
  <si>
    <t>polda</t>
  </si>
  <si>
    <t>bimtek</t>
  </si>
  <si>
    <t>staf</t>
  </si>
  <si>
    <t>hotel</t>
  </si>
  <si>
    <t>jamuan</t>
  </si>
  <si>
    <t>polri</t>
  </si>
  <si>
    <t>pelatihan</t>
  </si>
  <si>
    <t>pelaksana</t>
  </si>
  <si>
    <t>penginapan</t>
  </si>
  <si>
    <t>makan siang</t>
  </si>
  <si>
    <t>kapolres</t>
  </si>
  <si>
    <t>seminar</t>
  </si>
  <si>
    <t>pranata</t>
  </si>
  <si>
    <t>umroh</t>
  </si>
  <si>
    <t>makan pagi</t>
  </si>
  <si>
    <t>kepolisian</t>
  </si>
  <si>
    <t>workshop</t>
  </si>
  <si>
    <t>analis</t>
  </si>
  <si>
    <t>perjalanan</t>
  </si>
  <si>
    <t>makan malam</t>
  </si>
  <si>
    <t>kejaksaan</t>
  </si>
  <si>
    <t>sosialisasi</t>
  </si>
  <si>
    <t>penata</t>
  </si>
  <si>
    <t>kartu</t>
  </si>
  <si>
    <t>nasi kotak</t>
  </si>
  <si>
    <t>kejari</t>
  </si>
  <si>
    <t>pembinaan</t>
  </si>
  <si>
    <t>pengelola</t>
  </si>
  <si>
    <t>power bank</t>
  </si>
  <si>
    <t>nasi box</t>
  </si>
  <si>
    <t>kejati</t>
  </si>
  <si>
    <t>kuliah</t>
  </si>
  <si>
    <t>operator</t>
  </si>
  <si>
    <t>powerbank</t>
  </si>
  <si>
    <t>hidangan</t>
  </si>
  <si>
    <t>lapas</t>
  </si>
  <si>
    <t>mengajar</t>
  </si>
  <si>
    <t>verifikator</t>
  </si>
  <si>
    <t>speaker</t>
  </si>
  <si>
    <t>buka puasa</t>
  </si>
  <si>
    <t>rutan</t>
  </si>
  <si>
    <t>penyuluhan</t>
  </si>
  <si>
    <t>arsiparis</t>
  </si>
  <si>
    <t>laptop</t>
  </si>
  <si>
    <t>tumpeng</t>
  </si>
  <si>
    <t>imigrasi</t>
  </si>
  <si>
    <t>webinar</t>
  </si>
  <si>
    <t>bendahara</t>
  </si>
  <si>
    <t>handphone</t>
  </si>
  <si>
    <t>catering</t>
  </si>
  <si>
    <t>bpn</t>
  </si>
  <si>
    <t>seminar kit</t>
  </si>
  <si>
    <t>humidifier</t>
  </si>
  <si>
    <t>konsumsi</t>
  </si>
  <si>
    <t>kanwil</t>
  </si>
  <si>
    <t>magang</t>
  </si>
  <si>
    <t>Kunjungan Kerja / Studi &amp; Magang</t>
  </si>
  <si>
    <t>elektronik</t>
  </si>
  <si>
    <t>coffee break</t>
  </si>
  <si>
    <t>kemenag</t>
  </si>
  <si>
    <t>pkl</t>
  </si>
  <si>
    <t>jam tangan</t>
  </si>
  <si>
    <t>kantor pertanahan</t>
  </si>
  <si>
    <t>praktik kerja</t>
  </si>
  <si>
    <t>watch</t>
  </si>
  <si>
    <t>transport</t>
  </si>
  <si>
    <t>bnn</t>
  </si>
  <si>
    <t>studi banding</t>
  </si>
  <si>
    <t>headset</t>
  </si>
  <si>
    <t>tni</t>
  </si>
  <si>
    <t>kunjungan</t>
  </si>
  <si>
    <t>tablet</t>
  </si>
  <si>
    <t>insentif</t>
  </si>
  <si>
    <t>kodim</t>
  </si>
  <si>
    <t>kunker</t>
  </si>
  <si>
    <t>printer</t>
  </si>
  <si>
    <t>fee</t>
  </si>
  <si>
    <t>korem</t>
  </si>
  <si>
    <t>benchmark</t>
  </si>
  <si>
    <t>kipas</t>
  </si>
  <si>
    <t>oleh-oleh</t>
  </si>
  <si>
    <t>pemda</t>
  </si>
  <si>
    <t>penelitian</t>
  </si>
  <si>
    <t>kain</t>
  </si>
  <si>
    <t>oleh oleh</t>
  </si>
  <si>
    <t>pemerintah</t>
  </si>
  <si>
    <t>riset</t>
  </si>
  <si>
    <t>batik</t>
  </si>
  <si>
    <t>khas</t>
  </si>
  <si>
    <t>pemkab</t>
  </si>
  <si>
    <t>wawancara</t>
  </si>
  <si>
    <t>baju</t>
  </si>
  <si>
    <t>buah tangan</t>
  </si>
  <si>
    <t>pemkot</t>
  </si>
  <si>
    <t>survei</t>
  </si>
  <si>
    <t>kemeja</t>
  </si>
  <si>
    <t>bupati</t>
  </si>
  <si>
    <t>mou</t>
  </si>
  <si>
    <t>Kerja Sama / Koordinasi Antarlembaga (MoU)</t>
  </si>
  <si>
    <t>sarung</t>
  </si>
  <si>
    <t>berlogo</t>
  </si>
  <si>
    <t>wali kota</t>
  </si>
  <si>
    <t>kerja sama</t>
  </si>
  <si>
    <t>mukena</t>
  </si>
  <si>
    <t>logo</t>
  </si>
  <si>
    <t>walikota</t>
  </si>
  <si>
    <t>kerjasama</t>
  </si>
  <si>
    <t>jilbab</t>
  </si>
  <si>
    <t>gubernur</t>
  </si>
  <si>
    <t>perjanjian</t>
  </si>
  <si>
    <t>sajadah</t>
  </si>
  <si>
    <t>dinas</t>
  </si>
  <si>
    <t>penandatanganan</t>
  </si>
  <si>
    <t>kerudung</t>
  </si>
  <si>
    <t>plakat</t>
  </si>
  <si>
    <t>kecamatan</t>
  </si>
  <si>
    <t>audiensi</t>
  </si>
  <si>
    <t>koko</t>
  </si>
  <si>
    <t>kenang</t>
  </si>
  <si>
    <t>kelurahan</t>
  </si>
  <si>
    <t>koordinasi</t>
  </si>
  <si>
    <t>pakaian</t>
  </si>
  <si>
    <t>cendera</t>
  </si>
  <si>
    <t>desa</t>
  </si>
  <si>
    <t>rapat koordinasi</t>
  </si>
  <si>
    <t>tenun</t>
  </si>
  <si>
    <t>souvenir</t>
  </si>
  <si>
    <t>dprd</t>
  </si>
  <si>
    <t>sidang</t>
  </si>
  <si>
    <t>Terkait Perkara / Persidangan</t>
  </si>
  <si>
    <t>songket</t>
  </si>
  <si>
    <t>suvenir</t>
  </si>
  <si>
    <t>sekda</t>
  </si>
  <si>
    <t>perkara</t>
  </si>
  <si>
    <t>buku</t>
  </si>
  <si>
    <t>mug</t>
  </si>
  <si>
    <t>bappeda</t>
  </si>
  <si>
    <t>putusan</t>
  </si>
  <si>
    <t>al-qur</t>
  </si>
  <si>
    <t>kalender</t>
  </si>
  <si>
    <t>bpkad</t>
  </si>
  <si>
    <t>saksi</t>
  </si>
  <si>
    <t>quran</t>
  </si>
  <si>
    <t>goodie</t>
  </si>
  <si>
    <t>camat</t>
  </si>
  <si>
    <t>eksekusi</t>
  </si>
  <si>
    <t>kitab</t>
  </si>
  <si>
    <t>goody</t>
  </si>
  <si>
    <t>universitas</t>
  </si>
  <si>
    <t>mediasi</t>
  </si>
  <si>
    <t>majalah</t>
  </si>
  <si>
    <t>bloknote</t>
  </si>
  <si>
    <t>sekolah</t>
  </si>
  <si>
    <t>gugatan</t>
  </si>
  <si>
    <t>novel</t>
  </si>
  <si>
    <t>block note</t>
  </si>
  <si>
    <t>kampus</t>
  </si>
  <si>
    <t>berperkara</t>
  </si>
  <si>
    <t>pecah belah</t>
  </si>
  <si>
    <t>booknote</t>
  </si>
  <si>
    <t>smk</t>
  </si>
  <si>
    <t>pihak</t>
  </si>
  <si>
    <t>piring</t>
  </si>
  <si>
    <t>card holder</t>
  </si>
  <si>
    <t xml:space="preserve">sma </t>
  </si>
  <si>
    <t>hut</t>
  </si>
  <si>
    <t>lanyard</t>
  </si>
  <si>
    <t>smp</t>
  </si>
  <si>
    <t>ulang tahun instansi</t>
  </si>
  <si>
    <t>mangkuk</t>
  </si>
  <si>
    <t>pernikahan</t>
  </si>
  <si>
    <t>iain</t>
  </si>
  <si>
    <t>peresmian</t>
  </si>
  <si>
    <t>ulang tahun</t>
  </si>
  <si>
    <t xml:space="preserve">uin </t>
  </si>
  <si>
    <t>pembukaan</t>
  </si>
  <si>
    <t>cangkir</t>
  </si>
  <si>
    <t>kelahiran</t>
  </si>
  <si>
    <t>stai</t>
  </si>
  <si>
    <t>launching</t>
  </si>
  <si>
    <t>toples</t>
  </si>
  <si>
    <t>madrasah</t>
  </si>
  <si>
    <t>peluncuran</t>
  </si>
  <si>
    <t>teko</t>
  </si>
  <si>
    <t>politeknik</t>
  </si>
  <si>
    <t>syukuran</t>
  </si>
  <si>
    <t>sendok</t>
  </si>
  <si>
    <t>wisuda</t>
  </si>
  <si>
    <t>fakultas</t>
  </si>
  <si>
    <t>tasyakuran</t>
  </si>
  <si>
    <t>duka</t>
  </si>
  <si>
    <t>siswa</t>
  </si>
  <si>
    <t>dies natalis</t>
  </si>
  <si>
    <t>keramik</t>
  </si>
  <si>
    <t>sakit</t>
  </si>
  <si>
    <t>mahasiswa</t>
  </si>
  <si>
    <t>halal bihalal</t>
  </si>
  <si>
    <t>nampan</t>
  </si>
  <si>
    <t>pengadilan</t>
  </si>
  <si>
    <t>tray</t>
  </si>
  <si>
    <t>mahkamah</t>
  </si>
  <si>
    <t>dispenser</t>
  </si>
  <si>
    <t xml:space="preserve">kpt </t>
  </si>
  <si>
    <t>oven</t>
  </si>
  <si>
    <t>parsel</t>
  </si>
  <si>
    <t>ketua pt</t>
  </si>
  <si>
    <t>chopper</t>
  </si>
  <si>
    <t>parcel</t>
  </si>
  <si>
    <t>coffee maker</t>
  </si>
  <si>
    <t>hampers</t>
  </si>
  <si>
    <t>panci</t>
  </si>
  <si>
    <t>bingkisan</t>
  </si>
  <si>
    <t>badan peradilan</t>
  </si>
  <si>
    <t>rice cooker</t>
  </si>
  <si>
    <t>ditjen</t>
  </si>
  <si>
    <t>peralatan</t>
  </si>
  <si>
    <t>bunga</t>
  </si>
  <si>
    <t>direktorat</t>
  </si>
  <si>
    <t>termos</t>
  </si>
  <si>
    <t>advokat</t>
  </si>
  <si>
    <t>sumpit</t>
  </si>
  <si>
    <t>kuasa hukum</t>
  </si>
  <si>
    <t>zakat</t>
  </si>
  <si>
    <t>keranjang</t>
  </si>
  <si>
    <t>pengacara</t>
  </si>
  <si>
    <t>tempat minum</t>
  </si>
  <si>
    <t>law firm</t>
  </si>
  <si>
    <t>notaris</t>
  </si>
  <si>
    <t>ppat</t>
  </si>
  <si>
    <t>kurator</t>
  </si>
  <si>
    <t>konsultan hukum</t>
  </si>
  <si>
    <t>waisak</t>
  </si>
  <si>
    <t xml:space="preserve">pt </t>
  </si>
  <si>
    <t>bolpoin</t>
  </si>
  <si>
    <t>pt.</t>
  </si>
  <si>
    <t>bolpoint</t>
  </si>
  <si>
    <t xml:space="preserve">cv </t>
  </si>
  <si>
    <t>meninggal</t>
  </si>
  <si>
    <t>ballpoint</t>
  </si>
  <si>
    <t>cv.</t>
  </si>
  <si>
    <t>wafat</t>
  </si>
  <si>
    <t>pulpen</t>
  </si>
  <si>
    <t>tbk</t>
  </si>
  <si>
    <t>pena</t>
  </si>
  <si>
    <t>persero</t>
  </si>
  <si>
    <t>notebook</t>
  </si>
  <si>
    <t>vendor</t>
  </si>
  <si>
    <t>aqiqah</t>
  </si>
  <si>
    <t>note book</t>
  </si>
  <si>
    <t>percetakan</t>
  </si>
  <si>
    <t>khitan</t>
  </si>
  <si>
    <t>toko</t>
  </si>
  <si>
    <t>catatan</t>
  </si>
  <si>
    <t>apotek</t>
  </si>
  <si>
    <t>papan bunga</t>
  </si>
  <si>
    <t>rumah sakit</t>
  </si>
  <si>
    <t>rapat</t>
  </si>
  <si>
    <t>payung</t>
  </si>
  <si>
    <t>klinik</t>
  </si>
  <si>
    <t>gantungan kunci</t>
  </si>
  <si>
    <t>developer</t>
  </si>
  <si>
    <t>totebag</t>
  </si>
  <si>
    <t>panitia</t>
  </si>
  <si>
    <t>tas</t>
  </si>
  <si>
    <t>pengurus</t>
  </si>
  <si>
    <t>jam dinding</t>
  </si>
  <si>
    <t>organisasi</t>
  </si>
  <si>
    <t>ikatan</t>
  </si>
  <si>
    <t>asosiasi</t>
  </si>
  <si>
    <t>pin</t>
  </si>
  <si>
    <t>yayasan</t>
  </si>
  <si>
    <t>masjid</t>
  </si>
  <si>
    <t>pondok</t>
  </si>
  <si>
    <t>flashdisk</t>
  </si>
  <si>
    <t>pesantren</t>
  </si>
  <si>
    <t>bakti sosial</t>
  </si>
  <si>
    <t>majelis</t>
  </si>
  <si>
    <t>baksos</t>
  </si>
  <si>
    <t>makan</t>
  </si>
  <si>
    <t>komunitas</t>
  </si>
  <si>
    <t>santunan</t>
  </si>
  <si>
    <t>forum</t>
  </si>
  <si>
    <t>donasi</t>
  </si>
  <si>
    <t>roti</t>
  </si>
  <si>
    <t>lsm</t>
  </si>
  <si>
    <t>bantuan</t>
  </si>
  <si>
    <t>minum</t>
  </si>
  <si>
    <t>dharma</t>
  </si>
  <si>
    <t>buah</t>
  </si>
  <si>
    <t>kopi</t>
  </si>
  <si>
    <t>tidak diketahu</t>
  </si>
  <si>
    <t>teh</t>
  </si>
  <si>
    <t>anonim</t>
  </si>
  <si>
    <t>dodol</t>
  </si>
  <si>
    <t>tanpa nama</t>
  </si>
  <si>
    <t>permen</t>
  </si>
  <si>
    <t>tidak dikenal</t>
  </si>
  <si>
    <t>nasi</t>
  </si>
  <si>
    <t>tdk diketahui</t>
  </si>
  <si>
    <t>cake</t>
  </si>
  <si>
    <t>donat</t>
  </si>
  <si>
    <t>puding</t>
  </si>
  <si>
    <t>biskuit</t>
  </si>
  <si>
    <t>coklat</t>
  </si>
  <si>
    <t>wafer</t>
  </si>
  <si>
    <t>beras</t>
  </si>
  <si>
    <t>gula</t>
  </si>
  <si>
    <t>sirup</t>
  </si>
  <si>
    <t>madu</t>
  </si>
  <si>
    <t>keripik</t>
  </si>
  <si>
    <t>bolu</t>
  </si>
  <si>
    <t>jajan</t>
  </si>
  <si>
    <t>camilan</t>
  </si>
  <si>
    <t>snack</t>
  </si>
  <si>
    <t>durian</t>
  </si>
  <si>
    <t>kacang</t>
  </si>
  <si>
    <t>susu</t>
  </si>
  <si>
    <t>air zam</t>
  </si>
  <si>
    <t>paket</t>
  </si>
  <si>
    <t>handuk</t>
  </si>
  <si>
    <t>kaos</t>
  </si>
  <si>
    <t>handbag</t>
  </si>
  <si>
    <t>gelang</t>
  </si>
  <si>
    <t>bird nest</t>
  </si>
  <si>
    <t>mie</t>
  </si>
  <si>
    <t>tumblr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</si>
</sst>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R\p\ #,##0;\(\R\p\ #,##0\);\-"/>
    <numFmt numFmtId="165" formatCode="0.0%"/>
    <numFmt numFmtId="166" formatCode="#,##0;\(#,##0\);\-"/>
    <numFmt numFmtId="167" formatCode="0.0"/>
    <numFmt numFmtId="168" formatCode="#,##0;;\-"/>
    <numFmt numFmtId="169" formatCode="\+0.0%;\-0.0%;0.0%"/>
    <numFmt numFmtId="170" formatCode="\+0.0&quot; pp&quot;;\-0.0&quot; pp&quot;;0.0&quot; pp&quot;"/>
  </numFmts>
  <fonts count="45">
    <font>
      <sz val="11"/>
      <color theme="1"/>
      <name val="Calibri"/>
      <charset val="1"/>
    </font>
    <font>
      <b/>
      <sz val="12"/>
      <color rgb="FF1F3864"/>
      <name val="Calibri"/>
      <family val="2"/>
    </font>
    <font>
      <b/>
      <sz val="11"/>
      <color rgb="FFFFFFFF"/>
      <name val="Calibri"/>
      <family val="2"/>
    </font>
    <font>
      <sz val="11"/>
      <color rgb="FF262626"/>
      <name val="Calibri"/>
      <family val="2"/>
    </font>
    <font>
      <b/>
      <sz val="11"/>
      <color rgb="FF262626"/>
      <name val="Calibri"/>
      <family val="2"/>
    </font>
    <font>
      <b/>
      <sz val="11"/>
      <color rgb="FF1F3864"/>
      <name val="Calibri"/>
      <family val="2"/>
    </font>
    <font>
      <b/>
      <sz val="12"/>
      <color rgb="FFFFFFFF"/>
      <name val="Calibri"/>
      <family val="2"/>
    </font>
    <font>
      <b/>
      <sz val="11"/>
      <color rgb="FF1F4E78"/>
      <name val="Calibri"/>
      <family val="2"/>
    </font>
    <font>
      <b/>
      <sz val="11"/>
      <color rgb="FFC45911"/>
      <name val="Calibri"/>
      <family val="2"/>
    </font>
    <font>
      <b/>
      <sz val="11"/>
      <color rgb="FF5B2D90"/>
      <name val="Calibri"/>
      <family val="2"/>
    </font>
    <font>
      <b/>
      <sz val="11"/>
      <color rgb="FF375623"/>
      <name val="Calibri"/>
      <family val="2"/>
    </font>
    <font>
      <b/>
      <sz val="16"/>
      <color rgb="FFFFFFFF"/>
      <name val="Britannic Bold"/>
      <family val="2"/>
    </font>
    <font>
      <b/>
      <sz val="14"/>
      <color rgb="FFFFFFFF"/>
      <name val="Britannic Bold"/>
      <family val="2"/>
    </font>
    <font>
      <i/>
      <sz val="11"/>
      <color theme="1"/>
      <name val="Calibri"/>
      <family val="2"/>
    </font>
    <font>
      <i/>
      <sz val="11"/>
      <color rgb="FF262626"/>
      <name val="Calibri"/>
      <family val="2"/>
    </font>
    <font>
      <b/>
      <sz val="11"/>
      <color theme="1"/>
      <name val="Calibri"/>
      <family val="2"/>
    </font>
    <font>
      <sz val="11"/>
      <color rgb="FF1F3864"/>
      <name val="Calibri"/>
      <family val="2"/>
    </font>
    <font>
      <sz val="11"/>
      <color rgb="FF000000"/>
      <name val="Calibri"/>
      <family val="2"/>
    </font>
    <font>
      <b/>
      <sz val="11"/>
      <color rgb="FF000000"/>
      <name val="Calibri"/>
      <family val="2"/>
    </font>
    <font>
      <b/>
      <sz val="12"/>
      <color rgb="FF000000"/>
      <name val="Calibri"/>
      <family val="2"/>
    </font>
    <font>
      <sz val="11"/>
      <color theme="1"/>
      <name val="Calibri"/>
      <family val="2"/>
    </font>
    <font>
      <sz val="11"/>
      <color rgb="FF000000"/>
      <name val="Calibri"/>
      <family val="2"/>
      <scheme val="minor"/>
    </font>
    <font>
      <b/>
      <sz val="14"/>
      <color rgb="FFFFFFFF"/>
      <name val="Calibri"/>
      <family val="2"/>
    </font>
    <font>
      <i/>
      <sz val="9"/>
      <color rgb="FF666666"/>
      <name val="Calibri"/>
      <family val="2"/>
    </font>
    <font>
      <sz val="11"/>
      <color rgb="FF0000FF"/>
      <name val="Calibri"/>
      <family val="2"/>
    </font>
    <font>
      <sz val="11"/>
      <color rgb="FF000000"/>
      <name val="Calibri"/>
      <family val="2"/>
      <scheme val="minor"/>
    </font>
    <font>
      <b/>
      <sz val="11"/>
      <color rgb="FF000000"/>
      <name val="Calibri"/>
      <family val="2"/>
      <scheme val="minor"/>
    </font>
    <font>
      <sz val="9"/>
      <color indexed="81"/>
      <name val="Tahoma"/>
      <family val="2"/>
    </font>
    <font>
      <b/>
      <sz val="9"/>
      <color indexed="81"/>
      <name val="Tahoma"/>
      <family val="2"/>
    </font>
    <font>
      <i/>
      <sz val="9"/>
      <color rgb="FF555555"/>
      <name val="Calibri"/>
      <family val="2"/>
    </font>
    <font>
      <sz val="9"/>
      <color rgb="FF000000"/>
      <name val="Calibri"/>
      <family val="2"/>
    </font>
    <font>
      <sz val="9"/>
      <color theme="1"/>
      <name val="Calibri"/>
      <family val="2"/>
    </font>
    <font>
      <b/>
      <sz val="10"/>
      <color theme="1"/>
      <name val="Calibri"/>
      <family val="2"/>
    </font>
    <font>
      <b/>
      <sz val="10"/>
      <color rgb="FFFFFFFF"/>
      <name val="Calibri"/>
      <family val="2"/>
    </font>
    <font>
      <sz val="11"/>
      <color rgb="FFFF0000"/>
      <name val="Calibri"/>
      <family val="2"/>
    </font>
    <font>
      <u/>
      <sz val="11"/>
      <color theme="10"/>
      <name val="Calibri"/>
      <family val="2"/>
    </font>
    <font>
      <b/>
      <sz val="11"/>
      <color theme="1"/>
      <name val="Calibri"/>
      <family val="2"/>
      <charset val="1"/>
    </font>
    <font>
      <sz val="11"/>
      <color rgb="FF0000FF"/>
      <name val="Calibri"/>
      <family val="2"/>
      <charset val="1"/>
    </font>
    <font>
      <b/>
      <sz val="12"/>
      <color rgb="FF000000"/>
      <name val="ArialMT"/>
    </font>
    <font>
      <sz val="12"/>
      <color rgb="FF000000"/>
      <name val="ArialMT"/>
      <family val="2"/>
    </font>
    <font>
      <b/>
      <sz val="16"/>
      <color rgb="FF1F3864"/>
      <name val="Calibri"/>
      <family val="2"/>
    </font>
    <font>
      <i/>
      <sz val="11"/>
      <color rgb="FF595959"/>
      <name val="Calibri"/>
      <family val="2"/>
    </font>
    <font>
      <b/>
      <sz val="11"/>
      <color rgb="FFC00000"/>
      <name val="Calibri"/>
      <family val="2"/>
    </font>
    <font>
      <b/>
      <i/>
      <sz val="11"/>
      <color rgb="FF595959"/>
      <name val="Calibri"/>
      <family val="2"/>
    </font>
    <font>
      <b/>
      <sz val="9"/>
      <color rgb="FFFF0000"/>
      <name val="Calibri"/>
      <family val="2"/>
    </font>
  </fonts>
  <fills count="46">
    <fill>
      <patternFill patternType="none"/>
    </fill>
    <fill>
      <patternFill patternType="gray125"/>
    </fill>
    <fill>
      <patternFill patternType="solid">
        <fgColor rgb="FF16294A"/>
        <bgColor rgb="FF262626"/>
      </patternFill>
    </fill>
    <fill>
      <patternFill patternType="solid">
        <fgColor rgb="FFDCE6F4"/>
        <bgColor rgb="FFE2D9F3"/>
      </patternFill>
    </fill>
    <fill>
      <patternFill patternType="solid">
        <fgColor rgb="FF2E75B6"/>
        <bgColor rgb="FF008080"/>
      </patternFill>
    </fill>
    <fill>
      <patternFill patternType="solid">
        <fgColor rgb="FF1F3864"/>
        <bgColor rgb="FF16294A"/>
      </patternFill>
    </fill>
    <fill>
      <patternFill patternType="solid">
        <fgColor rgb="FFFFF2CC"/>
        <bgColor rgb="FFFCE4D6"/>
      </patternFill>
    </fill>
    <fill>
      <patternFill patternType="solid">
        <fgColor rgb="FFF2F6FC"/>
        <bgColor rgb="FFFFFFFF"/>
      </patternFill>
    </fill>
    <fill>
      <patternFill patternType="solid">
        <fgColor rgb="FF92D050"/>
        <bgColor rgb="FF969696"/>
      </patternFill>
    </fill>
    <fill>
      <patternFill patternType="solid">
        <fgColor rgb="FFFFFF00"/>
        <bgColor rgb="FFFFFF00"/>
      </patternFill>
    </fill>
    <fill>
      <patternFill patternType="solid">
        <fgColor rgb="FFFF6600"/>
        <bgColor rgb="FFC55A11"/>
      </patternFill>
    </fill>
    <fill>
      <patternFill patternType="solid">
        <fgColor rgb="FFC00000"/>
        <bgColor rgb="FF800000"/>
      </patternFill>
    </fill>
    <fill>
      <patternFill patternType="solid">
        <fgColor rgb="FFFCE4D6"/>
        <bgColor rgb="FFFFF2CC"/>
      </patternFill>
    </fill>
    <fill>
      <patternFill patternType="solid">
        <fgColor rgb="FFE2D9F3"/>
        <bgColor rgb="FFDCE6F4"/>
      </patternFill>
    </fill>
    <fill>
      <patternFill patternType="solid">
        <fgColor rgb="FFE2EFDA"/>
        <bgColor rgb="FFDCE6F4"/>
      </patternFill>
    </fill>
    <fill>
      <patternFill patternType="solid">
        <fgColor rgb="FFC55A11"/>
        <bgColor rgb="FFC45911"/>
      </patternFill>
    </fill>
    <fill>
      <patternFill patternType="solid">
        <fgColor rgb="FF92D050"/>
        <bgColor indexed="64"/>
      </patternFill>
    </fill>
    <fill>
      <patternFill patternType="solid">
        <fgColor rgb="FFC00000"/>
        <bgColor indexed="64"/>
      </patternFill>
    </fill>
    <fill>
      <patternFill patternType="solid">
        <fgColor rgb="FFFF6600"/>
        <bgColor indexed="64"/>
      </patternFill>
    </fill>
    <fill>
      <patternFill patternType="solid">
        <fgColor rgb="FFDCE6F4"/>
        <bgColor indexed="64"/>
      </patternFill>
    </fill>
    <fill>
      <patternFill patternType="solid">
        <fgColor rgb="FF2E75B6"/>
        <bgColor indexed="64"/>
      </patternFill>
    </fill>
    <fill>
      <patternFill patternType="solid">
        <fgColor rgb="FFF2F6FC"/>
        <bgColor indexed="64"/>
      </patternFill>
    </fill>
    <fill>
      <patternFill patternType="solid">
        <fgColor rgb="FFFFFF00"/>
        <bgColor indexed="64"/>
      </patternFill>
    </fill>
    <fill>
      <patternFill patternType="solid">
        <fgColor rgb="FF00B0F0"/>
        <bgColor indexed="64"/>
      </patternFill>
    </fill>
    <fill>
      <patternFill patternType="solid">
        <fgColor rgb="FFDFEBF7"/>
        <bgColor rgb="FFFFFFFF"/>
      </patternFill>
    </fill>
    <fill>
      <patternFill patternType="solid">
        <fgColor rgb="FFFFFF00"/>
        <bgColor rgb="FFFFFFFF"/>
      </patternFill>
    </fill>
    <fill>
      <patternFill patternType="solid">
        <fgColor rgb="FFFFFFFF"/>
        <bgColor rgb="FFFFFFFF"/>
      </patternFill>
    </fill>
    <fill>
      <patternFill patternType="solid">
        <fgColor rgb="FF16294A"/>
        <bgColor indexed="64"/>
      </patternFill>
    </fill>
    <fill>
      <patternFill patternType="solid">
        <fgColor rgb="FF1F3864"/>
        <bgColor indexed="64"/>
      </patternFill>
    </fill>
    <fill>
      <patternFill patternType="solid">
        <fgColor rgb="FFD9D9D9"/>
        <bgColor indexed="64"/>
      </patternFill>
    </fill>
    <fill>
      <patternFill patternType="solid">
        <fgColor rgb="FFFFF2CC"/>
        <bgColor indexed="64"/>
      </patternFill>
    </fill>
    <fill>
      <patternFill patternType="solid">
        <fgColor rgb="FFD9E2F3"/>
        <bgColor indexed="64"/>
      </patternFill>
    </fill>
    <fill>
      <patternFill patternType="solid">
        <fgColor rgb="FF1F77B4"/>
        <bgColor indexed="64"/>
      </patternFill>
    </fill>
    <fill>
      <patternFill patternType="solid">
        <fgColor rgb="FF2E9E44"/>
        <bgColor indexed="64"/>
      </patternFill>
    </fill>
    <fill>
      <patternFill patternType="solid">
        <fgColor rgb="FFD9A404"/>
        <bgColor indexed="64"/>
      </patternFill>
    </fill>
    <fill>
      <patternFill patternType="solid">
        <fgColor rgb="FFE8720C"/>
        <bgColor indexed="64"/>
      </patternFill>
    </fill>
    <fill>
      <patternFill patternType="solid">
        <fgColor rgb="FFC0272D"/>
        <bgColor indexed="64"/>
      </patternFill>
    </fill>
    <fill>
      <patternFill patternType="solid">
        <fgColor theme="2" tint="-9.9978637043366805E-2"/>
        <bgColor rgb="FF16294A"/>
      </patternFill>
    </fill>
    <fill>
      <patternFill patternType="solid">
        <fgColor rgb="FFFFFF00"/>
        <bgColor rgb="FF000000"/>
      </patternFill>
    </fill>
    <fill>
      <patternFill patternType="solid">
        <fgColor rgb="FFDDDDDD"/>
        <bgColor rgb="FFDDDDDD"/>
      </patternFill>
    </fill>
    <fill>
      <patternFill patternType="solid">
        <fgColor rgb="FF7030A0"/>
        <bgColor indexed="64"/>
      </patternFill>
    </fill>
    <fill>
      <patternFill patternType="solid">
        <fgColor rgb="FFC55A11"/>
        <bgColor indexed="64"/>
      </patternFill>
    </fill>
    <fill>
      <patternFill patternType="solid">
        <fgColor rgb="FFD9E1F2"/>
        <bgColor indexed="64"/>
      </patternFill>
    </fill>
    <fill>
      <patternFill patternType="solid">
        <fgColor rgb="FFF2F2F2"/>
        <bgColor indexed="64"/>
      </patternFill>
    </fill>
    <fill>
      <patternFill patternType="solid">
        <fgColor rgb="FFFCE4D6"/>
        <bgColor indexed="64"/>
      </patternFill>
    </fill>
    <fill>
      <patternFill patternType="solid">
        <fgColor rgb="FFE4DFEC"/>
        <bgColor indexed="64"/>
      </patternFill>
    </fill>
  </fills>
  <borders count="19">
    <border>
      <left/>
      <right/>
      <top/>
      <bottom/>
      <diagonal/>
    </border>
    <border>
      <left/>
      <right/>
      <top/>
      <bottom style="medium">
        <color rgb="FF1F3864"/>
      </bottom>
      <diagonal/>
    </border>
    <border>
      <left style="thin">
        <color rgb="FFB7C6E0"/>
      </left>
      <right style="thin">
        <color rgb="FFB7C6E0"/>
      </right>
      <top style="thin">
        <color rgb="FFB7C6E0"/>
      </top>
      <bottom style="thin">
        <color rgb="FFB7C6E0"/>
      </bottom>
      <diagonal/>
    </border>
    <border>
      <left style="medium">
        <color rgb="FFBF8F00"/>
      </left>
      <right style="thin">
        <color rgb="FFB7C6E0"/>
      </right>
      <top style="thin">
        <color rgb="FFB7C6E0"/>
      </top>
      <bottom style="thin">
        <color rgb="FFB7C6E0"/>
      </bottom>
      <diagonal/>
    </border>
    <border>
      <left/>
      <right/>
      <top style="thin">
        <color rgb="FFB7C6E0"/>
      </top>
      <bottom/>
      <diagonal/>
    </border>
    <border>
      <left style="thin">
        <color rgb="FFB7C6E0"/>
      </left>
      <right style="thin">
        <color rgb="FFB7C6E0"/>
      </right>
      <top style="medium">
        <color rgb="FF1F3864"/>
      </top>
      <bottom/>
      <diagonal/>
    </border>
    <border>
      <left style="thin">
        <color rgb="FFB7C6E0"/>
      </left>
      <right style="thin">
        <color rgb="FFB7C6E0"/>
      </right>
      <top style="thin">
        <color rgb="FFB7C6E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auto="1"/>
      </bottom>
      <diagonal/>
    </border>
    <border>
      <left/>
      <right/>
      <top style="thin">
        <color auto="1"/>
      </top>
      <bottom/>
      <diagonal/>
    </border>
  </borders>
  <cellStyleXfs count="5">
    <xf numFmtId="0" fontId="0" fillId="0" borderId="0"/>
    <xf numFmtId="0" fontId="21" fillId="0" borderId="0"/>
    <xf numFmtId="0" fontId="25" fillId="0" borderId="0"/>
    <xf numFmtId="0" fontId="35" fillId="0" borderId="0" applyNumberFormat="0" applyFill="0" applyBorder="0" applyAlignment="0" applyProtection="0"/>
    <xf numFmtId="0" fontId="17" fillId="0" borderId="0"/>
  </cellStyleXfs>
  <cellXfs count="204">
    <xf numFmtId="0" fontId="0" fillId="0" borderId="0" xfId="0"/>
    <xf numFmtId="0" fontId="1" fillId="3" borderId="1" xfId="0" applyFont="1" applyFill="1" applyBorder="1"/>
    <xf numFmtId="0" fontId="0" fillId="3" borderId="1" xfId="0" applyFill="1" applyBorder="1"/>
    <xf numFmtId="0" fontId="2" fillId="4" borderId="2" xfId="0" applyFont="1" applyFill="1" applyBorder="1" applyAlignment="1">
      <alignment horizontal="left" vertical="center" indent="1"/>
    </xf>
    <xf numFmtId="0" fontId="3" fillId="0" borderId="2" xfId="0" applyFont="1" applyBorder="1" applyAlignment="1">
      <alignment horizontal="left" vertical="center" wrapText="1"/>
    </xf>
    <xf numFmtId="0" fontId="2" fillId="5" borderId="2" xfId="0" applyFont="1" applyFill="1" applyBorder="1" applyAlignment="1">
      <alignment horizontal="center" vertical="center"/>
    </xf>
    <xf numFmtId="0" fontId="2" fillId="5" borderId="2" xfId="0" applyFont="1" applyFill="1" applyBorder="1" applyAlignment="1">
      <alignment horizontal="center" vertical="center" wrapText="1"/>
    </xf>
    <xf numFmtId="0" fontId="3" fillId="7" borderId="2" xfId="0" applyFont="1" applyFill="1" applyBorder="1" applyAlignment="1">
      <alignment horizontal="center" vertical="top" wrapText="1"/>
    </xf>
    <xf numFmtId="0" fontId="3" fillId="7" borderId="2" xfId="0" applyFont="1" applyFill="1" applyBorder="1" applyAlignment="1">
      <alignment horizontal="left" vertical="top" wrapText="1"/>
    </xf>
    <xf numFmtId="0" fontId="3" fillId="0" borderId="2" xfId="0" applyFont="1" applyBorder="1" applyAlignment="1">
      <alignment horizontal="center" vertical="top" wrapText="1"/>
    </xf>
    <xf numFmtId="0" fontId="3" fillId="0" borderId="2" xfId="0" applyFont="1" applyBorder="1" applyAlignment="1">
      <alignment horizontal="left" vertical="top" wrapText="1"/>
    </xf>
    <xf numFmtId="0" fontId="2" fillId="4" borderId="2" xfId="0" applyFont="1" applyFill="1" applyBorder="1" applyAlignment="1">
      <alignment horizontal="center" vertical="center" wrapText="1"/>
    </xf>
    <xf numFmtId="0" fontId="4" fillId="8" borderId="2" xfId="0" applyFont="1" applyFill="1" applyBorder="1" applyAlignment="1">
      <alignment horizontal="center" vertical="center"/>
    </xf>
    <xf numFmtId="0" fontId="4"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0" fontId="5" fillId="7" borderId="2" xfId="0" applyFont="1" applyFill="1" applyBorder="1" applyAlignment="1">
      <alignment horizontal="center" vertical="center"/>
    </xf>
    <xf numFmtId="0" fontId="5" fillId="0" borderId="2" xfId="0" applyFont="1" applyBorder="1" applyAlignment="1">
      <alignment horizontal="center" vertical="center"/>
    </xf>
    <xf numFmtId="0" fontId="7" fillId="3" borderId="2" xfId="0" applyFont="1" applyFill="1" applyBorder="1" applyAlignment="1">
      <alignment horizontal="center" vertical="center"/>
    </xf>
    <xf numFmtId="0" fontId="8"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10" fillId="14" borderId="2" xfId="0" applyFont="1" applyFill="1" applyBorder="1" applyAlignment="1">
      <alignment horizontal="center" vertical="center"/>
    </xf>
    <xf numFmtId="0" fontId="13" fillId="0" borderId="0" xfId="0" applyFont="1"/>
    <xf numFmtId="0" fontId="3" fillId="6" borderId="3" xfId="0" quotePrefix="1" applyFont="1" applyFill="1" applyBorder="1" applyAlignment="1">
      <alignment horizontal="left" vertical="center" wrapText="1" indent="1"/>
    </xf>
    <xf numFmtId="0" fontId="1" fillId="19" borderId="0" xfId="0" applyFont="1" applyFill="1"/>
    <xf numFmtId="0" fontId="2" fillId="20" borderId="5" xfId="0" applyFont="1" applyFill="1" applyBorder="1" applyAlignment="1">
      <alignment horizontal="center" vertical="center" wrapText="1"/>
    </xf>
    <xf numFmtId="0" fontId="3" fillId="21" borderId="6" xfId="0" applyFont="1" applyFill="1" applyBorder="1" applyAlignment="1">
      <alignment horizontal="left" vertical="center" wrapText="1"/>
    </xf>
    <xf numFmtId="0" fontId="3" fillId="21" borderId="2" xfId="0" applyFont="1" applyFill="1" applyBorder="1" applyAlignment="1">
      <alignment horizontal="left" vertical="center" wrapText="1"/>
    </xf>
    <xf numFmtId="0" fontId="0" fillId="0" borderId="4" xfId="0" applyBorder="1"/>
    <xf numFmtId="0" fontId="3" fillId="0" borderId="6" xfId="0" applyFont="1" applyBorder="1" applyAlignment="1">
      <alignment horizontal="left" vertical="center" wrapText="1"/>
    </xf>
    <xf numFmtId="49" fontId="3" fillId="21" borderId="2" xfId="0"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0" fontId="15" fillId="0" borderId="0" xfId="0" applyFont="1"/>
    <xf numFmtId="0" fontId="5" fillId="21" borderId="2" xfId="0" applyFont="1" applyFill="1" applyBorder="1" applyAlignment="1">
      <alignment horizontal="center" vertical="center"/>
    </xf>
    <xf numFmtId="0" fontId="5" fillId="21" borderId="6" xfId="0" applyFont="1" applyFill="1" applyBorder="1" applyAlignment="1">
      <alignment horizontal="center" vertical="center"/>
    </xf>
    <xf numFmtId="0" fontId="2" fillId="20" borderId="2" xfId="0" applyFont="1" applyFill="1" applyBorder="1" applyAlignment="1">
      <alignment horizontal="center" vertical="center"/>
    </xf>
    <xf numFmtId="0" fontId="2" fillId="17" borderId="2" xfId="0" applyFont="1" applyFill="1" applyBorder="1" applyAlignment="1">
      <alignment horizontal="center" vertical="center"/>
    </xf>
    <xf numFmtId="0" fontId="3" fillId="0" borderId="2" xfId="0" applyFont="1" applyBorder="1" applyAlignment="1">
      <alignment horizontal="center" vertical="center"/>
    </xf>
    <xf numFmtId="0" fontId="2" fillId="18" borderId="2" xfId="0" applyFont="1" applyFill="1" applyBorder="1" applyAlignment="1">
      <alignment horizontal="center" vertical="center"/>
    </xf>
    <xf numFmtId="0" fontId="18" fillId="22" borderId="2" xfId="0" applyFont="1" applyFill="1" applyBorder="1" applyAlignment="1">
      <alignment horizontal="center" vertical="center"/>
    </xf>
    <xf numFmtId="0" fontId="18" fillId="16" borderId="2" xfId="0" applyFont="1" applyFill="1" applyBorder="1" applyAlignment="1">
      <alignment horizontal="center" vertical="center"/>
    </xf>
    <xf numFmtId="0" fontId="18" fillId="23" borderId="2" xfId="0" applyFont="1" applyFill="1" applyBorder="1" applyAlignment="1">
      <alignment horizontal="center" vertical="center"/>
    </xf>
    <xf numFmtId="0" fontId="2" fillId="20" borderId="7" xfId="0" applyFont="1" applyFill="1" applyBorder="1" applyAlignment="1">
      <alignment horizontal="center" vertical="center"/>
    </xf>
    <xf numFmtId="0" fontId="2" fillId="20" borderId="7" xfId="0" applyFont="1" applyFill="1" applyBorder="1" applyAlignment="1">
      <alignment horizontal="center" vertical="center" wrapText="1"/>
    </xf>
    <xf numFmtId="0" fontId="16" fillId="19" borderId="7" xfId="0" applyFont="1" applyFill="1" applyBorder="1" applyAlignment="1">
      <alignment horizontal="center" vertical="center" wrapText="1"/>
    </xf>
    <xf numFmtId="0" fontId="19" fillId="16" borderId="7" xfId="0" applyFont="1" applyFill="1" applyBorder="1" applyAlignment="1">
      <alignment horizontal="center" vertical="center"/>
    </xf>
    <xf numFmtId="0" fontId="19" fillId="22" borderId="7" xfId="0" applyFont="1" applyFill="1" applyBorder="1" applyAlignment="1">
      <alignment horizontal="center" vertical="center"/>
    </xf>
    <xf numFmtId="0" fontId="6" fillId="18" borderId="7" xfId="0" applyFont="1" applyFill="1" applyBorder="1" applyAlignment="1">
      <alignment horizontal="center" vertical="center"/>
    </xf>
    <xf numFmtId="0" fontId="6" fillId="17" borderId="7" xfId="0" applyFont="1" applyFill="1" applyBorder="1" applyAlignment="1">
      <alignment horizontal="center" vertical="center"/>
    </xf>
    <xf numFmtId="0" fontId="19" fillId="23" borderId="7" xfId="0" applyFont="1" applyFill="1" applyBorder="1" applyAlignment="1">
      <alignment horizontal="center" vertical="center"/>
    </xf>
    <xf numFmtId="0" fontId="17" fillId="7" borderId="2" xfId="0" applyFont="1" applyFill="1" applyBorder="1" applyAlignment="1">
      <alignment horizontal="left" vertical="top" wrapText="1"/>
    </xf>
    <xf numFmtId="0" fontId="20" fillId="0" borderId="0" xfId="0" applyFont="1"/>
    <xf numFmtId="0" fontId="20" fillId="0" borderId="7" xfId="0" applyFont="1" applyBorder="1"/>
    <xf numFmtId="0" fontId="23" fillId="0" borderId="0" xfId="0" applyFont="1"/>
    <xf numFmtId="0" fontId="24" fillId="0" borderId="0" xfId="0" applyFont="1"/>
    <xf numFmtId="0" fontId="25" fillId="0" borderId="0" xfId="2" applyAlignment="1">
      <alignment vertical="center"/>
    </xf>
    <xf numFmtId="0" fontId="25" fillId="0" borderId="0" xfId="2" applyAlignment="1">
      <alignment horizontal="center" vertical="center"/>
    </xf>
    <xf numFmtId="0" fontId="26" fillId="0" borderId="0" xfId="2" applyFont="1" applyAlignment="1">
      <alignment horizontal="center" vertical="center"/>
    </xf>
    <xf numFmtId="0" fontId="25" fillId="0" borderId="0" xfId="2"/>
    <xf numFmtId="0" fontId="26" fillId="0" borderId="8" xfId="2" applyFont="1" applyBorder="1" applyAlignment="1">
      <alignment horizontal="left" vertical="center"/>
    </xf>
    <xf numFmtId="0" fontId="26" fillId="0" borderId="0" xfId="2" applyFont="1" applyAlignment="1">
      <alignment vertical="center"/>
    </xf>
    <xf numFmtId="0" fontId="26" fillId="24" borderId="8" xfId="2" applyFont="1" applyFill="1" applyBorder="1" applyAlignment="1">
      <alignment horizontal="center"/>
    </xf>
    <xf numFmtId="0" fontId="25" fillId="25" borderId="0" xfId="2" applyFill="1" applyAlignment="1">
      <alignment vertical="center"/>
    </xf>
    <xf numFmtId="0" fontId="25" fillId="26" borderId="0" xfId="2" applyFill="1" applyAlignment="1">
      <alignment vertical="center"/>
    </xf>
    <xf numFmtId="0" fontId="25" fillId="26" borderId="8" xfId="2" applyFill="1" applyBorder="1" applyAlignment="1" applyProtection="1">
      <alignment horizontal="center" vertical="center" wrapText="1"/>
      <protection locked="0"/>
    </xf>
    <xf numFmtId="0" fontId="25" fillId="26" borderId="8" xfId="2" applyFill="1" applyBorder="1" applyAlignment="1" applyProtection="1">
      <alignment horizontal="left" vertical="center" wrapText="1"/>
      <protection locked="0"/>
    </xf>
    <xf numFmtId="0" fontId="26" fillId="26" borderId="8" xfId="2" applyFont="1" applyFill="1" applyBorder="1" applyAlignment="1">
      <alignment horizontal="center" vertical="center" wrapText="1"/>
    </xf>
    <xf numFmtId="0" fontId="25" fillId="0" borderId="0" xfId="2" applyAlignment="1" applyProtection="1">
      <alignment vertical="center"/>
      <protection locked="0"/>
    </xf>
    <xf numFmtId="0" fontId="0" fillId="0" borderId="0" xfId="0" applyAlignment="1">
      <alignment vertical="top"/>
    </xf>
    <xf numFmtId="0" fontId="31" fillId="0" borderId="0" xfId="0" applyFont="1"/>
    <xf numFmtId="0" fontId="32" fillId="0" borderId="0" xfId="0" applyFont="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30" fillId="0" borderId="2" xfId="0" applyFont="1" applyBorder="1" applyAlignment="1">
      <alignment horizontal="center"/>
    </xf>
    <xf numFmtId="0" fontId="0" fillId="0" borderId="2" xfId="0" applyBorder="1" applyAlignment="1">
      <alignment horizontal="center"/>
    </xf>
    <xf numFmtId="0" fontId="20" fillId="22" borderId="0" xfId="0" applyFont="1" applyFill="1"/>
    <xf numFmtId="0" fontId="34" fillId="0" borderId="0" xfId="0" applyFont="1"/>
    <xf numFmtId="0" fontId="20" fillId="0" borderId="0" xfId="0" quotePrefix="1" applyFont="1"/>
    <xf numFmtId="0" fontId="20" fillId="22" borderId="0" xfId="0" quotePrefix="1" applyFont="1" applyFill="1"/>
    <xf numFmtId="0" fontId="0" fillId="22" borderId="0" xfId="0" applyFill="1"/>
    <xf numFmtId="0" fontId="15" fillId="0" borderId="0" xfId="0" quotePrefix="1" applyFont="1"/>
    <xf numFmtId="0" fontId="20" fillId="22" borderId="0" xfId="0" applyFont="1" applyFill="1" applyAlignment="1">
      <alignment horizontal="center"/>
    </xf>
    <xf numFmtId="0" fontId="2" fillId="37" borderId="2" xfId="0" applyFont="1" applyFill="1" applyBorder="1" applyAlignment="1">
      <alignment horizontal="center" vertical="center" wrapText="1"/>
    </xf>
    <xf numFmtId="0" fontId="24" fillId="0" borderId="2" xfId="0" applyFont="1" applyBorder="1" applyAlignment="1">
      <alignment vertical="top" wrapText="1"/>
    </xf>
    <xf numFmtId="0" fontId="24" fillId="21" borderId="2" xfId="0" applyFont="1" applyFill="1" applyBorder="1" applyAlignment="1">
      <alignment vertical="top" wrapText="1"/>
    </xf>
    <xf numFmtId="0" fontId="0" fillId="0" borderId="0" xfId="0" applyAlignment="1">
      <alignment vertical="top" wrapText="1"/>
    </xf>
    <xf numFmtId="0" fontId="24" fillId="21" borderId="2" xfId="0" applyFont="1" applyFill="1" applyBorder="1" applyAlignment="1">
      <alignment horizontal="left" vertical="top" wrapText="1"/>
    </xf>
    <xf numFmtId="0" fontId="36" fillId="29" borderId="7" xfId="0" applyFont="1" applyFill="1" applyBorder="1" applyAlignment="1">
      <alignment vertical="center"/>
    </xf>
    <xf numFmtId="0" fontId="37" fillId="0" borderId="2" xfId="0" applyFont="1" applyBorder="1" applyAlignment="1">
      <alignment vertical="top" wrapText="1"/>
    </xf>
    <xf numFmtId="0" fontId="38" fillId="0" borderId="7" xfId="0" applyFont="1" applyBorder="1"/>
    <xf numFmtId="0" fontId="38" fillId="0" borderId="14" xfId="0" applyFont="1" applyBorder="1"/>
    <xf numFmtId="0" fontId="39" fillId="0" borderId="16" xfId="0" applyFont="1" applyBorder="1"/>
    <xf numFmtId="0" fontId="35" fillId="0" borderId="16" xfId="3" applyBorder="1"/>
    <xf numFmtId="0" fontId="39" fillId="38" borderId="15" xfId="0" applyFont="1" applyFill="1" applyBorder="1"/>
    <xf numFmtId="0" fontId="24" fillId="0" borderId="2" xfId="0" applyFont="1" applyBorder="1" applyAlignment="1">
      <alignment horizontal="left" vertical="top" wrapText="1"/>
    </xf>
    <xf numFmtId="0" fontId="37" fillId="0" borderId="2" xfId="0" quotePrefix="1" applyFont="1" applyBorder="1" applyAlignment="1">
      <alignment vertical="top" wrapText="1"/>
    </xf>
    <xf numFmtId="0" fontId="24" fillId="21" borderId="2" xfId="0" quotePrefix="1" applyFont="1" applyFill="1" applyBorder="1" applyAlignment="1">
      <alignment vertical="top" wrapText="1"/>
    </xf>
    <xf numFmtId="0" fontId="24" fillId="0" borderId="2" xfId="0" quotePrefix="1" applyFont="1" applyBorder="1" applyAlignment="1">
      <alignment vertical="top" wrapText="1"/>
    </xf>
    <xf numFmtId="0" fontId="0" fillId="0" borderId="0" xfId="0" applyAlignment="1">
      <alignment wrapText="1"/>
    </xf>
    <xf numFmtId="0" fontId="0" fillId="0" borderId="7" xfId="0" applyBorder="1" applyAlignment="1">
      <alignment wrapText="1"/>
    </xf>
    <xf numFmtId="0" fontId="39" fillId="38" borderId="15" xfId="0" applyFont="1" applyFill="1" applyBorder="1" applyAlignment="1">
      <alignment wrapText="1"/>
    </xf>
    <xf numFmtId="0" fontId="39" fillId="0" borderId="16" xfId="0" applyFont="1" applyBorder="1" applyAlignment="1">
      <alignment wrapText="1"/>
    </xf>
    <xf numFmtId="0" fontId="35" fillId="0" borderId="16" xfId="3" applyBorder="1" applyAlignment="1">
      <alignment wrapText="1"/>
    </xf>
    <xf numFmtId="0" fontId="17" fillId="0" borderId="0" xfId="4"/>
    <xf numFmtId="49" fontId="17" fillId="0" borderId="0" xfId="4" applyNumberFormat="1"/>
    <xf numFmtId="0" fontId="40" fillId="0" borderId="0" xfId="4" applyFont="1"/>
    <xf numFmtId="0" fontId="41" fillId="0" borderId="0" xfId="4" applyFont="1"/>
    <xf numFmtId="3" fontId="18" fillId="0" borderId="0" xfId="4" applyNumberFormat="1" applyFont="1"/>
    <xf numFmtId="9" fontId="24" fillId="0" borderId="0" xfId="4" applyNumberFormat="1" applyFont="1"/>
    <xf numFmtId="164" fontId="18" fillId="0" borderId="0" xfId="4" applyNumberFormat="1" applyFont="1"/>
    <xf numFmtId="165" fontId="18" fillId="0" borderId="0" xfId="4" applyNumberFormat="1" applyFont="1"/>
    <xf numFmtId="9" fontId="18" fillId="0" borderId="0" xfId="4" applyNumberFormat="1" applyFont="1"/>
    <xf numFmtId="0" fontId="42" fillId="0" borderId="0" xfId="4" applyFont="1"/>
    <xf numFmtId="0" fontId="18" fillId="42" borderId="17" xfId="4" applyFont="1" applyFill="1" applyBorder="1" applyAlignment="1">
      <alignment horizontal="center" vertical="center" wrapText="1"/>
    </xf>
    <xf numFmtId="3" fontId="17" fillId="0" borderId="0" xfId="4" applyNumberFormat="1"/>
    <xf numFmtId="165" fontId="17" fillId="0" borderId="0" xfId="4" applyNumberFormat="1"/>
    <xf numFmtId="166" fontId="17" fillId="0" borderId="0" xfId="4" applyNumberFormat="1"/>
    <xf numFmtId="167" fontId="17" fillId="0" borderId="0" xfId="4" applyNumberFormat="1"/>
    <xf numFmtId="1" fontId="17" fillId="0" borderId="0" xfId="4" applyNumberFormat="1"/>
    <xf numFmtId="0" fontId="18" fillId="43" borderId="18" xfId="4" applyFont="1" applyFill="1" applyBorder="1"/>
    <xf numFmtId="3" fontId="18" fillId="43" borderId="18" xfId="4" applyNumberFormat="1" applyFont="1" applyFill="1" applyBorder="1"/>
    <xf numFmtId="165" fontId="18" fillId="43" borderId="18" xfId="4" applyNumberFormat="1" applyFont="1" applyFill="1" applyBorder="1"/>
    <xf numFmtId="166" fontId="18" fillId="43" borderId="18" xfId="4" applyNumberFormat="1" applyFont="1" applyFill="1" applyBorder="1"/>
    <xf numFmtId="168" fontId="17" fillId="0" borderId="0" xfId="4" applyNumberFormat="1"/>
    <xf numFmtId="169" fontId="17" fillId="0" borderId="0" xfId="4" applyNumberFormat="1"/>
    <xf numFmtId="170" fontId="17" fillId="0" borderId="0" xfId="4" applyNumberFormat="1"/>
    <xf numFmtId="168" fontId="18" fillId="43" borderId="18" xfId="4" applyNumberFormat="1" applyFont="1" applyFill="1" applyBorder="1"/>
    <xf numFmtId="169" fontId="18" fillId="43" borderId="18" xfId="4" applyNumberFormat="1" applyFont="1" applyFill="1" applyBorder="1"/>
    <xf numFmtId="0" fontId="43" fillId="43" borderId="18" xfId="4" applyFont="1" applyFill="1" applyBorder="1"/>
    <xf numFmtId="0" fontId="17" fillId="0" borderId="0" xfId="4" applyAlignment="1">
      <alignment vertical="top"/>
    </xf>
    <xf numFmtId="0" fontId="42" fillId="0" borderId="0" xfId="4" applyFont="1" applyAlignment="1">
      <alignment vertical="top"/>
    </xf>
    <xf numFmtId="0" fontId="18" fillId="42" borderId="0" xfId="4" applyFont="1" applyFill="1" applyAlignment="1">
      <alignment horizontal="center" vertical="center"/>
    </xf>
    <xf numFmtId="0" fontId="18" fillId="44" borderId="17" xfId="4" applyFont="1" applyFill="1" applyBorder="1" applyAlignment="1">
      <alignment horizontal="center" vertical="center" wrapText="1"/>
    </xf>
    <xf numFmtId="0" fontId="18" fillId="45" borderId="0" xfId="4" applyFont="1" applyFill="1" applyAlignment="1">
      <alignment horizontal="center" vertical="center" wrapText="1"/>
    </xf>
    <xf numFmtId="168" fontId="18" fillId="0" borderId="0" xfId="4" applyNumberFormat="1" applyFont="1"/>
    <xf numFmtId="0" fontId="18" fillId="43" borderId="0" xfId="4" applyFont="1" applyFill="1"/>
    <xf numFmtId="168" fontId="18" fillId="43" borderId="0" xfId="4" applyNumberFormat="1" applyFont="1" applyFill="1"/>
    <xf numFmtId="0" fontId="19" fillId="0" borderId="0" xfId="4" applyFont="1"/>
    <xf numFmtId="0" fontId="2" fillId="28" borderId="0" xfId="4" applyFont="1" applyFill="1" applyAlignment="1">
      <alignment horizontal="center" vertical="center" wrapText="1"/>
    </xf>
    <xf numFmtId="0" fontId="17" fillId="0" borderId="0" xfId="4" applyAlignment="1">
      <alignment horizontal="center" vertical="center" wrapText="1"/>
    </xf>
    <xf numFmtId="0" fontId="2" fillId="40" borderId="0" xfId="4" applyFont="1" applyFill="1" applyAlignment="1">
      <alignment horizontal="center" vertical="center" wrapText="1"/>
    </xf>
    <xf numFmtId="0" fontId="2" fillId="41" borderId="0" xfId="4" applyFont="1" applyFill="1" applyAlignment="1">
      <alignment horizontal="center" vertical="center" wrapText="1"/>
    </xf>
    <xf numFmtId="0" fontId="2" fillId="40" borderId="8" xfId="4" applyFont="1" applyFill="1" applyBorder="1" applyAlignment="1">
      <alignment horizontal="center" vertical="center" wrapText="1"/>
    </xf>
    <xf numFmtId="0" fontId="2" fillId="41" borderId="8" xfId="4" applyFont="1" applyFill="1" applyBorder="1" applyAlignment="1">
      <alignment horizontal="center" vertical="center" wrapText="1"/>
    </xf>
    <xf numFmtId="0" fontId="18" fillId="39" borderId="8" xfId="4" applyFont="1" applyFill="1" applyBorder="1" applyAlignment="1">
      <alignment horizontal="center" vertical="center"/>
    </xf>
    <xf numFmtId="0" fontId="2" fillId="28" borderId="8" xfId="4" applyFont="1" applyFill="1" applyBorder="1" applyAlignment="1">
      <alignment horizontal="center" vertical="center"/>
    </xf>
    <xf numFmtId="0" fontId="44" fillId="0" borderId="0" xfId="0" applyFont="1"/>
    <xf numFmtId="0" fontId="15" fillId="29" borderId="7" xfId="0" applyFont="1" applyFill="1" applyBorder="1" applyAlignment="1">
      <alignment horizontal="center" vertical="center"/>
    </xf>
    <xf numFmtId="0" fontId="15" fillId="29" borderId="7" xfId="0" applyFont="1" applyFill="1" applyBorder="1" applyAlignment="1">
      <alignment vertical="center"/>
    </xf>
    <xf numFmtId="0" fontId="15" fillId="29" borderId="0" xfId="0" applyFont="1" applyFill="1" applyAlignment="1">
      <alignment horizontal="center"/>
    </xf>
    <xf numFmtId="0" fontId="17" fillId="0" borderId="2" xfId="0" applyFont="1" applyBorder="1" applyAlignment="1">
      <alignment horizontal="center" vertical="top" wrapText="1"/>
    </xf>
    <xf numFmtId="0" fontId="17" fillId="30" borderId="2" xfId="0" applyFont="1" applyFill="1" applyBorder="1" applyAlignment="1">
      <alignment vertical="top" wrapText="1"/>
    </xf>
    <xf numFmtId="0" fontId="17" fillId="0" borderId="2" xfId="0" applyFont="1" applyBorder="1" applyAlignment="1">
      <alignment vertical="top"/>
    </xf>
    <xf numFmtId="0" fontId="17" fillId="21" borderId="2" xfId="0" applyFont="1" applyFill="1" applyBorder="1" applyAlignment="1">
      <alignment vertical="top"/>
    </xf>
    <xf numFmtId="0" fontId="17" fillId="21" borderId="2" xfId="0" applyFont="1" applyFill="1" applyBorder="1" applyAlignment="1">
      <alignment horizontal="center" vertical="top" wrapText="1"/>
    </xf>
    <xf numFmtId="0" fontId="17" fillId="21" borderId="2" xfId="0" applyFont="1" applyFill="1" applyBorder="1" applyAlignment="1">
      <alignment vertical="top" wrapText="1"/>
    </xf>
    <xf numFmtId="0" fontId="2" fillId="28" borderId="0" xfId="0" applyFont="1" applyFill="1" applyAlignment="1">
      <alignment horizontal="center"/>
    </xf>
    <xf numFmtId="0" fontId="15" fillId="31" borderId="2" xfId="0" applyFont="1" applyFill="1" applyBorder="1" applyAlignment="1">
      <alignment horizontal="center"/>
    </xf>
    <xf numFmtId="0" fontId="15" fillId="31" borderId="0" xfId="0" applyFont="1" applyFill="1" applyAlignment="1">
      <alignment horizontal="center"/>
    </xf>
    <xf numFmtId="0" fontId="6" fillId="0" borderId="2" xfId="0" applyFont="1" applyBorder="1" applyAlignment="1">
      <alignment horizontal="center"/>
    </xf>
    <xf numFmtId="0" fontId="0" fillId="0" borderId="7" xfId="0" applyBorder="1"/>
    <xf numFmtId="0" fontId="0" fillId="0" borderId="0" xfId="0" applyAlignment="1">
      <alignment horizontal="center" vertical="center"/>
    </xf>
    <xf numFmtId="0" fontId="26" fillId="24" borderId="8" xfId="2" applyFont="1" applyFill="1" applyBorder="1" applyAlignment="1">
      <alignment horizontal="center" vertical="center"/>
    </xf>
    <xf numFmtId="0" fontId="2" fillId="28" borderId="2" xfId="0" applyFont="1" applyFill="1" applyBorder="1" applyAlignment="1">
      <alignment horizontal="center" vertical="center" wrapText="1"/>
    </xf>
    <xf numFmtId="0" fontId="5" fillId="19" borderId="7" xfId="0" applyFont="1" applyFill="1" applyBorder="1" applyAlignment="1">
      <alignment horizontal="center" vertical="center"/>
    </xf>
    <xf numFmtId="0" fontId="11" fillId="2" borderId="0" xfId="0" applyFont="1" applyFill="1" applyAlignment="1">
      <alignment horizontal="left" vertical="center" indent="1"/>
    </xf>
    <xf numFmtId="0" fontId="12" fillId="2" borderId="0" xfId="0" applyFont="1" applyFill="1" applyAlignment="1">
      <alignment horizontal="left" vertical="center" indent="1"/>
    </xf>
    <xf numFmtId="0" fontId="15" fillId="22" borderId="0" xfId="0" applyFont="1" applyFill="1" applyAlignment="1">
      <alignment horizontal="center"/>
    </xf>
    <xf numFmtId="0" fontId="20" fillId="0" borderId="0" xfId="0" applyFont="1" applyAlignment="1">
      <alignment horizontal="center" vertical="center"/>
    </xf>
    <xf numFmtId="0" fontId="0" fillId="0" borderId="0" xfId="0" applyAlignment="1">
      <alignment horizontal="center" vertical="center"/>
    </xf>
    <xf numFmtId="0" fontId="26" fillId="25" borderId="12" xfId="2" applyFont="1" applyFill="1" applyBorder="1" applyAlignment="1">
      <alignment horizontal="center" vertical="center"/>
    </xf>
    <xf numFmtId="0" fontId="26" fillId="25" borderId="13" xfId="2" applyFont="1" applyFill="1" applyBorder="1" applyAlignment="1">
      <alignment horizontal="center" vertical="center"/>
    </xf>
    <xf numFmtId="0" fontId="26" fillId="24" borderId="9" xfId="2" applyFont="1" applyFill="1" applyBorder="1" applyAlignment="1">
      <alignment horizontal="center"/>
    </xf>
    <xf numFmtId="0" fontId="26" fillId="24" borderId="11" xfId="2" applyFont="1" applyFill="1" applyBorder="1" applyAlignment="1">
      <alignment horizontal="center"/>
    </xf>
    <xf numFmtId="0" fontId="26" fillId="24" borderId="9" xfId="2" applyFont="1" applyFill="1" applyBorder="1" applyAlignment="1">
      <alignment horizontal="center" vertical="center"/>
    </xf>
    <xf numFmtId="0" fontId="26" fillId="24" borderId="11" xfId="2" applyFont="1" applyFill="1" applyBorder="1" applyAlignment="1">
      <alignment horizontal="center" vertical="center"/>
    </xf>
    <xf numFmtId="0" fontId="26" fillId="24" borderId="8" xfId="2" applyFont="1" applyFill="1" applyBorder="1" applyAlignment="1">
      <alignment horizontal="center" vertical="center"/>
    </xf>
    <xf numFmtId="0" fontId="26" fillId="24" borderId="10" xfId="2" applyFont="1" applyFill="1" applyBorder="1" applyAlignment="1">
      <alignment horizontal="center" vertical="center"/>
    </xf>
    <xf numFmtId="0" fontId="26" fillId="0" borderId="0" xfId="2" applyFont="1" applyAlignment="1">
      <alignment horizontal="left" vertical="center"/>
    </xf>
    <xf numFmtId="0" fontId="25" fillId="0" borderId="8" xfId="2" applyBorder="1" applyAlignment="1">
      <alignment horizontal="left" vertical="center"/>
    </xf>
    <xf numFmtId="0" fontId="25" fillId="0" borderId="0" xfId="2" applyAlignment="1">
      <alignment horizontal="center" vertical="center"/>
    </xf>
    <xf numFmtId="0" fontId="2" fillId="28" borderId="2" xfId="0" applyFont="1" applyFill="1" applyBorder="1" applyAlignment="1">
      <alignment horizontal="center" vertical="center" wrapText="1"/>
    </xf>
    <xf numFmtId="0" fontId="22" fillId="27" borderId="0" xfId="0" applyFont="1" applyFill="1" applyAlignment="1">
      <alignment horizontal="left"/>
    </xf>
    <xf numFmtId="0" fontId="18" fillId="29" borderId="2" xfId="0" applyFont="1" applyFill="1" applyBorder="1" applyAlignment="1">
      <alignment horizontal="center" vertical="center" wrapText="1"/>
    </xf>
    <xf numFmtId="0" fontId="18" fillId="22" borderId="2" xfId="0" applyFont="1" applyFill="1" applyBorder="1" applyAlignment="1">
      <alignment horizontal="center" vertical="center" wrapText="1"/>
    </xf>
    <xf numFmtId="0" fontId="22" fillId="27" borderId="0" xfId="0" applyFont="1" applyFill="1"/>
    <xf numFmtId="0" fontId="29" fillId="0" borderId="0" xfId="0" applyFont="1"/>
    <xf numFmtId="0" fontId="33" fillId="28" borderId="0" xfId="0" applyFont="1" applyFill="1"/>
    <xf numFmtId="0" fontId="1" fillId="3" borderId="0" xfId="0" applyFont="1" applyFill="1" applyAlignment="1">
      <alignment horizontal="left" vertical="center" indent="1"/>
    </xf>
    <xf numFmtId="0" fontId="1" fillId="19" borderId="0" xfId="0" applyFont="1" applyFill="1" applyAlignment="1">
      <alignment horizontal="left" vertical="center" indent="1"/>
    </xf>
    <xf numFmtId="0" fontId="1" fillId="3" borderId="1" xfId="0" applyFont="1" applyFill="1" applyBorder="1" applyAlignment="1">
      <alignment horizontal="left" vertical="center"/>
    </xf>
    <xf numFmtId="0" fontId="5" fillId="19" borderId="7" xfId="0" applyFont="1" applyFill="1" applyBorder="1" applyAlignment="1">
      <alignment horizontal="center" vertical="center" wrapText="1"/>
    </xf>
    <xf numFmtId="0" fontId="0" fillId="0" borderId="7" xfId="0" applyBorder="1"/>
    <xf numFmtId="0" fontId="5" fillId="19" borderId="7" xfId="0" applyFont="1" applyFill="1" applyBorder="1" applyAlignment="1">
      <alignment horizontal="center" vertical="center"/>
    </xf>
    <xf numFmtId="0" fontId="12" fillId="15" borderId="0" xfId="0" applyFont="1" applyFill="1" applyAlignment="1">
      <alignment horizontal="left" vertical="center" indent="1"/>
    </xf>
    <xf numFmtId="0" fontId="6" fillId="28" borderId="0" xfId="4" applyFont="1" applyFill="1"/>
    <xf numFmtId="0" fontId="2" fillId="28" borderId="0" xfId="4" applyFont="1" applyFill="1"/>
    <xf numFmtId="0" fontId="6" fillId="41" borderId="0" xfId="4" applyFont="1" applyFill="1" applyAlignment="1">
      <alignment horizontal="left"/>
    </xf>
    <xf numFmtId="0" fontId="6" fillId="41" borderId="0" xfId="4" applyFont="1" applyFill="1"/>
    <xf numFmtId="0" fontId="6" fillId="40" borderId="0" xfId="4" applyFont="1" applyFill="1"/>
    <xf numFmtId="0" fontId="6" fillId="41" borderId="0" xfId="4" applyFont="1" applyFill="1" applyAlignment="1">
      <alignment horizontal="left" vertical="top"/>
    </xf>
  </cellXfs>
  <cellStyles count="5">
    <cellStyle name="Hyperlink" xfId="3" builtinId="8"/>
    <cellStyle name="Normal" xfId="0" builtinId="0"/>
    <cellStyle name="Normal 2" xfId="1" xr:uid="{55787F92-D338-44FB-9808-30D55CCEE54C}"/>
    <cellStyle name="Normal 3" xfId="2" xr:uid="{1C2FE9AE-CBAF-43E0-906F-636A283A7315}"/>
    <cellStyle name="Normal 4" xfId="4" xr:uid="{9717A8E3-3A67-4FD6-A865-AD4B87373C33}"/>
  </cellStyles>
  <dxfs count="41">
    <dxf>
      <font>
        <b/>
        <color rgb="FFFFFFFF"/>
        <name val="Calibri"/>
        <charset val="1"/>
      </font>
      <fill>
        <patternFill>
          <bgColor rgb="FFC00000"/>
        </patternFill>
      </fill>
    </dxf>
    <dxf>
      <font>
        <b/>
        <color rgb="FFFFFFFF"/>
        <name val="Calibri"/>
        <charset val="1"/>
      </font>
      <fill>
        <patternFill>
          <bgColor rgb="FFFF6600"/>
        </patternFill>
      </fill>
    </dxf>
    <dxf>
      <font>
        <b/>
        <color rgb="FF262626"/>
        <name val="Calibri"/>
        <charset val="1"/>
      </font>
      <fill>
        <patternFill>
          <bgColor rgb="FFFFFF00"/>
        </patternFill>
      </fill>
    </dxf>
    <dxf>
      <font>
        <b/>
        <color rgb="FF262626"/>
        <name val="Calibri"/>
        <charset val="1"/>
      </font>
      <fill>
        <patternFill>
          <bgColor rgb="FF92D050"/>
        </patternFill>
      </fill>
    </dxf>
    <dxf>
      <font>
        <b/>
        <color rgb="FF262626"/>
        <name val="Calibri"/>
        <charset val="1"/>
      </font>
      <fill>
        <patternFill>
          <bgColor rgb="FF92D050"/>
        </patternFill>
      </fill>
    </dxf>
    <dxf>
      <font>
        <b/>
        <color rgb="FF262626"/>
        <name val="Calibri"/>
        <charset val="1"/>
      </font>
      <fill>
        <patternFill>
          <bgColor rgb="FFFFFF00"/>
        </patternFill>
      </fill>
    </dxf>
    <dxf>
      <font>
        <b/>
        <color rgb="FFFFFFFF"/>
        <name val="Calibri"/>
        <charset val="1"/>
      </font>
      <fill>
        <patternFill>
          <bgColor rgb="FFFF6600"/>
        </patternFill>
      </fill>
    </dxf>
    <dxf>
      <font>
        <b/>
        <color rgb="FFFFFFFF"/>
        <name val="Calibri"/>
        <charset val="1"/>
      </font>
      <fill>
        <patternFill>
          <bgColor rgb="FFC00000"/>
        </patternFill>
      </fill>
    </dxf>
    <dxf>
      <font>
        <b/>
        <color rgb="FFFFFFFF"/>
        <name val="Calibri"/>
        <charset val="1"/>
      </font>
      <fill>
        <patternFill>
          <bgColor rgb="FFC00000"/>
        </patternFill>
      </fill>
    </dxf>
    <dxf>
      <font>
        <b/>
        <color rgb="FFFFFFFF"/>
        <name val="Calibri"/>
        <charset val="1"/>
      </font>
      <fill>
        <patternFill>
          <bgColor rgb="FFFF6600"/>
        </patternFill>
      </fill>
    </dxf>
    <dxf>
      <font>
        <b/>
        <color rgb="FF262626"/>
        <name val="Calibri"/>
        <charset val="1"/>
      </font>
      <fill>
        <patternFill>
          <bgColor rgb="FFFFFF00"/>
        </patternFill>
      </fill>
    </dxf>
    <dxf>
      <font>
        <b/>
        <color rgb="FF262626"/>
        <name val="Calibri"/>
        <charset val="1"/>
      </font>
      <fill>
        <patternFill>
          <bgColor rgb="FF92D050"/>
        </patternFill>
      </fill>
    </dxf>
    <dxf>
      <font>
        <b/>
        <color rgb="FF262626"/>
        <name val="Calibri"/>
        <charset val="1"/>
      </font>
      <fill>
        <patternFill>
          <bgColor rgb="FF92D050"/>
        </patternFill>
      </fill>
    </dxf>
    <dxf>
      <font>
        <b/>
        <color rgb="FF262626"/>
        <name val="Calibri"/>
        <charset val="1"/>
      </font>
      <fill>
        <patternFill>
          <bgColor rgb="FFFFFF00"/>
        </patternFill>
      </fill>
    </dxf>
    <dxf>
      <font>
        <b/>
        <color rgb="FFFFFFFF"/>
        <name val="Calibri"/>
        <charset val="1"/>
      </font>
      <fill>
        <patternFill>
          <bgColor rgb="FFFF6600"/>
        </patternFill>
      </fill>
    </dxf>
    <dxf>
      <font>
        <b/>
        <color rgb="FFFFFFFF"/>
        <name val="Calibri"/>
        <charset val="1"/>
      </font>
      <fill>
        <patternFill>
          <bgColor rgb="FFC00000"/>
        </patternFill>
      </fill>
    </dxf>
    <dxf>
      <font>
        <b/>
        <i val="0"/>
        <color rgb="FFFFFFFF"/>
      </font>
      <fill>
        <patternFill patternType="solid">
          <fgColor indexed="64"/>
          <bgColor rgb="FFC0272D"/>
        </patternFill>
      </fill>
    </dxf>
    <dxf>
      <font>
        <b/>
        <i val="0"/>
        <color rgb="FFFFFFFF"/>
      </font>
      <fill>
        <patternFill patternType="solid">
          <fgColor indexed="64"/>
          <bgColor rgb="FFE8720C"/>
        </patternFill>
      </fill>
    </dxf>
    <dxf>
      <font>
        <b/>
        <i val="0"/>
        <color rgb="FFFFFFFF"/>
      </font>
      <fill>
        <patternFill patternType="solid">
          <fgColor indexed="64"/>
          <bgColor rgb="FFD9A404"/>
        </patternFill>
      </fill>
    </dxf>
    <dxf>
      <font>
        <b/>
        <i val="0"/>
        <color rgb="FFFFFFFF"/>
      </font>
      <fill>
        <patternFill patternType="solid">
          <fgColor indexed="64"/>
          <bgColor rgb="FF2E9E44"/>
        </patternFill>
      </fill>
    </dxf>
    <dxf>
      <font>
        <b/>
        <i val="0"/>
        <color rgb="FFFFFFFF"/>
      </font>
      <fill>
        <patternFill patternType="solid">
          <fgColor indexed="64"/>
          <bgColor rgb="FF1F77B4"/>
        </patternFill>
      </fill>
    </dxf>
    <dxf>
      <fill>
        <patternFill patternType="solid">
          <bgColor rgb="FFD6DCE4"/>
        </patternFill>
      </fill>
    </dxf>
    <dxf>
      <fill>
        <patternFill patternType="none"/>
      </fill>
    </dxf>
    <dxf>
      <fill>
        <patternFill patternType="solid">
          <bgColor rgb="FFD6DCE4"/>
        </patternFill>
      </fill>
    </dxf>
    <dxf>
      <fill>
        <patternFill patternType="none"/>
      </fill>
    </dxf>
    <dxf>
      <font>
        <b/>
        <color rgb="FFFFFFFF"/>
        <name val="Calibri"/>
        <charset val="1"/>
      </font>
      <fill>
        <patternFill>
          <bgColor rgb="FFC00000"/>
        </patternFill>
      </fill>
    </dxf>
    <dxf>
      <font>
        <b/>
        <color rgb="FFFFFFFF"/>
        <name val="Calibri"/>
        <charset val="1"/>
      </font>
      <fill>
        <patternFill>
          <bgColor rgb="FFFF6600"/>
        </patternFill>
      </fill>
    </dxf>
    <dxf>
      <font>
        <b/>
        <color rgb="FF262626"/>
        <name val="Calibri"/>
        <charset val="1"/>
      </font>
      <fill>
        <patternFill>
          <bgColor rgb="FFFFFF00"/>
        </patternFill>
      </fill>
    </dxf>
    <dxf>
      <font>
        <b/>
        <color rgb="FF262626"/>
        <name val="Calibri"/>
        <charset val="1"/>
      </font>
      <fill>
        <patternFill>
          <bgColor rgb="FF92D050"/>
        </patternFill>
      </fill>
    </dxf>
    <dxf>
      <font>
        <b/>
        <color rgb="FF262626"/>
        <name val="Calibri"/>
        <charset val="1"/>
      </font>
      <fill>
        <patternFill>
          <bgColor rgb="FF92D050"/>
        </patternFill>
      </fill>
    </dxf>
    <dxf>
      <font>
        <b/>
        <color rgb="FF262626"/>
        <name val="Calibri"/>
        <charset val="1"/>
      </font>
      <fill>
        <patternFill>
          <bgColor rgb="FFFFFF00"/>
        </patternFill>
      </fill>
    </dxf>
    <dxf>
      <font>
        <b/>
        <color rgb="FFFFFFFF"/>
        <name val="Calibri"/>
        <charset val="1"/>
      </font>
      <fill>
        <patternFill>
          <bgColor rgb="FFFF6600"/>
        </patternFill>
      </fill>
    </dxf>
    <dxf>
      <font>
        <b/>
        <color rgb="FFFFFFFF"/>
        <name val="Calibri"/>
        <charset val="1"/>
      </font>
      <fill>
        <patternFill>
          <bgColor rgb="FFC00000"/>
        </patternFill>
      </fill>
    </dxf>
    <dxf>
      <font>
        <b/>
        <color rgb="FFFFFFFF"/>
        <name val="Calibri"/>
        <charset val="1"/>
      </font>
      <fill>
        <patternFill>
          <bgColor rgb="FFC00000"/>
        </patternFill>
      </fill>
    </dxf>
    <dxf>
      <font>
        <b/>
        <color rgb="FFFFFFFF"/>
        <name val="Calibri"/>
        <charset val="1"/>
      </font>
      <fill>
        <patternFill>
          <bgColor rgb="FFFF6600"/>
        </patternFill>
      </fill>
    </dxf>
    <dxf>
      <font>
        <b/>
        <color rgb="FF262626"/>
        <name val="Calibri"/>
        <charset val="1"/>
      </font>
      <fill>
        <patternFill>
          <bgColor rgb="FFFFFF00"/>
        </patternFill>
      </fill>
    </dxf>
    <dxf>
      <font>
        <b/>
        <color rgb="FF262626"/>
        <name val="Calibri"/>
        <charset val="1"/>
      </font>
      <fill>
        <patternFill>
          <bgColor rgb="FF92D050"/>
        </patternFill>
      </fill>
    </dxf>
    <dxf>
      <font>
        <b/>
        <color rgb="FF262626"/>
        <name val="Calibri"/>
        <charset val="1"/>
      </font>
      <fill>
        <patternFill>
          <bgColor rgb="FF92D050"/>
        </patternFill>
      </fill>
    </dxf>
    <dxf>
      <font>
        <b/>
        <color rgb="FF262626"/>
        <name val="Calibri"/>
        <charset val="1"/>
      </font>
      <fill>
        <patternFill>
          <bgColor rgb="FFFFFF00"/>
        </patternFill>
      </fill>
    </dxf>
    <dxf>
      <font>
        <b/>
        <color rgb="FFFFFFFF"/>
        <name val="Calibri"/>
        <charset val="1"/>
      </font>
      <fill>
        <patternFill>
          <bgColor rgb="FFFF6600"/>
        </patternFill>
      </fill>
    </dxf>
    <dxf>
      <font>
        <b/>
        <color rgb="FFFFFFFF"/>
        <name val="Calibri"/>
        <charset val="1"/>
      </font>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C55A11"/>
      <rgbColor rgb="FF800080"/>
      <rgbColor rgb="FF008080"/>
      <rgbColor rgb="FFB7C6E0"/>
      <rgbColor rgb="FF808080"/>
      <rgbColor rgb="FF9999FF"/>
      <rgbColor rgb="FF7030A0"/>
      <rgbColor rgb="FFFFF2CC"/>
      <rgbColor rgb="FFDCE6F4"/>
      <rgbColor rgb="FF660066"/>
      <rgbColor rgb="FFFF8080"/>
      <rgbColor rgb="FF1F4E78"/>
      <rgbColor rgb="FFE2D9F3"/>
      <rgbColor rgb="FF000080"/>
      <rgbColor rgb="FFFF00FF"/>
      <rgbColor rgb="FFFFFF00"/>
      <rgbColor rgb="FF00FFFF"/>
      <rgbColor rgb="FF800080"/>
      <rgbColor rgb="FF800000"/>
      <rgbColor rgb="FF008080"/>
      <rgbColor rgb="FF0000FF"/>
      <rgbColor rgb="FF00CCFF"/>
      <rgbColor rgb="FFF2F6FC"/>
      <rgbColor rgb="FFE2EFDA"/>
      <rgbColor rgb="FFFFFF99"/>
      <rgbColor rgb="FF99CCFF"/>
      <rgbColor rgb="FFFF99CC"/>
      <rgbColor rgb="FFCC99FF"/>
      <rgbColor rgb="FFFCE4D6"/>
      <rgbColor rgb="FF2E75B6"/>
      <rgbColor rgb="FF33CCCC"/>
      <rgbColor rgb="FF92D050"/>
      <rgbColor rgb="FFFFCC00"/>
      <rgbColor rgb="FFBF8F00"/>
      <rgbColor rgb="FFFF6600"/>
      <rgbColor rgb="FF595959"/>
      <rgbColor rgb="FF969696"/>
      <rgbColor rgb="FF16294A"/>
      <rgbColor rgb="FF538135"/>
      <rgbColor rgb="FF003300"/>
      <rgbColor rgb="FF375623"/>
      <rgbColor rgb="FFC45911"/>
      <rgbColor rgb="FF5B2D90"/>
      <rgbColor rgb="FF1F3864"/>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Volume Laporan Gratifikasi per Kelompok Jabatan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'Analisis Gratifikasi'!$A$17:$A$26</c:f>
              <c:strCache>
                <c:ptCount val="10"/>
                <c:pt idx="0">
                  <c:v>Ketua Pengadilan</c:v>
                </c:pt>
                <c:pt idx="1">
                  <c:v>Hakim</c:v>
                </c:pt>
                <c:pt idx="2">
                  <c:v>Sekretaris</c:v>
                </c:pt>
                <c:pt idx="3">
                  <c:v>Wakil Ketua Pengadilan</c:v>
                </c:pt>
                <c:pt idx="4">
                  <c:v>Staf/Pegawai Pelaksana</c:v>
                </c:pt>
                <c:pt idx="5">
                  <c:v>Panitera</c:v>
                </c:pt>
                <c:pt idx="6">
                  <c:v>Pejabat Struktural (Kasubbag/Kabag)</c:v>
                </c:pt>
                <c:pt idx="7">
                  <c:v>Jabatan Lainnya</c:v>
                </c:pt>
                <c:pt idx="8">
                  <c:v>Jurusita</c:v>
                </c:pt>
                <c:pt idx="9">
                  <c:v>Pimpinan Satker/Direktorat</c:v>
                </c:pt>
              </c:strCache>
            </c:strRef>
          </c:cat>
          <c:val>
            <c:numRef>
              <c:f>'Analisis Gratifikasi'!$B$17:$B$26</c:f>
              <c:numCache>
                <c:formatCode>#,##0</c:formatCode>
                <c:ptCount val="10"/>
                <c:pt idx="0">
                  <c:v>416</c:v>
                </c:pt>
                <c:pt idx="1">
                  <c:v>220</c:v>
                </c:pt>
                <c:pt idx="2">
                  <c:v>95</c:v>
                </c:pt>
                <c:pt idx="3">
                  <c:v>92</c:v>
                </c:pt>
                <c:pt idx="4">
                  <c:v>80</c:v>
                </c:pt>
                <c:pt idx="5">
                  <c:v>76</c:v>
                </c:pt>
                <c:pt idx="6">
                  <c:v>50</c:v>
                </c:pt>
                <c:pt idx="7">
                  <c:v>30</c:v>
                </c:pt>
                <c:pt idx="8">
                  <c:v>10</c:v>
                </c:pt>
                <c:pt idx="9">
                  <c:v>10</c:v>
                </c:pt>
              </c:numCache>
            </c:numRef>
          </c:val>
          <c:extLst>
            <c:ext xmlns:c16="http://schemas.microsoft.com/office/drawing/2014/chart" uri="{C3380CC4-5D6E-409C-BE32-E72D297353CC}">
              <c16:uniqueId val="{00000000-5CEE-48D3-B417-DEAE8D2D3016}"/>
            </c:ext>
          </c:extLst>
        </c:ser>
        <c:dLbls>
          <c:showLegendKey val="0"/>
          <c:showVal val="0"/>
          <c:showCatName val="0"/>
          <c:showSerName val="0"/>
          <c:showPercent val="0"/>
          <c:showBubbleSize val="0"/>
        </c:dLbls>
        <c:gapWidth val="247"/>
        <c:axId val="995254703"/>
        <c:axId val="1002734895"/>
      </c:barChart>
      <c:catAx>
        <c:axId val="9952547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02734895"/>
        <c:crosses val="autoZero"/>
        <c:auto val="1"/>
        <c:lblAlgn val="ctr"/>
        <c:lblOffset val="100"/>
        <c:noMultiLvlLbl val="0"/>
      </c:catAx>
      <c:valAx>
        <c:axId val="1002734895"/>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9525470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Objek Gratifikasi Paling Banyak Diberikan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'Analisis Gratifikasi'!$A$32:$A$43</c:f>
              <c:strCache>
                <c:ptCount val="12"/>
                <c:pt idx="0">
                  <c:v>Makanan &amp; Minuman</c:v>
                </c:pt>
                <c:pt idx="1">
                  <c:v>Peralatan Rumah Tangga / Pecah Belah</c:v>
                </c:pt>
                <c:pt idx="2">
                  <c:v>Uang &amp; Setara Uang</c:v>
                </c:pt>
                <c:pt idx="3">
                  <c:v>Pakaian &amp; Kain</c:v>
                </c:pt>
                <c:pt idx="4">
                  <c:v>Suvenir &amp; Merchandise</c:v>
                </c:pt>
                <c:pt idx="5">
                  <c:v>Buku &amp; Publikasi</c:v>
                </c:pt>
                <c:pt idx="6">
                  <c:v>Parsel/Bingkisan (tidak dirinci)</c:v>
                </c:pt>
                <c:pt idx="7">
                  <c:v>Karangan Bunga / Ucapan</c:v>
                </c:pt>
                <c:pt idx="8">
                  <c:v>Elektronik &amp; Gadget</c:v>
                </c:pt>
                <c:pt idx="9">
                  <c:v>Fasilitas &amp; Jasa</c:v>
                </c:pt>
                <c:pt idx="10">
                  <c:v>Barang Lain / Tidak Terinci</c:v>
                </c:pt>
                <c:pt idx="11">
                  <c:v>(tidak diisi)</c:v>
                </c:pt>
              </c:strCache>
            </c:strRef>
          </c:cat>
          <c:val>
            <c:numRef>
              <c:f>'Analisis Gratifikasi'!$B$32:$B$43</c:f>
              <c:numCache>
                <c:formatCode>#,##0</c:formatCode>
                <c:ptCount val="12"/>
                <c:pt idx="0">
                  <c:v>325</c:v>
                </c:pt>
                <c:pt idx="1">
                  <c:v>210</c:v>
                </c:pt>
                <c:pt idx="2">
                  <c:v>125</c:v>
                </c:pt>
                <c:pt idx="3">
                  <c:v>122</c:v>
                </c:pt>
                <c:pt idx="4">
                  <c:v>82</c:v>
                </c:pt>
                <c:pt idx="5">
                  <c:v>37</c:v>
                </c:pt>
                <c:pt idx="6">
                  <c:v>32</c:v>
                </c:pt>
                <c:pt idx="7">
                  <c:v>23</c:v>
                </c:pt>
                <c:pt idx="8">
                  <c:v>15</c:v>
                </c:pt>
                <c:pt idx="9">
                  <c:v>7</c:v>
                </c:pt>
                <c:pt idx="10">
                  <c:v>42</c:v>
                </c:pt>
                <c:pt idx="11">
                  <c:v>59</c:v>
                </c:pt>
              </c:numCache>
            </c:numRef>
          </c:val>
          <c:extLst>
            <c:ext xmlns:c16="http://schemas.microsoft.com/office/drawing/2014/chart" uri="{C3380CC4-5D6E-409C-BE32-E72D297353CC}">
              <c16:uniqueId val="{00000000-FF0C-437A-8A1B-698D539600E5}"/>
            </c:ext>
          </c:extLst>
        </c:ser>
        <c:dLbls>
          <c:showLegendKey val="0"/>
          <c:showVal val="0"/>
          <c:showCatName val="0"/>
          <c:showSerName val="0"/>
          <c:showPercent val="0"/>
          <c:showBubbleSize val="0"/>
        </c:dLbls>
        <c:gapWidth val="247"/>
        <c:axId val="995311775"/>
        <c:axId val="1002756975"/>
      </c:barChart>
      <c:catAx>
        <c:axId val="9953117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02756975"/>
        <c:crosses val="autoZero"/>
        <c:auto val="1"/>
        <c:lblAlgn val="ctr"/>
        <c:lblOffset val="100"/>
        <c:noMultiLvlLbl val="0"/>
      </c:catAx>
      <c:valAx>
        <c:axId val="1002756975"/>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9531177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Tren Skenario Gratifikasi (share per tahun, 2026 s.d. Juli)</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'Analisis Gratifikasi'!$A$92</c:f>
              <c:strCache>
                <c:ptCount val="1"/>
                <c:pt idx="0">
                  <c:v>Pemberian Umum / Tanpa Konteks</c:v>
                </c:pt>
              </c:strCache>
            </c:strRef>
          </c:tx>
          <c:spPr>
            <a:ln w="38100" cap="flat" cmpd="dbl" algn="ctr">
              <a:solidFill>
                <a:schemeClr val="accent1"/>
              </a:solidFill>
              <a:miter lim="800000"/>
            </a:ln>
            <a:effectLst/>
          </c:spPr>
          <c:marker>
            <c:symbol val="none"/>
          </c:marker>
          <c:cat>
            <c:strRef>
              <c:f>'Analisis Gratifikasi'!$B$91:$D$91</c:f>
              <c:strCache>
                <c:ptCount val="3"/>
                <c:pt idx="0">
                  <c:v>2024</c:v>
                </c:pt>
                <c:pt idx="1">
                  <c:v>2025</c:v>
                </c:pt>
                <c:pt idx="2">
                  <c:v>2026*</c:v>
                </c:pt>
              </c:strCache>
            </c:strRef>
          </c:cat>
          <c:val>
            <c:numRef>
              <c:f>'Analisis Gratifikasi'!$B$92:$D$92</c:f>
              <c:numCache>
                <c:formatCode>0.0%</c:formatCode>
                <c:ptCount val="3"/>
                <c:pt idx="0">
                  <c:v>0.25</c:v>
                </c:pt>
                <c:pt idx="1">
                  <c:v>0.46935483870967742</c:v>
                </c:pt>
                <c:pt idx="2">
                  <c:v>0.36410256410256409</c:v>
                </c:pt>
              </c:numCache>
            </c:numRef>
          </c:val>
          <c:smooth val="0"/>
          <c:extLst>
            <c:ext xmlns:c16="http://schemas.microsoft.com/office/drawing/2014/chart" uri="{C3380CC4-5D6E-409C-BE32-E72D297353CC}">
              <c16:uniqueId val="{00000000-7E7C-45C0-996E-AC612A0A73F5}"/>
            </c:ext>
          </c:extLst>
        </c:ser>
        <c:ser>
          <c:idx val="1"/>
          <c:order val="1"/>
          <c:tx>
            <c:strRef>
              <c:f>'Analisis Gratifikasi'!$A$93</c:f>
              <c:strCache>
                <c:ptCount val="1"/>
                <c:pt idx="0">
                  <c:v>Parsel/Bingkisan Umum (non-hari raya)</c:v>
                </c:pt>
              </c:strCache>
            </c:strRef>
          </c:tx>
          <c:spPr>
            <a:ln w="38100" cap="flat" cmpd="dbl" algn="ctr">
              <a:solidFill>
                <a:schemeClr val="accent2"/>
              </a:solidFill>
              <a:miter lim="800000"/>
            </a:ln>
            <a:effectLst/>
          </c:spPr>
          <c:marker>
            <c:symbol val="none"/>
          </c:marker>
          <c:cat>
            <c:strRef>
              <c:f>'Analisis Gratifikasi'!$B$91:$D$91</c:f>
              <c:strCache>
                <c:ptCount val="3"/>
                <c:pt idx="0">
                  <c:v>2024</c:v>
                </c:pt>
                <c:pt idx="1">
                  <c:v>2025</c:v>
                </c:pt>
                <c:pt idx="2">
                  <c:v>2026*</c:v>
                </c:pt>
              </c:strCache>
            </c:strRef>
          </c:cat>
          <c:val>
            <c:numRef>
              <c:f>'Analisis Gratifikasi'!$B$93:$D$93</c:f>
              <c:numCache>
                <c:formatCode>0.0%</c:formatCode>
                <c:ptCount val="3"/>
                <c:pt idx="0">
                  <c:v>0</c:v>
                </c:pt>
                <c:pt idx="1">
                  <c:v>9.5161290322580638E-2</c:v>
                </c:pt>
                <c:pt idx="2">
                  <c:v>0.24358974358974358</c:v>
                </c:pt>
              </c:numCache>
            </c:numRef>
          </c:val>
          <c:smooth val="0"/>
          <c:extLst>
            <c:ext xmlns:c16="http://schemas.microsoft.com/office/drawing/2014/chart" uri="{C3380CC4-5D6E-409C-BE32-E72D297353CC}">
              <c16:uniqueId val="{00000001-7E7C-45C0-996E-AC612A0A73F5}"/>
            </c:ext>
          </c:extLst>
        </c:ser>
        <c:ser>
          <c:idx val="2"/>
          <c:order val="2"/>
          <c:tx>
            <c:strRef>
              <c:f>'Analisis Gratifikasi'!$A$94</c:f>
              <c:strCache>
                <c:ptCount val="1"/>
                <c:pt idx="0">
                  <c:v>Pemberian Uang Langsung</c:v>
                </c:pt>
              </c:strCache>
            </c:strRef>
          </c:tx>
          <c:spPr>
            <a:ln w="38100" cap="flat" cmpd="dbl" algn="ctr">
              <a:solidFill>
                <a:schemeClr val="accent3"/>
              </a:solidFill>
              <a:miter lim="800000"/>
            </a:ln>
            <a:effectLst/>
          </c:spPr>
          <c:marker>
            <c:symbol val="none"/>
          </c:marker>
          <c:cat>
            <c:strRef>
              <c:f>'Analisis Gratifikasi'!$B$91:$D$91</c:f>
              <c:strCache>
                <c:ptCount val="3"/>
                <c:pt idx="0">
                  <c:v>2024</c:v>
                </c:pt>
                <c:pt idx="1">
                  <c:v>2025</c:v>
                </c:pt>
                <c:pt idx="2">
                  <c:v>2026*</c:v>
                </c:pt>
              </c:strCache>
            </c:strRef>
          </c:cat>
          <c:val>
            <c:numRef>
              <c:f>'Analisis Gratifikasi'!$B$94:$D$94</c:f>
              <c:numCache>
                <c:formatCode>0.0%</c:formatCode>
                <c:ptCount val="3"/>
                <c:pt idx="0">
                  <c:v>0.25</c:v>
                </c:pt>
                <c:pt idx="1">
                  <c:v>0.13225806451612904</c:v>
                </c:pt>
                <c:pt idx="2">
                  <c:v>7.6923076923076927E-2</c:v>
                </c:pt>
              </c:numCache>
            </c:numRef>
          </c:val>
          <c:smooth val="0"/>
          <c:extLst>
            <c:ext xmlns:c16="http://schemas.microsoft.com/office/drawing/2014/chart" uri="{C3380CC4-5D6E-409C-BE32-E72D297353CC}">
              <c16:uniqueId val="{00000002-7E7C-45C0-996E-AC612A0A73F5}"/>
            </c:ext>
          </c:extLst>
        </c:ser>
        <c:ser>
          <c:idx val="3"/>
          <c:order val="3"/>
          <c:tx>
            <c:strRef>
              <c:f>'Analisis Gratifikasi'!$A$95</c:f>
              <c:strCache>
                <c:ptCount val="1"/>
                <c:pt idx="0">
                  <c:v>Suvenir / Merchandise Kegiatan &amp; Kunjungan</c:v>
                </c:pt>
              </c:strCache>
            </c:strRef>
          </c:tx>
          <c:spPr>
            <a:ln w="38100" cap="flat" cmpd="dbl" algn="ctr">
              <a:solidFill>
                <a:schemeClr val="accent4"/>
              </a:solidFill>
              <a:miter lim="800000"/>
            </a:ln>
            <a:effectLst/>
          </c:spPr>
          <c:marker>
            <c:symbol val="none"/>
          </c:marker>
          <c:cat>
            <c:strRef>
              <c:f>'Analisis Gratifikasi'!$B$91:$D$91</c:f>
              <c:strCache>
                <c:ptCount val="3"/>
                <c:pt idx="0">
                  <c:v>2024</c:v>
                </c:pt>
                <c:pt idx="1">
                  <c:v>2025</c:v>
                </c:pt>
                <c:pt idx="2">
                  <c:v>2026*</c:v>
                </c:pt>
              </c:strCache>
            </c:strRef>
          </c:cat>
          <c:val>
            <c:numRef>
              <c:f>'Analisis Gratifikasi'!$B$95:$D$95</c:f>
              <c:numCache>
                <c:formatCode>0.0%</c:formatCode>
                <c:ptCount val="3"/>
                <c:pt idx="0">
                  <c:v>0.125</c:v>
                </c:pt>
                <c:pt idx="1">
                  <c:v>8.5483870967741932E-2</c:v>
                </c:pt>
                <c:pt idx="2">
                  <c:v>7.9487179487179482E-2</c:v>
                </c:pt>
              </c:numCache>
            </c:numRef>
          </c:val>
          <c:smooth val="0"/>
          <c:extLst>
            <c:ext xmlns:c16="http://schemas.microsoft.com/office/drawing/2014/chart" uri="{C3380CC4-5D6E-409C-BE32-E72D297353CC}">
              <c16:uniqueId val="{00000003-7E7C-45C0-996E-AC612A0A73F5}"/>
            </c:ext>
          </c:extLst>
        </c:ser>
        <c:ser>
          <c:idx val="4"/>
          <c:order val="4"/>
          <c:tx>
            <c:strRef>
              <c:f>'Analisis Gratifikasi'!$A$96</c:f>
              <c:strCache>
                <c:ptCount val="1"/>
                <c:pt idx="0">
                  <c:v>Bingkisan Hari Raya / Keagamaan</c:v>
                </c:pt>
              </c:strCache>
            </c:strRef>
          </c:tx>
          <c:spPr>
            <a:ln w="38100" cap="flat" cmpd="dbl" algn="ctr">
              <a:solidFill>
                <a:schemeClr val="accent5"/>
              </a:solidFill>
              <a:miter lim="800000"/>
            </a:ln>
            <a:effectLst/>
          </c:spPr>
          <c:marker>
            <c:symbol val="none"/>
          </c:marker>
          <c:cat>
            <c:strRef>
              <c:f>'Analisis Gratifikasi'!$B$91:$D$91</c:f>
              <c:strCache>
                <c:ptCount val="3"/>
                <c:pt idx="0">
                  <c:v>2024</c:v>
                </c:pt>
                <c:pt idx="1">
                  <c:v>2025</c:v>
                </c:pt>
                <c:pt idx="2">
                  <c:v>2026*</c:v>
                </c:pt>
              </c:strCache>
            </c:strRef>
          </c:cat>
          <c:val>
            <c:numRef>
              <c:f>'Analisis Gratifikasi'!$B$96:$D$96</c:f>
              <c:numCache>
                <c:formatCode>0.0%</c:formatCode>
                <c:ptCount val="3"/>
                <c:pt idx="0">
                  <c:v>0</c:v>
                </c:pt>
                <c:pt idx="1">
                  <c:v>5.32258064516129E-2</c:v>
                </c:pt>
                <c:pt idx="2">
                  <c:v>0.11282051282051282</c:v>
                </c:pt>
              </c:numCache>
            </c:numRef>
          </c:val>
          <c:smooth val="0"/>
          <c:extLst>
            <c:ext xmlns:c16="http://schemas.microsoft.com/office/drawing/2014/chart" uri="{C3380CC4-5D6E-409C-BE32-E72D297353CC}">
              <c16:uniqueId val="{00000004-7E7C-45C0-996E-AC612A0A73F5}"/>
            </c:ext>
          </c:extLst>
        </c:ser>
        <c:ser>
          <c:idx val="5"/>
          <c:order val="5"/>
          <c:tx>
            <c:strRef>
              <c:f>'Analisis Gratifikasi'!$A$97</c:f>
              <c:strCache>
                <c:ptCount val="1"/>
                <c:pt idx="0">
                  <c:v>Paket Sembako</c:v>
                </c:pt>
              </c:strCache>
            </c:strRef>
          </c:tx>
          <c:spPr>
            <a:ln w="38100" cap="flat" cmpd="dbl" algn="ctr">
              <a:solidFill>
                <a:schemeClr val="accent6"/>
              </a:solidFill>
              <a:miter lim="800000"/>
            </a:ln>
            <a:effectLst/>
          </c:spPr>
          <c:marker>
            <c:symbol val="none"/>
          </c:marker>
          <c:cat>
            <c:strRef>
              <c:f>'Analisis Gratifikasi'!$B$91:$D$91</c:f>
              <c:strCache>
                <c:ptCount val="3"/>
                <c:pt idx="0">
                  <c:v>2024</c:v>
                </c:pt>
                <c:pt idx="1">
                  <c:v>2025</c:v>
                </c:pt>
                <c:pt idx="2">
                  <c:v>2026*</c:v>
                </c:pt>
              </c:strCache>
            </c:strRef>
          </c:cat>
          <c:val>
            <c:numRef>
              <c:f>'Analisis Gratifikasi'!$B$97:$D$97</c:f>
              <c:numCache>
                <c:formatCode>0.0%</c:formatCode>
                <c:ptCount val="3"/>
                <c:pt idx="0">
                  <c:v>0</c:v>
                </c:pt>
                <c:pt idx="1">
                  <c:v>6.4516129032258063E-2</c:v>
                </c:pt>
                <c:pt idx="2">
                  <c:v>7.4358974358974358E-2</c:v>
                </c:pt>
              </c:numCache>
            </c:numRef>
          </c:val>
          <c:smooth val="0"/>
          <c:extLst>
            <c:ext xmlns:c16="http://schemas.microsoft.com/office/drawing/2014/chart" uri="{C3380CC4-5D6E-409C-BE32-E72D297353CC}">
              <c16:uniqueId val="{00000005-7E7C-45C0-996E-AC612A0A73F5}"/>
            </c:ext>
          </c:extLst>
        </c:ser>
        <c:dLbls>
          <c:showLegendKey val="0"/>
          <c:showVal val="0"/>
          <c:showCatName val="0"/>
          <c:showSerName val="0"/>
          <c:showPercent val="0"/>
          <c:showBubbleSize val="0"/>
        </c:dLbls>
        <c:smooth val="0"/>
        <c:axId val="995324303"/>
        <c:axId val="1002745455"/>
      </c:lineChart>
      <c:catAx>
        <c:axId val="99532430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745455"/>
        <c:crosses val="autoZero"/>
        <c:auto val="1"/>
        <c:lblAlgn val="ctr"/>
        <c:lblOffset val="100"/>
        <c:noMultiLvlLbl val="0"/>
      </c:catAx>
      <c:valAx>
        <c:axId val="1002745455"/>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243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Musim Rawan: Jumlah Laporan per Bulan Penerimaan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'Analisis Gratifikasi'!$C$128</c:f>
              <c:strCache>
                <c:ptCount val="1"/>
                <c:pt idx="0">
                  <c:v>Total Laporan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'Analisis Gratifikasi'!$B$129:$B$141</c:f>
              <c:strCache>
                <c:ptCount val="13"/>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pt idx="12">
                  <c:v>Tanggal tidak diisi</c:v>
                </c:pt>
              </c:strCache>
            </c:strRef>
          </c:cat>
          <c:val>
            <c:numRef>
              <c:f>'Analisis Gratifikasi'!$C$129:$C$141</c:f>
              <c:numCache>
                <c:formatCode>#,##0;;\-</c:formatCode>
                <c:ptCount val="13"/>
                <c:pt idx="0">
                  <c:v>64</c:v>
                </c:pt>
                <c:pt idx="1">
                  <c:v>137</c:v>
                </c:pt>
                <c:pt idx="2">
                  <c:v>354</c:v>
                </c:pt>
                <c:pt idx="3">
                  <c:v>64</c:v>
                </c:pt>
                <c:pt idx="4">
                  <c:v>42</c:v>
                </c:pt>
                <c:pt idx="5">
                  <c:v>57</c:v>
                </c:pt>
                <c:pt idx="6">
                  <c:v>72</c:v>
                </c:pt>
                <c:pt idx="7">
                  <c:v>55</c:v>
                </c:pt>
                <c:pt idx="8">
                  <c:v>31</c:v>
                </c:pt>
                <c:pt idx="9">
                  <c:v>61</c:v>
                </c:pt>
                <c:pt idx="10">
                  <c:v>33</c:v>
                </c:pt>
                <c:pt idx="11">
                  <c:v>50</c:v>
                </c:pt>
                <c:pt idx="12">
                  <c:v>59</c:v>
                </c:pt>
              </c:numCache>
            </c:numRef>
          </c:val>
          <c:extLst>
            <c:ext xmlns:c16="http://schemas.microsoft.com/office/drawing/2014/chart" uri="{C3380CC4-5D6E-409C-BE32-E72D297353CC}">
              <c16:uniqueId val="{00000000-F95C-4A82-AF8D-3265FE28D238}"/>
            </c:ext>
          </c:extLst>
        </c:ser>
        <c:dLbls>
          <c:dLblPos val="outEnd"/>
          <c:showLegendKey val="0"/>
          <c:showVal val="1"/>
          <c:showCatName val="0"/>
          <c:showSerName val="0"/>
          <c:showPercent val="0"/>
          <c:showBubbleSize val="0"/>
        </c:dLbls>
        <c:gapWidth val="267"/>
        <c:overlap val="-43"/>
        <c:axId val="2006643215"/>
        <c:axId val="1911948815"/>
      </c:barChart>
      <c:catAx>
        <c:axId val="20066432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11948815"/>
        <c:crosses val="autoZero"/>
        <c:auto val="1"/>
        <c:lblAlgn val="ctr"/>
        <c:lblOffset val="100"/>
        <c:noMultiLvlLbl val="0"/>
      </c:catAx>
      <c:valAx>
        <c:axId val="1911948815"/>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0664321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Kegiatan/Momen Paling Rentan (11 teratas)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tileRect/>
            </a:gradFill>
            <a:ln>
              <a:noFill/>
            </a:ln>
            <a:effectLst>
              <a:outerShdw blurRad="40000" dist="23000" dir="5400000" rotWithShape="0">
                <a:srgbClr val="000000">
                  <a:alpha val="35000"/>
                </a:srgbClr>
              </a:outerShdw>
            </a:effectLst>
          </c:spPr>
          <c:invertIfNegative val="0"/>
          <c:cat>
            <c:strRef>
              <c:f>'Analisis Gratifikasi'!$A$103:$A$113</c:f>
              <c:strCache>
                <c:ptCount val="11"/>
                <c:pt idx="0">
                  <c:v>Relasi Personal / Tidak Teridentifikasi</c:v>
                </c:pt>
                <c:pt idx="1">
                  <c:v>Momen Hari Raya (dugaan musiman)</c:v>
                </c:pt>
                <c:pt idx="2">
                  <c:v>Momen Hari Raya (Ramadan/Idulfitri)</c:v>
                </c:pt>
                <c:pt idx="3">
                  <c:v>Kegiatan Sosial / Bantuan (Paket Sembako)</c:v>
                </c:pt>
                <c:pt idx="4">
                  <c:v>Koordinasi Antarinstansi (dugaan)</c:v>
                </c:pt>
                <c:pt idx="5">
                  <c:v>Relasi Layanan/Kerja Sama Perbankan (dugaan)</c:v>
                </c:pt>
                <c:pt idx="6">
                  <c:v>Kunjungan/Koordinasi Internal Peradilan (dugaan)</c:v>
                </c:pt>
                <c:pt idx="7">
                  <c:v>Kerja Sama Pendidikan/PKL (dugaan)</c:v>
                </c:pt>
                <c:pt idx="8">
                  <c:v>Rapat / Jamuan Dinas</c:v>
                </c:pt>
                <c:pt idx="9">
                  <c:v>Ucapan Selamat/Duka atas Acara Instansi</c:v>
                </c:pt>
                <c:pt idx="10">
                  <c:v>Pemberi Tidak Diketahui</c:v>
                </c:pt>
              </c:strCache>
            </c:strRef>
          </c:cat>
          <c:val>
            <c:numRef>
              <c:f>'Analisis Gratifikasi'!$B$103:$B$113</c:f>
              <c:numCache>
                <c:formatCode>#,##0;;\-</c:formatCode>
                <c:ptCount val="11"/>
                <c:pt idx="0">
                  <c:v>344</c:v>
                </c:pt>
                <c:pt idx="1">
                  <c:v>305</c:v>
                </c:pt>
                <c:pt idx="2">
                  <c:v>76</c:v>
                </c:pt>
                <c:pt idx="3">
                  <c:v>68</c:v>
                </c:pt>
                <c:pt idx="4">
                  <c:v>36</c:v>
                </c:pt>
                <c:pt idx="5">
                  <c:v>33</c:v>
                </c:pt>
                <c:pt idx="6">
                  <c:v>32</c:v>
                </c:pt>
                <c:pt idx="7">
                  <c:v>27</c:v>
                </c:pt>
                <c:pt idx="8">
                  <c:v>21</c:v>
                </c:pt>
                <c:pt idx="9">
                  <c:v>21</c:v>
                </c:pt>
                <c:pt idx="10">
                  <c:v>16</c:v>
                </c:pt>
              </c:numCache>
            </c:numRef>
          </c:val>
          <c:extLst>
            <c:ext xmlns:c16="http://schemas.microsoft.com/office/drawing/2014/chart" uri="{C3380CC4-5D6E-409C-BE32-E72D297353CC}">
              <c16:uniqueId val="{00000000-EC7A-47F0-88ED-027D871D5B51}"/>
            </c:ext>
          </c:extLst>
        </c:ser>
        <c:dLbls>
          <c:showLegendKey val="0"/>
          <c:showVal val="0"/>
          <c:showCatName val="0"/>
          <c:showSerName val="0"/>
          <c:showPercent val="0"/>
          <c:showBubbleSize val="0"/>
        </c:dLbls>
        <c:gapWidth val="100"/>
        <c:axId val="2006649711"/>
        <c:axId val="1911958415"/>
      </c:barChart>
      <c:catAx>
        <c:axId val="20066497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1958415"/>
        <c:crosses val="autoZero"/>
        <c:auto val="1"/>
        <c:lblAlgn val="ctr"/>
        <c:lblOffset val="100"/>
        <c:noMultiLvlLbl val="0"/>
      </c:catAx>
      <c:valAx>
        <c:axId val="1911958415"/>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664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0</xdr:colOff>
      <xdr:row>3</xdr:row>
      <xdr:rowOff>0</xdr:rowOff>
    </xdr:from>
    <xdr:to>
      <xdr:col>22</xdr:col>
      <xdr:colOff>0</xdr:colOff>
      <xdr:row>27</xdr:row>
      <xdr:rowOff>0</xdr:rowOff>
    </xdr:to>
    <xdr:graphicFrame macro="">
      <xdr:nvGraphicFramePr>
        <xdr:cNvPr id="2" name="Chart 1">
          <a:extLst>
            <a:ext uri="{FF2B5EF4-FFF2-40B4-BE49-F238E27FC236}">
              <a16:creationId xmlns:a16="http://schemas.microsoft.com/office/drawing/2014/main" id="{3054AAA1-1BA4-4336-B47E-68DA29FCE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22</xdr:col>
      <xdr:colOff>0</xdr:colOff>
      <xdr:row>45</xdr:row>
      <xdr:rowOff>0</xdr:rowOff>
    </xdr:to>
    <xdr:graphicFrame macro="">
      <xdr:nvGraphicFramePr>
        <xdr:cNvPr id="3" name="Chart 2">
          <a:extLst>
            <a:ext uri="{FF2B5EF4-FFF2-40B4-BE49-F238E27FC236}">
              <a16:creationId xmlns:a16="http://schemas.microsoft.com/office/drawing/2014/main" id="{3B17001C-4710-4165-8E41-7DDCEE589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46</xdr:row>
      <xdr:rowOff>0</xdr:rowOff>
    </xdr:from>
    <xdr:to>
      <xdr:col>22</xdr:col>
      <xdr:colOff>0</xdr:colOff>
      <xdr:row>78</xdr:row>
      <xdr:rowOff>0</xdr:rowOff>
    </xdr:to>
    <xdr:graphicFrame macro="">
      <xdr:nvGraphicFramePr>
        <xdr:cNvPr id="4" name="Chart 3">
          <a:extLst>
            <a:ext uri="{FF2B5EF4-FFF2-40B4-BE49-F238E27FC236}">
              <a16:creationId xmlns:a16="http://schemas.microsoft.com/office/drawing/2014/main" id="{D30DEE04-69BD-4FB7-962E-C24C23CF0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99</xdr:row>
      <xdr:rowOff>0</xdr:rowOff>
    </xdr:from>
    <xdr:to>
      <xdr:col>22</xdr:col>
      <xdr:colOff>0</xdr:colOff>
      <xdr:row>122</xdr:row>
      <xdr:rowOff>0</xdr:rowOff>
    </xdr:to>
    <xdr:graphicFrame macro="">
      <xdr:nvGraphicFramePr>
        <xdr:cNvPr id="5" name="Chart 4">
          <a:extLst>
            <a:ext uri="{FF2B5EF4-FFF2-40B4-BE49-F238E27FC236}">
              <a16:creationId xmlns:a16="http://schemas.microsoft.com/office/drawing/2014/main" id="{C1F68171-A9CF-4520-9D88-ACB23EF91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122</xdr:row>
      <xdr:rowOff>182879</xdr:rowOff>
    </xdr:from>
    <xdr:to>
      <xdr:col>22</xdr:col>
      <xdr:colOff>0</xdr:colOff>
      <xdr:row>147</xdr:row>
      <xdr:rowOff>182879</xdr:rowOff>
    </xdr:to>
    <xdr:graphicFrame macro="">
      <xdr:nvGraphicFramePr>
        <xdr:cNvPr id="6" name="Chart 5">
          <a:extLst>
            <a:ext uri="{FF2B5EF4-FFF2-40B4-BE49-F238E27FC236}">
              <a16:creationId xmlns:a16="http://schemas.microsoft.com/office/drawing/2014/main" id="{5531C92B-4C92-4D53-A3D0-481B8DDE9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icky Pramoedya" id="{3ADED0A1-9765-4C9C-B76D-B0B88B25CC8A}" userId="b73485d2dbd69ef6"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4" dT="2026-08-03T03:19:10.82" personId="{3ADED0A1-9765-4C9C-B76D-B0B88B25CC8A}" id="{56C0ECD7-98CD-4FAB-BF85-64421ABFC34F}">
    <text>Residual risk</text>
  </threadedComment>
  <threadedComment ref="O4" dT="2026-08-03T03:21:35.21" personId="{3ADED0A1-9765-4C9C-B76D-B0B88B25CC8A}" id="{8C27D1C9-DF1A-4511-8761-2E1ABC8197D1}">
    <text>Appetite KPK utk Gratifikasi Rendah</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5E3687-1C1C-4F13-9584-06A65D884099}">
  <we:reference id="wa200010725" version="1.0.0.1" store="en-US" storeType="OMEX"/>
  <we:alternateReferences>
    <we:reference id="WA200010725" version="1.0.0.1" store="" storeType="OMEX"/>
  </we:alternateReferences>
  <we:properties>
    <we:property name="claude.fileId" value="&quot;0d777298-729b-43d2-bd79-41490014bb3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file:///C:\Users\ricky\OneDrive\Documents\Mahkamah%20Agung\Manajemen%20Risiko\Risk_Library\Template-excel\Template_RiskLibrary_Sektor_Publik_Redesign.xlsx" TargetMode="External"/><Relationship Id="rId7" Type="http://schemas.openxmlformats.org/officeDocument/2006/relationships/hyperlink" Target="file:///C:\Users\ricky\OneDrive\Documents\Mahkamah%20Agung\Manajemen%20Risiko\Risk_Library\Template-excel\Template_RiskLibrary_Sektor_Publik_Redesign.xlsx" TargetMode="External"/><Relationship Id="rId2" Type="http://schemas.openxmlformats.org/officeDocument/2006/relationships/hyperlink" Target="file:///C:\Users\ricky\OneDrive\Documents\Mahkamah%20Agung\Manajemen%20Risiko\Risk_Library\Template-excel\Template_RiskLibrary_Sektor_Publik_Redesign.xlsx" TargetMode="External"/><Relationship Id="rId1" Type="http://schemas.openxmlformats.org/officeDocument/2006/relationships/hyperlink" Target="file:///C:\Users\ricky\OneDrive\Documents\Mahkamah%20Agung\Manajemen%20Risiko\Risk_Library\Template-excel\Template_RiskLibrary_Sektor_Publik_Redesign.xlsx" TargetMode="External"/><Relationship Id="rId6" Type="http://schemas.openxmlformats.org/officeDocument/2006/relationships/hyperlink" Target="file:///C:\Users\ricky\OneDrive\Documents\Mahkamah%20Agung\Manajemen%20Risiko\Risk_Library\Template-excel\Template_RiskLibrary_Sektor_Publik_Redesign.xlsx" TargetMode="External"/><Relationship Id="rId5" Type="http://schemas.openxmlformats.org/officeDocument/2006/relationships/hyperlink" Target="file:///C:\Users\ricky\OneDrive\Documents\Mahkamah%20Agung\Manajemen%20Risiko\Risk_Library\Template-excel\Template_RiskLibrary_Sektor_Publik_Redesign.xlsx" TargetMode="External"/><Relationship Id="rId4" Type="http://schemas.openxmlformats.org/officeDocument/2006/relationships/hyperlink" Target="file:///C:\Users\ricky\OneDrive\Documents\Mahkamah%20Agung\Manajemen%20Risiko\Risk_Library\Template-excel\Template_RiskLibrary_Sektor_Publik_Redesign.xls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drive/folders/1j1y6lO0-SM7ychhmwCn5Byh4kOtxSQ-I?usp=share_link" TargetMode="External"/><Relationship Id="rId3" Type="http://schemas.openxmlformats.org/officeDocument/2006/relationships/hyperlink" Target="https://drive.google.com/drive/folders/1iJQMXDgyIiz54CEr58vT_wubSSbOcQKz?usp=share_link" TargetMode="External"/><Relationship Id="rId7" Type="http://schemas.openxmlformats.org/officeDocument/2006/relationships/hyperlink" Target="https://smap.mahkamahagung.go.id/evaluasi/documents/evidence/2025/173/smap-evidence-51-2025-05-27-15-00-01.pdf" TargetMode="External"/><Relationship Id="rId12" Type="http://schemas.openxmlformats.org/officeDocument/2006/relationships/comments" Target="../comments4.xml"/><Relationship Id="rId2" Type="http://schemas.openxmlformats.org/officeDocument/2006/relationships/hyperlink" Target="https://drive.google.com/file/d/1c4E2P_KLkF7Vgt8rdPUGpbyX3W2tFqIN/view?usp=sharing" TargetMode="External"/><Relationship Id="rId1" Type="http://schemas.openxmlformats.org/officeDocument/2006/relationships/hyperlink" Target="https://smap.mahkamahagung.go.id/evaluasi/documents/evidence/2024/163/smap-evidence-51-2024-05-21-15-03-19.pdf" TargetMode="External"/><Relationship Id="rId6" Type="http://schemas.openxmlformats.org/officeDocument/2006/relationships/hyperlink" Target="https://smap.mahkamahagung.go.id/evaluasi/documents/evidence/2025/173/smap-evidence-51-2025-05-27-14-59-21.pdf" TargetMode="External"/><Relationship Id="rId11" Type="http://schemas.openxmlformats.org/officeDocument/2006/relationships/vmlDrawing" Target="../drawings/vmlDrawing4.vml"/><Relationship Id="rId5" Type="http://schemas.openxmlformats.org/officeDocument/2006/relationships/hyperlink" Target="https://smap.mahkamahagung.go.id/evaluasi/documents/evidence/2025/173/smap-evidence-51-2025-05-27-14-58-09.pdf" TargetMode="External"/><Relationship Id="rId10" Type="http://schemas.openxmlformats.org/officeDocument/2006/relationships/hyperlink" Target="https://drive.google.com/drive/folders/1zHGDut1INVfVxetNXdypAP2GADRJtqbW?usp=drive_link" TargetMode="External"/><Relationship Id="rId4" Type="http://schemas.openxmlformats.org/officeDocument/2006/relationships/hyperlink" Target="https://smap.mahkamahagung.go.id/evaluasi/documents/evidence/2025/166/smap-evidence-51-2025-05-28-19-28-10.pdf" TargetMode="External"/><Relationship Id="rId9" Type="http://schemas.openxmlformats.org/officeDocument/2006/relationships/hyperlink" Target="https://drive.google.com/drive/folders/1YjWTR6gRKUnfYh64R8aOjFco2G7vHlJK?usp=sharin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drive/folders/1j1y6lO0-SM7ychhmwCn5Byh4kOtxSQ-I?usp=share_link" TargetMode="External"/><Relationship Id="rId3" Type="http://schemas.openxmlformats.org/officeDocument/2006/relationships/hyperlink" Target="https://drive.google.com/drive/folders/1iJQMXDgyIiz54CEr58vT_wubSSbOcQKz?usp=share_link" TargetMode="External"/><Relationship Id="rId7" Type="http://schemas.openxmlformats.org/officeDocument/2006/relationships/hyperlink" Target="https://smap.mahkamahagung.go.id/evaluasi/documents/evidence/2025/173/smap-evidence-51-2025-05-27-15-00-01.pdf" TargetMode="External"/><Relationship Id="rId12" Type="http://schemas.openxmlformats.org/officeDocument/2006/relationships/comments" Target="../comments5.xml"/><Relationship Id="rId2" Type="http://schemas.openxmlformats.org/officeDocument/2006/relationships/hyperlink" Target="https://drive.google.com/file/d/1c4E2P_KLkF7Vgt8rdPUGpbyX3W2tFqIN/view?usp=sharing" TargetMode="External"/><Relationship Id="rId1" Type="http://schemas.openxmlformats.org/officeDocument/2006/relationships/hyperlink" Target="https://smap.mahkamahagung.go.id/evaluasi/documents/evidence/2024/163/smap-evidence-51-2024-05-21-15-03-19.pdf" TargetMode="External"/><Relationship Id="rId6" Type="http://schemas.openxmlformats.org/officeDocument/2006/relationships/hyperlink" Target="https://smap.mahkamahagung.go.id/evaluasi/documents/evidence/2025/173/smap-evidence-51-2025-05-27-14-59-21.pdf" TargetMode="External"/><Relationship Id="rId11" Type="http://schemas.openxmlformats.org/officeDocument/2006/relationships/vmlDrawing" Target="../drawings/vmlDrawing5.vml"/><Relationship Id="rId5" Type="http://schemas.openxmlformats.org/officeDocument/2006/relationships/hyperlink" Target="https://smap.mahkamahagung.go.id/evaluasi/documents/evidence/2025/173/smap-evidence-51-2025-05-27-14-58-09.pdf" TargetMode="External"/><Relationship Id="rId10" Type="http://schemas.openxmlformats.org/officeDocument/2006/relationships/hyperlink" Target="https://drive.google.com/drive/folders/1zHGDut1INVfVxetNXdypAP2GADRJtqbW?usp=drive_link" TargetMode="External"/><Relationship Id="rId4" Type="http://schemas.openxmlformats.org/officeDocument/2006/relationships/hyperlink" Target="https://smap.mahkamahagung.go.id/evaluasi/documents/evidence/2025/166/smap-evidence-51-2025-05-28-19-28-10.pdf" TargetMode="External"/><Relationship Id="rId9" Type="http://schemas.openxmlformats.org/officeDocument/2006/relationships/hyperlink" Target="https://drive.google.com/drive/folders/1YjWTR6gRKUnfYh64R8aOjFco2G7vHlJK?usp=sharin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drive/folders/1j1y6lO0-SM7ychhmwCn5Byh4kOtxSQ-I?usp=share_link" TargetMode="External"/><Relationship Id="rId3" Type="http://schemas.openxmlformats.org/officeDocument/2006/relationships/hyperlink" Target="https://drive.google.com/drive/folders/1iJQMXDgyIiz54CEr58vT_wubSSbOcQKz?usp=share_link" TargetMode="External"/><Relationship Id="rId7" Type="http://schemas.openxmlformats.org/officeDocument/2006/relationships/hyperlink" Target="https://smap.mahkamahagung.go.id/evaluasi/documents/evidence/2025/173/smap-evidence-51-2025-05-27-15-00-01.pdf" TargetMode="External"/><Relationship Id="rId12" Type="http://schemas.openxmlformats.org/officeDocument/2006/relationships/comments" Target="../comments6.xml"/><Relationship Id="rId2" Type="http://schemas.openxmlformats.org/officeDocument/2006/relationships/hyperlink" Target="https://drive.google.com/file/d/1c4E2P_KLkF7Vgt8rdPUGpbyX3W2tFqIN/view?usp=sharing" TargetMode="External"/><Relationship Id="rId1" Type="http://schemas.openxmlformats.org/officeDocument/2006/relationships/hyperlink" Target="https://smap.mahkamahagung.go.id/evaluasi/documents/evidence/2024/163/smap-evidence-51-2024-05-21-15-03-19.pdf" TargetMode="External"/><Relationship Id="rId6" Type="http://schemas.openxmlformats.org/officeDocument/2006/relationships/hyperlink" Target="https://smap.mahkamahagung.go.id/evaluasi/documents/evidence/2025/173/smap-evidence-51-2025-05-27-14-59-21.pdf" TargetMode="External"/><Relationship Id="rId11" Type="http://schemas.openxmlformats.org/officeDocument/2006/relationships/vmlDrawing" Target="../drawings/vmlDrawing6.vml"/><Relationship Id="rId5" Type="http://schemas.openxmlformats.org/officeDocument/2006/relationships/hyperlink" Target="https://smap.mahkamahagung.go.id/evaluasi/documents/evidence/2025/173/smap-evidence-51-2025-05-27-14-58-09.pdf" TargetMode="External"/><Relationship Id="rId10" Type="http://schemas.openxmlformats.org/officeDocument/2006/relationships/hyperlink" Target="https://drive.google.com/drive/folders/1zHGDut1INVfVxetNXdypAP2GADRJtqbW?usp=drive_link" TargetMode="External"/><Relationship Id="rId4" Type="http://schemas.openxmlformats.org/officeDocument/2006/relationships/hyperlink" Target="https://smap.mahkamahagung.go.id/evaluasi/documents/evidence/2025/166/smap-evidence-51-2025-05-28-19-28-10.pdf" TargetMode="External"/><Relationship Id="rId9" Type="http://schemas.openxmlformats.org/officeDocument/2006/relationships/hyperlink" Target="https://drive.google.com/drive/folders/1YjWTR6gRKUnfYh64R8aOjFco2G7vHlJK?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X25"/>
  <sheetViews>
    <sheetView showGridLines="0" zoomScaleNormal="100" workbookViewId="0">
      <pane ySplit="1" topLeftCell="A2" activePane="bottomLeft" state="frozen"/>
      <selection activeCell="D12" sqref="D12"/>
      <selection pane="bottomLeft" activeCell="A17" sqref="A17"/>
    </sheetView>
  </sheetViews>
  <sheetFormatPr defaultColWidth="9.109375" defaultRowHeight="14.4"/>
  <cols>
    <col min="1" max="1" width="50" customWidth="1"/>
    <col min="2" max="2" width="74" customWidth="1"/>
    <col min="2000" max="2000" width="2.5546875" customWidth="1"/>
  </cols>
  <sheetData>
    <row r="1" spans="1:50" ht="21.7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row>
    <row r="2" spans="1:50" ht="31.5" customHeight="1">
      <c r="A2" s="168" t="s">
        <v>0</v>
      </c>
      <c r="B2" s="168"/>
      <c r="C2" s="168"/>
      <c r="D2" s="168"/>
      <c r="E2" s="168"/>
      <c r="F2" s="168"/>
    </row>
    <row r="3" spans="1:50">
      <c r="A3" s="22" t="s">
        <v>1</v>
      </c>
    </row>
    <row r="5" spans="1:50" ht="21.75" customHeight="1">
      <c r="A5" s="1" t="s">
        <v>2</v>
      </c>
      <c r="B5" s="2"/>
    </row>
    <row r="6" spans="1:50" ht="21.75" customHeight="1">
      <c r="A6" s="3" t="s">
        <v>3</v>
      </c>
      <c r="B6" s="4" t="s">
        <v>4</v>
      </c>
    </row>
    <row r="7" spans="1:50" ht="21.75" customHeight="1">
      <c r="A7" s="3" t="s">
        <v>5</v>
      </c>
      <c r="B7" s="4" t="s">
        <v>6</v>
      </c>
    </row>
    <row r="8" spans="1:50" ht="21.75" customHeight="1">
      <c r="A8" s="3" t="s">
        <v>7</v>
      </c>
      <c r="B8" s="4" t="s">
        <v>8</v>
      </c>
    </row>
    <row r="9" spans="1:50" ht="21.75" customHeight="1">
      <c r="A9" s="3" t="s">
        <v>9</v>
      </c>
      <c r="B9" s="4" t="s">
        <v>10</v>
      </c>
    </row>
    <row r="10" spans="1:50" ht="21.75" customHeight="1">
      <c r="A10" s="3" t="s">
        <v>11</v>
      </c>
      <c r="B10" s="4" t="s">
        <v>12</v>
      </c>
    </row>
    <row r="11" spans="1:50" ht="21.75" customHeight="1">
      <c r="A11" s="3" t="s">
        <v>13</v>
      </c>
      <c r="B11" s="4" t="s">
        <v>14</v>
      </c>
    </row>
    <row r="12" spans="1:50" ht="21.75" customHeight="1">
      <c r="A12" s="3" t="s">
        <v>15</v>
      </c>
      <c r="B12" s="4" t="s">
        <v>16</v>
      </c>
    </row>
    <row r="14" spans="1:50" ht="21.75" customHeight="1">
      <c r="A14" s="1" t="s">
        <v>17</v>
      </c>
      <c r="B14" s="2"/>
    </row>
    <row r="15" spans="1:50" ht="21.75" customHeight="1">
      <c r="A15" s="5" t="s">
        <v>18</v>
      </c>
      <c r="B15" s="4" t="s">
        <v>19</v>
      </c>
    </row>
    <row r="16" spans="1:50" ht="21.75" customHeight="1">
      <c r="A16" s="5" t="s">
        <v>20</v>
      </c>
      <c r="B16" s="4" t="s">
        <v>21</v>
      </c>
    </row>
    <row r="17" spans="1:2" ht="21.75" customHeight="1">
      <c r="A17" s="5" t="s">
        <v>22</v>
      </c>
      <c r="B17" s="4" t="s">
        <v>23</v>
      </c>
    </row>
    <row r="18" spans="1:2" ht="21.75" customHeight="1">
      <c r="A18" s="5" t="s">
        <v>24</v>
      </c>
      <c r="B18" s="4" t="s">
        <v>25</v>
      </c>
    </row>
    <row r="19" spans="1:2" ht="21.75" customHeight="1">
      <c r="A19" s="5" t="s">
        <v>26</v>
      </c>
      <c r="B19" s="4" t="s">
        <v>27</v>
      </c>
    </row>
    <row r="21" spans="1:2" ht="21.75" customHeight="1">
      <c r="A21" s="1" t="s">
        <v>28</v>
      </c>
      <c r="B21" s="2"/>
    </row>
    <row r="22" spans="1:2" ht="30" customHeight="1">
      <c r="A22" s="23" t="s">
        <v>29</v>
      </c>
    </row>
    <row r="23" spans="1:2" ht="30" customHeight="1">
      <c r="A23" s="23" t="s">
        <v>30</v>
      </c>
    </row>
    <row r="24" spans="1:2" ht="30" customHeight="1">
      <c r="A24" s="23" t="s">
        <v>31</v>
      </c>
    </row>
    <row r="25" spans="1:2" ht="30" customHeight="1">
      <c r="A25" s="23" t="s">
        <v>32</v>
      </c>
    </row>
  </sheetData>
  <mergeCells count="1">
    <mergeCell ref="A2:F2"/>
  </mergeCells>
  <hyperlinks>
    <hyperlink ref="A6" r:id="rId1" location="'Panduan%20Penggunaan'!A1" xr:uid="{00000000-0004-0000-0000-000000000000}"/>
    <hyperlink ref="A7" r:id="rId2" location="'Master%20Pustaka%20Risiko'!A1" xr:uid="{00000000-0004-0000-0000-000001000000}"/>
    <hyperlink ref="A8" r:id="rId3" location="'Kriteria%20Penilaian'!A1" xr:uid="{00000000-0004-0000-0000-000002000000}"/>
    <hyperlink ref="A9" r:id="rId4" location="'Matriks%20Risiko%205x5'!A1" xr:uid="{00000000-0004-0000-0000-000003000000}"/>
    <hyperlink ref="A10" r:id="rId5" location="'Kategori%20Risiko'!A1" xr:uid="{00000000-0004-0000-0000-000004000000}"/>
    <hyperlink ref="A11" r:id="rId6" location="'Daftar%20Kontrol'!A1" display="6. Daftar Kontrol" xr:uid="{00000000-0004-0000-0000-000005000000}"/>
    <hyperlink ref="A12" r:id="rId7" location="'Contoh%20Pengisian'!A1" xr:uid="{00000000-0004-0000-0000-000006000000}"/>
  </hyperlinks>
  <pageMargins left="0.75" right="0.75" top="0.84722222222222199" bottom="0.84722222222222199"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4F17-38F3-46B5-8197-706131482011}">
  <dimension ref="A1:G14"/>
  <sheetViews>
    <sheetView zoomScale="132" workbookViewId="0">
      <selection activeCell="B17" sqref="B17"/>
    </sheetView>
  </sheetViews>
  <sheetFormatPr defaultRowHeight="14.4"/>
  <cols>
    <col min="2" max="2" width="31.33203125" bestFit="1" customWidth="1"/>
  </cols>
  <sheetData>
    <row r="1" spans="1:7">
      <c r="A1" s="51" t="s">
        <v>33</v>
      </c>
      <c r="F1" s="51" t="s">
        <v>34</v>
      </c>
    </row>
    <row r="2" spans="1:7">
      <c r="A2" s="51"/>
      <c r="B2" s="52" t="s">
        <v>35</v>
      </c>
      <c r="C2" s="52" t="s">
        <v>36</v>
      </c>
      <c r="D2" s="52" t="s">
        <v>37</v>
      </c>
      <c r="F2" s="51"/>
    </row>
    <row r="3" spans="1:7">
      <c r="A3">
        <v>1</v>
      </c>
      <c r="B3" s="52" t="s">
        <v>38</v>
      </c>
      <c r="C3" s="163"/>
      <c r="D3" s="163"/>
      <c r="F3" s="51" t="s">
        <v>39</v>
      </c>
    </row>
    <row r="4" spans="1:7">
      <c r="A4">
        <v>2</v>
      </c>
      <c r="B4" s="52" t="s">
        <v>40</v>
      </c>
      <c r="C4" s="163"/>
      <c r="D4" s="163"/>
      <c r="F4" s="51" t="s">
        <v>39</v>
      </c>
    </row>
    <row r="5" spans="1:7">
      <c r="A5">
        <v>3</v>
      </c>
      <c r="B5" s="52" t="s">
        <v>41</v>
      </c>
      <c r="C5" s="163"/>
      <c r="D5" s="163"/>
      <c r="F5" s="51" t="s">
        <v>39</v>
      </c>
    </row>
    <row r="6" spans="1:7">
      <c r="B6" s="163"/>
      <c r="C6" s="52" t="s">
        <v>42</v>
      </c>
      <c r="D6" s="163"/>
      <c r="G6" s="51" t="s">
        <v>39</v>
      </c>
    </row>
    <row r="7" spans="1:7">
      <c r="B7" s="163"/>
      <c r="C7" s="52" t="s">
        <v>43</v>
      </c>
      <c r="D7" s="163"/>
      <c r="G7" s="51" t="s">
        <v>39</v>
      </c>
    </row>
    <row r="8" spans="1:7">
      <c r="B8" s="163"/>
      <c r="C8" s="52" t="s">
        <v>44</v>
      </c>
      <c r="D8" s="163"/>
      <c r="G8" s="51" t="s">
        <v>39</v>
      </c>
    </row>
    <row r="9" spans="1:7">
      <c r="B9" s="163"/>
      <c r="C9" s="52" t="s">
        <v>39</v>
      </c>
      <c r="D9" s="163"/>
      <c r="G9" s="51" t="s">
        <v>39</v>
      </c>
    </row>
    <row r="10" spans="1:7">
      <c r="A10">
        <v>4</v>
      </c>
      <c r="B10" s="52" t="s">
        <v>45</v>
      </c>
      <c r="C10" s="163"/>
      <c r="D10" s="163"/>
      <c r="F10" s="51" t="s">
        <v>39</v>
      </c>
    </row>
    <row r="11" spans="1:7">
      <c r="A11">
        <v>5</v>
      </c>
      <c r="B11" s="52" t="s">
        <v>46</v>
      </c>
      <c r="C11" s="163"/>
      <c r="D11" s="163"/>
      <c r="F11" s="51" t="s">
        <v>39</v>
      </c>
    </row>
    <row r="12" spans="1:7">
      <c r="A12">
        <v>6</v>
      </c>
      <c r="B12" s="52" t="s">
        <v>47</v>
      </c>
      <c r="C12" s="163"/>
      <c r="D12" s="163"/>
      <c r="F12" s="51" t="s">
        <v>39</v>
      </c>
    </row>
    <row r="13" spans="1:7">
      <c r="A13">
        <v>7</v>
      </c>
      <c r="B13" s="52" t="s">
        <v>48</v>
      </c>
      <c r="C13" s="163"/>
      <c r="D13" s="163"/>
      <c r="F13" s="51" t="s">
        <v>39</v>
      </c>
    </row>
    <row r="14" spans="1:7">
      <c r="B14" s="163"/>
      <c r="C14" s="163"/>
      <c r="D14" s="16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BC12"/>
  <sheetViews>
    <sheetView showGridLines="0" zoomScale="109" zoomScaleNormal="100" workbookViewId="0">
      <pane ySplit="2" topLeftCell="A3" activePane="bottomLeft" state="frozen"/>
      <selection activeCell="K13" sqref="K13"/>
      <selection pane="bottomLeft" activeCell="B3" sqref="B3"/>
    </sheetView>
  </sheetViews>
  <sheetFormatPr defaultColWidth="9.109375" defaultRowHeight="14.4"/>
  <cols>
    <col min="1" max="1" width="8" customWidth="1"/>
    <col min="2" max="2" width="26.33203125" customWidth="1"/>
    <col min="3" max="4" width="27.33203125" customWidth="1"/>
    <col min="5" max="5" width="16.6640625" customWidth="1"/>
    <col min="6" max="6" width="35.5546875" customWidth="1"/>
    <col min="7" max="7" width="45.88671875" customWidth="1"/>
    <col min="8" max="8" width="35.33203125" customWidth="1"/>
    <col min="9" max="9" width="33.6640625" customWidth="1"/>
    <col min="10" max="10" width="70.6640625" customWidth="1"/>
    <col min="11" max="11" width="65.33203125" customWidth="1"/>
    <col min="12" max="12" width="24" customWidth="1"/>
    <col min="13" max="15" width="15.44140625" hidden="1" customWidth="1"/>
    <col min="16" max="16" width="15.88671875" hidden="1" customWidth="1"/>
    <col min="17" max="17" width="30" customWidth="1"/>
    <col min="18" max="18" width="22.109375" hidden="1" customWidth="1"/>
    <col min="19" max="21" width="15.44140625" hidden="1" customWidth="1"/>
    <col min="22" max="22" width="15.88671875" hidden="1" customWidth="1"/>
    <col min="23" max="23" width="16.6640625" hidden="1" customWidth="1"/>
    <col min="24" max="24" width="32" hidden="1" customWidth="1"/>
    <col min="25" max="25" width="14.109375" customWidth="1"/>
    <col min="26" max="26" width="24" customWidth="1"/>
    <col min="2000" max="2000" width="2.5546875" customWidth="1"/>
    <col min="2003" max="2003" width="2.5546875" customWidth="1"/>
  </cols>
  <sheetData>
    <row r="1" spans="1:55" ht="27.75" customHeight="1">
      <c r="A1" s="169" t="s">
        <v>49</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c r="BC1" s="164"/>
    </row>
    <row r="2" spans="1:55" ht="51" customHeight="1">
      <c r="A2" s="6" t="s">
        <v>50</v>
      </c>
      <c r="B2" s="6" t="s">
        <v>51</v>
      </c>
      <c r="C2" s="6" t="s">
        <v>52</v>
      </c>
      <c r="D2" s="6" t="s">
        <v>37</v>
      </c>
      <c r="E2" s="6" t="s">
        <v>53</v>
      </c>
      <c r="F2" s="6" t="s">
        <v>54</v>
      </c>
      <c r="G2" s="6" t="s">
        <v>55</v>
      </c>
      <c r="H2" s="6" t="s">
        <v>56</v>
      </c>
      <c r="I2" s="85" t="s">
        <v>57</v>
      </c>
      <c r="J2" s="6" t="s">
        <v>58</v>
      </c>
      <c r="K2" s="6" t="s">
        <v>59</v>
      </c>
      <c r="L2" s="85" t="s">
        <v>60</v>
      </c>
      <c r="M2" s="6" t="s">
        <v>61</v>
      </c>
      <c r="N2" s="6" t="s">
        <v>62</v>
      </c>
      <c r="O2" s="6" t="s">
        <v>63</v>
      </c>
      <c r="P2" s="6" t="s">
        <v>64</v>
      </c>
      <c r="Q2" s="85" t="s">
        <v>65</v>
      </c>
      <c r="R2" s="6" t="s">
        <v>66</v>
      </c>
      <c r="S2" s="6" t="s">
        <v>67</v>
      </c>
      <c r="T2" s="6" t="s">
        <v>68</v>
      </c>
      <c r="U2" s="6" t="s">
        <v>69</v>
      </c>
      <c r="V2" s="6" t="s">
        <v>70</v>
      </c>
      <c r="W2" s="6" t="s">
        <v>71</v>
      </c>
      <c r="X2" s="6" t="s">
        <v>72</v>
      </c>
      <c r="Y2" s="6" t="s">
        <v>73</v>
      </c>
      <c r="Z2" s="6" t="s">
        <v>74</v>
      </c>
    </row>
    <row r="3" spans="1:55" ht="169.2" customHeight="1">
      <c r="A3" s="7" t="s">
        <v>75</v>
      </c>
      <c r="B3" s="7" t="s">
        <v>76</v>
      </c>
      <c r="C3" s="7" t="s">
        <v>46</v>
      </c>
      <c r="D3" s="7"/>
      <c r="E3" s="8" t="s">
        <v>77</v>
      </c>
      <c r="F3" s="8" t="s">
        <v>78</v>
      </c>
      <c r="G3" s="8" t="s">
        <v>79</v>
      </c>
      <c r="H3" s="50" t="str">
        <f>"["&amp;I3&amp;"] menyebabkan ["&amp;F3&amp;"]; sehingga berakibat pada ["&amp;K3&amp;"]"</f>
        <v>[Keterbatasan Sistem Layanan (Penumpukan antrean) yang Bertemu dengan Lemahnya Integritas Petugas di Lini Depan] menyebabkan [Gratifikasi dalam rangka mendapatkan prioritas urutan antrean]; sehingga berakibat pada [Rusaknya citra satuan kerja, menurunkan kepercayaan masyarakat terhadap pengadilan, dan secara luas berdampak buruk pada reputasi lembaga Mahkamah Agung.]</v>
      </c>
      <c r="I3" s="8" t="s">
        <v>80</v>
      </c>
      <c r="J3" s="8" t="s">
        <v>81</v>
      </c>
      <c r="K3" s="8" t="s">
        <v>82</v>
      </c>
      <c r="L3" s="8" t="s">
        <v>83</v>
      </c>
      <c r="M3" s="7"/>
      <c r="N3" s="7"/>
      <c r="O3" s="7">
        <f t="shared" ref="O3:O12" si="0">M3*N3</f>
        <v>0</v>
      </c>
      <c r="P3" s="7" t="str">
        <f t="shared" ref="P3:P12" si="1">IF(O3&gt;=20,"Sangat Tinggi",IF(O3&gt;=16,"Tinggi",IF(O3&gt;=11,"Moderat",IF(O3&gt;=6,"Rendah","Sangat Rendah"))))</f>
        <v>Sangat Rendah</v>
      </c>
      <c r="Q3" s="8" t="s">
        <v>84</v>
      </c>
      <c r="R3" s="8"/>
      <c r="S3" s="7"/>
      <c r="T3" s="7"/>
      <c r="U3" s="7">
        <f t="shared" ref="U3:U12" si="2">S3*T3</f>
        <v>0</v>
      </c>
      <c r="V3" s="7" t="str">
        <f t="shared" ref="V3:V12" si="3">IF(U3&gt;=20,"Sangat Tinggi",IF(U3&gt;=16,"Tinggi",IF(U3&gt;=11,"Moderat",IF(U3&gt;=6,"Rendah","Sangat Rendah"))))</f>
        <v>Sangat Rendah</v>
      </c>
      <c r="W3" s="8"/>
      <c r="X3" s="8"/>
      <c r="Y3" s="8"/>
      <c r="Z3" s="8"/>
    </row>
    <row r="4" spans="1:55" ht="21.75" customHeight="1">
      <c r="A4" s="9" t="s">
        <v>85</v>
      </c>
      <c r="B4" s="9"/>
      <c r="C4" s="9"/>
      <c r="D4" s="9"/>
      <c r="E4" s="10"/>
      <c r="F4" s="10"/>
      <c r="G4" s="10"/>
      <c r="H4" s="10"/>
      <c r="I4" s="10"/>
      <c r="J4" s="10"/>
      <c r="K4" s="10"/>
      <c r="L4" s="10"/>
      <c r="M4" s="9"/>
      <c r="N4" s="9"/>
      <c r="O4" s="9">
        <f t="shared" si="0"/>
        <v>0</v>
      </c>
      <c r="P4" s="9" t="str">
        <f t="shared" si="1"/>
        <v>Sangat Rendah</v>
      </c>
      <c r="Q4" s="10"/>
      <c r="R4" s="10"/>
      <c r="S4" s="9"/>
      <c r="T4" s="9"/>
      <c r="U4" s="9">
        <f t="shared" si="2"/>
        <v>0</v>
      </c>
      <c r="V4" s="9" t="str">
        <f t="shared" si="3"/>
        <v>Sangat Rendah</v>
      </c>
      <c r="W4" s="10"/>
      <c r="X4" s="10"/>
      <c r="Y4" s="10"/>
      <c r="Z4" s="10"/>
    </row>
    <row r="5" spans="1:55" ht="21.75" customHeight="1">
      <c r="A5" s="7" t="s">
        <v>86</v>
      </c>
      <c r="B5" s="7"/>
      <c r="C5" s="7"/>
      <c r="D5" s="7"/>
      <c r="E5" s="8"/>
      <c r="F5" s="8"/>
      <c r="G5" s="8"/>
      <c r="H5" s="8"/>
      <c r="I5" s="8"/>
      <c r="J5" s="8"/>
      <c r="K5" s="8"/>
      <c r="L5" s="8"/>
      <c r="M5" s="7"/>
      <c r="N5" s="7"/>
      <c r="O5" s="7">
        <f t="shared" si="0"/>
        <v>0</v>
      </c>
      <c r="P5" s="7" t="str">
        <f t="shared" si="1"/>
        <v>Sangat Rendah</v>
      </c>
      <c r="Q5" s="8"/>
      <c r="R5" s="8"/>
      <c r="S5" s="7"/>
      <c r="T5" s="7"/>
      <c r="U5" s="7">
        <f t="shared" si="2"/>
        <v>0</v>
      </c>
      <c r="V5" s="7" t="str">
        <f t="shared" si="3"/>
        <v>Sangat Rendah</v>
      </c>
      <c r="W5" s="8"/>
      <c r="X5" s="8"/>
      <c r="Y5" s="8"/>
      <c r="Z5" s="8"/>
    </row>
    <row r="6" spans="1:55" ht="21.75" customHeight="1">
      <c r="A6" s="9" t="s">
        <v>87</v>
      </c>
      <c r="B6" s="9"/>
      <c r="C6" s="9"/>
      <c r="D6" s="9"/>
      <c r="E6" s="10"/>
      <c r="F6" s="10"/>
      <c r="G6" s="10"/>
      <c r="H6" s="10"/>
      <c r="I6" s="10"/>
      <c r="J6" s="10"/>
      <c r="K6" s="10"/>
      <c r="L6" s="10"/>
      <c r="M6" s="9"/>
      <c r="N6" s="9"/>
      <c r="O6" s="9">
        <f t="shared" si="0"/>
        <v>0</v>
      </c>
      <c r="P6" s="9" t="str">
        <f t="shared" si="1"/>
        <v>Sangat Rendah</v>
      </c>
      <c r="Q6" s="10"/>
      <c r="R6" s="10"/>
      <c r="S6" s="9"/>
      <c r="T6" s="9"/>
      <c r="U6" s="9">
        <f t="shared" si="2"/>
        <v>0</v>
      </c>
      <c r="V6" s="9" t="str">
        <f t="shared" si="3"/>
        <v>Sangat Rendah</v>
      </c>
      <c r="W6" s="10"/>
      <c r="X6" s="10"/>
      <c r="Y6" s="10"/>
      <c r="Z6" s="10"/>
    </row>
    <row r="7" spans="1:55" ht="21.75" customHeight="1">
      <c r="A7" s="7" t="s">
        <v>88</v>
      </c>
      <c r="B7" s="7"/>
      <c r="C7" s="7"/>
      <c r="D7" s="7"/>
      <c r="E7" s="8"/>
      <c r="F7" s="8"/>
      <c r="G7" s="8"/>
      <c r="H7" s="8"/>
      <c r="I7" s="8"/>
      <c r="J7" s="8"/>
      <c r="K7" s="8"/>
      <c r="L7" s="8"/>
      <c r="M7" s="7"/>
      <c r="N7" s="7"/>
      <c r="O7" s="7">
        <f t="shared" si="0"/>
        <v>0</v>
      </c>
      <c r="P7" s="7" t="str">
        <f t="shared" si="1"/>
        <v>Sangat Rendah</v>
      </c>
      <c r="Q7" s="8"/>
      <c r="R7" s="8"/>
      <c r="S7" s="7"/>
      <c r="T7" s="7"/>
      <c r="U7" s="7">
        <f t="shared" si="2"/>
        <v>0</v>
      </c>
      <c r="V7" s="7" t="str">
        <f t="shared" si="3"/>
        <v>Sangat Rendah</v>
      </c>
      <c r="W7" s="8"/>
      <c r="X7" s="8"/>
      <c r="Y7" s="8"/>
      <c r="Z7" s="8"/>
    </row>
    <row r="8" spans="1:55" ht="21.75" customHeight="1">
      <c r="A8" s="9" t="s">
        <v>89</v>
      </c>
      <c r="B8" s="9"/>
      <c r="C8" s="9"/>
      <c r="D8" s="9"/>
      <c r="E8" s="10"/>
      <c r="F8" s="10"/>
      <c r="G8" s="10"/>
      <c r="H8" s="10"/>
      <c r="I8" s="10"/>
      <c r="J8" s="10"/>
      <c r="K8" s="10"/>
      <c r="L8" s="10"/>
      <c r="M8" s="9"/>
      <c r="N8" s="9"/>
      <c r="O8" s="9">
        <f t="shared" si="0"/>
        <v>0</v>
      </c>
      <c r="P8" s="9" t="str">
        <f t="shared" si="1"/>
        <v>Sangat Rendah</v>
      </c>
      <c r="Q8" s="10"/>
      <c r="R8" s="10"/>
      <c r="S8" s="9"/>
      <c r="T8" s="9"/>
      <c r="U8" s="9">
        <f t="shared" si="2"/>
        <v>0</v>
      </c>
      <c r="V8" s="9" t="str">
        <f t="shared" si="3"/>
        <v>Sangat Rendah</v>
      </c>
      <c r="W8" s="10"/>
      <c r="X8" s="10"/>
      <c r="Y8" s="10"/>
      <c r="Z8" s="10"/>
    </row>
    <row r="9" spans="1:55" ht="21.75" customHeight="1">
      <c r="A9" s="7" t="s">
        <v>90</v>
      </c>
      <c r="B9" s="7"/>
      <c r="C9" s="7"/>
      <c r="D9" s="7"/>
      <c r="E9" s="8"/>
      <c r="F9" s="8"/>
      <c r="G9" s="8"/>
      <c r="H9" s="8"/>
      <c r="I9" s="8"/>
      <c r="J9" s="8"/>
      <c r="K9" s="8"/>
      <c r="L9" s="8"/>
      <c r="M9" s="7"/>
      <c r="N9" s="7"/>
      <c r="O9" s="7">
        <f t="shared" si="0"/>
        <v>0</v>
      </c>
      <c r="P9" s="7" t="str">
        <f t="shared" si="1"/>
        <v>Sangat Rendah</v>
      </c>
      <c r="Q9" s="8"/>
      <c r="R9" s="8"/>
      <c r="S9" s="7"/>
      <c r="T9" s="7"/>
      <c r="U9" s="7">
        <f t="shared" si="2"/>
        <v>0</v>
      </c>
      <c r="V9" s="7" t="str">
        <f t="shared" si="3"/>
        <v>Sangat Rendah</v>
      </c>
      <c r="W9" s="8"/>
      <c r="X9" s="8"/>
      <c r="Y9" s="8"/>
      <c r="Z9" s="8"/>
    </row>
    <row r="10" spans="1:55" ht="21.75" customHeight="1">
      <c r="A10" s="9" t="s">
        <v>91</v>
      </c>
      <c r="B10" s="9"/>
      <c r="C10" s="9"/>
      <c r="D10" s="9"/>
      <c r="E10" s="10"/>
      <c r="F10" s="10"/>
      <c r="G10" s="10"/>
      <c r="H10" s="10"/>
      <c r="I10" s="10"/>
      <c r="J10" s="10"/>
      <c r="K10" s="10"/>
      <c r="L10" s="10"/>
      <c r="M10" s="9"/>
      <c r="N10" s="9"/>
      <c r="O10" s="9">
        <f t="shared" si="0"/>
        <v>0</v>
      </c>
      <c r="P10" s="9" t="str">
        <f t="shared" si="1"/>
        <v>Sangat Rendah</v>
      </c>
      <c r="Q10" s="10"/>
      <c r="R10" s="10"/>
      <c r="S10" s="9"/>
      <c r="T10" s="9"/>
      <c r="U10" s="9">
        <f t="shared" si="2"/>
        <v>0</v>
      </c>
      <c r="V10" s="9" t="str">
        <f t="shared" si="3"/>
        <v>Sangat Rendah</v>
      </c>
      <c r="W10" s="10"/>
      <c r="X10" s="10"/>
      <c r="Y10" s="10"/>
      <c r="Z10" s="10"/>
    </row>
    <row r="11" spans="1:55" ht="21.75" customHeight="1">
      <c r="A11" s="7" t="s">
        <v>92</v>
      </c>
      <c r="B11" s="7"/>
      <c r="C11" s="7"/>
      <c r="D11" s="7"/>
      <c r="E11" s="8"/>
      <c r="F11" s="8"/>
      <c r="G11" s="8"/>
      <c r="H11" s="8"/>
      <c r="I11" s="8"/>
      <c r="J11" s="8"/>
      <c r="K11" s="8"/>
      <c r="L11" s="8"/>
      <c r="M11" s="7"/>
      <c r="N11" s="7"/>
      <c r="O11" s="7">
        <f t="shared" si="0"/>
        <v>0</v>
      </c>
      <c r="P11" s="7" t="str">
        <f t="shared" si="1"/>
        <v>Sangat Rendah</v>
      </c>
      <c r="Q11" s="8"/>
      <c r="R11" s="8"/>
      <c r="S11" s="7"/>
      <c r="T11" s="7"/>
      <c r="U11" s="7">
        <f t="shared" si="2"/>
        <v>0</v>
      </c>
      <c r="V11" s="7" t="str">
        <f t="shared" si="3"/>
        <v>Sangat Rendah</v>
      </c>
      <c r="W11" s="8"/>
      <c r="X11" s="8"/>
      <c r="Y11" s="8"/>
      <c r="Z11" s="8"/>
    </row>
    <row r="12" spans="1:55" ht="21.75" customHeight="1">
      <c r="A12" s="9" t="s">
        <v>93</v>
      </c>
      <c r="B12" s="9"/>
      <c r="C12" s="9"/>
      <c r="D12" s="9"/>
      <c r="E12" s="10"/>
      <c r="F12" s="10"/>
      <c r="G12" s="10"/>
      <c r="H12" s="10"/>
      <c r="I12" s="10"/>
      <c r="J12" s="10"/>
      <c r="K12" s="10"/>
      <c r="L12" s="10"/>
      <c r="M12" s="9"/>
      <c r="N12" s="9"/>
      <c r="O12" s="9">
        <f t="shared" si="0"/>
        <v>0</v>
      </c>
      <c r="P12" s="9" t="str">
        <f t="shared" si="1"/>
        <v>Sangat Rendah</v>
      </c>
      <c r="Q12" s="10"/>
      <c r="R12" s="10"/>
      <c r="S12" s="9"/>
      <c r="T12" s="9"/>
      <c r="U12" s="9">
        <f t="shared" si="2"/>
        <v>0</v>
      </c>
      <c r="V12" s="9" t="str">
        <f t="shared" si="3"/>
        <v>Sangat Rendah</v>
      </c>
      <c r="W12" s="10"/>
      <c r="X12" s="10"/>
      <c r="Y12" s="10"/>
      <c r="Z12" s="10"/>
    </row>
  </sheetData>
  <autoFilter ref="A2:Z12" xr:uid="{00000000-0009-0000-0000-000001000000}"/>
  <mergeCells count="1">
    <mergeCell ref="A1:Z1"/>
  </mergeCells>
  <conditionalFormatting sqref="O3:O1000">
    <cfRule type="cellIs" dxfId="40" priority="10" operator="greaterThanOrEqual">
      <formula>15</formula>
    </cfRule>
    <cfRule type="expression" dxfId="39" priority="11">
      <formula>AND(O3&gt;=8,O3&lt;15)</formula>
    </cfRule>
    <cfRule type="expression" dxfId="38" priority="12">
      <formula>AND(O3&gt;=4,O3&lt;8)</formula>
    </cfRule>
    <cfRule type="expression" dxfId="37" priority="13">
      <formula>AND(O3&gt;=1,O3&lt;4)</formula>
    </cfRule>
  </conditionalFormatting>
  <conditionalFormatting sqref="P3:P1000">
    <cfRule type="cellIs" dxfId="36" priority="2" operator="equal">
      <formula>"Rendah"</formula>
    </cfRule>
    <cfRule type="cellIs" dxfId="35" priority="3" operator="equal">
      <formula>"Sedang"</formula>
    </cfRule>
    <cfRule type="cellIs" dxfId="34" priority="4" operator="equal">
      <formula>"Tinggi"</formula>
    </cfRule>
    <cfRule type="cellIs" dxfId="33" priority="5" operator="equal">
      <formula>"Ekstrem"</formula>
    </cfRule>
  </conditionalFormatting>
  <conditionalFormatting sqref="U3:U1000">
    <cfRule type="cellIs" dxfId="32" priority="14" operator="greaterThanOrEqual">
      <formula>15</formula>
    </cfRule>
    <cfRule type="expression" dxfId="31" priority="15">
      <formula>AND(U3&gt;=8,U3&lt;15)</formula>
    </cfRule>
    <cfRule type="expression" dxfId="30" priority="16">
      <formula>AND(U3&gt;=4,U3&lt;8)</formula>
    </cfRule>
    <cfRule type="expression" dxfId="29" priority="17">
      <formula>AND(U3&gt;=1,U3&lt;4)</formula>
    </cfRule>
  </conditionalFormatting>
  <conditionalFormatting sqref="V3:V1000">
    <cfRule type="cellIs" dxfId="28" priority="6" operator="equal">
      <formula>"Rendah"</formula>
    </cfRule>
    <cfRule type="cellIs" dxfId="27" priority="7" operator="equal">
      <formula>"Sedang"</formula>
    </cfRule>
    <cfRule type="cellIs" dxfId="26" priority="8" operator="equal">
      <formula>"Tinggi"</formula>
    </cfRule>
    <cfRule type="cellIs" dxfId="25" priority="9" operator="equal">
      <formula>"Ekstrem"</formula>
    </cfRule>
  </conditionalFormatting>
  <dataValidations count="5">
    <dataValidation type="list" allowBlank="1" sqref="R3:R1001" xr:uid="{00000000-0002-0000-0100-000000000000}">
      <formula1>"Efektif,Sebagian Efektif,Tidak Efektif"</formula1>
      <formula2>0</formula2>
    </dataValidation>
    <dataValidation type="list" allowBlank="1" sqref="W3:W1001" xr:uid="{00000000-0002-0000-0100-000001000000}">
      <formula1>"Mitigate,Transfer,Accept,Avoid,Mitigate + Transfer"</formula1>
      <formula2>0</formula2>
    </dataValidation>
    <dataValidation type="list" allowBlank="1" sqref="E263:E1001" xr:uid="{00000000-0002-0000-0100-000002000000}">
      <formula1>"Risiko Reputasi,Risiko Kepatuhan,Risiko Legal,Risiko Fraud,Risiko Operasional,Risiko Kebijakan,Risiko Keuangan,Risiko SPBE,Risiko Layanan Publik,Risiko SDM"</formula1>
      <formula2>0</formula2>
    </dataValidation>
    <dataValidation type="list" allowBlank="1" errorTitle="Input Tidak Valid" error="Nilai harus antara 1-5" sqref="M3:N1001 S3:T1001" xr:uid="{00000000-0002-0000-0100-000003000000}">
      <formula1>"1,2,3,4,5"</formula1>
      <formula2>0</formula2>
    </dataValidation>
    <dataValidation type="list" allowBlank="1" showInputMessage="1" showErrorMessage="1" sqref="B3" xr:uid="{092B67D9-1AAF-43BC-9563-605AB432E75D}">
      <formula1>"Pengadilan Tingkat Pertama,Pengadilan Tingkat Banding,Unit Eselon I"</formula1>
    </dataValidation>
  </dataValidations>
  <pageMargins left="0.75" right="0.75" top="0.84722222222222199" bottom="0.84722222222222199" header="0.511811023622047" footer="0.511811023622047"/>
  <pageSetup fitToHeight="0" orientation="landscape" horizontalDpi="300" verticalDpi="300"/>
  <legacyDrawing r:id="rId1"/>
  <extLst>
    <ext xmlns:x14="http://schemas.microsoft.com/office/spreadsheetml/2009/9/main" uri="{CCE6A557-97BC-4b89-ADB6-D9C93CAAB3DF}">
      <x14:dataValidations xmlns:xm="http://schemas.microsoft.com/office/excel/2006/main" count="2">
        <x14:dataValidation type="list" allowBlank="1" xr:uid="{9E82504A-1D4F-4B6C-AEE5-173C70091A66}">
          <x14:formula1>
            <xm:f>'Kategori Risiko'!$B$5:$B$11</xm:f>
          </x14:formula1>
          <xm:sqref>E3:E262</xm:sqref>
        </x14:dataValidation>
        <x14:dataValidation type="list" allowBlank="1" showInputMessage="1" showErrorMessage="1" xr:uid="{981D0D62-0BCE-4507-8548-839ED9764056}">
          <x14:formula1>
            <xm:f>'Proses Bisnis'!$B$3:$B$13</xm:f>
          </x14:formula1>
          <xm:sqref>C3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C36E-ED67-439A-AC4B-D3FEE80905A1}">
  <sheetPr>
    <tabColor rgb="FFFFC000"/>
  </sheetPr>
  <dimension ref="A3:W68"/>
  <sheetViews>
    <sheetView topLeftCell="E52" zoomScale="172" workbookViewId="0">
      <selection activeCell="I56" sqref="I56"/>
    </sheetView>
  </sheetViews>
  <sheetFormatPr defaultRowHeight="14.4"/>
  <cols>
    <col min="10" max="10" width="21.5546875" customWidth="1"/>
    <col min="13" max="13" width="18.6640625" customWidth="1"/>
    <col min="14" max="14" width="27.5546875" bestFit="1" customWidth="1"/>
    <col min="15" max="15" width="17.6640625" customWidth="1"/>
    <col min="20" max="20" width="12.6640625" customWidth="1"/>
  </cols>
  <sheetData>
    <row r="3" spans="2:3">
      <c r="B3" t="s">
        <v>94</v>
      </c>
    </row>
    <row r="4" spans="2:3">
      <c r="B4" s="51" t="s">
        <v>95</v>
      </c>
    </row>
    <row r="5" spans="2:3">
      <c r="B5" s="51" t="s">
        <v>96</v>
      </c>
    </row>
    <row r="6" spans="2:3">
      <c r="B6" s="51" t="s">
        <v>97</v>
      </c>
    </row>
    <row r="7" spans="2:3">
      <c r="B7" s="51" t="s">
        <v>98</v>
      </c>
    </row>
    <row r="8" spans="2:3">
      <c r="B8" s="51" t="s">
        <v>99</v>
      </c>
    </row>
    <row r="9" spans="2:3">
      <c r="B9" s="51" t="s">
        <v>100</v>
      </c>
    </row>
    <row r="11" spans="2:3">
      <c r="B11" s="51" t="s">
        <v>101</v>
      </c>
    </row>
    <row r="12" spans="2:3">
      <c r="B12" s="32" t="s">
        <v>102</v>
      </c>
    </row>
    <row r="14" spans="2:3">
      <c r="B14" s="51" t="s">
        <v>103</v>
      </c>
    </row>
    <row r="15" spans="2:3">
      <c r="B15" s="32" t="s">
        <v>104</v>
      </c>
      <c r="C15" s="51" t="s">
        <v>105</v>
      </c>
    </row>
    <row r="16" spans="2:3">
      <c r="B16" s="32" t="s">
        <v>96</v>
      </c>
      <c r="C16" s="51" t="s">
        <v>106</v>
      </c>
    </row>
    <row r="18" spans="1:11">
      <c r="A18" s="32">
        <v>1</v>
      </c>
      <c r="B18" s="32" t="s">
        <v>107</v>
      </c>
      <c r="F18">
        <v>1</v>
      </c>
      <c r="G18" s="51" t="s">
        <v>108</v>
      </c>
    </row>
    <row r="19" spans="1:11">
      <c r="A19">
        <v>2</v>
      </c>
      <c r="B19" s="51" t="s">
        <v>109</v>
      </c>
      <c r="F19" s="32">
        <v>2</v>
      </c>
      <c r="G19" s="32" t="s">
        <v>110</v>
      </c>
    </row>
    <row r="20" spans="1:11">
      <c r="A20">
        <v>3</v>
      </c>
      <c r="B20" s="51" t="s">
        <v>111</v>
      </c>
    </row>
    <row r="21" spans="1:11">
      <c r="G21" s="51" t="s">
        <v>112</v>
      </c>
    </row>
    <row r="22" spans="1:11">
      <c r="A22" s="32">
        <v>1</v>
      </c>
      <c r="B22" s="32" t="s">
        <v>113</v>
      </c>
      <c r="F22">
        <v>1</v>
      </c>
      <c r="G22" s="51" t="s">
        <v>114</v>
      </c>
    </row>
    <row r="23" spans="1:11">
      <c r="A23">
        <v>2</v>
      </c>
      <c r="B23" s="51" t="s">
        <v>115</v>
      </c>
      <c r="F23">
        <v>2</v>
      </c>
      <c r="G23" s="51" t="s">
        <v>116</v>
      </c>
    </row>
    <row r="24" spans="1:11">
      <c r="G24" s="51" t="s">
        <v>117</v>
      </c>
    </row>
    <row r="25" spans="1:11">
      <c r="G25" s="79" t="s">
        <v>118</v>
      </c>
      <c r="I25" s="78" t="s">
        <v>119</v>
      </c>
      <c r="K25" s="32" t="s">
        <v>120</v>
      </c>
    </row>
    <row r="26" spans="1:11">
      <c r="G26" s="79" t="s">
        <v>121</v>
      </c>
      <c r="I26" s="78" t="s">
        <v>122</v>
      </c>
      <c r="K26" s="51" t="s">
        <v>123</v>
      </c>
    </row>
    <row r="27" spans="1:11">
      <c r="G27" s="51" t="s">
        <v>124</v>
      </c>
    </row>
    <row r="28" spans="1:11">
      <c r="F28">
        <v>3</v>
      </c>
      <c r="G28" s="51" t="s">
        <v>125</v>
      </c>
    </row>
    <row r="29" spans="1:11">
      <c r="F29">
        <v>4</v>
      </c>
      <c r="G29" s="51" t="s">
        <v>126</v>
      </c>
    </row>
    <row r="31" spans="1:11">
      <c r="F31">
        <v>1</v>
      </c>
      <c r="G31" s="51" t="s">
        <v>104</v>
      </c>
      <c r="H31" s="51" t="s">
        <v>127</v>
      </c>
    </row>
    <row r="32" spans="1:11">
      <c r="F32">
        <v>2</v>
      </c>
      <c r="G32" s="51" t="s">
        <v>105</v>
      </c>
      <c r="H32" s="51" t="s">
        <v>128</v>
      </c>
    </row>
    <row r="33" spans="6:23">
      <c r="F33">
        <v>3</v>
      </c>
      <c r="G33" s="51" t="s">
        <v>129</v>
      </c>
      <c r="H33" s="51" t="s">
        <v>130</v>
      </c>
    </row>
    <row r="34" spans="6:23">
      <c r="F34">
        <v>4</v>
      </c>
      <c r="G34" s="51" t="s">
        <v>131</v>
      </c>
      <c r="H34" s="51" t="s">
        <v>39</v>
      </c>
    </row>
    <row r="35" spans="6:23">
      <c r="L35" s="51" t="s">
        <v>132</v>
      </c>
    </row>
    <row r="36" spans="6:23">
      <c r="G36" s="51" t="s">
        <v>133</v>
      </c>
      <c r="L36" s="32" t="s">
        <v>134</v>
      </c>
    </row>
    <row r="37" spans="6:23">
      <c r="G37" s="51" t="s">
        <v>135</v>
      </c>
      <c r="L37" s="51" t="s">
        <v>136</v>
      </c>
      <c r="Q37" s="32">
        <v>20</v>
      </c>
      <c r="R37">
        <v>21</v>
      </c>
    </row>
    <row r="38" spans="6:23">
      <c r="G38" s="51" t="s">
        <v>137</v>
      </c>
      <c r="L38" s="51" t="s">
        <v>138</v>
      </c>
      <c r="Q38" s="51" t="s">
        <v>139</v>
      </c>
      <c r="T38" s="51" t="s">
        <v>140</v>
      </c>
    </row>
    <row r="39" spans="6:23">
      <c r="F39">
        <v>5</v>
      </c>
      <c r="G39" s="32" t="s">
        <v>141</v>
      </c>
      <c r="Q39" s="51" t="s">
        <v>142</v>
      </c>
      <c r="R39">
        <v>15</v>
      </c>
      <c r="T39" s="51" t="s">
        <v>143</v>
      </c>
      <c r="U39" s="51" t="s">
        <v>144</v>
      </c>
    </row>
    <row r="40" spans="6:23">
      <c r="G40" s="51" t="s">
        <v>145</v>
      </c>
      <c r="Q40" s="51" t="s">
        <v>142</v>
      </c>
      <c r="R40">
        <v>12</v>
      </c>
      <c r="U40" s="32" t="s">
        <v>146</v>
      </c>
      <c r="V40" s="78" t="s">
        <v>147</v>
      </c>
      <c r="W40" s="78" t="s">
        <v>148</v>
      </c>
    </row>
    <row r="41" spans="6:23">
      <c r="G41" s="81" t="s">
        <v>149</v>
      </c>
      <c r="H41" s="78" t="s">
        <v>150</v>
      </c>
      <c r="I41" s="82"/>
      <c r="J41" s="51" t="s">
        <v>151</v>
      </c>
      <c r="U41" s="51" t="s">
        <v>152</v>
      </c>
      <c r="V41" s="51" t="s">
        <v>153</v>
      </c>
      <c r="W41" s="51" t="s">
        <v>154</v>
      </c>
    </row>
    <row r="42" spans="6:23">
      <c r="G42" s="51" t="s">
        <v>155</v>
      </c>
      <c r="J42" s="51" t="s">
        <v>156</v>
      </c>
      <c r="U42" s="51" t="s">
        <v>157</v>
      </c>
    </row>
    <row r="43" spans="6:23">
      <c r="G43" s="51" t="s">
        <v>158</v>
      </c>
      <c r="J43">
        <v>10</v>
      </c>
    </row>
    <row r="44" spans="6:23">
      <c r="G44" s="81" t="s">
        <v>159</v>
      </c>
      <c r="H44" s="78" t="s">
        <v>160</v>
      </c>
      <c r="I44" s="82"/>
      <c r="J44" s="51" t="s">
        <v>161</v>
      </c>
      <c r="K44" s="51" t="s">
        <v>162</v>
      </c>
    </row>
    <row r="45" spans="6:23">
      <c r="G45" s="81" t="s">
        <v>163</v>
      </c>
      <c r="H45" s="78" t="s">
        <v>164</v>
      </c>
      <c r="I45" s="82"/>
      <c r="K45" s="51" t="s">
        <v>165</v>
      </c>
      <c r="L45" s="51" t="s">
        <v>166</v>
      </c>
    </row>
    <row r="46" spans="6:23">
      <c r="K46" s="51" t="s">
        <v>167</v>
      </c>
    </row>
    <row r="49" spans="7:15">
      <c r="G49" s="51" t="s">
        <v>168</v>
      </c>
      <c r="J49" s="80" t="s">
        <v>169</v>
      </c>
    </row>
    <row r="50" spans="7:15">
      <c r="J50" s="83" t="s">
        <v>170</v>
      </c>
      <c r="K50" s="32"/>
      <c r="M50" s="84" t="s">
        <v>171</v>
      </c>
      <c r="N50" s="84" t="s">
        <v>172</v>
      </c>
      <c r="O50" s="84" t="s">
        <v>173</v>
      </c>
    </row>
    <row r="51" spans="7:15">
      <c r="J51" s="83"/>
      <c r="K51" s="32"/>
      <c r="L51" s="22" t="s">
        <v>174</v>
      </c>
      <c r="M51" s="84" t="s">
        <v>175</v>
      </c>
      <c r="N51" s="84" t="s">
        <v>176</v>
      </c>
      <c r="O51" s="84" t="s">
        <v>177</v>
      </c>
    </row>
    <row r="52" spans="7:15">
      <c r="J52" s="83" t="s">
        <v>178</v>
      </c>
      <c r="K52" s="32"/>
      <c r="M52" s="170" t="s">
        <v>179</v>
      </c>
      <c r="N52" s="170"/>
      <c r="O52" s="170"/>
    </row>
    <row r="53" spans="7:15">
      <c r="J53" s="80" t="s">
        <v>180</v>
      </c>
      <c r="M53" s="51" t="s">
        <v>181</v>
      </c>
    </row>
    <row r="55" spans="7:15">
      <c r="I55" s="51" t="s">
        <v>182</v>
      </c>
    </row>
    <row r="56" spans="7:15">
      <c r="I56" s="32" t="s">
        <v>183</v>
      </c>
    </row>
    <row r="57" spans="7:15">
      <c r="I57" s="51" t="s">
        <v>184</v>
      </c>
    </row>
    <row r="59" spans="7:15">
      <c r="I59" s="51" t="s">
        <v>185</v>
      </c>
    </row>
    <row r="60" spans="7:15">
      <c r="I60" s="51" t="s">
        <v>186</v>
      </c>
      <c r="J60" s="171" t="s">
        <v>187</v>
      </c>
      <c r="L60" s="51" t="s">
        <v>188</v>
      </c>
    </row>
    <row r="61" spans="7:15">
      <c r="I61" s="51" t="s">
        <v>189</v>
      </c>
      <c r="J61" s="172"/>
      <c r="L61" s="32" t="s">
        <v>190</v>
      </c>
    </row>
    <row r="62" spans="7:15">
      <c r="I62" s="51" t="s">
        <v>191</v>
      </c>
      <c r="J62" s="172"/>
    </row>
    <row r="64" spans="7:15">
      <c r="I64" s="51" t="s">
        <v>118</v>
      </c>
      <c r="J64" s="51" t="s">
        <v>192</v>
      </c>
      <c r="K64" s="51" t="s">
        <v>193</v>
      </c>
      <c r="L64" s="51" t="s">
        <v>194</v>
      </c>
    </row>
    <row r="65" spans="10:12">
      <c r="K65" s="51" t="s">
        <v>195</v>
      </c>
      <c r="L65" s="51" t="s">
        <v>194</v>
      </c>
    </row>
    <row r="66" spans="10:12">
      <c r="J66" s="51" t="s">
        <v>196</v>
      </c>
    </row>
    <row r="67" spans="10:12">
      <c r="J67" s="51" t="s">
        <v>197</v>
      </c>
    </row>
    <row r="68" spans="10:12">
      <c r="J68" s="51" t="s">
        <v>155</v>
      </c>
    </row>
  </sheetData>
  <mergeCells count="2">
    <mergeCell ref="M52:O52"/>
    <mergeCell ref="J60:J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CAD4-526F-4A0D-A218-CC81CA553096}">
  <dimension ref="A1:BS1010"/>
  <sheetViews>
    <sheetView topLeftCell="AH1" workbookViewId="0">
      <selection activeCell="AL13" sqref="AL13"/>
    </sheetView>
  </sheetViews>
  <sheetFormatPr defaultColWidth="8.88671875" defaultRowHeight="14.4"/>
  <cols>
    <col min="1" max="1" width="5.6640625" style="55" hidden="1" customWidth="1"/>
    <col min="2" max="2" width="2.6640625" style="55" hidden="1" customWidth="1"/>
    <col min="3" max="3" width="12" style="55" hidden="1" customWidth="1"/>
    <col min="4" max="4" width="5.6640625" style="55" hidden="1" customWidth="1"/>
    <col min="5" max="5" width="2.6640625" style="55" hidden="1" customWidth="1"/>
    <col min="6" max="6" width="5.44140625" style="55" hidden="1" customWidth="1"/>
    <col min="7" max="7" width="8.5546875" style="55" hidden="1" customWidth="1"/>
    <col min="8" max="8" width="5.6640625" style="55" hidden="1" customWidth="1"/>
    <col min="9" max="9" width="2.6640625" style="55" hidden="1" customWidth="1"/>
    <col min="10" max="10" width="5.44140625" style="55" hidden="1" customWidth="1"/>
    <col min="11" max="11" width="6.33203125" style="55" hidden="1" customWidth="1"/>
    <col min="12" max="12" width="5.6640625" style="55" hidden="1" customWidth="1"/>
    <col min="13" max="13" width="2.6640625" style="55" hidden="1" customWidth="1"/>
    <col min="14" max="14" width="3.88671875" style="55" hidden="1" customWidth="1"/>
    <col min="15" max="15" width="11.44140625" style="55" hidden="1" customWidth="1"/>
    <col min="16" max="16" width="10.88671875" style="55" hidden="1" customWidth="1"/>
    <col min="17" max="17" width="11" style="55" hidden="1" customWidth="1"/>
    <col min="18" max="18" width="2.6640625" style="55" hidden="1" customWidth="1"/>
    <col min="19" max="19" width="8.33203125" style="55" hidden="1" customWidth="1"/>
    <col min="20" max="20" width="9.44140625" style="55" hidden="1" customWidth="1"/>
    <col min="21" max="21" width="2.6640625" style="55" hidden="1" customWidth="1"/>
    <col min="22" max="22" width="9.5546875" style="55" hidden="1" customWidth="1"/>
    <col min="23" max="23" width="10.5546875" style="55" customWidth="1"/>
    <col min="24" max="24" width="39.109375" style="55" customWidth="1"/>
    <col min="25" max="25" width="28.5546875" style="55" customWidth="1"/>
    <col min="26" max="26" width="16.6640625" style="56" customWidth="1"/>
    <col min="27" max="27" width="18.5546875" style="56" customWidth="1"/>
    <col min="28" max="28" width="23.109375" style="55" customWidth="1"/>
    <col min="29" max="29" width="15" style="56" customWidth="1"/>
    <col min="30" max="30" width="23.5546875" style="55" customWidth="1"/>
    <col min="31" max="31" width="4.109375" style="55" customWidth="1"/>
    <col min="32" max="32" width="19.44140625" style="56" customWidth="1"/>
    <col min="33" max="33" width="11.109375" style="55" customWidth="1"/>
    <col min="34" max="34" width="11.44140625" style="57" customWidth="1"/>
    <col min="35" max="35" width="4.109375" style="55" customWidth="1"/>
    <col min="36" max="36" width="44.88671875" style="55" customWidth="1"/>
    <col min="37" max="37" width="4.109375" style="55" customWidth="1"/>
    <col min="38" max="38" width="29.109375" style="55" customWidth="1"/>
    <col min="39" max="39" width="35.6640625" style="55" customWidth="1"/>
    <col min="40" max="40" width="13.109375" style="55" hidden="1" customWidth="1"/>
    <col min="41" max="41" width="14.33203125" style="55" hidden="1" customWidth="1"/>
    <col min="42" max="42" width="12.88671875" style="55" hidden="1" customWidth="1"/>
    <col min="43" max="43" width="20" style="55" hidden="1" customWidth="1"/>
    <col min="44" max="44" width="22" style="55" hidden="1" customWidth="1"/>
    <col min="45" max="45" width="32.33203125" style="55" hidden="1" customWidth="1"/>
    <col min="46" max="46" width="18.33203125" style="55" hidden="1" customWidth="1"/>
    <col min="47" max="47" width="28.5546875" style="55" hidden="1" customWidth="1"/>
    <col min="48" max="48" width="24.109375" style="55" hidden="1" customWidth="1"/>
    <col min="49" max="49" width="34.5546875" style="55" hidden="1" customWidth="1"/>
    <col min="50" max="50" width="47" style="55" hidden="1" customWidth="1"/>
    <col min="51" max="51" width="29.6640625" style="55" hidden="1" customWidth="1"/>
    <col min="52" max="52" width="14.44140625" style="55" hidden="1" customWidth="1"/>
    <col min="53" max="53" width="9.109375" style="55" hidden="1" customWidth="1"/>
    <col min="54" max="54" width="16.44140625" style="55" hidden="1" customWidth="1"/>
    <col min="55" max="55" width="18.44140625" style="55" hidden="1" customWidth="1"/>
    <col min="56" max="56" width="14.6640625" style="55" hidden="1" customWidth="1"/>
    <col min="57" max="57" width="17" style="55" hidden="1" customWidth="1"/>
    <col min="58" max="58" width="16.109375" style="55" hidden="1" customWidth="1"/>
    <col min="59" max="59" width="12.44140625" style="55" hidden="1" customWidth="1"/>
    <col min="60" max="60" width="10.33203125" style="55" hidden="1" customWidth="1"/>
    <col min="61" max="61" width="12" style="55" hidden="1" customWidth="1"/>
    <col min="62" max="62" width="14.44140625" style="55" hidden="1" customWidth="1"/>
    <col min="63" max="63" width="10.6640625" style="55" hidden="1" customWidth="1"/>
    <col min="64" max="64" width="9.109375" style="55" hidden="1" customWidth="1"/>
    <col min="65" max="65" width="16.6640625" style="55" hidden="1" customWidth="1"/>
    <col min="66" max="66" width="6.6640625" style="55" hidden="1" customWidth="1"/>
    <col min="67" max="67" width="9.5546875" style="55" hidden="1" customWidth="1"/>
    <col min="68" max="68" width="15.6640625" style="55" hidden="1" customWidth="1"/>
    <col min="69" max="69" width="0" style="55" hidden="1" customWidth="1"/>
    <col min="70" max="70" width="19.33203125" style="55" hidden="1" customWidth="1"/>
    <col min="71" max="71" width="9.109375" style="55" customWidth="1"/>
    <col min="72" max="16384" width="8.88671875" style="58"/>
  </cols>
  <sheetData>
    <row r="1" spans="1:71">
      <c r="W1" s="181" t="s">
        <v>198</v>
      </c>
      <c r="X1" s="181"/>
      <c r="Y1" s="181"/>
    </row>
    <row r="3" spans="1:71">
      <c r="W3" s="59" t="s">
        <v>199</v>
      </c>
      <c r="X3" s="182" t="s">
        <v>200</v>
      </c>
      <c r="Y3" s="182"/>
    </row>
    <row r="4" spans="1:71">
      <c r="W4" s="59" t="s">
        <v>201</v>
      </c>
      <c r="X4" s="182">
        <v>3</v>
      </c>
      <c r="Y4" s="182"/>
    </row>
    <row r="5" spans="1:71">
      <c r="W5" s="59" t="s">
        <v>202</v>
      </c>
      <c r="X5" s="182">
        <v>2026</v>
      </c>
      <c r="Y5" s="182"/>
    </row>
    <row r="7" spans="1:71">
      <c r="W7" s="181" t="s">
        <v>203</v>
      </c>
      <c r="X7" s="181"/>
    </row>
    <row r="8" spans="1:71">
      <c r="W8" s="60"/>
      <c r="X8" s="60"/>
      <c r="Z8" s="57"/>
      <c r="AA8" s="57"/>
      <c r="AC8" s="57"/>
      <c r="AD8" s="60"/>
      <c r="AE8" s="60"/>
      <c r="AG8" s="60"/>
      <c r="AI8" s="60"/>
      <c r="AJ8" s="60"/>
      <c r="AK8" s="60"/>
      <c r="AL8" s="57"/>
    </row>
    <row r="9" spans="1:71">
      <c r="A9" s="183" t="s">
        <v>204</v>
      </c>
      <c r="B9" s="183"/>
      <c r="D9" s="183" t="s">
        <v>205</v>
      </c>
      <c r="E9" s="183"/>
      <c r="F9" s="56"/>
      <c r="H9" s="183" t="s">
        <v>206</v>
      </c>
      <c r="I9" s="183"/>
      <c r="J9" s="56"/>
      <c r="K9" s="56"/>
      <c r="L9" s="183" t="s">
        <v>207</v>
      </c>
      <c r="M9" s="183"/>
      <c r="N9" s="56"/>
      <c r="O9" s="56" t="s">
        <v>208</v>
      </c>
      <c r="P9" s="56"/>
      <c r="Q9" s="56"/>
      <c r="R9" s="56"/>
      <c r="S9" s="56"/>
      <c r="T9" s="56" t="s">
        <v>209</v>
      </c>
      <c r="U9" s="56"/>
      <c r="W9" s="179" t="s">
        <v>210</v>
      </c>
      <c r="X9" s="179" t="s">
        <v>211</v>
      </c>
      <c r="Y9" s="179" t="s">
        <v>212</v>
      </c>
      <c r="Z9" s="179" t="s">
        <v>213</v>
      </c>
      <c r="AA9" s="179" t="s">
        <v>214</v>
      </c>
      <c r="AB9" s="179"/>
      <c r="AC9" s="179" t="s">
        <v>215</v>
      </c>
      <c r="AD9" s="179"/>
      <c r="AE9" s="177" t="s">
        <v>216</v>
      </c>
      <c r="AF9" s="180"/>
      <c r="AG9" s="178"/>
      <c r="AH9" s="173" t="s">
        <v>208</v>
      </c>
      <c r="AI9" s="175" t="s">
        <v>217</v>
      </c>
      <c r="AJ9" s="176"/>
      <c r="AK9" s="177" t="s">
        <v>218</v>
      </c>
      <c r="AL9" s="178"/>
    </row>
    <row r="10" spans="1:71">
      <c r="A10" s="55" t="s">
        <v>219</v>
      </c>
      <c r="B10" s="55" t="s">
        <v>220</v>
      </c>
      <c r="D10" s="55" t="s">
        <v>219</v>
      </c>
      <c r="E10" s="55" t="s">
        <v>220</v>
      </c>
      <c r="F10" s="55" t="s">
        <v>221</v>
      </c>
      <c r="H10" s="55" t="s">
        <v>219</v>
      </c>
      <c r="I10" s="55" t="s">
        <v>220</v>
      </c>
      <c r="J10" s="55" t="s">
        <v>221</v>
      </c>
      <c r="L10" s="55" t="s">
        <v>219</v>
      </c>
      <c r="M10" s="55" t="s">
        <v>220</v>
      </c>
      <c r="O10" s="55" t="s">
        <v>222</v>
      </c>
      <c r="P10" s="55" t="s">
        <v>223</v>
      </c>
      <c r="Q10" s="55" t="s">
        <v>224</v>
      </c>
      <c r="R10" s="55" t="s">
        <v>225</v>
      </c>
      <c r="T10" s="55" t="s">
        <v>226</v>
      </c>
      <c r="U10" s="55" t="s">
        <v>225</v>
      </c>
      <c r="V10" s="55" t="s">
        <v>227</v>
      </c>
      <c r="W10" s="179"/>
      <c r="X10" s="179"/>
      <c r="Y10" s="179"/>
      <c r="Z10" s="179"/>
      <c r="AA10" s="165" t="s">
        <v>228</v>
      </c>
      <c r="AB10" s="165" t="s">
        <v>229</v>
      </c>
      <c r="AC10" s="165" t="s">
        <v>230</v>
      </c>
      <c r="AD10" s="165" t="s">
        <v>229</v>
      </c>
      <c r="AE10" s="165" t="s">
        <v>231</v>
      </c>
      <c r="AF10" s="165" t="s">
        <v>232</v>
      </c>
      <c r="AG10" s="165" t="s">
        <v>233</v>
      </c>
      <c r="AH10" s="174"/>
      <c r="AI10" s="61" t="s">
        <v>231</v>
      </c>
      <c r="AJ10" s="61" t="s">
        <v>233</v>
      </c>
      <c r="AK10" s="61" t="s">
        <v>231</v>
      </c>
      <c r="AL10" s="61" t="s">
        <v>233</v>
      </c>
      <c r="AN10" s="55" t="s">
        <v>234</v>
      </c>
      <c r="AO10" s="55" t="s">
        <v>235</v>
      </c>
      <c r="AP10" s="55" t="s">
        <v>236</v>
      </c>
      <c r="AQ10" s="55" t="s">
        <v>237</v>
      </c>
      <c r="AR10" s="55" t="s">
        <v>238</v>
      </c>
      <c r="AS10" s="55" t="s">
        <v>239</v>
      </c>
      <c r="AT10" s="55" t="s">
        <v>240</v>
      </c>
      <c r="AU10" s="55" t="s">
        <v>241</v>
      </c>
      <c r="AV10" s="55" t="s">
        <v>242</v>
      </c>
      <c r="AW10" s="55" t="s">
        <v>243</v>
      </c>
      <c r="AX10" s="55" t="s">
        <v>244</v>
      </c>
      <c r="AY10" s="55" t="s">
        <v>245</v>
      </c>
      <c r="AZ10" s="55" t="s">
        <v>246</v>
      </c>
      <c r="BB10" s="55" t="s">
        <v>247</v>
      </c>
      <c r="BC10" s="55" t="s">
        <v>248</v>
      </c>
      <c r="BD10" s="55" t="s">
        <v>249</v>
      </c>
      <c r="BE10" s="55" t="s">
        <v>250</v>
      </c>
      <c r="BF10" s="62" t="s">
        <v>251</v>
      </c>
      <c r="BG10" s="62" t="s">
        <v>252</v>
      </c>
      <c r="BH10" s="62" t="s">
        <v>253</v>
      </c>
      <c r="BI10" s="63" t="s">
        <v>254</v>
      </c>
      <c r="BJ10" s="62" t="s">
        <v>255</v>
      </c>
      <c r="BK10" s="55" t="s">
        <v>256</v>
      </c>
      <c r="BM10" s="55" t="s">
        <v>257</v>
      </c>
      <c r="BN10" s="55" t="s">
        <v>258</v>
      </c>
      <c r="BO10" s="55" t="s">
        <v>259</v>
      </c>
      <c r="BP10" s="55" t="s">
        <v>260</v>
      </c>
      <c r="BQ10" s="55" t="s">
        <v>261</v>
      </c>
      <c r="BR10" s="55" t="s">
        <v>262</v>
      </c>
    </row>
    <row r="11" spans="1:71">
      <c r="A11" s="55" t="s">
        <v>263</v>
      </c>
      <c r="B11" s="55">
        <v>7</v>
      </c>
      <c r="D11" s="55" t="s">
        <v>264</v>
      </c>
      <c r="E11" s="55">
        <v>1</v>
      </c>
      <c r="F11" s="55">
        <v>1</v>
      </c>
      <c r="H11" s="55" t="s">
        <v>265</v>
      </c>
      <c r="I11" s="55">
        <v>1</v>
      </c>
      <c r="J11" s="55">
        <v>1</v>
      </c>
      <c r="L11" s="55" t="s">
        <v>266</v>
      </c>
      <c r="M11" s="55">
        <v>1</v>
      </c>
      <c r="O11" s="55">
        <v>1</v>
      </c>
      <c r="P11" s="55">
        <v>5</v>
      </c>
      <c r="Q11" s="55" t="s">
        <v>267</v>
      </c>
      <c r="R11" s="55">
        <v>2</v>
      </c>
      <c r="T11" s="55" t="s">
        <v>268</v>
      </c>
      <c r="U11" s="55">
        <v>30</v>
      </c>
      <c r="V11" s="55">
        <f t="shared" ref="V11:V74" ca="1" si="0">IF(ISBLANK($W11),IF(ISNUMBER(INDIRECT("S"&amp;ROW($V11)-1)),INDIRECT("S"&amp;ROW($V11)-1),1),$W11)</f>
        <v>1</v>
      </c>
      <c r="W11" s="64"/>
      <c r="X11" s="65"/>
      <c r="Y11" s="65"/>
      <c r="Z11" s="65"/>
      <c r="AA11" s="64"/>
      <c r="AB11" s="65"/>
      <c r="AC11" s="64"/>
      <c r="AD11" s="65"/>
      <c r="AE11" s="64"/>
      <c r="AF11" s="65"/>
      <c r="AG11" s="65"/>
      <c r="AH11" s="66" t="str">
        <f t="shared" ref="AH11:AH74" si="1">IF(ISNUMBER($BI11), $BH11&amp;" - "&amp;$BJ11,"")</f>
        <v/>
      </c>
      <c r="AI11" s="64"/>
      <c r="AJ11" s="65"/>
      <c r="AK11" s="64"/>
      <c r="AL11" s="65"/>
      <c r="BB11" s="55" t="str">
        <f t="shared" ref="BB11:BB74" si="2">IF(ISBLANK($Z11),"",VLOOKUP($Z11,$A$11:$B$1010,2,FALSE))</f>
        <v/>
      </c>
      <c r="BC11" s="55" t="str">
        <f t="shared" ref="BC11:BC74" si="3">IF(ISBLANK($AA11),"",VLOOKUP($AA11,$D$11:$E$1010,2,FALSE))</f>
        <v/>
      </c>
      <c r="BD11" s="55" t="str">
        <f t="shared" ref="BD11:BD74" si="4">IF(ISBLANK($AC11),"",VLOOKUP($AC11,$H$11:$I$1010,2,FALSE))</f>
        <v/>
      </c>
      <c r="BE11" s="55" t="str">
        <f t="shared" ref="BE11:BE74" si="5">IF(ISBLANK($AF11),"",VLOOKUP($AF11,$L$11:$M$1010,2,FALSE))</f>
        <v/>
      </c>
      <c r="BF11" s="55" t="str">
        <f t="shared" ref="BF11:BF74" si="6">IF(ISNUMBER($BC11),VLOOKUP($BC11,$E$11:$F$1010,2,FALSE),"")</f>
        <v/>
      </c>
      <c r="BG11" s="55" t="str">
        <f t="shared" ref="BG11:BG74" si="7">IF(ISNUMBER($BD11),VLOOKUP($BD11,$I$11:$J$1010,2,FALSE),"")</f>
        <v/>
      </c>
      <c r="BH11" s="55" t="str">
        <f t="shared" ref="BH11:BH74" si="8">IF(AND(ISNUMBER($BF11),ISNUMBER($BG11)),$BF11*$BG11,"")</f>
        <v/>
      </c>
      <c r="BI11" s="55" t="str">
        <f t="shared" ref="BI11:BI74" si="9">IF(ISNUMBER($BH11),LOOKUP($BH11,lower_limit_level_risiko,id_level_risiko),"")</f>
        <v/>
      </c>
      <c r="BJ11" s="55" t="str">
        <f t="shared" ref="BJ11:BJ74" si="10">IF(ISNUMBER($BH11),LOOKUP($BH11,lower_limit_level_risiko,description_level_risiko),"")</f>
        <v/>
      </c>
      <c r="BK11" s="55" t="str">
        <f t="shared" ref="BK11:BK74" si="11">IF(ISBLANK($X11),"",VLOOKUP($X11,$T$11:$U$1010,2,FALSE))</f>
        <v/>
      </c>
      <c r="BS11" s="55" t="s">
        <v>269</v>
      </c>
    </row>
    <row r="12" spans="1:71">
      <c r="A12" s="55" t="s">
        <v>270</v>
      </c>
      <c r="B12" s="55">
        <v>8</v>
      </c>
      <c r="D12" s="55" t="s">
        <v>271</v>
      </c>
      <c r="E12" s="55">
        <v>2</v>
      </c>
      <c r="F12" s="55">
        <v>2</v>
      </c>
      <c r="H12" s="55" t="s">
        <v>272</v>
      </c>
      <c r="I12" s="55">
        <v>2</v>
      </c>
      <c r="J12" s="55">
        <v>2</v>
      </c>
      <c r="L12" s="55" t="s">
        <v>273</v>
      </c>
      <c r="M12" s="55">
        <v>2</v>
      </c>
      <c r="O12" s="55">
        <v>1</v>
      </c>
      <c r="P12" s="55">
        <v>5</v>
      </c>
      <c r="Q12" s="55" t="s">
        <v>267</v>
      </c>
      <c r="R12" s="55">
        <v>1</v>
      </c>
      <c r="T12" s="55" t="s">
        <v>274</v>
      </c>
      <c r="U12" s="55">
        <v>139</v>
      </c>
      <c r="V12" s="55">
        <f t="shared" ca="1" si="0"/>
        <v>1</v>
      </c>
      <c r="W12" s="64"/>
      <c r="X12" s="65"/>
      <c r="Y12" s="65"/>
      <c r="Z12" s="65"/>
      <c r="AA12" s="64"/>
      <c r="AB12" s="67"/>
      <c r="AC12" s="64"/>
      <c r="AD12" s="65"/>
      <c r="AE12" s="64"/>
      <c r="AF12" s="65"/>
      <c r="AG12" s="65"/>
      <c r="AH12" s="66" t="str">
        <f t="shared" si="1"/>
        <v/>
      </c>
      <c r="AI12" s="64"/>
      <c r="AJ12" s="65"/>
      <c r="AK12" s="64"/>
      <c r="AL12" s="65"/>
      <c r="BB12" s="55" t="str">
        <f t="shared" si="2"/>
        <v/>
      </c>
      <c r="BC12" s="55" t="str">
        <f t="shared" si="3"/>
        <v/>
      </c>
      <c r="BD12" s="55" t="str">
        <f t="shared" si="4"/>
        <v/>
      </c>
      <c r="BE12" s="55" t="str">
        <f t="shared" si="5"/>
        <v/>
      </c>
      <c r="BF12" s="55" t="str">
        <f t="shared" si="6"/>
        <v/>
      </c>
      <c r="BG12" s="55" t="str">
        <f t="shared" si="7"/>
        <v/>
      </c>
      <c r="BH12" s="55" t="str">
        <f t="shared" si="8"/>
        <v/>
      </c>
      <c r="BI12" s="55" t="str">
        <f t="shared" si="9"/>
        <v/>
      </c>
      <c r="BJ12" s="55" t="str">
        <f t="shared" si="10"/>
        <v/>
      </c>
      <c r="BK12" s="55" t="str">
        <f t="shared" si="11"/>
        <v/>
      </c>
    </row>
    <row r="13" spans="1:71">
      <c r="A13" s="55" t="s">
        <v>275</v>
      </c>
      <c r="B13" s="55">
        <v>9</v>
      </c>
      <c r="D13" s="55" t="s">
        <v>276</v>
      </c>
      <c r="E13" s="55">
        <v>3</v>
      </c>
      <c r="F13" s="55">
        <v>3</v>
      </c>
      <c r="H13" s="55" t="s">
        <v>277</v>
      </c>
      <c r="I13" s="55">
        <v>3</v>
      </c>
      <c r="J13" s="55">
        <v>3</v>
      </c>
      <c r="L13" s="55" t="s">
        <v>278</v>
      </c>
      <c r="M13" s="55">
        <v>3</v>
      </c>
      <c r="O13" s="55">
        <v>6</v>
      </c>
      <c r="P13" s="55">
        <v>11</v>
      </c>
      <c r="Q13" s="55" t="s">
        <v>279</v>
      </c>
      <c r="R13" s="55">
        <v>3</v>
      </c>
      <c r="T13" s="55" t="s">
        <v>280</v>
      </c>
      <c r="U13" s="55">
        <v>347</v>
      </c>
      <c r="V13" s="55">
        <f t="shared" ca="1" si="0"/>
        <v>1</v>
      </c>
      <c r="W13" s="64"/>
      <c r="X13" s="65"/>
      <c r="Y13" s="65"/>
      <c r="Z13" s="65"/>
      <c r="AA13" s="64"/>
      <c r="AB13" s="65"/>
      <c r="AC13" s="64"/>
      <c r="AD13" s="65"/>
      <c r="AE13" s="64"/>
      <c r="AF13" s="65"/>
      <c r="AG13" s="65"/>
      <c r="AH13" s="66" t="str">
        <f t="shared" si="1"/>
        <v/>
      </c>
      <c r="AI13" s="64"/>
      <c r="AJ13" s="65"/>
      <c r="AK13" s="64"/>
      <c r="AL13" s="65"/>
      <c r="BB13" s="55" t="str">
        <f t="shared" si="2"/>
        <v/>
      </c>
      <c r="BC13" s="55" t="str">
        <f t="shared" si="3"/>
        <v/>
      </c>
      <c r="BD13" s="55" t="str">
        <f t="shared" si="4"/>
        <v/>
      </c>
      <c r="BE13" s="55" t="str">
        <f t="shared" si="5"/>
        <v/>
      </c>
      <c r="BF13" s="55" t="str">
        <f t="shared" si="6"/>
        <v/>
      </c>
      <c r="BG13" s="55" t="str">
        <f t="shared" si="7"/>
        <v/>
      </c>
      <c r="BH13" s="55" t="str">
        <f t="shared" si="8"/>
        <v/>
      </c>
      <c r="BI13" s="55" t="str">
        <f t="shared" si="9"/>
        <v/>
      </c>
      <c r="BJ13" s="55" t="str">
        <f t="shared" si="10"/>
        <v/>
      </c>
      <c r="BK13" s="55" t="str">
        <f t="shared" si="11"/>
        <v/>
      </c>
    </row>
    <row r="14" spans="1:71">
      <c r="A14" s="55" t="s">
        <v>281</v>
      </c>
      <c r="B14" s="55">
        <v>10</v>
      </c>
      <c r="D14" s="55" t="s">
        <v>282</v>
      </c>
      <c r="E14" s="55">
        <v>4</v>
      </c>
      <c r="F14" s="55">
        <v>4</v>
      </c>
      <c r="H14" s="55" t="s">
        <v>283</v>
      </c>
      <c r="I14" s="55">
        <v>4</v>
      </c>
      <c r="J14" s="55">
        <v>4</v>
      </c>
      <c r="L14" s="55" t="s">
        <v>284</v>
      </c>
      <c r="M14" s="55">
        <v>4</v>
      </c>
      <c r="O14" s="55">
        <v>12</v>
      </c>
      <c r="P14" s="55">
        <v>15</v>
      </c>
      <c r="Q14" s="55" t="s">
        <v>285</v>
      </c>
      <c r="R14" s="55">
        <v>4</v>
      </c>
      <c r="T14" s="55" t="s">
        <v>286</v>
      </c>
      <c r="U14" s="55">
        <v>354</v>
      </c>
      <c r="V14" s="55">
        <f t="shared" ca="1" si="0"/>
        <v>1</v>
      </c>
      <c r="W14" s="64"/>
      <c r="X14" s="65"/>
      <c r="Y14" s="65"/>
      <c r="Z14" s="65"/>
      <c r="AA14" s="64"/>
      <c r="AB14" s="65"/>
      <c r="AC14" s="64"/>
      <c r="AD14" s="65"/>
      <c r="AE14" s="64"/>
      <c r="AF14" s="65"/>
      <c r="AG14" s="65"/>
      <c r="AH14" s="66" t="str">
        <f t="shared" si="1"/>
        <v/>
      </c>
      <c r="AI14" s="64"/>
      <c r="AJ14" s="65"/>
      <c r="AK14" s="64"/>
      <c r="AL14" s="65"/>
      <c r="BB14" s="55" t="str">
        <f t="shared" si="2"/>
        <v/>
      </c>
      <c r="BC14" s="55" t="str">
        <f t="shared" si="3"/>
        <v/>
      </c>
      <c r="BD14" s="55" t="str">
        <f t="shared" si="4"/>
        <v/>
      </c>
      <c r="BE14" s="55" t="str">
        <f t="shared" si="5"/>
        <v/>
      </c>
      <c r="BF14" s="55" t="str">
        <f t="shared" si="6"/>
        <v/>
      </c>
      <c r="BG14" s="55" t="str">
        <f t="shared" si="7"/>
        <v/>
      </c>
      <c r="BH14" s="55" t="str">
        <f t="shared" si="8"/>
        <v/>
      </c>
      <c r="BI14" s="55" t="str">
        <f t="shared" si="9"/>
        <v/>
      </c>
      <c r="BJ14" s="55" t="str">
        <f t="shared" si="10"/>
        <v/>
      </c>
      <c r="BK14" s="55" t="str">
        <f t="shared" si="11"/>
        <v/>
      </c>
    </row>
    <row r="15" spans="1:71">
      <c r="A15" s="55" t="s">
        <v>287</v>
      </c>
      <c r="B15" s="55">
        <v>11</v>
      </c>
      <c r="D15" s="55" t="s">
        <v>288</v>
      </c>
      <c r="E15" s="55">
        <v>5</v>
      </c>
      <c r="F15" s="55">
        <v>5</v>
      </c>
      <c r="H15" s="55" t="s">
        <v>289</v>
      </c>
      <c r="I15" s="55">
        <v>5</v>
      </c>
      <c r="J15" s="55">
        <v>5</v>
      </c>
      <c r="L15" s="55" t="s">
        <v>290</v>
      </c>
      <c r="M15" s="55">
        <v>5</v>
      </c>
      <c r="O15" s="55">
        <v>16</v>
      </c>
      <c r="P15" s="55">
        <v>19</v>
      </c>
      <c r="Q15" s="55" t="s">
        <v>291</v>
      </c>
      <c r="R15" s="55">
        <v>6</v>
      </c>
      <c r="T15" s="55" t="s">
        <v>292</v>
      </c>
      <c r="U15" s="55">
        <v>355</v>
      </c>
      <c r="V15" s="55">
        <f t="shared" ca="1" si="0"/>
        <v>1</v>
      </c>
      <c r="W15" s="64"/>
      <c r="X15" s="65"/>
      <c r="Y15" s="65"/>
      <c r="Z15" s="65"/>
      <c r="AA15" s="64"/>
      <c r="AB15" s="65"/>
      <c r="AC15" s="64"/>
      <c r="AD15" s="65"/>
      <c r="AE15" s="64"/>
      <c r="AF15" s="65"/>
      <c r="AG15" s="65"/>
      <c r="AH15" s="66" t="str">
        <f t="shared" si="1"/>
        <v/>
      </c>
      <c r="AI15" s="64"/>
      <c r="AJ15" s="65"/>
      <c r="AK15" s="64"/>
      <c r="AL15" s="65"/>
      <c r="BB15" s="55" t="str">
        <f t="shared" si="2"/>
        <v/>
      </c>
      <c r="BC15" s="55" t="str">
        <f t="shared" si="3"/>
        <v/>
      </c>
      <c r="BD15" s="55" t="str">
        <f t="shared" si="4"/>
        <v/>
      </c>
      <c r="BE15" s="55" t="str">
        <f t="shared" si="5"/>
        <v/>
      </c>
      <c r="BF15" s="55" t="str">
        <f t="shared" si="6"/>
        <v/>
      </c>
      <c r="BG15" s="55" t="str">
        <f t="shared" si="7"/>
        <v/>
      </c>
      <c r="BH15" s="55" t="str">
        <f t="shared" si="8"/>
        <v/>
      </c>
      <c r="BI15" s="55" t="str">
        <f t="shared" si="9"/>
        <v/>
      </c>
      <c r="BJ15" s="55" t="str">
        <f t="shared" si="10"/>
        <v/>
      </c>
      <c r="BK15" s="55" t="str">
        <f t="shared" si="11"/>
        <v/>
      </c>
    </row>
    <row r="16" spans="1:71">
      <c r="A16" s="55" t="s">
        <v>293</v>
      </c>
      <c r="B16" s="55">
        <v>12</v>
      </c>
      <c r="O16" s="55">
        <v>20</v>
      </c>
      <c r="P16" s="55">
        <v>25</v>
      </c>
      <c r="Q16" s="55" t="s">
        <v>294</v>
      </c>
      <c r="R16" s="55">
        <v>5</v>
      </c>
      <c r="T16" s="55" t="s">
        <v>295</v>
      </c>
      <c r="U16" s="55">
        <v>356</v>
      </c>
      <c r="V16" s="55">
        <f t="shared" ca="1" si="0"/>
        <v>1</v>
      </c>
      <c r="W16" s="64"/>
      <c r="X16" s="65"/>
      <c r="Y16" s="65"/>
      <c r="Z16" s="65"/>
      <c r="AA16" s="64"/>
      <c r="AB16" s="65"/>
      <c r="AC16" s="64"/>
      <c r="AD16" s="65"/>
      <c r="AE16" s="64"/>
      <c r="AF16" s="65"/>
      <c r="AG16" s="65"/>
      <c r="AH16" s="66" t="str">
        <f t="shared" si="1"/>
        <v/>
      </c>
      <c r="AI16" s="64"/>
      <c r="AJ16" s="65"/>
      <c r="AK16" s="64"/>
      <c r="AL16" s="65"/>
      <c r="BB16" s="55" t="str">
        <f t="shared" si="2"/>
        <v/>
      </c>
      <c r="BC16" s="55" t="str">
        <f t="shared" si="3"/>
        <v/>
      </c>
      <c r="BD16" s="55" t="str">
        <f t="shared" si="4"/>
        <v/>
      </c>
      <c r="BE16" s="55" t="str">
        <f t="shared" si="5"/>
        <v/>
      </c>
      <c r="BF16" s="55" t="str">
        <f t="shared" si="6"/>
        <v/>
      </c>
      <c r="BG16" s="55" t="str">
        <f t="shared" si="7"/>
        <v/>
      </c>
      <c r="BH16" s="55" t="str">
        <f t="shared" si="8"/>
        <v/>
      </c>
      <c r="BI16" s="55" t="str">
        <f t="shared" si="9"/>
        <v/>
      </c>
      <c r="BJ16" s="55" t="str">
        <f t="shared" si="10"/>
        <v/>
      </c>
      <c r="BK16" s="55" t="str">
        <f t="shared" si="11"/>
        <v/>
      </c>
    </row>
    <row r="17" spans="15:63">
      <c r="O17" s="55">
        <v>20</v>
      </c>
      <c r="P17" s="55">
        <v>25</v>
      </c>
      <c r="Q17" s="55" t="s">
        <v>294</v>
      </c>
      <c r="R17" s="55">
        <v>7</v>
      </c>
      <c r="T17" s="55" t="s">
        <v>296</v>
      </c>
      <c r="U17" s="55">
        <v>357</v>
      </c>
      <c r="V17" s="55">
        <f t="shared" ca="1" si="0"/>
        <v>1</v>
      </c>
      <c r="W17" s="64"/>
      <c r="X17" s="65"/>
      <c r="Y17" s="65"/>
      <c r="Z17" s="65"/>
      <c r="AA17" s="64"/>
      <c r="AB17" s="65"/>
      <c r="AC17" s="64"/>
      <c r="AD17" s="65"/>
      <c r="AE17" s="64"/>
      <c r="AF17" s="65"/>
      <c r="AG17" s="65"/>
      <c r="AH17" s="66" t="str">
        <f t="shared" si="1"/>
        <v/>
      </c>
      <c r="AI17" s="64"/>
      <c r="AJ17" s="65"/>
      <c r="AK17" s="64"/>
      <c r="AL17" s="65"/>
      <c r="BB17" s="55" t="str">
        <f t="shared" si="2"/>
        <v/>
      </c>
      <c r="BC17" s="55" t="str">
        <f t="shared" si="3"/>
        <v/>
      </c>
      <c r="BD17" s="55" t="str">
        <f t="shared" si="4"/>
        <v/>
      </c>
      <c r="BE17" s="55" t="str">
        <f t="shared" si="5"/>
        <v/>
      </c>
      <c r="BF17" s="55" t="str">
        <f t="shared" si="6"/>
        <v/>
      </c>
      <c r="BG17" s="55" t="str">
        <f t="shared" si="7"/>
        <v/>
      </c>
      <c r="BH17" s="55" t="str">
        <f t="shared" si="8"/>
        <v/>
      </c>
      <c r="BI17" s="55" t="str">
        <f t="shared" si="9"/>
        <v/>
      </c>
      <c r="BJ17" s="55" t="str">
        <f t="shared" si="10"/>
        <v/>
      </c>
      <c r="BK17" s="55" t="str">
        <f t="shared" si="11"/>
        <v/>
      </c>
    </row>
    <row r="18" spans="15:63">
      <c r="T18" s="55" t="s">
        <v>297</v>
      </c>
      <c r="U18" s="55">
        <v>363</v>
      </c>
      <c r="V18" s="55">
        <f t="shared" ca="1" si="0"/>
        <v>1</v>
      </c>
      <c r="W18" s="64"/>
      <c r="X18" s="65"/>
      <c r="Y18" s="65"/>
      <c r="Z18" s="65"/>
      <c r="AA18" s="64"/>
      <c r="AB18" s="65"/>
      <c r="AC18" s="64"/>
      <c r="AD18" s="65"/>
      <c r="AE18" s="64"/>
      <c r="AF18" s="65"/>
      <c r="AG18" s="65"/>
      <c r="AH18" s="66" t="str">
        <f t="shared" si="1"/>
        <v/>
      </c>
      <c r="AI18" s="64"/>
      <c r="AJ18" s="65"/>
      <c r="AK18" s="64"/>
      <c r="AL18" s="65"/>
      <c r="BB18" s="55" t="str">
        <f t="shared" si="2"/>
        <v/>
      </c>
      <c r="BC18" s="55" t="str">
        <f t="shared" si="3"/>
        <v/>
      </c>
      <c r="BD18" s="55" t="str">
        <f t="shared" si="4"/>
        <v/>
      </c>
      <c r="BE18" s="55" t="str">
        <f t="shared" si="5"/>
        <v/>
      </c>
      <c r="BF18" s="55" t="str">
        <f t="shared" si="6"/>
        <v/>
      </c>
      <c r="BG18" s="55" t="str">
        <f t="shared" si="7"/>
        <v/>
      </c>
      <c r="BH18" s="55" t="str">
        <f t="shared" si="8"/>
        <v/>
      </c>
      <c r="BI18" s="55" t="str">
        <f t="shared" si="9"/>
        <v/>
      </c>
      <c r="BJ18" s="55" t="str">
        <f t="shared" si="10"/>
        <v/>
      </c>
      <c r="BK18" s="55" t="str">
        <f t="shared" si="11"/>
        <v/>
      </c>
    </row>
    <row r="19" spans="15:63">
      <c r="T19" s="55" t="s">
        <v>298</v>
      </c>
      <c r="U19" s="55">
        <v>367</v>
      </c>
      <c r="V19" s="55">
        <f t="shared" ca="1" si="0"/>
        <v>1</v>
      </c>
      <c r="W19" s="64"/>
      <c r="X19" s="65"/>
      <c r="Y19" s="65"/>
      <c r="Z19" s="65"/>
      <c r="AA19" s="64"/>
      <c r="AB19" s="65"/>
      <c r="AC19" s="64"/>
      <c r="AD19" s="65"/>
      <c r="AE19" s="64"/>
      <c r="AF19" s="65"/>
      <c r="AG19" s="65"/>
      <c r="AH19" s="66" t="str">
        <f t="shared" si="1"/>
        <v/>
      </c>
      <c r="AI19" s="64"/>
      <c r="AJ19" s="65"/>
      <c r="AK19" s="64"/>
      <c r="AL19" s="65"/>
      <c r="BB19" s="55" t="str">
        <f t="shared" si="2"/>
        <v/>
      </c>
      <c r="BC19" s="55" t="str">
        <f t="shared" si="3"/>
        <v/>
      </c>
      <c r="BD19" s="55" t="str">
        <f t="shared" si="4"/>
        <v/>
      </c>
      <c r="BE19" s="55" t="str">
        <f t="shared" si="5"/>
        <v/>
      </c>
      <c r="BF19" s="55" t="str">
        <f t="shared" si="6"/>
        <v/>
      </c>
      <c r="BG19" s="55" t="str">
        <f t="shared" si="7"/>
        <v/>
      </c>
      <c r="BH19" s="55" t="str">
        <f t="shared" si="8"/>
        <v/>
      </c>
      <c r="BI19" s="55" t="str">
        <f t="shared" si="9"/>
        <v/>
      </c>
      <c r="BJ19" s="55" t="str">
        <f t="shared" si="10"/>
        <v/>
      </c>
      <c r="BK19" s="55" t="str">
        <f t="shared" si="11"/>
        <v/>
      </c>
    </row>
    <row r="20" spans="15:63">
      <c r="T20" s="55" t="s">
        <v>299</v>
      </c>
      <c r="U20" s="55">
        <v>375</v>
      </c>
      <c r="V20" s="55">
        <f t="shared" ca="1" si="0"/>
        <v>1</v>
      </c>
      <c r="W20" s="64"/>
      <c r="X20" s="65"/>
      <c r="Y20" s="65"/>
      <c r="Z20" s="65"/>
      <c r="AA20" s="64"/>
      <c r="AB20" s="65"/>
      <c r="AC20" s="64"/>
      <c r="AD20" s="65"/>
      <c r="AE20" s="64"/>
      <c r="AF20" s="65"/>
      <c r="AG20" s="65"/>
      <c r="AH20" s="66" t="str">
        <f t="shared" si="1"/>
        <v/>
      </c>
      <c r="AI20" s="64"/>
      <c r="AJ20" s="65"/>
      <c r="AK20" s="64"/>
      <c r="AL20" s="65"/>
      <c r="BB20" s="55" t="str">
        <f t="shared" si="2"/>
        <v/>
      </c>
      <c r="BC20" s="55" t="str">
        <f t="shared" si="3"/>
        <v/>
      </c>
      <c r="BD20" s="55" t="str">
        <f t="shared" si="4"/>
        <v/>
      </c>
      <c r="BE20" s="55" t="str">
        <f t="shared" si="5"/>
        <v/>
      </c>
      <c r="BF20" s="55" t="str">
        <f t="shared" si="6"/>
        <v/>
      </c>
      <c r="BG20" s="55" t="str">
        <f t="shared" si="7"/>
        <v/>
      </c>
      <c r="BH20" s="55" t="str">
        <f t="shared" si="8"/>
        <v/>
      </c>
      <c r="BI20" s="55" t="str">
        <f t="shared" si="9"/>
        <v/>
      </c>
      <c r="BJ20" s="55" t="str">
        <f t="shared" si="10"/>
        <v/>
      </c>
      <c r="BK20" s="55" t="str">
        <f t="shared" si="11"/>
        <v/>
      </c>
    </row>
    <row r="21" spans="15:63">
      <c r="T21" s="55" t="s">
        <v>300</v>
      </c>
      <c r="U21" s="55">
        <v>376</v>
      </c>
      <c r="V21" s="55">
        <f t="shared" ca="1" si="0"/>
        <v>1</v>
      </c>
      <c r="W21" s="64"/>
      <c r="X21" s="65"/>
      <c r="Y21" s="65"/>
      <c r="Z21" s="65"/>
      <c r="AA21" s="64"/>
      <c r="AB21" s="65"/>
      <c r="AC21" s="64"/>
      <c r="AD21" s="65"/>
      <c r="AE21" s="64"/>
      <c r="AF21" s="65"/>
      <c r="AG21" s="65"/>
      <c r="AH21" s="66" t="str">
        <f t="shared" si="1"/>
        <v/>
      </c>
      <c r="AI21" s="64"/>
      <c r="AJ21" s="65"/>
      <c r="AK21" s="64"/>
      <c r="AL21" s="65"/>
      <c r="BB21" s="55" t="str">
        <f t="shared" si="2"/>
        <v/>
      </c>
      <c r="BC21" s="55" t="str">
        <f t="shared" si="3"/>
        <v/>
      </c>
      <c r="BD21" s="55" t="str">
        <f t="shared" si="4"/>
        <v/>
      </c>
      <c r="BE21" s="55" t="str">
        <f t="shared" si="5"/>
        <v/>
      </c>
      <c r="BF21" s="55" t="str">
        <f t="shared" si="6"/>
        <v/>
      </c>
      <c r="BG21" s="55" t="str">
        <f t="shared" si="7"/>
        <v/>
      </c>
      <c r="BH21" s="55" t="str">
        <f t="shared" si="8"/>
        <v/>
      </c>
      <c r="BI21" s="55" t="str">
        <f t="shared" si="9"/>
        <v/>
      </c>
      <c r="BJ21" s="55" t="str">
        <f t="shared" si="10"/>
        <v/>
      </c>
      <c r="BK21" s="55" t="str">
        <f t="shared" si="11"/>
        <v/>
      </c>
    </row>
    <row r="22" spans="15:63">
      <c r="T22" s="55" t="s">
        <v>301</v>
      </c>
      <c r="U22" s="55">
        <v>377</v>
      </c>
      <c r="V22" s="55">
        <f t="shared" ca="1" si="0"/>
        <v>1</v>
      </c>
      <c r="W22" s="64"/>
      <c r="X22" s="65"/>
      <c r="Y22" s="65"/>
      <c r="Z22" s="65"/>
      <c r="AA22" s="64"/>
      <c r="AB22" s="65"/>
      <c r="AC22" s="64"/>
      <c r="AD22" s="65"/>
      <c r="AE22" s="64"/>
      <c r="AF22" s="65"/>
      <c r="AG22" s="65"/>
      <c r="AH22" s="66" t="str">
        <f t="shared" si="1"/>
        <v/>
      </c>
      <c r="AI22" s="64"/>
      <c r="AJ22" s="65"/>
      <c r="AK22" s="64"/>
      <c r="AL22" s="65"/>
      <c r="BB22" s="55" t="str">
        <f t="shared" si="2"/>
        <v/>
      </c>
      <c r="BC22" s="55" t="str">
        <f t="shared" si="3"/>
        <v/>
      </c>
      <c r="BD22" s="55" t="str">
        <f t="shared" si="4"/>
        <v/>
      </c>
      <c r="BE22" s="55" t="str">
        <f t="shared" si="5"/>
        <v/>
      </c>
      <c r="BF22" s="55" t="str">
        <f t="shared" si="6"/>
        <v/>
      </c>
      <c r="BG22" s="55" t="str">
        <f t="shared" si="7"/>
        <v/>
      </c>
      <c r="BH22" s="55" t="str">
        <f t="shared" si="8"/>
        <v/>
      </c>
      <c r="BI22" s="55" t="str">
        <f t="shared" si="9"/>
        <v/>
      </c>
      <c r="BJ22" s="55" t="str">
        <f t="shared" si="10"/>
        <v/>
      </c>
      <c r="BK22" s="55" t="str">
        <f t="shared" si="11"/>
        <v/>
      </c>
    </row>
    <row r="23" spans="15:63">
      <c r="T23" s="55" t="s">
        <v>302</v>
      </c>
      <c r="U23" s="55">
        <v>378</v>
      </c>
      <c r="V23" s="55">
        <f t="shared" ca="1" si="0"/>
        <v>1</v>
      </c>
      <c r="W23" s="64"/>
      <c r="X23" s="65"/>
      <c r="Y23" s="65"/>
      <c r="Z23" s="65"/>
      <c r="AA23" s="64"/>
      <c r="AB23" s="65"/>
      <c r="AC23" s="64"/>
      <c r="AD23" s="65"/>
      <c r="AE23" s="64"/>
      <c r="AF23" s="65"/>
      <c r="AG23" s="65"/>
      <c r="AH23" s="66" t="str">
        <f t="shared" si="1"/>
        <v/>
      </c>
      <c r="AI23" s="64"/>
      <c r="AJ23" s="65"/>
      <c r="AK23" s="64"/>
      <c r="AL23" s="65"/>
      <c r="BB23" s="55" t="str">
        <f t="shared" si="2"/>
        <v/>
      </c>
      <c r="BC23" s="55" t="str">
        <f t="shared" si="3"/>
        <v/>
      </c>
      <c r="BD23" s="55" t="str">
        <f t="shared" si="4"/>
        <v/>
      </c>
      <c r="BE23" s="55" t="str">
        <f t="shared" si="5"/>
        <v/>
      </c>
      <c r="BF23" s="55" t="str">
        <f t="shared" si="6"/>
        <v/>
      </c>
      <c r="BG23" s="55" t="str">
        <f t="shared" si="7"/>
        <v/>
      </c>
      <c r="BH23" s="55" t="str">
        <f t="shared" si="8"/>
        <v/>
      </c>
      <c r="BI23" s="55" t="str">
        <f t="shared" si="9"/>
        <v/>
      </c>
      <c r="BJ23" s="55" t="str">
        <f t="shared" si="10"/>
        <v/>
      </c>
      <c r="BK23" s="55" t="str">
        <f t="shared" si="11"/>
        <v/>
      </c>
    </row>
    <row r="24" spans="15:63">
      <c r="T24" s="55" t="s">
        <v>303</v>
      </c>
      <c r="U24" s="55">
        <v>379</v>
      </c>
      <c r="V24" s="55">
        <f t="shared" ca="1" si="0"/>
        <v>1</v>
      </c>
      <c r="W24" s="64"/>
      <c r="X24" s="65"/>
      <c r="Y24" s="65"/>
      <c r="Z24" s="65"/>
      <c r="AA24" s="64"/>
      <c r="AB24" s="65"/>
      <c r="AC24" s="64"/>
      <c r="AD24" s="65"/>
      <c r="AE24" s="64"/>
      <c r="AF24" s="65"/>
      <c r="AG24" s="65"/>
      <c r="AH24" s="66" t="str">
        <f t="shared" si="1"/>
        <v/>
      </c>
      <c r="AI24" s="64"/>
      <c r="AJ24" s="65"/>
      <c r="AK24" s="64"/>
      <c r="AL24" s="65"/>
      <c r="BB24" s="55" t="str">
        <f t="shared" si="2"/>
        <v/>
      </c>
      <c r="BC24" s="55" t="str">
        <f t="shared" si="3"/>
        <v/>
      </c>
      <c r="BD24" s="55" t="str">
        <f t="shared" si="4"/>
        <v/>
      </c>
      <c r="BE24" s="55" t="str">
        <f t="shared" si="5"/>
        <v/>
      </c>
      <c r="BF24" s="55" t="str">
        <f t="shared" si="6"/>
        <v/>
      </c>
      <c r="BG24" s="55" t="str">
        <f t="shared" si="7"/>
        <v/>
      </c>
      <c r="BH24" s="55" t="str">
        <f t="shared" si="8"/>
        <v/>
      </c>
      <c r="BI24" s="55" t="str">
        <f t="shared" si="9"/>
        <v/>
      </c>
      <c r="BJ24" s="55" t="str">
        <f t="shared" si="10"/>
        <v/>
      </c>
      <c r="BK24" s="55" t="str">
        <f t="shared" si="11"/>
        <v/>
      </c>
    </row>
    <row r="25" spans="15:63">
      <c r="T25" s="55" t="s">
        <v>304</v>
      </c>
      <c r="U25" s="55">
        <v>380</v>
      </c>
      <c r="V25" s="55">
        <f t="shared" ca="1" si="0"/>
        <v>1</v>
      </c>
      <c r="W25" s="64"/>
      <c r="X25" s="65"/>
      <c r="Y25" s="65"/>
      <c r="Z25" s="65"/>
      <c r="AA25" s="64"/>
      <c r="AB25" s="65"/>
      <c r="AC25" s="64"/>
      <c r="AD25" s="65"/>
      <c r="AE25" s="64"/>
      <c r="AF25" s="65"/>
      <c r="AG25" s="65"/>
      <c r="AH25" s="66" t="str">
        <f t="shared" si="1"/>
        <v/>
      </c>
      <c r="AI25" s="64"/>
      <c r="AJ25" s="65"/>
      <c r="AK25" s="64"/>
      <c r="AL25" s="65"/>
      <c r="BB25" s="55" t="str">
        <f t="shared" si="2"/>
        <v/>
      </c>
      <c r="BC25" s="55" t="str">
        <f t="shared" si="3"/>
        <v/>
      </c>
      <c r="BD25" s="55" t="str">
        <f t="shared" si="4"/>
        <v/>
      </c>
      <c r="BE25" s="55" t="str">
        <f t="shared" si="5"/>
        <v/>
      </c>
      <c r="BF25" s="55" t="str">
        <f t="shared" si="6"/>
        <v/>
      </c>
      <c r="BG25" s="55" t="str">
        <f t="shared" si="7"/>
        <v/>
      </c>
      <c r="BH25" s="55" t="str">
        <f t="shared" si="8"/>
        <v/>
      </c>
      <c r="BI25" s="55" t="str">
        <f t="shared" si="9"/>
        <v/>
      </c>
      <c r="BJ25" s="55" t="str">
        <f t="shared" si="10"/>
        <v/>
      </c>
      <c r="BK25" s="55" t="str">
        <f t="shared" si="11"/>
        <v/>
      </c>
    </row>
    <row r="26" spans="15:63">
      <c r="T26" s="55" t="s">
        <v>305</v>
      </c>
      <c r="U26" s="55">
        <v>381</v>
      </c>
      <c r="V26" s="55">
        <f t="shared" ca="1" si="0"/>
        <v>1</v>
      </c>
      <c r="W26" s="64"/>
      <c r="X26" s="65"/>
      <c r="Y26" s="65"/>
      <c r="Z26" s="65"/>
      <c r="AA26" s="64"/>
      <c r="AB26" s="65"/>
      <c r="AC26" s="64"/>
      <c r="AD26" s="65"/>
      <c r="AE26" s="64"/>
      <c r="AF26" s="65"/>
      <c r="AG26" s="65"/>
      <c r="AH26" s="66" t="str">
        <f t="shared" si="1"/>
        <v/>
      </c>
      <c r="AI26" s="64"/>
      <c r="AJ26" s="65"/>
      <c r="AK26" s="64"/>
      <c r="AL26" s="65"/>
      <c r="BB26" s="55" t="str">
        <f t="shared" si="2"/>
        <v/>
      </c>
      <c r="BC26" s="55" t="str">
        <f t="shared" si="3"/>
        <v/>
      </c>
      <c r="BD26" s="55" t="str">
        <f t="shared" si="4"/>
        <v/>
      </c>
      <c r="BE26" s="55" t="str">
        <f t="shared" si="5"/>
        <v/>
      </c>
      <c r="BF26" s="55" t="str">
        <f t="shared" si="6"/>
        <v/>
      </c>
      <c r="BG26" s="55" t="str">
        <f t="shared" si="7"/>
        <v/>
      </c>
      <c r="BH26" s="55" t="str">
        <f t="shared" si="8"/>
        <v/>
      </c>
      <c r="BI26" s="55" t="str">
        <f t="shared" si="9"/>
        <v/>
      </c>
      <c r="BJ26" s="55" t="str">
        <f t="shared" si="10"/>
        <v/>
      </c>
      <c r="BK26" s="55" t="str">
        <f t="shared" si="11"/>
        <v/>
      </c>
    </row>
    <row r="27" spans="15:63">
      <c r="T27" s="55" t="s">
        <v>306</v>
      </c>
      <c r="U27" s="55">
        <v>423</v>
      </c>
      <c r="V27" s="55">
        <f t="shared" ca="1" si="0"/>
        <v>1</v>
      </c>
      <c r="W27" s="64"/>
      <c r="X27" s="65"/>
      <c r="Y27" s="65"/>
      <c r="Z27" s="65"/>
      <c r="AA27" s="64"/>
      <c r="AB27" s="65"/>
      <c r="AC27" s="64"/>
      <c r="AD27" s="65"/>
      <c r="AE27" s="64"/>
      <c r="AF27" s="65"/>
      <c r="AG27" s="65"/>
      <c r="AH27" s="66" t="str">
        <f t="shared" si="1"/>
        <v/>
      </c>
      <c r="AI27" s="64"/>
      <c r="AJ27" s="65"/>
      <c r="AK27" s="64"/>
      <c r="AL27" s="65"/>
      <c r="BB27" s="55" t="str">
        <f t="shared" si="2"/>
        <v/>
      </c>
      <c r="BC27" s="55" t="str">
        <f t="shared" si="3"/>
        <v/>
      </c>
      <c r="BD27" s="55" t="str">
        <f t="shared" si="4"/>
        <v/>
      </c>
      <c r="BE27" s="55" t="str">
        <f t="shared" si="5"/>
        <v/>
      </c>
      <c r="BF27" s="55" t="str">
        <f t="shared" si="6"/>
        <v/>
      </c>
      <c r="BG27" s="55" t="str">
        <f t="shared" si="7"/>
        <v/>
      </c>
      <c r="BH27" s="55" t="str">
        <f t="shared" si="8"/>
        <v/>
      </c>
      <c r="BI27" s="55" t="str">
        <f t="shared" si="9"/>
        <v/>
      </c>
      <c r="BJ27" s="55" t="str">
        <f t="shared" si="10"/>
        <v/>
      </c>
      <c r="BK27" s="55" t="str">
        <f t="shared" si="11"/>
        <v/>
      </c>
    </row>
    <row r="28" spans="15:63">
      <c r="T28" s="55" t="s">
        <v>307</v>
      </c>
      <c r="U28" s="55">
        <v>430</v>
      </c>
      <c r="V28" s="55">
        <f t="shared" ca="1" si="0"/>
        <v>1</v>
      </c>
      <c r="W28" s="64"/>
      <c r="X28" s="65"/>
      <c r="Y28" s="65"/>
      <c r="Z28" s="65"/>
      <c r="AA28" s="64"/>
      <c r="AB28" s="65"/>
      <c r="AC28" s="64"/>
      <c r="AD28" s="65"/>
      <c r="AE28" s="64"/>
      <c r="AF28" s="65"/>
      <c r="AG28" s="65"/>
      <c r="AH28" s="66" t="str">
        <f t="shared" si="1"/>
        <v/>
      </c>
      <c r="AI28" s="64"/>
      <c r="AJ28" s="65"/>
      <c r="AK28" s="64"/>
      <c r="AL28" s="65"/>
      <c r="BB28" s="55" t="str">
        <f t="shared" si="2"/>
        <v/>
      </c>
      <c r="BC28" s="55" t="str">
        <f t="shared" si="3"/>
        <v/>
      </c>
      <c r="BD28" s="55" t="str">
        <f t="shared" si="4"/>
        <v/>
      </c>
      <c r="BE28" s="55" t="str">
        <f t="shared" si="5"/>
        <v/>
      </c>
      <c r="BF28" s="55" t="str">
        <f t="shared" si="6"/>
        <v/>
      </c>
      <c r="BG28" s="55" t="str">
        <f t="shared" si="7"/>
        <v/>
      </c>
      <c r="BH28" s="55" t="str">
        <f t="shared" si="8"/>
        <v/>
      </c>
      <c r="BI28" s="55" t="str">
        <f t="shared" si="9"/>
        <v/>
      </c>
      <c r="BJ28" s="55" t="str">
        <f t="shared" si="10"/>
        <v/>
      </c>
      <c r="BK28" s="55" t="str">
        <f t="shared" si="11"/>
        <v/>
      </c>
    </row>
    <row r="29" spans="15:63">
      <c r="T29" s="55" t="s">
        <v>308</v>
      </c>
      <c r="U29" s="55">
        <v>431</v>
      </c>
      <c r="V29" s="55">
        <f t="shared" ca="1" si="0"/>
        <v>1</v>
      </c>
      <c r="W29" s="64"/>
      <c r="X29" s="65"/>
      <c r="Y29" s="65"/>
      <c r="Z29" s="65"/>
      <c r="AA29" s="64"/>
      <c r="AB29" s="65"/>
      <c r="AC29" s="64"/>
      <c r="AD29" s="65"/>
      <c r="AE29" s="64"/>
      <c r="AF29" s="65"/>
      <c r="AG29" s="65"/>
      <c r="AH29" s="66" t="str">
        <f t="shared" si="1"/>
        <v/>
      </c>
      <c r="AI29" s="64"/>
      <c r="AJ29" s="65"/>
      <c r="AK29" s="64"/>
      <c r="AL29" s="65"/>
      <c r="BB29" s="55" t="str">
        <f t="shared" si="2"/>
        <v/>
      </c>
      <c r="BC29" s="55" t="str">
        <f t="shared" si="3"/>
        <v/>
      </c>
      <c r="BD29" s="55" t="str">
        <f t="shared" si="4"/>
        <v/>
      </c>
      <c r="BE29" s="55" t="str">
        <f t="shared" si="5"/>
        <v/>
      </c>
      <c r="BF29" s="55" t="str">
        <f t="shared" si="6"/>
        <v/>
      </c>
      <c r="BG29" s="55" t="str">
        <f t="shared" si="7"/>
        <v/>
      </c>
      <c r="BH29" s="55" t="str">
        <f t="shared" si="8"/>
        <v/>
      </c>
      <c r="BI29" s="55" t="str">
        <f t="shared" si="9"/>
        <v/>
      </c>
      <c r="BJ29" s="55" t="str">
        <f t="shared" si="10"/>
        <v/>
      </c>
      <c r="BK29" s="55" t="str">
        <f t="shared" si="11"/>
        <v/>
      </c>
    </row>
    <row r="30" spans="15:63">
      <c r="T30" s="55" t="s">
        <v>309</v>
      </c>
      <c r="U30" s="55">
        <v>432</v>
      </c>
      <c r="V30" s="55">
        <f t="shared" ca="1" si="0"/>
        <v>1</v>
      </c>
      <c r="W30" s="64"/>
      <c r="X30" s="65"/>
      <c r="Y30" s="65"/>
      <c r="Z30" s="65"/>
      <c r="AA30" s="64"/>
      <c r="AB30" s="65"/>
      <c r="AC30" s="64"/>
      <c r="AD30" s="65"/>
      <c r="AE30" s="64"/>
      <c r="AF30" s="65"/>
      <c r="AG30" s="65"/>
      <c r="AH30" s="66" t="str">
        <f t="shared" si="1"/>
        <v/>
      </c>
      <c r="AI30" s="64"/>
      <c r="AJ30" s="65"/>
      <c r="AK30" s="64"/>
      <c r="AL30" s="65"/>
      <c r="BB30" s="55" t="str">
        <f t="shared" si="2"/>
        <v/>
      </c>
      <c r="BC30" s="55" t="str">
        <f t="shared" si="3"/>
        <v/>
      </c>
      <c r="BD30" s="55" t="str">
        <f t="shared" si="4"/>
        <v/>
      </c>
      <c r="BE30" s="55" t="str">
        <f t="shared" si="5"/>
        <v/>
      </c>
      <c r="BF30" s="55" t="str">
        <f t="shared" si="6"/>
        <v/>
      </c>
      <c r="BG30" s="55" t="str">
        <f t="shared" si="7"/>
        <v/>
      </c>
      <c r="BH30" s="55" t="str">
        <f t="shared" si="8"/>
        <v/>
      </c>
      <c r="BI30" s="55" t="str">
        <f t="shared" si="9"/>
        <v/>
      </c>
      <c r="BJ30" s="55" t="str">
        <f t="shared" si="10"/>
        <v/>
      </c>
      <c r="BK30" s="55" t="str">
        <f t="shared" si="11"/>
        <v/>
      </c>
    </row>
    <row r="31" spans="15:63">
      <c r="T31" s="55" t="s">
        <v>310</v>
      </c>
      <c r="U31" s="55">
        <v>433</v>
      </c>
      <c r="V31" s="55">
        <f t="shared" ca="1" si="0"/>
        <v>1</v>
      </c>
      <c r="W31" s="64"/>
      <c r="X31" s="65"/>
      <c r="Y31" s="65"/>
      <c r="Z31" s="65"/>
      <c r="AA31" s="64"/>
      <c r="AB31" s="65"/>
      <c r="AC31" s="64"/>
      <c r="AD31" s="65"/>
      <c r="AE31" s="64"/>
      <c r="AF31" s="65"/>
      <c r="AG31" s="65"/>
      <c r="AH31" s="66" t="str">
        <f t="shared" si="1"/>
        <v/>
      </c>
      <c r="AI31" s="64"/>
      <c r="AJ31" s="65"/>
      <c r="AK31" s="64"/>
      <c r="AL31" s="65"/>
      <c r="BB31" s="55" t="str">
        <f t="shared" si="2"/>
        <v/>
      </c>
      <c r="BC31" s="55" t="str">
        <f t="shared" si="3"/>
        <v/>
      </c>
      <c r="BD31" s="55" t="str">
        <f t="shared" si="4"/>
        <v/>
      </c>
      <c r="BE31" s="55" t="str">
        <f t="shared" si="5"/>
        <v/>
      </c>
      <c r="BF31" s="55" t="str">
        <f t="shared" si="6"/>
        <v/>
      </c>
      <c r="BG31" s="55" t="str">
        <f t="shared" si="7"/>
        <v/>
      </c>
      <c r="BH31" s="55" t="str">
        <f t="shared" si="8"/>
        <v/>
      </c>
      <c r="BI31" s="55" t="str">
        <f t="shared" si="9"/>
        <v/>
      </c>
      <c r="BJ31" s="55" t="str">
        <f t="shared" si="10"/>
        <v/>
      </c>
      <c r="BK31" s="55" t="str">
        <f t="shared" si="11"/>
        <v/>
      </c>
    </row>
    <row r="32" spans="15:63">
      <c r="T32" s="55" t="s">
        <v>311</v>
      </c>
      <c r="U32" s="55">
        <v>438</v>
      </c>
      <c r="V32" s="55">
        <f t="shared" ca="1" si="0"/>
        <v>1</v>
      </c>
      <c r="W32" s="64"/>
      <c r="X32" s="65"/>
      <c r="Y32" s="65"/>
      <c r="Z32" s="65"/>
      <c r="AA32" s="64"/>
      <c r="AB32" s="65"/>
      <c r="AC32" s="64"/>
      <c r="AD32" s="65"/>
      <c r="AE32" s="64"/>
      <c r="AF32" s="65"/>
      <c r="AG32" s="65"/>
      <c r="AH32" s="66" t="str">
        <f t="shared" si="1"/>
        <v/>
      </c>
      <c r="AI32" s="64"/>
      <c r="AJ32" s="65"/>
      <c r="AK32" s="64"/>
      <c r="AL32" s="65"/>
      <c r="BB32" s="55" t="str">
        <f t="shared" si="2"/>
        <v/>
      </c>
      <c r="BC32" s="55" t="str">
        <f t="shared" si="3"/>
        <v/>
      </c>
      <c r="BD32" s="55" t="str">
        <f t="shared" si="4"/>
        <v/>
      </c>
      <c r="BE32" s="55" t="str">
        <f t="shared" si="5"/>
        <v/>
      </c>
      <c r="BF32" s="55" t="str">
        <f t="shared" si="6"/>
        <v/>
      </c>
      <c r="BG32" s="55" t="str">
        <f t="shared" si="7"/>
        <v/>
      </c>
      <c r="BH32" s="55" t="str">
        <f t="shared" si="8"/>
        <v/>
      </c>
      <c r="BI32" s="55" t="str">
        <f t="shared" si="9"/>
        <v/>
      </c>
      <c r="BJ32" s="55" t="str">
        <f t="shared" si="10"/>
        <v/>
      </c>
      <c r="BK32" s="55" t="str">
        <f t="shared" si="11"/>
        <v/>
      </c>
    </row>
    <row r="33" spans="20:63">
      <c r="T33" s="55" t="s">
        <v>312</v>
      </c>
      <c r="U33" s="55">
        <v>452</v>
      </c>
      <c r="V33" s="55">
        <f t="shared" ca="1" si="0"/>
        <v>1</v>
      </c>
      <c r="W33" s="64"/>
      <c r="X33" s="65"/>
      <c r="Y33" s="65"/>
      <c r="Z33" s="65"/>
      <c r="AA33" s="64"/>
      <c r="AB33" s="65"/>
      <c r="AC33" s="64"/>
      <c r="AD33" s="65"/>
      <c r="AE33" s="64"/>
      <c r="AF33" s="65"/>
      <c r="AG33" s="65"/>
      <c r="AH33" s="66" t="str">
        <f t="shared" si="1"/>
        <v/>
      </c>
      <c r="AI33" s="64"/>
      <c r="AJ33" s="65"/>
      <c r="AK33" s="64"/>
      <c r="AL33" s="65"/>
      <c r="BB33" s="55" t="str">
        <f t="shared" si="2"/>
        <v/>
      </c>
      <c r="BC33" s="55" t="str">
        <f t="shared" si="3"/>
        <v/>
      </c>
      <c r="BD33" s="55" t="str">
        <f t="shared" si="4"/>
        <v/>
      </c>
      <c r="BE33" s="55" t="str">
        <f t="shared" si="5"/>
        <v/>
      </c>
      <c r="BF33" s="55" t="str">
        <f t="shared" si="6"/>
        <v/>
      </c>
      <c r="BG33" s="55" t="str">
        <f t="shared" si="7"/>
        <v/>
      </c>
      <c r="BH33" s="55" t="str">
        <f t="shared" si="8"/>
        <v/>
      </c>
      <c r="BI33" s="55" t="str">
        <f t="shared" si="9"/>
        <v/>
      </c>
      <c r="BJ33" s="55" t="str">
        <f t="shared" si="10"/>
        <v/>
      </c>
      <c r="BK33" s="55" t="str">
        <f t="shared" si="11"/>
        <v/>
      </c>
    </row>
    <row r="34" spans="20:63">
      <c r="T34" s="55" t="s">
        <v>313</v>
      </c>
      <c r="U34" s="55">
        <v>453</v>
      </c>
      <c r="V34" s="55">
        <f t="shared" ca="1" si="0"/>
        <v>1</v>
      </c>
      <c r="W34" s="64"/>
      <c r="X34" s="65"/>
      <c r="Y34" s="65"/>
      <c r="Z34" s="65"/>
      <c r="AA34" s="64"/>
      <c r="AB34" s="65"/>
      <c r="AC34" s="64"/>
      <c r="AD34" s="65"/>
      <c r="AE34" s="64"/>
      <c r="AF34" s="65"/>
      <c r="AG34" s="65"/>
      <c r="AH34" s="66" t="str">
        <f t="shared" si="1"/>
        <v/>
      </c>
      <c r="AI34" s="64"/>
      <c r="AJ34" s="65"/>
      <c r="AK34" s="64"/>
      <c r="AL34" s="65"/>
      <c r="BB34" s="55" t="str">
        <f t="shared" si="2"/>
        <v/>
      </c>
      <c r="BC34" s="55" t="str">
        <f t="shared" si="3"/>
        <v/>
      </c>
      <c r="BD34" s="55" t="str">
        <f t="shared" si="4"/>
        <v/>
      </c>
      <c r="BE34" s="55" t="str">
        <f t="shared" si="5"/>
        <v/>
      </c>
      <c r="BF34" s="55" t="str">
        <f t="shared" si="6"/>
        <v/>
      </c>
      <c r="BG34" s="55" t="str">
        <f t="shared" si="7"/>
        <v/>
      </c>
      <c r="BH34" s="55" t="str">
        <f t="shared" si="8"/>
        <v/>
      </c>
      <c r="BI34" s="55" t="str">
        <f t="shared" si="9"/>
        <v/>
      </c>
      <c r="BJ34" s="55" t="str">
        <f t="shared" si="10"/>
        <v/>
      </c>
      <c r="BK34" s="55" t="str">
        <f t="shared" si="11"/>
        <v/>
      </c>
    </row>
    <row r="35" spans="20:63">
      <c r="T35" s="55" t="s">
        <v>314</v>
      </c>
      <c r="U35" s="55">
        <v>454</v>
      </c>
      <c r="V35" s="55">
        <f t="shared" ca="1" si="0"/>
        <v>1</v>
      </c>
      <c r="W35" s="64"/>
      <c r="X35" s="65"/>
      <c r="Y35" s="65"/>
      <c r="Z35" s="65"/>
      <c r="AA35" s="64"/>
      <c r="AB35" s="65"/>
      <c r="AC35" s="64"/>
      <c r="AD35" s="65"/>
      <c r="AE35" s="64"/>
      <c r="AF35" s="65"/>
      <c r="AG35" s="65"/>
      <c r="AH35" s="66" t="str">
        <f t="shared" si="1"/>
        <v/>
      </c>
      <c r="AI35" s="64"/>
      <c r="AJ35" s="65"/>
      <c r="AK35" s="64"/>
      <c r="AL35" s="65"/>
      <c r="BB35" s="55" t="str">
        <f t="shared" si="2"/>
        <v/>
      </c>
      <c r="BC35" s="55" t="str">
        <f t="shared" si="3"/>
        <v/>
      </c>
      <c r="BD35" s="55" t="str">
        <f t="shared" si="4"/>
        <v/>
      </c>
      <c r="BE35" s="55" t="str">
        <f t="shared" si="5"/>
        <v/>
      </c>
      <c r="BF35" s="55" t="str">
        <f t="shared" si="6"/>
        <v/>
      </c>
      <c r="BG35" s="55" t="str">
        <f t="shared" si="7"/>
        <v/>
      </c>
      <c r="BH35" s="55" t="str">
        <f t="shared" si="8"/>
        <v/>
      </c>
      <c r="BI35" s="55" t="str">
        <f t="shared" si="9"/>
        <v/>
      </c>
      <c r="BJ35" s="55" t="str">
        <f t="shared" si="10"/>
        <v/>
      </c>
      <c r="BK35" s="55" t="str">
        <f t="shared" si="11"/>
        <v/>
      </c>
    </row>
    <row r="36" spans="20:63">
      <c r="T36" s="55" t="s">
        <v>315</v>
      </c>
      <c r="U36" s="55">
        <v>456</v>
      </c>
      <c r="V36" s="55">
        <f t="shared" ca="1" si="0"/>
        <v>1</v>
      </c>
      <c r="W36" s="64"/>
      <c r="X36" s="65"/>
      <c r="Y36" s="65"/>
      <c r="Z36" s="65"/>
      <c r="AA36" s="64"/>
      <c r="AB36" s="65"/>
      <c r="AC36" s="64"/>
      <c r="AD36" s="65"/>
      <c r="AE36" s="64"/>
      <c r="AF36" s="65"/>
      <c r="AG36" s="65"/>
      <c r="AH36" s="66" t="str">
        <f t="shared" si="1"/>
        <v/>
      </c>
      <c r="AI36" s="64"/>
      <c r="AJ36" s="65"/>
      <c r="AK36" s="64"/>
      <c r="AL36" s="65"/>
      <c r="BB36" s="55" t="str">
        <f t="shared" si="2"/>
        <v/>
      </c>
      <c r="BC36" s="55" t="str">
        <f t="shared" si="3"/>
        <v/>
      </c>
      <c r="BD36" s="55" t="str">
        <f t="shared" si="4"/>
        <v/>
      </c>
      <c r="BE36" s="55" t="str">
        <f t="shared" si="5"/>
        <v/>
      </c>
      <c r="BF36" s="55" t="str">
        <f t="shared" si="6"/>
        <v/>
      </c>
      <c r="BG36" s="55" t="str">
        <f t="shared" si="7"/>
        <v/>
      </c>
      <c r="BH36" s="55" t="str">
        <f t="shared" si="8"/>
        <v/>
      </c>
      <c r="BI36" s="55" t="str">
        <f t="shared" si="9"/>
        <v/>
      </c>
      <c r="BJ36" s="55" t="str">
        <f t="shared" si="10"/>
        <v/>
      </c>
      <c r="BK36" s="55" t="str">
        <f t="shared" si="11"/>
        <v/>
      </c>
    </row>
    <row r="37" spans="20:63">
      <c r="T37" s="55" t="s">
        <v>316</v>
      </c>
      <c r="U37" s="55">
        <v>457</v>
      </c>
      <c r="V37" s="55">
        <f t="shared" ca="1" si="0"/>
        <v>1</v>
      </c>
      <c r="W37" s="64"/>
      <c r="X37" s="65"/>
      <c r="Y37" s="65"/>
      <c r="Z37" s="65"/>
      <c r="AA37" s="64"/>
      <c r="AB37" s="65"/>
      <c r="AC37" s="64"/>
      <c r="AD37" s="65"/>
      <c r="AE37" s="64"/>
      <c r="AF37" s="65"/>
      <c r="AG37" s="65"/>
      <c r="AH37" s="66" t="str">
        <f t="shared" si="1"/>
        <v/>
      </c>
      <c r="AI37" s="64"/>
      <c r="AJ37" s="65"/>
      <c r="AK37" s="64"/>
      <c r="AL37" s="65"/>
      <c r="BB37" s="55" t="str">
        <f t="shared" si="2"/>
        <v/>
      </c>
      <c r="BC37" s="55" t="str">
        <f t="shared" si="3"/>
        <v/>
      </c>
      <c r="BD37" s="55" t="str">
        <f t="shared" si="4"/>
        <v/>
      </c>
      <c r="BE37" s="55" t="str">
        <f t="shared" si="5"/>
        <v/>
      </c>
      <c r="BF37" s="55" t="str">
        <f t="shared" si="6"/>
        <v/>
      </c>
      <c r="BG37" s="55" t="str">
        <f t="shared" si="7"/>
        <v/>
      </c>
      <c r="BH37" s="55" t="str">
        <f t="shared" si="8"/>
        <v/>
      </c>
      <c r="BI37" s="55" t="str">
        <f t="shared" si="9"/>
        <v/>
      </c>
      <c r="BJ37" s="55" t="str">
        <f t="shared" si="10"/>
        <v/>
      </c>
      <c r="BK37" s="55" t="str">
        <f t="shared" si="11"/>
        <v/>
      </c>
    </row>
    <row r="38" spans="20:63">
      <c r="T38" s="55" t="s">
        <v>317</v>
      </c>
      <c r="U38" s="55">
        <v>458</v>
      </c>
      <c r="V38" s="55">
        <f t="shared" ca="1" si="0"/>
        <v>1</v>
      </c>
      <c r="W38" s="64"/>
      <c r="X38" s="65"/>
      <c r="Y38" s="65"/>
      <c r="Z38" s="65"/>
      <c r="AA38" s="64"/>
      <c r="AB38" s="65"/>
      <c r="AC38" s="64"/>
      <c r="AD38" s="65"/>
      <c r="AE38" s="64"/>
      <c r="AF38" s="65"/>
      <c r="AG38" s="65"/>
      <c r="AH38" s="66" t="str">
        <f t="shared" si="1"/>
        <v/>
      </c>
      <c r="AI38" s="64"/>
      <c r="AJ38" s="65"/>
      <c r="AK38" s="64"/>
      <c r="AL38" s="65"/>
      <c r="BB38" s="55" t="str">
        <f t="shared" si="2"/>
        <v/>
      </c>
      <c r="BC38" s="55" t="str">
        <f t="shared" si="3"/>
        <v/>
      </c>
      <c r="BD38" s="55" t="str">
        <f t="shared" si="4"/>
        <v/>
      </c>
      <c r="BE38" s="55" t="str">
        <f t="shared" si="5"/>
        <v/>
      </c>
      <c r="BF38" s="55" t="str">
        <f t="shared" si="6"/>
        <v/>
      </c>
      <c r="BG38" s="55" t="str">
        <f t="shared" si="7"/>
        <v/>
      </c>
      <c r="BH38" s="55" t="str">
        <f t="shared" si="8"/>
        <v/>
      </c>
      <c r="BI38" s="55" t="str">
        <f t="shared" si="9"/>
        <v/>
      </c>
      <c r="BJ38" s="55" t="str">
        <f t="shared" si="10"/>
        <v/>
      </c>
      <c r="BK38" s="55" t="str">
        <f t="shared" si="11"/>
        <v/>
      </c>
    </row>
    <row r="39" spans="20:63">
      <c r="T39" s="55" t="s">
        <v>318</v>
      </c>
      <c r="U39" s="55">
        <v>459</v>
      </c>
      <c r="V39" s="55">
        <f t="shared" ca="1" si="0"/>
        <v>1</v>
      </c>
      <c r="W39" s="64"/>
      <c r="X39" s="65"/>
      <c r="Y39" s="65"/>
      <c r="Z39" s="65"/>
      <c r="AA39" s="64"/>
      <c r="AB39" s="65"/>
      <c r="AC39" s="64"/>
      <c r="AD39" s="65"/>
      <c r="AE39" s="64"/>
      <c r="AF39" s="65"/>
      <c r="AG39" s="65"/>
      <c r="AH39" s="66" t="str">
        <f t="shared" si="1"/>
        <v/>
      </c>
      <c r="AI39" s="64"/>
      <c r="AJ39" s="65"/>
      <c r="AK39" s="64"/>
      <c r="AL39" s="65"/>
      <c r="BB39" s="55" t="str">
        <f t="shared" si="2"/>
        <v/>
      </c>
      <c r="BC39" s="55" t="str">
        <f t="shared" si="3"/>
        <v/>
      </c>
      <c r="BD39" s="55" t="str">
        <f t="shared" si="4"/>
        <v/>
      </c>
      <c r="BE39" s="55" t="str">
        <f t="shared" si="5"/>
        <v/>
      </c>
      <c r="BF39" s="55" t="str">
        <f t="shared" si="6"/>
        <v/>
      </c>
      <c r="BG39" s="55" t="str">
        <f t="shared" si="7"/>
        <v/>
      </c>
      <c r="BH39" s="55" t="str">
        <f t="shared" si="8"/>
        <v/>
      </c>
      <c r="BI39" s="55" t="str">
        <f t="shared" si="9"/>
        <v/>
      </c>
      <c r="BJ39" s="55" t="str">
        <f t="shared" si="10"/>
        <v/>
      </c>
      <c r="BK39" s="55" t="str">
        <f t="shared" si="11"/>
        <v/>
      </c>
    </row>
    <row r="40" spans="20:63">
      <c r="T40" s="55" t="s">
        <v>319</v>
      </c>
      <c r="U40" s="55">
        <v>460</v>
      </c>
      <c r="V40" s="55">
        <f t="shared" ca="1" si="0"/>
        <v>1</v>
      </c>
      <c r="W40" s="64"/>
      <c r="X40" s="65"/>
      <c r="Y40" s="65"/>
      <c r="Z40" s="65"/>
      <c r="AA40" s="64"/>
      <c r="AB40" s="65"/>
      <c r="AC40" s="64"/>
      <c r="AD40" s="65"/>
      <c r="AE40" s="64"/>
      <c r="AF40" s="65"/>
      <c r="AG40" s="65"/>
      <c r="AH40" s="66" t="str">
        <f t="shared" si="1"/>
        <v/>
      </c>
      <c r="AI40" s="64"/>
      <c r="AJ40" s="65"/>
      <c r="AK40" s="64"/>
      <c r="AL40" s="65"/>
      <c r="BB40" s="55" t="str">
        <f t="shared" si="2"/>
        <v/>
      </c>
      <c r="BC40" s="55" t="str">
        <f t="shared" si="3"/>
        <v/>
      </c>
      <c r="BD40" s="55" t="str">
        <f t="shared" si="4"/>
        <v/>
      </c>
      <c r="BE40" s="55" t="str">
        <f t="shared" si="5"/>
        <v/>
      </c>
      <c r="BF40" s="55" t="str">
        <f t="shared" si="6"/>
        <v/>
      </c>
      <c r="BG40" s="55" t="str">
        <f t="shared" si="7"/>
        <v/>
      </c>
      <c r="BH40" s="55" t="str">
        <f t="shared" si="8"/>
        <v/>
      </c>
      <c r="BI40" s="55" t="str">
        <f t="shared" si="9"/>
        <v/>
      </c>
      <c r="BJ40" s="55" t="str">
        <f t="shared" si="10"/>
        <v/>
      </c>
      <c r="BK40" s="55" t="str">
        <f t="shared" si="11"/>
        <v/>
      </c>
    </row>
    <row r="41" spans="20:63">
      <c r="T41" s="55" t="s">
        <v>320</v>
      </c>
      <c r="U41" s="55">
        <v>461</v>
      </c>
      <c r="V41" s="55">
        <f t="shared" ca="1" si="0"/>
        <v>1</v>
      </c>
      <c r="W41" s="64"/>
      <c r="X41" s="65"/>
      <c r="Y41" s="65"/>
      <c r="Z41" s="65"/>
      <c r="AA41" s="64"/>
      <c r="AB41" s="65"/>
      <c r="AC41" s="64"/>
      <c r="AD41" s="65"/>
      <c r="AE41" s="64"/>
      <c r="AF41" s="65"/>
      <c r="AG41" s="65"/>
      <c r="AH41" s="66" t="str">
        <f t="shared" si="1"/>
        <v/>
      </c>
      <c r="AI41" s="64"/>
      <c r="AJ41" s="65"/>
      <c r="AK41" s="64"/>
      <c r="AL41" s="65"/>
      <c r="BB41" s="55" t="str">
        <f t="shared" si="2"/>
        <v/>
      </c>
      <c r="BC41" s="55" t="str">
        <f t="shared" si="3"/>
        <v/>
      </c>
      <c r="BD41" s="55" t="str">
        <f t="shared" si="4"/>
        <v/>
      </c>
      <c r="BE41" s="55" t="str">
        <f t="shared" si="5"/>
        <v/>
      </c>
      <c r="BF41" s="55" t="str">
        <f t="shared" si="6"/>
        <v/>
      </c>
      <c r="BG41" s="55" t="str">
        <f t="shared" si="7"/>
        <v/>
      </c>
      <c r="BH41" s="55" t="str">
        <f t="shared" si="8"/>
        <v/>
      </c>
      <c r="BI41" s="55" t="str">
        <f t="shared" si="9"/>
        <v/>
      </c>
      <c r="BJ41" s="55" t="str">
        <f t="shared" si="10"/>
        <v/>
      </c>
      <c r="BK41" s="55" t="str">
        <f t="shared" si="11"/>
        <v/>
      </c>
    </row>
    <row r="42" spans="20:63">
      <c r="T42" s="55" t="s">
        <v>321</v>
      </c>
      <c r="U42" s="55">
        <v>463</v>
      </c>
      <c r="V42" s="55">
        <f t="shared" ca="1" si="0"/>
        <v>1</v>
      </c>
      <c r="W42" s="64"/>
      <c r="X42" s="65"/>
      <c r="Y42" s="65"/>
      <c r="Z42" s="65"/>
      <c r="AA42" s="64"/>
      <c r="AB42" s="65"/>
      <c r="AC42" s="64"/>
      <c r="AD42" s="65"/>
      <c r="AE42" s="64"/>
      <c r="AF42" s="65"/>
      <c r="AG42" s="65"/>
      <c r="AH42" s="66" t="str">
        <f t="shared" si="1"/>
        <v/>
      </c>
      <c r="AI42" s="64"/>
      <c r="AJ42" s="65"/>
      <c r="AK42" s="64"/>
      <c r="AL42" s="65"/>
      <c r="BB42" s="55" t="str">
        <f t="shared" si="2"/>
        <v/>
      </c>
      <c r="BC42" s="55" t="str">
        <f t="shared" si="3"/>
        <v/>
      </c>
      <c r="BD42" s="55" t="str">
        <f t="shared" si="4"/>
        <v/>
      </c>
      <c r="BE42" s="55" t="str">
        <f t="shared" si="5"/>
        <v/>
      </c>
      <c r="BF42" s="55" t="str">
        <f t="shared" si="6"/>
        <v/>
      </c>
      <c r="BG42" s="55" t="str">
        <f t="shared" si="7"/>
        <v/>
      </c>
      <c r="BH42" s="55" t="str">
        <f t="shared" si="8"/>
        <v/>
      </c>
      <c r="BI42" s="55" t="str">
        <f t="shared" si="9"/>
        <v/>
      </c>
      <c r="BJ42" s="55" t="str">
        <f t="shared" si="10"/>
        <v/>
      </c>
      <c r="BK42" s="55" t="str">
        <f t="shared" si="11"/>
        <v/>
      </c>
    </row>
    <row r="43" spans="20:63">
      <c r="T43" s="55" t="s">
        <v>322</v>
      </c>
      <c r="U43" s="55">
        <v>506</v>
      </c>
      <c r="V43" s="55">
        <f t="shared" ca="1" si="0"/>
        <v>1</v>
      </c>
      <c r="W43" s="64"/>
      <c r="X43" s="65"/>
      <c r="Y43" s="65"/>
      <c r="Z43" s="65"/>
      <c r="AA43" s="64"/>
      <c r="AB43" s="65"/>
      <c r="AC43" s="64"/>
      <c r="AD43" s="65"/>
      <c r="AE43" s="64"/>
      <c r="AF43" s="65"/>
      <c r="AG43" s="65"/>
      <c r="AH43" s="66" t="str">
        <f t="shared" si="1"/>
        <v/>
      </c>
      <c r="AI43" s="64"/>
      <c r="AJ43" s="65"/>
      <c r="AK43" s="64"/>
      <c r="AL43" s="65"/>
      <c r="BB43" s="55" t="str">
        <f t="shared" si="2"/>
        <v/>
      </c>
      <c r="BC43" s="55" t="str">
        <f t="shared" si="3"/>
        <v/>
      </c>
      <c r="BD43" s="55" t="str">
        <f t="shared" si="4"/>
        <v/>
      </c>
      <c r="BE43" s="55" t="str">
        <f t="shared" si="5"/>
        <v/>
      </c>
      <c r="BF43" s="55" t="str">
        <f t="shared" si="6"/>
        <v/>
      </c>
      <c r="BG43" s="55" t="str">
        <f t="shared" si="7"/>
        <v/>
      </c>
      <c r="BH43" s="55" t="str">
        <f t="shared" si="8"/>
        <v/>
      </c>
      <c r="BI43" s="55" t="str">
        <f t="shared" si="9"/>
        <v/>
      </c>
      <c r="BJ43" s="55" t="str">
        <f t="shared" si="10"/>
        <v/>
      </c>
      <c r="BK43" s="55" t="str">
        <f t="shared" si="11"/>
        <v/>
      </c>
    </row>
    <row r="44" spans="20:63">
      <c r="T44" s="55" t="s">
        <v>323</v>
      </c>
      <c r="U44" s="55">
        <v>511</v>
      </c>
      <c r="V44" s="55">
        <f t="shared" ca="1" si="0"/>
        <v>1</v>
      </c>
      <c r="W44" s="64"/>
      <c r="X44" s="65"/>
      <c r="Y44" s="65"/>
      <c r="Z44" s="65"/>
      <c r="AA44" s="64"/>
      <c r="AB44" s="65"/>
      <c r="AC44" s="64"/>
      <c r="AD44" s="65"/>
      <c r="AE44" s="64"/>
      <c r="AF44" s="65"/>
      <c r="AG44" s="65"/>
      <c r="AH44" s="66" t="str">
        <f t="shared" si="1"/>
        <v/>
      </c>
      <c r="AI44" s="64"/>
      <c r="AJ44" s="65"/>
      <c r="AK44" s="64"/>
      <c r="AL44" s="65"/>
      <c r="BB44" s="55" t="str">
        <f t="shared" si="2"/>
        <v/>
      </c>
      <c r="BC44" s="55" t="str">
        <f t="shared" si="3"/>
        <v/>
      </c>
      <c r="BD44" s="55" t="str">
        <f t="shared" si="4"/>
        <v/>
      </c>
      <c r="BE44" s="55" t="str">
        <f t="shared" si="5"/>
        <v/>
      </c>
      <c r="BF44" s="55" t="str">
        <f t="shared" si="6"/>
        <v/>
      </c>
      <c r="BG44" s="55" t="str">
        <f t="shared" si="7"/>
        <v/>
      </c>
      <c r="BH44" s="55" t="str">
        <f t="shared" si="8"/>
        <v/>
      </c>
      <c r="BI44" s="55" t="str">
        <f t="shared" si="9"/>
        <v/>
      </c>
      <c r="BJ44" s="55" t="str">
        <f t="shared" si="10"/>
        <v/>
      </c>
      <c r="BK44" s="55" t="str">
        <f t="shared" si="11"/>
        <v/>
      </c>
    </row>
    <row r="45" spans="20:63">
      <c r="T45" s="55" t="s">
        <v>324</v>
      </c>
      <c r="U45" s="55">
        <v>512</v>
      </c>
      <c r="V45" s="55">
        <f t="shared" ca="1" si="0"/>
        <v>1</v>
      </c>
      <c r="W45" s="64"/>
      <c r="X45" s="65"/>
      <c r="Y45" s="65"/>
      <c r="Z45" s="65"/>
      <c r="AA45" s="64"/>
      <c r="AB45" s="65"/>
      <c r="AC45" s="64"/>
      <c r="AD45" s="65"/>
      <c r="AE45" s="64"/>
      <c r="AF45" s="65"/>
      <c r="AG45" s="65"/>
      <c r="AH45" s="66" t="str">
        <f t="shared" si="1"/>
        <v/>
      </c>
      <c r="AI45" s="64"/>
      <c r="AJ45" s="65"/>
      <c r="AK45" s="64"/>
      <c r="AL45" s="65"/>
      <c r="BB45" s="55" t="str">
        <f t="shared" si="2"/>
        <v/>
      </c>
      <c r="BC45" s="55" t="str">
        <f t="shared" si="3"/>
        <v/>
      </c>
      <c r="BD45" s="55" t="str">
        <f t="shared" si="4"/>
        <v/>
      </c>
      <c r="BE45" s="55" t="str">
        <f t="shared" si="5"/>
        <v/>
      </c>
      <c r="BF45" s="55" t="str">
        <f t="shared" si="6"/>
        <v/>
      </c>
      <c r="BG45" s="55" t="str">
        <f t="shared" si="7"/>
        <v/>
      </c>
      <c r="BH45" s="55" t="str">
        <f t="shared" si="8"/>
        <v/>
      </c>
      <c r="BI45" s="55" t="str">
        <f t="shared" si="9"/>
        <v/>
      </c>
      <c r="BJ45" s="55" t="str">
        <f t="shared" si="10"/>
        <v/>
      </c>
      <c r="BK45" s="55" t="str">
        <f t="shared" si="11"/>
        <v/>
      </c>
    </row>
    <row r="46" spans="20:63">
      <c r="T46" s="55" t="s">
        <v>325</v>
      </c>
      <c r="U46" s="55">
        <v>513</v>
      </c>
      <c r="V46" s="55">
        <f t="shared" ca="1" si="0"/>
        <v>1</v>
      </c>
      <c r="W46" s="64"/>
      <c r="X46" s="65"/>
      <c r="Y46" s="65"/>
      <c r="Z46" s="65"/>
      <c r="AA46" s="64"/>
      <c r="AB46" s="65"/>
      <c r="AC46" s="64"/>
      <c r="AD46" s="65"/>
      <c r="AE46" s="64"/>
      <c r="AF46" s="65"/>
      <c r="AG46" s="65"/>
      <c r="AH46" s="66" t="str">
        <f t="shared" si="1"/>
        <v/>
      </c>
      <c r="AI46" s="64"/>
      <c r="AJ46" s="65"/>
      <c r="AK46" s="64"/>
      <c r="AL46" s="65"/>
      <c r="BB46" s="55" t="str">
        <f t="shared" si="2"/>
        <v/>
      </c>
      <c r="BC46" s="55" t="str">
        <f t="shared" si="3"/>
        <v/>
      </c>
      <c r="BD46" s="55" t="str">
        <f t="shared" si="4"/>
        <v/>
      </c>
      <c r="BE46" s="55" t="str">
        <f t="shared" si="5"/>
        <v/>
      </c>
      <c r="BF46" s="55" t="str">
        <f t="shared" si="6"/>
        <v/>
      </c>
      <c r="BG46" s="55" t="str">
        <f t="shared" si="7"/>
        <v/>
      </c>
      <c r="BH46" s="55" t="str">
        <f t="shared" si="8"/>
        <v/>
      </c>
      <c r="BI46" s="55" t="str">
        <f t="shared" si="9"/>
        <v/>
      </c>
      <c r="BJ46" s="55" t="str">
        <f t="shared" si="10"/>
        <v/>
      </c>
      <c r="BK46" s="55" t="str">
        <f t="shared" si="11"/>
        <v/>
      </c>
    </row>
    <row r="47" spans="20:63">
      <c r="T47" s="55" t="s">
        <v>326</v>
      </c>
      <c r="U47" s="55">
        <v>514</v>
      </c>
      <c r="V47" s="55">
        <f t="shared" ca="1" si="0"/>
        <v>1</v>
      </c>
      <c r="W47" s="64"/>
      <c r="X47" s="65"/>
      <c r="Y47" s="65"/>
      <c r="Z47" s="65"/>
      <c r="AA47" s="64"/>
      <c r="AB47" s="65"/>
      <c r="AC47" s="64"/>
      <c r="AD47" s="65"/>
      <c r="AE47" s="64"/>
      <c r="AF47" s="65"/>
      <c r="AG47" s="65"/>
      <c r="AH47" s="66" t="str">
        <f t="shared" si="1"/>
        <v/>
      </c>
      <c r="AI47" s="64"/>
      <c r="AJ47" s="65"/>
      <c r="AK47" s="64"/>
      <c r="AL47" s="65"/>
      <c r="BB47" s="55" t="str">
        <f t="shared" si="2"/>
        <v/>
      </c>
      <c r="BC47" s="55" t="str">
        <f t="shared" si="3"/>
        <v/>
      </c>
      <c r="BD47" s="55" t="str">
        <f t="shared" si="4"/>
        <v/>
      </c>
      <c r="BE47" s="55" t="str">
        <f t="shared" si="5"/>
        <v/>
      </c>
      <c r="BF47" s="55" t="str">
        <f t="shared" si="6"/>
        <v/>
      </c>
      <c r="BG47" s="55" t="str">
        <f t="shared" si="7"/>
        <v/>
      </c>
      <c r="BH47" s="55" t="str">
        <f t="shared" si="8"/>
        <v/>
      </c>
      <c r="BI47" s="55" t="str">
        <f t="shared" si="9"/>
        <v/>
      </c>
      <c r="BJ47" s="55" t="str">
        <f t="shared" si="10"/>
        <v/>
      </c>
      <c r="BK47" s="55" t="str">
        <f t="shared" si="11"/>
        <v/>
      </c>
    </row>
    <row r="48" spans="20:63">
      <c r="T48" s="55" t="s">
        <v>327</v>
      </c>
      <c r="U48" s="55">
        <v>515</v>
      </c>
      <c r="V48" s="55">
        <f t="shared" ca="1" si="0"/>
        <v>1</v>
      </c>
      <c r="W48" s="64"/>
      <c r="X48" s="65"/>
      <c r="Y48" s="65"/>
      <c r="Z48" s="65"/>
      <c r="AA48" s="64"/>
      <c r="AB48" s="65"/>
      <c r="AC48" s="64"/>
      <c r="AD48" s="65"/>
      <c r="AE48" s="64"/>
      <c r="AF48" s="65"/>
      <c r="AG48" s="65"/>
      <c r="AH48" s="66" t="str">
        <f t="shared" si="1"/>
        <v/>
      </c>
      <c r="AI48" s="64"/>
      <c r="AJ48" s="65"/>
      <c r="AK48" s="64"/>
      <c r="AL48" s="65"/>
      <c r="BB48" s="55" t="str">
        <f t="shared" si="2"/>
        <v/>
      </c>
      <c r="BC48" s="55" t="str">
        <f t="shared" si="3"/>
        <v/>
      </c>
      <c r="BD48" s="55" t="str">
        <f t="shared" si="4"/>
        <v/>
      </c>
      <c r="BE48" s="55" t="str">
        <f t="shared" si="5"/>
        <v/>
      </c>
      <c r="BF48" s="55" t="str">
        <f t="shared" si="6"/>
        <v/>
      </c>
      <c r="BG48" s="55" t="str">
        <f t="shared" si="7"/>
        <v/>
      </c>
      <c r="BH48" s="55" t="str">
        <f t="shared" si="8"/>
        <v/>
      </c>
      <c r="BI48" s="55" t="str">
        <f t="shared" si="9"/>
        <v/>
      </c>
      <c r="BJ48" s="55" t="str">
        <f t="shared" si="10"/>
        <v/>
      </c>
      <c r="BK48" s="55" t="str">
        <f t="shared" si="11"/>
        <v/>
      </c>
    </row>
    <row r="49" spans="20:63">
      <c r="T49" s="55" t="s">
        <v>328</v>
      </c>
      <c r="U49" s="55">
        <v>523</v>
      </c>
      <c r="V49" s="55">
        <f t="shared" ca="1" si="0"/>
        <v>1</v>
      </c>
      <c r="W49" s="64"/>
      <c r="X49" s="65"/>
      <c r="Y49" s="65"/>
      <c r="Z49" s="65"/>
      <c r="AA49" s="64"/>
      <c r="AB49" s="65"/>
      <c r="AC49" s="64"/>
      <c r="AD49" s="65"/>
      <c r="AE49" s="64"/>
      <c r="AF49" s="65"/>
      <c r="AG49" s="65"/>
      <c r="AH49" s="66" t="str">
        <f t="shared" si="1"/>
        <v/>
      </c>
      <c r="AI49" s="64"/>
      <c r="AJ49" s="65"/>
      <c r="AK49" s="64"/>
      <c r="AL49" s="65"/>
      <c r="BB49" s="55" t="str">
        <f t="shared" si="2"/>
        <v/>
      </c>
      <c r="BC49" s="55" t="str">
        <f t="shared" si="3"/>
        <v/>
      </c>
      <c r="BD49" s="55" t="str">
        <f t="shared" si="4"/>
        <v/>
      </c>
      <c r="BE49" s="55" t="str">
        <f t="shared" si="5"/>
        <v/>
      </c>
      <c r="BF49" s="55" t="str">
        <f t="shared" si="6"/>
        <v/>
      </c>
      <c r="BG49" s="55" t="str">
        <f t="shared" si="7"/>
        <v/>
      </c>
      <c r="BH49" s="55" t="str">
        <f t="shared" si="8"/>
        <v/>
      </c>
      <c r="BI49" s="55" t="str">
        <f t="shared" si="9"/>
        <v/>
      </c>
      <c r="BJ49" s="55" t="str">
        <f t="shared" si="10"/>
        <v/>
      </c>
      <c r="BK49" s="55" t="str">
        <f t="shared" si="11"/>
        <v/>
      </c>
    </row>
    <row r="50" spans="20:63">
      <c r="T50" s="55" t="s">
        <v>329</v>
      </c>
      <c r="U50" s="55">
        <v>529</v>
      </c>
      <c r="V50" s="55">
        <f t="shared" ca="1" si="0"/>
        <v>1</v>
      </c>
      <c r="W50" s="64"/>
      <c r="X50" s="65"/>
      <c r="Y50" s="65"/>
      <c r="Z50" s="65"/>
      <c r="AA50" s="64"/>
      <c r="AB50" s="65"/>
      <c r="AC50" s="64"/>
      <c r="AD50" s="65"/>
      <c r="AE50" s="64"/>
      <c r="AF50" s="65"/>
      <c r="AG50" s="65"/>
      <c r="AH50" s="66" t="str">
        <f t="shared" si="1"/>
        <v/>
      </c>
      <c r="AI50" s="64"/>
      <c r="AJ50" s="65"/>
      <c r="AK50" s="64"/>
      <c r="AL50" s="65"/>
      <c r="BB50" s="55" t="str">
        <f t="shared" si="2"/>
        <v/>
      </c>
      <c r="BC50" s="55" t="str">
        <f t="shared" si="3"/>
        <v/>
      </c>
      <c r="BD50" s="55" t="str">
        <f t="shared" si="4"/>
        <v/>
      </c>
      <c r="BE50" s="55" t="str">
        <f t="shared" si="5"/>
        <v/>
      </c>
      <c r="BF50" s="55" t="str">
        <f t="shared" si="6"/>
        <v/>
      </c>
      <c r="BG50" s="55" t="str">
        <f t="shared" si="7"/>
        <v/>
      </c>
      <c r="BH50" s="55" t="str">
        <f t="shared" si="8"/>
        <v/>
      </c>
      <c r="BI50" s="55" t="str">
        <f t="shared" si="9"/>
        <v/>
      </c>
      <c r="BJ50" s="55" t="str">
        <f t="shared" si="10"/>
        <v/>
      </c>
      <c r="BK50" s="55" t="str">
        <f t="shared" si="11"/>
        <v/>
      </c>
    </row>
    <row r="51" spans="20:63">
      <c r="T51" s="55" t="s">
        <v>330</v>
      </c>
      <c r="U51" s="55">
        <v>541</v>
      </c>
      <c r="V51" s="55">
        <f t="shared" ca="1" si="0"/>
        <v>1</v>
      </c>
      <c r="W51" s="64"/>
      <c r="X51" s="65"/>
      <c r="Y51" s="65"/>
      <c r="Z51" s="65"/>
      <c r="AA51" s="64"/>
      <c r="AB51" s="65"/>
      <c r="AC51" s="64"/>
      <c r="AD51" s="65"/>
      <c r="AE51" s="64"/>
      <c r="AF51" s="65"/>
      <c r="AG51" s="65"/>
      <c r="AH51" s="66" t="str">
        <f t="shared" si="1"/>
        <v/>
      </c>
      <c r="AI51" s="64"/>
      <c r="AJ51" s="65"/>
      <c r="AK51" s="64"/>
      <c r="AL51" s="65"/>
      <c r="BB51" s="55" t="str">
        <f t="shared" si="2"/>
        <v/>
      </c>
      <c r="BC51" s="55" t="str">
        <f t="shared" si="3"/>
        <v/>
      </c>
      <c r="BD51" s="55" t="str">
        <f t="shared" si="4"/>
        <v/>
      </c>
      <c r="BE51" s="55" t="str">
        <f t="shared" si="5"/>
        <v/>
      </c>
      <c r="BF51" s="55" t="str">
        <f t="shared" si="6"/>
        <v/>
      </c>
      <c r="BG51" s="55" t="str">
        <f t="shared" si="7"/>
        <v/>
      </c>
      <c r="BH51" s="55" t="str">
        <f t="shared" si="8"/>
        <v/>
      </c>
      <c r="BI51" s="55" t="str">
        <f t="shared" si="9"/>
        <v/>
      </c>
      <c r="BJ51" s="55" t="str">
        <f t="shared" si="10"/>
        <v/>
      </c>
      <c r="BK51" s="55" t="str">
        <f t="shared" si="11"/>
        <v/>
      </c>
    </row>
    <row r="52" spans="20:63">
      <c r="T52" s="55" t="s">
        <v>331</v>
      </c>
      <c r="U52" s="55">
        <v>542</v>
      </c>
      <c r="V52" s="55">
        <f t="shared" ca="1" si="0"/>
        <v>1</v>
      </c>
      <c r="W52" s="64"/>
      <c r="X52" s="65"/>
      <c r="Y52" s="65"/>
      <c r="Z52" s="65"/>
      <c r="AA52" s="64"/>
      <c r="AB52" s="65"/>
      <c r="AC52" s="64"/>
      <c r="AD52" s="65"/>
      <c r="AE52" s="64"/>
      <c r="AF52" s="65"/>
      <c r="AG52" s="65"/>
      <c r="AH52" s="66" t="str">
        <f t="shared" si="1"/>
        <v/>
      </c>
      <c r="AI52" s="64"/>
      <c r="AJ52" s="65"/>
      <c r="AK52" s="64"/>
      <c r="AL52" s="65"/>
      <c r="BB52" s="55" t="str">
        <f t="shared" si="2"/>
        <v/>
      </c>
      <c r="BC52" s="55" t="str">
        <f t="shared" si="3"/>
        <v/>
      </c>
      <c r="BD52" s="55" t="str">
        <f t="shared" si="4"/>
        <v/>
      </c>
      <c r="BE52" s="55" t="str">
        <f t="shared" si="5"/>
        <v/>
      </c>
      <c r="BF52" s="55" t="str">
        <f t="shared" si="6"/>
        <v/>
      </c>
      <c r="BG52" s="55" t="str">
        <f t="shared" si="7"/>
        <v/>
      </c>
      <c r="BH52" s="55" t="str">
        <f t="shared" si="8"/>
        <v/>
      </c>
      <c r="BI52" s="55" t="str">
        <f t="shared" si="9"/>
        <v/>
      </c>
      <c r="BJ52" s="55" t="str">
        <f t="shared" si="10"/>
        <v/>
      </c>
      <c r="BK52" s="55" t="str">
        <f t="shared" si="11"/>
        <v/>
      </c>
    </row>
    <row r="53" spans="20:63">
      <c r="T53" s="55" t="s">
        <v>332</v>
      </c>
      <c r="U53" s="55">
        <v>543</v>
      </c>
      <c r="V53" s="55">
        <f t="shared" ca="1" si="0"/>
        <v>1</v>
      </c>
      <c r="W53" s="64"/>
      <c r="X53" s="65"/>
      <c r="Y53" s="65"/>
      <c r="Z53" s="65"/>
      <c r="AA53" s="64"/>
      <c r="AB53" s="65"/>
      <c r="AC53" s="64"/>
      <c r="AD53" s="65"/>
      <c r="AE53" s="64"/>
      <c r="AF53" s="65"/>
      <c r="AG53" s="65"/>
      <c r="AH53" s="66" t="str">
        <f t="shared" si="1"/>
        <v/>
      </c>
      <c r="AI53" s="64"/>
      <c r="AJ53" s="65"/>
      <c r="AK53" s="64"/>
      <c r="AL53" s="65"/>
      <c r="BB53" s="55" t="str">
        <f t="shared" si="2"/>
        <v/>
      </c>
      <c r="BC53" s="55" t="str">
        <f t="shared" si="3"/>
        <v/>
      </c>
      <c r="BD53" s="55" t="str">
        <f t="shared" si="4"/>
        <v/>
      </c>
      <c r="BE53" s="55" t="str">
        <f t="shared" si="5"/>
        <v/>
      </c>
      <c r="BF53" s="55" t="str">
        <f t="shared" si="6"/>
        <v/>
      </c>
      <c r="BG53" s="55" t="str">
        <f t="shared" si="7"/>
        <v/>
      </c>
      <c r="BH53" s="55" t="str">
        <f t="shared" si="8"/>
        <v/>
      </c>
      <c r="BI53" s="55" t="str">
        <f t="shared" si="9"/>
        <v/>
      </c>
      <c r="BJ53" s="55" t="str">
        <f t="shared" si="10"/>
        <v/>
      </c>
      <c r="BK53" s="55" t="str">
        <f t="shared" si="11"/>
        <v/>
      </c>
    </row>
    <row r="54" spans="20:63">
      <c r="T54" s="55" t="s">
        <v>333</v>
      </c>
      <c r="U54" s="55">
        <v>544</v>
      </c>
      <c r="V54" s="55">
        <f t="shared" ca="1" si="0"/>
        <v>1</v>
      </c>
      <c r="W54" s="64"/>
      <c r="X54" s="65"/>
      <c r="Y54" s="65"/>
      <c r="Z54" s="65"/>
      <c r="AA54" s="64"/>
      <c r="AB54" s="65"/>
      <c r="AC54" s="64"/>
      <c r="AD54" s="65"/>
      <c r="AE54" s="64"/>
      <c r="AF54" s="65"/>
      <c r="AG54" s="65"/>
      <c r="AH54" s="66" t="str">
        <f t="shared" si="1"/>
        <v/>
      </c>
      <c r="AI54" s="64"/>
      <c r="AJ54" s="65"/>
      <c r="AK54" s="64"/>
      <c r="AL54" s="65"/>
      <c r="BB54" s="55" t="str">
        <f t="shared" si="2"/>
        <v/>
      </c>
      <c r="BC54" s="55" t="str">
        <f t="shared" si="3"/>
        <v/>
      </c>
      <c r="BD54" s="55" t="str">
        <f t="shared" si="4"/>
        <v/>
      </c>
      <c r="BE54" s="55" t="str">
        <f t="shared" si="5"/>
        <v/>
      </c>
      <c r="BF54" s="55" t="str">
        <f t="shared" si="6"/>
        <v/>
      </c>
      <c r="BG54" s="55" t="str">
        <f t="shared" si="7"/>
        <v/>
      </c>
      <c r="BH54" s="55" t="str">
        <f t="shared" si="8"/>
        <v/>
      </c>
      <c r="BI54" s="55" t="str">
        <f t="shared" si="9"/>
        <v/>
      </c>
      <c r="BJ54" s="55" t="str">
        <f t="shared" si="10"/>
        <v/>
      </c>
      <c r="BK54" s="55" t="str">
        <f t="shared" si="11"/>
        <v/>
      </c>
    </row>
    <row r="55" spans="20:63">
      <c r="T55" s="55" t="s">
        <v>334</v>
      </c>
      <c r="U55" s="55">
        <v>545</v>
      </c>
      <c r="V55" s="55">
        <f t="shared" ca="1" si="0"/>
        <v>1</v>
      </c>
      <c r="W55" s="64"/>
      <c r="X55" s="65"/>
      <c r="Y55" s="65"/>
      <c r="Z55" s="65"/>
      <c r="AA55" s="64"/>
      <c r="AB55" s="65"/>
      <c r="AC55" s="64"/>
      <c r="AD55" s="65"/>
      <c r="AE55" s="64"/>
      <c r="AF55" s="65"/>
      <c r="AG55" s="65"/>
      <c r="AH55" s="66" t="str">
        <f t="shared" si="1"/>
        <v/>
      </c>
      <c r="AI55" s="64"/>
      <c r="AJ55" s="65"/>
      <c r="AK55" s="64"/>
      <c r="AL55" s="65"/>
      <c r="BB55" s="55" t="str">
        <f t="shared" si="2"/>
        <v/>
      </c>
      <c r="BC55" s="55" t="str">
        <f t="shared" si="3"/>
        <v/>
      </c>
      <c r="BD55" s="55" t="str">
        <f t="shared" si="4"/>
        <v/>
      </c>
      <c r="BE55" s="55" t="str">
        <f t="shared" si="5"/>
        <v/>
      </c>
      <c r="BF55" s="55" t="str">
        <f t="shared" si="6"/>
        <v/>
      </c>
      <c r="BG55" s="55" t="str">
        <f t="shared" si="7"/>
        <v/>
      </c>
      <c r="BH55" s="55" t="str">
        <f t="shared" si="8"/>
        <v/>
      </c>
      <c r="BI55" s="55" t="str">
        <f t="shared" si="9"/>
        <v/>
      </c>
      <c r="BJ55" s="55" t="str">
        <f t="shared" si="10"/>
        <v/>
      </c>
      <c r="BK55" s="55" t="str">
        <f t="shared" si="11"/>
        <v/>
      </c>
    </row>
    <row r="56" spans="20:63">
      <c r="T56" s="55" t="s">
        <v>335</v>
      </c>
      <c r="U56" s="55">
        <v>546</v>
      </c>
      <c r="V56" s="55">
        <f t="shared" ca="1" si="0"/>
        <v>1</v>
      </c>
      <c r="W56" s="64"/>
      <c r="X56" s="65"/>
      <c r="Y56" s="65"/>
      <c r="Z56" s="65"/>
      <c r="AA56" s="64"/>
      <c r="AB56" s="65"/>
      <c r="AC56" s="64"/>
      <c r="AD56" s="65"/>
      <c r="AE56" s="64"/>
      <c r="AF56" s="65"/>
      <c r="AG56" s="65"/>
      <c r="AH56" s="66" t="str">
        <f t="shared" si="1"/>
        <v/>
      </c>
      <c r="AI56" s="64"/>
      <c r="AJ56" s="65"/>
      <c r="AK56" s="64"/>
      <c r="AL56" s="65"/>
      <c r="BB56" s="55" t="str">
        <f t="shared" si="2"/>
        <v/>
      </c>
      <c r="BC56" s="55" t="str">
        <f t="shared" si="3"/>
        <v/>
      </c>
      <c r="BD56" s="55" t="str">
        <f t="shared" si="4"/>
        <v/>
      </c>
      <c r="BE56" s="55" t="str">
        <f t="shared" si="5"/>
        <v/>
      </c>
      <c r="BF56" s="55" t="str">
        <f t="shared" si="6"/>
        <v/>
      </c>
      <c r="BG56" s="55" t="str">
        <f t="shared" si="7"/>
        <v/>
      </c>
      <c r="BH56" s="55" t="str">
        <f t="shared" si="8"/>
        <v/>
      </c>
      <c r="BI56" s="55" t="str">
        <f t="shared" si="9"/>
        <v/>
      </c>
      <c r="BJ56" s="55" t="str">
        <f t="shared" si="10"/>
        <v/>
      </c>
      <c r="BK56" s="55" t="str">
        <f t="shared" si="11"/>
        <v/>
      </c>
    </row>
    <row r="57" spans="20:63">
      <c r="T57" s="55" t="s">
        <v>336</v>
      </c>
      <c r="U57" s="55">
        <v>547</v>
      </c>
      <c r="V57" s="55">
        <f t="shared" ca="1" si="0"/>
        <v>1</v>
      </c>
      <c r="W57" s="64"/>
      <c r="X57" s="65"/>
      <c r="Y57" s="65"/>
      <c r="Z57" s="65"/>
      <c r="AA57" s="64"/>
      <c r="AB57" s="65"/>
      <c r="AC57" s="64"/>
      <c r="AD57" s="65"/>
      <c r="AE57" s="64"/>
      <c r="AF57" s="65"/>
      <c r="AG57" s="65"/>
      <c r="AH57" s="66" t="str">
        <f t="shared" si="1"/>
        <v/>
      </c>
      <c r="AI57" s="64"/>
      <c r="AJ57" s="65"/>
      <c r="AK57" s="64"/>
      <c r="AL57" s="65"/>
      <c r="BB57" s="55" t="str">
        <f t="shared" si="2"/>
        <v/>
      </c>
      <c r="BC57" s="55" t="str">
        <f t="shared" si="3"/>
        <v/>
      </c>
      <c r="BD57" s="55" t="str">
        <f t="shared" si="4"/>
        <v/>
      </c>
      <c r="BE57" s="55" t="str">
        <f t="shared" si="5"/>
        <v/>
      </c>
      <c r="BF57" s="55" t="str">
        <f t="shared" si="6"/>
        <v/>
      </c>
      <c r="BG57" s="55" t="str">
        <f t="shared" si="7"/>
        <v/>
      </c>
      <c r="BH57" s="55" t="str">
        <f t="shared" si="8"/>
        <v/>
      </c>
      <c r="BI57" s="55" t="str">
        <f t="shared" si="9"/>
        <v/>
      </c>
      <c r="BJ57" s="55" t="str">
        <f t="shared" si="10"/>
        <v/>
      </c>
      <c r="BK57" s="55" t="str">
        <f t="shared" si="11"/>
        <v/>
      </c>
    </row>
    <row r="58" spans="20:63">
      <c r="T58" s="55" t="s">
        <v>337</v>
      </c>
      <c r="U58" s="55">
        <v>548</v>
      </c>
      <c r="V58" s="55">
        <f t="shared" ca="1" si="0"/>
        <v>1</v>
      </c>
      <c r="W58" s="64"/>
      <c r="X58" s="65"/>
      <c r="Y58" s="65"/>
      <c r="Z58" s="65"/>
      <c r="AA58" s="64"/>
      <c r="AB58" s="65"/>
      <c r="AC58" s="64"/>
      <c r="AD58" s="65"/>
      <c r="AE58" s="64"/>
      <c r="AF58" s="65"/>
      <c r="AG58" s="65"/>
      <c r="AH58" s="66" t="str">
        <f t="shared" si="1"/>
        <v/>
      </c>
      <c r="AI58" s="64"/>
      <c r="AJ58" s="65"/>
      <c r="AK58" s="64"/>
      <c r="AL58" s="65"/>
      <c r="BB58" s="55" t="str">
        <f t="shared" si="2"/>
        <v/>
      </c>
      <c r="BC58" s="55" t="str">
        <f t="shared" si="3"/>
        <v/>
      </c>
      <c r="BD58" s="55" t="str">
        <f t="shared" si="4"/>
        <v/>
      </c>
      <c r="BE58" s="55" t="str">
        <f t="shared" si="5"/>
        <v/>
      </c>
      <c r="BF58" s="55" t="str">
        <f t="shared" si="6"/>
        <v/>
      </c>
      <c r="BG58" s="55" t="str">
        <f t="shared" si="7"/>
        <v/>
      </c>
      <c r="BH58" s="55" t="str">
        <f t="shared" si="8"/>
        <v/>
      </c>
      <c r="BI58" s="55" t="str">
        <f t="shared" si="9"/>
        <v/>
      </c>
      <c r="BJ58" s="55" t="str">
        <f t="shared" si="10"/>
        <v/>
      </c>
      <c r="BK58" s="55" t="str">
        <f t="shared" si="11"/>
        <v/>
      </c>
    </row>
    <row r="59" spans="20:63">
      <c r="T59" s="55" t="s">
        <v>338</v>
      </c>
      <c r="U59" s="55">
        <v>549</v>
      </c>
      <c r="V59" s="55">
        <f t="shared" ca="1" si="0"/>
        <v>1</v>
      </c>
      <c r="W59" s="64"/>
      <c r="X59" s="65"/>
      <c r="Y59" s="65"/>
      <c r="Z59" s="65"/>
      <c r="AA59" s="64"/>
      <c r="AB59" s="65"/>
      <c r="AC59" s="64"/>
      <c r="AD59" s="65"/>
      <c r="AE59" s="64"/>
      <c r="AF59" s="65"/>
      <c r="AG59" s="65"/>
      <c r="AH59" s="66" t="str">
        <f t="shared" si="1"/>
        <v/>
      </c>
      <c r="AI59" s="64"/>
      <c r="AJ59" s="65"/>
      <c r="AK59" s="64"/>
      <c r="AL59" s="65"/>
      <c r="BB59" s="55" t="str">
        <f t="shared" si="2"/>
        <v/>
      </c>
      <c r="BC59" s="55" t="str">
        <f t="shared" si="3"/>
        <v/>
      </c>
      <c r="BD59" s="55" t="str">
        <f t="shared" si="4"/>
        <v/>
      </c>
      <c r="BE59" s="55" t="str">
        <f t="shared" si="5"/>
        <v/>
      </c>
      <c r="BF59" s="55" t="str">
        <f t="shared" si="6"/>
        <v/>
      </c>
      <c r="BG59" s="55" t="str">
        <f t="shared" si="7"/>
        <v/>
      </c>
      <c r="BH59" s="55" t="str">
        <f t="shared" si="8"/>
        <v/>
      </c>
      <c r="BI59" s="55" t="str">
        <f t="shared" si="9"/>
        <v/>
      </c>
      <c r="BJ59" s="55" t="str">
        <f t="shared" si="10"/>
        <v/>
      </c>
      <c r="BK59" s="55" t="str">
        <f t="shared" si="11"/>
        <v/>
      </c>
    </row>
    <row r="60" spans="20:63">
      <c r="T60" s="55" t="s">
        <v>339</v>
      </c>
      <c r="U60" s="55">
        <v>550</v>
      </c>
      <c r="V60" s="55">
        <f t="shared" ca="1" si="0"/>
        <v>1</v>
      </c>
      <c r="W60" s="64"/>
      <c r="X60" s="65"/>
      <c r="Y60" s="65"/>
      <c r="Z60" s="65"/>
      <c r="AA60" s="64"/>
      <c r="AB60" s="65"/>
      <c r="AC60" s="64"/>
      <c r="AD60" s="65"/>
      <c r="AE60" s="64"/>
      <c r="AF60" s="65"/>
      <c r="AG60" s="65"/>
      <c r="AH60" s="66" t="str">
        <f t="shared" si="1"/>
        <v/>
      </c>
      <c r="AI60" s="64"/>
      <c r="AJ60" s="65"/>
      <c r="AK60" s="64"/>
      <c r="AL60" s="65"/>
      <c r="BB60" s="55" t="str">
        <f t="shared" si="2"/>
        <v/>
      </c>
      <c r="BC60" s="55" t="str">
        <f t="shared" si="3"/>
        <v/>
      </c>
      <c r="BD60" s="55" t="str">
        <f t="shared" si="4"/>
        <v/>
      </c>
      <c r="BE60" s="55" t="str">
        <f t="shared" si="5"/>
        <v/>
      </c>
      <c r="BF60" s="55" t="str">
        <f t="shared" si="6"/>
        <v/>
      </c>
      <c r="BG60" s="55" t="str">
        <f t="shared" si="7"/>
        <v/>
      </c>
      <c r="BH60" s="55" t="str">
        <f t="shared" si="8"/>
        <v/>
      </c>
      <c r="BI60" s="55" t="str">
        <f t="shared" si="9"/>
        <v/>
      </c>
      <c r="BJ60" s="55" t="str">
        <f t="shared" si="10"/>
        <v/>
      </c>
      <c r="BK60" s="55" t="str">
        <f t="shared" si="11"/>
        <v/>
      </c>
    </row>
    <row r="61" spans="20:63">
      <c r="T61" s="55" t="s">
        <v>340</v>
      </c>
      <c r="U61" s="55">
        <v>574</v>
      </c>
      <c r="V61" s="55">
        <f t="shared" ca="1" si="0"/>
        <v>1</v>
      </c>
      <c r="W61" s="64"/>
      <c r="X61" s="65"/>
      <c r="Y61" s="65"/>
      <c r="Z61" s="65"/>
      <c r="AA61" s="64"/>
      <c r="AB61" s="65"/>
      <c r="AC61" s="64"/>
      <c r="AD61" s="65"/>
      <c r="AE61" s="64"/>
      <c r="AF61" s="65"/>
      <c r="AG61" s="65"/>
      <c r="AH61" s="66" t="str">
        <f t="shared" si="1"/>
        <v/>
      </c>
      <c r="AI61" s="64"/>
      <c r="AJ61" s="65"/>
      <c r="AK61" s="64"/>
      <c r="AL61" s="65"/>
      <c r="BB61" s="55" t="str">
        <f t="shared" si="2"/>
        <v/>
      </c>
      <c r="BC61" s="55" t="str">
        <f t="shared" si="3"/>
        <v/>
      </c>
      <c r="BD61" s="55" t="str">
        <f t="shared" si="4"/>
        <v/>
      </c>
      <c r="BE61" s="55" t="str">
        <f t="shared" si="5"/>
        <v/>
      </c>
      <c r="BF61" s="55" t="str">
        <f t="shared" si="6"/>
        <v/>
      </c>
      <c r="BG61" s="55" t="str">
        <f t="shared" si="7"/>
        <v/>
      </c>
      <c r="BH61" s="55" t="str">
        <f t="shared" si="8"/>
        <v/>
      </c>
      <c r="BI61" s="55" t="str">
        <f t="shared" si="9"/>
        <v/>
      </c>
      <c r="BJ61" s="55" t="str">
        <f t="shared" si="10"/>
        <v/>
      </c>
      <c r="BK61" s="55" t="str">
        <f t="shared" si="11"/>
        <v/>
      </c>
    </row>
    <row r="62" spans="20:63">
      <c r="T62" s="55" t="s">
        <v>341</v>
      </c>
      <c r="U62" s="55">
        <v>582</v>
      </c>
      <c r="V62" s="55">
        <f t="shared" ca="1" si="0"/>
        <v>1</v>
      </c>
      <c r="W62" s="64"/>
      <c r="X62" s="65"/>
      <c r="Y62" s="65"/>
      <c r="Z62" s="65"/>
      <c r="AA62" s="64"/>
      <c r="AB62" s="65"/>
      <c r="AC62" s="64"/>
      <c r="AD62" s="65"/>
      <c r="AE62" s="64"/>
      <c r="AF62" s="65"/>
      <c r="AG62" s="65"/>
      <c r="AH62" s="66" t="str">
        <f t="shared" si="1"/>
        <v/>
      </c>
      <c r="AI62" s="64"/>
      <c r="AJ62" s="65"/>
      <c r="AK62" s="64"/>
      <c r="AL62" s="65"/>
      <c r="BB62" s="55" t="str">
        <f t="shared" si="2"/>
        <v/>
      </c>
      <c r="BC62" s="55" t="str">
        <f t="shared" si="3"/>
        <v/>
      </c>
      <c r="BD62" s="55" t="str">
        <f t="shared" si="4"/>
        <v/>
      </c>
      <c r="BE62" s="55" t="str">
        <f t="shared" si="5"/>
        <v/>
      </c>
      <c r="BF62" s="55" t="str">
        <f t="shared" si="6"/>
        <v/>
      </c>
      <c r="BG62" s="55" t="str">
        <f t="shared" si="7"/>
        <v/>
      </c>
      <c r="BH62" s="55" t="str">
        <f t="shared" si="8"/>
        <v/>
      </c>
      <c r="BI62" s="55" t="str">
        <f t="shared" si="9"/>
        <v/>
      </c>
      <c r="BJ62" s="55" t="str">
        <f t="shared" si="10"/>
        <v/>
      </c>
      <c r="BK62" s="55" t="str">
        <f t="shared" si="11"/>
        <v/>
      </c>
    </row>
    <row r="63" spans="20:63">
      <c r="T63" s="55" t="s">
        <v>342</v>
      </c>
      <c r="U63" s="55">
        <v>586</v>
      </c>
      <c r="V63" s="55">
        <f t="shared" ca="1" si="0"/>
        <v>1</v>
      </c>
      <c r="W63" s="64"/>
      <c r="X63" s="65"/>
      <c r="Y63" s="65"/>
      <c r="Z63" s="65"/>
      <c r="AA63" s="64"/>
      <c r="AB63" s="65"/>
      <c r="AC63" s="64"/>
      <c r="AD63" s="65"/>
      <c r="AE63" s="64"/>
      <c r="AF63" s="65"/>
      <c r="AG63" s="65"/>
      <c r="AH63" s="66" t="str">
        <f t="shared" si="1"/>
        <v/>
      </c>
      <c r="AI63" s="64"/>
      <c r="AJ63" s="65"/>
      <c r="AK63" s="64"/>
      <c r="AL63" s="65"/>
      <c r="BB63" s="55" t="str">
        <f t="shared" si="2"/>
        <v/>
      </c>
      <c r="BC63" s="55" t="str">
        <f t="shared" si="3"/>
        <v/>
      </c>
      <c r="BD63" s="55" t="str">
        <f t="shared" si="4"/>
        <v/>
      </c>
      <c r="BE63" s="55" t="str">
        <f t="shared" si="5"/>
        <v/>
      </c>
      <c r="BF63" s="55" t="str">
        <f t="shared" si="6"/>
        <v/>
      </c>
      <c r="BG63" s="55" t="str">
        <f t="shared" si="7"/>
        <v/>
      </c>
      <c r="BH63" s="55" t="str">
        <f t="shared" si="8"/>
        <v/>
      </c>
      <c r="BI63" s="55" t="str">
        <f t="shared" si="9"/>
        <v/>
      </c>
      <c r="BJ63" s="55" t="str">
        <f t="shared" si="10"/>
        <v/>
      </c>
      <c r="BK63" s="55" t="str">
        <f t="shared" si="11"/>
        <v/>
      </c>
    </row>
    <row r="64" spans="20:63">
      <c r="T64" s="55" t="s">
        <v>343</v>
      </c>
      <c r="U64" s="55">
        <v>587</v>
      </c>
      <c r="V64" s="55">
        <f t="shared" ca="1" si="0"/>
        <v>1</v>
      </c>
      <c r="W64" s="64"/>
      <c r="X64" s="65"/>
      <c r="Y64" s="65"/>
      <c r="Z64" s="65"/>
      <c r="AA64" s="64"/>
      <c r="AB64" s="65"/>
      <c r="AC64" s="64"/>
      <c r="AD64" s="65"/>
      <c r="AE64" s="64"/>
      <c r="AF64" s="65"/>
      <c r="AG64" s="65"/>
      <c r="AH64" s="66" t="str">
        <f t="shared" si="1"/>
        <v/>
      </c>
      <c r="AI64" s="64"/>
      <c r="AJ64" s="65"/>
      <c r="AK64" s="64"/>
      <c r="AL64" s="65"/>
      <c r="BB64" s="55" t="str">
        <f t="shared" si="2"/>
        <v/>
      </c>
      <c r="BC64" s="55" t="str">
        <f t="shared" si="3"/>
        <v/>
      </c>
      <c r="BD64" s="55" t="str">
        <f t="shared" si="4"/>
        <v/>
      </c>
      <c r="BE64" s="55" t="str">
        <f t="shared" si="5"/>
        <v/>
      </c>
      <c r="BF64" s="55" t="str">
        <f t="shared" si="6"/>
        <v/>
      </c>
      <c r="BG64" s="55" t="str">
        <f t="shared" si="7"/>
        <v/>
      </c>
      <c r="BH64" s="55" t="str">
        <f t="shared" si="8"/>
        <v/>
      </c>
      <c r="BI64" s="55" t="str">
        <f t="shared" si="9"/>
        <v/>
      </c>
      <c r="BJ64" s="55" t="str">
        <f t="shared" si="10"/>
        <v/>
      </c>
      <c r="BK64" s="55" t="str">
        <f t="shared" si="11"/>
        <v/>
      </c>
    </row>
    <row r="65" spans="20:63">
      <c r="T65" s="55" t="s">
        <v>344</v>
      </c>
      <c r="U65" s="55">
        <v>588</v>
      </c>
      <c r="V65" s="55">
        <f t="shared" ca="1" si="0"/>
        <v>1</v>
      </c>
      <c r="W65" s="64"/>
      <c r="X65" s="65"/>
      <c r="Y65" s="65"/>
      <c r="Z65" s="65"/>
      <c r="AA65" s="64"/>
      <c r="AB65" s="65"/>
      <c r="AC65" s="64"/>
      <c r="AD65" s="65"/>
      <c r="AE65" s="64"/>
      <c r="AF65" s="65"/>
      <c r="AG65" s="65"/>
      <c r="AH65" s="66" t="str">
        <f t="shared" si="1"/>
        <v/>
      </c>
      <c r="AI65" s="64"/>
      <c r="AJ65" s="65"/>
      <c r="AK65" s="64"/>
      <c r="AL65" s="65"/>
      <c r="BB65" s="55" t="str">
        <f t="shared" si="2"/>
        <v/>
      </c>
      <c r="BC65" s="55" t="str">
        <f t="shared" si="3"/>
        <v/>
      </c>
      <c r="BD65" s="55" t="str">
        <f t="shared" si="4"/>
        <v/>
      </c>
      <c r="BE65" s="55" t="str">
        <f t="shared" si="5"/>
        <v/>
      </c>
      <c r="BF65" s="55" t="str">
        <f t="shared" si="6"/>
        <v/>
      </c>
      <c r="BG65" s="55" t="str">
        <f t="shared" si="7"/>
        <v/>
      </c>
      <c r="BH65" s="55" t="str">
        <f t="shared" si="8"/>
        <v/>
      </c>
      <c r="BI65" s="55" t="str">
        <f t="shared" si="9"/>
        <v/>
      </c>
      <c r="BJ65" s="55" t="str">
        <f t="shared" si="10"/>
        <v/>
      </c>
      <c r="BK65" s="55" t="str">
        <f t="shared" si="11"/>
        <v/>
      </c>
    </row>
    <row r="66" spans="20:63">
      <c r="T66" s="55" t="s">
        <v>345</v>
      </c>
      <c r="U66" s="55">
        <v>589</v>
      </c>
      <c r="V66" s="55">
        <f t="shared" ca="1" si="0"/>
        <v>1</v>
      </c>
      <c r="W66" s="64"/>
      <c r="X66" s="65"/>
      <c r="Y66" s="65"/>
      <c r="Z66" s="65"/>
      <c r="AA66" s="64"/>
      <c r="AB66" s="65"/>
      <c r="AC66" s="64"/>
      <c r="AD66" s="65"/>
      <c r="AE66" s="64"/>
      <c r="AF66" s="65"/>
      <c r="AG66" s="65"/>
      <c r="AH66" s="66" t="str">
        <f t="shared" si="1"/>
        <v/>
      </c>
      <c r="AI66" s="64"/>
      <c r="AJ66" s="65"/>
      <c r="AK66" s="64"/>
      <c r="AL66" s="65"/>
      <c r="BB66" s="55" t="str">
        <f t="shared" si="2"/>
        <v/>
      </c>
      <c r="BC66" s="55" t="str">
        <f t="shared" si="3"/>
        <v/>
      </c>
      <c r="BD66" s="55" t="str">
        <f t="shared" si="4"/>
        <v/>
      </c>
      <c r="BE66" s="55" t="str">
        <f t="shared" si="5"/>
        <v/>
      </c>
      <c r="BF66" s="55" t="str">
        <f t="shared" si="6"/>
        <v/>
      </c>
      <c r="BG66" s="55" t="str">
        <f t="shared" si="7"/>
        <v/>
      </c>
      <c r="BH66" s="55" t="str">
        <f t="shared" si="8"/>
        <v/>
      </c>
      <c r="BI66" s="55" t="str">
        <f t="shared" si="9"/>
        <v/>
      </c>
      <c r="BJ66" s="55" t="str">
        <f t="shared" si="10"/>
        <v/>
      </c>
      <c r="BK66" s="55" t="str">
        <f t="shared" si="11"/>
        <v/>
      </c>
    </row>
    <row r="67" spans="20:63">
      <c r="T67" s="55" t="s">
        <v>346</v>
      </c>
      <c r="U67" s="55">
        <v>602</v>
      </c>
      <c r="V67" s="55">
        <f t="shared" ca="1" si="0"/>
        <v>1</v>
      </c>
      <c r="W67" s="64"/>
      <c r="X67" s="65"/>
      <c r="Y67" s="65"/>
      <c r="Z67" s="65"/>
      <c r="AA67" s="64"/>
      <c r="AB67" s="65"/>
      <c r="AC67" s="64"/>
      <c r="AD67" s="65"/>
      <c r="AE67" s="64"/>
      <c r="AF67" s="65"/>
      <c r="AG67" s="65"/>
      <c r="AH67" s="66" t="str">
        <f t="shared" si="1"/>
        <v/>
      </c>
      <c r="AI67" s="64"/>
      <c r="AJ67" s="65"/>
      <c r="AK67" s="64"/>
      <c r="AL67" s="65"/>
      <c r="BB67" s="55" t="str">
        <f t="shared" si="2"/>
        <v/>
      </c>
      <c r="BC67" s="55" t="str">
        <f t="shared" si="3"/>
        <v/>
      </c>
      <c r="BD67" s="55" t="str">
        <f t="shared" si="4"/>
        <v/>
      </c>
      <c r="BE67" s="55" t="str">
        <f t="shared" si="5"/>
        <v/>
      </c>
      <c r="BF67" s="55" t="str">
        <f t="shared" si="6"/>
        <v/>
      </c>
      <c r="BG67" s="55" t="str">
        <f t="shared" si="7"/>
        <v/>
      </c>
      <c r="BH67" s="55" t="str">
        <f t="shared" si="8"/>
        <v/>
      </c>
      <c r="BI67" s="55" t="str">
        <f t="shared" si="9"/>
        <v/>
      </c>
      <c r="BJ67" s="55" t="str">
        <f t="shared" si="10"/>
        <v/>
      </c>
      <c r="BK67" s="55" t="str">
        <f t="shared" si="11"/>
        <v/>
      </c>
    </row>
    <row r="68" spans="20:63">
      <c r="T68" s="55" t="s">
        <v>347</v>
      </c>
      <c r="U68" s="55">
        <v>603</v>
      </c>
      <c r="V68" s="55">
        <f t="shared" ca="1" si="0"/>
        <v>1</v>
      </c>
      <c r="W68" s="64"/>
      <c r="X68" s="65"/>
      <c r="Y68" s="65"/>
      <c r="Z68" s="65"/>
      <c r="AA68" s="64"/>
      <c r="AB68" s="65"/>
      <c r="AC68" s="64"/>
      <c r="AD68" s="65"/>
      <c r="AE68" s="64"/>
      <c r="AF68" s="65"/>
      <c r="AG68" s="65"/>
      <c r="AH68" s="66" t="str">
        <f t="shared" si="1"/>
        <v/>
      </c>
      <c r="AI68" s="64"/>
      <c r="AJ68" s="65"/>
      <c r="AK68" s="64"/>
      <c r="AL68" s="65"/>
      <c r="BB68" s="55" t="str">
        <f t="shared" si="2"/>
        <v/>
      </c>
      <c r="BC68" s="55" t="str">
        <f t="shared" si="3"/>
        <v/>
      </c>
      <c r="BD68" s="55" t="str">
        <f t="shared" si="4"/>
        <v/>
      </c>
      <c r="BE68" s="55" t="str">
        <f t="shared" si="5"/>
        <v/>
      </c>
      <c r="BF68" s="55" t="str">
        <f t="shared" si="6"/>
        <v/>
      </c>
      <c r="BG68" s="55" t="str">
        <f t="shared" si="7"/>
        <v/>
      </c>
      <c r="BH68" s="55" t="str">
        <f t="shared" si="8"/>
        <v/>
      </c>
      <c r="BI68" s="55" t="str">
        <f t="shared" si="9"/>
        <v/>
      </c>
      <c r="BJ68" s="55" t="str">
        <f t="shared" si="10"/>
        <v/>
      </c>
      <c r="BK68" s="55" t="str">
        <f t="shared" si="11"/>
        <v/>
      </c>
    </row>
    <row r="69" spans="20:63">
      <c r="T69" s="55" t="s">
        <v>348</v>
      </c>
      <c r="U69" s="55">
        <v>609</v>
      </c>
      <c r="V69" s="55">
        <f t="shared" ca="1" si="0"/>
        <v>1</v>
      </c>
      <c r="W69" s="64"/>
      <c r="X69" s="65"/>
      <c r="Y69" s="65"/>
      <c r="Z69" s="65"/>
      <c r="AA69" s="64"/>
      <c r="AB69" s="65"/>
      <c r="AC69" s="64"/>
      <c r="AD69" s="65"/>
      <c r="AE69" s="64"/>
      <c r="AF69" s="65"/>
      <c r="AG69" s="65"/>
      <c r="AH69" s="66" t="str">
        <f t="shared" si="1"/>
        <v/>
      </c>
      <c r="AI69" s="64"/>
      <c r="AJ69" s="65"/>
      <c r="AK69" s="64"/>
      <c r="AL69" s="65"/>
      <c r="BB69" s="55" t="str">
        <f t="shared" si="2"/>
        <v/>
      </c>
      <c r="BC69" s="55" t="str">
        <f t="shared" si="3"/>
        <v/>
      </c>
      <c r="BD69" s="55" t="str">
        <f t="shared" si="4"/>
        <v/>
      </c>
      <c r="BE69" s="55" t="str">
        <f t="shared" si="5"/>
        <v/>
      </c>
      <c r="BF69" s="55" t="str">
        <f t="shared" si="6"/>
        <v/>
      </c>
      <c r="BG69" s="55" t="str">
        <f t="shared" si="7"/>
        <v/>
      </c>
      <c r="BH69" s="55" t="str">
        <f t="shared" si="8"/>
        <v/>
      </c>
      <c r="BI69" s="55" t="str">
        <f t="shared" si="9"/>
        <v/>
      </c>
      <c r="BJ69" s="55" t="str">
        <f t="shared" si="10"/>
        <v/>
      </c>
      <c r="BK69" s="55" t="str">
        <f t="shared" si="11"/>
        <v/>
      </c>
    </row>
    <row r="70" spans="20:63">
      <c r="T70" s="55" t="s">
        <v>349</v>
      </c>
      <c r="U70" s="55">
        <v>610</v>
      </c>
      <c r="V70" s="55">
        <f t="shared" ca="1" si="0"/>
        <v>1</v>
      </c>
      <c r="W70" s="64"/>
      <c r="X70" s="65"/>
      <c r="Y70" s="65"/>
      <c r="Z70" s="65"/>
      <c r="AA70" s="64"/>
      <c r="AB70" s="65"/>
      <c r="AC70" s="64"/>
      <c r="AD70" s="65"/>
      <c r="AE70" s="64"/>
      <c r="AF70" s="65"/>
      <c r="AG70" s="65"/>
      <c r="AH70" s="66" t="str">
        <f t="shared" si="1"/>
        <v/>
      </c>
      <c r="AI70" s="64"/>
      <c r="AJ70" s="65"/>
      <c r="AK70" s="64"/>
      <c r="AL70" s="65"/>
      <c r="BB70" s="55" t="str">
        <f t="shared" si="2"/>
        <v/>
      </c>
      <c r="BC70" s="55" t="str">
        <f t="shared" si="3"/>
        <v/>
      </c>
      <c r="BD70" s="55" t="str">
        <f t="shared" si="4"/>
        <v/>
      </c>
      <c r="BE70" s="55" t="str">
        <f t="shared" si="5"/>
        <v/>
      </c>
      <c r="BF70" s="55" t="str">
        <f t="shared" si="6"/>
        <v/>
      </c>
      <c r="BG70" s="55" t="str">
        <f t="shared" si="7"/>
        <v/>
      </c>
      <c r="BH70" s="55" t="str">
        <f t="shared" si="8"/>
        <v/>
      </c>
      <c r="BI70" s="55" t="str">
        <f t="shared" si="9"/>
        <v/>
      </c>
      <c r="BJ70" s="55" t="str">
        <f t="shared" si="10"/>
        <v/>
      </c>
      <c r="BK70" s="55" t="str">
        <f t="shared" si="11"/>
        <v/>
      </c>
    </row>
    <row r="71" spans="20:63">
      <c r="T71" s="55" t="s">
        <v>350</v>
      </c>
      <c r="U71" s="55">
        <v>611</v>
      </c>
      <c r="V71" s="55">
        <f t="shared" ca="1" si="0"/>
        <v>1</v>
      </c>
      <c r="W71" s="64"/>
      <c r="X71" s="65"/>
      <c r="Y71" s="65"/>
      <c r="Z71" s="65"/>
      <c r="AA71" s="64"/>
      <c r="AB71" s="65"/>
      <c r="AC71" s="64"/>
      <c r="AD71" s="65"/>
      <c r="AE71" s="64"/>
      <c r="AF71" s="65"/>
      <c r="AG71" s="65"/>
      <c r="AH71" s="66" t="str">
        <f t="shared" si="1"/>
        <v/>
      </c>
      <c r="AI71" s="64"/>
      <c r="AJ71" s="65"/>
      <c r="AK71" s="64"/>
      <c r="AL71" s="65"/>
      <c r="BB71" s="55" t="str">
        <f t="shared" si="2"/>
        <v/>
      </c>
      <c r="BC71" s="55" t="str">
        <f t="shared" si="3"/>
        <v/>
      </c>
      <c r="BD71" s="55" t="str">
        <f t="shared" si="4"/>
        <v/>
      </c>
      <c r="BE71" s="55" t="str">
        <f t="shared" si="5"/>
        <v/>
      </c>
      <c r="BF71" s="55" t="str">
        <f t="shared" si="6"/>
        <v/>
      </c>
      <c r="BG71" s="55" t="str">
        <f t="shared" si="7"/>
        <v/>
      </c>
      <c r="BH71" s="55" t="str">
        <f t="shared" si="8"/>
        <v/>
      </c>
      <c r="BI71" s="55" t="str">
        <f t="shared" si="9"/>
        <v/>
      </c>
      <c r="BJ71" s="55" t="str">
        <f t="shared" si="10"/>
        <v/>
      </c>
      <c r="BK71" s="55" t="str">
        <f t="shared" si="11"/>
        <v/>
      </c>
    </row>
    <row r="72" spans="20:63">
      <c r="T72" s="55" t="s">
        <v>351</v>
      </c>
      <c r="U72" s="55">
        <v>613</v>
      </c>
      <c r="V72" s="55">
        <f t="shared" ca="1" si="0"/>
        <v>1</v>
      </c>
      <c r="W72" s="64"/>
      <c r="X72" s="65"/>
      <c r="Y72" s="65"/>
      <c r="Z72" s="65"/>
      <c r="AA72" s="64"/>
      <c r="AB72" s="65"/>
      <c r="AC72" s="64"/>
      <c r="AD72" s="65"/>
      <c r="AE72" s="64"/>
      <c r="AF72" s="65"/>
      <c r="AG72" s="65"/>
      <c r="AH72" s="66" t="str">
        <f t="shared" si="1"/>
        <v/>
      </c>
      <c r="AI72" s="64"/>
      <c r="AJ72" s="65"/>
      <c r="AK72" s="64"/>
      <c r="AL72" s="65"/>
      <c r="BB72" s="55" t="str">
        <f t="shared" si="2"/>
        <v/>
      </c>
      <c r="BC72" s="55" t="str">
        <f t="shared" si="3"/>
        <v/>
      </c>
      <c r="BD72" s="55" t="str">
        <f t="shared" si="4"/>
        <v/>
      </c>
      <c r="BE72" s="55" t="str">
        <f t="shared" si="5"/>
        <v/>
      </c>
      <c r="BF72" s="55" t="str">
        <f t="shared" si="6"/>
        <v/>
      </c>
      <c r="BG72" s="55" t="str">
        <f t="shared" si="7"/>
        <v/>
      </c>
      <c r="BH72" s="55" t="str">
        <f t="shared" si="8"/>
        <v/>
      </c>
      <c r="BI72" s="55" t="str">
        <f t="shared" si="9"/>
        <v/>
      </c>
      <c r="BJ72" s="55" t="str">
        <f t="shared" si="10"/>
        <v/>
      </c>
      <c r="BK72" s="55" t="str">
        <f t="shared" si="11"/>
        <v/>
      </c>
    </row>
    <row r="73" spans="20:63">
      <c r="T73" s="55" t="s">
        <v>352</v>
      </c>
      <c r="U73" s="55">
        <v>614</v>
      </c>
      <c r="V73" s="55">
        <f t="shared" ca="1" si="0"/>
        <v>1</v>
      </c>
      <c r="W73" s="64"/>
      <c r="X73" s="65"/>
      <c r="Y73" s="65"/>
      <c r="Z73" s="65"/>
      <c r="AA73" s="64"/>
      <c r="AB73" s="65"/>
      <c r="AC73" s="64"/>
      <c r="AD73" s="65"/>
      <c r="AE73" s="64"/>
      <c r="AF73" s="65"/>
      <c r="AG73" s="65"/>
      <c r="AH73" s="66" t="str">
        <f t="shared" si="1"/>
        <v/>
      </c>
      <c r="AI73" s="64"/>
      <c r="AJ73" s="65"/>
      <c r="AK73" s="64"/>
      <c r="AL73" s="65"/>
      <c r="BB73" s="55" t="str">
        <f t="shared" si="2"/>
        <v/>
      </c>
      <c r="BC73" s="55" t="str">
        <f t="shared" si="3"/>
        <v/>
      </c>
      <c r="BD73" s="55" t="str">
        <f t="shared" si="4"/>
        <v/>
      </c>
      <c r="BE73" s="55" t="str">
        <f t="shared" si="5"/>
        <v/>
      </c>
      <c r="BF73" s="55" t="str">
        <f t="shared" si="6"/>
        <v/>
      </c>
      <c r="BG73" s="55" t="str">
        <f t="shared" si="7"/>
        <v/>
      </c>
      <c r="BH73" s="55" t="str">
        <f t="shared" si="8"/>
        <v/>
      </c>
      <c r="BI73" s="55" t="str">
        <f t="shared" si="9"/>
        <v/>
      </c>
      <c r="BJ73" s="55" t="str">
        <f t="shared" si="10"/>
        <v/>
      </c>
      <c r="BK73" s="55" t="str">
        <f t="shared" si="11"/>
        <v/>
      </c>
    </row>
    <row r="74" spans="20:63">
      <c r="T74" s="55" t="s">
        <v>353</v>
      </c>
      <c r="U74" s="55">
        <v>615</v>
      </c>
      <c r="V74" s="55">
        <f t="shared" ca="1" si="0"/>
        <v>1</v>
      </c>
      <c r="W74" s="64"/>
      <c r="X74" s="65"/>
      <c r="Y74" s="65"/>
      <c r="Z74" s="65"/>
      <c r="AA74" s="64"/>
      <c r="AB74" s="65"/>
      <c r="AC74" s="64"/>
      <c r="AD74" s="65"/>
      <c r="AE74" s="64"/>
      <c r="AF74" s="65"/>
      <c r="AG74" s="65"/>
      <c r="AH74" s="66" t="str">
        <f t="shared" si="1"/>
        <v/>
      </c>
      <c r="AI74" s="64"/>
      <c r="AJ74" s="65"/>
      <c r="AK74" s="64"/>
      <c r="AL74" s="65"/>
      <c r="BB74" s="55" t="str">
        <f t="shared" si="2"/>
        <v/>
      </c>
      <c r="BC74" s="55" t="str">
        <f t="shared" si="3"/>
        <v/>
      </c>
      <c r="BD74" s="55" t="str">
        <f t="shared" si="4"/>
        <v/>
      </c>
      <c r="BE74" s="55" t="str">
        <f t="shared" si="5"/>
        <v/>
      </c>
      <c r="BF74" s="55" t="str">
        <f t="shared" si="6"/>
        <v/>
      </c>
      <c r="BG74" s="55" t="str">
        <f t="shared" si="7"/>
        <v/>
      </c>
      <c r="BH74" s="55" t="str">
        <f t="shared" si="8"/>
        <v/>
      </c>
      <c r="BI74" s="55" t="str">
        <f t="shared" si="9"/>
        <v/>
      </c>
      <c r="BJ74" s="55" t="str">
        <f t="shared" si="10"/>
        <v/>
      </c>
      <c r="BK74" s="55" t="str">
        <f t="shared" si="11"/>
        <v/>
      </c>
    </row>
    <row r="75" spans="20:63">
      <c r="T75" s="55" t="s">
        <v>354</v>
      </c>
      <c r="U75" s="55">
        <v>616</v>
      </c>
      <c r="V75" s="55">
        <f t="shared" ref="V75:V138" ca="1" si="12">IF(ISBLANK($W75),IF(ISNUMBER(INDIRECT("S"&amp;ROW($V75)-1)),INDIRECT("S"&amp;ROW($V75)-1),1),$W75)</f>
        <v>1</v>
      </c>
      <c r="W75" s="64"/>
      <c r="X75" s="65"/>
      <c r="Y75" s="65"/>
      <c r="Z75" s="65"/>
      <c r="AA75" s="64"/>
      <c r="AB75" s="65"/>
      <c r="AC75" s="64"/>
      <c r="AD75" s="65"/>
      <c r="AE75" s="64"/>
      <c r="AF75" s="65"/>
      <c r="AG75" s="65"/>
      <c r="AH75" s="66" t="str">
        <f t="shared" ref="AH75:AH138" si="13">IF(ISNUMBER($BI75), $BH75&amp;" - "&amp;$BJ75,"")</f>
        <v/>
      </c>
      <c r="AI75" s="64"/>
      <c r="AJ75" s="65"/>
      <c r="AK75" s="64"/>
      <c r="AL75" s="65"/>
      <c r="BB75" s="55" t="str">
        <f t="shared" ref="BB75:BB138" si="14">IF(ISBLANK($Z75),"",VLOOKUP($Z75,$A$11:$B$1010,2,FALSE))</f>
        <v/>
      </c>
      <c r="BC75" s="55" t="str">
        <f t="shared" ref="BC75:BC138" si="15">IF(ISBLANK($AA75),"",VLOOKUP($AA75,$D$11:$E$1010,2,FALSE))</f>
        <v/>
      </c>
      <c r="BD75" s="55" t="str">
        <f t="shared" ref="BD75:BD138" si="16">IF(ISBLANK($AC75),"",VLOOKUP($AC75,$H$11:$I$1010,2,FALSE))</f>
        <v/>
      </c>
      <c r="BE75" s="55" t="str">
        <f t="shared" ref="BE75:BE138" si="17">IF(ISBLANK($AF75),"",VLOOKUP($AF75,$L$11:$M$1010,2,FALSE))</f>
        <v/>
      </c>
      <c r="BF75" s="55" t="str">
        <f t="shared" ref="BF75:BF138" si="18">IF(ISNUMBER($BC75),VLOOKUP($BC75,$E$11:$F$1010,2,FALSE),"")</f>
        <v/>
      </c>
      <c r="BG75" s="55" t="str">
        <f t="shared" ref="BG75:BG138" si="19">IF(ISNUMBER($BD75),VLOOKUP($BD75,$I$11:$J$1010,2,FALSE),"")</f>
        <v/>
      </c>
      <c r="BH75" s="55" t="str">
        <f t="shared" ref="BH75:BH138" si="20">IF(AND(ISNUMBER($BF75),ISNUMBER($BG75)),$BF75*$BG75,"")</f>
        <v/>
      </c>
      <c r="BI75" s="55" t="str">
        <f t="shared" ref="BI75:BI138" si="21">IF(ISNUMBER($BH75),LOOKUP($BH75,lower_limit_level_risiko,id_level_risiko),"")</f>
        <v/>
      </c>
      <c r="BJ75" s="55" t="str">
        <f t="shared" ref="BJ75:BJ138" si="22">IF(ISNUMBER($BH75),LOOKUP($BH75,lower_limit_level_risiko,description_level_risiko),"")</f>
        <v/>
      </c>
      <c r="BK75" s="55" t="str">
        <f t="shared" ref="BK75:BK138" si="23">IF(ISBLANK($X75),"",VLOOKUP($X75,$T$11:$U$1010,2,FALSE))</f>
        <v/>
      </c>
    </row>
    <row r="76" spans="20:63">
      <c r="T76" s="55" t="s">
        <v>355</v>
      </c>
      <c r="U76" s="55">
        <v>617</v>
      </c>
      <c r="V76" s="55">
        <f t="shared" ca="1" si="12"/>
        <v>1</v>
      </c>
      <c r="W76" s="64"/>
      <c r="X76" s="65"/>
      <c r="Y76" s="65"/>
      <c r="Z76" s="65"/>
      <c r="AA76" s="64"/>
      <c r="AB76" s="65"/>
      <c r="AC76" s="64"/>
      <c r="AD76" s="65"/>
      <c r="AE76" s="64"/>
      <c r="AF76" s="65"/>
      <c r="AG76" s="65"/>
      <c r="AH76" s="66" t="str">
        <f t="shared" si="13"/>
        <v/>
      </c>
      <c r="AI76" s="64"/>
      <c r="AJ76" s="65"/>
      <c r="AK76" s="64"/>
      <c r="AL76" s="65"/>
      <c r="BB76" s="55" t="str">
        <f t="shared" si="14"/>
        <v/>
      </c>
      <c r="BC76" s="55" t="str">
        <f t="shared" si="15"/>
        <v/>
      </c>
      <c r="BD76" s="55" t="str">
        <f t="shared" si="16"/>
        <v/>
      </c>
      <c r="BE76" s="55" t="str">
        <f t="shared" si="17"/>
        <v/>
      </c>
      <c r="BF76" s="55" t="str">
        <f t="shared" si="18"/>
        <v/>
      </c>
      <c r="BG76" s="55" t="str">
        <f t="shared" si="19"/>
        <v/>
      </c>
      <c r="BH76" s="55" t="str">
        <f t="shared" si="20"/>
        <v/>
      </c>
      <c r="BI76" s="55" t="str">
        <f t="shared" si="21"/>
        <v/>
      </c>
      <c r="BJ76" s="55" t="str">
        <f t="shared" si="22"/>
        <v/>
      </c>
      <c r="BK76" s="55" t="str">
        <f t="shared" si="23"/>
        <v/>
      </c>
    </row>
    <row r="77" spans="20:63">
      <c r="T77" s="55" t="s">
        <v>356</v>
      </c>
      <c r="U77" s="55">
        <v>618</v>
      </c>
      <c r="V77" s="55">
        <f t="shared" ca="1" si="12"/>
        <v>1</v>
      </c>
      <c r="W77" s="64"/>
      <c r="X77" s="65"/>
      <c r="Y77" s="65"/>
      <c r="Z77" s="65"/>
      <c r="AA77" s="64"/>
      <c r="AB77" s="65"/>
      <c r="AC77" s="64"/>
      <c r="AD77" s="65"/>
      <c r="AE77" s="64"/>
      <c r="AF77" s="65"/>
      <c r="AG77" s="65"/>
      <c r="AH77" s="66" t="str">
        <f t="shared" si="13"/>
        <v/>
      </c>
      <c r="AI77" s="64"/>
      <c r="AJ77" s="65"/>
      <c r="AK77" s="64"/>
      <c r="AL77" s="65"/>
      <c r="BB77" s="55" t="str">
        <f t="shared" si="14"/>
        <v/>
      </c>
      <c r="BC77" s="55" t="str">
        <f t="shared" si="15"/>
        <v/>
      </c>
      <c r="BD77" s="55" t="str">
        <f t="shared" si="16"/>
        <v/>
      </c>
      <c r="BE77" s="55" t="str">
        <f t="shared" si="17"/>
        <v/>
      </c>
      <c r="BF77" s="55" t="str">
        <f t="shared" si="18"/>
        <v/>
      </c>
      <c r="BG77" s="55" t="str">
        <f t="shared" si="19"/>
        <v/>
      </c>
      <c r="BH77" s="55" t="str">
        <f t="shared" si="20"/>
        <v/>
      </c>
      <c r="BI77" s="55" t="str">
        <f t="shared" si="21"/>
        <v/>
      </c>
      <c r="BJ77" s="55" t="str">
        <f t="shared" si="22"/>
        <v/>
      </c>
      <c r="BK77" s="55" t="str">
        <f t="shared" si="23"/>
        <v/>
      </c>
    </row>
    <row r="78" spans="20:63">
      <c r="T78" s="55" t="s">
        <v>357</v>
      </c>
      <c r="U78" s="55">
        <v>619</v>
      </c>
      <c r="V78" s="55">
        <f t="shared" ca="1" si="12"/>
        <v>1</v>
      </c>
      <c r="W78" s="64"/>
      <c r="X78" s="65"/>
      <c r="Y78" s="65"/>
      <c r="Z78" s="65"/>
      <c r="AA78" s="64"/>
      <c r="AB78" s="65"/>
      <c r="AC78" s="64"/>
      <c r="AD78" s="65"/>
      <c r="AE78" s="64"/>
      <c r="AF78" s="65"/>
      <c r="AG78" s="65"/>
      <c r="AH78" s="66" t="str">
        <f t="shared" si="13"/>
        <v/>
      </c>
      <c r="AI78" s="64"/>
      <c r="AJ78" s="65"/>
      <c r="AK78" s="64"/>
      <c r="AL78" s="65"/>
      <c r="BB78" s="55" t="str">
        <f t="shared" si="14"/>
        <v/>
      </c>
      <c r="BC78" s="55" t="str">
        <f t="shared" si="15"/>
        <v/>
      </c>
      <c r="BD78" s="55" t="str">
        <f t="shared" si="16"/>
        <v/>
      </c>
      <c r="BE78" s="55" t="str">
        <f t="shared" si="17"/>
        <v/>
      </c>
      <c r="BF78" s="55" t="str">
        <f t="shared" si="18"/>
        <v/>
      </c>
      <c r="BG78" s="55" t="str">
        <f t="shared" si="19"/>
        <v/>
      </c>
      <c r="BH78" s="55" t="str">
        <f t="shared" si="20"/>
        <v/>
      </c>
      <c r="BI78" s="55" t="str">
        <f t="shared" si="21"/>
        <v/>
      </c>
      <c r="BJ78" s="55" t="str">
        <f t="shared" si="22"/>
        <v/>
      </c>
      <c r="BK78" s="55" t="str">
        <f t="shared" si="23"/>
        <v/>
      </c>
    </row>
    <row r="79" spans="20:63">
      <c r="T79" s="55" t="s">
        <v>358</v>
      </c>
      <c r="U79" s="55">
        <v>620</v>
      </c>
      <c r="V79" s="55">
        <f t="shared" ca="1" si="12"/>
        <v>1</v>
      </c>
      <c r="W79" s="64"/>
      <c r="X79" s="65"/>
      <c r="Y79" s="65"/>
      <c r="Z79" s="65"/>
      <c r="AA79" s="64"/>
      <c r="AB79" s="65"/>
      <c r="AC79" s="64"/>
      <c r="AD79" s="65"/>
      <c r="AE79" s="64"/>
      <c r="AF79" s="65"/>
      <c r="AG79" s="65"/>
      <c r="AH79" s="66" t="str">
        <f t="shared" si="13"/>
        <v/>
      </c>
      <c r="AI79" s="64"/>
      <c r="AJ79" s="65"/>
      <c r="AK79" s="64"/>
      <c r="AL79" s="65"/>
      <c r="BB79" s="55" t="str">
        <f t="shared" si="14"/>
        <v/>
      </c>
      <c r="BC79" s="55" t="str">
        <f t="shared" si="15"/>
        <v/>
      </c>
      <c r="BD79" s="55" t="str">
        <f t="shared" si="16"/>
        <v/>
      </c>
      <c r="BE79" s="55" t="str">
        <f t="shared" si="17"/>
        <v/>
      </c>
      <c r="BF79" s="55" t="str">
        <f t="shared" si="18"/>
        <v/>
      </c>
      <c r="BG79" s="55" t="str">
        <f t="shared" si="19"/>
        <v/>
      </c>
      <c r="BH79" s="55" t="str">
        <f t="shared" si="20"/>
        <v/>
      </c>
      <c r="BI79" s="55" t="str">
        <f t="shared" si="21"/>
        <v/>
      </c>
      <c r="BJ79" s="55" t="str">
        <f t="shared" si="22"/>
        <v/>
      </c>
      <c r="BK79" s="55" t="str">
        <f t="shared" si="23"/>
        <v/>
      </c>
    </row>
    <row r="80" spans="20:63">
      <c r="T80" s="55" t="s">
        <v>359</v>
      </c>
      <c r="U80" s="55">
        <v>621</v>
      </c>
      <c r="V80" s="55">
        <f t="shared" ca="1" si="12"/>
        <v>1</v>
      </c>
      <c r="W80" s="64"/>
      <c r="X80" s="65"/>
      <c r="Y80" s="65"/>
      <c r="Z80" s="65"/>
      <c r="AA80" s="64"/>
      <c r="AB80" s="65"/>
      <c r="AC80" s="64"/>
      <c r="AD80" s="65"/>
      <c r="AE80" s="64"/>
      <c r="AF80" s="65"/>
      <c r="AG80" s="65"/>
      <c r="AH80" s="66" t="str">
        <f t="shared" si="13"/>
        <v/>
      </c>
      <c r="AI80" s="64"/>
      <c r="AJ80" s="65"/>
      <c r="AK80" s="64"/>
      <c r="AL80" s="65"/>
      <c r="BB80" s="55" t="str">
        <f t="shared" si="14"/>
        <v/>
      </c>
      <c r="BC80" s="55" t="str">
        <f t="shared" si="15"/>
        <v/>
      </c>
      <c r="BD80" s="55" t="str">
        <f t="shared" si="16"/>
        <v/>
      </c>
      <c r="BE80" s="55" t="str">
        <f t="shared" si="17"/>
        <v/>
      </c>
      <c r="BF80" s="55" t="str">
        <f t="shared" si="18"/>
        <v/>
      </c>
      <c r="BG80" s="55" t="str">
        <f t="shared" si="19"/>
        <v/>
      </c>
      <c r="BH80" s="55" t="str">
        <f t="shared" si="20"/>
        <v/>
      </c>
      <c r="BI80" s="55" t="str">
        <f t="shared" si="21"/>
        <v/>
      </c>
      <c r="BJ80" s="55" t="str">
        <f t="shared" si="22"/>
        <v/>
      </c>
      <c r="BK80" s="55" t="str">
        <f t="shared" si="23"/>
        <v/>
      </c>
    </row>
    <row r="81" spans="20:63">
      <c r="T81" s="55" t="s">
        <v>360</v>
      </c>
      <c r="U81" s="55">
        <v>1928</v>
      </c>
      <c r="V81" s="55">
        <f t="shared" ca="1" si="12"/>
        <v>1</v>
      </c>
      <c r="W81" s="64"/>
      <c r="X81" s="65"/>
      <c r="Y81" s="65"/>
      <c r="Z81" s="65"/>
      <c r="AA81" s="64"/>
      <c r="AB81" s="65"/>
      <c r="AC81" s="64"/>
      <c r="AD81" s="65"/>
      <c r="AE81" s="64"/>
      <c r="AF81" s="65"/>
      <c r="AG81" s="65"/>
      <c r="AH81" s="66" t="str">
        <f t="shared" si="13"/>
        <v/>
      </c>
      <c r="AI81" s="64"/>
      <c r="AJ81" s="65"/>
      <c r="AK81" s="64"/>
      <c r="AL81" s="65"/>
      <c r="BB81" s="55" t="str">
        <f t="shared" si="14"/>
        <v/>
      </c>
      <c r="BC81" s="55" t="str">
        <f t="shared" si="15"/>
        <v/>
      </c>
      <c r="BD81" s="55" t="str">
        <f t="shared" si="16"/>
        <v/>
      </c>
      <c r="BE81" s="55" t="str">
        <f t="shared" si="17"/>
        <v/>
      </c>
      <c r="BF81" s="55" t="str">
        <f t="shared" si="18"/>
        <v/>
      </c>
      <c r="BG81" s="55" t="str">
        <f t="shared" si="19"/>
        <v/>
      </c>
      <c r="BH81" s="55" t="str">
        <f t="shared" si="20"/>
        <v/>
      </c>
      <c r="BI81" s="55" t="str">
        <f t="shared" si="21"/>
        <v/>
      </c>
      <c r="BJ81" s="55" t="str">
        <f t="shared" si="22"/>
        <v/>
      </c>
      <c r="BK81" s="55" t="str">
        <f t="shared" si="23"/>
        <v/>
      </c>
    </row>
    <row r="82" spans="20:63">
      <c r="T82" s="55" t="s">
        <v>361</v>
      </c>
      <c r="U82" s="55">
        <v>6535</v>
      </c>
      <c r="V82" s="55">
        <f t="shared" ca="1" si="12"/>
        <v>1</v>
      </c>
      <c r="W82" s="64"/>
      <c r="X82" s="65"/>
      <c r="Y82" s="65"/>
      <c r="Z82" s="65"/>
      <c r="AA82" s="64"/>
      <c r="AB82" s="65"/>
      <c r="AC82" s="64"/>
      <c r="AD82" s="65"/>
      <c r="AE82" s="64"/>
      <c r="AF82" s="65"/>
      <c r="AG82" s="65"/>
      <c r="AH82" s="66" t="str">
        <f t="shared" si="13"/>
        <v/>
      </c>
      <c r="AI82" s="64"/>
      <c r="AJ82" s="65"/>
      <c r="AK82" s="64"/>
      <c r="AL82" s="65"/>
      <c r="BB82" s="55" t="str">
        <f t="shared" si="14"/>
        <v/>
      </c>
      <c r="BC82" s="55" t="str">
        <f t="shared" si="15"/>
        <v/>
      </c>
      <c r="BD82" s="55" t="str">
        <f t="shared" si="16"/>
        <v/>
      </c>
      <c r="BE82" s="55" t="str">
        <f t="shared" si="17"/>
        <v/>
      </c>
      <c r="BF82" s="55" t="str">
        <f t="shared" si="18"/>
        <v/>
      </c>
      <c r="BG82" s="55" t="str">
        <f t="shared" si="19"/>
        <v/>
      </c>
      <c r="BH82" s="55" t="str">
        <f t="shared" si="20"/>
        <v/>
      </c>
      <c r="BI82" s="55" t="str">
        <f t="shared" si="21"/>
        <v/>
      </c>
      <c r="BJ82" s="55" t="str">
        <f t="shared" si="22"/>
        <v/>
      </c>
      <c r="BK82" s="55" t="str">
        <f t="shared" si="23"/>
        <v/>
      </c>
    </row>
    <row r="83" spans="20:63">
      <c r="T83" s="55" t="s">
        <v>362</v>
      </c>
      <c r="U83" s="55">
        <v>6536</v>
      </c>
      <c r="V83" s="55">
        <f t="shared" ca="1" si="12"/>
        <v>1</v>
      </c>
      <c r="W83" s="64"/>
      <c r="X83" s="65"/>
      <c r="Y83" s="65"/>
      <c r="Z83" s="65"/>
      <c r="AA83" s="64"/>
      <c r="AB83" s="65"/>
      <c r="AC83" s="64"/>
      <c r="AD83" s="65"/>
      <c r="AE83" s="64"/>
      <c r="AF83" s="65"/>
      <c r="AG83" s="65"/>
      <c r="AH83" s="66" t="str">
        <f t="shared" si="13"/>
        <v/>
      </c>
      <c r="AI83" s="64"/>
      <c r="AJ83" s="65"/>
      <c r="AK83" s="64"/>
      <c r="AL83" s="65"/>
      <c r="BB83" s="55" t="str">
        <f t="shared" si="14"/>
        <v/>
      </c>
      <c r="BC83" s="55" t="str">
        <f t="shared" si="15"/>
        <v/>
      </c>
      <c r="BD83" s="55" t="str">
        <f t="shared" si="16"/>
        <v/>
      </c>
      <c r="BE83" s="55" t="str">
        <f t="shared" si="17"/>
        <v/>
      </c>
      <c r="BF83" s="55" t="str">
        <f t="shared" si="18"/>
        <v/>
      </c>
      <c r="BG83" s="55" t="str">
        <f t="shared" si="19"/>
        <v/>
      </c>
      <c r="BH83" s="55" t="str">
        <f t="shared" si="20"/>
        <v/>
      </c>
      <c r="BI83" s="55" t="str">
        <f t="shared" si="21"/>
        <v/>
      </c>
      <c r="BJ83" s="55" t="str">
        <f t="shared" si="22"/>
        <v/>
      </c>
      <c r="BK83" s="55" t="str">
        <f t="shared" si="23"/>
        <v/>
      </c>
    </row>
    <row r="84" spans="20:63">
      <c r="T84" s="55" t="s">
        <v>363</v>
      </c>
      <c r="U84" s="55">
        <v>6537</v>
      </c>
      <c r="V84" s="55">
        <f t="shared" ca="1" si="12"/>
        <v>1</v>
      </c>
      <c r="W84" s="64"/>
      <c r="X84" s="65"/>
      <c r="Y84" s="65"/>
      <c r="Z84" s="65"/>
      <c r="AA84" s="64"/>
      <c r="AB84" s="65"/>
      <c r="AC84" s="64"/>
      <c r="AD84" s="65"/>
      <c r="AE84" s="64"/>
      <c r="AF84" s="65"/>
      <c r="AG84" s="65"/>
      <c r="AH84" s="66" t="str">
        <f t="shared" si="13"/>
        <v/>
      </c>
      <c r="AI84" s="64"/>
      <c r="AJ84" s="65"/>
      <c r="AK84" s="64"/>
      <c r="AL84" s="65"/>
      <c r="BB84" s="55" t="str">
        <f t="shared" si="14"/>
        <v/>
      </c>
      <c r="BC84" s="55" t="str">
        <f t="shared" si="15"/>
        <v/>
      </c>
      <c r="BD84" s="55" t="str">
        <f t="shared" si="16"/>
        <v/>
      </c>
      <c r="BE84" s="55" t="str">
        <f t="shared" si="17"/>
        <v/>
      </c>
      <c r="BF84" s="55" t="str">
        <f t="shared" si="18"/>
        <v/>
      </c>
      <c r="BG84" s="55" t="str">
        <f t="shared" si="19"/>
        <v/>
      </c>
      <c r="BH84" s="55" t="str">
        <f t="shared" si="20"/>
        <v/>
      </c>
      <c r="BI84" s="55" t="str">
        <f t="shared" si="21"/>
        <v/>
      </c>
      <c r="BJ84" s="55" t="str">
        <f t="shared" si="22"/>
        <v/>
      </c>
      <c r="BK84" s="55" t="str">
        <f t="shared" si="23"/>
        <v/>
      </c>
    </row>
    <row r="85" spans="20:63">
      <c r="T85" s="55" t="s">
        <v>364</v>
      </c>
      <c r="U85" s="55">
        <v>6538</v>
      </c>
      <c r="V85" s="55">
        <f t="shared" ca="1" si="12"/>
        <v>1</v>
      </c>
      <c r="W85" s="64"/>
      <c r="X85" s="65"/>
      <c r="Y85" s="65"/>
      <c r="Z85" s="65"/>
      <c r="AA85" s="64"/>
      <c r="AB85" s="65"/>
      <c r="AC85" s="64"/>
      <c r="AD85" s="65"/>
      <c r="AE85" s="64"/>
      <c r="AF85" s="65"/>
      <c r="AG85" s="65"/>
      <c r="AH85" s="66" t="str">
        <f t="shared" si="13"/>
        <v/>
      </c>
      <c r="AI85" s="64"/>
      <c r="AJ85" s="65"/>
      <c r="AK85" s="64"/>
      <c r="AL85" s="65"/>
      <c r="BB85" s="55" t="str">
        <f t="shared" si="14"/>
        <v/>
      </c>
      <c r="BC85" s="55" t="str">
        <f t="shared" si="15"/>
        <v/>
      </c>
      <c r="BD85" s="55" t="str">
        <f t="shared" si="16"/>
        <v/>
      </c>
      <c r="BE85" s="55" t="str">
        <f t="shared" si="17"/>
        <v/>
      </c>
      <c r="BF85" s="55" t="str">
        <f t="shared" si="18"/>
        <v/>
      </c>
      <c r="BG85" s="55" t="str">
        <f t="shared" si="19"/>
        <v/>
      </c>
      <c r="BH85" s="55" t="str">
        <f t="shared" si="20"/>
        <v/>
      </c>
      <c r="BI85" s="55" t="str">
        <f t="shared" si="21"/>
        <v/>
      </c>
      <c r="BJ85" s="55" t="str">
        <f t="shared" si="22"/>
        <v/>
      </c>
      <c r="BK85" s="55" t="str">
        <f t="shared" si="23"/>
        <v/>
      </c>
    </row>
    <row r="86" spans="20:63">
      <c r="T86" s="55" t="s">
        <v>365</v>
      </c>
      <c r="U86" s="55">
        <v>6539</v>
      </c>
      <c r="V86" s="55">
        <f t="shared" ca="1" si="12"/>
        <v>1</v>
      </c>
      <c r="W86" s="64"/>
      <c r="X86" s="65"/>
      <c r="Y86" s="65"/>
      <c r="Z86" s="65"/>
      <c r="AA86" s="64"/>
      <c r="AB86" s="65"/>
      <c r="AC86" s="64"/>
      <c r="AD86" s="65"/>
      <c r="AE86" s="64"/>
      <c r="AF86" s="65"/>
      <c r="AG86" s="65"/>
      <c r="AH86" s="66" t="str">
        <f t="shared" si="13"/>
        <v/>
      </c>
      <c r="AI86" s="64"/>
      <c r="AJ86" s="65"/>
      <c r="AK86" s="64"/>
      <c r="AL86" s="65"/>
      <c r="BB86" s="55" t="str">
        <f t="shared" si="14"/>
        <v/>
      </c>
      <c r="BC86" s="55" t="str">
        <f t="shared" si="15"/>
        <v/>
      </c>
      <c r="BD86" s="55" t="str">
        <f t="shared" si="16"/>
        <v/>
      </c>
      <c r="BE86" s="55" t="str">
        <f t="shared" si="17"/>
        <v/>
      </c>
      <c r="BF86" s="55" t="str">
        <f t="shared" si="18"/>
        <v/>
      </c>
      <c r="BG86" s="55" t="str">
        <f t="shared" si="19"/>
        <v/>
      </c>
      <c r="BH86" s="55" t="str">
        <f t="shared" si="20"/>
        <v/>
      </c>
      <c r="BI86" s="55" t="str">
        <f t="shared" si="21"/>
        <v/>
      </c>
      <c r="BJ86" s="55" t="str">
        <f t="shared" si="22"/>
        <v/>
      </c>
      <c r="BK86" s="55" t="str">
        <f t="shared" si="23"/>
        <v/>
      </c>
    </row>
    <row r="87" spans="20:63">
      <c r="T87" s="55" t="s">
        <v>366</v>
      </c>
      <c r="U87" s="55">
        <v>6540</v>
      </c>
      <c r="V87" s="55">
        <f t="shared" ca="1" si="12"/>
        <v>1</v>
      </c>
      <c r="W87" s="64"/>
      <c r="X87" s="65"/>
      <c r="Y87" s="65"/>
      <c r="Z87" s="65"/>
      <c r="AA87" s="64"/>
      <c r="AB87" s="65"/>
      <c r="AC87" s="64"/>
      <c r="AD87" s="65"/>
      <c r="AE87" s="64"/>
      <c r="AF87" s="65"/>
      <c r="AG87" s="65"/>
      <c r="AH87" s="66" t="str">
        <f t="shared" si="13"/>
        <v/>
      </c>
      <c r="AI87" s="64"/>
      <c r="AJ87" s="65"/>
      <c r="AK87" s="64"/>
      <c r="AL87" s="65"/>
      <c r="BB87" s="55" t="str">
        <f t="shared" si="14"/>
        <v/>
      </c>
      <c r="BC87" s="55" t="str">
        <f t="shared" si="15"/>
        <v/>
      </c>
      <c r="BD87" s="55" t="str">
        <f t="shared" si="16"/>
        <v/>
      </c>
      <c r="BE87" s="55" t="str">
        <f t="shared" si="17"/>
        <v/>
      </c>
      <c r="BF87" s="55" t="str">
        <f t="shared" si="18"/>
        <v/>
      </c>
      <c r="BG87" s="55" t="str">
        <f t="shared" si="19"/>
        <v/>
      </c>
      <c r="BH87" s="55" t="str">
        <f t="shared" si="20"/>
        <v/>
      </c>
      <c r="BI87" s="55" t="str">
        <f t="shared" si="21"/>
        <v/>
      </c>
      <c r="BJ87" s="55" t="str">
        <f t="shared" si="22"/>
        <v/>
      </c>
      <c r="BK87" s="55" t="str">
        <f t="shared" si="23"/>
        <v/>
      </c>
    </row>
    <row r="88" spans="20:63">
      <c r="T88" s="55" t="s">
        <v>367</v>
      </c>
      <c r="U88" s="55">
        <v>6541</v>
      </c>
      <c r="V88" s="55">
        <f t="shared" ca="1" si="12"/>
        <v>1</v>
      </c>
      <c r="W88" s="64"/>
      <c r="X88" s="65"/>
      <c r="Y88" s="65"/>
      <c r="Z88" s="65"/>
      <c r="AA88" s="64"/>
      <c r="AB88" s="65"/>
      <c r="AC88" s="64"/>
      <c r="AD88" s="65"/>
      <c r="AE88" s="64"/>
      <c r="AF88" s="65"/>
      <c r="AG88" s="65"/>
      <c r="AH88" s="66" t="str">
        <f t="shared" si="13"/>
        <v/>
      </c>
      <c r="AI88" s="64"/>
      <c r="AJ88" s="65"/>
      <c r="AK88" s="64"/>
      <c r="AL88" s="65"/>
      <c r="BB88" s="55" t="str">
        <f t="shared" si="14"/>
        <v/>
      </c>
      <c r="BC88" s="55" t="str">
        <f t="shared" si="15"/>
        <v/>
      </c>
      <c r="BD88" s="55" t="str">
        <f t="shared" si="16"/>
        <v/>
      </c>
      <c r="BE88" s="55" t="str">
        <f t="shared" si="17"/>
        <v/>
      </c>
      <c r="BF88" s="55" t="str">
        <f t="shared" si="18"/>
        <v/>
      </c>
      <c r="BG88" s="55" t="str">
        <f t="shared" si="19"/>
        <v/>
      </c>
      <c r="BH88" s="55" t="str">
        <f t="shared" si="20"/>
        <v/>
      </c>
      <c r="BI88" s="55" t="str">
        <f t="shared" si="21"/>
        <v/>
      </c>
      <c r="BJ88" s="55" t="str">
        <f t="shared" si="22"/>
        <v/>
      </c>
      <c r="BK88" s="55" t="str">
        <f t="shared" si="23"/>
        <v/>
      </c>
    </row>
    <row r="89" spans="20:63">
      <c r="T89" s="55" t="s">
        <v>368</v>
      </c>
      <c r="U89" s="55">
        <v>6542</v>
      </c>
      <c r="V89" s="55">
        <f t="shared" ca="1" si="12"/>
        <v>1</v>
      </c>
      <c r="W89" s="64"/>
      <c r="X89" s="65"/>
      <c r="Y89" s="65"/>
      <c r="Z89" s="65"/>
      <c r="AA89" s="64"/>
      <c r="AB89" s="65"/>
      <c r="AC89" s="64"/>
      <c r="AD89" s="65"/>
      <c r="AE89" s="64"/>
      <c r="AF89" s="65"/>
      <c r="AG89" s="65"/>
      <c r="AH89" s="66" t="str">
        <f t="shared" si="13"/>
        <v/>
      </c>
      <c r="AI89" s="64"/>
      <c r="AJ89" s="65"/>
      <c r="AK89" s="64"/>
      <c r="AL89" s="65"/>
      <c r="BB89" s="55" t="str">
        <f t="shared" si="14"/>
        <v/>
      </c>
      <c r="BC89" s="55" t="str">
        <f t="shared" si="15"/>
        <v/>
      </c>
      <c r="BD89" s="55" t="str">
        <f t="shared" si="16"/>
        <v/>
      </c>
      <c r="BE89" s="55" t="str">
        <f t="shared" si="17"/>
        <v/>
      </c>
      <c r="BF89" s="55" t="str">
        <f t="shared" si="18"/>
        <v/>
      </c>
      <c r="BG89" s="55" t="str">
        <f t="shared" si="19"/>
        <v/>
      </c>
      <c r="BH89" s="55" t="str">
        <f t="shared" si="20"/>
        <v/>
      </c>
      <c r="BI89" s="55" t="str">
        <f t="shared" si="21"/>
        <v/>
      </c>
      <c r="BJ89" s="55" t="str">
        <f t="shared" si="22"/>
        <v/>
      </c>
      <c r="BK89" s="55" t="str">
        <f t="shared" si="23"/>
        <v/>
      </c>
    </row>
    <row r="90" spans="20:63">
      <c r="T90" s="55" t="s">
        <v>369</v>
      </c>
      <c r="U90" s="55">
        <v>6543</v>
      </c>
      <c r="V90" s="55">
        <f t="shared" ca="1" si="12"/>
        <v>1</v>
      </c>
      <c r="W90" s="64"/>
      <c r="X90" s="65"/>
      <c r="Y90" s="65"/>
      <c r="Z90" s="65"/>
      <c r="AA90" s="64"/>
      <c r="AB90" s="65"/>
      <c r="AC90" s="64"/>
      <c r="AD90" s="65"/>
      <c r="AE90" s="64"/>
      <c r="AF90" s="65"/>
      <c r="AG90" s="65"/>
      <c r="AH90" s="66" t="str">
        <f t="shared" si="13"/>
        <v/>
      </c>
      <c r="AI90" s="64"/>
      <c r="AJ90" s="65"/>
      <c r="AK90" s="64"/>
      <c r="AL90" s="65"/>
      <c r="BB90" s="55" t="str">
        <f t="shared" si="14"/>
        <v/>
      </c>
      <c r="BC90" s="55" t="str">
        <f t="shared" si="15"/>
        <v/>
      </c>
      <c r="BD90" s="55" t="str">
        <f t="shared" si="16"/>
        <v/>
      </c>
      <c r="BE90" s="55" t="str">
        <f t="shared" si="17"/>
        <v/>
      </c>
      <c r="BF90" s="55" t="str">
        <f t="shared" si="18"/>
        <v/>
      </c>
      <c r="BG90" s="55" t="str">
        <f t="shared" si="19"/>
        <v/>
      </c>
      <c r="BH90" s="55" t="str">
        <f t="shared" si="20"/>
        <v/>
      </c>
      <c r="BI90" s="55" t="str">
        <f t="shared" si="21"/>
        <v/>
      </c>
      <c r="BJ90" s="55" t="str">
        <f t="shared" si="22"/>
        <v/>
      </c>
      <c r="BK90" s="55" t="str">
        <f t="shared" si="23"/>
        <v/>
      </c>
    </row>
    <row r="91" spans="20:63">
      <c r="T91" s="55" t="s">
        <v>370</v>
      </c>
      <c r="U91" s="55">
        <v>6544</v>
      </c>
      <c r="V91" s="55">
        <f t="shared" ca="1" si="12"/>
        <v>1</v>
      </c>
      <c r="W91" s="64"/>
      <c r="X91" s="65"/>
      <c r="Y91" s="65"/>
      <c r="Z91" s="65"/>
      <c r="AA91" s="64"/>
      <c r="AB91" s="65"/>
      <c r="AC91" s="64"/>
      <c r="AD91" s="65"/>
      <c r="AE91" s="64"/>
      <c r="AF91" s="65"/>
      <c r="AG91" s="65"/>
      <c r="AH91" s="66" t="str">
        <f t="shared" si="13"/>
        <v/>
      </c>
      <c r="AI91" s="64"/>
      <c r="AJ91" s="65"/>
      <c r="AK91" s="64"/>
      <c r="AL91" s="65"/>
      <c r="BB91" s="55" t="str">
        <f t="shared" si="14"/>
        <v/>
      </c>
      <c r="BC91" s="55" t="str">
        <f t="shared" si="15"/>
        <v/>
      </c>
      <c r="BD91" s="55" t="str">
        <f t="shared" si="16"/>
        <v/>
      </c>
      <c r="BE91" s="55" t="str">
        <f t="shared" si="17"/>
        <v/>
      </c>
      <c r="BF91" s="55" t="str">
        <f t="shared" si="18"/>
        <v/>
      </c>
      <c r="BG91" s="55" t="str">
        <f t="shared" si="19"/>
        <v/>
      </c>
      <c r="BH91" s="55" t="str">
        <f t="shared" si="20"/>
        <v/>
      </c>
      <c r="BI91" s="55" t="str">
        <f t="shared" si="21"/>
        <v/>
      </c>
      <c r="BJ91" s="55" t="str">
        <f t="shared" si="22"/>
        <v/>
      </c>
      <c r="BK91" s="55" t="str">
        <f t="shared" si="23"/>
        <v/>
      </c>
    </row>
    <row r="92" spans="20:63">
      <c r="T92" s="55" t="s">
        <v>371</v>
      </c>
      <c r="U92" s="55">
        <v>6545</v>
      </c>
      <c r="V92" s="55">
        <f t="shared" ca="1" si="12"/>
        <v>1</v>
      </c>
      <c r="W92" s="64"/>
      <c r="X92" s="65"/>
      <c r="Y92" s="65"/>
      <c r="Z92" s="65"/>
      <c r="AA92" s="64"/>
      <c r="AB92" s="65"/>
      <c r="AC92" s="64"/>
      <c r="AD92" s="65"/>
      <c r="AE92" s="64"/>
      <c r="AF92" s="65"/>
      <c r="AG92" s="65"/>
      <c r="AH92" s="66" t="str">
        <f t="shared" si="13"/>
        <v/>
      </c>
      <c r="AI92" s="64"/>
      <c r="AJ92" s="65"/>
      <c r="AK92" s="64"/>
      <c r="AL92" s="65"/>
      <c r="BB92" s="55" t="str">
        <f t="shared" si="14"/>
        <v/>
      </c>
      <c r="BC92" s="55" t="str">
        <f t="shared" si="15"/>
        <v/>
      </c>
      <c r="BD92" s="55" t="str">
        <f t="shared" si="16"/>
        <v/>
      </c>
      <c r="BE92" s="55" t="str">
        <f t="shared" si="17"/>
        <v/>
      </c>
      <c r="BF92" s="55" t="str">
        <f t="shared" si="18"/>
        <v/>
      </c>
      <c r="BG92" s="55" t="str">
        <f t="shared" si="19"/>
        <v/>
      </c>
      <c r="BH92" s="55" t="str">
        <f t="shared" si="20"/>
        <v/>
      </c>
      <c r="BI92" s="55" t="str">
        <f t="shared" si="21"/>
        <v/>
      </c>
      <c r="BJ92" s="55" t="str">
        <f t="shared" si="22"/>
        <v/>
      </c>
      <c r="BK92" s="55" t="str">
        <f t="shared" si="23"/>
        <v/>
      </c>
    </row>
    <row r="93" spans="20:63">
      <c r="T93" s="55" t="s">
        <v>372</v>
      </c>
      <c r="U93" s="55">
        <v>32492</v>
      </c>
      <c r="V93" s="55">
        <f t="shared" ca="1" si="12"/>
        <v>1</v>
      </c>
      <c r="W93" s="64"/>
      <c r="X93" s="65"/>
      <c r="Y93" s="65"/>
      <c r="Z93" s="65"/>
      <c r="AA93" s="64"/>
      <c r="AB93" s="65"/>
      <c r="AC93" s="64"/>
      <c r="AD93" s="65"/>
      <c r="AE93" s="64"/>
      <c r="AF93" s="65"/>
      <c r="AG93" s="65"/>
      <c r="AH93" s="66" t="str">
        <f t="shared" si="13"/>
        <v/>
      </c>
      <c r="AI93" s="64"/>
      <c r="AJ93" s="65"/>
      <c r="AK93" s="64"/>
      <c r="AL93" s="65"/>
      <c r="BB93" s="55" t="str">
        <f t="shared" si="14"/>
        <v/>
      </c>
      <c r="BC93" s="55" t="str">
        <f t="shared" si="15"/>
        <v/>
      </c>
      <c r="BD93" s="55" t="str">
        <f t="shared" si="16"/>
        <v/>
      </c>
      <c r="BE93" s="55" t="str">
        <f t="shared" si="17"/>
        <v/>
      </c>
      <c r="BF93" s="55" t="str">
        <f t="shared" si="18"/>
        <v/>
      </c>
      <c r="BG93" s="55" t="str">
        <f t="shared" si="19"/>
        <v/>
      </c>
      <c r="BH93" s="55" t="str">
        <f t="shared" si="20"/>
        <v/>
      </c>
      <c r="BI93" s="55" t="str">
        <f t="shared" si="21"/>
        <v/>
      </c>
      <c r="BJ93" s="55" t="str">
        <f t="shared" si="22"/>
        <v/>
      </c>
      <c r="BK93" s="55" t="str">
        <f t="shared" si="23"/>
        <v/>
      </c>
    </row>
    <row r="94" spans="20:63">
      <c r="T94" s="55" t="s">
        <v>373</v>
      </c>
      <c r="U94" s="55">
        <v>32613</v>
      </c>
      <c r="V94" s="55">
        <f t="shared" ca="1" si="12"/>
        <v>1</v>
      </c>
      <c r="W94" s="64"/>
      <c r="X94" s="65"/>
      <c r="Y94" s="65"/>
      <c r="Z94" s="65"/>
      <c r="AA94" s="64"/>
      <c r="AB94" s="65"/>
      <c r="AC94" s="64"/>
      <c r="AD94" s="65"/>
      <c r="AE94" s="64"/>
      <c r="AF94" s="65"/>
      <c r="AG94" s="65"/>
      <c r="AH94" s="66" t="str">
        <f t="shared" si="13"/>
        <v/>
      </c>
      <c r="AI94" s="64"/>
      <c r="AJ94" s="65"/>
      <c r="AK94" s="64"/>
      <c r="AL94" s="65"/>
      <c r="BB94" s="55" t="str">
        <f t="shared" si="14"/>
        <v/>
      </c>
      <c r="BC94" s="55" t="str">
        <f t="shared" si="15"/>
        <v/>
      </c>
      <c r="BD94" s="55" t="str">
        <f t="shared" si="16"/>
        <v/>
      </c>
      <c r="BE94" s="55" t="str">
        <f t="shared" si="17"/>
        <v/>
      </c>
      <c r="BF94" s="55" t="str">
        <f t="shared" si="18"/>
        <v/>
      </c>
      <c r="BG94" s="55" t="str">
        <f t="shared" si="19"/>
        <v/>
      </c>
      <c r="BH94" s="55" t="str">
        <f t="shared" si="20"/>
        <v/>
      </c>
      <c r="BI94" s="55" t="str">
        <f t="shared" si="21"/>
        <v/>
      </c>
      <c r="BJ94" s="55" t="str">
        <f t="shared" si="22"/>
        <v/>
      </c>
      <c r="BK94" s="55" t="str">
        <f t="shared" si="23"/>
        <v/>
      </c>
    </row>
    <row r="95" spans="20:63">
      <c r="T95" s="55" t="s">
        <v>374</v>
      </c>
      <c r="U95" s="55">
        <v>32793</v>
      </c>
      <c r="V95" s="55">
        <f t="shared" ca="1" si="12"/>
        <v>1</v>
      </c>
      <c r="W95" s="64"/>
      <c r="X95" s="65"/>
      <c r="Y95" s="65"/>
      <c r="Z95" s="65"/>
      <c r="AA95" s="64"/>
      <c r="AB95" s="65"/>
      <c r="AC95" s="64"/>
      <c r="AD95" s="65"/>
      <c r="AE95" s="64"/>
      <c r="AF95" s="65"/>
      <c r="AG95" s="65"/>
      <c r="AH95" s="66" t="str">
        <f t="shared" si="13"/>
        <v/>
      </c>
      <c r="AI95" s="64"/>
      <c r="AJ95" s="65"/>
      <c r="AK95" s="64"/>
      <c r="AL95" s="65"/>
      <c r="BB95" s="55" t="str">
        <f t="shared" si="14"/>
        <v/>
      </c>
      <c r="BC95" s="55" t="str">
        <f t="shared" si="15"/>
        <v/>
      </c>
      <c r="BD95" s="55" t="str">
        <f t="shared" si="16"/>
        <v/>
      </c>
      <c r="BE95" s="55" t="str">
        <f t="shared" si="17"/>
        <v/>
      </c>
      <c r="BF95" s="55" t="str">
        <f t="shared" si="18"/>
        <v/>
      </c>
      <c r="BG95" s="55" t="str">
        <f t="shared" si="19"/>
        <v/>
      </c>
      <c r="BH95" s="55" t="str">
        <f t="shared" si="20"/>
        <v/>
      </c>
      <c r="BI95" s="55" t="str">
        <f t="shared" si="21"/>
        <v/>
      </c>
      <c r="BJ95" s="55" t="str">
        <f t="shared" si="22"/>
        <v/>
      </c>
      <c r="BK95" s="55" t="str">
        <f t="shared" si="23"/>
        <v/>
      </c>
    </row>
    <row r="96" spans="20:63">
      <c r="T96" s="55" t="s">
        <v>375</v>
      </c>
      <c r="U96" s="55">
        <v>36547</v>
      </c>
      <c r="V96" s="55">
        <f t="shared" ca="1" si="12"/>
        <v>1</v>
      </c>
      <c r="W96" s="64"/>
      <c r="X96" s="65"/>
      <c r="Y96" s="65"/>
      <c r="Z96" s="65"/>
      <c r="AA96" s="64"/>
      <c r="AB96" s="65"/>
      <c r="AC96" s="64"/>
      <c r="AD96" s="65"/>
      <c r="AE96" s="64"/>
      <c r="AF96" s="65"/>
      <c r="AG96" s="65"/>
      <c r="AH96" s="66" t="str">
        <f t="shared" si="13"/>
        <v/>
      </c>
      <c r="AI96" s="64"/>
      <c r="AJ96" s="65"/>
      <c r="AK96" s="64"/>
      <c r="AL96" s="65"/>
      <c r="BB96" s="55" t="str">
        <f t="shared" si="14"/>
        <v/>
      </c>
      <c r="BC96" s="55" t="str">
        <f t="shared" si="15"/>
        <v/>
      </c>
      <c r="BD96" s="55" t="str">
        <f t="shared" si="16"/>
        <v/>
      </c>
      <c r="BE96" s="55" t="str">
        <f t="shared" si="17"/>
        <v/>
      </c>
      <c r="BF96" s="55" t="str">
        <f t="shared" si="18"/>
        <v/>
      </c>
      <c r="BG96" s="55" t="str">
        <f t="shared" si="19"/>
        <v/>
      </c>
      <c r="BH96" s="55" t="str">
        <f t="shared" si="20"/>
        <v/>
      </c>
      <c r="BI96" s="55" t="str">
        <f t="shared" si="21"/>
        <v/>
      </c>
      <c r="BJ96" s="55" t="str">
        <f t="shared" si="22"/>
        <v/>
      </c>
      <c r="BK96" s="55" t="str">
        <f t="shared" si="23"/>
        <v/>
      </c>
    </row>
    <row r="97" spans="20:63">
      <c r="T97" s="55" t="s">
        <v>376</v>
      </c>
      <c r="U97" s="55">
        <v>37211</v>
      </c>
      <c r="V97" s="55">
        <f t="shared" ca="1" si="12"/>
        <v>1</v>
      </c>
      <c r="W97" s="64"/>
      <c r="X97" s="65"/>
      <c r="Y97" s="65"/>
      <c r="Z97" s="65"/>
      <c r="AA97" s="64"/>
      <c r="AB97" s="65"/>
      <c r="AC97" s="64"/>
      <c r="AD97" s="65"/>
      <c r="AE97" s="64"/>
      <c r="AF97" s="65"/>
      <c r="AG97" s="65"/>
      <c r="AH97" s="66" t="str">
        <f t="shared" si="13"/>
        <v/>
      </c>
      <c r="AI97" s="64"/>
      <c r="AJ97" s="65"/>
      <c r="AK97" s="64"/>
      <c r="AL97" s="65"/>
      <c r="BB97" s="55" t="str">
        <f t="shared" si="14"/>
        <v/>
      </c>
      <c r="BC97" s="55" t="str">
        <f t="shared" si="15"/>
        <v/>
      </c>
      <c r="BD97" s="55" t="str">
        <f t="shared" si="16"/>
        <v/>
      </c>
      <c r="BE97" s="55" t="str">
        <f t="shared" si="17"/>
        <v/>
      </c>
      <c r="BF97" s="55" t="str">
        <f t="shared" si="18"/>
        <v/>
      </c>
      <c r="BG97" s="55" t="str">
        <f t="shared" si="19"/>
        <v/>
      </c>
      <c r="BH97" s="55" t="str">
        <f t="shared" si="20"/>
        <v/>
      </c>
      <c r="BI97" s="55" t="str">
        <f t="shared" si="21"/>
        <v/>
      </c>
      <c r="BJ97" s="55" t="str">
        <f t="shared" si="22"/>
        <v/>
      </c>
      <c r="BK97" s="55" t="str">
        <f t="shared" si="23"/>
        <v/>
      </c>
    </row>
    <row r="98" spans="20:63">
      <c r="T98" s="55" t="s">
        <v>377</v>
      </c>
      <c r="U98" s="55">
        <v>38677</v>
      </c>
      <c r="V98" s="55">
        <f t="shared" ca="1" si="12"/>
        <v>1</v>
      </c>
      <c r="W98" s="64"/>
      <c r="X98" s="65"/>
      <c r="Y98" s="65"/>
      <c r="Z98" s="65"/>
      <c r="AA98" s="64"/>
      <c r="AB98" s="65"/>
      <c r="AC98" s="64"/>
      <c r="AD98" s="65"/>
      <c r="AE98" s="64"/>
      <c r="AF98" s="65"/>
      <c r="AG98" s="65"/>
      <c r="AH98" s="66" t="str">
        <f t="shared" si="13"/>
        <v/>
      </c>
      <c r="AI98" s="64"/>
      <c r="AJ98" s="65"/>
      <c r="AK98" s="64"/>
      <c r="AL98" s="65"/>
      <c r="BB98" s="55" t="str">
        <f t="shared" si="14"/>
        <v/>
      </c>
      <c r="BC98" s="55" t="str">
        <f t="shared" si="15"/>
        <v/>
      </c>
      <c r="BD98" s="55" t="str">
        <f t="shared" si="16"/>
        <v/>
      </c>
      <c r="BE98" s="55" t="str">
        <f t="shared" si="17"/>
        <v/>
      </c>
      <c r="BF98" s="55" t="str">
        <f t="shared" si="18"/>
        <v/>
      </c>
      <c r="BG98" s="55" t="str">
        <f t="shared" si="19"/>
        <v/>
      </c>
      <c r="BH98" s="55" t="str">
        <f t="shared" si="20"/>
        <v/>
      </c>
      <c r="BI98" s="55" t="str">
        <f t="shared" si="21"/>
        <v/>
      </c>
      <c r="BJ98" s="55" t="str">
        <f t="shared" si="22"/>
        <v/>
      </c>
      <c r="BK98" s="55" t="str">
        <f t="shared" si="23"/>
        <v/>
      </c>
    </row>
    <row r="99" spans="20:63">
      <c r="T99" s="55" t="s">
        <v>378</v>
      </c>
      <c r="U99" s="55">
        <v>38678</v>
      </c>
      <c r="V99" s="55">
        <f t="shared" ca="1" si="12"/>
        <v>1</v>
      </c>
      <c r="W99" s="64"/>
      <c r="X99" s="65"/>
      <c r="Y99" s="65"/>
      <c r="Z99" s="65"/>
      <c r="AA99" s="64"/>
      <c r="AB99" s="65"/>
      <c r="AC99" s="64"/>
      <c r="AD99" s="65"/>
      <c r="AE99" s="64"/>
      <c r="AF99" s="65"/>
      <c r="AG99" s="65"/>
      <c r="AH99" s="66" t="str">
        <f t="shared" si="13"/>
        <v/>
      </c>
      <c r="AI99" s="64"/>
      <c r="AJ99" s="65"/>
      <c r="AK99" s="64"/>
      <c r="AL99" s="65"/>
      <c r="BB99" s="55" t="str">
        <f t="shared" si="14"/>
        <v/>
      </c>
      <c r="BC99" s="55" t="str">
        <f t="shared" si="15"/>
        <v/>
      </c>
      <c r="BD99" s="55" t="str">
        <f t="shared" si="16"/>
        <v/>
      </c>
      <c r="BE99" s="55" t="str">
        <f t="shared" si="17"/>
        <v/>
      </c>
      <c r="BF99" s="55" t="str">
        <f t="shared" si="18"/>
        <v/>
      </c>
      <c r="BG99" s="55" t="str">
        <f t="shared" si="19"/>
        <v/>
      </c>
      <c r="BH99" s="55" t="str">
        <f t="shared" si="20"/>
        <v/>
      </c>
      <c r="BI99" s="55" t="str">
        <f t="shared" si="21"/>
        <v/>
      </c>
      <c r="BJ99" s="55" t="str">
        <f t="shared" si="22"/>
        <v/>
      </c>
      <c r="BK99" s="55" t="str">
        <f t="shared" si="23"/>
        <v/>
      </c>
    </row>
    <row r="100" spans="20:63">
      <c r="T100" s="55" t="s">
        <v>379</v>
      </c>
      <c r="U100" s="55">
        <v>38679</v>
      </c>
      <c r="V100" s="55">
        <f t="shared" ca="1" si="12"/>
        <v>1</v>
      </c>
      <c r="W100" s="64"/>
      <c r="X100" s="65"/>
      <c r="Y100" s="65"/>
      <c r="Z100" s="65"/>
      <c r="AA100" s="64"/>
      <c r="AB100" s="65"/>
      <c r="AC100" s="64"/>
      <c r="AD100" s="65"/>
      <c r="AE100" s="64"/>
      <c r="AF100" s="65"/>
      <c r="AG100" s="65"/>
      <c r="AH100" s="66" t="str">
        <f t="shared" si="13"/>
        <v/>
      </c>
      <c r="AI100" s="64"/>
      <c r="AJ100" s="65"/>
      <c r="AK100" s="64"/>
      <c r="AL100" s="65"/>
      <c r="BB100" s="55" t="str">
        <f t="shared" si="14"/>
        <v/>
      </c>
      <c r="BC100" s="55" t="str">
        <f t="shared" si="15"/>
        <v/>
      </c>
      <c r="BD100" s="55" t="str">
        <f t="shared" si="16"/>
        <v/>
      </c>
      <c r="BE100" s="55" t="str">
        <f t="shared" si="17"/>
        <v/>
      </c>
      <c r="BF100" s="55" t="str">
        <f t="shared" si="18"/>
        <v/>
      </c>
      <c r="BG100" s="55" t="str">
        <f t="shared" si="19"/>
        <v/>
      </c>
      <c r="BH100" s="55" t="str">
        <f t="shared" si="20"/>
        <v/>
      </c>
      <c r="BI100" s="55" t="str">
        <f t="shared" si="21"/>
        <v/>
      </c>
      <c r="BJ100" s="55" t="str">
        <f t="shared" si="22"/>
        <v/>
      </c>
      <c r="BK100" s="55" t="str">
        <f t="shared" si="23"/>
        <v/>
      </c>
    </row>
    <row r="101" spans="20:63">
      <c r="T101" s="55" t="s">
        <v>380</v>
      </c>
      <c r="U101" s="55">
        <v>38680</v>
      </c>
      <c r="V101" s="55">
        <f t="shared" ca="1" si="12"/>
        <v>1</v>
      </c>
      <c r="W101" s="64"/>
      <c r="X101" s="65"/>
      <c r="Y101" s="65"/>
      <c r="Z101" s="65"/>
      <c r="AA101" s="64"/>
      <c r="AB101" s="65"/>
      <c r="AC101" s="64"/>
      <c r="AD101" s="65"/>
      <c r="AE101" s="64"/>
      <c r="AF101" s="65"/>
      <c r="AG101" s="65"/>
      <c r="AH101" s="66" t="str">
        <f t="shared" si="13"/>
        <v/>
      </c>
      <c r="AI101" s="64"/>
      <c r="AJ101" s="65"/>
      <c r="AK101" s="64"/>
      <c r="AL101" s="65"/>
      <c r="BB101" s="55" t="str">
        <f t="shared" si="14"/>
        <v/>
      </c>
      <c r="BC101" s="55" t="str">
        <f t="shared" si="15"/>
        <v/>
      </c>
      <c r="BD101" s="55" t="str">
        <f t="shared" si="16"/>
        <v/>
      </c>
      <c r="BE101" s="55" t="str">
        <f t="shared" si="17"/>
        <v/>
      </c>
      <c r="BF101" s="55" t="str">
        <f t="shared" si="18"/>
        <v/>
      </c>
      <c r="BG101" s="55" t="str">
        <f t="shared" si="19"/>
        <v/>
      </c>
      <c r="BH101" s="55" t="str">
        <f t="shared" si="20"/>
        <v/>
      </c>
      <c r="BI101" s="55" t="str">
        <f t="shared" si="21"/>
        <v/>
      </c>
      <c r="BJ101" s="55" t="str">
        <f t="shared" si="22"/>
        <v/>
      </c>
      <c r="BK101" s="55" t="str">
        <f t="shared" si="23"/>
        <v/>
      </c>
    </row>
    <row r="102" spans="20:63">
      <c r="T102" s="55" t="s">
        <v>381</v>
      </c>
      <c r="U102" s="55">
        <v>38681</v>
      </c>
      <c r="V102" s="55">
        <f t="shared" ca="1" si="12"/>
        <v>1</v>
      </c>
      <c r="W102" s="64"/>
      <c r="X102" s="65"/>
      <c r="Y102" s="65"/>
      <c r="Z102" s="65"/>
      <c r="AA102" s="64"/>
      <c r="AB102" s="65"/>
      <c r="AC102" s="64"/>
      <c r="AD102" s="65"/>
      <c r="AE102" s="64"/>
      <c r="AF102" s="65"/>
      <c r="AG102" s="65"/>
      <c r="AH102" s="66" t="str">
        <f t="shared" si="13"/>
        <v/>
      </c>
      <c r="AI102" s="64"/>
      <c r="AJ102" s="65"/>
      <c r="AK102" s="64"/>
      <c r="AL102" s="65"/>
      <c r="BB102" s="55" t="str">
        <f t="shared" si="14"/>
        <v/>
      </c>
      <c r="BC102" s="55" t="str">
        <f t="shared" si="15"/>
        <v/>
      </c>
      <c r="BD102" s="55" t="str">
        <f t="shared" si="16"/>
        <v/>
      </c>
      <c r="BE102" s="55" t="str">
        <f t="shared" si="17"/>
        <v/>
      </c>
      <c r="BF102" s="55" t="str">
        <f t="shared" si="18"/>
        <v/>
      </c>
      <c r="BG102" s="55" t="str">
        <f t="shared" si="19"/>
        <v/>
      </c>
      <c r="BH102" s="55" t="str">
        <f t="shared" si="20"/>
        <v/>
      </c>
      <c r="BI102" s="55" t="str">
        <f t="shared" si="21"/>
        <v/>
      </c>
      <c r="BJ102" s="55" t="str">
        <f t="shared" si="22"/>
        <v/>
      </c>
      <c r="BK102" s="55" t="str">
        <f t="shared" si="23"/>
        <v/>
      </c>
    </row>
    <row r="103" spans="20:63">
      <c r="T103" s="55" t="s">
        <v>382</v>
      </c>
      <c r="U103" s="55">
        <v>38682</v>
      </c>
      <c r="V103" s="55">
        <f t="shared" ca="1" si="12"/>
        <v>1</v>
      </c>
      <c r="W103" s="64"/>
      <c r="X103" s="65"/>
      <c r="Y103" s="65"/>
      <c r="Z103" s="65"/>
      <c r="AA103" s="64"/>
      <c r="AB103" s="65"/>
      <c r="AC103" s="64"/>
      <c r="AD103" s="65"/>
      <c r="AE103" s="64"/>
      <c r="AF103" s="65"/>
      <c r="AG103" s="65"/>
      <c r="AH103" s="66" t="str">
        <f t="shared" si="13"/>
        <v/>
      </c>
      <c r="AI103" s="64"/>
      <c r="AJ103" s="65"/>
      <c r="AK103" s="64"/>
      <c r="AL103" s="65"/>
      <c r="BB103" s="55" t="str">
        <f t="shared" si="14"/>
        <v/>
      </c>
      <c r="BC103" s="55" t="str">
        <f t="shared" si="15"/>
        <v/>
      </c>
      <c r="BD103" s="55" t="str">
        <f t="shared" si="16"/>
        <v/>
      </c>
      <c r="BE103" s="55" t="str">
        <f t="shared" si="17"/>
        <v/>
      </c>
      <c r="BF103" s="55" t="str">
        <f t="shared" si="18"/>
        <v/>
      </c>
      <c r="BG103" s="55" t="str">
        <f t="shared" si="19"/>
        <v/>
      </c>
      <c r="BH103" s="55" t="str">
        <f t="shared" si="20"/>
        <v/>
      </c>
      <c r="BI103" s="55" t="str">
        <f t="shared" si="21"/>
        <v/>
      </c>
      <c r="BJ103" s="55" t="str">
        <f t="shared" si="22"/>
        <v/>
      </c>
      <c r="BK103" s="55" t="str">
        <f t="shared" si="23"/>
        <v/>
      </c>
    </row>
    <row r="104" spans="20:63">
      <c r="T104" s="55" t="s">
        <v>383</v>
      </c>
      <c r="U104" s="55">
        <v>38683</v>
      </c>
      <c r="V104" s="55">
        <f t="shared" ca="1" si="12"/>
        <v>1</v>
      </c>
      <c r="W104" s="64"/>
      <c r="X104" s="65"/>
      <c r="Y104" s="65"/>
      <c r="Z104" s="65"/>
      <c r="AA104" s="64"/>
      <c r="AB104" s="65"/>
      <c r="AC104" s="64"/>
      <c r="AD104" s="65"/>
      <c r="AE104" s="64"/>
      <c r="AF104" s="65"/>
      <c r="AG104" s="65"/>
      <c r="AH104" s="66" t="str">
        <f t="shared" si="13"/>
        <v/>
      </c>
      <c r="AI104" s="64"/>
      <c r="AJ104" s="65"/>
      <c r="AK104" s="64"/>
      <c r="AL104" s="65"/>
      <c r="BB104" s="55" t="str">
        <f t="shared" si="14"/>
        <v/>
      </c>
      <c r="BC104" s="55" t="str">
        <f t="shared" si="15"/>
        <v/>
      </c>
      <c r="BD104" s="55" t="str">
        <f t="shared" si="16"/>
        <v/>
      </c>
      <c r="BE104" s="55" t="str">
        <f t="shared" si="17"/>
        <v/>
      </c>
      <c r="BF104" s="55" t="str">
        <f t="shared" si="18"/>
        <v/>
      </c>
      <c r="BG104" s="55" t="str">
        <f t="shared" si="19"/>
        <v/>
      </c>
      <c r="BH104" s="55" t="str">
        <f t="shared" si="20"/>
        <v/>
      </c>
      <c r="BI104" s="55" t="str">
        <f t="shared" si="21"/>
        <v/>
      </c>
      <c r="BJ104" s="55" t="str">
        <f t="shared" si="22"/>
        <v/>
      </c>
      <c r="BK104" s="55" t="str">
        <f t="shared" si="23"/>
        <v/>
      </c>
    </row>
    <row r="105" spans="20:63">
      <c r="T105" s="55" t="s">
        <v>384</v>
      </c>
      <c r="U105" s="55">
        <v>38684</v>
      </c>
      <c r="V105" s="55">
        <f t="shared" ca="1" si="12"/>
        <v>1</v>
      </c>
      <c r="W105" s="64"/>
      <c r="X105" s="65"/>
      <c r="Y105" s="65"/>
      <c r="Z105" s="65"/>
      <c r="AA105" s="64"/>
      <c r="AB105" s="65"/>
      <c r="AC105" s="64"/>
      <c r="AD105" s="65"/>
      <c r="AE105" s="64"/>
      <c r="AF105" s="65"/>
      <c r="AG105" s="65"/>
      <c r="AH105" s="66" t="str">
        <f t="shared" si="13"/>
        <v/>
      </c>
      <c r="AI105" s="64"/>
      <c r="AJ105" s="65"/>
      <c r="AK105" s="64"/>
      <c r="AL105" s="65"/>
      <c r="BB105" s="55" t="str">
        <f t="shared" si="14"/>
        <v/>
      </c>
      <c r="BC105" s="55" t="str">
        <f t="shared" si="15"/>
        <v/>
      </c>
      <c r="BD105" s="55" t="str">
        <f t="shared" si="16"/>
        <v/>
      </c>
      <c r="BE105" s="55" t="str">
        <f t="shared" si="17"/>
        <v/>
      </c>
      <c r="BF105" s="55" t="str">
        <f t="shared" si="18"/>
        <v/>
      </c>
      <c r="BG105" s="55" t="str">
        <f t="shared" si="19"/>
        <v/>
      </c>
      <c r="BH105" s="55" t="str">
        <f t="shared" si="20"/>
        <v/>
      </c>
      <c r="BI105" s="55" t="str">
        <f t="shared" si="21"/>
        <v/>
      </c>
      <c r="BJ105" s="55" t="str">
        <f t="shared" si="22"/>
        <v/>
      </c>
      <c r="BK105" s="55" t="str">
        <f t="shared" si="23"/>
        <v/>
      </c>
    </row>
    <row r="106" spans="20:63">
      <c r="T106" s="55" t="s">
        <v>385</v>
      </c>
      <c r="U106" s="55">
        <v>38685</v>
      </c>
      <c r="V106" s="55">
        <f t="shared" ca="1" si="12"/>
        <v>1</v>
      </c>
      <c r="W106" s="64"/>
      <c r="X106" s="65"/>
      <c r="Y106" s="65"/>
      <c r="Z106" s="65"/>
      <c r="AA106" s="64"/>
      <c r="AB106" s="65"/>
      <c r="AC106" s="64"/>
      <c r="AD106" s="65"/>
      <c r="AE106" s="64"/>
      <c r="AF106" s="65"/>
      <c r="AG106" s="65"/>
      <c r="AH106" s="66" t="str">
        <f t="shared" si="13"/>
        <v/>
      </c>
      <c r="AI106" s="64"/>
      <c r="AJ106" s="65"/>
      <c r="AK106" s="64"/>
      <c r="AL106" s="65"/>
      <c r="BB106" s="55" t="str">
        <f t="shared" si="14"/>
        <v/>
      </c>
      <c r="BC106" s="55" t="str">
        <f t="shared" si="15"/>
        <v/>
      </c>
      <c r="BD106" s="55" t="str">
        <f t="shared" si="16"/>
        <v/>
      </c>
      <c r="BE106" s="55" t="str">
        <f t="shared" si="17"/>
        <v/>
      </c>
      <c r="BF106" s="55" t="str">
        <f t="shared" si="18"/>
        <v/>
      </c>
      <c r="BG106" s="55" t="str">
        <f t="shared" si="19"/>
        <v/>
      </c>
      <c r="BH106" s="55" t="str">
        <f t="shared" si="20"/>
        <v/>
      </c>
      <c r="BI106" s="55" t="str">
        <f t="shared" si="21"/>
        <v/>
      </c>
      <c r="BJ106" s="55" t="str">
        <f t="shared" si="22"/>
        <v/>
      </c>
      <c r="BK106" s="55" t="str">
        <f t="shared" si="23"/>
        <v/>
      </c>
    </row>
    <row r="107" spans="20:63">
      <c r="T107" s="55" t="s">
        <v>386</v>
      </c>
      <c r="U107" s="55">
        <v>38686</v>
      </c>
      <c r="V107" s="55">
        <f t="shared" ca="1" si="12"/>
        <v>1</v>
      </c>
      <c r="W107" s="64"/>
      <c r="X107" s="65"/>
      <c r="Y107" s="65"/>
      <c r="Z107" s="65"/>
      <c r="AA107" s="64"/>
      <c r="AB107" s="65"/>
      <c r="AC107" s="64"/>
      <c r="AD107" s="65"/>
      <c r="AE107" s="64"/>
      <c r="AF107" s="65"/>
      <c r="AG107" s="65"/>
      <c r="AH107" s="66" t="str">
        <f t="shared" si="13"/>
        <v/>
      </c>
      <c r="AI107" s="64"/>
      <c r="AJ107" s="65"/>
      <c r="AK107" s="64"/>
      <c r="AL107" s="65"/>
      <c r="BB107" s="55" t="str">
        <f t="shared" si="14"/>
        <v/>
      </c>
      <c r="BC107" s="55" t="str">
        <f t="shared" si="15"/>
        <v/>
      </c>
      <c r="BD107" s="55" t="str">
        <f t="shared" si="16"/>
        <v/>
      </c>
      <c r="BE107" s="55" t="str">
        <f t="shared" si="17"/>
        <v/>
      </c>
      <c r="BF107" s="55" t="str">
        <f t="shared" si="18"/>
        <v/>
      </c>
      <c r="BG107" s="55" t="str">
        <f t="shared" si="19"/>
        <v/>
      </c>
      <c r="BH107" s="55" t="str">
        <f t="shared" si="20"/>
        <v/>
      </c>
      <c r="BI107" s="55" t="str">
        <f t="shared" si="21"/>
        <v/>
      </c>
      <c r="BJ107" s="55" t="str">
        <f t="shared" si="22"/>
        <v/>
      </c>
      <c r="BK107" s="55" t="str">
        <f t="shared" si="23"/>
        <v/>
      </c>
    </row>
    <row r="108" spans="20:63">
      <c r="T108" s="55" t="s">
        <v>387</v>
      </c>
      <c r="U108" s="55">
        <v>38687</v>
      </c>
      <c r="V108" s="55">
        <f t="shared" ca="1" si="12"/>
        <v>1</v>
      </c>
      <c r="W108" s="64"/>
      <c r="X108" s="65"/>
      <c r="Y108" s="65"/>
      <c r="Z108" s="65"/>
      <c r="AA108" s="64"/>
      <c r="AB108" s="65"/>
      <c r="AC108" s="64"/>
      <c r="AD108" s="65"/>
      <c r="AE108" s="64"/>
      <c r="AF108" s="65"/>
      <c r="AG108" s="65"/>
      <c r="AH108" s="66" t="str">
        <f t="shared" si="13"/>
        <v/>
      </c>
      <c r="AI108" s="64"/>
      <c r="AJ108" s="65"/>
      <c r="AK108" s="64"/>
      <c r="AL108" s="65"/>
      <c r="BB108" s="55" t="str">
        <f t="shared" si="14"/>
        <v/>
      </c>
      <c r="BC108" s="55" t="str">
        <f t="shared" si="15"/>
        <v/>
      </c>
      <c r="BD108" s="55" t="str">
        <f t="shared" si="16"/>
        <v/>
      </c>
      <c r="BE108" s="55" t="str">
        <f t="shared" si="17"/>
        <v/>
      </c>
      <c r="BF108" s="55" t="str">
        <f t="shared" si="18"/>
        <v/>
      </c>
      <c r="BG108" s="55" t="str">
        <f t="shared" si="19"/>
        <v/>
      </c>
      <c r="BH108" s="55" t="str">
        <f t="shared" si="20"/>
        <v/>
      </c>
      <c r="BI108" s="55" t="str">
        <f t="shared" si="21"/>
        <v/>
      </c>
      <c r="BJ108" s="55" t="str">
        <f t="shared" si="22"/>
        <v/>
      </c>
      <c r="BK108" s="55" t="str">
        <f t="shared" si="23"/>
        <v/>
      </c>
    </row>
    <row r="109" spans="20:63">
      <c r="T109" s="55" t="s">
        <v>388</v>
      </c>
      <c r="U109" s="55">
        <v>38688</v>
      </c>
      <c r="V109" s="55">
        <f t="shared" ca="1" si="12"/>
        <v>1</v>
      </c>
      <c r="W109" s="64"/>
      <c r="X109" s="65"/>
      <c r="Y109" s="65"/>
      <c r="Z109" s="65"/>
      <c r="AA109" s="64"/>
      <c r="AB109" s="65"/>
      <c r="AC109" s="64"/>
      <c r="AD109" s="65"/>
      <c r="AE109" s="64"/>
      <c r="AF109" s="65"/>
      <c r="AG109" s="65"/>
      <c r="AH109" s="66" t="str">
        <f t="shared" si="13"/>
        <v/>
      </c>
      <c r="AI109" s="64"/>
      <c r="AJ109" s="65"/>
      <c r="AK109" s="64"/>
      <c r="AL109" s="65"/>
      <c r="BB109" s="55" t="str">
        <f t="shared" si="14"/>
        <v/>
      </c>
      <c r="BC109" s="55" t="str">
        <f t="shared" si="15"/>
        <v/>
      </c>
      <c r="BD109" s="55" t="str">
        <f t="shared" si="16"/>
        <v/>
      </c>
      <c r="BE109" s="55" t="str">
        <f t="shared" si="17"/>
        <v/>
      </c>
      <c r="BF109" s="55" t="str">
        <f t="shared" si="18"/>
        <v/>
      </c>
      <c r="BG109" s="55" t="str">
        <f t="shared" si="19"/>
        <v/>
      </c>
      <c r="BH109" s="55" t="str">
        <f t="shared" si="20"/>
        <v/>
      </c>
      <c r="BI109" s="55" t="str">
        <f t="shared" si="21"/>
        <v/>
      </c>
      <c r="BJ109" s="55" t="str">
        <f t="shared" si="22"/>
        <v/>
      </c>
      <c r="BK109" s="55" t="str">
        <f t="shared" si="23"/>
        <v/>
      </c>
    </row>
    <row r="110" spans="20:63">
      <c r="T110" s="55" t="s">
        <v>389</v>
      </c>
      <c r="U110" s="55">
        <v>38689</v>
      </c>
      <c r="V110" s="55">
        <f t="shared" ca="1" si="12"/>
        <v>1</v>
      </c>
      <c r="W110" s="64"/>
      <c r="X110" s="65"/>
      <c r="Y110" s="65"/>
      <c r="Z110" s="65"/>
      <c r="AA110" s="64"/>
      <c r="AB110" s="65"/>
      <c r="AC110" s="64"/>
      <c r="AD110" s="65"/>
      <c r="AE110" s="64"/>
      <c r="AF110" s="65"/>
      <c r="AG110" s="65"/>
      <c r="AH110" s="66" t="str">
        <f t="shared" si="13"/>
        <v/>
      </c>
      <c r="AI110" s="64"/>
      <c r="AJ110" s="65"/>
      <c r="AK110" s="64"/>
      <c r="AL110" s="65"/>
      <c r="BB110" s="55" t="str">
        <f t="shared" si="14"/>
        <v/>
      </c>
      <c r="BC110" s="55" t="str">
        <f t="shared" si="15"/>
        <v/>
      </c>
      <c r="BD110" s="55" t="str">
        <f t="shared" si="16"/>
        <v/>
      </c>
      <c r="BE110" s="55" t="str">
        <f t="shared" si="17"/>
        <v/>
      </c>
      <c r="BF110" s="55" t="str">
        <f t="shared" si="18"/>
        <v/>
      </c>
      <c r="BG110" s="55" t="str">
        <f t="shared" si="19"/>
        <v/>
      </c>
      <c r="BH110" s="55" t="str">
        <f t="shared" si="20"/>
        <v/>
      </c>
      <c r="BI110" s="55" t="str">
        <f t="shared" si="21"/>
        <v/>
      </c>
      <c r="BJ110" s="55" t="str">
        <f t="shared" si="22"/>
        <v/>
      </c>
      <c r="BK110" s="55" t="str">
        <f t="shared" si="23"/>
        <v/>
      </c>
    </row>
    <row r="111" spans="20:63">
      <c r="T111" s="55" t="s">
        <v>390</v>
      </c>
      <c r="U111" s="55">
        <v>38690</v>
      </c>
      <c r="V111" s="55">
        <f t="shared" ca="1" si="12"/>
        <v>1</v>
      </c>
      <c r="W111" s="64"/>
      <c r="X111" s="65"/>
      <c r="Y111" s="65"/>
      <c r="Z111" s="65"/>
      <c r="AA111" s="64"/>
      <c r="AB111" s="65"/>
      <c r="AC111" s="64"/>
      <c r="AD111" s="65"/>
      <c r="AE111" s="64"/>
      <c r="AF111" s="65"/>
      <c r="AG111" s="65"/>
      <c r="AH111" s="66" t="str">
        <f t="shared" si="13"/>
        <v/>
      </c>
      <c r="AI111" s="64"/>
      <c r="AJ111" s="65"/>
      <c r="AK111" s="64"/>
      <c r="AL111" s="65"/>
      <c r="BB111" s="55" t="str">
        <f t="shared" si="14"/>
        <v/>
      </c>
      <c r="BC111" s="55" t="str">
        <f t="shared" si="15"/>
        <v/>
      </c>
      <c r="BD111" s="55" t="str">
        <f t="shared" si="16"/>
        <v/>
      </c>
      <c r="BE111" s="55" t="str">
        <f t="shared" si="17"/>
        <v/>
      </c>
      <c r="BF111" s="55" t="str">
        <f t="shared" si="18"/>
        <v/>
      </c>
      <c r="BG111" s="55" t="str">
        <f t="shared" si="19"/>
        <v/>
      </c>
      <c r="BH111" s="55" t="str">
        <f t="shared" si="20"/>
        <v/>
      </c>
      <c r="BI111" s="55" t="str">
        <f t="shared" si="21"/>
        <v/>
      </c>
      <c r="BJ111" s="55" t="str">
        <f t="shared" si="22"/>
        <v/>
      </c>
      <c r="BK111" s="55" t="str">
        <f t="shared" si="23"/>
        <v/>
      </c>
    </row>
    <row r="112" spans="20:63">
      <c r="T112" s="55" t="s">
        <v>391</v>
      </c>
      <c r="U112" s="55">
        <v>38691</v>
      </c>
      <c r="V112" s="55">
        <f t="shared" ca="1" si="12"/>
        <v>1</v>
      </c>
      <c r="W112" s="64"/>
      <c r="X112" s="65"/>
      <c r="Y112" s="65"/>
      <c r="Z112" s="65"/>
      <c r="AA112" s="64"/>
      <c r="AB112" s="65"/>
      <c r="AC112" s="64"/>
      <c r="AD112" s="65"/>
      <c r="AE112" s="64"/>
      <c r="AF112" s="65"/>
      <c r="AG112" s="65"/>
      <c r="AH112" s="66" t="str">
        <f t="shared" si="13"/>
        <v/>
      </c>
      <c r="AI112" s="64"/>
      <c r="AJ112" s="65"/>
      <c r="AK112" s="64"/>
      <c r="AL112" s="65"/>
      <c r="BB112" s="55" t="str">
        <f t="shared" si="14"/>
        <v/>
      </c>
      <c r="BC112" s="55" t="str">
        <f t="shared" si="15"/>
        <v/>
      </c>
      <c r="BD112" s="55" t="str">
        <f t="shared" si="16"/>
        <v/>
      </c>
      <c r="BE112" s="55" t="str">
        <f t="shared" si="17"/>
        <v/>
      </c>
      <c r="BF112" s="55" t="str">
        <f t="shared" si="18"/>
        <v/>
      </c>
      <c r="BG112" s="55" t="str">
        <f t="shared" si="19"/>
        <v/>
      </c>
      <c r="BH112" s="55" t="str">
        <f t="shared" si="20"/>
        <v/>
      </c>
      <c r="BI112" s="55" t="str">
        <f t="shared" si="21"/>
        <v/>
      </c>
      <c r="BJ112" s="55" t="str">
        <f t="shared" si="22"/>
        <v/>
      </c>
      <c r="BK112" s="55" t="str">
        <f t="shared" si="23"/>
        <v/>
      </c>
    </row>
    <row r="113" spans="20:63">
      <c r="T113" s="55" t="s">
        <v>392</v>
      </c>
      <c r="U113" s="55">
        <v>38692</v>
      </c>
      <c r="V113" s="55">
        <f t="shared" ca="1" si="12"/>
        <v>1</v>
      </c>
      <c r="W113" s="64"/>
      <c r="X113" s="65"/>
      <c r="Y113" s="65"/>
      <c r="Z113" s="65"/>
      <c r="AA113" s="64"/>
      <c r="AB113" s="65"/>
      <c r="AC113" s="64"/>
      <c r="AD113" s="65"/>
      <c r="AE113" s="64"/>
      <c r="AF113" s="65"/>
      <c r="AG113" s="65"/>
      <c r="AH113" s="66" t="str">
        <f t="shared" si="13"/>
        <v/>
      </c>
      <c r="AI113" s="64"/>
      <c r="AJ113" s="65"/>
      <c r="AK113" s="64"/>
      <c r="AL113" s="65"/>
      <c r="BB113" s="55" t="str">
        <f t="shared" si="14"/>
        <v/>
      </c>
      <c r="BC113" s="55" t="str">
        <f t="shared" si="15"/>
        <v/>
      </c>
      <c r="BD113" s="55" t="str">
        <f t="shared" si="16"/>
        <v/>
      </c>
      <c r="BE113" s="55" t="str">
        <f t="shared" si="17"/>
        <v/>
      </c>
      <c r="BF113" s="55" t="str">
        <f t="shared" si="18"/>
        <v/>
      </c>
      <c r="BG113" s="55" t="str">
        <f t="shared" si="19"/>
        <v/>
      </c>
      <c r="BH113" s="55" t="str">
        <f t="shared" si="20"/>
        <v/>
      </c>
      <c r="BI113" s="55" t="str">
        <f t="shared" si="21"/>
        <v/>
      </c>
      <c r="BJ113" s="55" t="str">
        <f t="shared" si="22"/>
        <v/>
      </c>
      <c r="BK113" s="55" t="str">
        <f t="shared" si="23"/>
        <v/>
      </c>
    </row>
    <row r="114" spans="20:63">
      <c r="T114" s="55" t="s">
        <v>393</v>
      </c>
      <c r="U114" s="55">
        <v>38693</v>
      </c>
      <c r="V114" s="55">
        <f t="shared" ca="1" si="12"/>
        <v>1</v>
      </c>
      <c r="W114" s="64"/>
      <c r="X114" s="65"/>
      <c r="Y114" s="65"/>
      <c r="Z114" s="65"/>
      <c r="AA114" s="64"/>
      <c r="AB114" s="65"/>
      <c r="AC114" s="64"/>
      <c r="AD114" s="65"/>
      <c r="AE114" s="64"/>
      <c r="AF114" s="65"/>
      <c r="AG114" s="65"/>
      <c r="AH114" s="66" t="str">
        <f t="shared" si="13"/>
        <v/>
      </c>
      <c r="AI114" s="64"/>
      <c r="AJ114" s="65"/>
      <c r="AK114" s="64"/>
      <c r="AL114" s="65"/>
      <c r="BB114" s="55" t="str">
        <f t="shared" si="14"/>
        <v/>
      </c>
      <c r="BC114" s="55" t="str">
        <f t="shared" si="15"/>
        <v/>
      </c>
      <c r="BD114" s="55" t="str">
        <f t="shared" si="16"/>
        <v/>
      </c>
      <c r="BE114" s="55" t="str">
        <f t="shared" si="17"/>
        <v/>
      </c>
      <c r="BF114" s="55" t="str">
        <f t="shared" si="18"/>
        <v/>
      </c>
      <c r="BG114" s="55" t="str">
        <f t="shared" si="19"/>
        <v/>
      </c>
      <c r="BH114" s="55" t="str">
        <f t="shared" si="20"/>
        <v/>
      </c>
      <c r="BI114" s="55" t="str">
        <f t="shared" si="21"/>
        <v/>
      </c>
      <c r="BJ114" s="55" t="str">
        <f t="shared" si="22"/>
        <v/>
      </c>
      <c r="BK114" s="55" t="str">
        <f t="shared" si="23"/>
        <v/>
      </c>
    </row>
    <row r="115" spans="20:63">
      <c r="T115" s="55" t="s">
        <v>394</v>
      </c>
      <c r="U115" s="55">
        <v>38694</v>
      </c>
      <c r="V115" s="55">
        <f t="shared" ca="1" si="12"/>
        <v>1</v>
      </c>
      <c r="W115" s="64"/>
      <c r="X115" s="65"/>
      <c r="Y115" s="65"/>
      <c r="Z115" s="65"/>
      <c r="AA115" s="64"/>
      <c r="AB115" s="65"/>
      <c r="AC115" s="64"/>
      <c r="AD115" s="65"/>
      <c r="AE115" s="64"/>
      <c r="AF115" s="65"/>
      <c r="AG115" s="65"/>
      <c r="AH115" s="66" t="str">
        <f t="shared" si="13"/>
        <v/>
      </c>
      <c r="AI115" s="64"/>
      <c r="AJ115" s="65"/>
      <c r="AK115" s="64"/>
      <c r="AL115" s="65"/>
      <c r="BB115" s="55" t="str">
        <f t="shared" si="14"/>
        <v/>
      </c>
      <c r="BC115" s="55" t="str">
        <f t="shared" si="15"/>
        <v/>
      </c>
      <c r="BD115" s="55" t="str">
        <f t="shared" si="16"/>
        <v/>
      </c>
      <c r="BE115" s="55" t="str">
        <f t="shared" si="17"/>
        <v/>
      </c>
      <c r="BF115" s="55" t="str">
        <f t="shared" si="18"/>
        <v/>
      </c>
      <c r="BG115" s="55" t="str">
        <f t="shared" si="19"/>
        <v/>
      </c>
      <c r="BH115" s="55" t="str">
        <f t="shared" si="20"/>
        <v/>
      </c>
      <c r="BI115" s="55" t="str">
        <f t="shared" si="21"/>
        <v/>
      </c>
      <c r="BJ115" s="55" t="str">
        <f t="shared" si="22"/>
        <v/>
      </c>
      <c r="BK115" s="55" t="str">
        <f t="shared" si="23"/>
        <v/>
      </c>
    </row>
    <row r="116" spans="20:63">
      <c r="T116" s="55" t="s">
        <v>395</v>
      </c>
      <c r="U116" s="55">
        <v>38695</v>
      </c>
      <c r="V116" s="55">
        <f t="shared" ca="1" si="12"/>
        <v>1</v>
      </c>
      <c r="W116" s="64"/>
      <c r="X116" s="65"/>
      <c r="Y116" s="65"/>
      <c r="Z116" s="65"/>
      <c r="AA116" s="64"/>
      <c r="AB116" s="65"/>
      <c r="AC116" s="64"/>
      <c r="AD116" s="65"/>
      <c r="AE116" s="64"/>
      <c r="AF116" s="65"/>
      <c r="AG116" s="65"/>
      <c r="AH116" s="66" t="str">
        <f t="shared" si="13"/>
        <v/>
      </c>
      <c r="AI116" s="64"/>
      <c r="AJ116" s="65"/>
      <c r="AK116" s="64"/>
      <c r="AL116" s="65"/>
      <c r="BB116" s="55" t="str">
        <f t="shared" si="14"/>
        <v/>
      </c>
      <c r="BC116" s="55" t="str">
        <f t="shared" si="15"/>
        <v/>
      </c>
      <c r="BD116" s="55" t="str">
        <f t="shared" si="16"/>
        <v/>
      </c>
      <c r="BE116" s="55" t="str">
        <f t="shared" si="17"/>
        <v/>
      </c>
      <c r="BF116" s="55" t="str">
        <f t="shared" si="18"/>
        <v/>
      </c>
      <c r="BG116" s="55" t="str">
        <f t="shared" si="19"/>
        <v/>
      </c>
      <c r="BH116" s="55" t="str">
        <f t="shared" si="20"/>
        <v/>
      </c>
      <c r="BI116" s="55" t="str">
        <f t="shared" si="21"/>
        <v/>
      </c>
      <c r="BJ116" s="55" t="str">
        <f t="shared" si="22"/>
        <v/>
      </c>
      <c r="BK116" s="55" t="str">
        <f t="shared" si="23"/>
        <v/>
      </c>
    </row>
    <row r="117" spans="20:63">
      <c r="T117" s="55" t="s">
        <v>396</v>
      </c>
      <c r="U117" s="55">
        <v>38696</v>
      </c>
      <c r="V117" s="55">
        <f t="shared" ca="1" si="12"/>
        <v>1</v>
      </c>
      <c r="W117" s="64"/>
      <c r="X117" s="65"/>
      <c r="Y117" s="65"/>
      <c r="Z117" s="65"/>
      <c r="AA117" s="64"/>
      <c r="AB117" s="65"/>
      <c r="AC117" s="64"/>
      <c r="AD117" s="65"/>
      <c r="AE117" s="64"/>
      <c r="AF117" s="65"/>
      <c r="AG117" s="65"/>
      <c r="AH117" s="66" t="str">
        <f t="shared" si="13"/>
        <v/>
      </c>
      <c r="AI117" s="64"/>
      <c r="AJ117" s="65"/>
      <c r="AK117" s="64"/>
      <c r="AL117" s="65"/>
      <c r="BB117" s="55" t="str">
        <f t="shared" si="14"/>
        <v/>
      </c>
      <c r="BC117" s="55" t="str">
        <f t="shared" si="15"/>
        <v/>
      </c>
      <c r="BD117" s="55" t="str">
        <f t="shared" si="16"/>
        <v/>
      </c>
      <c r="BE117" s="55" t="str">
        <f t="shared" si="17"/>
        <v/>
      </c>
      <c r="BF117" s="55" t="str">
        <f t="shared" si="18"/>
        <v/>
      </c>
      <c r="BG117" s="55" t="str">
        <f t="shared" si="19"/>
        <v/>
      </c>
      <c r="BH117" s="55" t="str">
        <f t="shared" si="20"/>
        <v/>
      </c>
      <c r="BI117" s="55" t="str">
        <f t="shared" si="21"/>
        <v/>
      </c>
      <c r="BJ117" s="55" t="str">
        <f t="shared" si="22"/>
        <v/>
      </c>
      <c r="BK117" s="55" t="str">
        <f t="shared" si="23"/>
        <v/>
      </c>
    </row>
    <row r="118" spans="20:63">
      <c r="T118" s="55" t="s">
        <v>397</v>
      </c>
      <c r="U118" s="55">
        <v>38697</v>
      </c>
      <c r="V118" s="55">
        <f t="shared" ca="1" si="12"/>
        <v>1</v>
      </c>
      <c r="W118" s="64"/>
      <c r="X118" s="65"/>
      <c r="Y118" s="65"/>
      <c r="Z118" s="65"/>
      <c r="AA118" s="64"/>
      <c r="AB118" s="65"/>
      <c r="AC118" s="64"/>
      <c r="AD118" s="65"/>
      <c r="AE118" s="64"/>
      <c r="AF118" s="65"/>
      <c r="AG118" s="65"/>
      <c r="AH118" s="66" t="str">
        <f t="shared" si="13"/>
        <v/>
      </c>
      <c r="AI118" s="64"/>
      <c r="AJ118" s="65"/>
      <c r="AK118" s="64"/>
      <c r="AL118" s="65"/>
      <c r="BB118" s="55" t="str">
        <f t="shared" si="14"/>
        <v/>
      </c>
      <c r="BC118" s="55" t="str">
        <f t="shared" si="15"/>
        <v/>
      </c>
      <c r="BD118" s="55" t="str">
        <f t="shared" si="16"/>
        <v/>
      </c>
      <c r="BE118" s="55" t="str">
        <f t="shared" si="17"/>
        <v/>
      </c>
      <c r="BF118" s="55" t="str">
        <f t="shared" si="18"/>
        <v/>
      </c>
      <c r="BG118" s="55" t="str">
        <f t="shared" si="19"/>
        <v/>
      </c>
      <c r="BH118" s="55" t="str">
        <f t="shared" si="20"/>
        <v/>
      </c>
      <c r="BI118" s="55" t="str">
        <f t="shared" si="21"/>
        <v/>
      </c>
      <c r="BJ118" s="55" t="str">
        <f t="shared" si="22"/>
        <v/>
      </c>
      <c r="BK118" s="55" t="str">
        <f t="shared" si="23"/>
        <v/>
      </c>
    </row>
    <row r="119" spans="20:63">
      <c r="T119" s="55" t="s">
        <v>398</v>
      </c>
      <c r="U119" s="55">
        <v>38698</v>
      </c>
      <c r="V119" s="55">
        <f t="shared" ca="1" si="12"/>
        <v>1</v>
      </c>
      <c r="W119" s="64"/>
      <c r="X119" s="65"/>
      <c r="Y119" s="65"/>
      <c r="Z119" s="65"/>
      <c r="AA119" s="64"/>
      <c r="AB119" s="65"/>
      <c r="AC119" s="64"/>
      <c r="AD119" s="65"/>
      <c r="AE119" s="64"/>
      <c r="AF119" s="65"/>
      <c r="AG119" s="65"/>
      <c r="AH119" s="66" t="str">
        <f t="shared" si="13"/>
        <v/>
      </c>
      <c r="AI119" s="64"/>
      <c r="AJ119" s="65"/>
      <c r="AK119" s="64"/>
      <c r="AL119" s="65"/>
      <c r="BB119" s="55" t="str">
        <f t="shared" si="14"/>
        <v/>
      </c>
      <c r="BC119" s="55" t="str">
        <f t="shared" si="15"/>
        <v/>
      </c>
      <c r="BD119" s="55" t="str">
        <f t="shared" si="16"/>
        <v/>
      </c>
      <c r="BE119" s="55" t="str">
        <f t="shared" si="17"/>
        <v/>
      </c>
      <c r="BF119" s="55" t="str">
        <f t="shared" si="18"/>
        <v/>
      </c>
      <c r="BG119" s="55" t="str">
        <f t="shared" si="19"/>
        <v/>
      </c>
      <c r="BH119" s="55" t="str">
        <f t="shared" si="20"/>
        <v/>
      </c>
      <c r="BI119" s="55" t="str">
        <f t="shared" si="21"/>
        <v/>
      </c>
      <c r="BJ119" s="55" t="str">
        <f t="shared" si="22"/>
        <v/>
      </c>
      <c r="BK119" s="55" t="str">
        <f t="shared" si="23"/>
        <v/>
      </c>
    </row>
    <row r="120" spans="20:63">
      <c r="T120" s="55" t="s">
        <v>399</v>
      </c>
      <c r="U120" s="55">
        <v>38699</v>
      </c>
      <c r="V120" s="55">
        <f t="shared" ca="1" si="12"/>
        <v>1</v>
      </c>
      <c r="W120" s="64"/>
      <c r="X120" s="65"/>
      <c r="Y120" s="65"/>
      <c r="Z120" s="65"/>
      <c r="AA120" s="64"/>
      <c r="AB120" s="65"/>
      <c r="AC120" s="64"/>
      <c r="AD120" s="65"/>
      <c r="AE120" s="64"/>
      <c r="AF120" s="65"/>
      <c r="AG120" s="65"/>
      <c r="AH120" s="66" t="str">
        <f t="shared" si="13"/>
        <v/>
      </c>
      <c r="AI120" s="64"/>
      <c r="AJ120" s="65"/>
      <c r="AK120" s="64"/>
      <c r="AL120" s="65"/>
      <c r="BB120" s="55" t="str">
        <f t="shared" si="14"/>
        <v/>
      </c>
      <c r="BC120" s="55" t="str">
        <f t="shared" si="15"/>
        <v/>
      </c>
      <c r="BD120" s="55" t="str">
        <f t="shared" si="16"/>
        <v/>
      </c>
      <c r="BE120" s="55" t="str">
        <f t="shared" si="17"/>
        <v/>
      </c>
      <c r="BF120" s="55" t="str">
        <f t="shared" si="18"/>
        <v/>
      </c>
      <c r="BG120" s="55" t="str">
        <f t="shared" si="19"/>
        <v/>
      </c>
      <c r="BH120" s="55" t="str">
        <f t="shared" si="20"/>
        <v/>
      </c>
      <c r="BI120" s="55" t="str">
        <f t="shared" si="21"/>
        <v/>
      </c>
      <c r="BJ120" s="55" t="str">
        <f t="shared" si="22"/>
        <v/>
      </c>
      <c r="BK120" s="55" t="str">
        <f t="shared" si="23"/>
        <v/>
      </c>
    </row>
    <row r="121" spans="20:63">
      <c r="T121" s="55" t="s">
        <v>400</v>
      </c>
      <c r="U121" s="55">
        <v>38700</v>
      </c>
      <c r="V121" s="55">
        <f t="shared" ca="1" si="12"/>
        <v>1</v>
      </c>
      <c r="W121" s="64"/>
      <c r="X121" s="65"/>
      <c r="Y121" s="65"/>
      <c r="Z121" s="65"/>
      <c r="AA121" s="64"/>
      <c r="AB121" s="65"/>
      <c r="AC121" s="64"/>
      <c r="AD121" s="65"/>
      <c r="AE121" s="64"/>
      <c r="AF121" s="65"/>
      <c r="AG121" s="65"/>
      <c r="AH121" s="66" t="str">
        <f t="shared" si="13"/>
        <v/>
      </c>
      <c r="AI121" s="64"/>
      <c r="AJ121" s="65"/>
      <c r="AK121" s="64"/>
      <c r="AL121" s="65"/>
      <c r="BB121" s="55" t="str">
        <f t="shared" si="14"/>
        <v/>
      </c>
      <c r="BC121" s="55" t="str">
        <f t="shared" si="15"/>
        <v/>
      </c>
      <c r="BD121" s="55" t="str">
        <f t="shared" si="16"/>
        <v/>
      </c>
      <c r="BE121" s="55" t="str">
        <f t="shared" si="17"/>
        <v/>
      </c>
      <c r="BF121" s="55" t="str">
        <f t="shared" si="18"/>
        <v/>
      </c>
      <c r="BG121" s="55" t="str">
        <f t="shared" si="19"/>
        <v/>
      </c>
      <c r="BH121" s="55" t="str">
        <f t="shared" si="20"/>
        <v/>
      </c>
      <c r="BI121" s="55" t="str">
        <f t="shared" si="21"/>
        <v/>
      </c>
      <c r="BJ121" s="55" t="str">
        <f t="shared" si="22"/>
        <v/>
      </c>
      <c r="BK121" s="55" t="str">
        <f t="shared" si="23"/>
        <v/>
      </c>
    </row>
    <row r="122" spans="20:63">
      <c r="T122" s="55" t="s">
        <v>401</v>
      </c>
      <c r="U122" s="55">
        <v>38701</v>
      </c>
      <c r="V122" s="55">
        <f t="shared" ca="1" si="12"/>
        <v>1</v>
      </c>
      <c r="W122" s="64"/>
      <c r="X122" s="65"/>
      <c r="Y122" s="65"/>
      <c r="Z122" s="65"/>
      <c r="AA122" s="64"/>
      <c r="AB122" s="65"/>
      <c r="AC122" s="64"/>
      <c r="AD122" s="65"/>
      <c r="AE122" s="64"/>
      <c r="AF122" s="65"/>
      <c r="AG122" s="65"/>
      <c r="AH122" s="66" t="str">
        <f t="shared" si="13"/>
        <v/>
      </c>
      <c r="AI122" s="64"/>
      <c r="AJ122" s="65"/>
      <c r="AK122" s="64"/>
      <c r="AL122" s="65"/>
      <c r="BB122" s="55" t="str">
        <f t="shared" si="14"/>
        <v/>
      </c>
      <c r="BC122" s="55" t="str">
        <f t="shared" si="15"/>
        <v/>
      </c>
      <c r="BD122" s="55" t="str">
        <f t="shared" si="16"/>
        <v/>
      </c>
      <c r="BE122" s="55" t="str">
        <f t="shared" si="17"/>
        <v/>
      </c>
      <c r="BF122" s="55" t="str">
        <f t="shared" si="18"/>
        <v/>
      </c>
      <c r="BG122" s="55" t="str">
        <f t="shared" si="19"/>
        <v/>
      </c>
      <c r="BH122" s="55" t="str">
        <f t="shared" si="20"/>
        <v/>
      </c>
      <c r="BI122" s="55" t="str">
        <f t="shared" si="21"/>
        <v/>
      </c>
      <c r="BJ122" s="55" t="str">
        <f t="shared" si="22"/>
        <v/>
      </c>
      <c r="BK122" s="55" t="str">
        <f t="shared" si="23"/>
        <v/>
      </c>
    </row>
    <row r="123" spans="20:63">
      <c r="T123" s="55" t="s">
        <v>402</v>
      </c>
      <c r="U123" s="55">
        <v>38702</v>
      </c>
      <c r="V123" s="55">
        <f t="shared" ca="1" si="12"/>
        <v>1</v>
      </c>
      <c r="W123" s="64"/>
      <c r="X123" s="65"/>
      <c r="Y123" s="65"/>
      <c r="Z123" s="65"/>
      <c r="AA123" s="64"/>
      <c r="AB123" s="65"/>
      <c r="AC123" s="64"/>
      <c r="AD123" s="65"/>
      <c r="AE123" s="64"/>
      <c r="AF123" s="65"/>
      <c r="AG123" s="65"/>
      <c r="AH123" s="66" t="str">
        <f t="shared" si="13"/>
        <v/>
      </c>
      <c r="AI123" s="64"/>
      <c r="AJ123" s="65"/>
      <c r="AK123" s="64"/>
      <c r="AL123" s="65"/>
      <c r="BB123" s="55" t="str">
        <f t="shared" si="14"/>
        <v/>
      </c>
      <c r="BC123" s="55" t="str">
        <f t="shared" si="15"/>
        <v/>
      </c>
      <c r="BD123" s="55" t="str">
        <f t="shared" si="16"/>
        <v/>
      </c>
      <c r="BE123" s="55" t="str">
        <f t="shared" si="17"/>
        <v/>
      </c>
      <c r="BF123" s="55" t="str">
        <f t="shared" si="18"/>
        <v/>
      </c>
      <c r="BG123" s="55" t="str">
        <f t="shared" si="19"/>
        <v/>
      </c>
      <c r="BH123" s="55" t="str">
        <f t="shared" si="20"/>
        <v/>
      </c>
      <c r="BI123" s="55" t="str">
        <f t="shared" si="21"/>
        <v/>
      </c>
      <c r="BJ123" s="55" t="str">
        <f t="shared" si="22"/>
        <v/>
      </c>
      <c r="BK123" s="55" t="str">
        <f t="shared" si="23"/>
        <v/>
      </c>
    </row>
    <row r="124" spans="20:63">
      <c r="T124" s="55" t="s">
        <v>403</v>
      </c>
      <c r="U124" s="55">
        <v>38703</v>
      </c>
      <c r="V124" s="55">
        <f t="shared" ca="1" si="12"/>
        <v>1</v>
      </c>
      <c r="W124" s="64"/>
      <c r="X124" s="65"/>
      <c r="Y124" s="65"/>
      <c r="Z124" s="65"/>
      <c r="AA124" s="64"/>
      <c r="AB124" s="65"/>
      <c r="AC124" s="64"/>
      <c r="AD124" s="65"/>
      <c r="AE124" s="64"/>
      <c r="AF124" s="65"/>
      <c r="AG124" s="65"/>
      <c r="AH124" s="66" t="str">
        <f t="shared" si="13"/>
        <v/>
      </c>
      <c r="AI124" s="64"/>
      <c r="AJ124" s="65"/>
      <c r="AK124" s="64"/>
      <c r="AL124" s="65"/>
      <c r="BB124" s="55" t="str">
        <f t="shared" si="14"/>
        <v/>
      </c>
      <c r="BC124" s="55" t="str">
        <f t="shared" si="15"/>
        <v/>
      </c>
      <c r="BD124" s="55" t="str">
        <f t="shared" si="16"/>
        <v/>
      </c>
      <c r="BE124" s="55" t="str">
        <f t="shared" si="17"/>
        <v/>
      </c>
      <c r="BF124" s="55" t="str">
        <f t="shared" si="18"/>
        <v/>
      </c>
      <c r="BG124" s="55" t="str">
        <f t="shared" si="19"/>
        <v/>
      </c>
      <c r="BH124" s="55" t="str">
        <f t="shared" si="20"/>
        <v/>
      </c>
      <c r="BI124" s="55" t="str">
        <f t="shared" si="21"/>
        <v/>
      </c>
      <c r="BJ124" s="55" t="str">
        <f t="shared" si="22"/>
        <v/>
      </c>
      <c r="BK124" s="55" t="str">
        <f t="shared" si="23"/>
        <v/>
      </c>
    </row>
    <row r="125" spans="20:63">
      <c r="T125" s="55" t="s">
        <v>404</v>
      </c>
      <c r="U125" s="55">
        <v>38704</v>
      </c>
      <c r="V125" s="55">
        <f t="shared" ca="1" si="12"/>
        <v>1</v>
      </c>
      <c r="W125" s="64"/>
      <c r="X125" s="65"/>
      <c r="Y125" s="65"/>
      <c r="Z125" s="65"/>
      <c r="AA125" s="64"/>
      <c r="AB125" s="65"/>
      <c r="AC125" s="64"/>
      <c r="AD125" s="65"/>
      <c r="AE125" s="64"/>
      <c r="AF125" s="65"/>
      <c r="AG125" s="65"/>
      <c r="AH125" s="66" t="str">
        <f t="shared" si="13"/>
        <v/>
      </c>
      <c r="AI125" s="64"/>
      <c r="AJ125" s="65"/>
      <c r="AK125" s="64"/>
      <c r="AL125" s="65"/>
      <c r="BB125" s="55" t="str">
        <f t="shared" si="14"/>
        <v/>
      </c>
      <c r="BC125" s="55" t="str">
        <f t="shared" si="15"/>
        <v/>
      </c>
      <c r="BD125" s="55" t="str">
        <f t="shared" si="16"/>
        <v/>
      </c>
      <c r="BE125" s="55" t="str">
        <f t="shared" si="17"/>
        <v/>
      </c>
      <c r="BF125" s="55" t="str">
        <f t="shared" si="18"/>
        <v/>
      </c>
      <c r="BG125" s="55" t="str">
        <f t="shared" si="19"/>
        <v/>
      </c>
      <c r="BH125" s="55" t="str">
        <f t="shared" si="20"/>
        <v/>
      </c>
      <c r="BI125" s="55" t="str">
        <f t="shared" si="21"/>
        <v/>
      </c>
      <c r="BJ125" s="55" t="str">
        <f t="shared" si="22"/>
        <v/>
      </c>
      <c r="BK125" s="55" t="str">
        <f t="shared" si="23"/>
        <v/>
      </c>
    </row>
    <row r="126" spans="20:63">
      <c r="T126" s="55" t="s">
        <v>405</v>
      </c>
      <c r="U126" s="55">
        <v>38705</v>
      </c>
      <c r="V126" s="55">
        <f t="shared" ca="1" si="12"/>
        <v>1</v>
      </c>
      <c r="W126" s="64"/>
      <c r="X126" s="65"/>
      <c r="Y126" s="65"/>
      <c r="Z126" s="65"/>
      <c r="AA126" s="64"/>
      <c r="AB126" s="65"/>
      <c r="AC126" s="64"/>
      <c r="AD126" s="65"/>
      <c r="AE126" s="64"/>
      <c r="AF126" s="65"/>
      <c r="AG126" s="65"/>
      <c r="AH126" s="66" t="str">
        <f t="shared" si="13"/>
        <v/>
      </c>
      <c r="AI126" s="64"/>
      <c r="AJ126" s="65"/>
      <c r="AK126" s="64"/>
      <c r="AL126" s="65"/>
      <c r="BB126" s="55" t="str">
        <f t="shared" si="14"/>
        <v/>
      </c>
      <c r="BC126" s="55" t="str">
        <f t="shared" si="15"/>
        <v/>
      </c>
      <c r="BD126" s="55" t="str">
        <f t="shared" si="16"/>
        <v/>
      </c>
      <c r="BE126" s="55" t="str">
        <f t="shared" si="17"/>
        <v/>
      </c>
      <c r="BF126" s="55" t="str">
        <f t="shared" si="18"/>
        <v/>
      </c>
      <c r="BG126" s="55" t="str">
        <f t="shared" si="19"/>
        <v/>
      </c>
      <c r="BH126" s="55" t="str">
        <f t="shared" si="20"/>
        <v/>
      </c>
      <c r="BI126" s="55" t="str">
        <f t="shared" si="21"/>
        <v/>
      </c>
      <c r="BJ126" s="55" t="str">
        <f t="shared" si="22"/>
        <v/>
      </c>
      <c r="BK126" s="55" t="str">
        <f t="shared" si="23"/>
        <v/>
      </c>
    </row>
    <row r="127" spans="20:63">
      <c r="T127" s="55" t="s">
        <v>406</v>
      </c>
      <c r="U127" s="55">
        <v>38706</v>
      </c>
      <c r="V127" s="55">
        <f t="shared" ca="1" si="12"/>
        <v>1</v>
      </c>
      <c r="W127" s="64"/>
      <c r="X127" s="65"/>
      <c r="Y127" s="65"/>
      <c r="Z127" s="65"/>
      <c r="AA127" s="64"/>
      <c r="AB127" s="65"/>
      <c r="AC127" s="64"/>
      <c r="AD127" s="65"/>
      <c r="AE127" s="64"/>
      <c r="AF127" s="65"/>
      <c r="AG127" s="65"/>
      <c r="AH127" s="66" t="str">
        <f t="shared" si="13"/>
        <v/>
      </c>
      <c r="AI127" s="64"/>
      <c r="AJ127" s="65"/>
      <c r="AK127" s="64"/>
      <c r="AL127" s="65"/>
      <c r="BB127" s="55" t="str">
        <f t="shared" si="14"/>
        <v/>
      </c>
      <c r="BC127" s="55" t="str">
        <f t="shared" si="15"/>
        <v/>
      </c>
      <c r="BD127" s="55" t="str">
        <f t="shared" si="16"/>
        <v/>
      </c>
      <c r="BE127" s="55" t="str">
        <f t="shared" si="17"/>
        <v/>
      </c>
      <c r="BF127" s="55" t="str">
        <f t="shared" si="18"/>
        <v/>
      </c>
      <c r="BG127" s="55" t="str">
        <f t="shared" si="19"/>
        <v/>
      </c>
      <c r="BH127" s="55" t="str">
        <f t="shared" si="20"/>
        <v/>
      </c>
      <c r="BI127" s="55" t="str">
        <f t="shared" si="21"/>
        <v/>
      </c>
      <c r="BJ127" s="55" t="str">
        <f t="shared" si="22"/>
        <v/>
      </c>
      <c r="BK127" s="55" t="str">
        <f t="shared" si="23"/>
        <v/>
      </c>
    </row>
    <row r="128" spans="20:63">
      <c r="T128" s="55" t="s">
        <v>407</v>
      </c>
      <c r="U128" s="55">
        <v>38707</v>
      </c>
      <c r="V128" s="55">
        <f t="shared" ca="1" si="12"/>
        <v>1</v>
      </c>
      <c r="W128" s="64"/>
      <c r="X128" s="65"/>
      <c r="Y128" s="65"/>
      <c r="Z128" s="65"/>
      <c r="AA128" s="64"/>
      <c r="AB128" s="65"/>
      <c r="AC128" s="64"/>
      <c r="AD128" s="65"/>
      <c r="AE128" s="64"/>
      <c r="AF128" s="65"/>
      <c r="AG128" s="65"/>
      <c r="AH128" s="66" t="str">
        <f t="shared" si="13"/>
        <v/>
      </c>
      <c r="AI128" s="64"/>
      <c r="AJ128" s="65"/>
      <c r="AK128" s="64"/>
      <c r="AL128" s="65"/>
      <c r="BB128" s="55" t="str">
        <f t="shared" si="14"/>
        <v/>
      </c>
      <c r="BC128" s="55" t="str">
        <f t="shared" si="15"/>
        <v/>
      </c>
      <c r="BD128" s="55" t="str">
        <f t="shared" si="16"/>
        <v/>
      </c>
      <c r="BE128" s="55" t="str">
        <f t="shared" si="17"/>
        <v/>
      </c>
      <c r="BF128" s="55" t="str">
        <f t="shared" si="18"/>
        <v/>
      </c>
      <c r="BG128" s="55" t="str">
        <f t="shared" si="19"/>
        <v/>
      </c>
      <c r="BH128" s="55" t="str">
        <f t="shared" si="20"/>
        <v/>
      </c>
      <c r="BI128" s="55" t="str">
        <f t="shared" si="21"/>
        <v/>
      </c>
      <c r="BJ128" s="55" t="str">
        <f t="shared" si="22"/>
        <v/>
      </c>
      <c r="BK128" s="55" t="str">
        <f t="shared" si="23"/>
        <v/>
      </c>
    </row>
    <row r="129" spans="20:63">
      <c r="T129" s="55" t="s">
        <v>408</v>
      </c>
      <c r="U129" s="55">
        <v>38708</v>
      </c>
      <c r="V129" s="55">
        <f t="shared" ca="1" si="12"/>
        <v>1</v>
      </c>
      <c r="W129" s="64"/>
      <c r="X129" s="65"/>
      <c r="Y129" s="65"/>
      <c r="Z129" s="65"/>
      <c r="AA129" s="64"/>
      <c r="AB129" s="65"/>
      <c r="AC129" s="64"/>
      <c r="AD129" s="65"/>
      <c r="AE129" s="64"/>
      <c r="AF129" s="65"/>
      <c r="AG129" s="65"/>
      <c r="AH129" s="66" t="str">
        <f t="shared" si="13"/>
        <v/>
      </c>
      <c r="AI129" s="64"/>
      <c r="AJ129" s="65"/>
      <c r="AK129" s="64"/>
      <c r="AL129" s="65"/>
      <c r="BB129" s="55" t="str">
        <f t="shared" si="14"/>
        <v/>
      </c>
      <c r="BC129" s="55" t="str">
        <f t="shared" si="15"/>
        <v/>
      </c>
      <c r="BD129" s="55" t="str">
        <f t="shared" si="16"/>
        <v/>
      </c>
      <c r="BE129" s="55" t="str">
        <f t="shared" si="17"/>
        <v/>
      </c>
      <c r="BF129" s="55" t="str">
        <f t="shared" si="18"/>
        <v/>
      </c>
      <c r="BG129" s="55" t="str">
        <f t="shared" si="19"/>
        <v/>
      </c>
      <c r="BH129" s="55" t="str">
        <f t="shared" si="20"/>
        <v/>
      </c>
      <c r="BI129" s="55" t="str">
        <f t="shared" si="21"/>
        <v/>
      </c>
      <c r="BJ129" s="55" t="str">
        <f t="shared" si="22"/>
        <v/>
      </c>
      <c r="BK129" s="55" t="str">
        <f t="shared" si="23"/>
        <v/>
      </c>
    </row>
    <row r="130" spans="20:63">
      <c r="T130" s="55" t="s">
        <v>409</v>
      </c>
      <c r="U130" s="55">
        <v>38709</v>
      </c>
      <c r="V130" s="55">
        <f t="shared" ca="1" si="12"/>
        <v>1</v>
      </c>
      <c r="W130" s="64"/>
      <c r="X130" s="65"/>
      <c r="Y130" s="65"/>
      <c r="Z130" s="65"/>
      <c r="AA130" s="64"/>
      <c r="AB130" s="65"/>
      <c r="AC130" s="64"/>
      <c r="AD130" s="65"/>
      <c r="AE130" s="64"/>
      <c r="AF130" s="65"/>
      <c r="AG130" s="65"/>
      <c r="AH130" s="66" t="str">
        <f t="shared" si="13"/>
        <v/>
      </c>
      <c r="AI130" s="64"/>
      <c r="AJ130" s="65"/>
      <c r="AK130" s="64"/>
      <c r="AL130" s="65"/>
      <c r="BB130" s="55" t="str">
        <f t="shared" si="14"/>
        <v/>
      </c>
      <c r="BC130" s="55" t="str">
        <f t="shared" si="15"/>
        <v/>
      </c>
      <c r="BD130" s="55" t="str">
        <f t="shared" si="16"/>
        <v/>
      </c>
      <c r="BE130" s="55" t="str">
        <f t="shared" si="17"/>
        <v/>
      </c>
      <c r="BF130" s="55" t="str">
        <f t="shared" si="18"/>
        <v/>
      </c>
      <c r="BG130" s="55" t="str">
        <f t="shared" si="19"/>
        <v/>
      </c>
      <c r="BH130" s="55" t="str">
        <f t="shared" si="20"/>
        <v/>
      </c>
      <c r="BI130" s="55" t="str">
        <f t="shared" si="21"/>
        <v/>
      </c>
      <c r="BJ130" s="55" t="str">
        <f t="shared" si="22"/>
        <v/>
      </c>
      <c r="BK130" s="55" t="str">
        <f t="shared" si="23"/>
        <v/>
      </c>
    </row>
    <row r="131" spans="20:63">
      <c r="T131" s="55" t="s">
        <v>410</v>
      </c>
      <c r="U131" s="55">
        <v>38710</v>
      </c>
      <c r="V131" s="55">
        <f t="shared" ca="1" si="12"/>
        <v>1</v>
      </c>
      <c r="W131" s="64"/>
      <c r="X131" s="65"/>
      <c r="Y131" s="65"/>
      <c r="Z131" s="65"/>
      <c r="AA131" s="64"/>
      <c r="AB131" s="65"/>
      <c r="AC131" s="64"/>
      <c r="AD131" s="65"/>
      <c r="AE131" s="64"/>
      <c r="AF131" s="65"/>
      <c r="AG131" s="65"/>
      <c r="AH131" s="66" t="str">
        <f t="shared" si="13"/>
        <v/>
      </c>
      <c r="AI131" s="64"/>
      <c r="AJ131" s="65"/>
      <c r="AK131" s="64"/>
      <c r="AL131" s="65"/>
      <c r="BB131" s="55" t="str">
        <f t="shared" si="14"/>
        <v/>
      </c>
      <c r="BC131" s="55" t="str">
        <f t="shared" si="15"/>
        <v/>
      </c>
      <c r="BD131" s="55" t="str">
        <f t="shared" si="16"/>
        <v/>
      </c>
      <c r="BE131" s="55" t="str">
        <f t="shared" si="17"/>
        <v/>
      </c>
      <c r="BF131" s="55" t="str">
        <f t="shared" si="18"/>
        <v/>
      </c>
      <c r="BG131" s="55" t="str">
        <f t="shared" si="19"/>
        <v/>
      </c>
      <c r="BH131" s="55" t="str">
        <f t="shared" si="20"/>
        <v/>
      </c>
      <c r="BI131" s="55" t="str">
        <f t="shared" si="21"/>
        <v/>
      </c>
      <c r="BJ131" s="55" t="str">
        <f t="shared" si="22"/>
        <v/>
      </c>
      <c r="BK131" s="55" t="str">
        <f t="shared" si="23"/>
        <v/>
      </c>
    </row>
    <row r="132" spans="20:63">
      <c r="T132" s="55" t="s">
        <v>411</v>
      </c>
      <c r="U132" s="55">
        <v>38711</v>
      </c>
      <c r="V132" s="55">
        <f t="shared" ca="1" si="12"/>
        <v>1</v>
      </c>
      <c r="W132" s="64"/>
      <c r="X132" s="65"/>
      <c r="Y132" s="65"/>
      <c r="Z132" s="65"/>
      <c r="AA132" s="64"/>
      <c r="AB132" s="65"/>
      <c r="AC132" s="64"/>
      <c r="AD132" s="65"/>
      <c r="AE132" s="64"/>
      <c r="AF132" s="65"/>
      <c r="AG132" s="65"/>
      <c r="AH132" s="66" t="str">
        <f t="shared" si="13"/>
        <v/>
      </c>
      <c r="AI132" s="64"/>
      <c r="AJ132" s="65"/>
      <c r="AK132" s="64"/>
      <c r="AL132" s="65"/>
      <c r="BB132" s="55" t="str">
        <f t="shared" si="14"/>
        <v/>
      </c>
      <c r="BC132" s="55" t="str">
        <f t="shared" si="15"/>
        <v/>
      </c>
      <c r="BD132" s="55" t="str">
        <f t="shared" si="16"/>
        <v/>
      </c>
      <c r="BE132" s="55" t="str">
        <f t="shared" si="17"/>
        <v/>
      </c>
      <c r="BF132" s="55" t="str">
        <f t="shared" si="18"/>
        <v/>
      </c>
      <c r="BG132" s="55" t="str">
        <f t="shared" si="19"/>
        <v/>
      </c>
      <c r="BH132" s="55" t="str">
        <f t="shared" si="20"/>
        <v/>
      </c>
      <c r="BI132" s="55" t="str">
        <f t="shared" si="21"/>
        <v/>
      </c>
      <c r="BJ132" s="55" t="str">
        <f t="shared" si="22"/>
        <v/>
      </c>
      <c r="BK132" s="55" t="str">
        <f t="shared" si="23"/>
        <v/>
      </c>
    </row>
    <row r="133" spans="20:63">
      <c r="T133" s="55" t="s">
        <v>412</v>
      </c>
      <c r="U133" s="55">
        <v>38712</v>
      </c>
      <c r="V133" s="55">
        <f t="shared" ca="1" si="12"/>
        <v>1</v>
      </c>
      <c r="W133" s="64"/>
      <c r="X133" s="65"/>
      <c r="Y133" s="65"/>
      <c r="Z133" s="65"/>
      <c r="AA133" s="64"/>
      <c r="AB133" s="65"/>
      <c r="AC133" s="64"/>
      <c r="AD133" s="65"/>
      <c r="AE133" s="64"/>
      <c r="AF133" s="65"/>
      <c r="AG133" s="65"/>
      <c r="AH133" s="66" t="str">
        <f t="shared" si="13"/>
        <v/>
      </c>
      <c r="AI133" s="64"/>
      <c r="AJ133" s="65"/>
      <c r="AK133" s="64"/>
      <c r="AL133" s="65"/>
      <c r="BB133" s="55" t="str">
        <f t="shared" si="14"/>
        <v/>
      </c>
      <c r="BC133" s="55" t="str">
        <f t="shared" si="15"/>
        <v/>
      </c>
      <c r="BD133" s="55" t="str">
        <f t="shared" si="16"/>
        <v/>
      </c>
      <c r="BE133" s="55" t="str">
        <f t="shared" si="17"/>
        <v/>
      </c>
      <c r="BF133" s="55" t="str">
        <f t="shared" si="18"/>
        <v/>
      </c>
      <c r="BG133" s="55" t="str">
        <f t="shared" si="19"/>
        <v/>
      </c>
      <c r="BH133" s="55" t="str">
        <f t="shared" si="20"/>
        <v/>
      </c>
      <c r="BI133" s="55" t="str">
        <f t="shared" si="21"/>
        <v/>
      </c>
      <c r="BJ133" s="55" t="str">
        <f t="shared" si="22"/>
        <v/>
      </c>
      <c r="BK133" s="55" t="str">
        <f t="shared" si="23"/>
        <v/>
      </c>
    </row>
    <row r="134" spans="20:63">
      <c r="T134" s="55" t="s">
        <v>413</v>
      </c>
      <c r="U134" s="55">
        <v>38713</v>
      </c>
      <c r="V134" s="55">
        <f t="shared" ca="1" si="12"/>
        <v>1</v>
      </c>
      <c r="W134" s="64"/>
      <c r="X134" s="65"/>
      <c r="Y134" s="65"/>
      <c r="Z134" s="65"/>
      <c r="AA134" s="64"/>
      <c r="AB134" s="65"/>
      <c r="AC134" s="64"/>
      <c r="AD134" s="65"/>
      <c r="AE134" s="64"/>
      <c r="AF134" s="65"/>
      <c r="AG134" s="65"/>
      <c r="AH134" s="66" t="str">
        <f t="shared" si="13"/>
        <v/>
      </c>
      <c r="AI134" s="64"/>
      <c r="AJ134" s="65"/>
      <c r="AK134" s="64"/>
      <c r="AL134" s="65"/>
      <c r="BB134" s="55" t="str">
        <f t="shared" si="14"/>
        <v/>
      </c>
      <c r="BC134" s="55" t="str">
        <f t="shared" si="15"/>
        <v/>
      </c>
      <c r="BD134" s="55" t="str">
        <f t="shared" si="16"/>
        <v/>
      </c>
      <c r="BE134" s="55" t="str">
        <f t="shared" si="17"/>
        <v/>
      </c>
      <c r="BF134" s="55" t="str">
        <f t="shared" si="18"/>
        <v/>
      </c>
      <c r="BG134" s="55" t="str">
        <f t="shared" si="19"/>
        <v/>
      </c>
      <c r="BH134" s="55" t="str">
        <f t="shared" si="20"/>
        <v/>
      </c>
      <c r="BI134" s="55" t="str">
        <f t="shared" si="21"/>
        <v/>
      </c>
      <c r="BJ134" s="55" t="str">
        <f t="shared" si="22"/>
        <v/>
      </c>
      <c r="BK134" s="55" t="str">
        <f t="shared" si="23"/>
        <v/>
      </c>
    </row>
    <row r="135" spans="20:63">
      <c r="T135" s="55" t="s">
        <v>414</v>
      </c>
      <c r="U135" s="55">
        <v>38714</v>
      </c>
      <c r="V135" s="55">
        <f t="shared" ca="1" si="12"/>
        <v>1</v>
      </c>
      <c r="W135" s="64"/>
      <c r="X135" s="65"/>
      <c r="Y135" s="65"/>
      <c r="Z135" s="65"/>
      <c r="AA135" s="64"/>
      <c r="AB135" s="65"/>
      <c r="AC135" s="64"/>
      <c r="AD135" s="65"/>
      <c r="AE135" s="64"/>
      <c r="AF135" s="65"/>
      <c r="AG135" s="65"/>
      <c r="AH135" s="66" t="str">
        <f t="shared" si="13"/>
        <v/>
      </c>
      <c r="AI135" s="64"/>
      <c r="AJ135" s="65"/>
      <c r="AK135" s="64"/>
      <c r="AL135" s="65"/>
      <c r="BB135" s="55" t="str">
        <f t="shared" si="14"/>
        <v/>
      </c>
      <c r="BC135" s="55" t="str">
        <f t="shared" si="15"/>
        <v/>
      </c>
      <c r="BD135" s="55" t="str">
        <f t="shared" si="16"/>
        <v/>
      </c>
      <c r="BE135" s="55" t="str">
        <f t="shared" si="17"/>
        <v/>
      </c>
      <c r="BF135" s="55" t="str">
        <f t="shared" si="18"/>
        <v/>
      </c>
      <c r="BG135" s="55" t="str">
        <f t="shared" si="19"/>
        <v/>
      </c>
      <c r="BH135" s="55" t="str">
        <f t="shared" si="20"/>
        <v/>
      </c>
      <c r="BI135" s="55" t="str">
        <f t="shared" si="21"/>
        <v/>
      </c>
      <c r="BJ135" s="55" t="str">
        <f t="shared" si="22"/>
        <v/>
      </c>
      <c r="BK135" s="55" t="str">
        <f t="shared" si="23"/>
        <v/>
      </c>
    </row>
    <row r="136" spans="20:63">
      <c r="T136" s="55" t="s">
        <v>415</v>
      </c>
      <c r="U136" s="55">
        <v>38715</v>
      </c>
      <c r="V136" s="55">
        <f t="shared" ca="1" si="12"/>
        <v>1</v>
      </c>
      <c r="W136" s="64"/>
      <c r="X136" s="65"/>
      <c r="Y136" s="65"/>
      <c r="Z136" s="65"/>
      <c r="AA136" s="64"/>
      <c r="AB136" s="65"/>
      <c r="AC136" s="64"/>
      <c r="AD136" s="65"/>
      <c r="AE136" s="64"/>
      <c r="AF136" s="65"/>
      <c r="AG136" s="65"/>
      <c r="AH136" s="66" t="str">
        <f t="shared" si="13"/>
        <v/>
      </c>
      <c r="AI136" s="64"/>
      <c r="AJ136" s="65"/>
      <c r="AK136" s="64"/>
      <c r="AL136" s="65"/>
      <c r="BB136" s="55" t="str">
        <f t="shared" si="14"/>
        <v/>
      </c>
      <c r="BC136" s="55" t="str">
        <f t="shared" si="15"/>
        <v/>
      </c>
      <c r="BD136" s="55" t="str">
        <f t="shared" si="16"/>
        <v/>
      </c>
      <c r="BE136" s="55" t="str">
        <f t="shared" si="17"/>
        <v/>
      </c>
      <c r="BF136" s="55" t="str">
        <f t="shared" si="18"/>
        <v/>
      </c>
      <c r="BG136" s="55" t="str">
        <f t="shared" si="19"/>
        <v/>
      </c>
      <c r="BH136" s="55" t="str">
        <f t="shared" si="20"/>
        <v/>
      </c>
      <c r="BI136" s="55" t="str">
        <f t="shared" si="21"/>
        <v/>
      </c>
      <c r="BJ136" s="55" t="str">
        <f t="shared" si="22"/>
        <v/>
      </c>
      <c r="BK136" s="55" t="str">
        <f t="shared" si="23"/>
        <v/>
      </c>
    </row>
    <row r="137" spans="20:63">
      <c r="T137" s="55" t="s">
        <v>416</v>
      </c>
      <c r="U137" s="55">
        <v>38716</v>
      </c>
      <c r="V137" s="55">
        <f t="shared" ca="1" si="12"/>
        <v>1</v>
      </c>
      <c r="W137" s="64"/>
      <c r="X137" s="65"/>
      <c r="Y137" s="65"/>
      <c r="Z137" s="65"/>
      <c r="AA137" s="64"/>
      <c r="AB137" s="65"/>
      <c r="AC137" s="64"/>
      <c r="AD137" s="65"/>
      <c r="AE137" s="64"/>
      <c r="AF137" s="65"/>
      <c r="AG137" s="65"/>
      <c r="AH137" s="66" t="str">
        <f t="shared" si="13"/>
        <v/>
      </c>
      <c r="AI137" s="64"/>
      <c r="AJ137" s="65"/>
      <c r="AK137" s="64"/>
      <c r="AL137" s="65"/>
      <c r="BB137" s="55" t="str">
        <f t="shared" si="14"/>
        <v/>
      </c>
      <c r="BC137" s="55" t="str">
        <f t="shared" si="15"/>
        <v/>
      </c>
      <c r="BD137" s="55" t="str">
        <f t="shared" si="16"/>
        <v/>
      </c>
      <c r="BE137" s="55" t="str">
        <f t="shared" si="17"/>
        <v/>
      </c>
      <c r="BF137" s="55" t="str">
        <f t="shared" si="18"/>
        <v/>
      </c>
      <c r="BG137" s="55" t="str">
        <f t="shared" si="19"/>
        <v/>
      </c>
      <c r="BH137" s="55" t="str">
        <f t="shared" si="20"/>
        <v/>
      </c>
      <c r="BI137" s="55" t="str">
        <f t="shared" si="21"/>
        <v/>
      </c>
      <c r="BJ137" s="55" t="str">
        <f t="shared" si="22"/>
        <v/>
      </c>
      <c r="BK137" s="55" t="str">
        <f t="shared" si="23"/>
        <v/>
      </c>
    </row>
    <row r="138" spans="20:63">
      <c r="T138" s="55" t="s">
        <v>417</v>
      </c>
      <c r="U138" s="55">
        <v>38717</v>
      </c>
      <c r="V138" s="55">
        <f t="shared" ca="1" si="12"/>
        <v>1</v>
      </c>
      <c r="W138" s="64"/>
      <c r="X138" s="65"/>
      <c r="Y138" s="65"/>
      <c r="Z138" s="65"/>
      <c r="AA138" s="64"/>
      <c r="AB138" s="65"/>
      <c r="AC138" s="64"/>
      <c r="AD138" s="65"/>
      <c r="AE138" s="64"/>
      <c r="AF138" s="65"/>
      <c r="AG138" s="65"/>
      <c r="AH138" s="66" t="str">
        <f t="shared" si="13"/>
        <v/>
      </c>
      <c r="AI138" s="64"/>
      <c r="AJ138" s="65"/>
      <c r="AK138" s="64"/>
      <c r="AL138" s="65"/>
      <c r="BB138" s="55" t="str">
        <f t="shared" si="14"/>
        <v/>
      </c>
      <c r="BC138" s="55" t="str">
        <f t="shared" si="15"/>
        <v/>
      </c>
      <c r="BD138" s="55" t="str">
        <f t="shared" si="16"/>
        <v/>
      </c>
      <c r="BE138" s="55" t="str">
        <f t="shared" si="17"/>
        <v/>
      </c>
      <c r="BF138" s="55" t="str">
        <f t="shared" si="18"/>
        <v/>
      </c>
      <c r="BG138" s="55" t="str">
        <f t="shared" si="19"/>
        <v/>
      </c>
      <c r="BH138" s="55" t="str">
        <f t="shared" si="20"/>
        <v/>
      </c>
      <c r="BI138" s="55" t="str">
        <f t="shared" si="21"/>
        <v/>
      </c>
      <c r="BJ138" s="55" t="str">
        <f t="shared" si="22"/>
        <v/>
      </c>
      <c r="BK138" s="55" t="str">
        <f t="shared" si="23"/>
        <v/>
      </c>
    </row>
    <row r="139" spans="20:63">
      <c r="T139" s="55" t="s">
        <v>418</v>
      </c>
      <c r="U139" s="55">
        <v>38718</v>
      </c>
      <c r="V139" s="55">
        <f t="shared" ref="V139:V202" ca="1" si="24">IF(ISBLANK($W139),IF(ISNUMBER(INDIRECT("S"&amp;ROW($V139)-1)),INDIRECT("S"&amp;ROW($V139)-1),1),$W139)</f>
        <v>1</v>
      </c>
      <c r="W139" s="64"/>
      <c r="X139" s="65"/>
      <c r="Y139" s="65"/>
      <c r="Z139" s="65"/>
      <c r="AA139" s="64"/>
      <c r="AB139" s="65"/>
      <c r="AC139" s="64"/>
      <c r="AD139" s="65"/>
      <c r="AE139" s="64"/>
      <c r="AF139" s="65"/>
      <c r="AG139" s="65"/>
      <c r="AH139" s="66" t="str">
        <f t="shared" ref="AH139:AH202" si="25">IF(ISNUMBER($BI139), $BH139&amp;" - "&amp;$BJ139,"")</f>
        <v/>
      </c>
      <c r="AI139" s="64"/>
      <c r="AJ139" s="65"/>
      <c r="AK139" s="64"/>
      <c r="AL139" s="65"/>
      <c r="BB139" s="55" t="str">
        <f t="shared" ref="BB139:BB202" si="26">IF(ISBLANK($Z139),"",VLOOKUP($Z139,$A$11:$B$1010,2,FALSE))</f>
        <v/>
      </c>
      <c r="BC139" s="55" t="str">
        <f t="shared" ref="BC139:BC202" si="27">IF(ISBLANK($AA139),"",VLOOKUP($AA139,$D$11:$E$1010,2,FALSE))</f>
        <v/>
      </c>
      <c r="BD139" s="55" t="str">
        <f t="shared" ref="BD139:BD202" si="28">IF(ISBLANK($AC139),"",VLOOKUP($AC139,$H$11:$I$1010,2,FALSE))</f>
        <v/>
      </c>
      <c r="BE139" s="55" t="str">
        <f t="shared" ref="BE139:BE202" si="29">IF(ISBLANK($AF139),"",VLOOKUP($AF139,$L$11:$M$1010,2,FALSE))</f>
        <v/>
      </c>
      <c r="BF139" s="55" t="str">
        <f t="shared" ref="BF139:BF202" si="30">IF(ISNUMBER($BC139),VLOOKUP($BC139,$E$11:$F$1010,2,FALSE),"")</f>
        <v/>
      </c>
      <c r="BG139" s="55" t="str">
        <f t="shared" ref="BG139:BG202" si="31">IF(ISNUMBER($BD139),VLOOKUP($BD139,$I$11:$J$1010,2,FALSE),"")</f>
        <v/>
      </c>
      <c r="BH139" s="55" t="str">
        <f t="shared" ref="BH139:BH202" si="32">IF(AND(ISNUMBER($BF139),ISNUMBER($BG139)),$BF139*$BG139,"")</f>
        <v/>
      </c>
      <c r="BI139" s="55" t="str">
        <f t="shared" ref="BI139:BI202" si="33">IF(ISNUMBER($BH139),LOOKUP($BH139,lower_limit_level_risiko,id_level_risiko),"")</f>
        <v/>
      </c>
      <c r="BJ139" s="55" t="str">
        <f t="shared" ref="BJ139:BJ202" si="34">IF(ISNUMBER($BH139),LOOKUP($BH139,lower_limit_level_risiko,description_level_risiko),"")</f>
        <v/>
      </c>
      <c r="BK139" s="55" t="str">
        <f t="shared" ref="BK139:BK202" si="35">IF(ISBLANK($X139),"",VLOOKUP($X139,$T$11:$U$1010,2,FALSE))</f>
        <v/>
      </c>
    </row>
    <row r="140" spans="20:63">
      <c r="T140" s="55" t="s">
        <v>419</v>
      </c>
      <c r="U140" s="55">
        <v>38719</v>
      </c>
      <c r="V140" s="55">
        <f t="shared" ca="1" si="24"/>
        <v>1</v>
      </c>
      <c r="W140" s="64"/>
      <c r="X140" s="65"/>
      <c r="Y140" s="65"/>
      <c r="Z140" s="65"/>
      <c r="AA140" s="64"/>
      <c r="AB140" s="65"/>
      <c r="AC140" s="64"/>
      <c r="AD140" s="65"/>
      <c r="AE140" s="64"/>
      <c r="AF140" s="65"/>
      <c r="AG140" s="65"/>
      <c r="AH140" s="66" t="str">
        <f t="shared" si="25"/>
        <v/>
      </c>
      <c r="AI140" s="64"/>
      <c r="AJ140" s="65"/>
      <c r="AK140" s="64"/>
      <c r="AL140" s="65"/>
      <c r="BB140" s="55" t="str">
        <f t="shared" si="26"/>
        <v/>
      </c>
      <c r="BC140" s="55" t="str">
        <f t="shared" si="27"/>
        <v/>
      </c>
      <c r="BD140" s="55" t="str">
        <f t="shared" si="28"/>
        <v/>
      </c>
      <c r="BE140" s="55" t="str">
        <f t="shared" si="29"/>
        <v/>
      </c>
      <c r="BF140" s="55" t="str">
        <f t="shared" si="30"/>
        <v/>
      </c>
      <c r="BG140" s="55" t="str">
        <f t="shared" si="31"/>
        <v/>
      </c>
      <c r="BH140" s="55" t="str">
        <f t="shared" si="32"/>
        <v/>
      </c>
      <c r="BI140" s="55" t="str">
        <f t="shared" si="33"/>
        <v/>
      </c>
      <c r="BJ140" s="55" t="str">
        <f t="shared" si="34"/>
        <v/>
      </c>
      <c r="BK140" s="55" t="str">
        <f t="shared" si="35"/>
        <v/>
      </c>
    </row>
    <row r="141" spans="20:63">
      <c r="T141" s="55" t="s">
        <v>420</v>
      </c>
      <c r="U141" s="55">
        <v>38720</v>
      </c>
      <c r="V141" s="55">
        <f t="shared" ca="1" si="24"/>
        <v>1</v>
      </c>
      <c r="W141" s="64"/>
      <c r="X141" s="65"/>
      <c r="Y141" s="65"/>
      <c r="Z141" s="65"/>
      <c r="AA141" s="64"/>
      <c r="AB141" s="65"/>
      <c r="AC141" s="64"/>
      <c r="AD141" s="65"/>
      <c r="AE141" s="64"/>
      <c r="AF141" s="65"/>
      <c r="AG141" s="65"/>
      <c r="AH141" s="66" t="str">
        <f t="shared" si="25"/>
        <v/>
      </c>
      <c r="AI141" s="64"/>
      <c r="AJ141" s="65"/>
      <c r="AK141" s="64"/>
      <c r="AL141" s="65"/>
      <c r="BB141" s="55" t="str">
        <f t="shared" si="26"/>
        <v/>
      </c>
      <c r="BC141" s="55" t="str">
        <f t="shared" si="27"/>
        <v/>
      </c>
      <c r="BD141" s="55" t="str">
        <f t="shared" si="28"/>
        <v/>
      </c>
      <c r="BE141" s="55" t="str">
        <f t="shared" si="29"/>
        <v/>
      </c>
      <c r="BF141" s="55" t="str">
        <f t="shared" si="30"/>
        <v/>
      </c>
      <c r="BG141" s="55" t="str">
        <f t="shared" si="31"/>
        <v/>
      </c>
      <c r="BH141" s="55" t="str">
        <f t="shared" si="32"/>
        <v/>
      </c>
      <c r="BI141" s="55" t="str">
        <f t="shared" si="33"/>
        <v/>
      </c>
      <c r="BJ141" s="55" t="str">
        <f t="shared" si="34"/>
        <v/>
      </c>
      <c r="BK141" s="55" t="str">
        <f t="shared" si="35"/>
        <v/>
      </c>
    </row>
    <row r="142" spans="20:63">
      <c r="T142" s="55" t="s">
        <v>421</v>
      </c>
      <c r="U142" s="55">
        <v>38721</v>
      </c>
      <c r="V142" s="55">
        <f t="shared" ca="1" si="24"/>
        <v>1</v>
      </c>
      <c r="W142" s="64"/>
      <c r="X142" s="65"/>
      <c r="Y142" s="65"/>
      <c r="Z142" s="65"/>
      <c r="AA142" s="64"/>
      <c r="AB142" s="65"/>
      <c r="AC142" s="64"/>
      <c r="AD142" s="65"/>
      <c r="AE142" s="64"/>
      <c r="AF142" s="65"/>
      <c r="AG142" s="65"/>
      <c r="AH142" s="66" t="str">
        <f t="shared" si="25"/>
        <v/>
      </c>
      <c r="AI142" s="64"/>
      <c r="AJ142" s="65"/>
      <c r="AK142" s="64"/>
      <c r="AL142" s="65"/>
      <c r="BB142" s="55" t="str">
        <f t="shared" si="26"/>
        <v/>
      </c>
      <c r="BC142" s="55" t="str">
        <f t="shared" si="27"/>
        <v/>
      </c>
      <c r="BD142" s="55" t="str">
        <f t="shared" si="28"/>
        <v/>
      </c>
      <c r="BE142" s="55" t="str">
        <f t="shared" si="29"/>
        <v/>
      </c>
      <c r="BF142" s="55" t="str">
        <f t="shared" si="30"/>
        <v/>
      </c>
      <c r="BG142" s="55" t="str">
        <f t="shared" si="31"/>
        <v/>
      </c>
      <c r="BH142" s="55" t="str">
        <f t="shared" si="32"/>
        <v/>
      </c>
      <c r="BI142" s="55" t="str">
        <f t="shared" si="33"/>
        <v/>
      </c>
      <c r="BJ142" s="55" t="str">
        <f t="shared" si="34"/>
        <v/>
      </c>
      <c r="BK142" s="55" t="str">
        <f t="shared" si="35"/>
        <v/>
      </c>
    </row>
    <row r="143" spans="20:63">
      <c r="T143" s="55" t="s">
        <v>422</v>
      </c>
      <c r="U143" s="55">
        <v>38722</v>
      </c>
      <c r="V143" s="55">
        <f t="shared" ca="1" si="24"/>
        <v>1</v>
      </c>
      <c r="W143" s="64"/>
      <c r="X143" s="65"/>
      <c r="Y143" s="65"/>
      <c r="Z143" s="65"/>
      <c r="AA143" s="64"/>
      <c r="AB143" s="65"/>
      <c r="AC143" s="64"/>
      <c r="AD143" s="65"/>
      <c r="AE143" s="64"/>
      <c r="AF143" s="65"/>
      <c r="AG143" s="65"/>
      <c r="AH143" s="66" t="str">
        <f t="shared" si="25"/>
        <v/>
      </c>
      <c r="AI143" s="64"/>
      <c r="AJ143" s="65"/>
      <c r="AK143" s="64"/>
      <c r="AL143" s="65"/>
      <c r="BB143" s="55" t="str">
        <f t="shared" si="26"/>
        <v/>
      </c>
      <c r="BC143" s="55" t="str">
        <f t="shared" si="27"/>
        <v/>
      </c>
      <c r="BD143" s="55" t="str">
        <f t="shared" si="28"/>
        <v/>
      </c>
      <c r="BE143" s="55" t="str">
        <f t="shared" si="29"/>
        <v/>
      </c>
      <c r="BF143" s="55" t="str">
        <f t="shared" si="30"/>
        <v/>
      </c>
      <c r="BG143" s="55" t="str">
        <f t="shared" si="31"/>
        <v/>
      </c>
      <c r="BH143" s="55" t="str">
        <f t="shared" si="32"/>
        <v/>
      </c>
      <c r="BI143" s="55" t="str">
        <f t="shared" si="33"/>
        <v/>
      </c>
      <c r="BJ143" s="55" t="str">
        <f t="shared" si="34"/>
        <v/>
      </c>
      <c r="BK143" s="55" t="str">
        <f t="shared" si="35"/>
        <v/>
      </c>
    </row>
    <row r="144" spans="20:63">
      <c r="T144" s="55" t="s">
        <v>423</v>
      </c>
      <c r="U144" s="55">
        <v>38723</v>
      </c>
      <c r="V144" s="55">
        <f t="shared" ca="1" si="24"/>
        <v>1</v>
      </c>
      <c r="W144" s="64"/>
      <c r="X144" s="65"/>
      <c r="Y144" s="65"/>
      <c r="Z144" s="65"/>
      <c r="AA144" s="64"/>
      <c r="AB144" s="65"/>
      <c r="AC144" s="64"/>
      <c r="AD144" s="65"/>
      <c r="AE144" s="64"/>
      <c r="AF144" s="65"/>
      <c r="AG144" s="65"/>
      <c r="AH144" s="66" t="str">
        <f t="shared" si="25"/>
        <v/>
      </c>
      <c r="AI144" s="64"/>
      <c r="AJ144" s="65"/>
      <c r="AK144" s="64"/>
      <c r="AL144" s="65"/>
      <c r="BB144" s="55" t="str">
        <f t="shared" si="26"/>
        <v/>
      </c>
      <c r="BC144" s="55" t="str">
        <f t="shared" si="27"/>
        <v/>
      </c>
      <c r="BD144" s="55" t="str">
        <f t="shared" si="28"/>
        <v/>
      </c>
      <c r="BE144" s="55" t="str">
        <f t="shared" si="29"/>
        <v/>
      </c>
      <c r="BF144" s="55" t="str">
        <f t="shared" si="30"/>
        <v/>
      </c>
      <c r="BG144" s="55" t="str">
        <f t="shared" si="31"/>
        <v/>
      </c>
      <c r="BH144" s="55" t="str">
        <f t="shared" si="32"/>
        <v/>
      </c>
      <c r="BI144" s="55" t="str">
        <f t="shared" si="33"/>
        <v/>
      </c>
      <c r="BJ144" s="55" t="str">
        <f t="shared" si="34"/>
        <v/>
      </c>
      <c r="BK144" s="55" t="str">
        <f t="shared" si="35"/>
        <v/>
      </c>
    </row>
    <row r="145" spans="20:63">
      <c r="T145" s="55" t="s">
        <v>424</v>
      </c>
      <c r="U145" s="55">
        <v>38724</v>
      </c>
      <c r="V145" s="55">
        <f t="shared" ca="1" si="24"/>
        <v>1</v>
      </c>
      <c r="W145" s="64"/>
      <c r="X145" s="65"/>
      <c r="Y145" s="65"/>
      <c r="Z145" s="65"/>
      <c r="AA145" s="64"/>
      <c r="AB145" s="65"/>
      <c r="AC145" s="64"/>
      <c r="AD145" s="65"/>
      <c r="AE145" s="64"/>
      <c r="AF145" s="65"/>
      <c r="AG145" s="65"/>
      <c r="AH145" s="66" t="str">
        <f t="shared" si="25"/>
        <v/>
      </c>
      <c r="AI145" s="64"/>
      <c r="AJ145" s="65"/>
      <c r="AK145" s="64"/>
      <c r="AL145" s="65"/>
      <c r="BB145" s="55" t="str">
        <f t="shared" si="26"/>
        <v/>
      </c>
      <c r="BC145" s="55" t="str">
        <f t="shared" si="27"/>
        <v/>
      </c>
      <c r="BD145" s="55" t="str">
        <f t="shared" si="28"/>
        <v/>
      </c>
      <c r="BE145" s="55" t="str">
        <f t="shared" si="29"/>
        <v/>
      </c>
      <c r="BF145" s="55" t="str">
        <f t="shared" si="30"/>
        <v/>
      </c>
      <c r="BG145" s="55" t="str">
        <f t="shared" si="31"/>
        <v/>
      </c>
      <c r="BH145" s="55" t="str">
        <f t="shared" si="32"/>
        <v/>
      </c>
      <c r="BI145" s="55" t="str">
        <f t="shared" si="33"/>
        <v/>
      </c>
      <c r="BJ145" s="55" t="str">
        <f t="shared" si="34"/>
        <v/>
      </c>
      <c r="BK145" s="55" t="str">
        <f t="shared" si="35"/>
        <v/>
      </c>
    </row>
    <row r="146" spans="20:63">
      <c r="T146" s="55" t="s">
        <v>425</v>
      </c>
      <c r="U146" s="55">
        <v>38725</v>
      </c>
      <c r="V146" s="55">
        <f t="shared" ca="1" si="24"/>
        <v>1</v>
      </c>
      <c r="W146" s="64"/>
      <c r="X146" s="65"/>
      <c r="Y146" s="65"/>
      <c r="Z146" s="65"/>
      <c r="AA146" s="64"/>
      <c r="AB146" s="65"/>
      <c r="AC146" s="64"/>
      <c r="AD146" s="65"/>
      <c r="AE146" s="64"/>
      <c r="AF146" s="65"/>
      <c r="AG146" s="65"/>
      <c r="AH146" s="66" t="str">
        <f t="shared" si="25"/>
        <v/>
      </c>
      <c r="AI146" s="64"/>
      <c r="AJ146" s="65"/>
      <c r="AK146" s="64"/>
      <c r="AL146" s="65"/>
      <c r="BB146" s="55" t="str">
        <f t="shared" si="26"/>
        <v/>
      </c>
      <c r="BC146" s="55" t="str">
        <f t="shared" si="27"/>
        <v/>
      </c>
      <c r="BD146" s="55" t="str">
        <f t="shared" si="28"/>
        <v/>
      </c>
      <c r="BE146" s="55" t="str">
        <f t="shared" si="29"/>
        <v/>
      </c>
      <c r="BF146" s="55" t="str">
        <f t="shared" si="30"/>
        <v/>
      </c>
      <c r="BG146" s="55" t="str">
        <f t="shared" si="31"/>
        <v/>
      </c>
      <c r="BH146" s="55" t="str">
        <f t="shared" si="32"/>
        <v/>
      </c>
      <c r="BI146" s="55" t="str">
        <f t="shared" si="33"/>
        <v/>
      </c>
      <c r="BJ146" s="55" t="str">
        <f t="shared" si="34"/>
        <v/>
      </c>
      <c r="BK146" s="55" t="str">
        <f t="shared" si="35"/>
        <v/>
      </c>
    </row>
    <row r="147" spans="20:63">
      <c r="T147" s="55" t="s">
        <v>426</v>
      </c>
      <c r="U147" s="55">
        <v>38726</v>
      </c>
      <c r="V147" s="55">
        <f t="shared" ca="1" si="24"/>
        <v>1</v>
      </c>
      <c r="W147" s="64"/>
      <c r="X147" s="65"/>
      <c r="Y147" s="65"/>
      <c r="Z147" s="65"/>
      <c r="AA147" s="64"/>
      <c r="AB147" s="65"/>
      <c r="AC147" s="64"/>
      <c r="AD147" s="65"/>
      <c r="AE147" s="64"/>
      <c r="AF147" s="65"/>
      <c r="AG147" s="65"/>
      <c r="AH147" s="66" t="str">
        <f t="shared" si="25"/>
        <v/>
      </c>
      <c r="AI147" s="64"/>
      <c r="AJ147" s="65"/>
      <c r="AK147" s="64"/>
      <c r="AL147" s="65"/>
      <c r="BB147" s="55" t="str">
        <f t="shared" si="26"/>
        <v/>
      </c>
      <c r="BC147" s="55" t="str">
        <f t="shared" si="27"/>
        <v/>
      </c>
      <c r="BD147" s="55" t="str">
        <f t="shared" si="28"/>
        <v/>
      </c>
      <c r="BE147" s="55" t="str">
        <f t="shared" si="29"/>
        <v/>
      </c>
      <c r="BF147" s="55" t="str">
        <f t="shared" si="30"/>
        <v/>
      </c>
      <c r="BG147" s="55" t="str">
        <f t="shared" si="31"/>
        <v/>
      </c>
      <c r="BH147" s="55" t="str">
        <f t="shared" si="32"/>
        <v/>
      </c>
      <c r="BI147" s="55" t="str">
        <f t="shared" si="33"/>
        <v/>
      </c>
      <c r="BJ147" s="55" t="str">
        <f t="shared" si="34"/>
        <v/>
      </c>
      <c r="BK147" s="55" t="str">
        <f t="shared" si="35"/>
        <v/>
      </c>
    </row>
    <row r="148" spans="20:63">
      <c r="T148" s="55" t="s">
        <v>427</v>
      </c>
      <c r="U148" s="55">
        <v>38727</v>
      </c>
      <c r="V148" s="55">
        <f t="shared" ca="1" si="24"/>
        <v>1</v>
      </c>
      <c r="W148" s="64"/>
      <c r="X148" s="65"/>
      <c r="Y148" s="65"/>
      <c r="Z148" s="65"/>
      <c r="AA148" s="64"/>
      <c r="AB148" s="65"/>
      <c r="AC148" s="64"/>
      <c r="AD148" s="65"/>
      <c r="AE148" s="64"/>
      <c r="AF148" s="65"/>
      <c r="AG148" s="65"/>
      <c r="AH148" s="66" t="str">
        <f t="shared" si="25"/>
        <v/>
      </c>
      <c r="AI148" s="64"/>
      <c r="AJ148" s="65"/>
      <c r="AK148" s="64"/>
      <c r="AL148" s="65"/>
      <c r="BB148" s="55" t="str">
        <f t="shared" si="26"/>
        <v/>
      </c>
      <c r="BC148" s="55" t="str">
        <f t="shared" si="27"/>
        <v/>
      </c>
      <c r="BD148" s="55" t="str">
        <f t="shared" si="28"/>
        <v/>
      </c>
      <c r="BE148" s="55" t="str">
        <f t="shared" si="29"/>
        <v/>
      </c>
      <c r="BF148" s="55" t="str">
        <f t="shared" si="30"/>
        <v/>
      </c>
      <c r="BG148" s="55" t="str">
        <f t="shared" si="31"/>
        <v/>
      </c>
      <c r="BH148" s="55" t="str">
        <f t="shared" si="32"/>
        <v/>
      </c>
      <c r="BI148" s="55" t="str">
        <f t="shared" si="33"/>
        <v/>
      </c>
      <c r="BJ148" s="55" t="str">
        <f t="shared" si="34"/>
        <v/>
      </c>
      <c r="BK148" s="55" t="str">
        <f t="shared" si="35"/>
        <v/>
      </c>
    </row>
    <row r="149" spans="20:63">
      <c r="T149" s="55" t="s">
        <v>428</v>
      </c>
      <c r="U149" s="55">
        <v>38728</v>
      </c>
      <c r="V149" s="55">
        <f t="shared" ca="1" si="24"/>
        <v>1</v>
      </c>
      <c r="W149" s="64"/>
      <c r="X149" s="65"/>
      <c r="Y149" s="65"/>
      <c r="Z149" s="65"/>
      <c r="AA149" s="64"/>
      <c r="AB149" s="65"/>
      <c r="AC149" s="64"/>
      <c r="AD149" s="65"/>
      <c r="AE149" s="64"/>
      <c r="AF149" s="65"/>
      <c r="AG149" s="65"/>
      <c r="AH149" s="66" t="str">
        <f t="shared" si="25"/>
        <v/>
      </c>
      <c r="AI149" s="64"/>
      <c r="AJ149" s="65"/>
      <c r="AK149" s="64"/>
      <c r="AL149" s="65"/>
      <c r="BB149" s="55" t="str">
        <f t="shared" si="26"/>
        <v/>
      </c>
      <c r="BC149" s="55" t="str">
        <f t="shared" si="27"/>
        <v/>
      </c>
      <c r="BD149" s="55" t="str">
        <f t="shared" si="28"/>
        <v/>
      </c>
      <c r="BE149" s="55" t="str">
        <f t="shared" si="29"/>
        <v/>
      </c>
      <c r="BF149" s="55" t="str">
        <f t="shared" si="30"/>
        <v/>
      </c>
      <c r="BG149" s="55" t="str">
        <f t="shared" si="31"/>
        <v/>
      </c>
      <c r="BH149" s="55" t="str">
        <f t="shared" si="32"/>
        <v/>
      </c>
      <c r="BI149" s="55" t="str">
        <f t="shared" si="33"/>
        <v/>
      </c>
      <c r="BJ149" s="55" t="str">
        <f t="shared" si="34"/>
        <v/>
      </c>
      <c r="BK149" s="55" t="str">
        <f t="shared" si="35"/>
        <v/>
      </c>
    </row>
    <row r="150" spans="20:63">
      <c r="T150" s="55" t="s">
        <v>429</v>
      </c>
      <c r="U150" s="55">
        <v>38729</v>
      </c>
      <c r="V150" s="55">
        <f t="shared" ca="1" si="24"/>
        <v>1</v>
      </c>
      <c r="W150" s="64"/>
      <c r="X150" s="65"/>
      <c r="Y150" s="65"/>
      <c r="Z150" s="65"/>
      <c r="AA150" s="64"/>
      <c r="AB150" s="65"/>
      <c r="AC150" s="64"/>
      <c r="AD150" s="65"/>
      <c r="AE150" s="64"/>
      <c r="AF150" s="65"/>
      <c r="AG150" s="65"/>
      <c r="AH150" s="66" t="str">
        <f t="shared" si="25"/>
        <v/>
      </c>
      <c r="AI150" s="64"/>
      <c r="AJ150" s="65"/>
      <c r="AK150" s="64"/>
      <c r="AL150" s="65"/>
      <c r="BB150" s="55" t="str">
        <f t="shared" si="26"/>
        <v/>
      </c>
      <c r="BC150" s="55" t="str">
        <f t="shared" si="27"/>
        <v/>
      </c>
      <c r="BD150" s="55" t="str">
        <f t="shared" si="28"/>
        <v/>
      </c>
      <c r="BE150" s="55" t="str">
        <f t="shared" si="29"/>
        <v/>
      </c>
      <c r="BF150" s="55" t="str">
        <f t="shared" si="30"/>
        <v/>
      </c>
      <c r="BG150" s="55" t="str">
        <f t="shared" si="31"/>
        <v/>
      </c>
      <c r="BH150" s="55" t="str">
        <f t="shared" si="32"/>
        <v/>
      </c>
      <c r="BI150" s="55" t="str">
        <f t="shared" si="33"/>
        <v/>
      </c>
      <c r="BJ150" s="55" t="str">
        <f t="shared" si="34"/>
        <v/>
      </c>
      <c r="BK150" s="55" t="str">
        <f t="shared" si="35"/>
        <v/>
      </c>
    </row>
    <row r="151" spans="20:63">
      <c r="T151" s="55" t="s">
        <v>430</v>
      </c>
      <c r="U151" s="55">
        <v>38730</v>
      </c>
      <c r="V151" s="55">
        <f t="shared" ca="1" si="24"/>
        <v>1</v>
      </c>
      <c r="W151" s="64"/>
      <c r="X151" s="65"/>
      <c r="Y151" s="65"/>
      <c r="Z151" s="65"/>
      <c r="AA151" s="64"/>
      <c r="AB151" s="65"/>
      <c r="AC151" s="64"/>
      <c r="AD151" s="65"/>
      <c r="AE151" s="64"/>
      <c r="AF151" s="65"/>
      <c r="AG151" s="65"/>
      <c r="AH151" s="66" t="str">
        <f t="shared" si="25"/>
        <v/>
      </c>
      <c r="AI151" s="64"/>
      <c r="AJ151" s="65"/>
      <c r="AK151" s="64"/>
      <c r="AL151" s="65"/>
      <c r="BB151" s="55" t="str">
        <f t="shared" si="26"/>
        <v/>
      </c>
      <c r="BC151" s="55" t="str">
        <f t="shared" si="27"/>
        <v/>
      </c>
      <c r="BD151" s="55" t="str">
        <f t="shared" si="28"/>
        <v/>
      </c>
      <c r="BE151" s="55" t="str">
        <f t="shared" si="29"/>
        <v/>
      </c>
      <c r="BF151" s="55" t="str">
        <f t="shared" si="30"/>
        <v/>
      </c>
      <c r="BG151" s="55" t="str">
        <f t="shared" si="31"/>
        <v/>
      </c>
      <c r="BH151" s="55" t="str">
        <f t="shared" si="32"/>
        <v/>
      </c>
      <c r="BI151" s="55" t="str">
        <f t="shared" si="33"/>
        <v/>
      </c>
      <c r="BJ151" s="55" t="str">
        <f t="shared" si="34"/>
        <v/>
      </c>
      <c r="BK151" s="55" t="str">
        <f t="shared" si="35"/>
        <v/>
      </c>
    </row>
    <row r="152" spans="20:63">
      <c r="T152" s="55" t="s">
        <v>431</v>
      </c>
      <c r="U152" s="55">
        <v>38731</v>
      </c>
      <c r="V152" s="55">
        <f t="shared" ca="1" si="24"/>
        <v>1</v>
      </c>
      <c r="W152" s="64"/>
      <c r="X152" s="65"/>
      <c r="Y152" s="65"/>
      <c r="Z152" s="65"/>
      <c r="AA152" s="64"/>
      <c r="AB152" s="65"/>
      <c r="AC152" s="64"/>
      <c r="AD152" s="65"/>
      <c r="AE152" s="64"/>
      <c r="AF152" s="65"/>
      <c r="AG152" s="65"/>
      <c r="AH152" s="66" t="str">
        <f t="shared" si="25"/>
        <v/>
      </c>
      <c r="AI152" s="64"/>
      <c r="AJ152" s="65"/>
      <c r="AK152" s="64"/>
      <c r="AL152" s="65"/>
      <c r="BB152" s="55" t="str">
        <f t="shared" si="26"/>
        <v/>
      </c>
      <c r="BC152" s="55" t="str">
        <f t="shared" si="27"/>
        <v/>
      </c>
      <c r="BD152" s="55" t="str">
        <f t="shared" si="28"/>
        <v/>
      </c>
      <c r="BE152" s="55" t="str">
        <f t="shared" si="29"/>
        <v/>
      </c>
      <c r="BF152" s="55" t="str">
        <f t="shared" si="30"/>
        <v/>
      </c>
      <c r="BG152" s="55" t="str">
        <f t="shared" si="31"/>
        <v/>
      </c>
      <c r="BH152" s="55" t="str">
        <f t="shared" si="32"/>
        <v/>
      </c>
      <c r="BI152" s="55" t="str">
        <f t="shared" si="33"/>
        <v/>
      </c>
      <c r="BJ152" s="55" t="str">
        <f t="shared" si="34"/>
        <v/>
      </c>
      <c r="BK152" s="55" t="str">
        <f t="shared" si="35"/>
        <v/>
      </c>
    </row>
    <row r="153" spans="20:63">
      <c r="T153" s="55" t="s">
        <v>432</v>
      </c>
      <c r="U153" s="55">
        <v>38732</v>
      </c>
      <c r="V153" s="55">
        <f t="shared" ca="1" si="24"/>
        <v>1</v>
      </c>
      <c r="W153" s="64"/>
      <c r="X153" s="65"/>
      <c r="Y153" s="65"/>
      <c r="Z153" s="65"/>
      <c r="AA153" s="64"/>
      <c r="AB153" s="65"/>
      <c r="AC153" s="64"/>
      <c r="AD153" s="65"/>
      <c r="AE153" s="64"/>
      <c r="AF153" s="65"/>
      <c r="AG153" s="65"/>
      <c r="AH153" s="66" t="str">
        <f t="shared" si="25"/>
        <v/>
      </c>
      <c r="AI153" s="64"/>
      <c r="AJ153" s="65"/>
      <c r="AK153" s="64"/>
      <c r="AL153" s="65"/>
      <c r="BB153" s="55" t="str">
        <f t="shared" si="26"/>
        <v/>
      </c>
      <c r="BC153" s="55" t="str">
        <f t="shared" si="27"/>
        <v/>
      </c>
      <c r="BD153" s="55" t="str">
        <f t="shared" si="28"/>
        <v/>
      </c>
      <c r="BE153" s="55" t="str">
        <f t="shared" si="29"/>
        <v/>
      </c>
      <c r="BF153" s="55" t="str">
        <f t="shared" si="30"/>
        <v/>
      </c>
      <c r="BG153" s="55" t="str">
        <f t="shared" si="31"/>
        <v/>
      </c>
      <c r="BH153" s="55" t="str">
        <f t="shared" si="32"/>
        <v/>
      </c>
      <c r="BI153" s="55" t="str">
        <f t="shared" si="33"/>
        <v/>
      </c>
      <c r="BJ153" s="55" t="str">
        <f t="shared" si="34"/>
        <v/>
      </c>
      <c r="BK153" s="55" t="str">
        <f t="shared" si="35"/>
        <v/>
      </c>
    </row>
    <row r="154" spans="20:63">
      <c r="T154" s="55" t="s">
        <v>433</v>
      </c>
      <c r="U154" s="55">
        <v>38733</v>
      </c>
      <c r="V154" s="55">
        <f t="shared" ca="1" si="24"/>
        <v>1</v>
      </c>
      <c r="W154" s="64"/>
      <c r="X154" s="65"/>
      <c r="Y154" s="65"/>
      <c r="Z154" s="65"/>
      <c r="AA154" s="64"/>
      <c r="AB154" s="65"/>
      <c r="AC154" s="64"/>
      <c r="AD154" s="65"/>
      <c r="AE154" s="64"/>
      <c r="AF154" s="65"/>
      <c r="AG154" s="65"/>
      <c r="AH154" s="66" t="str">
        <f t="shared" si="25"/>
        <v/>
      </c>
      <c r="AI154" s="64"/>
      <c r="AJ154" s="65"/>
      <c r="AK154" s="64"/>
      <c r="AL154" s="65"/>
      <c r="BB154" s="55" t="str">
        <f t="shared" si="26"/>
        <v/>
      </c>
      <c r="BC154" s="55" t="str">
        <f t="shared" si="27"/>
        <v/>
      </c>
      <c r="BD154" s="55" t="str">
        <f t="shared" si="28"/>
        <v/>
      </c>
      <c r="BE154" s="55" t="str">
        <f t="shared" si="29"/>
        <v/>
      </c>
      <c r="BF154" s="55" t="str">
        <f t="shared" si="30"/>
        <v/>
      </c>
      <c r="BG154" s="55" t="str">
        <f t="shared" si="31"/>
        <v/>
      </c>
      <c r="BH154" s="55" t="str">
        <f t="shared" si="32"/>
        <v/>
      </c>
      <c r="BI154" s="55" t="str">
        <f t="shared" si="33"/>
        <v/>
      </c>
      <c r="BJ154" s="55" t="str">
        <f t="shared" si="34"/>
        <v/>
      </c>
      <c r="BK154" s="55" t="str">
        <f t="shared" si="35"/>
        <v/>
      </c>
    </row>
    <row r="155" spans="20:63">
      <c r="T155" s="55" t="s">
        <v>434</v>
      </c>
      <c r="U155" s="55">
        <v>38734</v>
      </c>
      <c r="V155" s="55">
        <f t="shared" ca="1" si="24"/>
        <v>1</v>
      </c>
      <c r="W155" s="64"/>
      <c r="X155" s="65"/>
      <c r="Y155" s="65"/>
      <c r="Z155" s="65"/>
      <c r="AA155" s="64"/>
      <c r="AB155" s="65"/>
      <c r="AC155" s="64"/>
      <c r="AD155" s="65"/>
      <c r="AE155" s="64"/>
      <c r="AF155" s="65"/>
      <c r="AG155" s="65"/>
      <c r="AH155" s="66" t="str">
        <f t="shared" si="25"/>
        <v/>
      </c>
      <c r="AI155" s="64"/>
      <c r="AJ155" s="65"/>
      <c r="AK155" s="64"/>
      <c r="AL155" s="65"/>
      <c r="BB155" s="55" t="str">
        <f t="shared" si="26"/>
        <v/>
      </c>
      <c r="BC155" s="55" t="str">
        <f t="shared" si="27"/>
        <v/>
      </c>
      <c r="BD155" s="55" t="str">
        <f t="shared" si="28"/>
        <v/>
      </c>
      <c r="BE155" s="55" t="str">
        <f t="shared" si="29"/>
        <v/>
      </c>
      <c r="BF155" s="55" t="str">
        <f t="shared" si="30"/>
        <v/>
      </c>
      <c r="BG155" s="55" t="str">
        <f t="shared" si="31"/>
        <v/>
      </c>
      <c r="BH155" s="55" t="str">
        <f t="shared" si="32"/>
        <v/>
      </c>
      <c r="BI155" s="55" t="str">
        <f t="shared" si="33"/>
        <v/>
      </c>
      <c r="BJ155" s="55" t="str">
        <f t="shared" si="34"/>
        <v/>
      </c>
      <c r="BK155" s="55" t="str">
        <f t="shared" si="35"/>
        <v/>
      </c>
    </row>
    <row r="156" spans="20:63">
      <c r="T156" s="55" t="s">
        <v>435</v>
      </c>
      <c r="U156" s="55">
        <v>38735</v>
      </c>
      <c r="V156" s="55">
        <f t="shared" ca="1" si="24"/>
        <v>1</v>
      </c>
      <c r="W156" s="64"/>
      <c r="X156" s="65"/>
      <c r="Y156" s="65"/>
      <c r="Z156" s="65"/>
      <c r="AA156" s="64"/>
      <c r="AB156" s="65"/>
      <c r="AC156" s="64"/>
      <c r="AD156" s="65"/>
      <c r="AE156" s="64"/>
      <c r="AF156" s="65"/>
      <c r="AG156" s="65"/>
      <c r="AH156" s="66" t="str">
        <f t="shared" si="25"/>
        <v/>
      </c>
      <c r="AI156" s="64"/>
      <c r="AJ156" s="65"/>
      <c r="AK156" s="64"/>
      <c r="AL156" s="65"/>
      <c r="BB156" s="55" t="str">
        <f t="shared" si="26"/>
        <v/>
      </c>
      <c r="BC156" s="55" t="str">
        <f t="shared" si="27"/>
        <v/>
      </c>
      <c r="BD156" s="55" t="str">
        <f t="shared" si="28"/>
        <v/>
      </c>
      <c r="BE156" s="55" t="str">
        <f t="shared" si="29"/>
        <v/>
      </c>
      <c r="BF156" s="55" t="str">
        <f t="shared" si="30"/>
        <v/>
      </c>
      <c r="BG156" s="55" t="str">
        <f t="shared" si="31"/>
        <v/>
      </c>
      <c r="BH156" s="55" t="str">
        <f t="shared" si="32"/>
        <v/>
      </c>
      <c r="BI156" s="55" t="str">
        <f t="shared" si="33"/>
        <v/>
      </c>
      <c r="BJ156" s="55" t="str">
        <f t="shared" si="34"/>
        <v/>
      </c>
      <c r="BK156" s="55" t="str">
        <f t="shared" si="35"/>
        <v/>
      </c>
    </row>
    <row r="157" spans="20:63">
      <c r="T157" s="55" t="s">
        <v>436</v>
      </c>
      <c r="U157" s="55">
        <v>38736</v>
      </c>
      <c r="V157" s="55">
        <f t="shared" ca="1" si="24"/>
        <v>1</v>
      </c>
      <c r="W157" s="64"/>
      <c r="X157" s="65"/>
      <c r="Y157" s="65"/>
      <c r="Z157" s="65"/>
      <c r="AA157" s="64"/>
      <c r="AB157" s="65"/>
      <c r="AC157" s="64"/>
      <c r="AD157" s="65"/>
      <c r="AE157" s="64"/>
      <c r="AF157" s="65"/>
      <c r="AG157" s="65"/>
      <c r="AH157" s="66" t="str">
        <f t="shared" si="25"/>
        <v/>
      </c>
      <c r="AI157" s="64"/>
      <c r="AJ157" s="65"/>
      <c r="AK157" s="64"/>
      <c r="AL157" s="65"/>
      <c r="BB157" s="55" t="str">
        <f t="shared" si="26"/>
        <v/>
      </c>
      <c r="BC157" s="55" t="str">
        <f t="shared" si="27"/>
        <v/>
      </c>
      <c r="BD157" s="55" t="str">
        <f t="shared" si="28"/>
        <v/>
      </c>
      <c r="BE157" s="55" t="str">
        <f t="shared" si="29"/>
        <v/>
      </c>
      <c r="BF157" s="55" t="str">
        <f t="shared" si="30"/>
        <v/>
      </c>
      <c r="BG157" s="55" t="str">
        <f t="shared" si="31"/>
        <v/>
      </c>
      <c r="BH157" s="55" t="str">
        <f t="shared" si="32"/>
        <v/>
      </c>
      <c r="BI157" s="55" t="str">
        <f t="shared" si="33"/>
        <v/>
      </c>
      <c r="BJ157" s="55" t="str">
        <f t="shared" si="34"/>
        <v/>
      </c>
      <c r="BK157" s="55" t="str">
        <f t="shared" si="35"/>
        <v/>
      </c>
    </row>
    <row r="158" spans="20:63">
      <c r="T158" s="55" t="s">
        <v>437</v>
      </c>
      <c r="U158" s="55">
        <v>38737</v>
      </c>
      <c r="V158" s="55">
        <f t="shared" ca="1" si="24"/>
        <v>1</v>
      </c>
      <c r="W158" s="64"/>
      <c r="X158" s="65"/>
      <c r="Y158" s="65"/>
      <c r="Z158" s="65"/>
      <c r="AA158" s="64"/>
      <c r="AB158" s="65"/>
      <c r="AC158" s="64"/>
      <c r="AD158" s="65"/>
      <c r="AE158" s="64"/>
      <c r="AF158" s="65"/>
      <c r="AG158" s="65"/>
      <c r="AH158" s="66" t="str">
        <f t="shared" si="25"/>
        <v/>
      </c>
      <c r="AI158" s="64"/>
      <c r="AJ158" s="65"/>
      <c r="AK158" s="64"/>
      <c r="AL158" s="65"/>
      <c r="BB158" s="55" t="str">
        <f t="shared" si="26"/>
        <v/>
      </c>
      <c r="BC158" s="55" t="str">
        <f t="shared" si="27"/>
        <v/>
      </c>
      <c r="BD158" s="55" t="str">
        <f t="shared" si="28"/>
        <v/>
      </c>
      <c r="BE158" s="55" t="str">
        <f t="shared" si="29"/>
        <v/>
      </c>
      <c r="BF158" s="55" t="str">
        <f t="shared" si="30"/>
        <v/>
      </c>
      <c r="BG158" s="55" t="str">
        <f t="shared" si="31"/>
        <v/>
      </c>
      <c r="BH158" s="55" t="str">
        <f t="shared" si="32"/>
        <v/>
      </c>
      <c r="BI158" s="55" t="str">
        <f t="shared" si="33"/>
        <v/>
      </c>
      <c r="BJ158" s="55" t="str">
        <f t="shared" si="34"/>
        <v/>
      </c>
      <c r="BK158" s="55" t="str">
        <f t="shared" si="35"/>
        <v/>
      </c>
    </row>
    <row r="159" spans="20:63">
      <c r="T159" s="55" t="s">
        <v>438</v>
      </c>
      <c r="U159" s="55">
        <v>38738</v>
      </c>
      <c r="V159" s="55">
        <f t="shared" ca="1" si="24"/>
        <v>1</v>
      </c>
      <c r="W159" s="64"/>
      <c r="X159" s="65"/>
      <c r="Y159" s="65"/>
      <c r="Z159" s="65"/>
      <c r="AA159" s="64"/>
      <c r="AB159" s="65"/>
      <c r="AC159" s="64"/>
      <c r="AD159" s="65"/>
      <c r="AE159" s="64"/>
      <c r="AF159" s="65"/>
      <c r="AG159" s="65"/>
      <c r="AH159" s="66" t="str">
        <f t="shared" si="25"/>
        <v/>
      </c>
      <c r="AI159" s="64"/>
      <c r="AJ159" s="65"/>
      <c r="AK159" s="64"/>
      <c r="AL159" s="65"/>
      <c r="BB159" s="55" t="str">
        <f t="shared" si="26"/>
        <v/>
      </c>
      <c r="BC159" s="55" t="str">
        <f t="shared" si="27"/>
        <v/>
      </c>
      <c r="BD159" s="55" t="str">
        <f t="shared" si="28"/>
        <v/>
      </c>
      <c r="BE159" s="55" t="str">
        <f t="shared" si="29"/>
        <v/>
      </c>
      <c r="BF159" s="55" t="str">
        <f t="shared" si="30"/>
        <v/>
      </c>
      <c r="BG159" s="55" t="str">
        <f t="shared" si="31"/>
        <v/>
      </c>
      <c r="BH159" s="55" t="str">
        <f t="shared" si="32"/>
        <v/>
      </c>
      <c r="BI159" s="55" t="str">
        <f t="shared" si="33"/>
        <v/>
      </c>
      <c r="BJ159" s="55" t="str">
        <f t="shared" si="34"/>
        <v/>
      </c>
      <c r="BK159" s="55" t="str">
        <f t="shared" si="35"/>
        <v/>
      </c>
    </row>
    <row r="160" spans="20:63">
      <c r="T160" s="55" t="s">
        <v>439</v>
      </c>
      <c r="U160" s="55">
        <v>38739</v>
      </c>
      <c r="V160" s="55">
        <f t="shared" ca="1" si="24"/>
        <v>1</v>
      </c>
      <c r="W160" s="64"/>
      <c r="X160" s="65"/>
      <c r="Y160" s="65"/>
      <c r="Z160" s="65"/>
      <c r="AA160" s="64"/>
      <c r="AB160" s="65"/>
      <c r="AC160" s="64"/>
      <c r="AD160" s="65"/>
      <c r="AE160" s="64"/>
      <c r="AF160" s="65"/>
      <c r="AG160" s="65"/>
      <c r="AH160" s="66" t="str">
        <f t="shared" si="25"/>
        <v/>
      </c>
      <c r="AI160" s="64"/>
      <c r="AJ160" s="65"/>
      <c r="AK160" s="64"/>
      <c r="AL160" s="65"/>
      <c r="BB160" s="55" t="str">
        <f t="shared" si="26"/>
        <v/>
      </c>
      <c r="BC160" s="55" t="str">
        <f t="shared" si="27"/>
        <v/>
      </c>
      <c r="BD160" s="55" t="str">
        <f t="shared" si="28"/>
        <v/>
      </c>
      <c r="BE160" s="55" t="str">
        <f t="shared" si="29"/>
        <v/>
      </c>
      <c r="BF160" s="55" t="str">
        <f t="shared" si="30"/>
        <v/>
      </c>
      <c r="BG160" s="55" t="str">
        <f t="shared" si="31"/>
        <v/>
      </c>
      <c r="BH160" s="55" t="str">
        <f t="shared" si="32"/>
        <v/>
      </c>
      <c r="BI160" s="55" t="str">
        <f t="shared" si="33"/>
        <v/>
      </c>
      <c r="BJ160" s="55" t="str">
        <f t="shared" si="34"/>
        <v/>
      </c>
      <c r="BK160" s="55" t="str">
        <f t="shared" si="35"/>
        <v/>
      </c>
    </row>
    <row r="161" spans="20:63">
      <c r="T161" s="55" t="s">
        <v>440</v>
      </c>
      <c r="U161" s="55">
        <v>38740</v>
      </c>
      <c r="V161" s="55">
        <f t="shared" ca="1" si="24"/>
        <v>1</v>
      </c>
      <c r="W161" s="64"/>
      <c r="X161" s="65"/>
      <c r="Y161" s="65"/>
      <c r="Z161" s="65"/>
      <c r="AA161" s="64"/>
      <c r="AB161" s="65"/>
      <c r="AC161" s="64"/>
      <c r="AD161" s="65"/>
      <c r="AE161" s="64"/>
      <c r="AF161" s="65"/>
      <c r="AG161" s="65"/>
      <c r="AH161" s="66" t="str">
        <f t="shared" si="25"/>
        <v/>
      </c>
      <c r="AI161" s="64"/>
      <c r="AJ161" s="65"/>
      <c r="AK161" s="64"/>
      <c r="AL161" s="65"/>
      <c r="BB161" s="55" t="str">
        <f t="shared" si="26"/>
        <v/>
      </c>
      <c r="BC161" s="55" t="str">
        <f t="shared" si="27"/>
        <v/>
      </c>
      <c r="BD161" s="55" t="str">
        <f t="shared" si="28"/>
        <v/>
      </c>
      <c r="BE161" s="55" t="str">
        <f t="shared" si="29"/>
        <v/>
      </c>
      <c r="BF161" s="55" t="str">
        <f t="shared" si="30"/>
        <v/>
      </c>
      <c r="BG161" s="55" t="str">
        <f t="shared" si="31"/>
        <v/>
      </c>
      <c r="BH161" s="55" t="str">
        <f t="shared" si="32"/>
        <v/>
      </c>
      <c r="BI161" s="55" t="str">
        <f t="shared" si="33"/>
        <v/>
      </c>
      <c r="BJ161" s="55" t="str">
        <f t="shared" si="34"/>
        <v/>
      </c>
      <c r="BK161" s="55" t="str">
        <f t="shared" si="35"/>
        <v/>
      </c>
    </row>
    <row r="162" spans="20:63">
      <c r="T162" s="55" t="s">
        <v>441</v>
      </c>
      <c r="U162" s="55">
        <v>38741</v>
      </c>
      <c r="V162" s="55">
        <f t="shared" ca="1" si="24"/>
        <v>1</v>
      </c>
      <c r="W162" s="64"/>
      <c r="X162" s="65"/>
      <c r="Y162" s="65"/>
      <c r="Z162" s="65"/>
      <c r="AA162" s="64"/>
      <c r="AB162" s="65"/>
      <c r="AC162" s="64"/>
      <c r="AD162" s="65"/>
      <c r="AE162" s="64"/>
      <c r="AF162" s="65"/>
      <c r="AG162" s="65"/>
      <c r="AH162" s="66" t="str">
        <f t="shared" si="25"/>
        <v/>
      </c>
      <c r="AI162" s="64"/>
      <c r="AJ162" s="65"/>
      <c r="AK162" s="64"/>
      <c r="AL162" s="65"/>
      <c r="BB162" s="55" t="str">
        <f t="shared" si="26"/>
        <v/>
      </c>
      <c r="BC162" s="55" t="str">
        <f t="shared" si="27"/>
        <v/>
      </c>
      <c r="BD162" s="55" t="str">
        <f t="shared" si="28"/>
        <v/>
      </c>
      <c r="BE162" s="55" t="str">
        <f t="shared" si="29"/>
        <v/>
      </c>
      <c r="BF162" s="55" t="str">
        <f t="shared" si="30"/>
        <v/>
      </c>
      <c r="BG162" s="55" t="str">
        <f t="shared" si="31"/>
        <v/>
      </c>
      <c r="BH162" s="55" t="str">
        <f t="shared" si="32"/>
        <v/>
      </c>
      <c r="BI162" s="55" t="str">
        <f t="shared" si="33"/>
        <v/>
      </c>
      <c r="BJ162" s="55" t="str">
        <f t="shared" si="34"/>
        <v/>
      </c>
      <c r="BK162" s="55" t="str">
        <f t="shared" si="35"/>
        <v/>
      </c>
    </row>
    <row r="163" spans="20:63">
      <c r="T163" s="55" t="s">
        <v>442</v>
      </c>
      <c r="U163" s="55">
        <v>43843</v>
      </c>
      <c r="V163" s="55">
        <f t="shared" ca="1" si="24"/>
        <v>1</v>
      </c>
      <c r="W163" s="64"/>
      <c r="X163" s="65"/>
      <c r="Y163" s="65"/>
      <c r="Z163" s="65"/>
      <c r="AA163" s="64"/>
      <c r="AB163" s="65"/>
      <c r="AC163" s="64"/>
      <c r="AD163" s="65"/>
      <c r="AE163" s="64"/>
      <c r="AF163" s="65"/>
      <c r="AG163" s="65"/>
      <c r="AH163" s="66" t="str">
        <f t="shared" si="25"/>
        <v/>
      </c>
      <c r="AI163" s="64"/>
      <c r="AJ163" s="65"/>
      <c r="AK163" s="64"/>
      <c r="AL163" s="65"/>
      <c r="BB163" s="55" t="str">
        <f t="shared" si="26"/>
        <v/>
      </c>
      <c r="BC163" s="55" t="str">
        <f t="shared" si="27"/>
        <v/>
      </c>
      <c r="BD163" s="55" t="str">
        <f t="shared" si="28"/>
        <v/>
      </c>
      <c r="BE163" s="55" t="str">
        <f t="shared" si="29"/>
        <v/>
      </c>
      <c r="BF163" s="55" t="str">
        <f t="shared" si="30"/>
        <v/>
      </c>
      <c r="BG163" s="55" t="str">
        <f t="shared" si="31"/>
        <v/>
      </c>
      <c r="BH163" s="55" t="str">
        <f t="shared" si="32"/>
        <v/>
      </c>
      <c r="BI163" s="55" t="str">
        <f t="shared" si="33"/>
        <v/>
      </c>
      <c r="BJ163" s="55" t="str">
        <f t="shared" si="34"/>
        <v/>
      </c>
      <c r="BK163" s="55" t="str">
        <f t="shared" si="35"/>
        <v/>
      </c>
    </row>
    <row r="164" spans="20:63">
      <c r="T164" s="55" t="s">
        <v>443</v>
      </c>
      <c r="U164" s="55">
        <v>44255</v>
      </c>
      <c r="V164" s="55">
        <f t="shared" ca="1" si="24"/>
        <v>1</v>
      </c>
      <c r="W164" s="64"/>
      <c r="X164" s="65"/>
      <c r="Y164" s="65"/>
      <c r="Z164" s="65"/>
      <c r="AA164" s="64"/>
      <c r="AB164" s="65"/>
      <c r="AC164" s="64"/>
      <c r="AD164" s="65"/>
      <c r="AE164" s="64"/>
      <c r="AF164" s="65"/>
      <c r="AG164" s="65"/>
      <c r="AH164" s="66" t="str">
        <f t="shared" si="25"/>
        <v/>
      </c>
      <c r="AI164" s="64"/>
      <c r="AJ164" s="65"/>
      <c r="AK164" s="64"/>
      <c r="AL164" s="65"/>
      <c r="BB164" s="55" t="str">
        <f t="shared" si="26"/>
        <v/>
      </c>
      <c r="BC164" s="55" t="str">
        <f t="shared" si="27"/>
        <v/>
      </c>
      <c r="BD164" s="55" t="str">
        <f t="shared" si="28"/>
        <v/>
      </c>
      <c r="BE164" s="55" t="str">
        <f t="shared" si="29"/>
        <v/>
      </c>
      <c r="BF164" s="55" t="str">
        <f t="shared" si="30"/>
        <v/>
      </c>
      <c r="BG164" s="55" t="str">
        <f t="shared" si="31"/>
        <v/>
      </c>
      <c r="BH164" s="55" t="str">
        <f t="shared" si="32"/>
        <v/>
      </c>
      <c r="BI164" s="55" t="str">
        <f t="shared" si="33"/>
        <v/>
      </c>
      <c r="BJ164" s="55" t="str">
        <f t="shared" si="34"/>
        <v/>
      </c>
      <c r="BK164" s="55" t="str">
        <f t="shared" si="35"/>
        <v/>
      </c>
    </row>
    <row r="165" spans="20:63">
      <c r="T165" s="55" t="s">
        <v>423</v>
      </c>
      <c r="U165" s="55">
        <v>182079</v>
      </c>
      <c r="V165" s="55">
        <f t="shared" ca="1" si="24"/>
        <v>1</v>
      </c>
      <c r="W165" s="64"/>
      <c r="X165" s="65"/>
      <c r="Y165" s="65"/>
      <c r="Z165" s="65"/>
      <c r="AA165" s="64"/>
      <c r="AB165" s="65"/>
      <c r="AC165" s="64"/>
      <c r="AD165" s="65"/>
      <c r="AE165" s="64"/>
      <c r="AF165" s="65"/>
      <c r="AG165" s="65"/>
      <c r="AH165" s="66" t="str">
        <f t="shared" si="25"/>
        <v/>
      </c>
      <c r="AI165" s="64"/>
      <c r="AJ165" s="65"/>
      <c r="AK165" s="64"/>
      <c r="AL165" s="65"/>
      <c r="BB165" s="55" t="str">
        <f t="shared" si="26"/>
        <v/>
      </c>
      <c r="BC165" s="55" t="str">
        <f t="shared" si="27"/>
        <v/>
      </c>
      <c r="BD165" s="55" t="str">
        <f t="shared" si="28"/>
        <v/>
      </c>
      <c r="BE165" s="55" t="str">
        <f t="shared" si="29"/>
        <v/>
      </c>
      <c r="BF165" s="55" t="str">
        <f t="shared" si="30"/>
        <v/>
      </c>
      <c r="BG165" s="55" t="str">
        <f t="shared" si="31"/>
        <v/>
      </c>
      <c r="BH165" s="55" t="str">
        <f t="shared" si="32"/>
        <v/>
      </c>
      <c r="BI165" s="55" t="str">
        <f t="shared" si="33"/>
        <v/>
      </c>
      <c r="BJ165" s="55" t="str">
        <f t="shared" si="34"/>
        <v/>
      </c>
      <c r="BK165" s="55" t="str">
        <f t="shared" si="35"/>
        <v/>
      </c>
    </row>
    <row r="166" spans="20:63">
      <c r="T166" s="55" t="s">
        <v>444</v>
      </c>
      <c r="U166" s="55">
        <v>182489</v>
      </c>
      <c r="V166" s="55">
        <f t="shared" ca="1" si="24"/>
        <v>1</v>
      </c>
      <c r="W166" s="64"/>
      <c r="X166" s="65"/>
      <c r="Y166" s="65"/>
      <c r="Z166" s="65"/>
      <c r="AA166" s="64"/>
      <c r="AB166" s="65"/>
      <c r="AC166" s="64"/>
      <c r="AD166" s="65"/>
      <c r="AE166" s="64"/>
      <c r="AF166" s="65"/>
      <c r="AG166" s="65"/>
      <c r="AH166" s="66" t="str">
        <f t="shared" si="25"/>
        <v/>
      </c>
      <c r="AI166" s="64"/>
      <c r="AJ166" s="65"/>
      <c r="AK166" s="64"/>
      <c r="AL166" s="65"/>
      <c r="BB166" s="55" t="str">
        <f t="shared" si="26"/>
        <v/>
      </c>
      <c r="BC166" s="55" t="str">
        <f t="shared" si="27"/>
        <v/>
      </c>
      <c r="BD166" s="55" t="str">
        <f t="shared" si="28"/>
        <v/>
      </c>
      <c r="BE166" s="55" t="str">
        <f t="shared" si="29"/>
        <v/>
      </c>
      <c r="BF166" s="55" t="str">
        <f t="shared" si="30"/>
        <v/>
      </c>
      <c r="BG166" s="55" t="str">
        <f t="shared" si="31"/>
        <v/>
      </c>
      <c r="BH166" s="55" t="str">
        <f t="shared" si="32"/>
        <v/>
      </c>
      <c r="BI166" s="55" t="str">
        <f t="shared" si="33"/>
        <v/>
      </c>
      <c r="BJ166" s="55" t="str">
        <f t="shared" si="34"/>
        <v/>
      </c>
      <c r="BK166" s="55" t="str">
        <f t="shared" si="35"/>
        <v/>
      </c>
    </row>
    <row r="167" spans="20:63">
      <c r="T167" s="55" t="s">
        <v>445</v>
      </c>
      <c r="U167" s="55">
        <v>182774</v>
      </c>
      <c r="V167" s="55">
        <f t="shared" ca="1" si="24"/>
        <v>1</v>
      </c>
      <c r="W167" s="64"/>
      <c r="X167" s="65"/>
      <c r="Y167" s="65"/>
      <c r="Z167" s="65"/>
      <c r="AA167" s="64"/>
      <c r="AB167" s="65"/>
      <c r="AC167" s="64"/>
      <c r="AD167" s="65"/>
      <c r="AE167" s="64"/>
      <c r="AF167" s="65"/>
      <c r="AG167" s="65"/>
      <c r="AH167" s="66" t="str">
        <f t="shared" si="25"/>
        <v/>
      </c>
      <c r="AI167" s="64"/>
      <c r="AJ167" s="65"/>
      <c r="AK167" s="64"/>
      <c r="AL167" s="65"/>
      <c r="BB167" s="55" t="str">
        <f t="shared" si="26"/>
        <v/>
      </c>
      <c r="BC167" s="55" t="str">
        <f t="shared" si="27"/>
        <v/>
      </c>
      <c r="BD167" s="55" t="str">
        <f t="shared" si="28"/>
        <v/>
      </c>
      <c r="BE167" s="55" t="str">
        <f t="shared" si="29"/>
        <v/>
      </c>
      <c r="BF167" s="55" t="str">
        <f t="shared" si="30"/>
        <v/>
      </c>
      <c r="BG167" s="55" t="str">
        <f t="shared" si="31"/>
        <v/>
      </c>
      <c r="BH167" s="55" t="str">
        <f t="shared" si="32"/>
        <v/>
      </c>
      <c r="BI167" s="55" t="str">
        <f t="shared" si="33"/>
        <v/>
      </c>
      <c r="BJ167" s="55" t="str">
        <f t="shared" si="34"/>
        <v/>
      </c>
      <c r="BK167" s="55" t="str">
        <f t="shared" si="35"/>
        <v/>
      </c>
    </row>
    <row r="168" spans="20:63">
      <c r="T168" s="55" t="s">
        <v>446</v>
      </c>
      <c r="U168" s="55">
        <v>182775</v>
      </c>
      <c r="V168" s="55">
        <f t="shared" ca="1" si="24"/>
        <v>1</v>
      </c>
      <c r="W168" s="64"/>
      <c r="X168" s="65"/>
      <c r="Y168" s="65"/>
      <c r="Z168" s="65"/>
      <c r="AA168" s="64"/>
      <c r="AB168" s="65"/>
      <c r="AC168" s="64"/>
      <c r="AD168" s="65"/>
      <c r="AE168" s="64"/>
      <c r="AF168" s="65"/>
      <c r="AG168" s="65"/>
      <c r="AH168" s="66" t="str">
        <f t="shared" si="25"/>
        <v/>
      </c>
      <c r="AI168" s="64"/>
      <c r="AJ168" s="65"/>
      <c r="AK168" s="64"/>
      <c r="AL168" s="65"/>
      <c r="BB168" s="55" t="str">
        <f t="shared" si="26"/>
        <v/>
      </c>
      <c r="BC168" s="55" t="str">
        <f t="shared" si="27"/>
        <v/>
      </c>
      <c r="BD168" s="55" t="str">
        <f t="shared" si="28"/>
        <v/>
      </c>
      <c r="BE168" s="55" t="str">
        <f t="shared" si="29"/>
        <v/>
      </c>
      <c r="BF168" s="55" t="str">
        <f t="shared" si="30"/>
        <v/>
      </c>
      <c r="BG168" s="55" t="str">
        <f t="shared" si="31"/>
        <v/>
      </c>
      <c r="BH168" s="55" t="str">
        <f t="shared" si="32"/>
        <v/>
      </c>
      <c r="BI168" s="55" t="str">
        <f t="shared" si="33"/>
        <v/>
      </c>
      <c r="BJ168" s="55" t="str">
        <f t="shared" si="34"/>
        <v/>
      </c>
      <c r="BK168" s="55" t="str">
        <f t="shared" si="35"/>
        <v/>
      </c>
    </row>
    <row r="169" spans="20:63">
      <c r="T169" s="55" t="s">
        <v>447</v>
      </c>
      <c r="U169" s="55">
        <v>182887</v>
      </c>
      <c r="V169" s="55">
        <f t="shared" ca="1" si="24"/>
        <v>1</v>
      </c>
      <c r="W169" s="64"/>
      <c r="X169" s="65"/>
      <c r="Y169" s="65"/>
      <c r="Z169" s="65"/>
      <c r="AA169" s="64"/>
      <c r="AB169" s="65"/>
      <c r="AC169" s="64"/>
      <c r="AD169" s="65"/>
      <c r="AE169" s="64"/>
      <c r="AF169" s="65"/>
      <c r="AG169" s="65"/>
      <c r="AH169" s="66" t="str">
        <f t="shared" si="25"/>
        <v/>
      </c>
      <c r="AI169" s="64"/>
      <c r="AJ169" s="65"/>
      <c r="AK169" s="64"/>
      <c r="AL169" s="65"/>
      <c r="BB169" s="55" t="str">
        <f t="shared" si="26"/>
        <v/>
      </c>
      <c r="BC169" s="55" t="str">
        <f t="shared" si="27"/>
        <v/>
      </c>
      <c r="BD169" s="55" t="str">
        <f t="shared" si="28"/>
        <v/>
      </c>
      <c r="BE169" s="55" t="str">
        <f t="shared" si="29"/>
        <v/>
      </c>
      <c r="BF169" s="55" t="str">
        <f t="shared" si="30"/>
        <v/>
      </c>
      <c r="BG169" s="55" t="str">
        <f t="shared" si="31"/>
        <v/>
      </c>
      <c r="BH169" s="55" t="str">
        <f t="shared" si="32"/>
        <v/>
      </c>
      <c r="BI169" s="55" t="str">
        <f t="shared" si="33"/>
        <v/>
      </c>
      <c r="BJ169" s="55" t="str">
        <f t="shared" si="34"/>
        <v/>
      </c>
      <c r="BK169" s="55" t="str">
        <f t="shared" si="35"/>
        <v/>
      </c>
    </row>
    <row r="170" spans="20:63">
      <c r="T170" s="55" t="s">
        <v>448</v>
      </c>
      <c r="U170" s="55">
        <v>183589</v>
      </c>
      <c r="V170" s="55">
        <f t="shared" ca="1" si="24"/>
        <v>1</v>
      </c>
      <c r="W170" s="64"/>
      <c r="X170" s="65"/>
      <c r="Y170" s="65"/>
      <c r="Z170" s="65"/>
      <c r="AA170" s="64"/>
      <c r="AB170" s="65"/>
      <c r="AC170" s="64"/>
      <c r="AD170" s="65"/>
      <c r="AE170" s="64"/>
      <c r="AF170" s="65"/>
      <c r="AG170" s="65"/>
      <c r="AH170" s="66" t="str">
        <f t="shared" si="25"/>
        <v/>
      </c>
      <c r="AI170" s="64"/>
      <c r="AJ170" s="65"/>
      <c r="AK170" s="64"/>
      <c r="AL170" s="65"/>
      <c r="BB170" s="55" t="str">
        <f t="shared" si="26"/>
        <v/>
      </c>
      <c r="BC170" s="55" t="str">
        <f t="shared" si="27"/>
        <v/>
      </c>
      <c r="BD170" s="55" t="str">
        <f t="shared" si="28"/>
        <v/>
      </c>
      <c r="BE170" s="55" t="str">
        <f t="shared" si="29"/>
        <v/>
      </c>
      <c r="BF170" s="55" t="str">
        <f t="shared" si="30"/>
        <v/>
      </c>
      <c r="BG170" s="55" t="str">
        <f t="shared" si="31"/>
        <v/>
      </c>
      <c r="BH170" s="55" t="str">
        <f t="shared" si="32"/>
        <v/>
      </c>
      <c r="BI170" s="55" t="str">
        <f t="shared" si="33"/>
        <v/>
      </c>
      <c r="BJ170" s="55" t="str">
        <f t="shared" si="34"/>
        <v/>
      </c>
      <c r="BK170" s="55" t="str">
        <f t="shared" si="35"/>
        <v/>
      </c>
    </row>
    <row r="171" spans="20:63">
      <c r="T171" s="55" t="s">
        <v>449</v>
      </c>
      <c r="U171" s="55">
        <v>185179</v>
      </c>
      <c r="V171" s="55">
        <f t="shared" ca="1" si="24"/>
        <v>1</v>
      </c>
      <c r="W171" s="64"/>
      <c r="X171" s="65"/>
      <c r="Y171" s="65"/>
      <c r="Z171" s="65"/>
      <c r="AA171" s="64"/>
      <c r="AB171" s="65"/>
      <c r="AC171" s="64"/>
      <c r="AD171" s="65"/>
      <c r="AE171" s="64"/>
      <c r="AF171" s="65"/>
      <c r="AG171" s="65"/>
      <c r="AH171" s="66" t="str">
        <f t="shared" si="25"/>
        <v/>
      </c>
      <c r="AI171" s="64"/>
      <c r="AJ171" s="65"/>
      <c r="AK171" s="64"/>
      <c r="AL171" s="65"/>
      <c r="BB171" s="55" t="str">
        <f t="shared" si="26"/>
        <v/>
      </c>
      <c r="BC171" s="55" t="str">
        <f t="shared" si="27"/>
        <v/>
      </c>
      <c r="BD171" s="55" t="str">
        <f t="shared" si="28"/>
        <v/>
      </c>
      <c r="BE171" s="55" t="str">
        <f t="shared" si="29"/>
        <v/>
      </c>
      <c r="BF171" s="55" t="str">
        <f t="shared" si="30"/>
        <v/>
      </c>
      <c r="BG171" s="55" t="str">
        <f t="shared" si="31"/>
        <v/>
      </c>
      <c r="BH171" s="55" t="str">
        <f t="shared" si="32"/>
        <v/>
      </c>
      <c r="BI171" s="55" t="str">
        <f t="shared" si="33"/>
        <v/>
      </c>
      <c r="BJ171" s="55" t="str">
        <f t="shared" si="34"/>
        <v/>
      </c>
      <c r="BK171" s="55" t="str">
        <f t="shared" si="35"/>
        <v/>
      </c>
    </row>
    <row r="172" spans="20:63">
      <c r="T172" s="55" t="s">
        <v>450</v>
      </c>
      <c r="U172" s="55">
        <v>185214</v>
      </c>
      <c r="V172" s="55">
        <f t="shared" ca="1" si="24"/>
        <v>1</v>
      </c>
      <c r="W172" s="64"/>
      <c r="X172" s="65"/>
      <c r="Y172" s="65"/>
      <c r="Z172" s="65"/>
      <c r="AA172" s="64"/>
      <c r="AB172" s="65"/>
      <c r="AC172" s="64"/>
      <c r="AD172" s="65"/>
      <c r="AE172" s="64"/>
      <c r="AF172" s="65"/>
      <c r="AG172" s="65"/>
      <c r="AH172" s="66" t="str">
        <f t="shared" si="25"/>
        <v/>
      </c>
      <c r="AI172" s="64"/>
      <c r="AJ172" s="65"/>
      <c r="AK172" s="64"/>
      <c r="AL172" s="65"/>
      <c r="BB172" s="55" t="str">
        <f t="shared" si="26"/>
        <v/>
      </c>
      <c r="BC172" s="55" t="str">
        <f t="shared" si="27"/>
        <v/>
      </c>
      <c r="BD172" s="55" t="str">
        <f t="shared" si="28"/>
        <v/>
      </c>
      <c r="BE172" s="55" t="str">
        <f t="shared" si="29"/>
        <v/>
      </c>
      <c r="BF172" s="55" t="str">
        <f t="shared" si="30"/>
        <v/>
      </c>
      <c r="BG172" s="55" t="str">
        <f t="shared" si="31"/>
        <v/>
      </c>
      <c r="BH172" s="55" t="str">
        <f t="shared" si="32"/>
        <v/>
      </c>
      <c r="BI172" s="55" t="str">
        <f t="shared" si="33"/>
        <v/>
      </c>
      <c r="BJ172" s="55" t="str">
        <f t="shared" si="34"/>
        <v/>
      </c>
      <c r="BK172" s="55" t="str">
        <f t="shared" si="35"/>
        <v/>
      </c>
    </row>
    <row r="173" spans="20:63">
      <c r="T173" s="55" t="s">
        <v>451</v>
      </c>
      <c r="U173" s="55">
        <v>185215</v>
      </c>
      <c r="V173" s="55">
        <f t="shared" ca="1" si="24"/>
        <v>1</v>
      </c>
      <c r="W173" s="64"/>
      <c r="X173" s="65"/>
      <c r="Y173" s="65"/>
      <c r="Z173" s="65"/>
      <c r="AA173" s="64"/>
      <c r="AB173" s="65"/>
      <c r="AC173" s="64"/>
      <c r="AD173" s="65"/>
      <c r="AE173" s="64"/>
      <c r="AF173" s="65"/>
      <c r="AG173" s="65"/>
      <c r="AH173" s="66" t="str">
        <f t="shared" si="25"/>
        <v/>
      </c>
      <c r="AI173" s="64"/>
      <c r="AJ173" s="65"/>
      <c r="AK173" s="64"/>
      <c r="AL173" s="65"/>
      <c r="BB173" s="55" t="str">
        <f t="shared" si="26"/>
        <v/>
      </c>
      <c r="BC173" s="55" t="str">
        <f t="shared" si="27"/>
        <v/>
      </c>
      <c r="BD173" s="55" t="str">
        <f t="shared" si="28"/>
        <v/>
      </c>
      <c r="BE173" s="55" t="str">
        <f t="shared" si="29"/>
        <v/>
      </c>
      <c r="BF173" s="55" t="str">
        <f t="shared" si="30"/>
        <v/>
      </c>
      <c r="BG173" s="55" t="str">
        <f t="shared" si="31"/>
        <v/>
      </c>
      <c r="BH173" s="55" t="str">
        <f t="shared" si="32"/>
        <v/>
      </c>
      <c r="BI173" s="55" t="str">
        <f t="shared" si="33"/>
        <v/>
      </c>
      <c r="BJ173" s="55" t="str">
        <f t="shared" si="34"/>
        <v/>
      </c>
      <c r="BK173" s="55" t="str">
        <f t="shared" si="35"/>
        <v/>
      </c>
    </row>
    <row r="174" spans="20:63">
      <c r="T174" s="55" t="s">
        <v>452</v>
      </c>
      <c r="U174" s="55">
        <v>185216</v>
      </c>
      <c r="V174" s="55">
        <f t="shared" ca="1" si="24"/>
        <v>1</v>
      </c>
      <c r="W174" s="64"/>
      <c r="X174" s="65"/>
      <c r="Y174" s="65"/>
      <c r="Z174" s="65"/>
      <c r="AA174" s="64"/>
      <c r="AB174" s="65"/>
      <c r="AC174" s="64"/>
      <c r="AD174" s="65"/>
      <c r="AE174" s="64"/>
      <c r="AF174" s="65"/>
      <c r="AG174" s="65"/>
      <c r="AH174" s="66" t="str">
        <f t="shared" si="25"/>
        <v/>
      </c>
      <c r="AI174" s="64"/>
      <c r="AJ174" s="65"/>
      <c r="AK174" s="64"/>
      <c r="AL174" s="65"/>
      <c r="BB174" s="55" t="str">
        <f t="shared" si="26"/>
        <v/>
      </c>
      <c r="BC174" s="55" t="str">
        <f t="shared" si="27"/>
        <v/>
      </c>
      <c r="BD174" s="55" t="str">
        <f t="shared" si="28"/>
        <v/>
      </c>
      <c r="BE174" s="55" t="str">
        <f t="shared" si="29"/>
        <v/>
      </c>
      <c r="BF174" s="55" t="str">
        <f t="shared" si="30"/>
        <v/>
      </c>
      <c r="BG174" s="55" t="str">
        <f t="shared" si="31"/>
        <v/>
      </c>
      <c r="BH174" s="55" t="str">
        <f t="shared" si="32"/>
        <v/>
      </c>
      <c r="BI174" s="55" t="str">
        <f t="shared" si="33"/>
        <v/>
      </c>
      <c r="BJ174" s="55" t="str">
        <f t="shared" si="34"/>
        <v/>
      </c>
      <c r="BK174" s="55" t="str">
        <f t="shared" si="35"/>
        <v/>
      </c>
    </row>
    <row r="175" spans="20:63">
      <c r="T175" s="55" t="s">
        <v>373</v>
      </c>
      <c r="U175" s="55">
        <v>185566</v>
      </c>
      <c r="V175" s="55">
        <f t="shared" ca="1" si="24"/>
        <v>1</v>
      </c>
      <c r="W175" s="64"/>
      <c r="X175" s="65"/>
      <c r="Y175" s="65"/>
      <c r="Z175" s="65"/>
      <c r="AA175" s="64"/>
      <c r="AB175" s="65"/>
      <c r="AC175" s="64"/>
      <c r="AD175" s="65"/>
      <c r="AE175" s="64"/>
      <c r="AF175" s="65"/>
      <c r="AG175" s="65"/>
      <c r="AH175" s="66" t="str">
        <f t="shared" si="25"/>
        <v/>
      </c>
      <c r="AI175" s="64"/>
      <c r="AJ175" s="65"/>
      <c r="AK175" s="64"/>
      <c r="AL175" s="65"/>
      <c r="BB175" s="55" t="str">
        <f t="shared" si="26"/>
        <v/>
      </c>
      <c r="BC175" s="55" t="str">
        <f t="shared" si="27"/>
        <v/>
      </c>
      <c r="BD175" s="55" t="str">
        <f t="shared" si="28"/>
        <v/>
      </c>
      <c r="BE175" s="55" t="str">
        <f t="shared" si="29"/>
        <v/>
      </c>
      <c r="BF175" s="55" t="str">
        <f t="shared" si="30"/>
        <v/>
      </c>
      <c r="BG175" s="55" t="str">
        <f t="shared" si="31"/>
        <v/>
      </c>
      <c r="BH175" s="55" t="str">
        <f t="shared" si="32"/>
        <v/>
      </c>
      <c r="BI175" s="55" t="str">
        <f t="shared" si="33"/>
        <v/>
      </c>
      <c r="BJ175" s="55" t="str">
        <f t="shared" si="34"/>
        <v/>
      </c>
      <c r="BK175" s="55" t="str">
        <f t="shared" si="35"/>
        <v/>
      </c>
    </row>
    <row r="176" spans="20:63">
      <c r="T176" s="55" t="s">
        <v>453</v>
      </c>
      <c r="U176" s="55">
        <v>185584</v>
      </c>
      <c r="V176" s="55">
        <f t="shared" ca="1" si="24"/>
        <v>1</v>
      </c>
      <c r="W176" s="64"/>
      <c r="X176" s="65"/>
      <c r="Y176" s="65"/>
      <c r="Z176" s="65"/>
      <c r="AA176" s="64"/>
      <c r="AB176" s="65"/>
      <c r="AC176" s="64"/>
      <c r="AD176" s="65"/>
      <c r="AE176" s="64"/>
      <c r="AF176" s="65"/>
      <c r="AG176" s="65"/>
      <c r="AH176" s="66" t="str">
        <f t="shared" si="25"/>
        <v/>
      </c>
      <c r="AI176" s="64"/>
      <c r="AJ176" s="65"/>
      <c r="AK176" s="64"/>
      <c r="AL176" s="65"/>
      <c r="BB176" s="55" t="str">
        <f t="shared" si="26"/>
        <v/>
      </c>
      <c r="BC176" s="55" t="str">
        <f t="shared" si="27"/>
        <v/>
      </c>
      <c r="BD176" s="55" t="str">
        <f t="shared" si="28"/>
        <v/>
      </c>
      <c r="BE176" s="55" t="str">
        <f t="shared" si="29"/>
        <v/>
      </c>
      <c r="BF176" s="55" t="str">
        <f t="shared" si="30"/>
        <v/>
      </c>
      <c r="BG176" s="55" t="str">
        <f t="shared" si="31"/>
        <v/>
      </c>
      <c r="BH176" s="55" t="str">
        <f t="shared" si="32"/>
        <v/>
      </c>
      <c r="BI176" s="55" t="str">
        <f t="shared" si="33"/>
        <v/>
      </c>
      <c r="BJ176" s="55" t="str">
        <f t="shared" si="34"/>
        <v/>
      </c>
      <c r="BK176" s="55" t="str">
        <f t="shared" si="35"/>
        <v/>
      </c>
    </row>
    <row r="177" spans="22:63">
      <c r="V177" s="55">
        <f t="shared" ca="1" si="24"/>
        <v>1</v>
      </c>
      <c r="W177" s="64"/>
      <c r="X177" s="65"/>
      <c r="Y177" s="65"/>
      <c r="Z177" s="65"/>
      <c r="AA177" s="64"/>
      <c r="AB177" s="65"/>
      <c r="AC177" s="64"/>
      <c r="AD177" s="65"/>
      <c r="AE177" s="64"/>
      <c r="AF177" s="65"/>
      <c r="AG177" s="65"/>
      <c r="AH177" s="66" t="str">
        <f t="shared" si="25"/>
        <v/>
      </c>
      <c r="AI177" s="64"/>
      <c r="AJ177" s="65"/>
      <c r="AK177" s="64"/>
      <c r="AL177" s="65"/>
      <c r="BB177" s="55" t="str">
        <f t="shared" si="26"/>
        <v/>
      </c>
      <c r="BC177" s="55" t="str">
        <f t="shared" si="27"/>
        <v/>
      </c>
      <c r="BD177" s="55" t="str">
        <f t="shared" si="28"/>
        <v/>
      </c>
      <c r="BE177" s="55" t="str">
        <f t="shared" si="29"/>
        <v/>
      </c>
      <c r="BF177" s="55" t="str">
        <f t="shared" si="30"/>
        <v/>
      </c>
      <c r="BG177" s="55" t="str">
        <f t="shared" si="31"/>
        <v/>
      </c>
      <c r="BH177" s="55" t="str">
        <f t="shared" si="32"/>
        <v/>
      </c>
      <c r="BI177" s="55" t="str">
        <f t="shared" si="33"/>
        <v/>
      </c>
      <c r="BJ177" s="55" t="str">
        <f t="shared" si="34"/>
        <v/>
      </c>
      <c r="BK177" s="55" t="str">
        <f t="shared" si="35"/>
        <v/>
      </c>
    </row>
    <row r="178" spans="22:63">
      <c r="V178" s="55">
        <f t="shared" ca="1" si="24"/>
        <v>1</v>
      </c>
      <c r="W178" s="64"/>
      <c r="X178" s="65"/>
      <c r="Y178" s="65"/>
      <c r="Z178" s="65"/>
      <c r="AA178" s="64"/>
      <c r="AB178" s="65"/>
      <c r="AC178" s="64"/>
      <c r="AD178" s="65"/>
      <c r="AE178" s="64"/>
      <c r="AF178" s="65"/>
      <c r="AG178" s="65"/>
      <c r="AH178" s="66" t="str">
        <f t="shared" si="25"/>
        <v/>
      </c>
      <c r="AI178" s="64"/>
      <c r="AJ178" s="65"/>
      <c r="AK178" s="64"/>
      <c r="AL178" s="65"/>
      <c r="BB178" s="55" t="str">
        <f t="shared" si="26"/>
        <v/>
      </c>
      <c r="BC178" s="55" t="str">
        <f t="shared" si="27"/>
        <v/>
      </c>
      <c r="BD178" s="55" t="str">
        <f t="shared" si="28"/>
        <v/>
      </c>
      <c r="BE178" s="55" t="str">
        <f t="shared" si="29"/>
        <v/>
      </c>
      <c r="BF178" s="55" t="str">
        <f t="shared" si="30"/>
        <v/>
      </c>
      <c r="BG178" s="55" t="str">
        <f t="shared" si="31"/>
        <v/>
      </c>
      <c r="BH178" s="55" t="str">
        <f t="shared" si="32"/>
        <v/>
      </c>
      <c r="BI178" s="55" t="str">
        <f t="shared" si="33"/>
        <v/>
      </c>
      <c r="BJ178" s="55" t="str">
        <f t="shared" si="34"/>
        <v/>
      </c>
      <c r="BK178" s="55" t="str">
        <f t="shared" si="35"/>
        <v/>
      </c>
    </row>
    <row r="179" spans="22:63">
      <c r="V179" s="55">
        <f t="shared" ca="1" si="24"/>
        <v>1</v>
      </c>
      <c r="W179" s="64"/>
      <c r="X179" s="65"/>
      <c r="Y179" s="65"/>
      <c r="Z179" s="65"/>
      <c r="AA179" s="64"/>
      <c r="AB179" s="65"/>
      <c r="AC179" s="64"/>
      <c r="AD179" s="65"/>
      <c r="AE179" s="64"/>
      <c r="AF179" s="65"/>
      <c r="AG179" s="65"/>
      <c r="AH179" s="66" t="str">
        <f t="shared" si="25"/>
        <v/>
      </c>
      <c r="AI179" s="64"/>
      <c r="AJ179" s="65"/>
      <c r="AK179" s="64"/>
      <c r="AL179" s="65"/>
      <c r="BB179" s="55" t="str">
        <f t="shared" si="26"/>
        <v/>
      </c>
      <c r="BC179" s="55" t="str">
        <f t="shared" si="27"/>
        <v/>
      </c>
      <c r="BD179" s="55" t="str">
        <f t="shared" si="28"/>
        <v/>
      </c>
      <c r="BE179" s="55" t="str">
        <f t="shared" si="29"/>
        <v/>
      </c>
      <c r="BF179" s="55" t="str">
        <f t="shared" si="30"/>
        <v/>
      </c>
      <c r="BG179" s="55" t="str">
        <f t="shared" si="31"/>
        <v/>
      </c>
      <c r="BH179" s="55" t="str">
        <f t="shared" si="32"/>
        <v/>
      </c>
      <c r="BI179" s="55" t="str">
        <f t="shared" si="33"/>
        <v/>
      </c>
      <c r="BJ179" s="55" t="str">
        <f t="shared" si="34"/>
        <v/>
      </c>
      <c r="BK179" s="55" t="str">
        <f t="shared" si="35"/>
        <v/>
      </c>
    </row>
    <row r="180" spans="22:63">
      <c r="V180" s="55">
        <f t="shared" ca="1" si="24"/>
        <v>1</v>
      </c>
      <c r="W180" s="64"/>
      <c r="X180" s="65"/>
      <c r="Y180" s="65"/>
      <c r="Z180" s="65"/>
      <c r="AA180" s="64"/>
      <c r="AB180" s="65"/>
      <c r="AC180" s="64"/>
      <c r="AD180" s="65"/>
      <c r="AE180" s="64"/>
      <c r="AF180" s="65"/>
      <c r="AG180" s="65"/>
      <c r="AH180" s="66" t="str">
        <f t="shared" si="25"/>
        <v/>
      </c>
      <c r="AI180" s="64"/>
      <c r="AJ180" s="65"/>
      <c r="AK180" s="64"/>
      <c r="AL180" s="65"/>
      <c r="BB180" s="55" t="str">
        <f t="shared" si="26"/>
        <v/>
      </c>
      <c r="BC180" s="55" t="str">
        <f t="shared" si="27"/>
        <v/>
      </c>
      <c r="BD180" s="55" t="str">
        <f t="shared" si="28"/>
        <v/>
      </c>
      <c r="BE180" s="55" t="str">
        <f t="shared" si="29"/>
        <v/>
      </c>
      <c r="BF180" s="55" t="str">
        <f t="shared" si="30"/>
        <v/>
      </c>
      <c r="BG180" s="55" t="str">
        <f t="shared" si="31"/>
        <v/>
      </c>
      <c r="BH180" s="55" t="str">
        <f t="shared" si="32"/>
        <v/>
      </c>
      <c r="BI180" s="55" t="str">
        <f t="shared" si="33"/>
        <v/>
      </c>
      <c r="BJ180" s="55" t="str">
        <f t="shared" si="34"/>
        <v/>
      </c>
      <c r="BK180" s="55" t="str">
        <f t="shared" si="35"/>
        <v/>
      </c>
    </row>
    <row r="181" spans="22:63">
      <c r="V181" s="55">
        <f t="shared" ca="1" si="24"/>
        <v>1</v>
      </c>
      <c r="W181" s="64"/>
      <c r="X181" s="65"/>
      <c r="Y181" s="65"/>
      <c r="Z181" s="65"/>
      <c r="AA181" s="64"/>
      <c r="AB181" s="65"/>
      <c r="AC181" s="64"/>
      <c r="AD181" s="65"/>
      <c r="AE181" s="64"/>
      <c r="AF181" s="65"/>
      <c r="AG181" s="65"/>
      <c r="AH181" s="66" t="str">
        <f t="shared" si="25"/>
        <v/>
      </c>
      <c r="AI181" s="64"/>
      <c r="AJ181" s="65"/>
      <c r="AK181" s="64"/>
      <c r="AL181" s="65"/>
      <c r="BB181" s="55" t="str">
        <f t="shared" si="26"/>
        <v/>
      </c>
      <c r="BC181" s="55" t="str">
        <f t="shared" si="27"/>
        <v/>
      </c>
      <c r="BD181" s="55" t="str">
        <f t="shared" si="28"/>
        <v/>
      </c>
      <c r="BE181" s="55" t="str">
        <f t="shared" si="29"/>
        <v/>
      </c>
      <c r="BF181" s="55" t="str">
        <f t="shared" si="30"/>
        <v/>
      </c>
      <c r="BG181" s="55" t="str">
        <f t="shared" si="31"/>
        <v/>
      </c>
      <c r="BH181" s="55" t="str">
        <f t="shared" si="32"/>
        <v/>
      </c>
      <c r="BI181" s="55" t="str">
        <f t="shared" si="33"/>
        <v/>
      </c>
      <c r="BJ181" s="55" t="str">
        <f t="shared" si="34"/>
        <v/>
      </c>
      <c r="BK181" s="55" t="str">
        <f t="shared" si="35"/>
        <v/>
      </c>
    </row>
    <row r="182" spans="22:63">
      <c r="V182" s="55">
        <f t="shared" ca="1" si="24"/>
        <v>1</v>
      </c>
      <c r="W182" s="64"/>
      <c r="X182" s="65"/>
      <c r="Y182" s="65"/>
      <c r="Z182" s="65"/>
      <c r="AA182" s="64"/>
      <c r="AB182" s="65"/>
      <c r="AC182" s="64"/>
      <c r="AD182" s="65"/>
      <c r="AE182" s="64"/>
      <c r="AF182" s="65"/>
      <c r="AG182" s="65"/>
      <c r="AH182" s="66" t="str">
        <f t="shared" si="25"/>
        <v/>
      </c>
      <c r="AI182" s="64"/>
      <c r="AJ182" s="65"/>
      <c r="AK182" s="64"/>
      <c r="AL182" s="65"/>
      <c r="BB182" s="55" t="str">
        <f t="shared" si="26"/>
        <v/>
      </c>
      <c r="BC182" s="55" t="str">
        <f t="shared" si="27"/>
        <v/>
      </c>
      <c r="BD182" s="55" t="str">
        <f t="shared" si="28"/>
        <v/>
      </c>
      <c r="BE182" s="55" t="str">
        <f t="shared" si="29"/>
        <v/>
      </c>
      <c r="BF182" s="55" t="str">
        <f t="shared" si="30"/>
        <v/>
      </c>
      <c r="BG182" s="55" t="str">
        <f t="shared" si="31"/>
        <v/>
      </c>
      <c r="BH182" s="55" t="str">
        <f t="shared" si="32"/>
        <v/>
      </c>
      <c r="BI182" s="55" t="str">
        <f t="shared" si="33"/>
        <v/>
      </c>
      <c r="BJ182" s="55" t="str">
        <f t="shared" si="34"/>
        <v/>
      </c>
      <c r="BK182" s="55" t="str">
        <f t="shared" si="35"/>
        <v/>
      </c>
    </row>
    <row r="183" spans="22:63">
      <c r="V183" s="55">
        <f t="shared" ca="1" si="24"/>
        <v>1</v>
      </c>
      <c r="W183" s="64"/>
      <c r="X183" s="65"/>
      <c r="Y183" s="65"/>
      <c r="Z183" s="65"/>
      <c r="AA183" s="64"/>
      <c r="AB183" s="65"/>
      <c r="AC183" s="64"/>
      <c r="AD183" s="65"/>
      <c r="AE183" s="64"/>
      <c r="AF183" s="65"/>
      <c r="AG183" s="65"/>
      <c r="AH183" s="66" t="str">
        <f t="shared" si="25"/>
        <v/>
      </c>
      <c r="AI183" s="64"/>
      <c r="AJ183" s="65"/>
      <c r="AK183" s="64"/>
      <c r="AL183" s="65"/>
      <c r="BB183" s="55" t="str">
        <f t="shared" si="26"/>
        <v/>
      </c>
      <c r="BC183" s="55" t="str">
        <f t="shared" si="27"/>
        <v/>
      </c>
      <c r="BD183" s="55" t="str">
        <f t="shared" si="28"/>
        <v/>
      </c>
      <c r="BE183" s="55" t="str">
        <f t="shared" si="29"/>
        <v/>
      </c>
      <c r="BF183" s="55" t="str">
        <f t="shared" si="30"/>
        <v/>
      </c>
      <c r="BG183" s="55" t="str">
        <f t="shared" si="31"/>
        <v/>
      </c>
      <c r="BH183" s="55" t="str">
        <f t="shared" si="32"/>
        <v/>
      </c>
      <c r="BI183" s="55" t="str">
        <f t="shared" si="33"/>
        <v/>
      </c>
      <c r="BJ183" s="55" t="str">
        <f t="shared" si="34"/>
        <v/>
      </c>
      <c r="BK183" s="55" t="str">
        <f t="shared" si="35"/>
        <v/>
      </c>
    </row>
    <row r="184" spans="22:63">
      <c r="V184" s="55">
        <f t="shared" ca="1" si="24"/>
        <v>1</v>
      </c>
      <c r="W184" s="64"/>
      <c r="X184" s="65"/>
      <c r="Y184" s="65"/>
      <c r="Z184" s="65"/>
      <c r="AA184" s="64"/>
      <c r="AB184" s="65"/>
      <c r="AC184" s="64"/>
      <c r="AD184" s="65"/>
      <c r="AE184" s="64"/>
      <c r="AF184" s="65"/>
      <c r="AG184" s="65"/>
      <c r="AH184" s="66" t="str">
        <f t="shared" si="25"/>
        <v/>
      </c>
      <c r="AI184" s="64"/>
      <c r="AJ184" s="65"/>
      <c r="AK184" s="64"/>
      <c r="AL184" s="65"/>
      <c r="BB184" s="55" t="str">
        <f t="shared" si="26"/>
        <v/>
      </c>
      <c r="BC184" s="55" t="str">
        <f t="shared" si="27"/>
        <v/>
      </c>
      <c r="BD184" s="55" t="str">
        <f t="shared" si="28"/>
        <v/>
      </c>
      <c r="BE184" s="55" t="str">
        <f t="shared" si="29"/>
        <v/>
      </c>
      <c r="BF184" s="55" t="str">
        <f t="shared" si="30"/>
        <v/>
      </c>
      <c r="BG184" s="55" t="str">
        <f t="shared" si="31"/>
        <v/>
      </c>
      <c r="BH184" s="55" t="str">
        <f t="shared" si="32"/>
        <v/>
      </c>
      <c r="BI184" s="55" t="str">
        <f t="shared" si="33"/>
        <v/>
      </c>
      <c r="BJ184" s="55" t="str">
        <f t="shared" si="34"/>
        <v/>
      </c>
      <c r="BK184" s="55" t="str">
        <f t="shared" si="35"/>
        <v/>
      </c>
    </row>
    <row r="185" spans="22:63">
      <c r="V185" s="55">
        <f t="shared" ca="1" si="24"/>
        <v>1</v>
      </c>
      <c r="W185" s="64"/>
      <c r="X185" s="65"/>
      <c r="Y185" s="65"/>
      <c r="Z185" s="65"/>
      <c r="AA185" s="64"/>
      <c r="AB185" s="65"/>
      <c r="AC185" s="64"/>
      <c r="AD185" s="65"/>
      <c r="AE185" s="64"/>
      <c r="AF185" s="65"/>
      <c r="AG185" s="65"/>
      <c r="AH185" s="66" t="str">
        <f t="shared" si="25"/>
        <v/>
      </c>
      <c r="AI185" s="64"/>
      <c r="AJ185" s="65"/>
      <c r="AK185" s="64"/>
      <c r="AL185" s="65"/>
      <c r="BB185" s="55" t="str">
        <f t="shared" si="26"/>
        <v/>
      </c>
      <c r="BC185" s="55" t="str">
        <f t="shared" si="27"/>
        <v/>
      </c>
      <c r="BD185" s="55" t="str">
        <f t="shared" si="28"/>
        <v/>
      </c>
      <c r="BE185" s="55" t="str">
        <f t="shared" si="29"/>
        <v/>
      </c>
      <c r="BF185" s="55" t="str">
        <f t="shared" si="30"/>
        <v/>
      </c>
      <c r="BG185" s="55" t="str">
        <f t="shared" si="31"/>
        <v/>
      </c>
      <c r="BH185" s="55" t="str">
        <f t="shared" si="32"/>
        <v/>
      </c>
      <c r="BI185" s="55" t="str">
        <f t="shared" si="33"/>
        <v/>
      </c>
      <c r="BJ185" s="55" t="str">
        <f t="shared" si="34"/>
        <v/>
      </c>
      <c r="BK185" s="55" t="str">
        <f t="shared" si="35"/>
        <v/>
      </c>
    </row>
    <row r="186" spans="22:63">
      <c r="V186" s="55">
        <f t="shared" ca="1" si="24"/>
        <v>1</v>
      </c>
      <c r="W186" s="64"/>
      <c r="X186" s="65"/>
      <c r="Y186" s="65"/>
      <c r="Z186" s="65"/>
      <c r="AA186" s="64"/>
      <c r="AB186" s="65"/>
      <c r="AC186" s="64"/>
      <c r="AD186" s="65"/>
      <c r="AE186" s="64"/>
      <c r="AF186" s="65"/>
      <c r="AG186" s="65"/>
      <c r="AH186" s="66" t="str">
        <f t="shared" si="25"/>
        <v/>
      </c>
      <c r="AI186" s="64"/>
      <c r="AJ186" s="65"/>
      <c r="AK186" s="64"/>
      <c r="AL186" s="65"/>
      <c r="BB186" s="55" t="str">
        <f t="shared" si="26"/>
        <v/>
      </c>
      <c r="BC186" s="55" t="str">
        <f t="shared" si="27"/>
        <v/>
      </c>
      <c r="BD186" s="55" t="str">
        <f t="shared" si="28"/>
        <v/>
      </c>
      <c r="BE186" s="55" t="str">
        <f t="shared" si="29"/>
        <v/>
      </c>
      <c r="BF186" s="55" t="str">
        <f t="shared" si="30"/>
        <v/>
      </c>
      <c r="BG186" s="55" t="str">
        <f t="shared" si="31"/>
        <v/>
      </c>
      <c r="BH186" s="55" t="str">
        <f t="shared" si="32"/>
        <v/>
      </c>
      <c r="BI186" s="55" t="str">
        <f t="shared" si="33"/>
        <v/>
      </c>
      <c r="BJ186" s="55" t="str">
        <f t="shared" si="34"/>
        <v/>
      </c>
      <c r="BK186" s="55" t="str">
        <f t="shared" si="35"/>
        <v/>
      </c>
    </row>
    <row r="187" spans="22:63">
      <c r="V187" s="55">
        <f t="shared" ca="1" si="24"/>
        <v>1</v>
      </c>
      <c r="W187" s="64"/>
      <c r="X187" s="65"/>
      <c r="Y187" s="65"/>
      <c r="Z187" s="65"/>
      <c r="AA187" s="64"/>
      <c r="AB187" s="65"/>
      <c r="AC187" s="64"/>
      <c r="AD187" s="65"/>
      <c r="AE187" s="64"/>
      <c r="AF187" s="65"/>
      <c r="AG187" s="65"/>
      <c r="AH187" s="66" t="str">
        <f t="shared" si="25"/>
        <v/>
      </c>
      <c r="AI187" s="64"/>
      <c r="AJ187" s="65"/>
      <c r="AK187" s="64"/>
      <c r="AL187" s="65"/>
      <c r="BB187" s="55" t="str">
        <f t="shared" si="26"/>
        <v/>
      </c>
      <c r="BC187" s="55" t="str">
        <f t="shared" si="27"/>
        <v/>
      </c>
      <c r="BD187" s="55" t="str">
        <f t="shared" si="28"/>
        <v/>
      </c>
      <c r="BE187" s="55" t="str">
        <f t="shared" si="29"/>
        <v/>
      </c>
      <c r="BF187" s="55" t="str">
        <f t="shared" si="30"/>
        <v/>
      </c>
      <c r="BG187" s="55" t="str">
        <f t="shared" si="31"/>
        <v/>
      </c>
      <c r="BH187" s="55" t="str">
        <f t="shared" si="32"/>
        <v/>
      </c>
      <c r="BI187" s="55" t="str">
        <f t="shared" si="33"/>
        <v/>
      </c>
      <c r="BJ187" s="55" t="str">
        <f t="shared" si="34"/>
        <v/>
      </c>
      <c r="BK187" s="55" t="str">
        <f t="shared" si="35"/>
        <v/>
      </c>
    </row>
    <row r="188" spans="22:63">
      <c r="V188" s="55">
        <f t="shared" ca="1" si="24"/>
        <v>1</v>
      </c>
      <c r="W188" s="64"/>
      <c r="X188" s="65"/>
      <c r="Y188" s="65"/>
      <c r="Z188" s="65"/>
      <c r="AA188" s="64"/>
      <c r="AB188" s="65"/>
      <c r="AC188" s="64"/>
      <c r="AD188" s="65"/>
      <c r="AE188" s="64"/>
      <c r="AF188" s="65"/>
      <c r="AG188" s="65"/>
      <c r="AH188" s="66" t="str">
        <f t="shared" si="25"/>
        <v/>
      </c>
      <c r="AI188" s="64"/>
      <c r="AJ188" s="65"/>
      <c r="AK188" s="64"/>
      <c r="AL188" s="65"/>
      <c r="BB188" s="55" t="str">
        <f t="shared" si="26"/>
        <v/>
      </c>
      <c r="BC188" s="55" t="str">
        <f t="shared" si="27"/>
        <v/>
      </c>
      <c r="BD188" s="55" t="str">
        <f t="shared" si="28"/>
        <v/>
      </c>
      <c r="BE188" s="55" t="str">
        <f t="shared" si="29"/>
        <v/>
      </c>
      <c r="BF188" s="55" t="str">
        <f t="shared" si="30"/>
        <v/>
      </c>
      <c r="BG188" s="55" t="str">
        <f t="shared" si="31"/>
        <v/>
      </c>
      <c r="BH188" s="55" t="str">
        <f t="shared" si="32"/>
        <v/>
      </c>
      <c r="BI188" s="55" t="str">
        <f t="shared" si="33"/>
        <v/>
      </c>
      <c r="BJ188" s="55" t="str">
        <f t="shared" si="34"/>
        <v/>
      </c>
      <c r="BK188" s="55" t="str">
        <f t="shared" si="35"/>
        <v/>
      </c>
    </row>
    <row r="189" spans="22:63">
      <c r="V189" s="55">
        <f t="shared" ca="1" si="24"/>
        <v>1</v>
      </c>
      <c r="W189" s="64"/>
      <c r="X189" s="65"/>
      <c r="Y189" s="65"/>
      <c r="Z189" s="65"/>
      <c r="AA189" s="64"/>
      <c r="AB189" s="65"/>
      <c r="AC189" s="64"/>
      <c r="AD189" s="65"/>
      <c r="AE189" s="64"/>
      <c r="AF189" s="65"/>
      <c r="AG189" s="65"/>
      <c r="AH189" s="66" t="str">
        <f t="shared" si="25"/>
        <v/>
      </c>
      <c r="AI189" s="64"/>
      <c r="AJ189" s="65"/>
      <c r="AK189" s="64"/>
      <c r="AL189" s="65"/>
      <c r="BB189" s="55" t="str">
        <f t="shared" si="26"/>
        <v/>
      </c>
      <c r="BC189" s="55" t="str">
        <f t="shared" si="27"/>
        <v/>
      </c>
      <c r="BD189" s="55" t="str">
        <f t="shared" si="28"/>
        <v/>
      </c>
      <c r="BE189" s="55" t="str">
        <f t="shared" si="29"/>
        <v/>
      </c>
      <c r="BF189" s="55" t="str">
        <f t="shared" si="30"/>
        <v/>
      </c>
      <c r="BG189" s="55" t="str">
        <f t="shared" si="31"/>
        <v/>
      </c>
      <c r="BH189" s="55" t="str">
        <f t="shared" si="32"/>
        <v/>
      </c>
      <c r="BI189" s="55" t="str">
        <f t="shared" si="33"/>
        <v/>
      </c>
      <c r="BJ189" s="55" t="str">
        <f t="shared" si="34"/>
        <v/>
      </c>
      <c r="BK189" s="55" t="str">
        <f t="shared" si="35"/>
        <v/>
      </c>
    </row>
    <row r="190" spans="22:63">
      <c r="V190" s="55">
        <f t="shared" ca="1" si="24"/>
        <v>1</v>
      </c>
      <c r="W190" s="64"/>
      <c r="X190" s="65"/>
      <c r="Y190" s="65"/>
      <c r="Z190" s="65"/>
      <c r="AA190" s="64"/>
      <c r="AB190" s="65"/>
      <c r="AC190" s="64"/>
      <c r="AD190" s="65"/>
      <c r="AE190" s="64"/>
      <c r="AF190" s="65"/>
      <c r="AG190" s="65"/>
      <c r="AH190" s="66" t="str">
        <f t="shared" si="25"/>
        <v/>
      </c>
      <c r="AI190" s="64"/>
      <c r="AJ190" s="65"/>
      <c r="AK190" s="64"/>
      <c r="AL190" s="65"/>
      <c r="BB190" s="55" t="str">
        <f t="shared" si="26"/>
        <v/>
      </c>
      <c r="BC190" s="55" t="str">
        <f t="shared" si="27"/>
        <v/>
      </c>
      <c r="BD190" s="55" t="str">
        <f t="shared" si="28"/>
        <v/>
      </c>
      <c r="BE190" s="55" t="str">
        <f t="shared" si="29"/>
        <v/>
      </c>
      <c r="BF190" s="55" t="str">
        <f t="shared" si="30"/>
        <v/>
      </c>
      <c r="BG190" s="55" t="str">
        <f t="shared" si="31"/>
        <v/>
      </c>
      <c r="BH190" s="55" t="str">
        <f t="shared" si="32"/>
        <v/>
      </c>
      <c r="BI190" s="55" t="str">
        <f t="shared" si="33"/>
        <v/>
      </c>
      <c r="BJ190" s="55" t="str">
        <f t="shared" si="34"/>
        <v/>
      </c>
      <c r="BK190" s="55" t="str">
        <f t="shared" si="35"/>
        <v/>
      </c>
    </row>
    <row r="191" spans="22:63">
      <c r="V191" s="55">
        <f t="shared" ca="1" si="24"/>
        <v>1</v>
      </c>
      <c r="W191" s="64"/>
      <c r="X191" s="65"/>
      <c r="Y191" s="65"/>
      <c r="Z191" s="65"/>
      <c r="AA191" s="64"/>
      <c r="AB191" s="65"/>
      <c r="AC191" s="64"/>
      <c r="AD191" s="65"/>
      <c r="AE191" s="64"/>
      <c r="AF191" s="65"/>
      <c r="AG191" s="65"/>
      <c r="AH191" s="66" t="str">
        <f t="shared" si="25"/>
        <v/>
      </c>
      <c r="AI191" s="64"/>
      <c r="AJ191" s="65"/>
      <c r="AK191" s="64"/>
      <c r="AL191" s="65"/>
      <c r="BB191" s="55" t="str">
        <f t="shared" si="26"/>
        <v/>
      </c>
      <c r="BC191" s="55" t="str">
        <f t="shared" si="27"/>
        <v/>
      </c>
      <c r="BD191" s="55" t="str">
        <f t="shared" si="28"/>
        <v/>
      </c>
      <c r="BE191" s="55" t="str">
        <f t="shared" si="29"/>
        <v/>
      </c>
      <c r="BF191" s="55" t="str">
        <f t="shared" si="30"/>
        <v/>
      </c>
      <c r="BG191" s="55" t="str">
        <f t="shared" si="31"/>
        <v/>
      </c>
      <c r="BH191" s="55" t="str">
        <f t="shared" si="32"/>
        <v/>
      </c>
      <c r="BI191" s="55" t="str">
        <f t="shared" si="33"/>
        <v/>
      </c>
      <c r="BJ191" s="55" t="str">
        <f t="shared" si="34"/>
        <v/>
      </c>
      <c r="BK191" s="55" t="str">
        <f t="shared" si="35"/>
        <v/>
      </c>
    </row>
    <row r="192" spans="22:63">
      <c r="V192" s="55">
        <f t="shared" ca="1" si="24"/>
        <v>1</v>
      </c>
      <c r="W192" s="64"/>
      <c r="X192" s="65"/>
      <c r="Y192" s="65"/>
      <c r="Z192" s="65"/>
      <c r="AA192" s="64"/>
      <c r="AB192" s="65"/>
      <c r="AC192" s="64"/>
      <c r="AD192" s="65"/>
      <c r="AE192" s="64"/>
      <c r="AF192" s="65"/>
      <c r="AG192" s="65"/>
      <c r="AH192" s="66" t="str">
        <f t="shared" si="25"/>
        <v/>
      </c>
      <c r="AI192" s="64"/>
      <c r="AJ192" s="65"/>
      <c r="AK192" s="64"/>
      <c r="AL192" s="65"/>
      <c r="BB192" s="55" t="str">
        <f t="shared" si="26"/>
        <v/>
      </c>
      <c r="BC192" s="55" t="str">
        <f t="shared" si="27"/>
        <v/>
      </c>
      <c r="BD192" s="55" t="str">
        <f t="shared" si="28"/>
        <v/>
      </c>
      <c r="BE192" s="55" t="str">
        <f t="shared" si="29"/>
        <v/>
      </c>
      <c r="BF192" s="55" t="str">
        <f t="shared" si="30"/>
        <v/>
      </c>
      <c r="BG192" s="55" t="str">
        <f t="shared" si="31"/>
        <v/>
      </c>
      <c r="BH192" s="55" t="str">
        <f t="shared" si="32"/>
        <v/>
      </c>
      <c r="BI192" s="55" t="str">
        <f t="shared" si="33"/>
        <v/>
      </c>
      <c r="BJ192" s="55" t="str">
        <f t="shared" si="34"/>
        <v/>
      </c>
      <c r="BK192" s="55" t="str">
        <f t="shared" si="35"/>
        <v/>
      </c>
    </row>
    <row r="193" spans="22:63">
      <c r="V193" s="55">
        <f t="shared" ca="1" si="24"/>
        <v>1</v>
      </c>
      <c r="W193" s="64"/>
      <c r="X193" s="65"/>
      <c r="Y193" s="65"/>
      <c r="Z193" s="65"/>
      <c r="AA193" s="64"/>
      <c r="AB193" s="65"/>
      <c r="AC193" s="64"/>
      <c r="AD193" s="65"/>
      <c r="AE193" s="64"/>
      <c r="AF193" s="65"/>
      <c r="AG193" s="65"/>
      <c r="AH193" s="66" t="str">
        <f t="shared" si="25"/>
        <v/>
      </c>
      <c r="AI193" s="64"/>
      <c r="AJ193" s="65"/>
      <c r="AK193" s="64"/>
      <c r="AL193" s="65"/>
      <c r="BB193" s="55" t="str">
        <f t="shared" si="26"/>
        <v/>
      </c>
      <c r="BC193" s="55" t="str">
        <f t="shared" si="27"/>
        <v/>
      </c>
      <c r="BD193" s="55" t="str">
        <f t="shared" si="28"/>
        <v/>
      </c>
      <c r="BE193" s="55" t="str">
        <f t="shared" si="29"/>
        <v/>
      </c>
      <c r="BF193" s="55" t="str">
        <f t="shared" si="30"/>
        <v/>
      </c>
      <c r="BG193" s="55" t="str">
        <f t="shared" si="31"/>
        <v/>
      </c>
      <c r="BH193" s="55" t="str">
        <f t="shared" si="32"/>
        <v/>
      </c>
      <c r="BI193" s="55" t="str">
        <f t="shared" si="33"/>
        <v/>
      </c>
      <c r="BJ193" s="55" t="str">
        <f t="shared" si="34"/>
        <v/>
      </c>
      <c r="BK193" s="55" t="str">
        <f t="shared" si="35"/>
        <v/>
      </c>
    </row>
    <row r="194" spans="22:63">
      <c r="V194" s="55">
        <f t="shared" ca="1" si="24"/>
        <v>1</v>
      </c>
      <c r="W194" s="64"/>
      <c r="X194" s="65"/>
      <c r="Y194" s="65"/>
      <c r="Z194" s="65"/>
      <c r="AA194" s="64"/>
      <c r="AB194" s="65"/>
      <c r="AC194" s="64"/>
      <c r="AD194" s="65"/>
      <c r="AE194" s="64"/>
      <c r="AF194" s="65"/>
      <c r="AG194" s="65"/>
      <c r="AH194" s="66" t="str">
        <f t="shared" si="25"/>
        <v/>
      </c>
      <c r="AI194" s="64"/>
      <c r="AJ194" s="65"/>
      <c r="AK194" s="64"/>
      <c r="AL194" s="65"/>
      <c r="BB194" s="55" t="str">
        <f t="shared" si="26"/>
        <v/>
      </c>
      <c r="BC194" s="55" t="str">
        <f t="shared" si="27"/>
        <v/>
      </c>
      <c r="BD194" s="55" t="str">
        <f t="shared" si="28"/>
        <v/>
      </c>
      <c r="BE194" s="55" t="str">
        <f t="shared" si="29"/>
        <v/>
      </c>
      <c r="BF194" s="55" t="str">
        <f t="shared" si="30"/>
        <v/>
      </c>
      <c r="BG194" s="55" t="str">
        <f t="shared" si="31"/>
        <v/>
      </c>
      <c r="BH194" s="55" t="str">
        <f t="shared" si="32"/>
        <v/>
      </c>
      <c r="BI194" s="55" t="str">
        <f t="shared" si="33"/>
        <v/>
      </c>
      <c r="BJ194" s="55" t="str">
        <f t="shared" si="34"/>
        <v/>
      </c>
      <c r="BK194" s="55" t="str">
        <f t="shared" si="35"/>
        <v/>
      </c>
    </row>
    <row r="195" spans="22:63">
      <c r="V195" s="55">
        <f t="shared" ca="1" si="24"/>
        <v>1</v>
      </c>
      <c r="W195" s="64"/>
      <c r="X195" s="65"/>
      <c r="Y195" s="65"/>
      <c r="Z195" s="65"/>
      <c r="AA195" s="64"/>
      <c r="AB195" s="65"/>
      <c r="AC195" s="64"/>
      <c r="AD195" s="65"/>
      <c r="AE195" s="64"/>
      <c r="AF195" s="65"/>
      <c r="AG195" s="65"/>
      <c r="AH195" s="66" t="str">
        <f t="shared" si="25"/>
        <v/>
      </c>
      <c r="AI195" s="64"/>
      <c r="AJ195" s="65"/>
      <c r="AK195" s="64"/>
      <c r="AL195" s="65"/>
      <c r="BB195" s="55" t="str">
        <f t="shared" si="26"/>
        <v/>
      </c>
      <c r="BC195" s="55" t="str">
        <f t="shared" si="27"/>
        <v/>
      </c>
      <c r="BD195" s="55" t="str">
        <f t="shared" si="28"/>
        <v/>
      </c>
      <c r="BE195" s="55" t="str">
        <f t="shared" si="29"/>
        <v/>
      </c>
      <c r="BF195" s="55" t="str">
        <f t="shared" si="30"/>
        <v/>
      </c>
      <c r="BG195" s="55" t="str">
        <f t="shared" si="31"/>
        <v/>
      </c>
      <c r="BH195" s="55" t="str">
        <f t="shared" si="32"/>
        <v/>
      </c>
      <c r="BI195" s="55" t="str">
        <f t="shared" si="33"/>
        <v/>
      </c>
      <c r="BJ195" s="55" t="str">
        <f t="shared" si="34"/>
        <v/>
      </c>
      <c r="BK195" s="55" t="str">
        <f t="shared" si="35"/>
        <v/>
      </c>
    </row>
    <row r="196" spans="22:63">
      <c r="V196" s="55">
        <f t="shared" ca="1" si="24"/>
        <v>1</v>
      </c>
      <c r="W196" s="64"/>
      <c r="X196" s="65"/>
      <c r="Y196" s="65"/>
      <c r="Z196" s="65"/>
      <c r="AA196" s="64"/>
      <c r="AB196" s="65"/>
      <c r="AC196" s="64"/>
      <c r="AD196" s="65"/>
      <c r="AE196" s="64"/>
      <c r="AF196" s="65"/>
      <c r="AG196" s="65"/>
      <c r="AH196" s="66" t="str">
        <f t="shared" si="25"/>
        <v/>
      </c>
      <c r="AI196" s="64"/>
      <c r="AJ196" s="65"/>
      <c r="AK196" s="64"/>
      <c r="AL196" s="65"/>
      <c r="BB196" s="55" t="str">
        <f t="shared" si="26"/>
        <v/>
      </c>
      <c r="BC196" s="55" t="str">
        <f t="shared" si="27"/>
        <v/>
      </c>
      <c r="BD196" s="55" t="str">
        <f t="shared" si="28"/>
        <v/>
      </c>
      <c r="BE196" s="55" t="str">
        <f t="shared" si="29"/>
        <v/>
      </c>
      <c r="BF196" s="55" t="str">
        <f t="shared" si="30"/>
        <v/>
      </c>
      <c r="BG196" s="55" t="str">
        <f t="shared" si="31"/>
        <v/>
      </c>
      <c r="BH196" s="55" t="str">
        <f t="shared" si="32"/>
        <v/>
      </c>
      <c r="BI196" s="55" t="str">
        <f t="shared" si="33"/>
        <v/>
      </c>
      <c r="BJ196" s="55" t="str">
        <f t="shared" si="34"/>
        <v/>
      </c>
      <c r="BK196" s="55" t="str">
        <f t="shared" si="35"/>
        <v/>
      </c>
    </row>
    <row r="197" spans="22:63">
      <c r="V197" s="55">
        <f t="shared" ca="1" si="24"/>
        <v>1</v>
      </c>
      <c r="W197" s="64"/>
      <c r="X197" s="65"/>
      <c r="Y197" s="65"/>
      <c r="Z197" s="65"/>
      <c r="AA197" s="64"/>
      <c r="AB197" s="65"/>
      <c r="AC197" s="64"/>
      <c r="AD197" s="65"/>
      <c r="AE197" s="64"/>
      <c r="AF197" s="65"/>
      <c r="AG197" s="65"/>
      <c r="AH197" s="66" t="str">
        <f t="shared" si="25"/>
        <v/>
      </c>
      <c r="AI197" s="64"/>
      <c r="AJ197" s="65"/>
      <c r="AK197" s="64"/>
      <c r="AL197" s="65"/>
      <c r="BB197" s="55" t="str">
        <f t="shared" si="26"/>
        <v/>
      </c>
      <c r="BC197" s="55" t="str">
        <f t="shared" si="27"/>
        <v/>
      </c>
      <c r="BD197" s="55" t="str">
        <f t="shared" si="28"/>
        <v/>
      </c>
      <c r="BE197" s="55" t="str">
        <f t="shared" si="29"/>
        <v/>
      </c>
      <c r="BF197" s="55" t="str">
        <f t="shared" si="30"/>
        <v/>
      </c>
      <c r="BG197" s="55" t="str">
        <f t="shared" si="31"/>
        <v/>
      </c>
      <c r="BH197" s="55" t="str">
        <f t="shared" si="32"/>
        <v/>
      </c>
      <c r="BI197" s="55" t="str">
        <f t="shared" si="33"/>
        <v/>
      </c>
      <c r="BJ197" s="55" t="str">
        <f t="shared" si="34"/>
        <v/>
      </c>
      <c r="BK197" s="55" t="str">
        <f t="shared" si="35"/>
        <v/>
      </c>
    </row>
    <row r="198" spans="22:63">
      <c r="V198" s="55">
        <f t="shared" ca="1" si="24"/>
        <v>1</v>
      </c>
      <c r="W198" s="64"/>
      <c r="X198" s="65"/>
      <c r="Y198" s="65"/>
      <c r="Z198" s="65"/>
      <c r="AA198" s="64"/>
      <c r="AB198" s="65"/>
      <c r="AC198" s="64"/>
      <c r="AD198" s="65"/>
      <c r="AE198" s="64"/>
      <c r="AF198" s="65"/>
      <c r="AG198" s="65"/>
      <c r="AH198" s="66" t="str">
        <f t="shared" si="25"/>
        <v/>
      </c>
      <c r="AI198" s="64"/>
      <c r="AJ198" s="65"/>
      <c r="AK198" s="64"/>
      <c r="AL198" s="65"/>
      <c r="BB198" s="55" t="str">
        <f t="shared" si="26"/>
        <v/>
      </c>
      <c r="BC198" s="55" t="str">
        <f t="shared" si="27"/>
        <v/>
      </c>
      <c r="BD198" s="55" t="str">
        <f t="shared" si="28"/>
        <v/>
      </c>
      <c r="BE198" s="55" t="str">
        <f t="shared" si="29"/>
        <v/>
      </c>
      <c r="BF198" s="55" t="str">
        <f t="shared" si="30"/>
        <v/>
      </c>
      <c r="BG198" s="55" t="str">
        <f t="shared" si="31"/>
        <v/>
      </c>
      <c r="BH198" s="55" t="str">
        <f t="shared" si="32"/>
        <v/>
      </c>
      <c r="BI198" s="55" t="str">
        <f t="shared" si="33"/>
        <v/>
      </c>
      <c r="BJ198" s="55" t="str">
        <f t="shared" si="34"/>
        <v/>
      </c>
      <c r="BK198" s="55" t="str">
        <f t="shared" si="35"/>
        <v/>
      </c>
    </row>
    <row r="199" spans="22:63">
      <c r="V199" s="55">
        <f t="shared" ca="1" si="24"/>
        <v>1</v>
      </c>
      <c r="W199" s="64"/>
      <c r="X199" s="65"/>
      <c r="Y199" s="65"/>
      <c r="Z199" s="65"/>
      <c r="AA199" s="64"/>
      <c r="AB199" s="65"/>
      <c r="AC199" s="64"/>
      <c r="AD199" s="65"/>
      <c r="AE199" s="64"/>
      <c r="AF199" s="65"/>
      <c r="AG199" s="65"/>
      <c r="AH199" s="66" t="str">
        <f t="shared" si="25"/>
        <v/>
      </c>
      <c r="AI199" s="64"/>
      <c r="AJ199" s="65"/>
      <c r="AK199" s="64"/>
      <c r="AL199" s="65"/>
      <c r="BB199" s="55" t="str">
        <f t="shared" si="26"/>
        <v/>
      </c>
      <c r="BC199" s="55" t="str">
        <f t="shared" si="27"/>
        <v/>
      </c>
      <c r="BD199" s="55" t="str">
        <f t="shared" si="28"/>
        <v/>
      </c>
      <c r="BE199" s="55" t="str">
        <f t="shared" si="29"/>
        <v/>
      </c>
      <c r="BF199" s="55" t="str">
        <f t="shared" si="30"/>
        <v/>
      </c>
      <c r="BG199" s="55" t="str">
        <f t="shared" si="31"/>
        <v/>
      </c>
      <c r="BH199" s="55" t="str">
        <f t="shared" si="32"/>
        <v/>
      </c>
      <c r="BI199" s="55" t="str">
        <f t="shared" si="33"/>
        <v/>
      </c>
      <c r="BJ199" s="55" t="str">
        <f t="shared" si="34"/>
        <v/>
      </c>
      <c r="BK199" s="55" t="str">
        <f t="shared" si="35"/>
        <v/>
      </c>
    </row>
    <row r="200" spans="22:63">
      <c r="V200" s="55">
        <f t="shared" ca="1" si="24"/>
        <v>1</v>
      </c>
      <c r="W200" s="64"/>
      <c r="X200" s="65"/>
      <c r="Y200" s="65"/>
      <c r="Z200" s="65"/>
      <c r="AA200" s="64"/>
      <c r="AB200" s="65"/>
      <c r="AC200" s="64"/>
      <c r="AD200" s="65"/>
      <c r="AE200" s="64"/>
      <c r="AF200" s="65"/>
      <c r="AG200" s="65"/>
      <c r="AH200" s="66" t="str">
        <f t="shared" si="25"/>
        <v/>
      </c>
      <c r="AI200" s="64"/>
      <c r="AJ200" s="65"/>
      <c r="AK200" s="64"/>
      <c r="AL200" s="65"/>
      <c r="BB200" s="55" t="str">
        <f t="shared" si="26"/>
        <v/>
      </c>
      <c r="BC200" s="55" t="str">
        <f t="shared" si="27"/>
        <v/>
      </c>
      <c r="BD200" s="55" t="str">
        <f t="shared" si="28"/>
        <v/>
      </c>
      <c r="BE200" s="55" t="str">
        <f t="shared" si="29"/>
        <v/>
      </c>
      <c r="BF200" s="55" t="str">
        <f t="shared" si="30"/>
        <v/>
      </c>
      <c r="BG200" s="55" t="str">
        <f t="shared" si="31"/>
        <v/>
      </c>
      <c r="BH200" s="55" t="str">
        <f t="shared" si="32"/>
        <v/>
      </c>
      <c r="BI200" s="55" t="str">
        <f t="shared" si="33"/>
        <v/>
      </c>
      <c r="BJ200" s="55" t="str">
        <f t="shared" si="34"/>
        <v/>
      </c>
      <c r="BK200" s="55" t="str">
        <f t="shared" si="35"/>
        <v/>
      </c>
    </row>
    <row r="201" spans="22:63">
      <c r="V201" s="55">
        <f t="shared" ca="1" si="24"/>
        <v>1</v>
      </c>
      <c r="W201" s="64"/>
      <c r="X201" s="65"/>
      <c r="Y201" s="65"/>
      <c r="Z201" s="65"/>
      <c r="AA201" s="64"/>
      <c r="AB201" s="65"/>
      <c r="AC201" s="64"/>
      <c r="AD201" s="65"/>
      <c r="AE201" s="64"/>
      <c r="AF201" s="65"/>
      <c r="AG201" s="65"/>
      <c r="AH201" s="66" t="str">
        <f t="shared" si="25"/>
        <v/>
      </c>
      <c r="AI201" s="64"/>
      <c r="AJ201" s="65"/>
      <c r="AK201" s="64"/>
      <c r="AL201" s="65"/>
      <c r="BB201" s="55" t="str">
        <f t="shared" si="26"/>
        <v/>
      </c>
      <c r="BC201" s="55" t="str">
        <f t="shared" si="27"/>
        <v/>
      </c>
      <c r="BD201" s="55" t="str">
        <f t="shared" si="28"/>
        <v/>
      </c>
      <c r="BE201" s="55" t="str">
        <f t="shared" si="29"/>
        <v/>
      </c>
      <c r="BF201" s="55" t="str">
        <f t="shared" si="30"/>
        <v/>
      </c>
      <c r="BG201" s="55" t="str">
        <f t="shared" si="31"/>
        <v/>
      </c>
      <c r="BH201" s="55" t="str">
        <f t="shared" si="32"/>
        <v/>
      </c>
      <c r="BI201" s="55" t="str">
        <f t="shared" si="33"/>
        <v/>
      </c>
      <c r="BJ201" s="55" t="str">
        <f t="shared" si="34"/>
        <v/>
      </c>
      <c r="BK201" s="55" t="str">
        <f t="shared" si="35"/>
        <v/>
      </c>
    </row>
    <row r="202" spans="22:63">
      <c r="V202" s="55">
        <f t="shared" ca="1" si="24"/>
        <v>1</v>
      </c>
      <c r="W202" s="64"/>
      <c r="X202" s="65"/>
      <c r="Y202" s="65"/>
      <c r="Z202" s="65"/>
      <c r="AA202" s="64"/>
      <c r="AB202" s="65"/>
      <c r="AC202" s="64"/>
      <c r="AD202" s="65"/>
      <c r="AE202" s="64"/>
      <c r="AF202" s="65"/>
      <c r="AG202" s="65"/>
      <c r="AH202" s="66" t="str">
        <f t="shared" si="25"/>
        <v/>
      </c>
      <c r="AI202" s="64"/>
      <c r="AJ202" s="65"/>
      <c r="AK202" s="64"/>
      <c r="AL202" s="65"/>
      <c r="BB202" s="55" t="str">
        <f t="shared" si="26"/>
        <v/>
      </c>
      <c r="BC202" s="55" t="str">
        <f t="shared" si="27"/>
        <v/>
      </c>
      <c r="BD202" s="55" t="str">
        <f t="shared" si="28"/>
        <v/>
      </c>
      <c r="BE202" s="55" t="str">
        <f t="shared" si="29"/>
        <v/>
      </c>
      <c r="BF202" s="55" t="str">
        <f t="shared" si="30"/>
        <v/>
      </c>
      <c r="BG202" s="55" t="str">
        <f t="shared" si="31"/>
        <v/>
      </c>
      <c r="BH202" s="55" t="str">
        <f t="shared" si="32"/>
        <v/>
      </c>
      <c r="BI202" s="55" t="str">
        <f t="shared" si="33"/>
        <v/>
      </c>
      <c r="BJ202" s="55" t="str">
        <f t="shared" si="34"/>
        <v/>
      </c>
      <c r="BK202" s="55" t="str">
        <f t="shared" si="35"/>
        <v/>
      </c>
    </row>
    <row r="203" spans="22:63">
      <c r="V203" s="55">
        <f t="shared" ref="V203:V266" ca="1" si="36">IF(ISBLANK($W203),IF(ISNUMBER(INDIRECT("S"&amp;ROW($V203)-1)),INDIRECT("S"&amp;ROW($V203)-1),1),$W203)</f>
        <v>1</v>
      </c>
      <c r="W203" s="64"/>
      <c r="X203" s="65"/>
      <c r="Y203" s="65"/>
      <c r="Z203" s="65"/>
      <c r="AA203" s="64"/>
      <c r="AB203" s="65"/>
      <c r="AC203" s="64"/>
      <c r="AD203" s="65"/>
      <c r="AE203" s="64"/>
      <c r="AF203" s="65"/>
      <c r="AG203" s="65"/>
      <c r="AH203" s="66" t="str">
        <f t="shared" ref="AH203:AH266" si="37">IF(ISNUMBER($BI203), $BH203&amp;" - "&amp;$BJ203,"")</f>
        <v/>
      </c>
      <c r="AI203" s="64"/>
      <c r="AJ203" s="65"/>
      <c r="AK203" s="64"/>
      <c r="AL203" s="65"/>
      <c r="BB203" s="55" t="str">
        <f t="shared" ref="BB203:BB266" si="38">IF(ISBLANK($Z203),"",VLOOKUP($Z203,$A$11:$B$1010,2,FALSE))</f>
        <v/>
      </c>
      <c r="BC203" s="55" t="str">
        <f t="shared" ref="BC203:BC266" si="39">IF(ISBLANK($AA203),"",VLOOKUP($AA203,$D$11:$E$1010,2,FALSE))</f>
        <v/>
      </c>
      <c r="BD203" s="55" t="str">
        <f t="shared" ref="BD203:BD266" si="40">IF(ISBLANK($AC203),"",VLOOKUP($AC203,$H$11:$I$1010,2,FALSE))</f>
        <v/>
      </c>
      <c r="BE203" s="55" t="str">
        <f t="shared" ref="BE203:BE266" si="41">IF(ISBLANK($AF203),"",VLOOKUP($AF203,$L$11:$M$1010,2,FALSE))</f>
        <v/>
      </c>
      <c r="BF203" s="55" t="str">
        <f t="shared" ref="BF203:BF266" si="42">IF(ISNUMBER($BC203),VLOOKUP($BC203,$E$11:$F$1010,2,FALSE),"")</f>
        <v/>
      </c>
      <c r="BG203" s="55" t="str">
        <f t="shared" ref="BG203:BG266" si="43">IF(ISNUMBER($BD203),VLOOKUP($BD203,$I$11:$J$1010,2,FALSE),"")</f>
        <v/>
      </c>
      <c r="BH203" s="55" t="str">
        <f t="shared" ref="BH203:BH266" si="44">IF(AND(ISNUMBER($BF203),ISNUMBER($BG203)),$BF203*$BG203,"")</f>
        <v/>
      </c>
      <c r="BI203" s="55" t="str">
        <f t="shared" ref="BI203:BI266" si="45">IF(ISNUMBER($BH203),LOOKUP($BH203,lower_limit_level_risiko,id_level_risiko),"")</f>
        <v/>
      </c>
      <c r="BJ203" s="55" t="str">
        <f t="shared" ref="BJ203:BJ266" si="46">IF(ISNUMBER($BH203),LOOKUP($BH203,lower_limit_level_risiko,description_level_risiko),"")</f>
        <v/>
      </c>
      <c r="BK203" s="55" t="str">
        <f t="shared" ref="BK203:BK266" si="47">IF(ISBLANK($X203),"",VLOOKUP($X203,$T$11:$U$1010,2,FALSE))</f>
        <v/>
      </c>
    </row>
    <row r="204" spans="22:63">
      <c r="V204" s="55">
        <f t="shared" ca="1" si="36"/>
        <v>1</v>
      </c>
      <c r="W204" s="64"/>
      <c r="X204" s="65"/>
      <c r="Y204" s="65"/>
      <c r="Z204" s="65"/>
      <c r="AA204" s="64"/>
      <c r="AB204" s="65"/>
      <c r="AC204" s="64"/>
      <c r="AD204" s="65"/>
      <c r="AE204" s="64"/>
      <c r="AF204" s="65"/>
      <c r="AG204" s="65"/>
      <c r="AH204" s="66" t="str">
        <f t="shared" si="37"/>
        <v/>
      </c>
      <c r="AI204" s="64"/>
      <c r="AJ204" s="65"/>
      <c r="AK204" s="64"/>
      <c r="AL204" s="65"/>
      <c r="BB204" s="55" t="str">
        <f t="shared" si="38"/>
        <v/>
      </c>
      <c r="BC204" s="55" t="str">
        <f t="shared" si="39"/>
        <v/>
      </c>
      <c r="BD204" s="55" t="str">
        <f t="shared" si="40"/>
        <v/>
      </c>
      <c r="BE204" s="55" t="str">
        <f t="shared" si="41"/>
        <v/>
      </c>
      <c r="BF204" s="55" t="str">
        <f t="shared" si="42"/>
        <v/>
      </c>
      <c r="BG204" s="55" t="str">
        <f t="shared" si="43"/>
        <v/>
      </c>
      <c r="BH204" s="55" t="str">
        <f t="shared" si="44"/>
        <v/>
      </c>
      <c r="BI204" s="55" t="str">
        <f t="shared" si="45"/>
        <v/>
      </c>
      <c r="BJ204" s="55" t="str">
        <f t="shared" si="46"/>
        <v/>
      </c>
      <c r="BK204" s="55" t="str">
        <f t="shared" si="47"/>
        <v/>
      </c>
    </row>
    <row r="205" spans="22:63">
      <c r="V205" s="55">
        <f t="shared" ca="1" si="36"/>
        <v>1</v>
      </c>
      <c r="W205" s="64"/>
      <c r="X205" s="65"/>
      <c r="Y205" s="65"/>
      <c r="Z205" s="65"/>
      <c r="AA205" s="64"/>
      <c r="AB205" s="65"/>
      <c r="AC205" s="64"/>
      <c r="AD205" s="65"/>
      <c r="AE205" s="64"/>
      <c r="AF205" s="65"/>
      <c r="AG205" s="65"/>
      <c r="AH205" s="66" t="str">
        <f t="shared" si="37"/>
        <v/>
      </c>
      <c r="AI205" s="64"/>
      <c r="AJ205" s="65"/>
      <c r="AK205" s="64"/>
      <c r="AL205" s="65"/>
      <c r="BB205" s="55" t="str">
        <f t="shared" si="38"/>
        <v/>
      </c>
      <c r="BC205" s="55" t="str">
        <f t="shared" si="39"/>
        <v/>
      </c>
      <c r="BD205" s="55" t="str">
        <f t="shared" si="40"/>
        <v/>
      </c>
      <c r="BE205" s="55" t="str">
        <f t="shared" si="41"/>
        <v/>
      </c>
      <c r="BF205" s="55" t="str">
        <f t="shared" si="42"/>
        <v/>
      </c>
      <c r="BG205" s="55" t="str">
        <f t="shared" si="43"/>
        <v/>
      </c>
      <c r="BH205" s="55" t="str">
        <f t="shared" si="44"/>
        <v/>
      </c>
      <c r="BI205" s="55" t="str">
        <f t="shared" si="45"/>
        <v/>
      </c>
      <c r="BJ205" s="55" t="str">
        <f t="shared" si="46"/>
        <v/>
      </c>
      <c r="BK205" s="55" t="str">
        <f t="shared" si="47"/>
        <v/>
      </c>
    </row>
    <row r="206" spans="22:63">
      <c r="V206" s="55">
        <f t="shared" ca="1" si="36"/>
        <v>1</v>
      </c>
      <c r="W206" s="64"/>
      <c r="X206" s="65"/>
      <c r="Y206" s="65"/>
      <c r="Z206" s="65"/>
      <c r="AA206" s="64"/>
      <c r="AB206" s="65"/>
      <c r="AC206" s="64"/>
      <c r="AD206" s="65"/>
      <c r="AE206" s="64"/>
      <c r="AF206" s="65"/>
      <c r="AG206" s="65"/>
      <c r="AH206" s="66" t="str">
        <f t="shared" si="37"/>
        <v/>
      </c>
      <c r="AI206" s="64"/>
      <c r="AJ206" s="65"/>
      <c r="AK206" s="64"/>
      <c r="AL206" s="65"/>
      <c r="BB206" s="55" t="str">
        <f t="shared" si="38"/>
        <v/>
      </c>
      <c r="BC206" s="55" t="str">
        <f t="shared" si="39"/>
        <v/>
      </c>
      <c r="BD206" s="55" t="str">
        <f t="shared" si="40"/>
        <v/>
      </c>
      <c r="BE206" s="55" t="str">
        <f t="shared" si="41"/>
        <v/>
      </c>
      <c r="BF206" s="55" t="str">
        <f t="shared" si="42"/>
        <v/>
      </c>
      <c r="BG206" s="55" t="str">
        <f t="shared" si="43"/>
        <v/>
      </c>
      <c r="BH206" s="55" t="str">
        <f t="shared" si="44"/>
        <v/>
      </c>
      <c r="BI206" s="55" t="str">
        <f t="shared" si="45"/>
        <v/>
      </c>
      <c r="BJ206" s="55" t="str">
        <f t="shared" si="46"/>
        <v/>
      </c>
      <c r="BK206" s="55" t="str">
        <f t="shared" si="47"/>
        <v/>
      </c>
    </row>
    <row r="207" spans="22:63">
      <c r="V207" s="55">
        <f t="shared" ca="1" si="36"/>
        <v>1</v>
      </c>
      <c r="W207" s="64"/>
      <c r="X207" s="65"/>
      <c r="Y207" s="65"/>
      <c r="Z207" s="65"/>
      <c r="AA207" s="64"/>
      <c r="AB207" s="65"/>
      <c r="AC207" s="64"/>
      <c r="AD207" s="65"/>
      <c r="AE207" s="64"/>
      <c r="AF207" s="65"/>
      <c r="AG207" s="65"/>
      <c r="AH207" s="66" t="str">
        <f t="shared" si="37"/>
        <v/>
      </c>
      <c r="AI207" s="64"/>
      <c r="AJ207" s="65"/>
      <c r="AK207" s="64"/>
      <c r="AL207" s="65"/>
      <c r="BB207" s="55" t="str">
        <f t="shared" si="38"/>
        <v/>
      </c>
      <c r="BC207" s="55" t="str">
        <f t="shared" si="39"/>
        <v/>
      </c>
      <c r="BD207" s="55" t="str">
        <f t="shared" si="40"/>
        <v/>
      </c>
      <c r="BE207" s="55" t="str">
        <f t="shared" si="41"/>
        <v/>
      </c>
      <c r="BF207" s="55" t="str">
        <f t="shared" si="42"/>
        <v/>
      </c>
      <c r="BG207" s="55" t="str">
        <f t="shared" si="43"/>
        <v/>
      </c>
      <c r="BH207" s="55" t="str">
        <f t="shared" si="44"/>
        <v/>
      </c>
      <c r="BI207" s="55" t="str">
        <f t="shared" si="45"/>
        <v/>
      </c>
      <c r="BJ207" s="55" t="str">
        <f t="shared" si="46"/>
        <v/>
      </c>
      <c r="BK207" s="55" t="str">
        <f t="shared" si="47"/>
        <v/>
      </c>
    </row>
    <row r="208" spans="22:63">
      <c r="V208" s="55">
        <f t="shared" ca="1" si="36"/>
        <v>1</v>
      </c>
      <c r="W208" s="64"/>
      <c r="X208" s="65"/>
      <c r="Y208" s="65"/>
      <c r="Z208" s="65"/>
      <c r="AA208" s="64"/>
      <c r="AB208" s="65"/>
      <c r="AC208" s="64"/>
      <c r="AD208" s="65"/>
      <c r="AE208" s="64"/>
      <c r="AF208" s="65"/>
      <c r="AG208" s="65"/>
      <c r="AH208" s="66" t="str">
        <f t="shared" si="37"/>
        <v/>
      </c>
      <c r="AI208" s="64"/>
      <c r="AJ208" s="65"/>
      <c r="AK208" s="64"/>
      <c r="AL208" s="65"/>
      <c r="BB208" s="55" t="str">
        <f t="shared" si="38"/>
        <v/>
      </c>
      <c r="BC208" s="55" t="str">
        <f t="shared" si="39"/>
        <v/>
      </c>
      <c r="BD208" s="55" t="str">
        <f t="shared" si="40"/>
        <v/>
      </c>
      <c r="BE208" s="55" t="str">
        <f t="shared" si="41"/>
        <v/>
      </c>
      <c r="BF208" s="55" t="str">
        <f t="shared" si="42"/>
        <v/>
      </c>
      <c r="BG208" s="55" t="str">
        <f t="shared" si="43"/>
        <v/>
      </c>
      <c r="BH208" s="55" t="str">
        <f t="shared" si="44"/>
        <v/>
      </c>
      <c r="BI208" s="55" t="str">
        <f t="shared" si="45"/>
        <v/>
      </c>
      <c r="BJ208" s="55" t="str">
        <f t="shared" si="46"/>
        <v/>
      </c>
      <c r="BK208" s="55" t="str">
        <f t="shared" si="47"/>
        <v/>
      </c>
    </row>
    <row r="209" spans="22:63">
      <c r="V209" s="55">
        <f t="shared" ca="1" si="36"/>
        <v>1</v>
      </c>
      <c r="W209" s="64"/>
      <c r="X209" s="65"/>
      <c r="Y209" s="65"/>
      <c r="Z209" s="65"/>
      <c r="AA209" s="64"/>
      <c r="AB209" s="65"/>
      <c r="AC209" s="64"/>
      <c r="AD209" s="65"/>
      <c r="AE209" s="64"/>
      <c r="AF209" s="65"/>
      <c r="AG209" s="65"/>
      <c r="AH209" s="66" t="str">
        <f t="shared" si="37"/>
        <v/>
      </c>
      <c r="AI209" s="64"/>
      <c r="AJ209" s="65"/>
      <c r="AK209" s="64"/>
      <c r="AL209" s="65"/>
      <c r="BB209" s="55" t="str">
        <f t="shared" si="38"/>
        <v/>
      </c>
      <c r="BC209" s="55" t="str">
        <f t="shared" si="39"/>
        <v/>
      </c>
      <c r="BD209" s="55" t="str">
        <f t="shared" si="40"/>
        <v/>
      </c>
      <c r="BE209" s="55" t="str">
        <f t="shared" si="41"/>
        <v/>
      </c>
      <c r="BF209" s="55" t="str">
        <f t="shared" si="42"/>
        <v/>
      </c>
      <c r="BG209" s="55" t="str">
        <f t="shared" si="43"/>
        <v/>
      </c>
      <c r="BH209" s="55" t="str">
        <f t="shared" si="44"/>
        <v/>
      </c>
      <c r="BI209" s="55" t="str">
        <f t="shared" si="45"/>
        <v/>
      </c>
      <c r="BJ209" s="55" t="str">
        <f t="shared" si="46"/>
        <v/>
      </c>
      <c r="BK209" s="55" t="str">
        <f t="shared" si="47"/>
        <v/>
      </c>
    </row>
    <row r="210" spans="22:63">
      <c r="V210" s="55">
        <f t="shared" ca="1" si="36"/>
        <v>1</v>
      </c>
      <c r="W210" s="64"/>
      <c r="X210" s="65"/>
      <c r="Y210" s="65"/>
      <c r="Z210" s="65"/>
      <c r="AA210" s="64"/>
      <c r="AB210" s="65"/>
      <c r="AC210" s="64"/>
      <c r="AD210" s="65"/>
      <c r="AE210" s="64"/>
      <c r="AF210" s="65"/>
      <c r="AG210" s="65"/>
      <c r="AH210" s="66" t="str">
        <f t="shared" si="37"/>
        <v/>
      </c>
      <c r="AI210" s="64"/>
      <c r="AJ210" s="65"/>
      <c r="AK210" s="64"/>
      <c r="AL210" s="65"/>
      <c r="BB210" s="55" t="str">
        <f t="shared" si="38"/>
        <v/>
      </c>
      <c r="BC210" s="55" t="str">
        <f t="shared" si="39"/>
        <v/>
      </c>
      <c r="BD210" s="55" t="str">
        <f t="shared" si="40"/>
        <v/>
      </c>
      <c r="BE210" s="55" t="str">
        <f t="shared" si="41"/>
        <v/>
      </c>
      <c r="BF210" s="55" t="str">
        <f t="shared" si="42"/>
        <v/>
      </c>
      <c r="BG210" s="55" t="str">
        <f t="shared" si="43"/>
        <v/>
      </c>
      <c r="BH210" s="55" t="str">
        <f t="shared" si="44"/>
        <v/>
      </c>
      <c r="BI210" s="55" t="str">
        <f t="shared" si="45"/>
        <v/>
      </c>
      <c r="BJ210" s="55" t="str">
        <f t="shared" si="46"/>
        <v/>
      </c>
      <c r="BK210" s="55" t="str">
        <f t="shared" si="47"/>
        <v/>
      </c>
    </row>
    <row r="211" spans="22:63">
      <c r="V211" s="55">
        <f t="shared" ca="1" si="36"/>
        <v>1</v>
      </c>
      <c r="W211" s="64"/>
      <c r="X211" s="65"/>
      <c r="Y211" s="65"/>
      <c r="Z211" s="65"/>
      <c r="AA211" s="64"/>
      <c r="AB211" s="65"/>
      <c r="AC211" s="64"/>
      <c r="AD211" s="65"/>
      <c r="AE211" s="64"/>
      <c r="AF211" s="65"/>
      <c r="AG211" s="65"/>
      <c r="AH211" s="66" t="str">
        <f t="shared" si="37"/>
        <v/>
      </c>
      <c r="AI211" s="64"/>
      <c r="AJ211" s="65"/>
      <c r="AK211" s="64"/>
      <c r="AL211" s="65"/>
      <c r="BB211" s="55" t="str">
        <f t="shared" si="38"/>
        <v/>
      </c>
      <c r="BC211" s="55" t="str">
        <f t="shared" si="39"/>
        <v/>
      </c>
      <c r="BD211" s="55" t="str">
        <f t="shared" si="40"/>
        <v/>
      </c>
      <c r="BE211" s="55" t="str">
        <f t="shared" si="41"/>
        <v/>
      </c>
      <c r="BF211" s="55" t="str">
        <f t="shared" si="42"/>
        <v/>
      </c>
      <c r="BG211" s="55" t="str">
        <f t="shared" si="43"/>
        <v/>
      </c>
      <c r="BH211" s="55" t="str">
        <f t="shared" si="44"/>
        <v/>
      </c>
      <c r="BI211" s="55" t="str">
        <f t="shared" si="45"/>
        <v/>
      </c>
      <c r="BJ211" s="55" t="str">
        <f t="shared" si="46"/>
        <v/>
      </c>
      <c r="BK211" s="55" t="str">
        <f t="shared" si="47"/>
        <v/>
      </c>
    </row>
    <row r="212" spans="22:63">
      <c r="V212" s="55">
        <f t="shared" ca="1" si="36"/>
        <v>1</v>
      </c>
      <c r="W212" s="64"/>
      <c r="X212" s="65"/>
      <c r="Y212" s="65"/>
      <c r="Z212" s="65"/>
      <c r="AA212" s="64"/>
      <c r="AB212" s="65"/>
      <c r="AC212" s="64"/>
      <c r="AD212" s="65"/>
      <c r="AE212" s="64"/>
      <c r="AF212" s="65"/>
      <c r="AG212" s="65"/>
      <c r="AH212" s="66" t="str">
        <f t="shared" si="37"/>
        <v/>
      </c>
      <c r="AI212" s="64"/>
      <c r="AJ212" s="65"/>
      <c r="AK212" s="64"/>
      <c r="AL212" s="65"/>
      <c r="BB212" s="55" t="str">
        <f t="shared" si="38"/>
        <v/>
      </c>
      <c r="BC212" s="55" t="str">
        <f t="shared" si="39"/>
        <v/>
      </c>
      <c r="BD212" s="55" t="str">
        <f t="shared" si="40"/>
        <v/>
      </c>
      <c r="BE212" s="55" t="str">
        <f t="shared" si="41"/>
        <v/>
      </c>
      <c r="BF212" s="55" t="str">
        <f t="shared" si="42"/>
        <v/>
      </c>
      <c r="BG212" s="55" t="str">
        <f t="shared" si="43"/>
        <v/>
      </c>
      <c r="BH212" s="55" t="str">
        <f t="shared" si="44"/>
        <v/>
      </c>
      <c r="BI212" s="55" t="str">
        <f t="shared" si="45"/>
        <v/>
      </c>
      <c r="BJ212" s="55" t="str">
        <f t="shared" si="46"/>
        <v/>
      </c>
      <c r="BK212" s="55" t="str">
        <f t="shared" si="47"/>
        <v/>
      </c>
    </row>
    <row r="213" spans="22:63">
      <c r="V213" s="55">
        <f t="shared" ca="1" si="36"/>
        <v>1</v>
      </c>
      <c r="W213" s="64"/>
      <c r="X213" s="65"/>
      <c r="Y213" s="65"/>
      <c r="Z213" s="65"/>
      <c r="AA213" s="64"/>
      <c r="AB213" s="65"/>
      <c r="AC213" s="64"/>
      <c r="AD213" s="65"/>
      <c r="AE213" s="64"/>
      <c r="AF213" s="65"/>
      <c r="AG213" s="65"/>
      <c r="AH213" s="66" t="str">
        <f t="shared" si="37"/>
        <v/>
      </c>
      <c r="AI213" s="64"/>
      <c r="AJ213" s="65"/>
      <c r="AK213" s="64"/>
      <c r="AL213" s="65"/>
      <c r="BB213" s="55" t="str">
        <f t="shared" si="38"/>
        <v/>
      </c>
      <c r="BC213" s="55" t="str">
        <f t="shared" si="39"/>
        <v/>
      </c>
      <c r="BD213" s="55" t="str">
        <f t="shared" si="40"/>
        <v/>
      </c>
      <c r="BE213" s="55" t="str">
        <f t="shared" si="41"/>
        <v/>
      </c>
      <c r="BF213" s="55" t="str">
        <f t="shared" si="42"/>
        <v/>
      </c>
      <c r="BG213" s="55" t="str">
        <f t="shared" si="43"/>
        <v/>
      </c>
      <c r="BH213" s="55" t="str">
        <f t="shared" si="44"/>
        <v/>
      </c>
      <c r="BI213" s="55" t="str">
        <f t="shared" si="45"/>
        <v/>
      </c>
      <c r="BJ213" s="55" t="str">
        <f t="shared" si="46"/>
        <v/>
      </c>
      <c r="BK213" s="55" t="str">
        <f t="shared" si="47"/>
        <v/>
      </c>
    </row>
    <row r="214" spans="22:63">
      <c r="V214" s="55">
        <f t="shared" ca="1" si="36"/>
        <v>1</v>
      </c>
      <c r="W214" s="64"/>
      <c r="X214" s="65"/>
      <c r="Y214" s="65"/>
      <c r="Z214" s="65"/>
      <c r="AA214" s="64"/>
      <c r="AB214" s="65"/>
      <c r="AC214" s="64"/>
      <c r="AD214" s="65"/>
      <c r="AE214" s="64"/>
      <c r="AF214" s="65"/>
      <c r="AG214" s="65"/>
      <c r="AH214" s="66" t="str">
        <f t="shared" si="37"/>
        <v/>
      </c>
      <c r="AI214" s="64"/>
      <c r="AJ214" s="65"/>
      <c r="AK214" s="64"/>
      <c r="AL214" s="65"/>
      <c r="BB214" s="55" t="str">
        <f t="shared" si="38"/>
        <v/>
      </c>
      <c r="BC214" s="55" t="str">
        <f t="shared" si="39"/>
        <v/>
      </c>
      <c r="BD214" s="55" t="str">
        <f t="shared" si="40"/>
        <v/>
      </c>
      <c r="BE214" s="55" t="str">
        <f t="shared" si="41"/>
        <v/>
      </c>
      <c r="BF214" s="55" t="str">
        <f t="shared" si="42"/>
        <v/>
      </c>
      <c r="BG214" s="55" t="str">
        <f t="shared" si="43"/>
        <v/>
      </c>
      <c r="BH214" s="55" t="str">
        <f t="shared" si="44"/>
        <v/>
      </c>
      <c r="BI214" s="55" t="str">
        <f t="shared" si="45"/>
        <v/>
      </c>
      <c r="BJ214" s="55" t="str">
        <f t="shared" si="46"/>
        <v/>
      </c>
      <c r="BK214" s="55" t="str">
        <f t="shared" si="47"/>
        <v/>
      </c>
    </row>
    <row r="215" spans="22:63">
      <c r="V215" s="55">
        <f t="shared" ca="1" si="36"/>
        <v>1</v>
      </c>
      <c r="W215" s="64"/>
      <c r="X215" s="65"/>
      <c r="Y215" s="65"/>
      <c r="Z215" s="65"/>
      <c r="AA215" s="64"/>
      <c r="AB215" s="65"/>
      <c r="AC215" s="64"/>
      <c r="AD215" s="65"/>
      <c r="AE215" s="64"/>
      <c r="AF215" s="65"/>
      <c r="AG215" s="65"/>
      <c r="AH215" s="66" t="str">
        <f t="shared" si="37"/>
        <v/>
      </c>
      <c r="AI215" s="64"/>
      <c r="AJ215" s="65"/>
      <c r="AK215" s="64"/>
      <c r="AL215" s="65"/>
      <c r="BB215" s="55" t="str">
        <f t="shared" si="38"/>
        <v/>
      </c>
      <c r="BC215" s="55" t="str">
        <f t="shared" si="39"/>
        <v/>
      </c>
      <c r="BD215" s="55" t="str">
        <f t="shared" si="40"/>
        <v/>
      </c>
      <c r="BE215" s="55" t="str">
        <f t="shared" si="41"/>
        <v/>
      </c>
      <c r="BF215" s="55" t="str">
        <f t="shared" si="42"/>
        <v/>
      </c>
      <c r="BG215" s="55" t="str">
        <f t="shared" si="43"/>
        <v/>
      </c>
      <c r="BH215" s="55" t="str">
        <f t="shared" si="44"/>
        <v/>
      </c>
      <c r="BI215" s="55" t="str">
        <f t="shared" si="45"/>
        <v/>
      </c>
      <c r="BJ215" s="55" t="str">
        <f t="shared" si="46"/>
        <v/>
      </c>
      <c r="BK215" s="55" t="str">
        <f t="shared" si="47"/>
        <v/>
      </c>
    </row>
    <row r="216" spans="22:63">
      <c r="V216" s="55">
        <f t="shared" ca="1" si="36"/>
        <v>1</v>
      </c>
      <c r="W216" s="64"/>
      <c r="X216" s="65"/>
      <c r="Y216" s="65"/>
      <c r="Z216" s="65"/>
      <c r="AA216" s="64"/>
      <c r="AB216" s="65"/>
      <c r="AC216" s="64"/>
      <c r="AD216" s="65"/>
      <c r="AE216" s="64"/>
      <c r="AF216" s="65"/>
      <c r="AG216" s="65"/>
      <c r="AH216" s="66" t="str">
        <f t="shared" si="37"/>
        <v/>
      </c>
      <c r="AI216" s="64"/>
      <c r="AJ216" s="65"/>
      <c r="AK216" s="64"/>
      <c r="AL216" s="65"/>
      <c r="BB216" s="55" t="str">
        <f t="shared" si="38"/>
        <v/>
      </c>
      <c r="BC216" s="55" t="str">
        <f t="shared" si="39"/>
        <v/>
      </c>
      <c r="BD216" s="55" t="str">
        <f t="shared" si="40"/>
        <v/>
      </c>
      <c r="BE216" s="55" t="str">
        <f t="shared" si="41"/>
        <v/>
      </c>
      <c r="BF216" s="55" t="str">
        <f t="shared" si="42"/>
        <v/>
      </c>
      <c r="BG216" s="55" t="str">
        <f t="shared" si="43"/>
        <v/>
      </c>
      <c r="BH216" s="55" t="str">
        <f t="shared" si="44"/>
        <v/>
      </c>
      <c r="BI216" s="55" t="str">
        <f t="shared" si="45"/>
        <v/>
      </c>
      <c r="BJ216" s="55" t="str">
        <f t="shared" si="46"/>
        <v/>
      </c>
      <c r="BK216" s="55" t="str">
        <f t="shared" si="47"/>
        <v/>
      </c>
    </row>
    <row r="217" spans="22:63">
      <c r="V217" s="55">
        <f t="shared" ca="1" si="36"/>
        <v>1</v>
      </c>
      <c r="W217" s="64"/>
      <c r="X217" s="65"/>
      <c r="Y217" s="65"/>
      <c r="Z217" s="65"/>
      <c r="AA217" s="64"/>
      <c r="AB217" s="65"/>
      <c r="AC217" s="64"/>
      <c r="AD217" s="65"/>
      <c r="AE217" s="64"/>
      <c r="AF217" s="65"/>
      <c r="AG217" s="65"/>
      <c r="AH217" s="66" t="str">
        <f t="shared" si="37"/>
        <v/>
      </c>
      <c r="AI217" s="64"/>
      <c r="AJ217" s="65"/>
      <c r="AK217" s="64"/>
      <c r="AL217" s="65"/>
      <c r="BB217" s="55" t="str">
        <f t="shared" si="38"/>
        <v/>
      </c>
      <c r="BC217" s="55" t="str">
        <f t="shared" si="39"/>
        <v/>
      </c>
      <c r="BD217" s="55" t="str">
        <f t="shared" si="40"/>
        <v/>
      </c>
      <c r="BE217" s="55" t="str">
        <f t="shared" si="41"/>
        <v/>
      </c>
      <c r="BF217" s="55" t="str">
        <f t="shared" si="42"/>
        <v/>
      </c>
      <c r="BG217" s="55" t="str">
        <f t="shared" si="43"/>
        <v/>
      </c>
      <c r="BH217" s="55" t="str">
        <f t="shared" si="44"/>
        <v/>
      </c>
      <c r="BI217" s="55" t="str">
        <f t="shared" si="45"/>
        <v/>
      </c>
      <c r="BJ217" s="55" t="str">
        <f t="shared" si="46"/>
        <v/>
      </c>
      <c r="BK217" s="55" t="str">
        <f t="shared" si="47"/>
        <v/>
      </c>
    </row>
    <row r="218" spans="22:63">
      <c r="V218" s="55">
        <f t="shared" ca="1" si="36"/>
        <v>1</v>
      </c>
      <c r="W218" s="64"/>
      <c r="X218" s="65"/>
      <c r="Y218" s="65"/>
      <c r="Z218" s="65"/>
      <c r="AA218" s="64"/>
      <c r="AB218" s="65"/>
      <c r="AC218" s="64"/>
      <c r="AD218" s="65"/>
      <c r="AE218" s="64"/>
      <c r="AF218" s="65"/>
      <c r="AG218" s="65"/>
      <c r="AH218" s="66" t="str">
        <f t="shared" si="37"/>
        <v/>
      </c>
      <c r="AI218" s="64"/>
      <c r="AJ218" s="65"/>
      <c r="AK218" s="64"/>
      <c r="AL218" s="65"/>
      <c r="BB218" s="55" t="str">
        <f t="shared" si="38"/>
        <v/>
      </c>
      <c r="BC218" s="55" t="str">
        <f t="shared" si="39"/>
        <v/>
      </c>
      <c r="BD218" s="55" t="str">
        <f t="shared" si="40"/>
        <v/>
      </c>
      <c r="BE218" s="55" t="str">
        <f t="shared" si="41"/>
        <v/>
      </c>
      <c r="BF218" s="55" t="str">
        <f t="shared" si="42"/>
        <v/>
      </c>
      <c r="BG218" s="55" t="str">
        <f t="shared" si="43"/>
        <v/>
      </c>
      <c r="BH218" s="55" t="str">
        <f t="shared" si="44"/>
        <v/>
      </c>
      <c r="BI218" s="55" t="str">
        <f t="shared" si="45"/>
        <v/>
      </c>
      <c r="BJ218" s="55" t="str">
        <f t="shared" si="46"/>
        <v/>
      </c>
      <c r="BK218" s="55" t="str">
        <f t="shared" si="47"/>
        <v/>
      </c>
    </row>
    <row r="219" spans="22:63">
      <c r="V219" s="55">
        <f t="shared" ca="1" si="36"/>
        <v>1</v>
      </c>
      <c r="W219" s="64"/>
      <c r="X219" s="65"/>
      <c r="Y219" s="65"/>
      <c r="Z219" s="65"/>
      <c r="AA219" s="64"/>
      <c r="AB219" s="65"/>
      <c r="AC219" s="64"/>
      <c r="AD219" s="65"/>
      <c r="AE219" s="64"/>
      <c r="AF219" s="65"/>
      <c r="AG219" s="65"/>
      <c r="AH219" s="66" t="str">
        <f t="shared" si="37"/>
        <v/>
      </c>
      <c r="AI219" s="64"/>
      <c r="AJ219" s="65"/>
      <c r="AK219" s="64"/>
      <c r="AL219" s="65"/>
      <c r="BB219" s="55" t="str">
        <f t="shared" si="38"/>
        <v/>
      </c>
      <c r="BC219" s="55" t="str">
        <f t="shared" si="39"/>
        <v/>
      </c>
      <c r="BD219" s="55" t="str">
        <f t="shared" si="40"/>
        <v/>
      </c>
      <c r="BE219" s="55" t="str">
        <f t="shared" si="41"/>
        <v/>
      </c>
      <c r="BF219" s="55" t="str">
        <f t="shared" si="42"/>
        <v/>
      </c>
      <c r="BG219" s="55" t="str">
        <f t="shared" si="43"/>
        <v/>
      </c>
      <c r="BH219" s="55" t="str">
        <f t="shared" si="44"/>
        <v/>
      </c>
      <c r="BI219" s="55" t="str">
        <f t="shared" si="45"/>
        <v/>
      </c>
      <c r="BJ219" s="55" t="str">
        <f t="shared" si="46"/>
        <v/>
      </c>
      <c r="BK219" s="55" t="str">
        <f t="shared" si="47"/>
        <v/>
      </c>
    </row>
    <row r="220" spans="22:63">
      <c r="V220" s="55">
        <f t="shared" ca="1" si="36"/>
        <v>1</v>
      </c>
      <c r="W220" s="64"/>
      <c r="X220" s="65"/>
      <c r="Y220" s="65"/>
      <c r="Z220" s="65"/>
      <c r="AA220" s="64"/>
      <c r="AB220" s="65"/>
      <c r="AC220" s="64"/>
      <c r="AD220" s="65"/>
      <c r="AE220" s="64"/>
      <c r="AF220" s="65"/>
      <c r="AG220" s="65"/>
      <c r="AH220" s="66" t="str">
        <f t="shared" si="37"/>
        <v/>
      </c>
      <c r="AI220" s="64"/>
      <c r="AJ220" s="65"/>
      <c r="AK220" s="64"/>
      <c r="AL220" s="65"/>
      <c r="BB220" s="55" t="str">
        <f t="shared" si="38"/>
        <v/>
      </c>
      <c r="BC220" s="55" t="str">
        <f t="shared" si="39"/>
        <v/>
      </c>
      <c r="BD220" s="55" t="str">
        <f t="shared" si="40"/>
        <v/>
      </c>
      <c r="BE220" s="55" t="str">
        <f t="shared" si="41"/>
        <v/>
      </c>
      <c r="BF220" s="55" t="str">
        <f t="shared" si="42"/>
        <v/>
      </c>
      <c r="BG220" s="55" t="str">
        <f t="shared" si="43"/>
        <v/>
      </c>
      <c r="BH220" s="55" t="str">
        <f t="shared" si="44"/>
        <v/>
      </c>
      <c r="BI220" s="55" t="str">
        <f t="shared" si="45"/>
        <v/>
      </c>
      <c r="BJ220" s="55" t="str">
        <f t="shared" si="46"/>
        <v/>
      </c>
      <c r="BK220" s="55" t="str">
        <f t="shared" si="47"/>
        <v/>
      </c>
    </row>
    <row r="221" spans="22:63">
      <c r="V221" s="55">
        <f t="shared" ca="1" si="36"/>
        <v>1</v>
      </c>
      <c r="W221" s="64"/>
      <c r="X221" s="65"/>
      <c r="Y221" s="65"/>
      <c r="Z221" s="65"/>
      <c r="AA221" s="64"/>
      <c r="AB221" s="65"/>
      <c r="AC221" s="64"/>
      <c r="AD221" s="65"/>
      <c r="AE221" s="64"/>
      <c r="AF221" s="65"/>
      <c r="AG221" s="65"/>
      <c r="AH221" s="66" t="str">
        <f t="shared" si="37"/>
        <v/>
      </c>
      <c r="AI221" s="64"/>
      <c r="AJ221" s="65"/>
      <c r="AK221" s="64"/>
      <c r="AL221" s="65"/>
      <c r="BB221" s="55" t="str">
        <f t="shared" si="38"/>
        <v/>
      </c>
      <c r="BC221" s="55" t="str">
        <f t="shared" si="39"/>
        <v/>
      </c>
      <c r="BD221" s="55" t="str">
        <f t="shared" si="40"/>
        <v/>
      </c>
      <c r="BE221" s="55" t="str">
        <f t="shared" si="41"/>
        <v/>
      </c>
      <c r="BF221" s="55" t="str">
        <f t="shared" si="42"/>
        <v/>
      </c>
      <c r="BG221" s="55" t="str">
        <f t="shared" si="43"/>
        <v/>
      </c>
      <c r="BH221" s="55" t="str">
        <f t="shared" si="44"/>
        <v/>
      </c>
      <c r="BI221" s="55" t="str">
        <f t="shared" si="45"/>
        <v/>
      </c>
      <c r="BJ221" s="55" t="str">
        <f t="shared" si="46"/>
        <v/>
      </c>
      <c r="BK221" s="55" t="str">
        <f t="shared" si="47"/>
        <v/>
      </c>
    </row>
    <row r="222" spans="22:63">
      <c r="V222" s="55">
        <f t="shared" ca="1" si="36"/>
        <v>1</v>
      </c>
      <c r="W222" s="64"/>
      <c r="X222" s="65"/>
      <c r="Y222" s="65"/>
      <c r="Z222" s="65"/>
      <c r="AA222" s="64"/>
      <c r="AB222" s="65"/>
      <c r="AC222" s="64"/>
      <c r="AD222" s="65"/>
      <c r="AE222" s="64"/>
      <c r="AF222" s="65"/>
      <c r="AG222" s="65"/>
      <c r="AH222" s="66" t="str">
        <f t="shared" si="37"/>
        <v/>
      </c>
      <c r="AI222" s="64"/>
      <c r="AJ222" s="65"/>
      <c r="AK222" s="64"/>
      <c r="AL222" s="65"/>
      <c r="BB222" s="55" t="str">
        <f t="shared" si="38"/>
        <v/>
      </c>
      <c r="BC222" s="55" t="str">
        <f t="shared" si="39"/>
        <v/>
      </c>
      <c r="BD222" s="55" t="str">
        <f t="shared" si="40"/>
        <v/>
      </c>
      <c r="BE222" s="55" t="str">
        <f t="shared" si="41"/>
        <v/>
      </c>
      <c r="BF222" s="55" t="str">
        <f t="shared" si="42"/>
        <v/>
      </c>
      <c r="BG222" s="55" t="str">
        <f t="shared" si="43"/>
        <v/>
      </c>
      <c r="BH222" s="55" t="str">
        <f t="shared" si="44"/>
        <v/>
      </c>
      <c r="BI222" s="55" t="str">
        <f t="shared" si="45"/>
        <v/>
      </c>
      <c r="BJ222" s="55" t="str">
        <f t="shared" si="46"/>
        <v/>
      </c>
      <c r="BK222" s="55" t="str">
        <f t="shared" si="47"/>
        <v/>
      </c>
    </row>
    <row r="223" spans="22:63">
      <c r="V223" s="55">
        <f t="shared" ca="1" si="36"/>
        <v>1</v>
      </c>
      <c r="W223" s="64"/>
      <c r="X223" s="65"/>
      <c r="Y223" s="65"/>
      <c r="Z223" s="65"/>
      <c r="AA223" s="64"/>
      <c r="AB223" s="65"/>
      <c r="AC223" s="64"/>
      <c r="AD223" s="65"/>
      <c r="AE223" s="64"/>
      <c r="AF223" s="65"/>
      <c r="AG223" s="65"/>
      <c r="AH223" s="66" t="str">
        <f t="shared" si="37"/>
        <v/>
      </c>
      <c r="AI223" s="64"/>
      <c r="AJ223" s="65"/>
      <c r="AK223" s="64"/>
      <c r="AL223" s="65"/>
      <c r="BB223" s="55" t="str">
        <f t="shared" si="38"/>
        <v/>
      </c>
      <c r="BC223" s="55" t="str">
        <f t="shared" si="39"/>
        <v/>
      </c>
      <c r="BD223" s="55" t="str">
        <f t="shared" si="40"/>
        <v/>
      </c>
      <c r="BE223" s="55" t="str">
        <f t="shared" si="41"/>
        <v/>
      </c>
      <c r="BF223" s="55" t="str">
        <f t="shared" si="42"/>
        <v/>
      </c>
      <c r="BG223" s="55" t="str">
        <f t="shared" si="43"/>
        <v/>
      </c>
      <c r="BH223" s="55" t="str">
        <f t="shared" si="44"/>
        <v/>
      </c>
      <c r="BI223" s="55" t="str">
        <f t="shared" si="45"/>
        <v/>
      </c>
      <c r="BJ223" s="55" t="str">
        <f t="shared" si="46"/>
        <v/>
      </c>
      <c r="BK223" s="55" t="str">
        <f t="shared" si="47"/>
        <v/>
      </c>
    </row>
    <row r="224" spans="22:63">
      <c r="V224" s="55">
        <f t="shared" ca="1" si="36"/>
        <v>1</v>
      </c>
      <c r="W224" s="64"/>
      <c r="X224" s="65"/>
      <c r="Y224" s="65"/>
      <c r="Z224" s="65"/>
      <c r="AA224" s="64"/>
      <c r="AB224" s="65"/>
      <c r="AC224" s="64"/>
      <c r="AD224" s="65"/>
      <c r="AE224" s="64"/>
      <c r="AF224" s="65"/>
      <c r="AG224" s="65"/>
      <c r="AH224" s="66" t="str">
        <f t="shared" si="37"/>
        <v/>
      </c>
      <c r="AI224" s="64"/>
      <c r="AJ224" s="65"/>
      <c r="AK224" s="64"/>
      <c r="AL224" s="65"/>
      <c r="BB224" s="55" t="str">
        <f t="shared" si="38"/>
        <v/>
      </c>
      <c r="BC224" s="55" t="str">
        <f t="shared" si="39"/>
        <v/>
      </c>
      <c r="BD224" s="55" t="str">
        <f t="shared" si="40"/>
        <v/>
      </c>
      <c r="BE224" s="55" t="str">
        <f t="shared" si="41"/>
        <v/>
      </c>
      <c r="BF224" s="55" t="str">
        <f t="shared" si="42"/>
        <v/>
      </c>
      <c r="BG224" s="55" t="str">
        <f t="shared" si="43"/>
        <v/>
      </c>
      <c r="BH224" s="55" t="str">
        <f t="shared" si="44"/>
        <v/>
      </c>
      <c r="BI224" s="55" t="str">
        <f t="shared" si="45"/>
        <v/>
      </c>
      <c r="BJ224" s="55" t="str">
        <f t="shared" si="46"/>
        <v/>
      </c>
      <c r="BK224" s="55" t="str">
        <f t="shared" si="47"/>
        <v/>
      </c>
    </row>
    <row r="225" spans="22:63">
      <c r="V225" s="55">
        <f t="shared" ca="1" si="36"/>
        <v>1</v>
      </c>
      <c r="W225" s="64"/>
      <c r="X225" s="65"/>
      <c r="Y225" s="65"/>
      <c r="Z225" s="65"/>
      <c r="AA225" s="64"/>
      <c r="AB225" s="65"/>
      <c r="AC225" s="64"/>
      <c r="AD225" s="65"/>
      <c r="AE225" s="64"/>
      <c r="AF225" s="65"/>
      <c r="AG225" s="65"/>
      <c r="AH225" s="66" t="str">
        <f t="shared" si="37"/>
        <v/>
      </c>
      <c r="AI225" s="64"/>
      <c r="AJ225" s="65"/>
      <c r="AK225" s="64"/>
      <c r="AL225" s="65"/>
      <c r="BB225" s="55" t="str">
        <f t="shared" si="38"/>
        <v/>
      </c>
      <c r="BC225" s="55" t="str">
        <f t="shared" si="39"/>
        <v/>
      </c>
      <c r="BD225" s="55" t="str">
        <f t="shared" si="40"/>
        <v/>
      </c>
      <c r="BE225" s="55" t="str">
        <f t="shared" si="41"/>
        <v/>
      </c>
      <c r="BF225" s="55" t="str">
        <f t="shared" si="42"/>
        <v/>
      </c>
      <c r="BG225" s="55" t="str">
        <f t="shared" si="43"/>
        <v/>
      </c>
      <c r="BH225" s="55" t="str">
        <f t="shared" si="44"/>
        <v/>
      </c>
      <c r="BI225" s="55" t="str">
        <f t="shared" si="45"/>
        <v/>
      </c>
      <c r="BJ225" s="55" t="str">
        <f t="shared" si="46"/>
        <v/>
      </c>
      <c r="BK225" s="55" t="str">
        <f t="shared" si="47"/>
        <v/>
      </c>
    </row>
    <row r="226" spans="22:63">
      <c r="V226" s="55">
        <f t="shared" ca="1" si="36"/>
        <v>1</v>
      </c>
      <c r="W226" s="64"/>
      <c r="X226" s="65"/>
      <c r="Y226" s="65"/>
      <c r="Z226" s="65"/>
      <c r="AA226" s="64"/>
      <c r="AB226" s="65"/>
      <c r="AC226" s="64"/>
      <c r="AD226" s="65"/>
      <c r="AE226" s="64"/>
      <c r="AF226" s="65"/>
      <c r="AG226" s="65"/>
      <c r="AH226" s="66" t="str">
        <f t="shared" si="37"/>
        <v/>
      </c>
      <c r="AI226" s="64"/>
      <c r="AJ226" s="65"/>
      <c r="AK226" s="64"/>
      <c r="AL226" s="65"/>
      <c r="BB226" s="55" t="str">
        <f t="shared" si="38"/>
        <v/>
      </c>
      <c r="BC226" s="55" t="str">
        <f t="shared" si="39"/>
        <v/>
      </c>
      <c r="BD226" s="55" t="str">
        <f t="shared" si="40"/>
        <v/>
      </c>
      <c r="BE226" s="55" t="str">
        <f t="shared" si="41"/>
        <v/>
      </c>
      <c r="BF226" s="55" t="str">
        <f t="shared" si="42"/>
        <v/>
      </c>
      <c r="BG226" s="55" t="str">
        <f t="shared" si="43"/>
        <v/>
      </c>
      <c r="BH226" s="55" t="str">
        <f t="shared" si="44"/>
        <v/>
      </c>
      <c r="BI226" s="55" t="str">
        <f t="shared" si="45"/>
        <v/>
      </c>
      <c r="BJ226" s="55" t="str">
        <f t="shared" si="46"/>
        <v/>
      </c>
      <c r="BK226" s="55" t="str">
        <f t="shared" si="47"/>
        <v/>
      </c>
    </row>
    <row r="227" spans="22:63">
      <c r="V227" s="55">
        <f t="shared" ca="1" si="36"/>
        <v>1</v>
      </c>
      <c r="W227" s="64"/>
      <c r="X227" s="65"/>
      <c r="Y227" s="65"/>
      <c r="Z227" s="65"/>
      <c r="AA227" s="64"/>
      <c r="AB227" s="65"/>
      <c r="AC227" s="64"/>
      <c r="AD227" s="65"/>
      <c r="AE227" s="64"/>
      <c r="AF227" s="65"/>
      <c r="AG227" s="65"/>
      <c r="AH227" s="66" t="str">
        <f t="shared" si="37"/>
        <v/>
      </c>
      <c r="AI227" s="64"/>
      <c r="AJ227" s="65"/>
      <c r="AK227" s="64"/>
      <c r="AL227" s="65"/>
      <c r="BB227" s="55" t="str">
        <f t="shared" si="38"/>
        <v/>
      </c>
      <c r="BC227" s="55" t="str">
        <f t="shared" si="39"/>
        <v/>
      </c>
      <c r="BD227" s="55" t="str">
        <f t="shared" si="40"/>
        <v/>
      </c>
      <c r="BE227" s="55" t="str">
        <f t="shared" si="41"/>
        <v/>
      </c>
      <c r="BF227" s="55" t="str">
        <f t="shared" si="42"/>
        <v/>
      </c>
      <c r="BG227" s="55" t="str">
        <f t="shared" si="43"/>
        <v/>
      </c>
      <c r="BH227" s="55" t="str">
        <f t="shared" si="44"/>
        <v/>
      </c>
      <c r="BI227" s="55" t="str">
        <f t="shared" si="45"/>
        <v/>
      </c>
      <c r="BJ227" s="55" t="str">
        <f t="shared" si="46"/>
        <v/>
      </c>
      <c r="BK227" s="55" t="str">
        <f t="shared" si="47"/>
        <v/>
      </c>
    </row>
    <row r="228" spans="22:63">
      <c r="V228" s="55">
        <f t="shared" ca="1" si="36"/>
        <v>1</v>
      </c>
      <c r="W228" s="64"/>
      <c r="X228" s="65"/>
      <c r="Y228" s="65"/>
      <c r="Z228" s="65"/>
      <c r="AA228" s="64"/>
      <c r="AB228" s="65"/>
      <c r="AC228" s="64"/>
      <c r="AD228" s="65"/>
      <c r="AE228" s="64"/>
      <c r="AF228" s="65"/>
      <c r="AG228" s="65"/>
      <c r="AH228" s="66" t="str">
        <f t="shared" si="37"/>
        <v/>
      </c>
      <c r="AI228" s="64"/>
      <c r="AJ228" s="65"/>
      <c r="AK228" s="64"/>
      <c r="AL228" s="65"/>
      <c r="BB228" s="55" t="str">
        <f t="shared" si="38"/>
        <v/>
      </c>
      <c r="BC228" s="55" t="str">
        <f t="shared" si="39"/>
        <v/>
      </c>
      <c r="BD228" s="55" t="str">
        <f t="shared" si="40"/>
        <v/>
      </c>
      <c r="BE228" s="55" t="str">
        <f t="shared" si="41"/>
        <v/>
      </c>
      <c r="BF228" s="55" t="str">
        <f t="shared" si="42"/>
        <v/>
      </c>
      <c r="BG228" s="55" t="str">
        <f t="shared" si="43"/>
        <v/>
      </c>
      <c r="BH228" s="55" t="str">
        <f t="shared" si="44"/>
        <v/>
      </c>
      <c r="BI228" s="55" t="str">
        <f t="shared" si="45"/>
        <v/>
      </c>
      <c r="BJ228" s="55" t="str">
        <f t="shared" si="46"/>
        <v/>
      </c>
      <c r="BK228" s="55" t="str">
        <f t="shared" si="47"/>
        <v/>
      </c>
    </row>
    <row r="229" spans="22:63">
      <c r="V229" s="55">
        <f t="shared" ca="1" si="36"/>
        <v>1</v>
      </c>
      <c r="W229" s="64"/>
      <c r="X229" s="65"/>
      <c r="Y229" s="65"/>
      <c r="Z229" s="65"/>
      <c r="AA229" s="64"/>
      <c r="AB229" s="65"/>
      <c r="AC229" s="64"/>
      <c r="AD229" s="65"/>
      <c r="AE229" s="64"/>
      <c r="AF229" s="65"/>
      <c r="AG229" s="65"/>
      <c r="AH229" s="66" t="str">
        <f t="shared" si="37"/>
        <v/>
      </c>
      <c r="AI229" s="64"/>
      <c r="AJ229" s="65"/>
      <c r="AK229" s="64"/>
      <c r="AL229" s="65"/>
      <c r="BB229" s="55" t="str">
        <f t="shared" si="38"/>
        <v/>
      </c>
      <c r="BC229" s="55" t="str">
        <f t="shared" si="39"/>
        <v/>
      </c>
      <c r="BD229" s="55" t="str">
        <f t="shared" si="40"/>
        <v/>
      </c>
      <c r="BE229" s="55" t="str">
        <f t="shared" si="41"/>
        <v/>
      </c>
      <c r="BF229" s="55" t="str">
        <f t="shared" si="42"/>
        <v/>
      </c>
      <c r="BG229" s="55" t="str">
        <f t="shared" si="43"/>
        <v/>
      </c>
      <c r="BH229" s="55" t="str">
        <f t="shared" si="44"/>
        <v/>
      </c>
      <c r="BI229" s="55" t="str">
        <f t="shared" si="45"/>
        <v/>
      </c>
      <c r="BJ229" s="55" t="str">
        <f t="shared" si="46"/>
        <v/>
      </c>
      <c r="BK229" s="55" t="str">
        <f t="shared" si="47"/>
        <v/>
      </c>
    </row>
    <row r="230" spans="22:63">
      <c r="V230" s="55">
        <f t="shared" ca="1" si="36"/>
        <v>1</v>
      </c>
      <c r="W230" s="64"/>
      <c r="X230" s="65"/>
      <c r="Y230" s="65"/>
      <c r="Z230" s="65"/>
      <c r="AA230" s="64"/>
      <c r="AB230" s="65"/>
      <c r="AC230" s="64"/>
      <c r="AD230" s="65"/>
      <c r="AE230" s="64"/>
      <c r="AF230" s="65"/>
      <c r="AG230" s="65"/>
      <c r="AH230" s="66" t="str">
        <f t="shared" si="37"/>
        <v/>
      </c>
      <c r="AI230" s="64"/>
      <c r="AJ230" s="65"/>
      <c r="AK230" s="64"/>
      <c r="AL230" s="65"/>
      <c r="BB230" s="55" t="str">
        <f t="shared" si="38"/>
        <v/>
      </c>
      <c r="BC230" s="55" t="str">
        <f t="shared" si="39"/>
        <v/>
      </c>
      <c r="BD230" s="55" t="str">
        <f t="shared" si="40"/>
        <v/>
      </c>
      <c r="BE230" s="55" t="str">
        <f t="shared" si="41"/>
        <v/>
      </c>
      <c r="BF230" s="55" t="str">
        <f t="shared" si="42"/>
        <v/>
      </c>
      <c r="BG230" s="55" t="str">
        <f t="shared" si="43"/>
        <v/>
      </c>
      <c r="BH230" s="55" t="str">
        <f t="shared" si="44"/>
        <v/>
      </c>
      <c r="BI230" s="55" t="str">
        <f t="shared" si="45"/>
        <v/>
      </c>
      <c r="BJ230" s="55" t="str">
        <f t="shared" si="46"/>
        <v/>
      </c>
      <c r="BK230" s="55" t="str">
        <f t="shared" si="47"/>
        <v/>
      </c>
    </row>
    <row r="231" spans="22:63">
      <c r="V231" s="55">
        <f t="shared" ca="1" si="36"/>
        <v>1</v>
      </c>
      <c r="W231" s="64"/>
      <c r="X231" s="65"/>
      <c r="Y231" s="65"/>
      <c r="Z231" s="65"/>
      <c r="AA231" s="64"/>
      <c r="AB231" s="65"/>
      <c r="AC231" s="64"/>
      <c r="AD231" s="65"/>
      <c r="AE231" s="64"/>
      <c r="AF231" s="65"/>
      <c r="AG231" s="65"/>
      <c r="AH231" s="66" t="str">
        <f t="shared" si="37"/>
        <v/>
      </c>
      <c r="AI231" s="64"/>
      <c r="AJ231" s="65"/>
      <c r="AK231" s="64"/>
      <c r="AL231" s="65"/>
      <c r="BB231" s="55" t="str">
        <f t="shared" si="38"/>
        <v/>
      </c>
      <c r="BC231" s="55" t="str">
        <f t="shared" si="39"/>
        <v/>
      </c>
      <c r="BD231" s="55" t="str">
        <f t="shared" si="40"/>
        <v/>
      </c>
      <c r="BE231" s="55" t="str">
        <f t="shared" si="41"/>
        <v/>
      </c>
      <c r="BF231" s="55" t="str">
        <f t="shared" si="42"/>
        <v/>
      </c>
      <c r="BG231" s="55" t="str">
        <f t="shared" si="43"/>
        <v/>
      </c>
      <c r="BH231" s="55" t="str">
        <f t="shared" si="44"/>
        <v/>
      </c>
      <c r="BI231" s="55" t="str">
        <f t="shared" si="45"/>
        <v/>
      </c>
      <c r="BJ231" s="55" t="str">
        <f t="shared" si="46"/>
        <v/>
      </c>
      <c r="BK231" s="55" t="str">
        <f t="shared" si="47"/>
        <v/>
      </c>
    </row>
    <row r="232" spans="22:63">
      <c r="V232" s="55">
        <f t="shared" ca="1" si="36"/>
        <v>1</v>
      </c>
      <c r="W232" s="64"/>
      <c r="X232" s="65"/>
      <c r="Y232" s="65"/>
      <c r="Z232" s="65"/>
      <c r="AA232" s="64"/>
      <c r="AB232" s="65"/>
      <c r="AC232" s="64"/>
      <c r="AD232" s="65"/>
      <c r="AE232" s="64"/>
      <c r="AF232" s="65"/>
      <c r="AG232" s="65"/>
      <c r="AH232" s="66" t="str">
        <f t="shared" si="37"/>
        <v/>
      </c>
      <c r="AI232" s="64"/>
      <c r="AJ232" s="65"/>
      <c r="AK232" s="64"/>
      <c r="AL232" s="65"/>
      <c r="BB232" s="55" t="str">
        <f t="shared" si="38"/>
        <v/>
      </c>
      <c r="BC232" s="55" t="str">
        <f t="shared" si="39"/>
        <v/>
      </c>
      <c r="BD232" s="55" t="str">
        <f t="shared" si="40"/>
        <v/>
      </c>
      <c r="BE232" s="55" t="str">
        <f t="shared" si="41"/>
        <v/>
      </c>
      <c r="BF232" s="55" t="str">
        <f t="shared" si="42"/>
        <v/>
      </c>
      <c r="BG232" s="55" t="str">
        <f t="shared" si="43"/>
        <v/>
      </c>
      <c r="BH232" s="55" t="str">
        <f t="shared" si="44"/>
        <v/>
      </c>
      <c r="BI232" s="55" t="str">
        <f t="shared" si="45"/>
        <v/>
      </c>
      <c r="BJ232" s="55" t="str">
        <f t="shared" si="46"/>
        <v/>
      </c>
      <c r="BK232" s="55" t="str">
        <f t="shared" si="47"/>
        <v/>
      </c>
    </row>
    <row r="233" spans="22:63">
      <c r="V233" s="55">
        <f t="shared" ca="1" si="36"/>
        <v>1</v>
      </c>
      <c r="W233" s="64"/>
      <c r="X233" s="65"/>
      <c r="Y233" s="65"/>
      <c r="Z233" s="65"/>
      <c r="AA233" s="64"/>
      <c r="AB233" s="65"/>
      <c r="AC233" s="64"/>
      <c r="AD233" s="65"/>
      <c r="AE233" s="64"/>
      <c r="AF233" s="65"/>
      <c r="AG233" s="65"/>
      <c r="AH233" s="66" t="str">
        <f t="shared" si="37"/>
        <v/>
      </c>
      <c r="AI233" s="64"/>
      <c r="AJ233" s="65"/>
      <c r="AK233" s="64"/>
      <c r="AL233" s="65"/>
      <c r="BB233" s="55" t="str">
        <f t="shared" si="38"/>
        <v/>
      </c>
      <c r="BC233" s="55" t="str">
        <f t="shared" si="39"/>
        <v/>
      </c>
      <c r="BD233" s="55" t="str">
        <f t="shared" si="40"/>
        <v/>
      </c>
      <c r="BE233" s="55" t="str">
        <f t="shared" si="41"/>
        <v/>
      </c>
      <c r="BF233" s="55" t="str">
        <f t="shared" si="42"/>
        <v/>
      </c>
      <c r="BG233" s="55" t="str">
        <f t="shared" si="43"/>
        <v/>
      </c>
      <c r="BH233" s="55" t="str">
        <f t="shared" si="44"/>
        <v/>
      </c>
      <c r="BI233" s="55" t="str">
        <f t="shared" si="45"/>
        <v/>
      </c>
      <c r="BJ233" s="55" t="str">
        <f t="shared" si="46"/>
        <v/>
      </c>
      <c r="BK233" s="55" t="str">
        <f t="shared" si="47"/>
        <v/>
      </c>
    </row>
    <row r="234" spans="22:63">
      <c r="V234" s="55">
        <f t="shared" ca="1" si="36"/>
        <v>1</v>
      </c>
      <c r="W234" s="64"/>
      <c r="X234" s="65"/>
      <c r="Y234" s="65"/>
      <c r="Z234" s="65"/>
      <c r="AA234" s="64"/>
      <c r="AB234" s="65"/>
      <c r="AC234" s="64"/>
      <c r="AD234" s="65"/>
      <c r="AE234" s="64"/>
      <c r="AF234" s="65"/>
      <c r="AG234" s="65"/>
      <c r="AH234" s="66" t="str">
        <f t="shared" si="37"/>
        <v/>
      </c>
      <c r="AI234" s="64"/>
      <c r="AJ234" s="65"/>
      <c r="AK234" s="64"/>
      <c r="AL234" s="65"/>
      <c r="BB234" s="55" t="str">
        <f t="shared" si="38"/>
        <v/>
      </c>
      <c r="BC234" s="55" t="str">
        <f t="shared" si="39"/>
        <v/>
      </c>
      <c r="BD234" s="55" t="str">
        <f t="shared" si="40"/>
        <v/>
      </c>
      <c r="BE234" s="55" t="str">
        <f t="shared" si="41"/>
        <v/>
      </c>
      <c r="BF234" s="55" t="str">
        <f t="shared" si="42"/>
        <v/>
      </c>
      <c r="BG234" s="55" t="str">
        <f t="shared" si="43"/>
        <v/>
      </c>
      <c r="BH234" s="55" t="str">
        <f t="shared" si="44"/>
        <v/>
      </c>
      <c r="BI234" s="55" t="str">
        <f t="shared" si="45"/>
        <v/>
      </c>
      <c r="BJ234" s="55" t="str">
        <f t="shared" si="46"/>
        <v/>
      </c>
      <c r="BK234" s="55" t="str">
        <f t="shared" si="47"/>
        <v/>
      </c>
    </row>
    <row r="235" spans="22:63">
      <c r="V235" s="55">
        <f t="shared" ca="1" si="36"/>
        <v>1</v>
      </c>
      <c r="W235" s="64"/>
      <c r="X235" s="65"/>
      <c r="Y235" s="65"/>
      <c r="Z235" s="65"/>
      <c r="AA235" s="64"/>
      <c r="AB235" s="65"/>
      <c r="AC235" s="64"/>
      <c r="AD235" s="65"/>
      <c r="AE235" s="64"/>
      <c r="AF235" s="65"/>
      <c r="AG235" s="65"/>
      <c r="AH235" s="66" t="str">
        <f t="shared" si="37"/>
        <v/>
      </c>
      <c r="AI235" s="64"/>
      <c r="AJ235" s="65"/>
      <c r="AK235" s="64"/>
      <c r="AL235" s="65"/>
      <c r="BB235" s="55" t="str">
        <f t="shared" si="38"/>
        <v/>
      </c>
      <c r="BC235" s="55" t="str">
        <f t="shared" si="39"/>
        <v/>
      </c>
      <c r="BD235" s="55" t="str">
        <f t="shared" si="40"/>
        <v/>
      </c>
      <c r="BE235" s="55" t="str">
        <f t="shared" si="41"/>
        <v/>
      </c>
      <c r="BF235" s="55" t="str">
        <f t="shared" si="42"/>
        <v/>
      </c>
      <c r="BG235" s="55" t="str">
        <f t="shared" si="43"/>
        <v/>
      </c>
      <c r="BH235" s="55" t="str">
        <f t="shared" si="44"/>
        <v/>
      </c>
      <c r="BI235" s="55" t="str">
        <f t="shared" si="45"/>
        <v/>
      </c>
      <c r="BJ235" s="55" t="str">
        <f t="shared" si="46"/>
        <v/>
      </c>
      <c r="BK235" s="55" t="str">
        <f t="shared" si="47"/>
        <v/>
      </c>
    </row>
    <row r="236" spans="22:63">
      <c r="V236" s="55">
        <f t="shared" ca="1" si="36"/>
        <v>1</v>
      </c>
      <c r="W236" s="64"/>
      <c r="X236" s="65"/>
      <c r="Y236" s="65"/>
      <c r="Z236" s="65"/>
      <c r="AA236" s="64"/>
      <c r="AB236" s="65"/>
      <c r="AC236" s="64"/>
      <c r="AD236" s="65"/>
      <c r="AE236" s="64"/>
      <c r="AF236" s="65"/>
      <c r="AG236" s="65"/>
      <c r="AH236" s="66" t="str">
        <f t="shared" si="37"/>
        <v/>
      </c>
      <c r="AI236" s="64"/>
      <c r="AJ236" s="65"/>
      <c r="AK236" s="64"/>
      <c r="AL236" s="65"/>
      <c r="BB236" s="55" t="str">
        <f t="shared" si="38"/>
        <v/>
      </c>
      <c r="BC236" s="55" t="str">
        <f t="shared" si="39"/>
        <v/>
      </c>
      <c r="BD236" s="55" t="str">
        <f t="shared" si="40"/>
        <v/>
      </c>
      <c r="BE236" s="55" t="str">
        <f t="shared" si="41"/>
        <v/>
      </c>
      <c r="BF236" s="55" t="str">
        <f t="shared" si="42"/>
        <v/>
      </c>
      <c r="BG236" s="55" t="str">
        <f t="shared" si="43"/>
        <v/>
      </c>
      <c r="BH236" s="55" t="str">
        <f t="shared" si="44"/>
        <v/>
      </c>
      <c r="BI236" s="55" t="str">
        <f t="shared" si="45"/>
        <v/>
      </c>
      <c r="BJ236" s="55" t="str">
        <f t="shared" si="46"/>
        <v/>
      </c>
      <c r="BK236" s="55" t="str">
        <f t="shared" si="47"/>
        <v/>
      </c>
    </row>
    <row r="237" spans="22:63">
      <c r="V237" s="55">
        <f t="shared" ca="1" si="36"/>
        <v>1</v>
      </c>
      <c r="W237" s="64"/>
      <c r="X237" s="65"/>
      <c r="Y237" s="65"/>
      <c r="Z237" s="65"/>
      <c r="AA237" s="64"/>
      <c r="AB237" s="65"/>
      <c r="AC237" s="64"/>
      <c r="AD237" s="65"/>
      <c r="AE237" s="64"/>
      <c r="AF237" s="65"/>
      <c r="AG237" s="65"/>
      <c r="AH237" s="66" t="str">
        <f t="shared" si="37"/>
        <v/>
      </c>
      <c r="AI237" s="64"/>
      <c r="AJ237" s="65"/>
      <c r="AK237" s="64"/>
      <c r="AL237" s="65"/>
      <c r="BB237" s="55" t="str">
        <f t="shared" si="38"/>
        <v/>
      </c>
      <c r="BC237" s="55" t="str">
        <f t="shared" si="39"/>
        <v/>
      </c>
      <c r="BD237" s="55" t="str">
        <f t="shared" si="40"/>
        <v/>
      </c>
      <c r="BE237" s="55" t="str">
        <f t="shared" si="41"/>
        <v/>
      </c>
      <c r="BF237" s="55" t="str">
        <f t="shared" si="42"/>
        <v/>
      </c>
      <c r="BG237" s="55" t="str">
        <f t="shared" si="43"/>
        <v/>
      </c>
      <c r="BH237" s="55" t="str">
        <f t="shared" si="44"/>
        <v/>
      </c>
      <c r="BI237" s="55" t="str">
        <f t="shared" si="45"/>
        <v/>
      </c>
      <c r="BJ237" s="55" t="str">
        <f t="shared" si="46"/>
        <v/>
      </c>
      <c r="BK237" s="55" t="str">
        <f t="shared" si="47"/>
        <v/>
      </c>
    </row>
    <row r="238" spans="22:63">
      <c r="V238" s="55">
        <f t="shared" ca="1" si="36"/>
        <v>1</v>
      </c>
      <c r="W238" s="64"/>
      <c r="X238" s="65"/>
      <c r="Y238" s="65"/>
      <c r="Z238" s="65"/>
      <c r="AA238" s="64"/>
      <c r="AB238" s="65"/>
      <c r="AC238" s="64"/>
      <c r="AD238" s="65"/>
      <c r="AE238" s="64"/>
      <c r="AF238" s="65"/>
      <c r="AG238" s="65"/>
      <c r="AH238" s="66" t="str">
        <f t="shared" si="37"/>
        <v/>
      </c>
      <c r="AI238" s="64"/>
      <c r="AJ238" s="65"/>
      <c r="AK238" s="64"/>
      <c r="AL238" s="65"/>
      <c r="BB238" s="55" t="str">
        <f t="shared" si="38"/>
        <v/>
      </c>
      <c r="BC238" s="55" t="str">
        <f t="shared" si="39"/>
        <v/>
      </c>
      <c r="BD238" s="55" t="str">
        <f t="shared" si="40"/>
        <v/>
      </c>
      <c r="BE238" s="55" t="str">
        <f t="shared" si="41"/>
        <v/>
      </c>
      <c r="BF238" s="55" t="str">
        <f t="shared" si="42"/>
        <v/>
      </c>
      <c r="BG238" s="55" t="str">
        <f t="shared" si="43"/>
        <v/>
      </c>
      <c r="BH238" s="55" t="str">
        <f t="shared" si="44"/>
        <v/>
      </c>
      <c r="BI238" s="55" t="str">
        <f t="shared" si="45"/>
        <v/>
      </c>
      <c r="BJ238" s="55" t="str">
        <f t="shared" si="46"/>
        <v/>
      </c>
      <c r="BK238" s="55" t="str">
        <f t="shared" si="47"/>
        <v/>
      </c>
    </row>
    <row r="239" spans="22:63">
      <c r="V239" s="55">
        <f t="shared" ca="1" si="36"/>
        <v>1</v>
      </c>
      <c r="W239" s="64"/>
      <c r="X239" s="65"/>
      <c r="Y239" s="65"/>
      <c r="Z239" s="65"/>
      <c r="AA239" s="64"/>
      <c r="AB239" s="65"/>
      <c r="AC239" s="64"/>
      <c r="AD239" s="65"/>
      <c r="AE239" s="64"/>
      <c r="AF239" s="65"/>
      <c r="AG239" s="65"/>
      <c r="AH239" s="66" t="str">
        <f t="shared" si="37"/>
        <v/>
      </c>
      <c r="AI239" s="64"/>
      <c r="AJ239" s="65"/>
      <c r="AK239" s="64"/>
      <c r="AL239" s="65"/>
      <c r="BB239" s="55" t="str">
        <f t="shared" si="38"/>
        <v/>
      </c>
      <c r="BC239" s="55" t="str">
        <f t="shared" si="39"/>
        <v/>
      </c>
      <c r="BD239" s="55" t="str">
        <f t="shared" si="40"/>
        <v/>
      </c>
      <c r="BE239" s="55" t="str">
        <f t="shared" si="41"/>
        <v/>
      </c>
      <c r="BF239" s="55" t="str">
        <f t="shared" si="42"/>
        <v/>
      </c>
      <c r="BG239" s="55" t="str">
        <f t="shared" si="43"/>
        <v/>
      </c>
      <c r="BH239" s="55" t="str">
        <f t="shared" si="44"/>
        <v/>
      </c>
      <c r="BI239" s="55" t="str">
        <f t="shared" si="45"/>
        <v/>
      </c>
      <c r="BJ239" s="55" t="str">
        <f t="shared" si="46"/>
        <v/>
      </c>
      <c r="BK239" s="55" t="str">
        <f t="shared" si="47"/>
        <v/>
      </c>
    </row>
    <row r="240" spans="22:63">
      <c r="V240" s="55">
        <f t="shared" ca="1" si="36"/>
        <v>1</v>
      </c>
      <c r="W240" s="64"/>
      <c r="X240" s="65"/>
      <c r="Y240" s="65"/>
      <c r="Z240" s="65"/>
      <c r="AA240" s="64"/>
      <c r="AB240" s="65"/>
      <c r="AC240" s="64"/>
      <c r="AD240" s="65"/>
      <c r="AE240" s="64"/>
      <c r="AF240" s="65"/>
      <c r="AG240" s="65"/>
      <c r="AH240" s="66" t="str">
        <f t="shared" si="37"/>
        <v/>
      </c>
      <c r="AI240" s="64"/>
      <c r="AJ240" s="65"/>
      <c r="AK240" s="64"/>
      <c r="AL240" s="65"/>
      <c r="BB240" s="55" t="str">
        <f t="shared" si="38"/>
        <v/>
      </c>
      <c r="BC240" s="55" t="str">
        <f t="shared" si="39"/>
        <v/>
      </c>
      <c r="BD240" s="55" t="str">
        <f t="shared" si="40"/>
        <v/>
      </c>
      <c r="BE240" s="55" t="str">
        <f t="shared" si="41"/>
        <v/>
      </c>
      <c r="BF240" s="55" t="str">
        <f t="shared" si="42"/>
        <v/>
      </c>
      <c r="BG240" s="55" t="str">
        <f t="shared" si="43"/>
        <v/>
      </c>
      <c r="BH240" s="55" t="str">
        <f t="shared" si="44"/>
        <v/>
      </c>
      <c r="BI240" s="55" t="str">
        <f t="shared" si="45"/>
        <v/>
      </c>
      <c r="BJ240" s="55" t="str">
        <f t="shared" si="46"/>
        <v/>
      </c>
      <c r="BK240" s="55" t="str">
        <f t="shared" si="47"/>
        <v/>
      </c>
    </row>
    <row r="241" spans="22:63">
      <c r="V241" s="55">
        <f t="shared" ca="1" si="36"/>
        <v>1</v>
      </c>
      <c r="W241" s="64"/>
      <c r="X241" s="65"/>
      <c r="Y241" s="65"/>
      <c r="Z241" s="65"/>
      <c r="AA241" s="64"/>
      <c r="AB241" s="65"/>
      <c r="AC241" s="64"/>
      <c r="AD241" s="65"/>
      <c r="AE241" s="64"/>
      <c r="AF241" s="65"/>
      <c r="AG241" s="65"/>
      <c r="AH241" s="66" t="str">
        <f t="shared" si="37"/>
        <v/>
      </c>
      <c r="AI241" s="64"/>
      <c r="AJ241" s="65"/>
      <c r="AK241" s="64"/>
      <c r="AL241" s="65"/>
      <c r="BB241" s="55" t="str">
        <f t="shared" si="38"/>
        <v/>
      </c>
      <c r="BC241" s="55" t="str">
        <f t="shared" si="39"/>
        <v/>
      </c>
      <c r="BD241" s="55" t="str">
        <f t="shared" si="40"/>
        <v/>
      </c>
      <c r="BE241" s="55" t="str">
        <f t="shared" si="41"/>
        <v/>
      </c>
      <c r="BF241" s="55" t="str">
        <f t="shared" si="42"/>
        <v/>
      </c>
      <c r="BG241" s="55" t="str">
        <f t="shared" si="43"/>
        <v/>
      </c>
      <c r="BH241" s="55" t="str">
        <f t="shared" si="44"/>
        <v/>
      </c>
      <c r="BI241" s="55" t="str">
        <f t="shared" si="45"/>
        <v/>
      </c>
      <c r="BJ241" s="55" t="str">
        <f t="shared" si="46"/>
        <v/>
      </c>
      <c r="BK241" s="55" t="str">
        <f t="shared" si="47"/>
        <v/>
      </c>
    </row>
    <row r="242" spans="22:63">
      <c r="V242" s="55">
        <f t="shared" ca="1" si="36"/>
        <v>1</v>
      </c>
      <c r="W242" s="64"/>
      <c r="X242" s="65"/>
      <c r="Y242" s="65"/>
      <c r="Z242" s="65"/>
      <c r="AA242" s="64"/>
      <c r="AB242" s="65"/>
      <c r="AC242" s="64"/>
      <c r="AD242" s="65"/>
      <c r="AE242" s="64"/>
      <c r="AF242" s="65"/>
      <c r="AG242" s="65"/>
      <c r="AH242" s="66" t="str">
        <f t="shared" si="37"/>
        <v/>
      </c>
      <c r="AI242" s="64"/>
      <c r="AJ242" s="65"/>
      <c r="AK242" s="64"/>
      <c r="AL242" s="65"/>
      <c r="BB242" s="55" t="str">
        <f t="shared" si="38"/>
        <v/>
      </c>
      <c r="BC242" s="55" t="str">
        <f t="shared" si="39"/>
        <v/>
      </c>
      <c r="BD242" s="55" t="str">
        <f t="shared" si="40"/>
        <v/>
      </c>
      <c r="BE242" s="55" t="str">
        <f t="shared" si="41"/>
        <v/>
      </c>
      <c r="BF242" s="55" t="str">
        <f t="shared" si="42"/>
        <v/>
      </c>
      <c r="BG242" s="55" t="str">
        <f t="shared" si="43"/>
        <v/>
      </c>
      <c r="BH242" s="55" t="str">
        <f t="shared" si="44"/>
        <v/>
      </c>
      <c r="BI242" s="55" t="str">
        <f t="shared" si="45"/>
        <v/>
      </c>
      <c r="BJ242" s="55" t="str">
        <f t="shared" si="46"/>
        <v/>
      </c>
      <c r="BK242" s="55" t="str">
        <f t="shared" si="47"/>
        <v/>
      </c>
    </row>
    <row r="243" spans="22:63">
      <c r="V243" s="55">
        <f t="shared" ca="1" si="36"/>
        <v>1</v>
      </c>
      <c r="W243" s="64"/>
      <c r="X243" s="65"/>
      <c r="Y243" s="65"/>
      <c r="Z243" s="65"/>
      <c r="AA243" s="64"/>
      <c r="AB243" s="65"/>
      <c r="AC243" s="64"/>
      <c r="AD243" s="65"/>
      <c r="AE243" s="64"/>
      <c r="AF243" s="65"/>
      <c r="AG243" s="65"/>
      <c r="AH243" s="66" t="str">
        <f t="shared" si="37"/>
        <v/>
      </c>
      <c r="AI243" s="64"/>
      <c r="AJ243" s="65"/>
      <c r="AK243" s="64"/>
      <c r="AL243" s="65"/>
      <c r="BB243" s="55" t="str">
        <f t="shared" si="38"/>
        <v/>
      </c>
      <c r="BC243" s="55" t="str">
        <f t="shared" si="39"/>
        <v/>
      </c>
      <c r="BD243" s="55" t="str">
        <f t="shared" si="40"/>
        <v/>
      </c>
      <c r="BE243" s="55" t="str">
        <f t="shared" si="41"/>
        <v/>
      </c>
      <c r="BF243" s="55" t="str">
        <f t="shared" si="42"/>
        <v/>
      </c>
      <c r="BG243" s="55" t="str">
        <f t="shared" si="43"/>
        <v/>
      </c>
      <c r="BH243" s="55" t="str">
        <f t="shared" si="44"/>
        <v/>
      </c>
      <c r="BI243" s="55" t="str">
        <f t="shared" si="45"/>
        <v/>
      </c>
      <c r="BJ243" s="55" t="str">
        <f t="shared" si="46"/>
        <v/>
      </c>
      <c r="BK243" s="55" t="str">
        <f t="shared" si="47"/>
        <v/>
      </c>
    </row>
    <row r="244" spans="22:63">
      <c r="V244" s="55">
        <f t="shared" ca="1" si="36"/>
        <v>1</v>
      </c>
      <c r="W244" s="64"/>
      <c r="X244" s="65"/>
      <c r="Y244" s="65"/>
      <c r="Z244" s="65"/>
      <c r="AA244" s="64"/>
      <c r="AB244" s="65"/>
      <c r="AC244" s="64"/>
      <c r="AD244" s="65"/>
      <c r="AE244" s="64"/>
      <c r="AF244" s="65"/>
      <c r="AG244" s="65"/>
      <c r="AH244" s="66" t="str">
        <f t="shared" si="37"/>
        <v/>
      </c>
      <c r="AI244" s="64"/>
      <c r="AJ244" s="65"/>
      <c r="AK244" s="64"/>
      <c r="AL244" s="65"/>
      <c r="BB244" s="55" t="str">
        <f t="shared" si="38"/>
        <v/>
      </c>
      <c r="BC244" s="55" t="str">
        <f t="shared" si="39"/>
        <v/>
      </c>
      <c r="BD244" s="55" t="str">
        <f t="shared" si="40"/>
        <v/>
      </c>
      <c r="BE244" s="55" t="str">
        <f t="shared" si="41"/>
        <v/>
      </c>
      <c r="BF244" s="55" t="str">
        <f t="shared" si="42"/>
        <v/>
      </c>
      <c r="BG244" s="55" t="str">
        <f t="shared" si="43"/>
        <v/>
      </c>
      <c r="BH244" s="55" t="str">
        <f t="shared" si="44"/>
        <v/>
      </c>
      <c r="BI244" s="55" t="str">
        <f t="shared" si="45"/>
        <v/>
      </c>
      <c r="BJ244" s="55" t="str">
        <f t="shared" si="46"/>
        <v/>
      </c>
      <c r="BK244" s="55" t="str">
        <f t="shared" si="47"/>
        <v/>
      </c>
    </row>
    <row r="245" spans="22:63">
      <c r="V245" s="55">
        <f t="shared" ca="1" si="36"/>
        <v>1</v>
      </c>
      <c r="W245" s="64"/>
      <c r="X245" s="65"/>
      <c r="Y245" s="65"/>
      <c r="Z245" s="65"/>
      <c r="AA245" s="64"/>
      <c r="AB245" s="65"/>
      <c r="AC245" s="64"/>
      <c r="AD245" s="65"/>
      <c r="AE245" s="64"/>
      <c r="AF245" s="65"/>
      <c r="AG245" s="65"/>
      <c r="AH245" s="66" t="str">
        <f t="shared" si="37"/>
        <v/>
      </c>
      <c r="AI245" s="64"/>
      <c r="AJ245" s="65"/>
      <c r="AK245" s="64"/>
      <c r="AL245" s="65"/>
      <c r="BB245" s="55" t="str">
        <f t="shared" si="38"/>
        <v/>
      </c>
      <c r="BC245" s="55" t="str">
        <f t="shared" si="39"/>
        <v/>
      </c>
      <c r="BD245" s="55" t="str">
        <f t="shared" si="40"/>
        <v/>
      </c>
      <c r="BE245" s="55" t="str">
        <f t="shared" si="41"/>
        <v/>
      </c>
      <c r="BF245" s="55" t="str">
        <f t="shared" si="42"/>
        <v/>
      </c>
      <c r="BG245" s="55" t="str">
        <f t="shared" si="43"/>
        <v/>
      </c>
      <c r="BH245" s="55" t="str">
        <f t="shared" si="44"/>
        <v/>
      </c>
      <c r="BI245" s="55" t="str">
        <f t="shared" si="45"/>
        <v/>
      </c>
      <c r="BJ245" s="55" t="str">
        <f t="shared" si="46"/>
        <v/>
      </c>
      <c r="BK245" s="55" t="str">
        <f t="shared" si="47"/>
        <v/>
      </c>
    </row>
    <row r="246" spans="22:63">
      <c r="V246" s="55">
        <f t="shared" ca="1" si="36"/>
        <v>1</v>
      </c>
      <c r="W246" s="64"/>
      <c r="X246" s="65"/>
      <c r="Y246" s="65"/>
      <c r="Z246" s="65"/>
      <c r="AA246" s="64"/>
      <c r="AB246" s="65"/>
      <c r="AC246" s="64"/>
      <c r="AD246" s="65"/>
      <c r="AE246" s="64"/>
      <c r="AF246" s="65"/>
      <c r="AG246" s="65"/>
      <c r="AH246" s="66" t="str">
        <f t="shared" si="37"/>
        <v/>
      </c>
      <c r="AI246" s="64"/>
      <c r="AJ246" s="65"/>
      <c r="AK246" s="64"/>
      <c r="AL246" s="65"/>
      <c r="BB246" s="55" t="str">
        <f t="shared" si="38"/>
        <v/>
      </c>
      <c r="BC246" s="55" t="str">
        <f t="shared" si="39"/>
        <v/>
      </c>
      <c r="BD246" s="55" t="str">
        <f t="shared" si="40"/>
        <v/>
      </c>
      <c r="BE246" s="55" t="str">
        <f t="shared" si="41"/>
        <v/>
      </c>
      <c r="BF246" s="55" t="str">
        <f t="shared" si="42"/>
        <v/>
      </c>
      <c r="BG246" s="55" t="str">
        <f t="shared" si="43"/>
        <v/>
      </c>
      <c r="BH246" s="55" t="str">
        <f t="shared" si="44"/>
        <v/>
      </c>
      <c r="BI246" s="55" t="str">
        <f t="shared" si="45"/>
        <v/>
      </c>
      <c r="BJ246" s="55" t="str">
        <f t="shared" si="46"/>
        <v/>
      </c>
      <c r="BK246" s="55" t="str">
        <f t="shared" si="47"/>
        <v/>
      </c>
    </row>
    <row r="247" spans="22:63">
      <c r="V247" s="55">
        <f t="shared" ca="1" si="36"/>
        <v>1</v>
      </c>
      <c r="W247" s="64"/>
      <c r="X247" s="65"/>
      <c r="Y247" s="65"/>
      <c r="Z247" s="65"/>
      <c r="AA247" s="64"/>
      <c r="AB247" s="65"/>
      <c r="AC247" s="64"/>
      <c r="AD247" s="65"/>
      <c r="AE247" s="64"/>
      <c r="AF247" s="65"/>
      <c r="AG247" s="65"/>
      <c r="AH247" s="66" t="str">
        <f t="shared" si="37"/>
        <v/>
      </c>
      <c r="AI247" s="64"/>
      <c r="AJ247" s="65"/>
      <c r="AK247" s="64"/>
      <c r="AL247" s="65"/>
      <c r="BB247" s="55" t="str">
        <f t="shared" si="38"/>
        <v/>
      </c>
      <c r="BC247" s="55" t="str">
        <f t="shared" si="39"/>
        <v/>
      </c>
      <c r="BD247" s="55" t="str">
        <f t="shared" si="40"/>
        <v/>
      </c>
      <c r="BE247" s="55" t="str">
        <f t="shared" si="41"/>
        <v/>
      </c>
      <c r="BF247" s="55" t="str">
        <f t="shared" si="42"/>
        <v/>
      </c>
      <c r="BG247" s="55" t="str">
        <f t="shared" si="43"/>
        <v/>
      </c>
      <c r="BH247" s="55" t="str">
        <f t="shared" si="44"/>
        <v/>
      </c>
      <c r="BI247" s="55" t="str">
        <f t="shared" si="45"/>
        <v/>
      </c>
      <c r="BJ247" s="55" t="str">
        <f t="shared" si="46"/>
        <v/>
      </c>
      <c r="BK247" s="55" t="str">
        <f t="shared" si="47"/>
        <v/>
      </c>
    </row>
    <row r="248" spans="22:63">
      <c r="V248" s="55">
        <f t="shared" ca="1" si="36"/>
        <v>1</v>
      </c>
      <c r="W248" s="64"/>
      <c r="X248" s="65"/>
      <c r="Y248" s="65"/>
      <c r="Z248" s="65"/>
      <c r="AA248" s="64"/>
      <c r="AB248" s="65"/>
      <c r="AC248" s="64"/>
      <c r="AD248" s="65"/>
      <c r="AE248" s="64"/>
      <c r="AF248" s="65"/>
      <c r="AG248" s="65"/>
      <c r="AH248" s="66" t="str">
        <f t="shared" si="37"/>
        <v/>
      </c>
      <c r="AI248" s="64"/>
      <c r="AJ248" s="65"/>
      <c r="AK248" s="64"/>
      <c r="AL248" s="65"/>
      <c r="BB248" s="55" t="str">
        <f t="shared" si="38"/>
        <v/>
      </c>
      <c r="BC248" s="55" t="str">
        <f t="shared" si="39"/>
        <v/>
      </c>
      <c r="BD248" s="55" t="str">
        <f t="shared" si="40"/>
        <v/>
      </c>
      <c r="BE248" s="55" t="str">
        <f t="shared" si="41"/>
        <v/>
      </c>
      <c r="BF248" s="55" t="str">
        <f t="shared" si="42"/>
        <v/>
      </c>
      <c r="BG248" s="55" t="str">
        <f t="shared" si="43"/>
        <v/>
      </c>
      <c r="BH248" s="55" t="str">
        <f t="shared" si="44"/>
        <v/>
      </c>
      <c r="BI248" s="55" t="str">
        <f t="shared" si="45"/>
        <v/>
      </c>
      <c r="BJ248" s="55" t="str">
        <f t="shared" si="46"/>
        <v/>
      </c>
      <c r="BK248" s="55" t="str">
        <f t="shared" si="47"/>
        <v/>
      </c>
    </row>
    <row r="249" spans="22:63">
      <c r="V249" s="55">
        <f t="shared" ca="1" si="36"/>
        <v>1</v>
      </c>
      <c r="W249" s="64"/>
      <c r="X249" s="65"/>
      <c r="Y249" s="65"/>
      <c r="Z249" s="65"/>
      <c r="AA249" s="64"/>
      <c r="AB249" s="65"/>
      <c r="AC249" s="64"/>
      <c r="AD249" s="65"/>
      <c r="AE249" s="64"/>
      <c r="AF249" s="65"/>
      <c r="AG249" s="65"/>
      <c r="AH249" s="66" t="str">
        <f t="shared" si="37"/>
        <v/>
      </c>
      <c r="AI249" s="64"/>
      <c r="AJ249" s="65"/>
      <c r="AK249" s="64"/>
      <c r="AL249" s="65"/>
      <c r="BB249" s="55" t="str">
        <f t="shared" si="38"/>
        <v/>
      </c>
      <c r="BC249" s="55" t="str">
        <f t="shared" si="39"/>
        <v/>
      </c>
      <c r="BD249" s="55" t="str">
        <f t="shared" si="40"/>
        <v/>
      </c>
      <c r="BE249" s="55" t="str">
        <f t="shared" si="41"/>
        <v/>
      </c>
      <c r="BF249" s="55" t="str">
        <f t="shared" si="42"/>
        <v/>
      </c>
      <c r="BG249" s="55" t="str">
        <f t="shared" si="43"/>
        <v/>
      </c>
      <c r="BH249" s="55" t="str">
        <f t="shared" si="44"/>
        <v/>
      </c>
      <c r="BI249" s="55" t="str">
        <f t="shared" si="45"/>
        <v/>
      </c>
      <c r="BJ249" s="55" t="str">
        <f t="shared" si="46"/>
        <v/>
      </c>
      <c r="BK249" s="55" t="str">
        <f t="shared" si="47"/>
        <v/>
      </c>
    </row>
    <row r="250" spans="22:63">
      <c r="V250" s="55">
        <f t="shared" ca="1" si="36"/>
        <v>1</v>
      </c>
      <c r="W250" s="64"/>
      <c r="X250" s="65"/>
      <c r="Y250" s="65"/>
      <c r="Z250" s="65"/>
      <c r="AA250" s="64"/>
      <c r="AB250" s="65"/>
      <c r="AC250" s="64"/>
      <c r="AD250" s="65"/>
      <c r="AE250" s="64"/>
      <c r="AF250" s="65"/>
      <c r="AG250" s="65"/>
      <c r="AH250" s="66" t="str">
        <f t="shared" si="37"/>
        <v/>
      </c>
      <c r="AI250" s="64"/>
      <c r="AJ250" s="65"/>
      <c r="AK250" s="64"/>
      <c r="AL250" s="65"/>
      <c r="BB250" s="55" t="str">
        <f t="shared" si="38"/>
        <v/>
      </c>
      <c r="BC250" s="55" t="str">
        <f t="shared" si="39"/>
        <v/>
      </c>
      <c r="BD250" s="55" t="str">
        <f t="shared" si="40"/>
        <v/>
      </c>
      <c r="BE250" s="55" t="str">
        <f t="shared" si="41"/>
        <v/>
      </c>
      <c r="BF250" s="55" t="str">
        <f t="shared" si="42"/>
        <v/>
      </c>
      <c r="BG250" s="55" t="str">
        <f t="shared" si="43"/>
        <v/>
      </c>
      <c r="BH250" s="55" t="str">
        <f t="shared" si="44"/>
        <v/>
      </c>
      <c r="BI250" s="55" t="str">
        <f t="shared" si="45"/>
        <v/>
      </c>
      <c r="BJ250" s="55" t="str">
        <f t="shared" si="46"/>
        <v/>
      </c>
      <c r="BK250" s="55" t="str">
        <f t="shared" si="47"/>
        <v/>
      </c>
    </row>
    <row r="251" spans="22:63">
      <c r="V251" s="55">
        <f t="shared" ca="1" si="36"/>
        <v>1</v>
      </c>
      <c r="W251" s="64"/>
      <c r="X251" s="65"/>
      <c r="Y251" s="65"/>
      <c r="Z251" s="65"/>
      <c r="AA251" s="64"/>
      <c r="AB251" s="65"/>
      <c r="AC251" s="64"/>
      <c r="AD251" s="65"/>
      <c r="AE251" s="64"/>
      <c r="AF251" s="65"/>
      <c r="AG251" s="65"/>
      <c r="AH251" s="66" t="str">
        <f t="shared" si="37"/>
        <v/>
      </c>
      <c r="AI251" s="64"/>
      <c r="AJ251" s="65"/>
      <c r="AK251" s="64"/>
      <c r="AL251" s="65"/>
      <c r="BB251" s="55" t="str">
        <f t="shared" si="38"/>
        <v/>
      </c>
      <c r="BC251" s="55" t="str">
        <f t="shared" si="39"/>
        <v/>
      </c>
      <c r="BD251" s="55" t="str">
        <f t="shared" si="40"/>
        <v/>
      </c>
      <c r="BE251" s="55" t="str">
        <f t="shared" si="41"/>
        <v/>
      </c>
      <c r="BF251" s="55" t="str">
        <f t="shared" si="42"/>
        <v/>
      </c>
      <c r="BG251" s="55" t="str">
        <f t="shared" si="43"/>
        <v/>
      </c>
      <c r="BH251" s="55" t="str">
        <f t="shared" si="44"/>
        <v/>
      </c>
      <c r="BI251" s="55" t="str">
        <f t="shared" si="45"/>
        <v/>
      </c>
      <c r="BJ251" s="55" t="str">
        <f t="shared" si="46"/>
        <v/>
      </c>
      <c r="BK251" s="55" t="str">
        <f t="shared" si="47"/>
        <v/>
      </c>
    </row>
    <row r="252" spans="22:63">
      <c r="V252" s="55">
        <f t="shared" ca="1" si="36"/>
        <v>1</v>
      </c>
      <c r="W252" s="64"/>
      <c r="X252" s="65"/>
      <c r="Y252" s="65"/>
      <c r="Z252" s="65"/>
      <c r="AA252" s="64"/>
      <c r="AB252" s="65"/>
      <c r="AC252" s="64"/>
      <c r="AD252" s="65"/>
      <c r="AE252" s="64"/>
      <c r="AF252" s="65"/>
      <c r="AG252" s="65"/>
      <c r="AH252" s="66" t="str">
        <f t="shared" si="37"/>
        <v/>
      </c>
      <c r="AI252" s="64"/>
      <c r="AJ252" s="65"/>
      <c r="AK252" s="64"/>
      <c r="AL252" s="65"/>
      <c r="BB252" s="55" t="str">
        <f t="shared" si="38"/>
        <v/>
      </c>
      <c r="BC252" s="55" t="str">
        <f t="shared" si="39"/>
        <v/>
      </c>
      <c r="BD252" s="55" t="str">
        <f t="shared" si="40"/>
        <v/>
      </c>
      <c r="BE252" s="55" t="str">
        <f t="shared" si="41"/>
        <v/>
      </c>
      <c r="BF252" s="55" t="str">
        <f t="shared" si="42"/>
        <v/>
      </c>
      <c r="BG252" s="55" t="str">
        <f t="shared" si="43"/>
        <v/>
      </c>
      <c r="BH252" s="55" t="str">
        <f t="shared" si="44"/>
        <v/>
      </c>
      <c r="BI252" s="55" t="str">
        <f t="shared" si="45"/>
        <v/>
      </c>
      <c r="BJ252" s="55" t="str">
        <f t="shared" si="46"/>
        <v/>
      </c>
      <c r="BK252" s="55" t="str">
        <f t="shared" si="47"/>
        <v/>
      </c>
    </row>
    <row r="253" spans="22:63">
      <c r="V253" s="55">
        <f t="shared" ca="1" si="36"/>
        <v>1</v>
      </c>
      <c r="W253" s="64"/>
      <c r="X253" s="65"/>
      <c r="Y253" s="65"/>
      <c r="Z253" s="65"/>
      <c r="AA253" s="64"/>
      <c r="AB253" s="65"/>
      <c r="AC253" s="64"/>
      <c r="AD253" s="65"/>
      <c r="AE253" s="64"/>
      <c r="AF253" s="65"/>
      <c r="AG253" s="65"/>
      <c r="AH253" s="66" t="str">
        <f t="shared" si="37"/>
        <v/>
      </c>
      <c r="AI253" s="64"/>
      <c r="AJ253" s="65"/>
      <c r="AK253" s="64"/>
      <c r="AL253" s="65"/>
      <c r="BB253" s="55" t="str">
        <f t="shared" si="38"/>
        <v/>
      </c>
      <c r="BC253" s="55" t="str">
        <f t="shared" si="39"/>
        <v/>
      </c>
      <c r="BD253" s="55" t="str">
        <f t="shared" si="40"/>
        <v/>
      </c>
      <c r="BE253" s="55" t="str">
        <f t="shared" si="41"/>
        <v/>
      </c>
      <c r="BF253" s="55" t="str">
        <f t="shared" si="42"/>
        <v/>
      </c>
      <c r="BG253" s="55" t="str">
        <f t="shared" si="43"/>
        <v/>
      </c>
      <c r="BH253" s="55" t="str">
        <f t="shared" si="44"/>
        <v/>
      </c>
      <c r="BI253" s="55" t="str">
        <f t="shared" si="45"/>
        <v/>
      </c>
      <c r="BJ253" s="55" t="str">
        <f t="shared" si="46"/>
        <v/>
      </c>
      <c r="BK253" s="55" t="str">
        <f t="shared" si="47"/>
        <v/>
      </c>
    </row>
    <row r="254" spans="22:63">
      <c r="V254" s="55">
        <f t="shared" ca="1" si="36"/>
        <v>1</v>
      </c>
      <c r="W254" s="64"/>
      <c r="X254" s="65"/>
      <c r="Y254" s="65"/>
      <c r="Z254" s="65"/>
      <c r="AA254" s="64"/>
      <c r="AB254" s="65"/>
      <c r="AC254" s="64"/>
      <c r="AD254" s="65"/>
      <c r="AE254" s="64"/>
      <c r="AF254" s="65"/>
      <c r="AG254" s="65"/>
      <c r="AH254" s="66" t="str">
        <f t="shared" si="37"/>
        <v/>
      </c>
      <c r="AI254" s="64"/>
      <c r="AJ254" s="65"/>
      <c r="AK254" s="64"/>
      <c r="AL254" s="65"/>
      <c r="BB254" s="55" t="str">
        <f t="shared" si="38"/>
        <v/>
      </c>
      <c r="BC254" s="55" t="str">
        <f t="shared" si="39"/>
        <v/>
      </c>
      <c r="BD254" s="55" t="str">
        <f t="shared" si="40"/>
        <v/>
      </c>
      <c r="BE254" s="55" t="str">
        <f t="shared" si="41"/>
        <v/>
      </c>
      <c r="BF254" s="55" t="str">
        <f t="shared" si="42"/>
        <v/>
      </c>
      <c r="BG254" s="55" t="str">
        <f t="shared" si="43"/>
        <v/>
      </c>
      <c r="BH254" s="55" t="str">
        <f t="shared" si="44"/>
        <v/>
      </c>
      <c r="BI254" s="55" t="str">
        <f t="shared" si="45"/>
        <v/>
      </c>
      <c r="BJ254" s="55" t="str">
        <f t="shared" si="46"/>
        <v/>
      </c>
      <c r="BK254" s="55" t="str">
        <f t="shared" si="47"/>
        <v/>
      </c>
    </row>
    <row r="255" spans="22:63">
      <c r="V255" s="55">
        <f t="shared" ca="1" si="36"/>
        <v>1</v>
      </c>
      <c r="W255" s="64"/>
      <c r="X255" s="65"/>
      <c r="Y255" s="65"/>
      <c r="Z255" s="65"/>
      <c r="AA255" s="64"/>
      <c r="AB255" s="65"/>
      <c r="AC255" s="64"/>
      <c r="AD255" s="65"/>
      <c r="AE255" s="64"/>
      <c r="AF255" s="65"/>
      <c r="AG255" s="65"/>
      <c r="AH255" s="66" t="str">
        <f t="shared" si="37"/>
        <v/>
      </c>
      <c r="AI255" s="64"/>
      <c r="AJ255" s="65"/>
      <c r="AK255" s="64"/>
      <c r="AL255" s="65"/>
      <c r="BB255" s="55" t="str">
        <f t="shared" si="38"/>
        <v/>
      </c>
      <c r="BC255" s="55" t="str">
        <f t="shared" si="39"/>
        <v/>
      </c>
      <c r="BD255" s="55" t="str">
        <f t="shared" si="40"/>
        <v/>
      </c>
      <c r="BE255" s="55" t="str">
        <f t="shared" si="41"/>
        <v/>
      </c>
      <c r="BF255" s="55" t="str">
        <f t="shared" si="42"/>
        <v/>
      </c>
      <c r="BG255" s="55" t="str">
        <f t="shared" si="43"/>
        <v/>
      </c>
      <c r="BH255" s="55" t="str">
        <f t="shared" si="44"/>
        <v/>
      </c>
      <c r="BI255" s="55" t="str">
        <f t="shared" si="45"/>
        <v/>
      </c>
      <c r="BJ255" s="55" t="str">
        <f t="shared" si="46"/>
        <v/>
      </c>
      <c r="BK255" s="55" t="str">
        <f t="shared" si="47"/>
        <v/>
      </c>
    </row>
    <row r="256" spans="22:63">
      <c r="V256" s="55">
        <f t="shared" ca="1" si="36"/>
        <v>1</v>
      </c>
      <c r="W256" s="64"/>
      <c r="X256" s="65"/>
      <c r="Y256" s="65"/>
      <c r="Z256" s="65"/>
      <c r="AA256" s="64"/>
      <c r="AB256" s="65"/>
      <c r="AC256" s="64"/>
      <c r="AD256" s="65"/>
      <c r="AE256" s="64"/>
      <c r="AF256" s="65"/>
      <c r="AG256" s="65"/>
      <c r="AH256" s="66" t="str">
        <f t="shared" si="37"/>
        <v/>
      </c>
      <c r="AI256" s="64"/>
      <c r="AJ256" s="65"/>
      <c r="AK256" s="64"/>
      <c r="AL256" s="65"/>
      <c r="BB256" s="55" t="str">
        <f t="shared" si="38"/>
        <v/>
      </c>
      <c r="BC256" s="55" t="str">
        <f t="shared" si="39"/>
        <v/>
      </c>
      <c r="BD256" s="55" t="str">
        <f t="shared" si="40"/>
        <v/>
      </c>
      <c r="BE256" s="55" t="str">
        <f t="shared" si="41"/>
        <v/>
      </c>
      <c r="BF256" s="55" t="str">
        <f t="shared" si="42"/>
        <v/>
      </c>
      <c r="BG256" s="55" t="str">
        <f t="shared" si="43"/>
        <v/>
      </c>
      <c r="BH256" s="55" t="str">
        <f t="shared" si="44"/>
        <v/>
      </c>
      <c r="BI256" s="55" t="str">
        <f t="shared" si="45"/>
        <v/>
      </c>
      <c r="BJ256" s="55" t="str">
        <f t="shared" si="46"/>
        <v/>
      </c>
      <c r="BK256" s="55" t="str">
        <f t="shared" si="47"/>
        <v/>
      </c>
    </row>
    <row r="257" spans="22:63">
      <c r="V257" s="55">
        <f t="shared" ca="1" si="36"/>
        <v>1</v>
      </c>
      <c r="W257" s="64"/>
      <c r="X257" s="65"/>
      <c r="Y257" s="65"/>
      <c r="Z257" s="65"/>
      <c r="AA257" s="64"/>
      <c r="AB257" s="65"/>
      <c r="AC257" s="64"/>
      <c r="AD257" s="65"/>
      <c r="AE257" s="64"/>
      <c r="AF257" s="65"/>
      <c r="AG257" s="65"/>
      <c r="AH257" s="66" t="str">
        <f t="shared" si="37"/>
        <v/>
      </c>
      <c r="AI257" s="64"/>
      <c r="AJ257" s="65"/>
      <c r="AK257" s="64"/>
      <c r="AL257" s="65"/>
      <c r="BB257" s="55" t="str">
        <f t="shared" si="38"/>
        <v/>
      </c>
      <c r="BC257" s="55" t="str">
        <f t="shared" si="39"/>
        <v/>
      </c>
      <c r="BD257" s="55" t="str">
        <f t="shared" si="40"/>
        <v/>
      </c>
      <c r="BE257" s="55" t="str">
        <f t="shared" si="41"/>
        <v/>
      </c>
      <c r="BF257" s="55" t="str">
        <f t="shared" si="42"/>
        <v/>
      </c>
      <c r="BG257" s="55" t="str">
        <f t="shared" si="43"/>
        <v/>
      </c>
      <c r="BH257" s="55" t="str">
        <f t="shared" si="44"/>
        <v/>
      </c>
      <c r="BI257" s="55" t="str">
        <f t="shared" si="45"/>
        <v/>
      </c>
      <c r="BJ257" s="55" t="str">
        <f t="shared" si="46"/>
        <v/>
      </c>
      <c r="BK257" s="55" t="str">
        <f t="shared" si="47"/>
        <v/>
      </c>
    </row>
    <row r="258" spans="22:63">
      <c r="V258" s="55">
        <f t="shared" ca="1" si="36"/>
        <v>1</v>
      </c>
      <c r="W258" s="64"/>
      <c r="X258" s="65"/>
      <c r="Y258" s="65"/>
      <c r="Z258" s="65"/>
      <c r="AA258" s="64"/>
      <c r="AB258" s="65"/>
      <c r="AC258" s="64"/>
      <c r="AD258" s="65"/>
      <c r="AE258" s="64"/>
      <c r="AF258" s="65"/>
      <c r="AG258" s="65"/>
      <c r="AH258" s="66" t="str">
        <f t="shared" si="37"/>
        <v/>
      </c>
      <c r="AI258" s="64"/>
      <c r="AJ258" s="65"/>
      <c r="AK258" s="64"/>
      <c r="AL258" s="65"/>
      <c r="BB258" s="55" t="str">
        <f t="shared" si="38"/>
        <v/>
      </c>
      <c r="BC258" s="55" t="str">
        <f t="shared" si="39"/>
        <v/>
      </c>
      <c r="BD258" s="55" t="str">
        <f t="shared" si="40"/>
        <v/>
      </c>
      <c r="BE258" s="55" t="str">
        <f t="shared" si="41"/>
        <v/>
      </c>
      <c r="BF258" s="55" t="str">
        <f t="shared" si="42"/>
        <v/>
      </c>
      <c r="BG258" s="55" t="str">
        <f t="shared" si="43"/>
        <v/>
      </c>
      <c r="BH258" s="55" t="str">
        <f t="shared" si="44"/>
        <v/>
      </c>
      <c r="BI258" s="55" t="str">
        <f t="shared" si="45"/>
        <v/>
      </c>
      <c r="BJ258" s="55" t="str">
        <f t="shared" si="46"/>
        <v/>
      </c>
      <c r="BK258" s="55" t="str">
        <f t="shared" si="47"/>
        <v/>
      </c>
    </row>
    <row r="259" spans="22:63">
      <c r="V259" s="55">
        <f t="shared" ca="1" si="36"/>
        <v>1</v>
      </c>
      <c r="W259" s="64"/>
      <c r="X259" s="65"/>
      <c r="Y259" s="65"/>
      <c r="Z259" s="65"/>
      <c r="AA259" s="64"/>
      <c r="AB259" s="65"/>
      <c r="AC259" s="64"/>
      <c r="AD259" s="65"/>
      <c r="AE259" s="64"/>
      <c r="AF259" s="65"/>
      <c r="AG259" s="65"/>
      <c r="AH259" s="66" t="str">
        <f t="shared" si="37"/>
        <v/>
      </c>
      <c r="AI259" s="64"/>
      <c r="AJ259" s="65"/>
      <c r="AK259" s="64"/>
      <c r="AL259" s="65"/>
      <c r="BB259" s="55" t="str">
        <f t="shared" si="38"/>
        <v/>
      </c>
      <c r="BC259" s="55" t="str">
        <f t="shared" si="39"/>
        <v/>
      </c>
      <c r="BD259" s="55" t="str">
        <f t="shared" si="40"/>
        <v/>
      </c>
      <c r="BE259" s="55" t="str">
        <f t="shared" si="41"/>
        <v/>
      </c>
      <c r="BF259" s="55" t="str">
        <f t="shared" si="42"/>
        <v/>
      </c>
      <c r="BG259" s="55" t="str">
        <f t="shared" si="43"/>
        <v/>
      </c>
      <c r="BH259" s="55" t="str">
        <f t="shared" si="44"/>
        <v/>
      </c>
      <c r="BI259" s="55" t="str">
        <f t="shared" si="45"/>
        <v/>
      </c>
      <c r="BJ259" s="55" t="str">
        <f t="shared" si="46"/>
        <v/>
      </c>
      <c r="BK259" s="55" t="str">
        <f t="shared" si="47"/>
        <v/>
      </c>
    </row>
    <row r="260" spans="22:63">
      <c r="V260" s="55">
        <f t="shared" ca="1" si="36"/>
        <v>1</v>
      </c>
      <c r="W260" s="64"/>
      <c r="X260" s="65"/>
      <c r="Y260" s="65"/>
      <c r="Z260" s="65"/>
      <c r="AA260" s="64"/>
      <c r="AB260" s="65"/>
      <c r="AC260" s="64"/>
      <c r="AD260" s="65"/>
      <c r="AE260" s="64"/>
      <c r="AF260" s="65"/>
      <c r="AG260" s="65"/>
      <c r="AH260" s="66" t="str">
        <f t="shared" si="37"/>
        <v/>
      </c>
      <c r="AI260" s="64"/>
      <c r="AJ260" s="65"/>
      <c r="AK260" s="64"/>
      <c r="AL260" s="65"/>
      <c r="BB260" s="55" t="str">
        <f t="shared" si="38"/>
        <v/>
      </c>
      <c r="BC260" s="55" t="str">
        <f t="shared" si="39"/>
        <v/>
      </c>
      <c r="BD260" s="55" t="str">
        <f t="shared" si="40"/>
        <v/>
      </c>
      <c r="BE260" s="55" t="str">
        <f t="shared" si="41"/>
        <v/>
      </c>
      <c r="BF260" s="55" t="str">
        <f t="shared" si="42"/>
        <v/>
      </c>
      <c r="BG260" s="55" t="str">
        <f t="shared" si="43"/>
        <v/>
      </c>
      <c r="BH260" s="55" t="str">
        <f t="shared" si="44"/>
        <v/>
      </c>
      <c r="BI260" s="55" t="str">
        <f t="shared" si="45"/>
        <v/>
      </c>
      <c r="BJ260" s="55" t="str">
        <f t="shared" si="46"/>
        <v/>
      </c>
      <c r="BK260" s="55" t="str">
        <f t="shared" si="47"/>
        <v/>
      </c>
    </row>
    <row r="261" spans="22:63">
      <c r="V261" s="55">
        <f t="shared" ca="1" si="36"/>
        <v>1</v>
      </c>
      <c r="W261" s="64"/>
      <c r="X261" s="65"/>
      <c r="Y261" s="65"/>
      <c r="Z261" s="65"/>
      <c r="AA261" s="64"/>
      <c r="AB261" s="65"/>
      <c r="AC261" s="64"/>
      <c r="AD261" s="65"/>
      <c r="AE261" s="64"/>
      <c r="AF261" s="65"/>
      <c r="AG261" s="65"/>
      <c r="AH261" s="66" t="str">
        <f t="shared" si="37"/>
        <v/>
      </c>
      <c r="AI261" s="64"/>
      <c r="AJ261" s="65"/>
      <c r="AK261" s="64"/>
      <c r="AL261" s="65"/>
      <c r="BB261" s="55" t="str">
        <f t="shared" si="38"/>
        <v/>
      </c>
      <c r="BC261" s="55" t="str">
        <f t="shared" si="39"/>
        <v/>
      </c>
      <c r="BD261" s="55" t="str">
        <f t="shared" si="40"/>
        <v/>
      </c>
      <c r="BE261" s="55" t="str">
        <f t="shared" si="41"/>
        <v/>
      </c>
      <c r="BF261" s="55" t="str">
        <f t="shared" si="42"/>
        <v/>
      </c>
      <c r="BG261" s="55" t="str">
        <f t="shared" si="43"/>
        <v/>
      </c>
      <c r="BH261" s="55" t="str">
        <f t="shared" si="44"/>
        <v/>
      </c>
      <c r="BI261" s="55" t="str">
        <f t="shared" si="45"/>
        <v/>
      </c>
      <c r="BJ261" s="55" t="str">
        <f t="shared" si="46"/>
        <v/>
      </c>
      <c r="BK261" s="55" t="str">
        <f t="shared" si="47"/>
        <v/>
      </c>
    </row>
    <row r="262" spans="22:63">
      <c r="V262" s="55">
        <f t="shared" ca="1" si="36"/>
        <v>1</v>
      </c>
      <c r="W262" s="64"/>
      <c r="X262" s="65"/>
      <c r="Y262" s="65"/>
      <c r="Z262" s="65"/>
      <c r="AA262" s="64"/>
      <c r="AB262" s="65"/>
      <c r="AC262" s="64"/>
      <c r="AD262" s="65"/>
      <c r="AE262" s="64"/>
      <c r="AF262" s="65"/>
      <c r="AG262" s="65"/>
      <c r="AH262" s="66" t="str">
        <f t="shared" si="37"/>
        <v/>
      </c>
      <c r="AI262" s="64"/>
      <c r="AJ262" s="65"/>
      <c r="AK262" s="64"/>
      <c r="AL262" s="65"/>
      <c r="BB262" s="55" t="str">
        <f t="shared" si="38"/>
        <v/>
      </c>
      <c r="BC262" s="55" t="str">
        <f t="shared" si="39"/>
        <v/>
      </c>
      <c r="BD262" s="55" t="str">
        <f t="shared" si="40"/>
        <v/>
      </c>
      <c r="BE262" s="55" t="str">
        <f t="shared" si="41"/>
        <v/>
      </c>
      <c r="BF262" s="55" t="str">
        <f t="shared" si="42"/>
        <v/>
      </c>
      <c r="BG262" s="55" t="str">
        <f t="shared" si="43"/>
        <v/>
      </c>
      <c r="BH262" s="55" t="str">
        <f t="shared" si="44"/>
        <v/>
      </c>
      <c r="BI262" s="55" t="str">
        <f t="shared" si="45"/>
        <v/>
      </c>
      <c r="BJ262" s="55" t="str">
        <f t="shared" si="46"/>
        <v/>
      </c>
      <c r="BK262" s="55" t="str">
        <f t="shared" si="47"/>
        <v/>
      </c>
    </row>
    <row r="263" spans="22:63">
      <c r="V263" s="55">
        <f t="shared" ca="1" si="36"/>
        <v>1</v>
      </c>
      <c r="W263" s="64"/>
      <c r="X263" s="65"/>
      <c r="Y263" s="65"/>
      <c r="Z263" s="65"/>
      <c r="AA263" s="64"/>
      <c r="AB263" s="65"/>
      <c r="AC263" s="64"/>
      <c r="AD263" s="65"/>
      <c r="AE263" s="64"/>
      <c r="AF263" s="65"/>
      <c r="AG263" s="65"/>
      <c r="AH263" s="66" t="str">
        <f t="shared" si="37"/>
        <v/>
      </c>
      <c r="AI263" s="64"/>
      <c r="AJ263" s="65"/>
      <c r="AK263" s="64"/>
      <c r="AL263" s="65"/>
      <c r="BB263" s="55" t="str">
        <f t="shared" si="38"/>
        <v/>
      </c>
      <c r="BC263" s="55" t="str">
        <f t="shared" si="39"/>
        <v/>
      </c>
      <c r="BD263" s="55" t="str">
        <f t="shared" si="40"/>
        <v/>
      </c>
      <c r="BE263" s="55" t="str">
        <f t="shared" si="41"/>
        <v/>
      </c>
      <c r="BF263" s="55" t="str">
        <f t="shared" si="42"/>
        <v/>
      </c>
      <c r="BG263" s="55" t="str">
        <f t="shared" si="43"/>
        <v/>
      </c>
      <c r="BH263" s="55" t="str">
        <f t="shared" si="44"/>
        <v/>
      </c>
      <c r="BI263" s="55" t="str">
        <f t="shared" si="45"/>
        <v/>
      </c>
      <c r="BJ263" s="55" t="str">
        <f t="shared" si="46"/>
        <v/>
      </c>
      <c r="BK263" s="55" t="str">
        <f t="shared" si="47"/>
        <v/>
      </c>
    </row>
    <row r="264" spans="22:63">
      <c r="V264" s="55">
        <f t="shared" ca="1" si="36"/>
        <v>1</v>
      </c>
      <c r="W264" s="64"/>
      <c r="X264" s="65"/>
      <c r="Y264" s="65"/>
      <c r="Z264" s="65"/>
      <c r="AA264" s="64"/>
      <c r="AB264" s="65"/>
      <c r="AC264" s="64"/>
      <c r="AD264" s="65"/>
      <c r="AE264" s="64"/>
      <c r="AF264" s="65"/>
      <c r="AG264" s="65"/>
      <c r="AH264" s="66" t="str">
        <f t="shared" si="37"/>
        <v/>
      </c>
      <c r="AI264" s="64"/>
      <c r="AJ264" s="65"/>
      <c r="AK264" s="64"/>
      <c r="AL264" s="65"/>
      <c r="BB264" s="55" t="str">
        <f t="shared" si="38"/>
        <v/>
      </c>
      <c r="BC264" s="55" t="str">
        <f t="shared" si="39"/>
        <v/>
      </c>
      <c r="BD264" s="55" t="str">
        <f t="shared" si="40"/>
        <v/>
      </c>
      <c r="BE264" s="55" t="str">
        <f t="shared" si="41"/>
        <v/>
      </c>
      <c r="BF264" s="55" t="str">
        <f t="shared" si="42"/>
        <v/>
      </c>
      <c r="BG264" s="55" t="str">
        <f t="shared" si="43"/>
        <v/>
      </c>
      <c r="BH264" s="55" t="str">
        <f t="shared" si="44"/>
        <v/>
      </c>
      <c r="BI264" s="55" t="str">
        <f t="shared" si="45"/>
        <v/>
      </c>
      <c r="BJ264" s="55" t="str">
        <f t="shared" si="46"/>
        <v/>
      </c>
      <c r="BK264" s="55" t="str">
        <f t="shared" si="47"/>
        <v/>
      </c>
    </row>
    <row r="265" spans="22:63">
      <c r="V265" s="55">
        <f t="shared" ca="1" si="36"/>
        <v>1</v>
      </c>
      <c r="W265" s="64"/>
      <c r="X265" s="65"/>
      <c r="Y265" s="65"/>
      <c r="Z265" s="65"/>
      <c r="AA265" s="64"/>
      <c r="AB265" s="65"/>
      <c r="AC265" s="64"/>
      <c r="AD265" s="65"/>
      <c r="AE265" s="64"/>
      <c r="AF265" s="65"/>
      <c r="AG265" s="65"/>
      <c r="AH265" s="66" t="str">
        <f t="shared" si="37"/>
        <v/>
      </c>
      <c r="AI265" s="64"/>
      <c r="AJ265" s="65"/>
      <c r="AK265" s="64"/>
      <c r="AL265" s="65"/>
      <c r="BB265" s="55" t="str">
        <f t="shared" si="38"/>
        <v/>
      </c>
      <c r="BC265" s="55" t="str">
        <f t="shared" si="39"/>
        <v/>
      </c>
      <c r="BD265" s="55" t="str">
        <f t="shared" si="40"/>
        <v/>
      </c>
      <c r="BE265" s="55" t="str">
        <f t="shared" si="41"/>
        <v/>
      </c>
      <c r="BF265" s="55" t="str">
        <f t="shared" si="42"/>
        <v/>
      </c>
      <c r="BG265" s="55" t="str">
        <f t="shared" si="43"/>
        <v/>
      </c>
      <c r="BH265" s="55" t="str">
        <f t="shared" si="44"/>
        <v/>
      </c>
      <c r="BI265" s="55" t="str">
        <f t="shared" si="45"/>
        <v/>
      </c>
      <c r="BJ265" s="55" t="str">
        <f t="shared" si="46"/>
        <v/>
      </c>
      <c r="BK265" s="55" t="str">
        <f t="shared" si="47"/>
        <v/>
      </c>
    </row>
    <row r="266" spans="22:63">
      <c r="V266" s="55">
        <f t="shared" ca="1" si="36"/>
        <v>1</v>
      </c>
      <c r="W266" s="64"/>
      <c r="X266" s="65"/>
      <c r="Y266" s="65"/>
      <c r="Z266" s="65"/>
      <c r="AA266" s="64"/>
      <c r="AB266" s="65"/>
      <c r="AC266" s="64"/>
      <c r="AD266" s="65"/>
      <c r="AE266" s="64"/>
      <c r="AF266" s="65"/>
      <c r="AG266" s="65"/>
      <c r="AH266" s="66" t="str">
        <f t="shared" si="37"/>
        <v/>
      </c>
      <c r="AI266" s="64"/>
      <c r="AJ266" s="65"/>
      <c r="AK266" s="64"/>
      <c r="AL266" s="65"/>
      <c r="BB266" s="55" t="str">
        <f t="shared" si="38"/>
        <v/>
      </c>
      <c r="BC266" s="55" t="str">
        <f t="shared" si="39"/>
        <v/>
      </c>
      <c r="BD266" s="55" t="str">
        <f t="shared" si="40"/>
        <v/>
      </c>
      <c r="BE266" s="55" t="str">
        <f t="shared" si="41"/>
        <v/>
      </c>
      <c r="BF266" s="55" t="str">
        <f t="shared" si="42"/>
        <v/>
      </c>
      <c r="BG266" s="55" t="str">
        <f t="shared" si="43"/>
        <v/>
      </c>
      <c r="BH266" s="55" t="str">
        <f t="shared" si="44"/>
        <v/>
      </c>
      <c r="BI266" s="55" t="str">
        <f t="shared" si="45"/>
        <v/>
      </c>
      <c r="BJ266" s="55" t="str">
        <f t="shared" si="46"/>
        <v/>
      </c>
      <c r="BK266" s="55" t="str">
        <f t="shared" si="47"/>
        <v/>
      </c>
    </row>
    <row r="267" spans="22:63">
      <c r="V267" s="55">
        <f t="shared" ref="V267:V330" ca="1" si="48">IF(ISBLANK($W267),IF(ISNUMBER(INDIRECT("S"&amp;ROW($V267)-1)),INDIRECT("S"&amp;ROW($V267)-1),1),$W267)</f>
        <v>1</v>
      </c>
      <c r="W267" s="64"/>
      <c r="X267" s="65"/>
      <c r="Y267" s="65"/>
      <c r="Z267" s="65"/>
      <c r="AA267" s="64"/>
      <c r="AB267" s="65"/>
      <c r="AC267" s="64"/>
      <c r="AD267" s="65"/>
      <c r="AE267" s="64"/>
      <c r="AF267" s="65"/>
      <c r="AG267" s="65"/>
      <c r="AH267" s="66" t="str">
        <f t="shared" ref="AH267:AH330" si="49">IF(ISNUMBER($BI267), $BH267&amp;" - "&amp;$BJ267,"")</f>
        <v/>
      </c>
      <c r="AI267" s="64"/>
      <c r="AJ267" s="65"/>
      <c r="AK267" s="64"/>
      <c r="AL267" s="65"/>
      <c r="BB267" s="55" t="str">
        <f t="shared" ref="BB267:BB330" si="50">IF(ISBLANK($Z267),"",VLOOKUP($Z267,$A$11:$B$1010,2,FALSE))</f>
        <v/>
      </c>
      <c r="BC267" s="55" t="str">
        <f t="shared" ref="BC267:BC330" si="51">IF(ISBLANK($AA267),"",VLOOKUP($AA267,$D$11:$E$1010,2,FALSE))</f>
        <v/>
      </c>
      <c r="BD267" s="55" t="str">
        <f t="shared" ref="BD267:BD330" si="52">IF(ISBLANK($AC267),"",VLOOKUP($AC267,$H$11:$I$1010,2,FALSE))</f>
        <v/>
      </c>
      <c r="BE267" s="55" t="str">
        <f t="shared" ref="BE267:BE330" si="53">IF(ISBLANK($AF267),"",VLOOKUP($AF267,$L$11:$M$1010,2,FALSE))</f>
        <v/>
      </c>
      <c r="BF267" s="55" t="str">
        <f t="shared" ref="BF267:BF330" si="54">IF(ISNUMBER($BC267),VLOOKUP($BC267,$E$11:$F$1010,2,FALSE),"")</f>
        <v/>
      </c>
      <c r="BG267" s="55" t="str">
        <f t="shared" ref="BG267:BG330" si="55">IF(ISNUMBER($BD267),VLOOKUP($BD267,$I$11:$J$1010,2,FALSE),"")</f>
        <v/>
      </c>
      <c r="BH267" s="55" t="str">
        <f t="shared" ref="BH267:BH330" si="56">IF(AND(ISNUMBER($BF267),ISNUMBER($BG267)),$BF267*$BG267,"")</f>
        <v/>
      </c>
      <c r="BI267" s="55" t="str">
        <f t="shared" ref="BI267:BI330" si="57">IF(ISNUMBER($BH267),LOOKUP($BH267,lower_limit_level_risiko,id_level_risiko),"")</f>
        <v/>
      </c>
      <c r="BJ267" s="55" t="str">
        <f t="shared" ref="BJ267:BJ330" si="58">IF(ISNUMBER($BH267),LOOKUP($BH267,lower_limit_level_risiko,description_level_risiko),"")</f>
        <v/>
      </c>
      <c r="BK267" s="55" t="str">
        <f t="shared" ref="BK267:BK330" si="59">IF(ISBLANK($X267),"",VLOOKUP($X267,$T$11:$U$1010,2,FALSE))</f>
        <v/>
      </c>
    </row>
    <row r="268" spans="22:63">
      <c r="V268" s="55">
        <f t="shared" ca="1" si="48"/>
        <v>1</v>
      </c>
      <c r="W268" s="64"/>
      <c r="X268" s="65"/>
      <c r="Y268" s="65"/>
      <c r="Z268" s="65"/>
      <c r="AA268" s="64"/>
      <c r="AB268" s="65"/>
      <c r="AC268" s="64"/>
      <c r="AD268" s="65"/>
      <c r="AE268" s="64"/>
      <c r="AF268" s="65"/>
      <c r="AG268" s="65"/>
      <c r="AH268" s="66" t="str">
        <f t="shared" si="49"/>
        <v/>
      </c>
      <c r="AI268" s="64"/>
      <c r="AJ268" s="65"/>
      <c r="AK268" s="64"/>
      <c r="AL268" s="65"/>
      <c r="BB268" s="55" t="str">
        <f t="shared" si="50"/>
        <v/>
      </c>
      <c r="BC268" s="55" t="str">
        <f t="shared" si="51"/>
        <v/>
      </c>
      <c r="BD268" s="55" t="str">
        <f t="shared" si="52"/>
        <v/>
      </c>
      <c r="BE268" s="55" t="str">
        <f t="shared" si="53"/>
        <v/>
      </c>
      <c r="BF268" s="55" t="str">
        <f t="shared" si="54"/>
        <v/>
      </c>
      <c r="BG268" s="55" t="str">
        <f t="shared" si="55"/>
        <v/>
      </c>
      <c r="BH268" s="55" t="str">
        <f t="shared" si="56"/>
        <v/>
      </c>
      <c r="BI268" s="55" t="str">
        <f t="shared" si="57"/>
        <v/>
      </c>
      <c r="BJ268" s="55" t="str">
        <f t="shared" si="58"/>
        <v/>
      </c>
      <c r="BK268" s="55" t="str">
        <f t="shared" si="59"/>
        <v/>
      </c>
    </row>
    <row r="269" spans="22:63">
      <c r="V269" s="55">
        <f t="shared" ca="1" si="48"/>
        <v>1</v>
      </c>
      <c r="W269" s="64"/>
      <c r="X269" s="65"/>
      <c r="Y269" s="65"/>
      <c r="Z269" s="65"/>
      <c r="AA269" s="64"/>
      <c r="AB269" s="65"/>
      <c r="AC269" s="64"/>
      <c r="AD269" s="65"/>
      <c r="AE269" s="64"/>
      <c r="AF269" s="65"/>
      <c r="AG269" s="65"/>
      <c r="AH269" s="66" t="str">
        <f t="shared" si="49"/>
        <v/>
      </c>
      <c r="AI269" s="64"/>
      <c r="AJ269" s="65"/>
      <c r="AK269" s="64"/>
      <c r="AL269" s="65"/>
      <c r="BB269" s="55" t="str">
        <f t="shared" si="50"/>
        <v/>
      </c>
      <c r="BC269" s="55" t="str">
        <f t="shared" si="51"/>
        <v/>
      </c>
      <c r="BD269" s="55" t="str">
        <f t="shared" si="52"/>
        <v/>
      </c>
      <c r="BE269" s="55" t="str">
        <f t="shared" si="53"/>
        <v/>
      </c>
      <c r="BF269" s="55" t="str">
        <f t="shared" si="54"/>
        <v/>
      </c>
      <c r="BG269" s="55" t="str">
        <f t="shared" si="55"/>
        <v/>
      </c>
      <c r="BH269" s="55" t="str">
        <f t="shared" si="56"/>
        <v/>
      </c>
      <c r="BI269" s="55" t="str">
        <f t="shared" si="57"/>
        <v/>
      </c>
      <c r="BJ269" s="55" t="str">
        <f t="shared" si="58"/>
        <v/>
      </c>
      <c r="BK269" s="55" t="str">
        <f t="shared" si="59"/>
        <v/>
      </c>
    </row>
    <row r="270" spans="22:63">
      <c r="V270" s="55">
        <f t="shared" ca="1" si="48"/>
        <v>1</v>
      </c>
      <c r="W270" s="64"/>
      <c r="X270" s="65"/>
      <c r="Y270" s="65"/>
      <c r="Z270" s="65"/>
      <c r="AA270" s="64"/>
      <c r="AB270" s="65"/>
      <c r="AC270" s="64"/>
      <c r="AD270" s="65"/>
      <c r="AE270" s="64"/>
      <c r="AF270" s="65"/>
      <c r="AG270" s="65"/>
      <c r="AH270" s="66" t="str">
        <f t="shared" si="49"/>
        <v/>
      </c>
      <c r="AI270" s="64"/>
      <c r="AJ270" s="65"/>
      <c r="AK270" s="64"/>
      <c r="AL270" s="65"/>
      <c r="BB270" s="55" t="str">
        <f t="shared" si="50"/>
        <v/>
      </c>
      <c r="BC270" s="55" t="str">
        <f t="shared" si="51"/>
        <v/>
      </c>
      <c r="BD270" s="55" t="str">
        <f t="shared" si="52"/>
        <v/>
      </c>
      <c r="BE270" s="55" t="str">
        <f t="shared" si="53"/>
        <v/>
      </c>
      <c r="BF270" s="55" t="str">
        <f t="shared" si="54"/>
        <v/>
      </c>
      <c r="BG270" s="55" t="str">
        <f t="shared" si="55"/>
        <v/>
      </c>
      <c r="BH270" s="55" t="str">
        <f t="shared" si="56"/>
        <v/>
      </c>
      <c r="BI270" s="55" t="str">
        <f t="shared" si="57"/>
        <v/>
      </c>
      <c r="BJ270" s="55" t="str">
        <f t="shared" si="58"/>
        <v/>
      </c>
      <c r="BK270" s="55" t="str">
        <f t="shared" si="59"/>
        <v/>
      </c>
    </row>
    <row r="271" spans="22:63">
      <c r="V271" s="55">
        <f t="shared" ca="1" si="48"/>
        <v>1</v>
      </c>
      <c r="W271" s="64"/>
      <c r="X271" s="65"/>
      <c r="Y271" s="65"/>
      <c r="Z271" s="65"/>
      <c r="AA271" s="64"/>
      <c r="AB271" s="65"/>
      <c r="AC271" s="64"/>
      <c r="AD271" s="65"/>
      <c r="AE271" s="64"/>
      <c r="AF271" s="65"/>
      <c r="AG271" s="65"/>
      <c r="AH271" s="66" t="str">
        <f t="shared" si="49"/>
        <v/>
      </c>
      <c r="AI271" s="64"/>
      <c r="AJ271" s="65"/>
      <c r="AK271" s="64"/>
      <c r="AL271" s="65"/>
      <c r="BB271" s="55" t="str">
        <f t="shared" si="50"/>
        <v/>
      </c>
      <c r="BC271" s="55" t="str">
        <f t="shared" si="51"/>
        <v/>
      </c>
      <c r="BD271" s="55" t="str">
        <f t="shared" si="52"/>
        <v/>
      </c>
      <c r="BE271" s="55" t="str">
        <f t="shared" si="53"/>
        <v/>
      </c>
      <c r="BF271" s="55" t="str">
        <f t="shared" si="54"/>
        <v/>
      </c>
      <c r="BG271" s="55" t="str">
        <f t="shared" si="55"/>
        <v/>
      </c>
      <c r="BH271" s="55" t="str">
        <f t="shared" si="56"/>
        <v/>
      </c>
      <c r="BI271" s="55" t="str">
        <f t="shared" si="57"/>
        <v/>
      </c>
      <c r="BJ271" s="55" t="str">
        <f t="shared" si="58"/>
        <v/>
      </c>
      <c r="BK271" s="55" t="str">
        <f t="shared" si="59"/>
        <v/>
      </c>
    </row>
    <row r="272" spans="22:63">
      <c r="V272" s="55">
        <f t="shared" ca="1" si="48"/>
        <v>1</v>
      </c>
      <c r="W272" s="64"/>
      <c r="X272" s="65"/>
      <c r="Y272" s="65"/>
      <c r="Z272" s="65"/>
      <c r="AA272" s="64"/>
      <c r="AB272" s="65"/>
      <c r="AC272" s="64"/>
      <c r="AD272" s="65"/>
      <c r="AE272" s="64"/>
      <c r="AF272" s="65"/>
      <c r="AG272" s="65"/>
      <c r="AH272" s="66" t="str">
        <f t="shared" si="49"/>
        <v/>
      </c>
      <c r="AI272" s="64"/>
      <c r="AJ272" s="65"/>
      <c r="AK272" s="64"/>
      <c r="AL272" s="65"/>
      <c r="BB272" s="55" t="str">
        <f t="shared" si="50"/>
        <v/>
      </c>
      <c r="BC272" s="55" t="str">
        <f t="shared" si="51"/>
        <v/>
      </c>
      <c r="BD272" s="55" t="str">
        <f t="shared" si="52"/>
        <v/>
      </c>
      <c r="BE272" s="55" t="str">
        <f t="shared" si="53"/>
        <v/>
      </c>
      <c r="BF272" s="55" t="str">
        <f t="shared" si="54"/>
        <v/>
      </c>
      <c r="BG272" s="55" t="str">
        <f t="shared" si="55"/>
        <v/>
      </c>
      <c r="BH272" s="55" t="str">
        <f t="shared" si="56"/>
        <v/>
      </c>
      <c r="BI272" s="55" t="str">
        <f t="shared" si="57"/>
        <v/>
      </c>
      <c r="BJ272" s="55" t="str">
        <f t="shared" si="58"/>
        <v/>
      </c>
      <c r="BK272" s="55" t="str">
        <f t="shared" si="59"/>
        <v/>
      </c>
    </row>
    <row r="273" spans="22:63">
      <c r="V273" s="55">
        <f t="shared" ca="1" si="48"/>
        <v>1</v>
      </c>
      <c r="W273" s="64"/>
      <c r="X273" s="65"/>
      <c r="Y273" s="65"/>
      <c r="Z273" s="65"/>
      <c r="AA273" s="64"/>
      <c r="AB273" s="65"/>
      <c r="AC273" s="64"/>
      <c r="AD273" s="65"/>
      <c r="AE273" s="64"/>
      <c r="AF273" s="65"/>
      <c r="AG273" s="65"/>
      <c r="AH273" s="66" t="str">
        <f t="shared" si="49"/>
        <v/>
      </c>
      <c r="AI273" s="64"/>
      <c r="AJ273" s="65"/>
      <c r="AK273" s="64"/>
      <c r="AL273" s="65"/>
      <c r="BB273" s="55" t="str">
        <f t="shared" si="50"/>
        <v/>
      </c>
      <c r="BC273" s="55" t="str">
        <f t="shared" si="51"/>
        <v/>
      </c>
      <c r="BD273" s="55" t="str">
        <f t="shared" si="52"/>
        <v/>
      </c>
      <c r="BE273" s="55" t="str">
        <f t="shared" si="53"/>
        <v/>
      </c>
      <c r="BF273" s="55" t="str">
        <f t="shared" si="54"/>
        <v/>
      </c>
      <c r="BG273" s="55" t="str">
        <f t="shared" si="55"/>
        <v/>
      </c>
      <c r="BH273" s="55" t="str">
        <f t="shared" si="56"/>
        <v/>
      </c>
      <c r="BI273" s="55" t="str">
        <f t="shared" si="57"/>
        <v/>
      </c>
      <c r="BJ273" s="55" t="str">
        <f t="shared" si="58"/>
        <v/>
      </c>
      <c r="BK273" s="55" t="str">
        <f t="shared" si="59"/>
        <v/>
      </c>
    </row>
    <row r="274" spans="22:63">
      <c r="V274" s="55">
        <f t="shared" ca="1" si="48"/>
        <v>1</v>
      </c>
      <c r="W274" s="64"/>
      <c r="X274" s="65"/>
      <c r="Y274" s="65"/>
      <c r="Z274" s="65"/>
      <c r="AA274" s="64"/>
      <c r="AB274" s="65"/>
      <c r="AC274" s="64"/>
      <c r="AD274" s="65"/>
      <c r="AE274" s="64"/>
      <c r="AF274" s="65"/>
      <c r="AG274" s="65"/>
      <c r="AH274" s="66" t="str">
        <f t="shared" si="49"/>
        <v/>
      </c>
      <c r="AI274" s="64"/>
      <c r="AJ274" s="65"/>
      <c r="AK274" s="64"/>
      <c r="AL274" s="65"/>
      <c r="BB274" s="55" t="str">
        <f t="shared" si="50"/>
        <v/>
      </c>
      <c r="BC274" s="55" t="str">
        <f t="shared" si="51"/>
        <v/>
      </c>
      <c r="BD274" s="55" t="str">
        <f t="shared" si="52"/>
        <v/>
      </c>
      <c r="BE274" s="55" t="str">
        <f t="shared" si="53"/>
        <v/>
      </c>
      <c r="BF274" s="55" t="str">
        <f t="shared" si="54"/>
        <v/>
      </c>
      <c r="BG274" s="55" t="str">
        <f t="shared" si="55"/>
        <v/>
      </c>
      <c r="BH274" s="55" t="str">
        <f t="shared" si="56"/>
        <v/>
      </c>
      <c r="BI274" s="55" t="str">
        <f t="shared" si="57"/>
        <v/>
      </c>
      <c r="BJ274" s="55" t="str">
        <f t="shared" si="58"/>
        <v/>
      </c>
      <c r="BK274" s="55" t="str">
        <f t="shared" si="59"/>
        <v/>
      </c>
    </row>
    <row r="275" spans="22:63">
      <c r="V275" s="55">
        <f t="shared" ca="1" si="48"/>
        <v>1</v>
      </c>
      <c r="W275" s="64"/>
      <c r="X275" s="65"/>
      <c r="Y275" s="65"/>
      <c r="Z275" s="65"/>
      <c r="AA275" s="64"/>
      <c r="AB275" s="65"/>
      <c r="AC275" s="64"/>
      <c r="AD275" s="65"/>
      <c r="AE275" s="64"/>
      <c r="AF275" s="65"/>
      <c r="AG275" s="65"/>
      <c r="AH275" s="66" t="str">
        <f t="shared" si="49"/>
        <v/>
      </c>
      <c r="AI275" s="64"/>
      <c r="AJ275" s="65"/>
      <c r="AK275" s="64"/>
      <c r="AL275" s="65"/>
      <c r="BB275" s="55" t="str">
        <f t="shared" si="50"/>
        <v/>
      </c>
      <c r="BC275" s="55" t="str">
        <f t="shared" si="51"/>
        <v/>
      </c>
      <c r="BD275" s="55" t="str">
        <f t="shared" si="52"/>
        <v/>
      </c>
      <c r="BE275" s="55" t="str">
        <f t="shared" si="53"/>
        <v/>
      </c>
      <c r="BF275" s="55" t="str">
        <f t="shared" si="54"/>
        <v/>
      </c>
      <c r="BG275" s="55" t="str">
        <f t="shared" si="55"/>
        <v/>
      </c>
      <c r="BH275" s="55" t="str">
        <f t="shared" si="56"/>
        <v/>
      </c>
      <c r="BI275" s="55" t="str">
        <f t="shared" si="57"/>
        <v/>
      </c>
      <c r="BJ275" s="55" t="str">
        <f t="shared" si="58"/>
        <v/>
      </c>
      <c r="BK275" s="55" t="str">
        <f t="shared" si="59"/>
        <v/>
      </c>
    </row>
    <row r="276" spans="22:63">
      <c r="V276" s="55">
        <f t="shared" ca="1" si="48"/>
        <v>1</v>
      </c>
      <c r="W276" s="64"/>
      <c r="X276" s="65"/>
      <c r="Y276" s="65"/>
      <c r="Z276" s="65"/>
      <c r="AA276" s="64"/>
      <c r="AB276" s="65"/>
      <c r="AC276" s="64"/>
      <c r="AD276" s="65"/>
      <c r="AE276" s="64"/>
      <c r="AF276" s="65"/>
      <c r="AG276" s="65"/>
      <c r="AH276" s="66" t="str">
        <f t="shared" si="49"/>
        <v/>
      </c>
      <c r="AI276" s="64"/>
      <c r="AJ276" s="65"/>
      <c r="AK276" s="64"/>
      <c r="AL276" s="65"/>
      <c r="BB276" s="55" t="str">
        <f t="shared" si="50"/>
        <v/>
      </c>
      <c r="BC276" s="55" t="str">
        <f t="shared" si="51"/>
        <v/>
      </c>
      <c r="BD276" s="55" t="str">
        <f t="shared" si="52"/>
        <v/>
      </c>
      <c r="BE276" s="55" t="str">
        <f t="shared" si="53"/>
        <v/>
      </c>
      <c r="BF276" s="55" t="str">
        <f t="shared" si="54"/>
        <v/>
      </c>
      <c r="BG276" s="55" t="str">
        <f t="shared" si="55"/>
        <v/>
      </c>
      <c r="BH276" s="55" t="str">
        <f t="shared" si="56"/>
        <v/>
      </c>
      <c r="BI276" s="55" t="str">
        <f t="shared" si="57"/>
        <v/>
      </c>
      <c r="BJ276" s="55" t="str">
        <f t="shared" si="58"/>
        <v/>
      </c>
      <c r="BK276" s="55" t="str">
        <f t="shared" si="59"/>
        <v/>
      </c>
    </row>
    <row r="277" spans="22:63">
      <c r="V277" s="55">
        <f t="shared" ca="1" si="48"/>
        <v>1</v>
      </c>
      <c r="W277" s="64"/>
      <c r="X277" s="65"/>
      <c r="Y277" s="65"/>
      <c r="Z277" s="65"/>
      <c r="AA277" s="64"/>
      <c r="AB277" s="65"/>
      <c r="AC277" s="64"/>
      <c r="AD277" s="65"/>
      <c r="AE277" s="64"/>
      <c r="AF277" s="65"/>
      <c r="AG277" s="65"/>
      <c r="AH277" s="66" t="str">
        <f t="shared" si="49"/>
        <v/>
      </c>
      <c r="AI277" s="64"/>
      <c r="AJ277" s="65"/>
      <c r="AK277" s="64"/>
      <c r="AL277" s="65"/>
      <c r="BB277" s="55" t="str">
        <f t="shared" si="50"/>
        <v/>
      </c>
      <c r="BC277" s="55" t="str">
        <f t="shared" si="51"/>
        <v/>
      </c>
      <c r="BD277" s="55" t="str">
        <f t="shared" si="52"/>
        <v/>
      </c>
      <c r="BE277" s="55" t="str">
        <f t="shared" si="53"/>
        <v/>
      </c>
      <c r="BF277" s="55" t="str">
        <f t="shared" si="54"/>
        <v/>
      </c>
      <c r="BG277" s="55" t="str">
        <f t="shared" si="55"/>
        <v/>
      </c>
      <c r="BH277" s="55" t="str">
        <f t="shared" si="56"/>
        <v/>
      </c>
      <c r="BI277" s="55" t="str">
        <f t="shared" si="57"/>
        <v/>
      </c>
      <c r="BJ277" s="55" t="str">
        <f t="shared" si="58"/>
        <v/>
      </c>
      <c r="BK277" s="55" t="str">
        <f t="shared" si="59"/>
        <v/>
      </c>
    </row>
    <row r="278" spans="22:63">
      <c r="V278" s="55">
        <f t="shared" ca="1" si="48"/>
        <v>1</v>
      </c>
      <c r="W278" s="64"/>
      <c r="X278" s="65"/>
      <c r="Y278" s="65"/>
      <c r="Z278" s="65"/>
      <c r="AA278" s="64"/>
      <c r="AB278" s="65"/>
      <c r="AC278" s="64"/>
      <c r="AD278" s="65"/>
      <c r="AE278" s="64"/>
      <c r="AF278" s="65"/>
      <c r="AG278" s="65"/>
      <c r="AH278" s="66" t="str">
        <f t="shared" si="49"/>
        <v/>
      </c>
      <c r="AI278" s="64"/>
      <c r="AJ278" s="65"/>
      <c r="AK278" s="64"/>
      <c r="AL278" s="65"/>
      <c r="BB278" s="55" t="str">
        <f t="shared" si="50"/>
        <v/>
      </c>
      <c r="BC278" s="55" t="str">
        <f t="shared" si="51"/>
        <v/>
      </c>
      <c r="BD278" s="55" t="str">
        <f t="shared" si="52"/>
        <v/>
      </c>
      <c r="BE278" s="55" t="str">
        <f t="shared" si="53"/>
        <v/>
      </c>
      <c r="BF278" s="55" t="str">
        <f t="shared" si="54"/>
        <v/>
      </c>
      <c r="BG278" s="55" t="str">
        <f t="shared" si="55"/>
        <v/>
      </c>
      <c r="BH278" s="55" t="str">
        <f t="shared" si="56"/>
        <v/>
      </c>
      <c r="BI278" s="55" t="str">
        <f t="shared" si="57"/>
        <v/>
      </c>
      <c r="BJ278" s="55" t="str">
        <f t="shared" si="58"/>
        <v/>
      </c>
      <c r="BK278" s="55" t="str">
        <f t="shared" si="59"/>
        <v/>
      </c>
    </row>
    <row r="279" spans="22:63">
      <c r="V279" s="55">
        <f t="shared" ca="1" si="48"/>
        <v>1</v>
      </c>
      <c r="W279" s="64"/>
      <c r="X279" s="65"/>
      <c r="Y279" s="65"/>
      <c r="Z279" s="65"/>
      <c r="AA279" s="64"/>
      <c r="AB279" s="65"/>
      <c r="AC279" s="64"/>
      <c r="AD279" s="65"/>
      <c r="AE279" s="64"/>
      <c r="AF279" s="65"/>
      <c r="AG279" s="65"/>
      <c r="AH279" s="66" t="str">
        <f t="shared" si="49"/>
        <v/>
      </c>
      <c r="AI279" s="64"/>
      <c r="AJ279" s="65"/>
      <c r="AK279" s="64"/>
      <c r="AL279" s="65"/>
      <c r="BB279" s="55" t="str">
        <f t="shared" si="50"/>
        <v/>
      </c>
      <c r="BC279" s="55" t="str">
        <f t="shared" si="51"/>
        <v/>
      </c>
      <c r="BD279" s="55" t="str">
        <f t="shared" si="52"/>
        <v/>
      </c>
      <c r="BE279" s="55" t="str">
        <f t="shared" si="53"/>
        <v/>
      </c>
      <c r="BF279" s="55" t="str">
        <f t="shared" si="54"/>
        <v/>
      </c>
      <c r="BG279" s="55" t="str">
        <f t="shared" si="55"/>
        <v/>
      </c>
      <c r="BH279" s="55" t="str">
        <f t="shared" si="56"/>
        <v/>
      </c>
      <c r="BI279" s="55" t="str">
        <f t="shared" si="57"/>
        <v/>
      </c>
      <c r="BJ279" s="55" t="str">
        <f t="shared" si="58"/>
        <v/>
      </c>
      <c r="BK279" s="55" t="str">
        <f t="shared" si="59"/>
        <v/>
      </c>
    </row>
    <row r="280" spans="22:63">
      <c r="V280" s="55">
        <f t="shared" ca="1" si="48"/>
        <v>1</v>
      </c>
      <c r="W280" s="64"/>
      <c r="X280" s="65"/>
      <c r="Y280" s="65"/>
      <c r="Z280" s="65"/>
      <c r="AA280" s="64"/>
      <c r="AB280" s="65"/>
      <c r="AC280" s="64"/>
      <c r="AD280" s="65"/>
      <c r="AE280" s="64"/>
      <c r="AF280" s="65"/>
      <c r="AG280" s="65"/>
      <c r="AH280" s="66" t="str">
        <f t="shared" si="49"/>
        <v/>
      </c>
      <c r="AI280" s="64"/>
      <c r="AJ280" s="65"/>
      <c r="AK280" s="64"/>
      <c r="AL280" s="65"/>
      <c r="BB280" s="55" t="str">
        <f t="shared" si="50"/>
        <v/>
      </c>
      <c r="BC280" s="55" t="str">
        <f t="shared" si="51"/>
        <v/>
      </c>
      <c r="BD280" s="55" t="str">
        <f t="shared" si="52"/>
        <v/>
      </c>
      <c r="BE280" s="55" t="str">
        <f t="shared" si="53"/>
        <v/>
      </c>
      <c r="BF280" s="55" t="str">
        <f t="shared" si="54"/>
        <v/>
      </c>
      <c r="BG280" s="55" t="str">
        <f t="shared" si="55"/>
        <v/>
      </c>
      <c r="BH280" s="55" t="str">
        <f t="shared" si="56"/>
        <v/>
      </c>
      <c r="BI280" s="55" t="str">
        <f t="shared" si="57"/>
        <v/>
      </c>
      <c r="BJ280" s="55" t="str">
        <f t="shared" si="58"/>
        <v/>
      </c>
      <c r="BK280" s="55" t="str">
        <f t="shared" si="59"/>
        <v/>
      </c>
    </row>
    <row r="281" spans="22:63">
      <c r="V281" s="55">
        <f t="shared" ca="1" si="48"/>
        <v>1</v>
      </c>
      <c r="W281" s="64"/>
      <c r="X281" s="65"/>
      <c r="Y281" s="65"/>
      <c r="Z281" s="65"/>
      <c r="AA281" s="64"/>
      <c r="AB281" s="65"/>
      <c r="AC281" s="64"/>
      <c r="AD281" s="65"/>
      <c r="AE281" s="64"/>
      <c r="AF281" s="65"/>
      <c r="AG281" s="65"/>
      <c r="AH281" s="66" t="str">
        <f t="shared" si="49"/>
        <v/>
      </c>
      <c r="AI281" s="64"/>
      <c r="AJ281" s="65"/>
      <c r="AK281" s="64"/>
      <c r="AL281" s="65"/>
      <c r="BB281" s="55" t="str">
        <f t="shared" si="50"/>
        <v/>
      </c>
      <c r="BC281" s="55" t="str">
        <f t="shared" si="51"/>
        <v/>
      </c>
      <c r="BD281" s="55" t="str">
        <f t="shared" si="52"/>
        <v/>
      </c>
      <c r="BE281" s="55" t="str">
        <f t="shared" si="53"/>
        <v/>
      </c>
      <c r="BF281" s="55" t="str">
        <f t="shared" si="54"/>
        <v/>
      </c>
      <c r="BG281" s="55" t="str">
        <f t="shared" si="55"/>
        <v/>
      </c>
      <c r="BH281" s="55" t="str">
        <f t="shared" si="56"/>
        <v/>
      </c>
      <c r="BI281" s="55" t="str">
        <f t="shared" si="57"/>
        <v/>
      </c>
      <c r="BJ281" s="55" t="str">
        <f t="shared" si="58"/>
        <v/>
      </c>
      <c r="BK281" s="55" t="str">
        <f t="shared" si="59"/>
        <v/>
      </c>
    </row>
    <row r="282" spans="22:63">
      <c r="V282" s="55">
        <f t="shared" ca="1" si="48"/>
        <v>1</v>
      </c>
      <c r="W282" s="64"/>
      <c r="X282" s="65"/>
      <c r="Y282" s="65"/>
      <c r="Z282" s="65"/>
      <c r="AA282" s="64"/>
      <c r="AB282" s="65"/>
      <c r="AC282" s="64"/>
      <c r="AD282" s="65"/>
      <c r="AE282" s="64"/>
      <c r="AF282" s="65"/>
      <c r="AG282" s="65"/>
      <c r="AH282" s="66" t="str">
        <f t="shared" si="49"/>
        <v/>
      </c>
      <c r="AI282" s="64"/>
      <c r="AJ282" s="65"/>
      <c r="AK282" s="64"/>
      <c r="AL282" s="65"/>
      <c r="BB282" s="55" t="str">
        <f t="shared" si="50"/>
        <v/>
      </c>
      <c r="BC282" s="55" t="str">
        <f t="shared" si="51"/>
        <v/>
      </c>
      <c r="BD282" s="55" t="str">
        <f t="shared" si="52"/>
        <v/>
      </c>
      <c r="BE282" s="55" t="str">
        <f t="shared" si="53"/>
        <v/>
      </c>
      <c r="BF282" s="55" t="str">
        <f t="shared" si="54"/>
        <v/>
      </c>
      <c r="BG282" s="55" t="str">
        <f t="shared" si="55"/>
        <v/>
      </c>
      <c r="BH282" s="55" t="str">
        <f t="shared" si="56"/>
        <v/>
      </c>
      <c r="BI282" s="55" t="str">
        <f t="shared" si="57"/>
        <v/>
      </c>
      <c r="BJ282" s="55" t="str">
        <f t="shared" si="58"/>
        <v/>
      </c>
      <c r="BK282" s="55" t="str">
        <f t="shared" si="59"/>
        <v/>
      </c>
    </row>
    <row r="283" spans="22:63">
      <c r="V283" s="55">
        <f t="shared" ca="1" si="48"/>
        <v>1</v>
      </c>
      <c r="W283" s="64"/>
      <c r="X283" s="65"/>
      <c r="Y283" s="65"/>
      <c r="Z283" s="65"/>
      <c r="AA283" s="64"/>
      <c r="AB283" s="65"/>
      <c r="AC283" s="64"/>
      <c r="AD283" s="65"/>
      <c r="AE283" s="64"/>
      <c r="AF283" s="65"/>
      <c r="AG283" s="65"/>
      <c r="AH283" s="66" t="str">
        <f t="shared" si="49"/>
        <v/>
      </c>
      <c r="AI283" s="64"/>
      <c r="AJ283" s="65"/>
      <c r="AK283" s="64"/>
      <c r="AL283" s="65"/>
      <c r="BB283" s="55" t="str">
        <f t="shared" si="50"/>
        <v/>
      </c>
      <c r="BC283" s="55" t="str">
        <f t="shared" si="51"/>
        <v/>
      </c>
      <c r="BD283" s="55" t="str">
        <f t="shared" si="52"/>
        <v/>
      </c>
      <c r="BE283" s="55" t="str">
        <f t="shared" si="53"/>
        <v/>
      </c>
      <c r="BF283" s="55" t="str">
        <f t="shared" si="54"/>
        <v/>
      </c>
      <c r="BG283" s="55" t="str">
        <f t="shared" si="55"/>
        <v/>
      </c>
      <c r="BH283" s="55" t="str">
        <f t="shared" si="56"/>
        <v/>
      </c>
      <c r="BI283" s="55" t="str">
        <f t="shared" si="57"/>
        <v/>
      </c>
      <c r="BJ283" s="55" t="str">
        <f t="shared" si="58"/>
        <v/>
      </c>
      <c r="BK283" s="55" t="str">
        <f t="shared" si="59"/>
        <v/>
      </c>
    </row>
    <row r="284" spans="22:63">
      <c r="V284" s="55">
        <f t="shared" ca="1" si="48"/>
        <v>1</v>
      </c>
      <c r="W284" s="64"/>
      <c r="X284" s="65"/>
      <c r="Y284" s="65"/>
      <c r="Z284" s="65"/>
      <c r="AA284" s="64"/>
      <c r="AB284" s="65"/>
      <c r="AC284" s="64"/>
      <c r="AD284" s="65"/>
      <c r="AE284" s="64"/>
      <c r="AF284" s="65"/>
      <c r="AG284" s="65"/>
      <c r="AH284" s="66" t="str">
        <f t="shared" si="49"/>
        <v/>
      </c>
      <c r="AI284" s="64"/>
      <c r="AJ284" s="65"/>
      <c r="AK284" s="64"/>
      <c r="AL284" s="65"/>
      <c r="BB284" s="55" t="str">
        <f t="shared" si="50"/>
        <v/>
      </c>
      <c r="BC284" s="55" t="str">
        <f t="shared" si="51"/>
        <v/>
      </c>
      <c r="BD284" s="55" t="str">
        <f t="shared" si="52"/>
        <v/>
      </c>
      <c r="BE284" s="55" t="str">
        <f t="shared" si="53"/>
        <v/>
      </c>
      <c r="BF284" s="55" t="str">
        <f t="shared" si="54"/>
        <v/>
      </c>
      <c r="BG284" s="55" t="str">
        <f t="shared" si="55"/>
        <v/>
      </c>
      <c r="BH284" s="55" t="str">
        <f t="shared" si="56"/>
        <v/>
      </c>
      <c r="BI284" s="55" t="str">
        <f t="shared" si="57"/>
        <v/>
      </c>
      <c r="BJ284" s="55" t="str">
        <f t="shared" si="58"/>
        <v/>
      </c>
      <c r="BK284" s="55" t="str">
        <f t="shared" si="59"/>
        <v/>
      </c>
    </row>
    <row r="285" spans="22:63">
      <c r="V285" s="55">
        <f t="shared" ca="1" si="48"/>
        <v>1</v>
      </c>
      <c r="W285" s="64"/>
      <c r="X285" s="65"/>
      <c r="Y285" s="65"/>
      <c r="Z285" s="65"/>
      <c r="AA285" s="64"/>
      <c r="AB285" s="65"/>
      <c r="AC285" s="64"/>
      <c r="AD285" s="65"/>
      <c r="AE285" s="64"/>
      <c r="AF285" s="65"/>
      <c r="AG285" s="65"/>
      <c r="AH285" s="66" t="str">
        <f t="shared" si="49"/>
        <v/>
      </c>
      <c r="AI285" s="64"/>
      <c r="AJ285" s="65"/>
      <c r="AK285" s="64"/>
      <c r="AL285" s="65"/>
      <c r="BB285" s="55" t="str">
        <f t="shared" si="50"/>
        <v/>
      </c>
      <c r="BC285" s="55" t="str">
        <f t="shared" si="51"/>
        <v/>
      </c>
      <c r="BD285" s="55" t="str">
        <f t="shared" si="52"/>
        <v/>
      </c>
      <c r="BE285" s="55" t="str">
        <f t="shared" si="53"/>
        <v/>
      </c>
      <c r="BF285" s="55" t="str">
        <f t="shared" si="54"/>
        <v/>
      </c>
      <c r="BG285" s="55" t="str">
        <f t="shared" si="55"/>
        <v/>
      </c>
      <c r="BH285" s="55" t="str">
        <f t="shared" si="56"/>
        <v/>
      </c>
      <c r="BI285" s="55" t="str">
        <f t="shared" si="57"/>
        <v/>
      </c>
      <c r="BJ285" s="55" t="str">
        <f t="shared" si="58"/>
        <v/>
      </c>
      <c r="BK285" s="55" t="str">
        <f t="shared" si="59"/>
        <v/>
      </c>
    </row>
    <row r="286" spans="22:63">
      <c r="V286" s="55">
        <f t="shared" ca="1" si="48"/>
        <v>1</v>
      </c>
      <c r="W286" s="64"/>
      <c r="X286" s="65"/>
      <c r="Y286" s="65"/>
      <c r="Z286" s="65"/>
      <c r="AA286" s="64"/>
      <c r="AB286" s="65"/>
      <c r="AC286" s="64"/>
      <c r="AD286" s="65"/>
      <c r="AE286" s="64"/>
      <c r="AF286" s="65"/>
      <c r="AG286" s="65"/>
      <c r="AH286" s="66" t="str">
        <f t="shared" si="49"/>
        <v/>
      </c>
      <c r="AI286" s="64"/>
      <c r="AJ286" s="65"/>
      <c r="AK286" s="64"/>
      <c r="AL286" s="65"/>
      <c r="BB286" s="55" t="str">
        <f t="shared" si="50"/>
        <v/>
      </c>
      <c r="BC286" s="55" t="str">
        <f t="shared" si="51"/>
        <v/>
      </c>
      <c r="BD286" s="55" t="str">
        <f t="shared" si="52"/>
        <v/>
      </c>
      <c r="BE286" s="55" t="str">
        <f t="shared" si="53"/>
        <v/>
      </c>
      <c r="BF286" s="55" t="str">
        <f t="shared" si="54"/>
        <v/>
      </c>
      <c r="BG286" s="55" t="str">
        <f t="shared" si="55"/>
        <v/>
      </c>
      <c r="BH286" s="55" t="str">
        <f t="shared" si="56"/>
        <v/>
      </c>
      <c r="BI286" s="55" t="str">
        <f t="shared" si="57"/>
        <v/>
      </c>
      <c r="BJ286" s="55" t="str">
        <f t="shared" si="58"/>
        <v/>
      </c>
      <c r="BK286" s="55" t="str">
        <f t="shared" si="59"/>
        <v/>
      </c>
    </row>
    <row r="287" spans="22:63">
      <c r="V287" s="55">
        <f t="shared" ca="1" si="48"/>
        <v>1</v>
      </c>
      <c r="W287" s="64"/>
      <c r="X287" s="65"/>
      <c r="Y287" s="65"/>
      <c r="Z287" s="65"/>
      <c r="AA287" s="64"/>
      <c r="AB287" s="65"/>
      <c r="AC287" s="64"/>
      <c r="AD287" s="65"/>
      <c r="AE287" s="64"/>
      <c r="AF287" s="65"/>
      <c r="AG287" s="65"/>
      <c r="AH287" s="66" t="str">
        <f t="shared" si="49"/>
        <v/>
      </c>
      <c r="AI287" s="64"/>
      <c r="AJ287" s="65"/>
      <c r="AK287" s="64"/>
      <c r="AL287" s="65"/>
      <c r="BB287" s="55" t="str">
        <f t="shared" si="50"/>
        <v/>
      </c>
      <c r="BC287" s="55" t="str">
        <f t="shared" si="51"/>
        <v/>
      </c>
      <c r="BD287" s="55" t="str">
        <f t="shared" si="52"/>
        <v/>
      </c>
      <c r="BE287" s="55" t="str">
        <f t="shared" si="53"/>
        <v/>
      </c>
      <c r="BF287" s="55" t="str">
        <f t="shared" si="54"/>
        <v/>
      </c>
      <c r="BG287" s="55" t="str">
        <f t="shared" si="55"/>
        <v/>
      </c>
      <c r="BH287" s="55" t="str">
        <f t="shared" si="56"/>
        <v/>
      </c>
      <c r="BI287" s="55" t="str">
        <f t="shared" si="57"/>
        <v/>
      </c>
      <c r="BJ287" s="55" t="str">
        <f t="shared" si="58"/>
        <v/>
      </c>
      <c r="BK287" s="55" t="str">
        <f t="shared" si="59"/>
        <v/>
      </c>
    </row>
    <row r="288" spans="22:63">
      <c r="V288" s="55">
        <f t="shared" ca="1" si="48"/>
        <v>1</v>
      </c>
      <c r="W288" s="64"/>
      <c r="X288" s="65"/>
      <c r="Y288" s="65"/>
      <c r="Z288" s="65"/>
      <c r="AA288" s="64"/>
      <c r="AB288" s="65"/>
      <c r="AC288" s="64"/>
      <c r="AD288" s="65"/>
      <c r="AE288" s="64"/>
      <c r="AF288" s="65"/>
      <c r="AG288" s="65"/>
      <c r="AH288" s="66" t="str">
        <f t="shared" si="49"/>
        <v/>
      </c>
      <c r="AI288" s="64"/>
      <c r="AJ288" s="65"/>
      <c r="AK288" s="64"/>
      <c r="AL288" s="65"/>
      <c r="BB288" s="55" t="str">
        <f t="shared" si="50"/>
        <v/>
      </c>
      <c r="BC288" s="55" t="str">
        <f t="shared" si="51"/>
        <v/>
      </c>
      <c r="BD288" s="55" t="str">
        <f t="shared" si="52"/>
        <v/>
      </c>
      <c r="BE288" s="55" t="str">
        <f t="shared" si="53"/>
        <v/>
      </c>
      <c r="BF288" s="55" t="str">
        <f t="shared" si="54"/>
        <v/>
      </c>
      <c r="BG288" s="55" t="str">
        <f t="shared" si="55"/>
        <v/>
      </c>
      <c r="BH288" s="55" t="str">
        <f t="shared" si="56"/>
        <v/>
      </c>
      <c r="BI288" s="55" t="str">
        <f t="shared" si="57"/>
        <v/>
      </c>
      <c r="BJ288" s="55" t="str">
        <f t="shared" si="58"/>
        <v/>
      </c>
      <c r="BK288" s="55" t="str">
        <f t="shared" si="59"/>
        <v/>
      </c>
    </row>
    <row r="289" spans="22:63">
      <c r="V289" s="55">
        <f t="shared" ca="1" si="48"/>
        <v>1</v>
      </c>
      <c r="W289" s="64"/>
      <c r="X289" s="65"/>
      <c r="Y289" s="65"/>
      <c r="Z289" s="65"/>
      <c r="AA289" s="64"/>
      <c r="AB289" s="65"/>
      <c r="AC289" s="64"/>
      <c r="AD289" s="65"/>
      <c r="AE289" s="64"/>
      <c r="AF289" s="65"/>
      <c r="AG289" s="65"/>
      <c r="AH289" s="66" t="str">
        <f t="shared" si="49"/>
        <v/>
      </c>
      <c r="AI289" s="64"/>
      <c r="AJ289" s="65"/>
      <c r="AK289" s="64"/>
      <c r="AL289" s="65"/>
      <c r="BB289" s="55" t="str">
        <f t="shared" si="50"/>
        <v/>
      </c>
      <c r="BC289" s="55" t="str">
        <f t="shared" si="51"/>
        <v/>
      </c>
      <c r="BD289" s="55" t="str">
        <f t="shared" si="52"/>
        <v/>
      </c>
      <c r="BE289" s="55" t="str">
        <f t="shared" si="53"/>
        <v/>
      </c>
      <c r="BF289" s="55" t="str">
        <f t="shared" si="54"/>
        <v/>
      </c>
      <c r="BG289" s="55" t="str">
        <f t="shared" si="55"/>
        <v/>
      </c>
      <c r="BH289" s="55" t="str">
        <f t="shared" si="56"/>
        <v/>
      </c>
      <c r="BI289" s="55" t="str">
        <f t="shared" si="57"/>
        <v/>
      </c>
      <c r="BJ289" s="55" t="str">
        <f t="shared" si="58"/>
        <v/>
      </c>
      <c r="BK289" s="55" t="str">
        <f t="shared" si="59"/>
        <v/>
      </c>
    </row>
    <row r="290" spans="22:63">
      <c r="V290" s="55">
        <f t="shared" ca="1" si="48"/>
        <v>1</v>
      </c>
      <c r="W290" s="64"/>
      <c r="X290" s="65"/>
      <c r="Y290" s="65"/>
      <c r="Z290" s="65"/>
      <c r="AA290" s="64"/>
      <c r="AB290" s="65"/>
      <c r="AC290" s="64"/>
      <c r="AD290" s="65"/>
      <c r="AE290" s="64"/>
      <c r="AF290" s="65"/>
      <c r="AG290" s="65"/>
      <c r="AH290" s="66" t="str">
        <f t="shared" si="49"/>
        <v/>
      </c>
      <c r="AI290" s="64"/>
      <c r="AJ290" s="65"/>
      <c r="AK290" s="64"/>
      <c r="AL290" s="65"/>
      <c r="BB290" s="55" t="str">
        <f t="shared" si="50"/>
        <v/>
      </c>
      <c r="BC290" s="55" t="str">
        <f t="shared" si="51"/>
        <v/>
      </c>
      <c r="BD290" s="55" t="str">
        <f t="shared" si="52"/>
        <v/>
      </c>
      <c r="BE290" s="55" t="str">
        <f t="shared" si="53"/>
        <v/>
      </c>
      <c r="BF290" s="55" t="str">
        <f t="shared" si="54"/>
        <v/>
      </c>
      <c r="BG290" s="55" t="str">
        <f t="shared" si="55"/>
        <v/>
      </c>
      <c r="BH290" s="55" t="str">
        <f t="shared" si="56"/>
        <v/>
      </c>
      <c r="BI290" s="55" t="str">
        <f t="shared" si="57"/>
        <v/>
      </c>
      <c r="BJ290" s="55" t="str">
        <f t="shared" si="58"/>
        <v/>
      </c>
      <c r="BK290" s="55" t="str">
        <f t="shared" si="59"/>
        <v/>
      </c>
    </row>
    <row r="291" spans="22:63">
      <c r="V291" s="55">
        <f t="shared" ca="1" si="48"/>
        <v>1</v>
      </c>
      <c r="W291" s="64"/>
      <c r="X291" s="65"/>
      <c r="Y291" s="65"/>
      <c r="Z291" s="65"/>
      <c r="AA291" s="64"/>
      <c r="AB291" s="65"/>
      <c r="AC291" s="64"/>
      <c r="AD291" s="65"/>
      <c r="AE291" s="64"/>
      <c r="AF291" s="65"/>
      <c r="AG291" s="65"/>
      <c r="AH291" s="66" t="str">
        <f t="shared" si="49"/>
        <v/>
      </c>
      <c r="AI291" s="64"/>
      <c r="AJ291" s="65"/>
      <c r="AK291" s="64"/>
      <c r="AL291" s="65"/>
      <c r="BB291" s="55" t="str">
        <f t="shared" si="50"/>
        <v/>
      </c>
      <c r="BC291" s="55" t="str">
        <f t="shared" si="51"/>
        <v/>
      </c>
      <c r="BD291" s="55" t="str">
        <f t="shared" si="52"/>
        <v/>
      </c>
      <c r="BE291" s="55" t="str">
        <f t="shared" si="53"/>
        <v/>
      </c>
      <c r="BF291" s="55" t="str">
        <f t="shared" si="54"/>
        <v/>
      </c>
      <c r="BG291" s="55" t="str">
        <f t="shared" si="55"/>
        <v/>
      </c>
      <c r="BH291" s="55" t="str">
        <f t="shared" si="56"/>
        <v/>
      </c>
      <c r="BI291" s="55" t="str">
        <f t="shared" si="57"/>
        <v/>
      </c>
      <c r="BJ291" s="55" t="str">
        <f t="shared" si="58"/>
        <v/>
      </c>
      <c r="BK291" s="55" t="str">
        <f t="shared" si="59"/>
        <v/>
      </c>
    </row>
    <row r="292" spans="22:63">
      <c r="V292" s="55">
        <f t="shared" ca="1" si="48"/>
        <v>1</v>
      </c>
      <c r="W292" s="64"/>
      <c r="X292" s="65"/>
      <c r="Y292" s="65"/>
      <c r="Z292" s="65"/>
      <c r="AA292" s="64"/>
      <c r="AB292" s="65"/>
      <c r="AC292" s="64"/>
      <c r="AD292" s="65"/>
      <c r="AE292" s="64"/>
      <c r="AF292" s="65"/>
      <c r="AG292" s="65"/>
      <c r="AH292" s="66" t="str">
        <f t="shared" si="49"/>
        <v/>
      </c>
      <c r="AI292" s="64"/>
      <c r="AJ292" s="65"/>
      <c r="AK292" s="64"/>
      <c r="AL292" s="65"/>
      <c r="BB292" s="55" t="str">
        <f t="shared" si="50"/>
        <v/>
      </c>
      <c r="BC292" s="55" t="str">
        <f t="shared" si="51"/>
        <v/>
      </c>
      <c r="BD292" s="55" t="str">
        <f t="shared" si="52"/>
        <v/>
      </c>
      <c r="BE292" s="55" t="str">
        <f t="shared" si="53"/>
        <v/>
      </c>
      <c r="BF292" s="55" t="str">
        <f t="shared" si="54"/>
        <v/>
      </c>
      <c r="BG292" s="55" t="str">
        <f t="shared" si="55"/>
        <v/>
      </c>
      <c r="BH292" s="55" t="str">
        <f t="shared" si="56"/>
        <v/>
      </c>
      <c r="BI292" s="55" t="str">
        <f t="shared" si="57"/>
        <v/>
      </c>
      <c r="BJ292" s="55" t="str">
        <f t="shared" si="58"/>
        <v/>
      </c>
      <c r="BK292" s="55" t="str">
        <f t="shared" si="59"/>
        <v/>
      </c>
    </row>
    <row r="293" spans="22:63">
      <c r="V293" s="55">
        <f t="shared" ca="1" si="48"/>
        <v>1</v>
      </c>
      <c r="W293" s="64"/>
      <c r="X293" s="65"/>
      <c r="Y293" s="65"/>
      <c r="Z293" s="65"/>
      <c r="AA293" s="64"/>
      <c r="AB293" s="65"/>
      <c r="AC293" s="64"/>
      <c r="AD293" s="65"/>
      <c r="AE293" s="64"/>
      <c r="AF293" s="65"/>
      <c r="AG293" s="65"/>
      <c r="AH293" s="66" t="str">
        <f t="shared" si="49"/>
        <v/>
      </c>
      <c r="AI293" s="64"/>
      <c r="AJ293" s="65"/>
      <c r="AK293" s="64"/>
      <c r="AL293" s="65"/>
      <c r="BB293" s="55" t="str">
        <f t="shared" si="50"/>
        <v/>
      </c>
      <c r="BC293" s="55" t="str">
        <f t="shared" si="51"/>
        <v/>
      </c>
      <c r="BD293" s="55" t="str">
        <f t="shared" si="52"/>
        <v/>
      </c>
      <c r="BE293" s="55" t="str">
        <f t="shared" si="53"/>
        <v/>
      </c>
      <c r="BF293" s="55" t="str">
        <f t="shared" si="54"/>
        <v/>
      </c>
      <c r="BG293" s="55" t="str">
        <f t="shared" si="55"/>
        <v/>
      </c>
      <c r="BH293" s="55" t="str">
        <f t="shared" si="56"/>
        <v/>
      </c>
      <c r="BI293" s="55" t="str">
        <f t="shared" si="57"/>
        <v/>
      </c>
      <c r="BJ293" s="55" t="str">
        <f t="shared" si="58"/>
        <v/>
      </c>
      <c r="BK293" s="55" t="str">
        <f t="shared" si="59"/>
        <v/>
      </c>
    </row>
    <row r="294" spans="22:63">
      <c r="V294" s="55">
        <f t="shared" ca="1" si="48"/>
        <v>1</v>
      </c>
      <c r="W294" s="64"/>
      <c r="X294" s="65"/>
      <c r="Y294" s="65"/>
      <c r="Z294" s="65"/>
      <c r="AA294" s="64"/>
      <c r="AB294" s="65"/>
      <c r="AC294" s="64"/>
      <c r="AD294" s="65"/>
      <c r="AE294" s="64"/>
      <c r="AF294" s="65"/>
      <c r="AG294" s="65"/>
      <c r="AH294" s="66" t="str">
        <f t="shared" si="49"/>
        <v/>
      </c>
      <c r="AI294" s="64"/>
      <c r="AJ294" s="65"/>
      <c r="AK294" s="64"/>
      <c r="AL294" s="65"/>
      <c r="BB294" s="55" t="str">
        <f t="shared" si="50"/>
        <v/>
      </c>
      <c r="BC294" s="55" t="str">
        <f t="shared" si="51"/>
        <v/>
      </c>
      <c r="BD294" s="55" t="str">
        <f t="shared" si="52"/>
        <v/>
      </c>
      <c r="BE294" s="55" t="str">
        <f t="shared" si="53"/>
        <v/>
      </c>
      <c r="BF294" s="55" t="str">
        <f t="shared" si="54"/>
        <v/>
      </c>
      <c r="BG294" s="55" t="str">
        <f t="shared" si="55"/>
        <v/>
      </c>
      <c r="BH294" s="55" t="str">
        <f t="shared" si="56"/>
        <v/>
      </c>
      <c r="BI294" s="55" t="str">
        <f t="shared" si="57"/>
        <v/>
      </c>
      <c r="BJ294" s="55" t="str">
        <f t="shared" si="58"/>
        <v/>
      </c>
      <c r="BK294" s="55" t="str">
        <f t="shared" si="59"/>
        <v/>
      </c>
    </row>
    <row r="295" spans="22:63">
      <c r="V295" s="55">
        <f t="shared" ca="1" si="48"/>
        <v>1</v>
      </c>
      <c r="W295" s="64"/>
      <c r="X295" s="65"/>
      <c r="Y295" s="65"/>
      <c r="Z295" s="65"/>
      <c r="AA295" s="64"/>
      <c r="AB295" s="65"/>
      <c r="AC295" s="64"/>
      <c r="AD295" s="65"/>
      <c r="AE295" s="64"/>
      <c r="AF295" s="65"/>
      <c r="AG295" s="65"/>
      <c r="AH295" s="66" t="str">
        <f t="shared" si="49"/>
        <v/>
      </c>
      <c r="AI295" s="64"/>
      <c r="AJ295" s="65"/>
      <c r="AK295" s="64"/>
      <c r="AL295" s="65"/>
      <c r="BB295" s="55" t="str">
        <f t="shared" si="50"/>
        <v/>
      </c>
      <c r="BC295" s="55" t="str">
        <f t="shared" si="51"/>
        <v/>
      </c>
      <c r="BD295" s="55" t="str">
        <f t="shared" si="52"/>
        <v/>
      </c>
      <c r="BE295" s="55" t="str">
        <f t="shared" si="53"/>
        <v/>
      </c>
      <c r="BF295" s="55" t="str">
        <f t="shared" si="54"/>
        <v/>
      </c>
      <c r="BG295" s="55" t="str">
        <f t="shared" si="55"/>
        <v/>
      </c>
      <c r="BH295" s="55" t="str">
        <f t="shared" si="56"/>
        <v/>
      </c>
      <c r="BI295" s="55" t="str">
        <f t="shared" si="57"/>
        <v/>
      </c>
      <c r="BJ295" s="55" t="str">
        <f t="shared" si="58"/>
        <v/>
      </c>
      <c r="BK295" s="55" t="str">
        <f t="shared" si="59"/>
        <v/>
      </c>
    </row>
    <row r="296" spans="22:63">
      <c r="V296" s="55">
        <f t="shared" ca="1" si="48"/>
        <v>1</v>
      </c>
      <c r="W296" s="64"/>
      <c r="X296" s="65"/>
      <c r="Y296" s="65"/>
      <c r="Z296" s="65"/>
      <c r="AA296" s="64"/>
      <c r="AB296" s="65"/>
      <c r="AC296" s="64"/>
      <c r="AD296" s="65"/>
      <c r="AE296" s="64"/>
      <c r="AF296" s="65"/>
      <c r="AG296" s="65"/>
      <c r="AH296" s="66" t="str">
        <f t="shared" si="49"/>
        <v/>
      </c>
      <c r="AI296" s="64"/>
      <c r="AJ296" s="65"/>
      <c r="AK296" s="64"/>
      <c r="AL296" s="65"/>
      <c r="BB296" s="55" t="str">
        <f t="shared" si="50"/>
        <v/>
      </c>
      <c r="BC296" s="55" t="str">
        <f t="shared" si="51"/>
        <v/>
      </c>
      <c r="BD296" s="55" t="str">
        <f t="shared" si="52"/>
        <v/>
      </c>
      <c r="BE296" s="55" t="str">
        <f t="shared" si="53"/>
        <v/>
      </c>
      <c r="BF296" s="55" t="str">
        <f t="shared" si="54"/>
        <v/>
      </c>
      <c r="BG296" s="55" t="str">
        <f t="shared" si="55"/>
        <v/>
      </c>
      <c r="BH296" s="55" t="str">
        <f t="shared" si="56"/>
        <v/>
      </c>
      <c r="BI296" s="55" t="str">
        <f t="shared" si="57"/>
        <v/>
      </c>
      <c r="BJ296" s="55" t="str">
        <f t="shared" si="58"/>
        <v/>
      </c>
      <c r="BK296" s="55" t="str">
        <f t="shared" si="59"/>
        <v/>
      </c>
    </row>
    <row r="297" spans="22:63">
      <c r="V297" s="55">
        <f t="shared" ca="1" si="48"/>
        <v>1</v>
      </c>
      <c r="W297" s="64"/>
      <c r="X297" s="65"/>
      <c r="Y297" s="65"/>
      <c r="Z297" s="65"/>
      <c r="AA297" s="64"/>
      <c r="AB297" s="65"/>
      <c r="AC297" s="64"/>
      <c r="AD297" s="65"/>
      <c r="AE297" s="64"/>
      <c r="AF297" s="65"/>
      <c r="AG297" s="65"/>
      <c r="AH297" s="66" t="str">
        <f t="shared" si="49"/>
        <v/>
      </c>
      <c r="AI297" s="64"/>
      <c r="AJ297" s="65"/>
      <c r="AK297" s="64"/>
      <c r="AL297" s="65"/>
      <c r="BB297" s="55" t="str">
        <f t="shared" si="50"/>
        <v/>
      </c>
      <c r="BC297" s="55" t="str">
        <f t="shared" si="51"/>
        <v/>
      </c>
      <c r="BD297" s="55" t="str">
        <f t="shared" si="52"/>
        <v/>
      </c>
      <c r="BE297" s="55" t="str">
        <f t="shared" si="53"/>
        <v/>
      </c>
      <c r="BF297" s="55" t="str">
        <f t="shared" si="54"/>
        <v/>
      </c>
      <c r="BG297" s="55" t="str">
        <f t="shared" si="55"/>
        <v/>
      </c>
      <c r="BH297" s="55" t="str">
        <f t="shared" si="56"/>
        <v/>
      </c>
      <c r="BI297" s="55" t="str">
        <f t="shared" si="57"/>
        <v/>
      </c>
      <c r="BJ297" s="55" t="str">
        <f t="shared" si="58"/>
        <v/>
      </c>
      <c r="BK297" s="55" t="str">
        <f t="shared" si="59"/>
        <v/>
      </c>
    </row>
    <row r="298" spans="22:63">
      <c r="V298" s="55">
        <f t="shared" ca="1" si="48"/>
        <v>1</v>
      </c>
      <c r="W298" s="64"/>
      <c r="X298" s="65"/>
      <c r="Y298" s="65"/>
      <c r="Z298" s="65"/>
      <c r="AA298" s="64"/>
      <c r="AB298" s="65"/>
      <c r="AC298" s="64"/>
      <c r="AD298" s="65"/>
      <c r="AE298" s="64"/>
      <c r="AF298" s="65"/>
      <c r="AG298" s="65"/>
      <c r="AH298" s="66" t="str">
        <f t="shared" si="49"/>
        <v/>
      </c>
      <c r="AI298" s="64"/>
      <c r="AJ298" s="65"/>
      <c r="AK298" s="64"/>
      <c r="AL298" s="65"/>
      <c r="BB298" s="55" t="str">
        <f t="shared" si="50"/>
        <v/>
      </c>
      <c r="BC298" s="55" t="str">
        <f t="shared" si="51"/>
        <v/>
      </c>
      <c r="BD298" s="55" t="str">
        <f t="shared" si="52"/>
        <v/>
      </c>
      <c r="BE298" s="55" t="str">
        <f t="shared" si="53"/>
        <v/>
      </c>
      <c r="BF298" s="55" t="str">
        <f t="shared" si="54"/>
        <v/>
      </c>
      <c r="BG298" s="55" t="str">
        <f t="shared" si="55"/>
        <v/>
      </c>
      <c r="BH298" s="55" t="str">
        <f t="shared" si="56"/>
        <v/>
      </c>
      <c r="BI298" s="55" t="str">
        <f t="shared" si="57"/>
        <v/>
      </c>
      <c r="BJ298" s="55" t="str">
        <f t="shared" si="58"/>
        <v/>
      </c>
      <c r="BK298" s="55" t="str">
        <f t="shared" si="59"/>
        <v/>
      </c>
    </row>
    <row r="299" spans="22:63">
      <c r="V299" s="55">
        <f t="shared" ca="1" si="48"/>
        <v>1</v>
      </c>
      <c r="W299" s="64"/>
      <c r="X299" s="65"/>
      <c r="Y299" s="65"/>
      <c r="Z299" s="65"/>
      <c r="AA299" s="64"/>
      <c r="AB299" s="65"/>
      <c r="AC299" s="64"/>
      <c r="AD299" s="65"/>
      <c r="AE299" s="64"/>
      <c r="AF299" s="65"/>
      <c r="AG299" s="65"/>
      <c r="AH299" s="66" t="str">
        <f t="shared" si="49"/>
        <v/>
      </c>
      <c r="AI299" s="64"/>
      <c r="AJ299" s="65"/>
      <c r="AK299" s="64"/>
      <c r="AL299" s="65"/>
      <c r="BB299" s="55" t="str">
        <f t="shared" si="50"/>
        <v/>
      </c>
      <c r="BC299" s="55" t="str">
        <f t="shared" si="51"/>
        <v/>
      </c>
      <c r="BD299" s="55" t="str">
        <f t="shared" si="52"/>
        <v/>
      </c>
      <c r="BE299" s="55" t="str">
        <f t="shared" si="53"/>
        <v/>
      </c>
      <c r="BF299" s="55" t="str">
        <f t="shared" si="54"/>
        <v/>
      </c>
      <c r="BG299" s="55" t="str">
        <f t="shared" si="55"/>
        <v/>
      </c>
      <c r="BH299" s="55" t="str">
        <f t="shared" si="56"/>
        <v/>
      </c>
      <c r="BI299" s="55" t="str">
        <f t="shared" si="57"/>
        <v/>
      </c>
      <c r="BJ299" s="55" t="str">
        <f t="shared" si="58"/>
        <v/>
      </c>
      <c r="BK299" s="55" t="str">
        <f t="shared" si="59"/>
        <v/>
      </c>
    </row>
    <row r="300" spans="22:63">
      <c r="V300" s="55">
        <f t="shared" ca="1" si="48"/>
        <v>1</v>
      </c>
      <c r="W300" s="64"/>
      <c r="X300" s="65"/>
      <c r="Y300" s="65"/>
      <c r="Z300" s="65"/>
      <c r="AA300" s="64"/>
      <c r="AB300" s="65"/>
      <c r="AC300" s="64"/>
      <c r="AD300" s="65"/>
      <c r="AE300" s="64"/>
      <c r="AF300" s="65"/>
      <c r="AG300" s="65"/>
      <c r="AH300" s="66" t="str">
        <f t="shared" si="49"/>
        <v/>
      </c>
      <c r="AI300" s="64"/>
      <c r="AJ300" s="65"/>
      <c r="AK300" s="64"/>
      <c r="AL300" s="65"/>
      <c r="BB300" s="55" t="str">
        <f t="shared" si="50"/>
        <v/>
      </c>
      <c r="BC300" s="55" t="str">
        <f t="shared" si="51"/>
        <v/>
      </c>
      <c r="BD300" s="55" t="str">
        <f t="shared" si="52"/>
        <v/>
      </c>
      <c r="BE300" s="55" t="str">
        <f t="shared" si="53"/>
        <v/>
      </c>
      <c r="BF300" s="55" t="str">
        <f t="shared" si="54"/>
        <v/>
      </c>
      <c r="BG300" s="55" t="str">
        <f t="shared" si="55"/>
        <v/>
      </c>
      <c r="BH300" s="55" t="str">
        <f t="shared" si="56"/>
        <v/>
      </c>
      <c r="BI300" s="55" t="str">
        <f t="shared" si="57"/>
        <v/>
      </c>
      <c r="BJ300" s="55" t="str">
        <f t="shared" si="58"/>
        <v/>
      </c>
      <c r="BK300" s="55" t="str">
        <f t="shared" si="59"/>
        <v/>
      </c>
    </row>
    <row r="301" spans="22:63">
      <c r="V301" s="55">
        <f t="shared" ca="1" si="48"/>
        <v>1</v>
      </c>
      <c r="W301" s="64"/>
      <c r="X301" s="65"/>
      <c r="Y301" s="65"/>
      <c r="Z301" s="65"/>
      <c r="AA301" s="64"/>
      <c r="AB301" s="65"/>
      <c r="AC301" s="64"/>
      <c r="AD301" s="65"/>
      <c r="AE301" s="64"/>
      <c r="AF301" s="65"/>
      <c r="AG301" s="65"/>
      <c r="AH301" s="66" t="str">
        <f t="shared" si="49"/>
        <v/>
      </c>
      <c r="AI301" s="64"/>
      <c r="AJ301" s="65"/>
      <c r="AK301" s="64"/>
      <c r="AL301" s="65"/>
      <c r="BB301" s="55" t="str">
        <f t="shared" si="50"/>
        <v/>
      </c>
      <c r="BC301" s="55" t="str">
        <f t="shared" si="51"/>
        <v/>
      </c>
      <c r="BD301" s="55" t="str">
        <f t="shared" si="52"/>
        <v/>
      </c>
      <c r="BE301" s="55" t="str">
        <f t="shared" si="53"/>
        <v/>
      </c>
      <c r="BF301" s="55" t="str">
        <f t="shared" si="54"/>
        <v/>
      </c>
      <c r="BG301" s="55" t="str">
        <f t="shared" si="55"/>
        <v/>
      </c>
      <c r="BH301" s="55" t="str">
        <f t="shared" si="56"/>
        <v/>
      </c>
      <c r="BI301" s="55" t="str">
        <f t="shared" si="57"/>
        <v/>
      </c>
      <c r="BJ301" s="55" t="str">
        <f t="shared" si="58"/>
        <v/>
      </c>
      <c r="BK301" s="55" t="str">
        <f t="shared" si="59"/>
        <v/>
      </c>
    </row>
    <row r="302" spans="22:63">
      <c r="V302" s="55">
        <f t="shared" ca="1" si="48"/>
        <v>1</v>
      </c>
      <c r="W302" s="64"/>
      <c r="X302" s="65"/>
      <c r="Y302" s="65"/>
      <c r="Z302" s="65"/>
      <c r="AA302" s="64"/>
      <c r="AB302" s="65"/>
      <c r="AC302" s="64"/>
      <c r="AD302" s="65"/>
      <c r="AE302" s="64"/>
      <c r="AF302" s="65"/>
      <c r="AG302" s="65"/>
      <c r="AH302" s="66" t="str">
        <f t="shared" si="49"/>
        <v/>
      </c>
      <c r="AI302" s="64"/>
      <c r="AJ302" s="65"/>
      <c r="AK302" s="64"/>
      <c r="AL302" s="65"/>
      <c r="BB302" s="55" t="str">
        <f t="shared" si="50"/>
        <v/>
      </c>
      <c r="BC302" s="55" t="str">
        <f t="shared" si="51"/>
        <v/>
      </c>
      <c r="BD302" s="55" t="str">
        <f t="shared" si="52"/>
        <v/>
      </c>
      <c r="BE302" s="55" t="str">
        <f t="shared" si="53"/>
        <v/>
      </c>
      <c r="BF302" s="55" t="str">
        <f t="shared" si="54"/>
        <v/>
      </c>
      <c r="BG302" s="55" t="str">
        <f t="shared" si="55"/>
        <v/>
      </c>
      <c r="BH302" s="55" t="str">
        <f t="shared" si="56"/>
        <v/>
      </c>
      <c r="BI302" s="55" t="str">
        <f t="shared" si="57"/>
        <v/>
      </c>
      <c r="BJ302" s="55" t="str">
        <f t="shared" si="58"/>
        <v/>
      </c>
      <c r="BK302" s="55" t="str">
        <f t="shared" si="59"/>
        <v/>
      </c>
    </row>
    <row r="303" spans="22:63">
      <c r="V303" s="55">
        <f t="shared" ca="1" si="48"/>
        <v>1</v>
      </c>
      <c r="W303" s="64"/>
      <c r="X303" s="65"/>
      <c r="Y303" s="65"/>
      <c r="Z303" s="65"/>
      <c r="AA303" s="64"/>
      <c r="AB303" s="65"/>
      <c r="AC303" s="64"/>
      <c r="AD303" s="65"/>
      <c r="AE303" s="64"/>
      <c r="AF303" s="65"/>
      <c r="AG303" s="65"/>
      <c r="AH303" s="66" t="str">
        <f t="shared" si="49"/>
        <v/>
      </c>
      <c r="AI303" s="64"/>
      <c r="AJ303" s="65"/>
      <c r="AK303" s="64"/>
      <c r="AL303" s="65"/>
      <c r="BB303" s="55" t="str">
        <f t="shared" si="50"/>
        <v/>
      </c>
      <c r="BC303" s="55" t="str">
        <f t="shared" si="51"/>
        <v/>
      </c>
      <c r="BD303" s="55" t="str">
        <f t="shared" si="52"/>
        <v/>
      </c>
      <c r="BE303" s="55" t="str">
        <f t="shared" si="53"/>
        <v/>
      </c>
      <c r="BF303" s="55" t="str">
        <f t="shared" si="54"/>
        <v/>
      </c>
      <c r="BG303" s="55" t="str">
        <f t="shared" si="55"/>
        <v/>
      </c>
      <c r="BH303" s="55" t="str">
        <f t="shared" si="56"/>
        <v/>
      </c>
      <c r="BI303" s="55" t="str">
        <f t="shared" si="57"/>
        <v/>
      </c>
      <c r="BJ303" s="55" t="str">
        <f t="shared" si="58"/>
        <v/>
      </c>
      <c r="BK303" s="55" t="str">
        <f t="shared" si="59"/>
        <v/>
      </c>
    </row>
    <row r="304" spans="22:63">
      <c r="V304" s="55">
        <f t="shared" ca="1" si="48"/>
        <v>1</v>
      </c>
      <c r="W304" s="64"/>
      <c r="X304" s="65"/>
      <c r="Y304" s="65"/>
      <c r="Z304" s="65"/>
      <c r="AA304" s="64"/>
      <c r="AB304" s="65"/>
      <c r="AC304" s="64"/>
      <c r="AD304" s="65"/>
      <c r="AE304" s="64"/>
      <c r="AF304" s="65"/>
      <c r="AG304" s="65"/>
      <c r="AH304" s="66" t="str">
        <f t="shared" si="49"/>
        <v/>
      </c>
      <c r="AI304" s="64"/>
      <c r="AJ304" s="65"/>
      <c r="AK304" s="64"/>
      <c r="AL304" s="65"/>
      <c r="BB304" s="55" t="str">
        <f t="shared" si="50"/>
        <v/>
      </c>
      <c r="BC304" s="55" t="str">
        <f t="shared" si="51"/>
        <v/>
      </c>
      <c r="BD304" s="55" t="str">
        <f t="shared" si="52"/>
        <v/>
      </c>
      <c r="BE304" s="55" t="str">
        <f t="shared" si="53"/>
        <v/>
      </c>
      <c r="BF304" s="55" t="str">
        <f t="shared" si="54"/>
        <v/>
      </c>
      <c r="BG304" s="55" t="str">
        <f t="shared" si="55"/>
        <v/>
      </c>
      <c r="BH304" s="55" t="str">
        <f t="shared" si="56"/>
        <v/>
      </c>
      <c r="BI304" s="55" t="str">
        <f t="shared" si="57"/>
        <v/>
      </c>
      <c r="BJ304" s="55" t="str">
        <f t="shared" si="58"/>
        <v/>
      </c>
      <c r="BK304" s="55" t="str">
        <f t="shared" si="59"/>
        <v/>
      </c>
    </row>
    <row r="305" spans="22:63">
      <c r="V305" s="55">
        <f t="shared" ca="1" si="48"/>
        <v>1</v>
      </c>
      <c r="W305" s="64"/>
      <c r="X305" s="65"/>
      <c r="Y305" s="65"/>
      <c r="Z305" s="65"/>
      <c r="AA305" s="64"/>
      <c r="AB305" s="65"/>
      <c r="AC305" s="64"/>
      <c r="AD305" s="65"/>
      <c r="AE305" s="64"/>
      <c r="AF305" s="65"/>
      <c r="AG305" s="65"/>
      <c r="AH305" s="66" t="str">
        <f t="shared" si="49"/>
        <v/>
      </c>
      <c r="AI305" s="64"/>
      <c r="AJ305" s="65"/>
      <c r="AK305" s="64"/>
      <c r="AL305" s="65"/>
      <c r="BB305" s="55" t="str">
        <f t="shared" si="50"/>
        <v/>
      </c>
      <c r="BC305" s="55" t="str">
        <f t="shared" si="51"/>
        <v/>
      </c>
      <c r="BD305" s="55" t="str">
        <f t="shared" si="52"/>
        <v/>
      </c>
      <c r="BE305" s="55" t="str">
        <f t="shared" si="53"/>
        <v/>
      </c>
      <c r="BF305" s="55" t="str">
        <f t="shared" si="54"/>
        <v/>
      </c>
      <c r="BG305" s="55" t="str">
        <f t="shared" si="55"/>
        <v/>
      </c>
      <c r="BH305" s="55" t="str">
        <f t="shared" si="56"/>
        <v/>
      </c>
      <c r="BI305" s="55" t="str">
        <f t="shared" si="57"/>
        <v/>
      </c>
      <c r="BJ305" s="55" t="str">
        <f t="shared" si="58"/>
        <v/>
      </c>
      <c r="BK305" s="55" t="str">
        <f t="shared" si="59"/>
        <v/>
      </c>
    </row>
    <row r="306" spans="22:63">
      <c r="V306" s="55">
        <f t="shared" ca="1" si="48"/>
        <v>1</v>
      </c>
      <c r="W306" s="64"/>
      <c r="X306" s="65"/>
      <c r="Y306" s="65"/>
      <c r="Z306" s="65"/>
      <c r="AA306" s="64"/>
      <c r="AB306" s="65"/>
      <c r="AC306" s="64"/>
      <c r="AD306" s="65"/>
      <c r="AE306" s="64"/>
      <c r="AF306" s="65"/>
      <c r="AG306" s="65"/>
      <c r="AH306" s="66" t="str">
        <f t="shared" si="49"/>
        <v/>
      </c>
      <c r="AI306" s="64"/>
      <c r="AJ306" s="65"/>
      <c r="AK306" s="64"/>
      <c r="AL306" s="65"/>
      <c r="BB306" s="55" t="str">
        <f t="shared" si="50"/>
        <v/>
      </c>
      <c r="BC306" s="55" t="str">
        <f t="shared" si="51"/>
        <v/>
      </c>
      <c r="BD306" s="55" t="str">
        <f t="shared" si="52"/>
        <v/>
      </c>
      <c r="BE306" s="55" t="str">
        <f t="shared" si="53"/>
        <v/>
      </c>
      <c r="BF306" s="55" t="str">
        <f t="shared" si="54"/>
        <v/>
      </c>
      <c r="BG306" s="55" t="str">
        <f t="shared" si="55"/>
        <v/>
      </c>
      <c r="BH306" s="55" t="str">
        <f t="shared" si="56"/>
        <v/>
      </c>
      <c r="BI306" s="55" t="str">
        <f t="shared" si="57"/>
        <v/>
      </c>
      <c r="BJ306" s="55" t="str">
        <f t="shared" si="58"/>
        <v/>
      </c>
      <c r="BK306" s="55" t="str">
        <f t="shared" si="59"/>
        <v/>
      </c>
    </row>
    <row r="307" spans="22:63">
      <c r="V307" s="55">
        <f t="shared" ca="1" si="48"/>
        <v>1</v>
      </c>
      <c r="W307" s="64"/>
      <c r="X307" s="65"/>
      <c r="Y307" s="65"/>
      <c r="Z307" s="65"/>
      <c r="AA307" s="64"/>
      <c r="AB307" s="65"/>
      <c r="AC307" s="64"/>
      <c r="AD307" s="65"/>
      <c r="AE307" s="64"/>
      <c r="AF307" s="65"/>
      <c r="AG307" s="65"/>
      <c r="AH307" s="66" t="str">
        <f t="shared" si="49"/>
        <v/>
      </c>
      <c r="AI307" s="64"/>
      <c r="AJ307" s="65"/>
      <c r="AK307" s="64"/>
      <c r="AL307" s="65"/>
      <c r="BB307" s="55" t="str">
        <f t="shared" si="50"/>
        <v/>
      </c>
      <c r="BC307" s="55" t="str">
        <f t="shared" si="51"/>
        <v/>
      </c>
      <c r="BD307" s="55" t="str">
        <f t="shared" si="52"/>
        <v/>
      </c>
      <c r="BE307" s="55" t="str">
        <f t="shared" si="53"/>
        <v/>
      </c>
      <c r="BF307" s="55" t="str">
        <f t="shared" si="54"/>
        <v/>
      </c>
      <c r="BG307" s="55" t="str">
        <f t="shared" si="55"/>
        <v/>
      </c>
      <c r="BH307" s="55" t="str">
        <f t="shared" si="56"/>
        <v/>
      </c>
      <c r="BI307" s="55" t="str">
        <f t="shared" si="57"/>
        <v/>
      </c>
      <c r="BJ307" s="55" t="str">
        <f t="shared" si="58"/>
        <v/>
      </c>
      <c r="BK307" s="55" t="str">
        <f t="shared" si="59"/>
        <v/>
      </c>
    </row>
    <row r="308" spans="22:63">
      <c r="V308" s="55">
        <f t="shared" ca="1" si="48"/>
        <v>1</v>
      </c>
      <c r="W308" s="64"/>
      <c r="X308" s="65"/>
      <c r="Y308" s="65"/>
      <c r="Z308" s="65"/>
      <c r="AA308" s="64"/>
      <c r="AB308" s="65"/>
      <c r="AC308" s="64"/>
      <c r="AD308" s="65"/>
      <c r="AE308" s="64"/>
      <c r="AF308" s="65"/>
      <c r="AG308" s="65"/>
      <c r="AH308" s="66" t="str">
        <f t="shared" si="49"/>
        <v/>
      </c>
      <c r="AI308" s="64"/>
      <c r="AJ308" s="65"/>
      <c r="AK308" s="64"/>
      <c r="AL308" s="65"/>
      <c r="BB308" s="55" t="str">
        <f t="shared" si="50"/>
        <v/>
      </c>
      <c r="BC308" s="55" t="str">
        <f t="shared" si="51"/>
        <v/>
      </c>
      <c r="BD308" s="55" t="str">
        <f t="shared" si="52"/>
        <v/>
      </c>
      <c r="BE308" s="55" t="str">
        <f t="shared" si="53"/>
        <v/>
      </c>
      <c r="BF308" s="55" t="str">
        <f t="shared" si="54"/>
        <v/>
      </c>
      <c r="BG308" s="55" t="str">
        <f t="shared" si="55"/>
        <v/>
      </c>
      <c r="BH308" s="55" t="str">
        <f t="shared" si="56"/>
        <v/>
      </c>
      <c r="BI308" s="55" t="str">
        <f t="shared" si="57"/>
        <v/>
      </c>
      <c r="BJ308" s="55" t="str">
        <f t="shared" si="58"/>
        <v/>
      </c>
      <c r="BK308" s="55" t="str">
        <f t="shared" si="59"/>
        <v/>
      </c>
    </row>
    <row r="309" spans="22:63">
      <c r="V309" s="55">
        <f t="shared" ca="1" si="48"/>
        <v>1</v>
      </c>
      <c r="W309" s="64"/>
      <c r="X309" s="65"/>
      <c r="Y309" s="65"/>
      <c r="Z309" s="65"/>
      <c r="AA309" s="64"/>
      <c r="AB309" s="65"/>
      <c r="AC309" s="64"/>
      <c r="AD309" s="65"/>
      <c r="AE309" s="64"/>
      <c r="AF309" s="65"/>
      <c r="AG309" s="65"/>
      <c r="AH309" s="66" t="str">
        <f t="shared" si="49"/>
        <v/>
      </c>
      <c r="AI309" s="64"/>
      <c r="AJ309" s="65"/>
      <c r="AK309" s="64"/>
      <c r="AL309" s="65"/>
      <c r="BB309" s="55" t="str">
        <f t="shared" si="50"/>
        <v/>
      </c>
      <c r="BC309" s="55" t="str">
        <f t="shared" si="51"/>
        <v/>
      </c>
      <c r="BD309" s="55" t="str">
        <f t="shared" si="52"/>
        <v/>
      </c>
      <c r="BE309" s="55" t="str">
        <f t="shared" si="53"/>
        <v/>
      </c>
      <c r="BF309" s="55" t="str">
        <f t="shared" si="54"/>
        <v/>
      </c>
      <c r="BG309" s="55" t="str">
        <f t="shared" si="55"/>
        <v/>
      </c>
      <c r="BH309" s="55" t="str">
        <f t="shared" si="56"/>
        <v/>
      </c>
      <c r="BI309" s="55" t="str">
        <f t="shared" si="57"/>
        <v/>
      </c>
      <c r="BJ309" s="55" t="str">
        <f t="shared" si="58"/>
        <v/>
      </c>
      <c r="BK309" s="55" t="str">
        <f t="shared" si="59"/>
        <v/>
      </c>
    </row>
    <row r="310" spans="22:63">
      <c r="V310" s="55">
        <f t="shared" ca="1" si="48"/>
        <v>1</v>
      </c>
      <c r="W310" s="64"/>
      <c r="X310" s="65"/>
      <c r="Y310" s="65"/>
      <c r="Z310" s="65"/>
      <c r="AA310" s="64"/>
      <c r="AB310" s="65"/>
      <c r="AC310" s="64"/>
      <c r="AD310" s="65"/>
      <c r="AE310" s="64"/>
      <c r="AF310" s="65"/>
      <c r="AG310" s="65"/>
      <c r="AH310" s="66" t="str">
        <f t="shared" si="49"/>
        <v/>
      </c>
      <c r="AI310" s="64"/>
      <c r="AJ310" s="65"/>
      <c r="AK310" s="64"/>
      <c r="AL310" s="65"/>
      <c r="BB310" s="55" t="str">
        <f t="shared" si="50"/>
        <v/>
      </c>
      <c r="BC310" s="55" t="str">
        <f t="shared" si="51"/>
        <v/>
      </c>
      <c r="BD310" s="55" t="str">
        <f t="shared" si="52"/>
        <v/>
      </c>
      <c r="BE310" s="55" t="str">
        <f t="shared" si="53"/>
        <v/>
      </c>
      <c r="BF310" s="55" t="str">
        <f t="shared" si="54"/>
        <v/>
      </c>
      <c r="BG310" s="55" t="str">
        <f t="shared" si="55"/>
        <v/>
      </c>
      <c r="BH310" s="55" t="str">
        <f t="shared" si="56"/>
        <v/>
      </c>
      <c r="BI310" s="55" t="str">
        <f t="shared" si="57"/>
        <v/>
      </c>
      <c r="BJ310" s="55" t="str">
        <f t="shared" si="58"/>
        <v/>
      </c>
      <c r="BK310" s="55" t="str">
        <f t="shared" si="59"/>
        <v/>
      </c>
    </row>
    <row r="311" spans="22:63">
      <c r="V311" s="55">
        <f t="shared" ca="1" si="48"/>
        <v>1</v>
      </c>
      <c r="W311" s="64"/>
      <c r="X311" s="65"/>
      <c r="Y311" s="65"/>
      <c r="Z311" s="65"/>
      <c r="AA311" s="64"/>
      <c r="AB311" s="65"/>
      <c r="AC311" s="64"/>
      <c r="AD311" s="65"/>
      <c r="AE311" s="64"/>
      <c r="AF311" s="65"/>
      <c r="AG311" s="65"/>
      <c r="AH311" s="66" t="str">
        <f t="shared" si="49"/>
        <v/>
      </c>
      <c r="AI311" s="64"/>
      <c r="AJ311" s="65"/>
      <c r="AK311" s="64"/>
      <c r="AL311" s="65"/>
      <c r="BB311" s="55" t="str">
        <f t="shared" si="50"/>
        <v/>
      </c>
      <c r="BC311" s="55" t="str">
        <f t="shared" si="51"/>
        <v/>
      </c>
      <c r="BD311" s="55" t="str">
        <f t="shared" si="52"/>
        <v/>
      </c>
      <c r="BE311" s="55" t="str">
        <f t="shared" si="53"/>
        <v/>
      </c>
      <c r="BF311" s="55" t="str">
        <f t="shared" si="54"/>
        <v/>
      </c>
      <c r="BG311" s="55" t="str">
        <f t="shared" si="55"/>
        <v/>
      </c>
      <c r="BH311" s="55" t="str">
        <f t="shared" si="56"/>
        <v/>
      </c>
      <c r="BI311" s="55" t="str">
        <f t="shared" si="57"/>
        <v/>
      </c>
      <c r="BJ311" s="55" t="str">
        <f t="shared" si="58"/>
        <v/>
      </c>
      <c r="BK311" s="55" t="str">
        <f t="shared" si="59"/>
        <v/>
      </c>
    </row>
    <row r="312" spans="22:63">
      <c r="V312" s="55">
        <f t="shared" ca="1" si="48"/>
        <v>1</v>
      </c>
      <c r="W312" s="64"/>
      <c r="X312" s="65"/>
      <c r="Y312" s="65"/>
      <c r="Z312" s="65"/>
      <c r="AA312" s="64"/>
      <c r="AB312" s="65"/>
      <c r="AC312" s="64"/>
      <c r="AD312" s="65"/>
      <c r="AE312" s="64"/>
      <c r="AF312" s="65"/>
      <c r="AG312" s="65"/>
      <c r="AH312" s="66" t="str">
        <f t="shared" si="49"/>
        <v/>
      </c>
      <c r="AI312" s="64"/>
      <c r="AJ312" s="65"/>
      <c r="AK312" s="64"/>
      <c r="AL312" s="65"/>
      <c r="BB312" s="55" t="str">
        <f t="shared" si="50"/>
        <v/>
      </c>
      <c r="BC312" s="55" t="str">
        <f t="shared" si="51"/>
        <v/>
      </c>
      <c r="BD312" s="55" t="str">
        <f t="shared" si="52"/>
        <v/>
      </c>
      <c r="BE312" s="55" t="str">
        <f t="shared" si="53"/>
        <v/>
      </c>
      <c r="BF312" s="55" t="str">
        <f t="shared" si="54"/>
        <v/>
      </c>
      <c r="BG312" s="55" t="str">
        <f t="shared" si="55"/>
        <v/>
      </c>
      <c r="BH312" s="55" t="str">
        <f t="shared" si="56"/>
        <v/>
      </c>
      <c r="BI312" s="55" t="str">
        <f t="shared" si="57"/>
        <v/>
      </c>
      <c r="BJ312" s="55" t="str">
        <f t="shared" si="58"/>
        <v/>
      </c>
      <c r="BK312" s="55" t="str">
        <f t="shared" si="59"/>
        <v/>
      </c>
    </row>
    <row r="313" spans="22:63">
      <c r="V313" s="55">
        <f t="shared" ca="1" si="48"/>
        <v>1</v>
      </c>
      <c r="W313" s="64"/>
      <c r="X313" s="65"/>
      <c r="Y313" s="65"/>
      <c r="Z313" s="65"/>
      <c r="AA313" s="64"/>
      <c r="AB313" s="65"/>
      <c r="AC313" s="64"/>
      <c r="AD313" s="65"/>
      <c r="AE313" s="64"/>
      <c r="AF313" s="65"/>
      <c r="AG313" s="65"/>
      <c r="AH313" s="66" t="str">
        <f t="shared" si="49"/>
        <v/>
      </c>
      <c r="AI313" s="64"/>
      <c r="AJ313" s="65"/>
      <c r="AK313" s="64"/>
      <c r="AL313" s="65"/>
      <c r="BB313" s="55" t="str">
        <f t="shared" si="50"/>
        <v/>
      </c>
      <c r="BC313" s="55" t="str">
        <f t="shared" si="51"/>
        <v/>
      </c>
      <c r="BD313" s="55" t="str">
        <f t="shared" si="52"/>
        <v/>
      </c>
      <c r="BE313" s="55" t="str">
        <f t="shared" si="53"/>
        <v/>
      </c>
      <c r="BF313" s="55" t="str">
        <f t="shared" si="54"/>
        <v/>
      </c>
      <c r="BG313" s="55" t="str">
        <f t="shared" si="55"/>
        <v/>
      </c>
      <c r="BH313" s="55" t="str">
        <f t="shared" si="56"/>
        <v/>
      </c>
      <c r="BI313" s="55" t="str">
        <f t="shared" si="57"/>
        <v/>
      </c>
      <c r="BJ313" s="55" t="str">
        <f t="shared" si="58"/>
        <v/>
      </c>
      <c r="BK313" s="55" t="str">
        <f t="shared" si="59"/>
        <v/>
      </c>
    </row>
    <row r="314" spans="22:63">
      <c r="V314" s="55">
        <f t="shared" ca="1" si="48"/>
        <v>1</v>
      </c>
      <c r="W314" s="64"/>
      <c r="X314" s="65"/>
      <c r="Y314" s="65"/>
      <c r="Z314" s="65"/>
      <c r="AA314" s="64"/>
      <c r="AB314" s="65"/>
      <c r="AC314" s="64"/>
      <c r="AD314" s="65"/>
      <c r="AE314" s="64"/>
      <c r="AF314" s="65"/>
      <c r="AG314" s="65"/>
      <c r="AH314" s="66" t="str">
        <f t="shared" si="49"/>
        <v/>
      </c>
      <c r="AI314" s="64"/>
      <c r="AJ314" s="65"/>
      <c r="AK314" s="64"/>
      <c r="AL314" s="65"/>
      <c r="BB314" s="55" t="str">
        <f t="shared" si="50"/>
        <v/>
      </c>
      <c r="BC314" s="55" t="str">
        <f t="shared" si="51"/>
        <v/>
      </c>
      <c r="BD314" s="55" t="str">
        <f t="shared" si="52"/>
        <v/>
      </c>
      <c r="BE314" s="55" t="str">
        <f t="shared" si="53"/>
        <v/>
      </c>
      <c r="BF314" s="55" t="str">
        <f t="shared" si="54"/>
        <v/>
      </c>
      <c r="BG314" s="55" t="str">
        <f t="shared" si="55"/>
        <v/>
      </c>
      <c r="BH314" s="55" t="str">
        <f t="shared" si="56"/>
        <v/>
      </c>
      <c r="BI314" s="55" t="str">
        <f t="shared" si="57"/>
        <v/>
      </c>
      <c r="BJ314" s="55" t="str">
        <f t="shared" si="58"/>
        <v/>
      </c>
      <c r="BK314" s="55" t="str">
        <f t="shared" si="59"/>
        <v/>
      </c>
    </row>
    <row r="315" spans="22:63">
      <c r="V315" s="55">
        <f t="shared" ca="1" si="48"/>
        <v>1</v>
      </c>
      <c r="W315" s="64"/>
      <c r="X315" s="65"/>
      <c r="Y315" s="65"/>
      <c r="Z315" s="65"/>
      <c r="AA315" s="64"/>
      <c r="AB315" s="65"/>
      <c r="AC315" s="64"/>
      <c r="AD315" s="65"/>
      <c r="AE315" s="64"/>
      <c r="AF315" s="65"/>
      <c r="AG315" s="65"/>
      <c r="AH315" s="66" t="str">
        <f t="shared" si="49"/>
        <v/>
      </c>
      <c r="AI315" s="64"/>
      <c r="AJ315" s="65"/>
      <c r="AK315" s="64"/>
      <c r="AL315" s="65"/>
      <c r="BB315" s="55" t="str">
        <f t="shared" si="50"/>
        <v/>
      </c>
      <c r="BC315" s="55" t="str">
        <f t="shared" si="51"/>
        <v/>
      </c>
      <c r="BD315" s="55" t="str">
        <f t="shared" si="52"/>
        <v/>
      </c>
      <c r="BE315" s="55" t="str">
        <f t="shared" si="53"/>
        <v/>
      </c>
      <c r="BF315" s="55" t="str">
        <f t="shared" si="54"/>
        <v/>
      </c>
      <c r="BG315" s="55" t="str">
        <f t="shared" si="55"/>
        <v/>
      </c>
      <c r="BH315" s="55" t="str">
        <f t="shared" si="56"/>
        <v/>
      </c>
      <c r="BI315" s="55" t="str">
        <f t="shared" si="57"/>
        <v/>
      </c>
      <c r="BJ315" s="55" t="str">
        <f t="shared" si="58"/>
        <v/>
      </c>
      <c r="BK315" s="55" t="str">
        <f t="shared" si="59"/>
        <v/>
      </c>
    </row>
    <row r="316" spans="22:63">
      <c r="V316" s="55">
        <f t="shared" ca="1" si="48"/>
        <v>1</v>
      </c>
      <c r="W316" s="64"/>
      <c r="X316" s="65"/>
      <c r="Y316" s="65"/>
      <c r="Z316" s="65"/>
      <c r="AA316" s="64"/>
      <c r="AB316" s="65"/>
      <c r="AC316" s="64"/>
      <c r="AD316" s="65"/>
      <c r="AE316" s="64"/>
      <c r="AF316" s="65"/>
      <c r="AG316" s="65"/>
      <c r="AH316" s="66" t="str">
        <f t="shared" si="49"/>
        <v/>
      </c>
      <c r="AI316" s="64"/>
      <c r="AJ316" s="65"/>
      <c r="AK316" s="64"/>
      <c r="AL316" s="65"/>
      <c r="BB316" s="55" t="str">
        <f t="shared" si="50"/>
        <v/>
      </c>
      <c r="BC316" s="55" t="str">
        <f t="shared" si="51"/>
        <v/>
      </c>
      <c r="BD316" s="55" t="str">
        <f t="shared" si="52"/>
        <v/>
      </c>
      <c r="BE316" s="55" t="str">
        <f t="shared" si="53"/>
        <v/>
      </c>
      <c r="BF316" s="55" t="str">
        <f t="shared" si="54"/>
        <v/>
      </c>
      <c r="BG316" s="55" t="str">
        <f t="shared" si="55"/>
        <v/>
      </c>
      <c r="BH316" s="55" t="str">
        <f t="shared" si="56"/>
        <v/>
      </c>
      <c r="BI316" s="55" t="str">
        <f t="shared" si="57"/>
        <v/>
      </c>
      <c r="BJ316" s="55" t="str">
        <f t="shared" si="58"/>
        <v/>
      </c>
      <c r="BK316" s="55" t="str">
        <f t="shared" si="59"/>
        <v/>
      </c>
    </row>
    <row r="317" spans="22:63">
      <c r="V317" s="55">
        <f t="shared" ca="1" si="48"/>
        <v>1</v>
      </c>
      <c r="W317" s="64"/>
      <c r="X317" s="65"/>
      <c r="Y317" s="65"/>
      <c r="Z317" s="65"/>
      <c r="AA317" s="64"/>
      <c r="AB317" s="65"/>
      <c r="AC317" s="64"/>
      <c r="AD317" s="65"/>
      <c r="AE317" s="64"/>
      <c r="AF317" s="65"/>
      <c r="AG317" s="65"/>
      <c r="AH317" s="66" t="str">
        <f t="shared" si="49"/>
        <v/>
      </c>
      <c r="AI317" s="64"/>
      <c r="AJ317" s="65"/>
      <c r="AK317" s="64"/>
      <c r="AL317" s="65"/>
      <c r="BB317" s="55" t="str">
        <f t="shared" si="50"/>
        <v/>
      </c>
      <c r="BC317" s="55" t="str">
        <f t="shared" si="51"/>
        <v/>
      </c>
      <c r="BD317" s="55" t="str">
        <f t="shared" si="52"/>
        <v/>
      </c>
      <c r="BE317" s="55" t="str">
        <f t="shared" si="53"/>
        <v/>
      </c>
      <c r="BF317" s="55" t="str">
        <f t="shared" si="54"/>
        <v/>
      </c>
      <c r="BG317" s="55" t="str">
        <f t="shared" si="55"/>
        <v/>
      </c>
      <c r="BH317" s="55" t="str">
        <f t="shared" si="56"/>
        <v/>
      </c>
      <c r="BI317" s="55" t="str">
        <f t="shared" si="57"/>
        <v/>
      </c>
      <c r="BJ317" s="55" t="str">
        <f t="shared" si="58"/>
        <v/>
      </c>
      <c r="BK317" s="55" t="str">
        <f t="shared" si="59"/>
        <v/>
      </c>
    </row>
    <row r="318" spans="22:63">
      <c r="V318" s="55">
        <f t="shared" ca="1" si="48"/>
        <v>1</v>
      </c>
      <c r="W318" s="64"/>
      <c r="X318" s="65"/>
      <c r="Y318" s="65"/>
      <c r="Z318" s="65"/>
      <c r="AA318" s="64"/>
      <c r="AB318" s="65"/>
      <c r="AC318" s="64"/>
      <c r="AD318" s="65"/>
      <c r="AE318" s="64"/>
      <c r="AF318" s="65"/>
      <c r="AG318" s="65"/>
      <c r="AH318" s="66" t="str">
        <f t="shared" si="49"/>
        <v/>
      </c>
      <c r="AI318" s="64"/>
      <c r="AJ318" s="65"/>
      <c r="AK318" s="64"/>
      <c r="AL318" s="65"/>
      <c r="BB318" s="55" t="str">
        <f t="shared" si="50"/>
        <v/>
      </c>
      <c r="BC318" s="55" t="str">
        <f t="shared" si="51"/>
        <v/>
      </c>
      <c r="BD318" s="55" t="str">
        <f t="shared" si="52"/>
        <v/>
      </c>
      <c r="BE318" s="55" t="str">
        <f t="shared" si="53"/>
        <v/>
      </c>
      <c r="BF318" s="55" t="str">
        <f t="shared" si="54"/>
        <v/>
      </c>
      <c r="BG318" s="55" t="str">
        <f t="shared" si="55"/>
        <v/>
      </c>
      <c r="BH318" s="55" t="str">
        <f t="shared" si="56"/>
        <v/>
      </c>
      <c r="BI318" s="55" t="str">
        <f t="shared" si="57"/>
        <v/>
      </c>
      <c r="BJ318" s="55" t="str">
        <f t="shared" si="58"/>
        <v/>
      </c>
      <c r="BK318" s="55" t="str">
        <f t="shared" si="59"/>
        <v/>
      </c>
    </row>
    <row r="319" spans="22:63">
      <c r="V319" s="55">
        <f t="shared" ca="1" si="48"/>
        <v>1</v>
      </c>
      <c r="W319" s="64"/>
      <c r="X319" s="65"/>
      <c r="Y319" s="65"/>
      <c r="Z319" s="65"/>
      <c r="AA319" s="64"/>
      <c r="AB319" s="65"/>
      <c r="AC319" s="64"/>
      <c r="AD319" s="65"/>
      <c r="AE319" s="64"/>
      <c r="AF319" s="65"/>
      <c r="AG319" s="65"/>
      <c r="AH319" s="66" t="str">
        <f t="shared" si="49"/>
        <v/>
      </c>
      <c r="AI319" s="64"/>
      <c r="AJ319" s="65"/>
      <c r="AK319" s="64"/>
      <c r="AL319" s="65"/>
      <c r="BB319" s="55" t="str">
        <f t="shared" si="50"/>
        <v/>
      </c>
      <c r="BC319" s="55" t="str">
        <f t="shared" si="51"/>
        <v/>
      </c>
      <c r="BD319" s="55" t="str">
        <f t="shared" si="52"/>
        <v/>
      </c>
      <c r="BE319" s="55" t="str">
        <f t="shared" si="53"/>
        <v/>
      </c>
      <c r="BF319" s="55" t="str">
        <f t="shared" si="54"/>
        <v/>
      </c>
      <c r="BG319" s="55" t="str">
        <f t="shared" si="55"/>
        <v/>
      </c>
      <c r="BH319" s="55" t="str">
        <f t="shared" si="56"/>
        <v/>
      </c>
      <c r="BI319" s="55" t="str">
        <f t="shared" si="57"/>
        <v/>
      </c>
      <c r="BJ319" s="55" t="str">
        <f t="shared" si="58"/>
        <v/>
      </c>
      <c r="BK319" s="55" t="str">
        <f t="shared" si="59"/>
        <v/>
      </c>
    </row>
    <row r="320" spans="22:63">
      <c r="V320" s="55">
        <f t="shared" ca="1" si="48"/>
        <v>1</v>
      </c>
      <c r="W320" s="64"/>
      <c r="X320" s="65"/>
      <c r="Y320" s="65"/>
      <c r="Z320" s="65"/>
      <c r="AA320" s="64"/>
      <c r="AB320" s="65"/>
      <c r="AC320" s="64"/>
      <c r="AD320" s="65"/>
      <c r="AE320" s="64"/>
      <c r="AF320" s="65"/>
      <c r="AG320" s="65"/>
      <c r="AH320" s="66" t="str">
        <f t="shared" si="49"/>
        <v/>
      </c>
      <c r="AI320" s="64"/>
      <c r="AJ320" s="65"/>
      <c r="AK320" s="64"/>
      <c r="AL320" s="65"/>
      <c r="BB320" s="55" t="str">
        <f t="shared" si="50"/>
        <v/>
      </c>
      <c r="BC320" s="55" t="str">
        <f t="shared" si="51"/>
        <v/>
      </c>
      <c r="BD320" s="55" t="str">
        <f t="shared" si="52"/>
        <v/>
      </c>
      <c r="BE320" s="55" t="str">
        <f t="shared" si="53"/>
        <v/>
      </c>
      <c r="BF320" s="55" t="str">
        <f t="shared" si="54"/>
        <v/>
      </c>
      <c r="BG320" s="55" t="str">
        <f t="shared" si="55"/>
        <v/>
      </c>
      <c r="BH320" s="55" t="str">
        <f t="shared" si="56"/>
        <v/>
      </c>
      <c r="BI320" s="55" t="str">
        <f t="shared" si="57"/>
        <v/>
      </c>
      <c r="BJ320" s="55" t="str">
        <f t="shared" si="58"/>
        <v/>
      </c>
      <c r="BK320" s="55" t="str">
        <f t="shared" si="59"/>
        <v/>
      </c>
    </row>
    <row r="321" spans="22:63">
      <c r="V321" s="55">
        <f t="shared" ca="1" si="48"/>
        <v>1</v>
      </c>
      <c r="W321" s="64"/>
      <c r="X321" s="65"/>
      <c r="Y321" s="65"/>
      <c r="Z321" s="65"/>
      <c r="AA321" s="64"/>
      <c r="AB321" s="65"/>
      <c r="AC321" s="64"/>
      <c r="AD321" s="65"/>
      <c r="AE321" s="64"/>
      <c r="AF321" s="65"/>
      <c r="AG321" s="65"/>
      <c r="AH321" s="66" t="str">
        <f t="shared" si="49"/>
        <v/>
      </c>
      <c r="AI321" s="64"/>
      <c r="AJ321" s="65"/>
      <c r="AK321" s="64"/>
      <c r="AL321" s="65"/>
      <c r="BB321" s="55" t="str">
        <f t="shared" si="50"/>
        <v/>
      </c>
      <c r="BC321" s="55" t="str">
        <f t="shared" si="51"/>
        <v/>
      </c>
      <c r="BD321" s="55" t="str">
        <f t="shared" si="52"/>
        <v/>
      </c>
      <c r="BE321" s="55" t="str">
        <f t="shared" si="53"/>
        <v/>
      </c>
      <c r="BF321" s="55" t="str">
        <f t="shared" si="54"/>
        <v/>
      </c>
      <c r="BG321" s="55" t="str">
        <f t="shared" si="55"/>
        <v/>
      </c>
      <c r="BH321" s="55" t="str">
        <f t="shared" si="56"/>
        <v/>
      </c>
      <c r="BI321" s="55" t="str">
        <f t="shared" si="57"/>
        <v/>
      </c>
      <c r="BJ321" s="55" t="str">
        <f t="shared" si="58"/>
        <v/>
      </c>
      <c r="BK321" s="55" t="str">
        <f t="shared" si="59"/>
        <v/>
      </c>
    </row>
    <row r="322" spans="22:63">
      <c r="V322" s="55">
        <f t="shared" ca="1" si="48"/>
        <v>1</v>
      </c>
      <c r="W322" s="64"/>
      <c r="X322" s="65"/>
      <c r="Y322" s="65"/>
      <c r="Z322" s="65"/>
      <c r="AA322" s="64"/>
      <c r="AB322" s="65"/>
      <c r="AC322" s="64"/>
      <c r="AD322" s="65"/>
      <c r="AE322" s="64"/>
      <c r="AF322" s="65"/>
      <c r="AG322" s="65"/>
      <c r="AH322" s="66" t="str">
        <f t="shared" si="49"/>
        <v/>
      </c>
      <c r="AI322" s="64"/>
      <c r="AJ322" s="65"/>
      <c r="AK322" s="64"/>
      <c r="AL322" s="65"/>
      <c r="BB322" s="55" t="str">
        <f t="shared" si="50"/>
        <v/>
      </c>
      <c r="BC322" s="55" t="str">
        <f t="shared" si="51"/>
        <v/>
      </c>
      <c r="BD322" s="55" t="str">
        <f t="shared" si="52"/>
        <v/>
      </c>
      <c r="BE322" s="55" t="str">
        <f t="shared" si="53"/>
        <v/>
      </c>
      <c r="BF322" s="55" t="str">
        <f t="shared" si="54"/>
        <v/>
      </c>
      <c r="BG322" s="55" t="str">
        <f t="shared" si="55"/>
        <v/>
      </c>
      <c r="BH322" s="55" t="str">
        <f t="shared" si="56"/>
        <v/>
      </c>
      <c r="BI322" s="55" t="str">
        <f t="shared" si="57"/>
        <v/>
      </c>
      <c r="BJ322" s="55" t="str">
        <f t="shared" si="58"/>
        <v/>
      </c>
      <c r="BK322" s="55" t="str">
        <f t="shared" si="59"/>
        <v/>
      </c>
    </row>
    <row r="323" spans="22:63">
      <c r="V323" s="55">
        <f t="shared" ca="1" si="48"/>
        <v>1</v>
      </c>
      <c r="W323" s="64"/>
      <c r="X323" s="65"/>
      <c r="Y323" s="65"/>
      <c r="Z323" s="65"/>
      <c r="AA323" s="64"/>
      <c r="AB323" s="65"/>
      <c r="AC323" s="64"/>
      <c r="AD323" s="65"/>
      <c r="AE323" s="64"/>
      <c r="AF323" s="65"/>
      <c r="AG323" s="65"/>
      <c r="AH323" s="66" t="str">
        <f t="shared" si="49"/>
        <v/>
      </c>
      <c r="AI323" s="64"/>
      <c r="AJ323" s="65"/>
      <c r="AK323" s="64"/>
      <c r="AL323" s="65"/>
      <c r="BB323" s="55" t="str">
        <f t="shared" si="50"/>
        <v/>
      </c>
      <c r="BC323" s="55" t="str">
        <f t="shared" si="51"/>
        <v/>
      </c>
      <c r="BD323" s="55" t="str">
        <f t="shared" si="52"/>
        <v/>
      </c>
      <c r="BE323" s="55" t="str">
        <f t="shared" si="53"/>
        <v/>
      </c>
      <c r="BF323" s="55" t="str">
        <f t="shared" si="54"/>
        <v/>
      </c>
      <c r="BG323" s="55" t="str">
        <f t="shared" si="55"/>
        <v/>
      </c>
      <c r="BH323" s="55" t="str">
        <f t="shared" si="56"/>
        <v/>
      </c>
      <c r="BI323" s="55" t="str">
        <f t="shared" si="57"/>
        <v/>
      </c>
      <c r="BJ323" s="55" t="str">
        <f t="shared" si="58"/>
        <v/>
      </c>
      <c r="BK323" s="55" t="str">
        <f t="shared" si="59"/>
        <v/>
      </c>
    </row>
    <row r="324" spans="22:63">
      <c r="V324" s="55">
        <f t="shared" ca="1" si="48"/>
        <v>1</v>
      </c>
      <c r="W324" s="64"/>
      <c r="X324" s="65"/>
      <c r="Y324" s="65"/>
      <c r="Z324" s="65"/>
      <c r="AA324" s="64"/>
      <c r="AB324" s="65"/>
      <c r="AC324" s="64"/>
      <c r="AD324" s="65"/>
      <c r="AE324" s="64"/>
      <c r="AF324" s="65"/>
      <c r="AG324" s="65"/>
      <c r="AH324" s="66" t="str">
        <f t="shared" si="49"/>
        <v/>
      </c>
      <c r="AI324" s="64"/>
      <c r="AJ324" s="65"/>
      <c r="AK324" s="64"/>
      <c r="AL324" s="65"/>
      <c r="BB324" s="55" t="str">
        <f t="shared" si="50"/>
        <v/>
      </c>
      <c r="BC324" s="55" t="str">
        <f t="shared" si="51"/>
        <v/>
      </c>
      <c r="BD324" s="55" t="str">
        <f t="shared" si="52"/>
        <v/>
      </c>
      <c r="BE324" s="55" t="str">
        <f t="shared" si="53"/>
        <v/>
      </c>
      <c r="BF324" s="55" t="str">
        <f t="shared" si="54"/>
        <v/>
      </c>
      <c r="BG324" s="55" t="str">
        <f t="shared" si="55"/>
        <v/>
      </c>
      <c r="BH324" s="55" t="str">
        <f t="shared" si="56"/>
        <v/>
      </c>
      <c r="BI324" s="55" t="str">
        <f t="shared" si="57"/>
        <v/>
      </c>
      <c r="BJ324" s="55" t="str">
        <f t="shared" si="58"/>
        <v/>
      </c>
      <c r="BK324" s="55" t="str">
        <f t="shared" si="59"/>
        <v/>
      </c>
    </row>
    <row r="325" spans="22:63">
      <c r="V325" s="55">
        <f t="shared" ca="1" si="48"/>
        <v>1</v>
      </c>
      <c r="W325" s="64"/>
      <c r="X325" s="65"/>
      <c r="Y325" s="65"/>
      <c r="Z325" s="65"/>
      <c r="AA325" s="64"/>
      <c r="AB325" s="65"/>
      <c r="AC325" s="64"/>
      <c r="AD325" s="65"/>
      <c r="AE325" s="64"/>
      <c r="AF325" s="65"/>
      <c r="AG325" s="65"/>
      <c r="AH325" s="66" t="str">
        <f t="shared" si="49"/>
        <v/>
      </c>
      <c r="AI325" s="64"/>
      <c r="AJ325" s="65"/>
      <c r="AK325" s="64"/>
      <c r="AL325" s="65"/>
      <c r="BB325" s="55" t="str">
        <f t="shared" si="50"/>
        <v/>
      </c>
      <c r="BC325" s="55" t="str">
        <f t="shared" si="51"/>
        <v/>
      </c>
      <c r="BD325" s="55" t="str">
        <f t="shared" si="52"/>
        <v/>
      </c>
      <c r="BE325" s="55" t="str">
        <f t="shared" si="53"/>
        <v/>
      </c>
      <c r="BF325" s="55" t="str">
        <f t="shared" si="54"/>
        <v/>
      </c>
      <c r="BG325" s="55" t="str">
        <f t="shared" si="55"/>
        <v/>
      </c>
      <c r="BH325" s="55" t="str">
        <f t="shared" si="56"/>
        <v/>
      </c>
      <c r="BI325" s="55" t="str">
        <f t="shared" si="57"/>
        <v/>
      </c>
      <c r="BJ325" s="55" t="str">
        <f t="shared" si="58"/>
        <v/>
      </c>
      <c r="BK325" s="55" t="str">
        <f t="shared" si="59"/>
        <v/>
      </c>
    </row>
    <row r="326" spans="22:63">
      <c r="V326" s="55">
        <f t="shared" ca="1" si="48"/>
        <v>1</v>
      </c>
      <c r="W326" s="64"/>
      <c r="X326" s="65"/>
      <c r="Y326" s="65"/>
      <c r="Z326" s="65"/>
      <c r="AA326" s="64"/>
      <c r="AB326" s="65"/>
      <c r="AC326" s="64"/>
      <c r="AD326" s="65"/>
      <c r="AE326" s="64"/>
      <c r="AF326" s="65"/>
      <c r="AG326" s="65"/>
      <c r="AH326" s="66" t="str">
        <f t="shared" si="49"/>
        <v/>
      </c>
      <c r="AI326" s="64"/>
      <c r="AJ326" s="65"/>
      <c r="AK326" s="64"/>
      <c r="AL326" s="65"/>
      <c r="BB326" s="55" t="str">
        <f t="shared" si="50"/>
        <v/>
      </c>
      <c r="BC326" s="55" t="str">
        <f t="shared" si="51"/>
        <v/>
      </c>
      <c r="BD326" s="55" t="str">
        <f t="shared" si="52"/>
        <v/>
      </c>
      <c r="BE326" s="55" t="str">
        <f t="shared" si="53"/>
        <v/>
      </c>
      <c r="BF326" s="55" t="str">
        <f t="shared" si="54"/>
        <v/>
      </c>
      <c r="BG326" s="55" t="str">
        <f t="shared" si="55"/>
        <v/>
      </c>
      <c r="BH326" s="55" t="str">
        <f t="shared" si="56"/>
        <v/>
      </c>
      <c r="BI326" s="55" t="str">
        <f t="shared" si="57"/>
        <v/>
      </c>
      <c r="BJ326" s="55" t="str">
        <f t="shared" si="58"/>
        <v/>
      </c>
      <c r="BK326" s="55" t="str">
        <f t="shared" si="59"/>
        <v/>
      </c>
    </row>
    <row r="327" spans="22:63">
      <c r="V327" s="55">
        <f t="shared" ca="1" si="48"/>
        <v>1</v>
      </c>
      <c r="W327" s="64"/>
      <c r="X327" s="65"/>
      <c r="Y327" s="65"/>
      <c r="Z327" s="65"/>
      <c r="AA327" s="64"/>
      <c r="AB327" s="65"/>
      <c r="AC327" s="64"/>
      <c r="AD327" s="65"/>
      <c r="AE327" s="64"/>
      <c r="AF327" s="65"/>
      <c r="AG327" s="65"/>
      <c r="AH327" s="66" t="str">
        <f t="shared" si="49"/>
        <v/>
      </c>
      <c r="AI327" s="64"/>
      <c r="AJ327" s="65"/>
      <c r="AK327" s="64"/>
      <c r="AL327" s="65"/>
      <c r="BB327" s="55" t="str">
        <f t="shared" si="50"/>
        <v/>
      </c>
      <c r="BC327" s="55" t="str">
        <f t="shared" si="51"/>
        <v/>
      </c>
      <c r="BD327" s="55" t="str">
        <f t="shared" si="52"/>
        <v/>
      </c>
      <c r="BE327" s="55" t="str">
        <f t="shared" si="53"/>
        <v/>
      </c>
      <c r="BF327" s="55" t="str">
        <f t="shared" si="54"/>
        <v/>
      </c>
      <c r="BG327" s="55" t="str">
        <f t="shared" si="55"/>
        <v/>
      </c>
      <c r="BH327" s="55" t="str">
        <f t="shared" si="56"/>
        <v/>
      </c>
      <c r="BI327" s="55" t="str">
        <f t="shared" si="57"/>
        <v/>
      </c>
      <c r="BJ327" s="55" t="str">
        <f t="shared" si="58"/>
        <v/>
      </c>
      <c r="BK327" s="55" t="str">
        <f t="shared" si="59"/>
        <v/>
      </c>
    </row>
    <row r="328" spans="22:63">
      <c r="V328" s="55">
        <f t="shared" ca="1" si="48"/>
        <v>1</v>
      </c>
      <c r="W328" s="64"/>
      <c r="X328" s="65"/>
      <c r="Y328" s="65"/>
      <c r="Z328" s="65"/>
      <c r="AA328" s="64"/>
      <c r="AB328" s="65"/>
      <c r="AC328" s="64"/>
      <c r="AD328" s="65"/>
      <c r="AE328" s="64"/>
      <c r="AF328" s="65"/>
      <c r="AG328" s="65"/>
      <c r="AH328" s="66" t="str">
        <f t="shared" si="49"/>
        <v/>
      </c>
      <c r="AI328" s="64"/>
      <c r="AJ328" s="65"/>
      <c r="AK328" s="64"/>
      <c r="AL328" s="65"/>
      <c r="BB328" s="55" t="str">
        <f t="shared" si="50"/>
        <v/>
      </c>
      <c r="BC328" s="55" t="str">
        <f t="shared" si="51"/>
        <v/>
      </c>
      <c r="BD328" s="55" t="str">
        <f t="shared" si="52"/>
        <v/>
      </c>
      <c r="BE328" s="55" t="str">
        <f t="shared" si="53"/>
        <v/>
      </c>
      <c r="BF328" s="55" t="str">
        <f t="shared" si="54"/>
        <v/>
      </c>
      <c r="BG328" s="55" t="str">
        <f t="shared" si="55"/>
        <v/>
      </c>
      <c r="BH328" s="55" t="str">
        <f t="shared" si="56"/>
        <v/>
      </c>
      <c r="BI328" s="55" t="str">
        <f t="shared" si="57"/>
        <v/>
      </c>
      <c r="BJ328" s="55" t="str">
        <f t="shared" si="58"/>
        <v/>
      </c>
      <c r="BK328" s="55" t="str">
        <f t="shared" si="59"/>
        <v/>
      </c>
    </row>
    <row r="329" spans="22:63">
      <c r="V329" s="55">
        <f t="shared" ca="1" si="48"/>
        <v>1</v>
      </c>
      <c r="W329" s="64"/>
      <c r="X329" s="65"/>
      <c r="Y329" s="65"/>
      <c r="Z329" s="65"/>
      <c r="AA329" s="64"/>
      <c r="AB329" s="65"/>
      <c r="AC329" s="64"/>
      <c r="AD329" s="65"/>
      <c r="AE329" s="64"/>
      <c r="AF329" s="65"/>
      <c r="AG329" s="65"/>
      <c r="AH329" s="66" t="str">
        <f t="shared" si="49"/>
        <v/>
      </c>
      <c r="AI329" s="64"/>
      <c r="AJ329" s="65"/>
      <c r="AK329" s="64"/>
      <c r="AL329" s="65"/>
      <c r="BB329" s="55" t="str">
        <f t="shared" si="50"/>
        <v/>
      </c>
      <c r="BC329" s="55" t="str">
        <f t="shared" si="51"/>
        <v/>
      </c>
      <c r="BD329" s="55" t="str">
        <f t="shared" si="52"/>
        <v/>
      </c>
      <c r="BE329" s="55" t="str">
        <f t="shared" si="53"/>
        <v/>
      </c>
      <c r="BF329" s="55" t="str">
        <f t="shared" si="54"/>
        <v/>
      </c>
      <c r="BG329" s="55" t="str">
        <f t="shared" si="55"/>
        <v/>
      </c>
      <c r="BH329" s="55" t="str">
        <f t="shared" si="56"/>
        <v/>
      </c>
      <c r="BI329" s="55" t="str">
        <f t="shared" si="57"/>
        <v/>
      </c>
      <c r="BJ329" s="55" t="str">
        <f t="shared" si="58"/>
        <v/>
      </c>
      <c r="BK329" s="55" t="str">
        <f t="shared" si="59"/>
        <v/>
      </c>
    </row>
    <row r="330" spans="22:63">
      <c r="V330" s="55">
        <f t="shared" ca="1" si="48"/>
        <v>1</v>
      </c>
      <c r="W330" s="64"/>
      <c r="X330" s="65"/>
      <c r="Y330" s="65"/>
      <c r="Z330" s="65"/>
      <c r="AA330" s="64"/>
      <c r="AB330" s="65"/>
      <c r="AC330" s="64"/>
      <c r="AD330" s="65"/>
      <c r="AE330" s="64"/>
      <c r="AF330" s="65"/>
      <c r="AG330" s="65"/>
      <c r="AH330" s="66" t="str">
        <f t="shared" si="49"/>
        <v/>
      </c>
      <c r="AI330" s="64"/>
      <c r="AJ330" s="65"/>
      <c r="AK330" s="64"/>
      <c r="AL330" s="65"/>
      <c r="BB330" s="55" t="str">
        <f t="shared" si="50"/>
        <v/>
      </c>
      <c r="BC330" s="55" t="str">
        <f t="shared" si="51"/>
        <v/>
      </c>
      <c r="BD330" s="55" t="str">
        <f t="shared" si="52"/>
        <v/>
      </c>
      <c r="BE330" s="55" t="str">
        <f t="shared" si="53"/>
        <v/>
      </c>
      <c r="BF330" s="55" t="str">
        <f t="shared" si="54"/>
        <v/>
      </c>
      <c r="BG330" s="55" t="str">
        <f t="shared" si="55"/>
        <v/>
      </c>
      <c r="BH330" s="55" t="str">
        <f t="shared" si="56"/>
        <v/>
      </c>
      <c r="BI330" s="55" t="str">
        <f t="shared" si="57"/>
        <v/>
      </c>
      <c r="BJ330" s="55" t="str">
        <f t="shared" si="58"/>
        <v/>
      </c>
      <c r="BK330" s="55" t="str">
        <f t="shared" si="59"/>
        <v/>
      </c>
    </row>
    <row r="331" spans="22:63">
      <c r="V331" s="55">
        <f t="shared" ref="V331:V394" ca="1" si="60">IF(ISBLANK($W331),IF(ISNUMBER(INDIRECT("S"&amp;ROW($V331)-1)),INDIRECT("S"&amp;ROW($V331)-1),1),$W331)</f>
        <v>1</v>
      </c>
      <c r="W331" s="64"/>
      <c r="X331" s="65"/>
      <c r="Y331" s="65"/>
      <c r="Z331" s="65"/>
      <c r="AA331" s="64"/>
      <c r="AB331" s="65"/>
      <c r="AC331" s="64"/>
      <c r="AD331" s="65"/>
      <c r="AE331" s="64"/>
      <c r="AF331" s="65"/>
      <c r="AG331" s="65"/>
      <c r="AH331" s="66" t="str">
        <f t="shared" ref="AH331:AH394" si="61">IF(ISNUMBER($BI331), $BH331&amp;" - "&amp;$BJ331,"")</f>
        <v/>
      </c>
      <c r="AI331" s="64"/>
      <c r="AJ331" s="65"/>
      <c r="AK331" s="64"/>
      <c r="AL331" s="65"/>
      <c r="BB331" s="55" t="str">
        <f t="shared" ref="BB331:BB394" si="62">IF(ISBLANK($Z331),"",VLOOKUP($Z331,$A$11:$B$1010,2,FALSE))</f>
        <v/>
      </c>
      <c r="BC331" s="55" t="str">
        <f t="shared" ref="BC331:BC394" si="63">IF(ISBLANK($AA331),"",VLOOKUP($AA331,$D$11:$E$1010,2,FALSE))</f>
        <v/>
      </c>
      <c r="BD331" s="55" t="str">
        <f t="shared" ref="BD331:BD394" si="64">IF(ISBLANK($AC331),"",VLOOKUP($AC331,$H$11:$I$1010,2,FALSE))</f>
        <v/>
      </c>
      <c r="BE331" s="55" t="str">
        <f t="shared" ref="BE331:BE394" si="65">IF(ISBLANK($AF331),"",VLOOKUP($AF331,$L$11:$M$1010,2,FALSE))</f>
        <v/>
      </c>
      <c r="BF331" s="55" t="str">
        <f t="shared" ref="BF331:BF394" si="66">IF(ISNUMBER($BC331),VLOOKUP($BC331,$E$11:$F$1010,2,FALSE),"")</f>
        <v/>
      </c>
      <c r="BG331" s="55" t="str">
        <f t="shared" ref="BG331:BG394" si="67">IF(ISNUMBER($BD331),VLOOKUP($BD331,$I$11:$J$1010,2,FALSE),"")</f>
        <v/>
      </c>
      <c r="BH331" s="55" t="str">
        <f t="shared" ref="BH331:BH394" si="68">IF(AND(ISNUMBER($BF331),ISNUMBER($BG331)),$BF331*$BG331,"")</f>
        <v/>
      </c>
      <c r="BI331" s="55" t="str">
        <f t="shared" ref="BI331:BI394" si="69">IF(ISNUMBER($BH331),LOOKUP($BH331,lower_limit_level_risiko,id_level_risiko),"")</f>
        <v/>
      </c>
      <c r="BJ331" s="55" t="str">
        <f t="shared" ref="BJ331:BJ394" si="70">IF(ISNUMBER($BH331),LOOKUP($BH331,lower_limit_level_risiko,description_level_risiko),"")</f>
        <v/>
      </c>
      <c r="BK331" s="55" t="str">
        <f t="shared" ref="BK331:BK394" si="71">IF(ISBLANK($X331),"",VLOOKUP($X331,$T$11:$U$1010,2,FALSE))</f>
        <v/>
      </c>
    </row>
    <row r="332" spans="22:63">
      <c r="V332" s="55">
        <f t="shared" ca="1" si="60"/>
        <v>1</v>
      </c>
      <c r="W332" s="64"/>
      <c r="X332" s="65"/>
      <c r="Y332" s="65"/>
      <c r="Z332" s="65"/>
      <c r="AA332" s="64"/>
      <c r="AB332" s="65"/>
      <c r="AC332" s="64"/>
      <c r="AD332" s="65"/>
      <c r="AE332" s="64"/>
      <c r="AF332" s="65"/>
      <c r="AG332" s="65"/>
      <c r="AH332" s="66" t="str">
        <f t="shared" si="61"/>
        <v/>
      </c>
      <c r="AI332" s="64"/>
      <c r="AJ332" s="65"/>
      <c r="AK332" s="64"/>
      <c r="AL332" s="65"/>
      <c r="BB332" s="55" t="str">
        <f t="shared" si="62"/>
        <v/>
      </c>
      <c r="BC332" s="55" t="str">
        <f t="shared" si="63"/>
        <v/>
      </c>
      <c r="BD332" s="55" t="str">
        <f t="shared" si="64"/>
        <v/>
      </c>
      <c r="BE332" s="55" t="str">
        <f t="shared" si="65"/>
        <v/>
      </c>
      <c r="BF332" s="55" t="str">
        <f t="shared" si="66"/>
        <v/>
      </c>
      <c r="BG332" s="55" t="str">
        <f t="shared" si="67"/>
        <v/>
      </c>
      <c r="BH332" s="55" t="str">
        <f t="shared" si="68"/>
        <v/>
      </c>
      <c r="BI332" s="55" t="str">
        <f t="shared" si="69"/>
        <v/>
      </c>
      <c r="BJ332" s="55" t="str">
        <f t="shared" si="70"/>
        <v/>
      </c>
      <c r="BK332" s="55" t="str">
        <f t="shared" si="71"/>
        <v/>
      </c>
    </row>
    <row r="333" spans="22:63">
      <c r="V333" s="55">
        <f t="shared" ca="1" si="60"/>
        <v>1</v>
      </c>
      <c r="W333" s="64"/>
      <c r="X333" s="65"/>
      <c r="Y333" s="65"/>
      <c r="Z333" s="65"/>
      <c r="AA333" s="64"/>
      <c r="AB333" s="65"/>
      <c r="AC333" s="64"/>
      <c r="AD333" s="65"/>
      <c r="AE333" s="64"/>
      <c r="AF333" s="65"/>
      <c r="AG333" s="65"/>
      <c r="AH333" s="66" t="str">
        <f t="shared" si="61"/>
        <v/>
      </c>
      <c r="AI333" s="64"/>
      <c r="AJ333" s="65"/>
      <c r="AK333" s="64"/>
      <c r="AL333" s="65"/>
      <c r="BB333" s="55" t="str">
        <f t="shared" si="62"/>
        <v/>
      </c>
      <c r="BC333" s="55" t="str">
        <f t="shared" si="63"/>
        <v/>
      </c>
      <c r="BD333" s="55" t="str">
        <f t="shared" si="64"/>
        <v/>
      </c>
      <c r="BE333" s="55" t="str">
        <f t="shared" si="65"/>
        <v/>
      </c>
      <c r="BF333" s="55" t="str">
        <f t="shared" si="66"/>
        <v/>
      </c>
      <c r="BG333" s="55" t="str">
        <f t="shared" si="67"/>
        <v/>
      </c>
      <c r="BH333" s="55" t="str">
        <f t="shared" si="68"/>
        <v/>
      </c>
      <c r="BI333" s="55" t="str">
        <f t="shared" si="69"/>
        <v/>
      </c>
      <c r="BJ333" s="55" t="str">
        <f t="shared" si="70"/>
        <v/>
      </c>
      <c r="BK333" s="55" t="str">
        <f t="shared" si="71"/>
        <v/>
      </c>
    </row>
    <row r="334" spans="22:63">
      <c r="V334" s="55">
        <f t="shared" ca="1" si="60"/>
        <v>1</v>
      </c>
      <c r="W334" s="64"/>
      <c r="X334" s="65"/>
      <c r="Y334" s="65"/>
      <c r="Z334" s="65"/>
      <c r="AA334" s="64"/>
      <c r="AB334" s="65"/>
      <c r="AC334" s="64"/>
      <c r="AD334" s="65"/>
      <c r="AE334" s="64"/>
      <c r="AF334" s="65"/>
      <c r="AG334" s="65"/>
      <c r="AH334" s="66" t="str">
        <f t="shared" si="61"/>
        <v/>
      </c>
      <c r="AI334" s="64"/>
      <c r="AJ334" s="65"/>
      <c r="AK334" s="64"/>
      <c r="AL334" s="65"/>
      <c r="BB334" s="55" t="str">
        <f t="shared" si="62"/>
        <v/>
      </c>
      <c r="BC334" s="55" t="str">
        <f t="shared" si="63"/>
        <v/>
      </c>
      <c r="BD334" s="55" t="str">
        <f t="shared" si="64"/>
        <v/>
      </c>
      <c r="BE334" s="55" t="str">
        <f t="shared" si="65"/>
        <v/>
      </c>
      <c r="BF334" s="55" t="str">
        <f t="shared" si="66"/>
        <v/>
      </c>
      <c r="BG334" s="55" t="str">
        <f t="shared" si="67"/>
        <v/>
      </c>
      <c r="BH334" s="55" t="str">
        <f t="shared" si="68"/>
        <v/>
      </c>
      <c r="BI334" s="55" t="str">
        <f t="shared" si="69"/>
        <v/>
      </c>
      <c r="BJ334" s="55" t="str">
        <f t="shared" si="70"/>
        <v/>
      </c>
      <c r="BK334" s="55" t="str">
        <f t="shared" si="71"/>
        <v/>
      </c>
    </row>
    <row r="335" spans="22:63">
      <c r="V335" s="55">
        <f t="shared" ca="1" si="60"/>
        <v>1</v>
      </c>
      <c r="W335" s="64"/>
      <c r="X335" s="65"/>
      <c r="Y335" s="65"/>
      <c r="Z335" s="65"/>
      <c r="AA335" s="64"/>
      <c r="AB335" s="65"/>
      <c r="AC335" s="64"/>
      <c r="AD335" s="65"/>
      <c r="AE335" s="64"/>
      <c r="AF335" s="65"/>
      <c r="AG335" s="65"/>
      <c r="AH335" s="66" t="str">
        <f t="shared" si="61"/>
        <v/>
      </c>
      <c r="AI335" s="64"/>
      <c r="AJ335" s="65"/>
      <c r="AK335" s="64"/>
      <c r="AL335" s="65"/>
      <c r="BB335" s="55" t="str">
        <f t="shared" si="62"/>
        <v/>
      </c>
      <c r="BC335" s="55" t="str">
        <f t="shared" si="63"/>
        <v/>
      </c>
      <c r="BD335" s="55" t="str">
        <f t="shared" si="64"/>
        <v/>
      </c>
      <c r="BE335" s="55" t="str">
        <f t="shared" si="65"/>
        <v/>
      </c>
      <c r="BF335" s="55" t="str">
        <f t="shared" si="66"/>
        <v/>
      </c>
      <c r="BG335" s="55" t="str">
        <f t="shared" si="67"/>
        <v/>
      </c>
      <c r="BH335" s="55" t="str">
        <f t="shared" si="68"/>
        <v/>
      </c>
      <c r="BI335" s="55" t="str">
        <f t="shared" si="69"/>
        <v/>
      </c>
      <c r="BJ335" s="55" t="str">
        <f t="shared" si="70"/>
        <v/>
      </c>
      <c r="BK335" s="55" t="str">
        <f t="shared" si="71"/>
        <v/>
      </c>
    </row>
    <row r="336" spans="22:63">
      <c r="V336" s="55">
        <f t="shared" ca="1" si="60"/>
        <v>1</v>
      </c>
      <c r="W336" s="64"/>
      <c r="X336" s="65"/>
      <c r="Y336" s="65"/>
      <c r="Z336" s="65"/>
      <c r="AA336" s="64"/>
      <c r="AB336" s="65"/>
      <c r="AC336" s="64"/>
      <c r="AD336" s="65"/>
      <c r="AE336" s="64"/>
      <c r="AF336" s="65"/>
      <c r="AG336" s="65"/>
      <c r="AH336" s="66" t="str">
        <f t="shared" si="61"/>
        <v/>
      </c>
      <c r="AI336" s="64"/>
      <c r="AJ336" s="65"/>
      <c r="AK336" s="64"/>
      <c r="AL336" s="65"/>
      <c r="BB336" s="55" t="str">
        <f t="shared" si="62"/>
        <v/>
      </c>
      <c r="BC336" s="55" t="str">
        <f t="shared" si="63"/>
        <v/>
      </c>
      <c r="BD336" s="55" t="str">
        <f t="shared" si="64"/>
        <v/>
      </c>
      <c r="BE336" s="55" t="str">
        <f t="shared" si="65"/>
        <v/>
      </c>
      <c r="BF336" s="55" t="str">
        <f t="shared" si="66"/>
        <v/>
      </c>
      <c r="BG336" s="55" t="str">
        <f t="shared" si="67"/>
        <v/>
      </c>
      <c r="BH336" s="55" t="str">
        <f t="shared" si="68"/>
        <v/>
      </c>
      <c r="BI336" s="55" t="str">
        <f t="shared" si="69"/>
        <v/>
      </c>
      <c r="BJ336" s="55" t="str">
        <f t="shared" si="70"/>
        <v/>
      </c>
      <c r="BK336" s="55" t="str">
        <f t="shared" si="71"/>
        <v/>
      </c>
    </row>
    <row r="337" spans="22:63">
      <c r="V337" s="55">
        <f t="shared" ca="1" si="60"/>
        <v>1</v>
      </c>
      <c r="W337" s="64"/>
      <c r="X337" s="65"/>
      <c r="Y337" s="65"/>
      <c r="Z337" s="65"/>
      <c r="AA337" s="64"/>
      <c r="AB337" s="65"/>
      <c r="AC337" s="64"/>
      <c r="AD337" s="65"/>
      <c r="AE337" s="64"/>
      <c r="AF337" s="65"/>
      <c r="AG337" s="65"/>
      <c r="AH337" s="66" t="str">
        <f t="shared" si="61"/>
        <v/>
      </c>
      <c r="AI337" s="64"/>
      <c r="AJ337" s="65"/>
      <c r="AK337" s="64"/>
      <c r="AL337" s="65"/>
      <c r="BB337" s="55" t="str">
        <f t="shared" si="62"/>
        <v/>
      </c>
      <c r="BC337" s="55" t="str">
        <f t="shared" si="63"/>
        <v/>
      </c>
      <c r="BD337" s="55" t="str">
        <f t="shared" si="64"/>
        <v/>
      </c>
      <c r="BE337" s="55" t="str">
        <f t="shared" si="65"/>
        <v/>
      </c>
      <c r="BF337" s="55" t="str">
        <f t="shared" si="66"/>
        <v/>
      </c>
      <c r="BG337" s="55" t="str">
        <f t="shared" si="67"/>
        <v/>
      </c>
      <c r="BH337" s="55" t="str">
        <f t="shared" si="68"/>
        <v/>
      </c>
      <c r="BI337" s="55" t="str">
        <f t="shared" si="69"/>
        <v/>
      </c>
      <c r="BJ337" s="55" t="str">
        <f t="shared" si="70"/>
        <v/>
      </c>
      <c r="BK337" s="55" t="str">
        <f t="shared" si="71"/>
        <v/>
      </c>
    </row>
    <row r="338" spans="22:63">
      <c r="V338" s="55">
        <f t="shared" ca="1" si="60"/>
        <v>1</v>
      </c>
      <c r="W338" s="64"/>
      <c r="X338" s="65"/>
      <c r="Y338" s="65"/>
      <c r="Z338" s="65"/>
      <c r="AA338" s="64"/>
      <c r="AB338" s="65"/>
      <c r="AC338" s="64"/>
      <c r="AD338" s="65"/>
      <c r="AE338" s="64"/>
      <c r="AF338" s="65"/>
      <c r="AG338" s="65"/>
      <c r="AH338" s="66" t="str">
        <f t="shared" si="61"/>
        <v/>
      </c>
      <c r="AI338" s="64"/>
      <c r="AJ338" s="65"/>
      <c r="AK338" s="64"/>
      <c r="AL338" s="65"/>
      <c r="BB338" s="55" t="str">
        <f t="shared" si="62"/>
        <v/>
      </c>
      <c r="BC338" s="55" t="str">
        <f t="shared" si="63"/>
        <v/>
      </c>
      <c r="BD338" s="55" t="str">
        <f t="shared" si="64"/>
        <v/>
      </c>
      <c r="BE338" s="55" t="str">
        <f t="shared" si="65"/>
        <v/>
      </c>
      <c r="BF338" s="55" t="str">
        <f t="shared" si="66"/>
        <v/>
      </c>
      <c r="BG338" s="55" t="str">
        <f t="shared" si="67"/>
        <v/>
      </c>
      <c r="BH338" s="55" t="str">
        <f t="shared" si="68"/>
        <v/>
      </c>
      <c r="BI338" s="55" t="str">
        <f t="shared" si="69"/>
        <v/>
      </c>
      <c r="BJ338" s="55" t="str">
        <f t="shared" si="70"/>
        <v/>
      </c>
      <c r="BK338" s="55" t="str">
        <f t="shared" si="71"/>
        <v/>
      </c>
    </row>
    <row r="339" spans="22:63">
      <c r="V339" s="55">
        <f t="shared" ca="1" si="60"/>
        <v>1</v>
      </c>
      <c r="W339" s="64"/>
      <c r="X339" s="65"/>
      <c r="Y339" s="65"/>
      <c r="Z339" s="65"/>
      <c r="AA339" s="64"/>
      <c r="AB339" s="65"/>
      <c r="AC339" s="64"/>
      <c r="AD339" s="65"/>
      <c r="AE339" s="64"/>
      <c r="AF339" s="65"/>
      <c r="AG339" s="65"/>
      <c r="AH339" s="66" t="str">
        <f t="shared" si="61"/>
        <v/>
      </c>
      <c r="AI339" s="64"/>
      <c r="AJ339" s="65"/>
      <c r="AK339" s="64"/>
      <c r="AL339" s="65"/>
      <c r="BB339" s="55" t="str">
        <f t="shared" si="62"/>
        <v/>
      </c>
      <c r="BC339" s="55" t="str">
        <f t="shared" si="63"/>
        <v/>
      </c>
      <c r="BD339" s="55" t="str">
        <f t="shared" si="64"/>
        <v/>
      </c>
      <c r="BE339" s="55" t="str">
        <f t="shared" si="65"/>
        <v/>
      </c>
      <c r="BF339" s="55" t="str">
        <f t="shared" si="66"/>
        <v/>
      </c>
      <c r="BG339" s="55" t="str">
        <f t="shared" si="67"/>
        <v/>
      </c>
      <c r="BH339" s="55" t="str">
        <f t="shared" si="68"/>
        <v/>
      </c>
      <c r="BI339" s="55" t="str">
        <f t="shared" si="69"/>
        <v/>
      </c>
      <c r="BJ339" s="55" t="str">
        <f t="shared" si="70"/>
        <v/>
      </c>
      <c r="BK339" s="55" t="str">
        <f t="shared" si="71"/>
        <v/>
      </c>
    </row>
    <row r="340" spans="22:63">
      <c r="V340" s="55">
        <f t="shared" ca="1" si="60"/>
        <v>1</v>
      </c>
      <c r="W340" s="64"/>
      <c r="X340" s="65"/>
      <c r="Y340" s="65"/>
      <c r="Z340" s="65"/>
      <c r="AA340" s="64"/>
      <c r="AB340" s="65"/>
      <c r="AC340" s="64"/>
      <c r="AD340" s="65"/>
      <c r="AE340" s="64"/>
      <c r="AF340" s="65"/>
      <c r="AG340" s="65"/>
      <c r="AH340" s="66" t="str">
        <f t="shared" si="61"/>
        <v/>
      </c>
      <c r="AI340" s="64"/>
      <c r="AJ340" s="65"/>
      <c r="AK340" s="64"/>
      <c r="AL340" s="65"/>
      <c r="BB340" s="55" t="str">
        <f t="shared" si="62"/>
        <v/>
      </c>
      <c r="BC340" s="55" t="str">
        <f t="shared" si="63"/>
        <v/>
      </c>
      <c r="BD340" s="55" t="str">
        <f t="shared" si="64"/>
        <v/>
      </c>
      <c r="BE340" s="55" t="str">
        <f t="shared" si="65"/>
        <v/>
      </c>
      <c r="BF340" s="55" t="str">
        <f t="shared" si="66"/>
        <v/>
      </c>
      <c r="BG340" s="55" t="str">
        <f t="shared" si="67"/>
        <v/>
      </c>
      <c r="BH340" s="55" t="str">
        <f t="shared" si="68"/>
        <v/>
      </c>
      <c r="BI340" s="55" t="str">
        <f t="shared" si="69"/>
        <v/>
      </c>
      <c r="BJ340" s="55" t="str">
        <f t="shared" si="70"/>
        <v/>
      </c>
      <c r="BK340" s="55" t="str">
        <f t="shared" si="71"/>
        <v/>
      </c>
    </row>
    <row r="341" spans="22:63">
      <c r="V341" s="55">
        <f t="shared" ca="1" si="60"/>
        <v>1</v>
      </c>
      <c r="W341" s="64"/>
      <c r="X341" s="65"/>
      <c r="Y341" s="65"/>
      <c r="Z341" s="65"/>
      <c r="AA341" s="64"/>
      <c r="AB341" s="65"/>
      <c r="AC341" s="64"/>
      <c r="AD341" s="65"/>
      <c r="AE341" s="64"/>
      <c r="AF341" s="65"/>
      <c r="AG341" s="65"/>
      <c r="AH341" s="66" t="str">
        <f t="shared" si="61"/>
        <v/>
      </c>
      <c r="AI341" s="64"/>
      <c r="AJ341" s="65"/>
      <c r="AK341" s="64"/>
      <c r="AL341" s="65"/>
      <c r="BB341" s="55" t="str">
        <f t="shared" si="62"/>
        <v/>
      </c>
      <c r="BC341" s="55" t="str">
        <f t="shared" si="63"/>
        <v/>
      </c>
      <c r="BD341" s="55" t="str">
        <f t="shared" si="64"/>
        <v/>
      </c>
      <c r="BE341" s="55" t="str">
        <f t="shared" si="65"/>
        <v/>
      </c>
      <c r="BF341" s="55" t="str">
        <f t="shared" si="66"/>
        <v/>
      </c>
      <c r="BG341" s="55" t="str">
        <f t="shared" si="67"/>
        <v/>
      </c>
      <c r="BH341" s="55" t="str">
        <f t="shared" si="68"/>
        <v/>
      </c>
      <c r="BI341" s="55" t="str">
        <f t="shared" si="69"/>
        <v/>
      </c>
      <c r="BJ341" s="55" t="str">
        <f t="shared" si="70"/>
        <v/>
      </c>
      <c r="BK341" s="55" t="str">
        <f t="shared" si="71"/>
        <v/>
      </c>
    </row>
    <row r="342" spans="22:63">
      <c r="V342" s="55">
        <f t="shared" ca="1" si="60"/>
        <v>1</v>
      </c>
      <c r="W342" s="64"/>
      <c r="X342" s="65"/>
      <c r="Y342" s="65"/>
      <c r="Z342" s="65"/>
      <c r="AA342" s="64"/>
      <c r="AB342" s="65"/>
      <c r="AC342" s="64"/>
      <c r="AD342" s="65"/>
      <c r="AE342" s="64"/>
      <c r="AF342" s="65"/>
      <c r="AG342" s="65"/>
      <c r="AH342" s="66" t="str">
        <f t="shared" si="61"/>
        <v/>
      </c>
      <c r="AI342" s="64"/>
      <c r="AJ342" s="65"/>
      <c r="AK342" s="64"/>
      <c r="AL342" s="65"/>
      <c r="BB342" s="55" t="str">
        <f t="shared" si="62"/>
        <v/>
      </c>
      <c r="BC342" s="55" t="str">
        <f t="shared" si="63"/>
        <v/>
      </c>
      <c r="BD342" s="55" t="str">
        <f t="shared" si="64"/>
        <v/>
      </c>
      <c r="BE342" s="55" t="str">
        <f t="shared" si="65"/>
        <v/>
      </c>
      <c r="BF342" s="55" t="str">
        <f t="shared" si="66"/>
        <v/>
      </c>
      <c r="BG342" s="55" t="str">
        <f t="shared" si="67"/>
        <v/>
      </c>
      <c r="BH342" s="55" t="str">
        <f t="shared" si="68"/>
        <v/>
      </c>
      <c r="BI342" s="55" t="str">
        <f t="shared" si="69"/>
        <v/>
      </c>
      <c r="BJ342" s="55" t="str">
        <f t="shared" si="70"/>
        <v/>
      </c>
      <c r="BK342" s="55" t="str">
        <f t="shared" si="71"/>
        <v/>
      </c>
    </row>
    <row r="343" spans="22:63">
      <c r="V343" s="55">
        <f t="shared" ca="1" si="60"/>
        <v>1</v>
      </c>
      <c r="W343" s="64"/>
      <c r="X343" s="65"/>
      <c r="Y343" s="65"/>
      <c r="Z343" s="65"/>
      <c r="AA343" s="64"/>
      <c r="AB343" s="65"/>
      <c r="AC343" s="64"/>
      <c r="AD343" s="65"/>
      <c r="AE343" s="64"/>
      <c r="AF343" s="65"/>
      <c r="AG343" s="65"/>
      <c r="AH343" s="66" t="str">
        <f t="shared" si="61"/>
        <v/>
      </c>
      <c r="AI343" s="64"/>
      <c r="AJ343" s="65"/>
      <c r="AK343" s="64"/>
      <c r="AL343" s="65"/>
      <c r="BB343" s="55" t="str">
        <f t="shared" si="62"/>
        <v/>
      </c>
      <c r="BC343" s="55" t="str">
        <f t="shared" si="63"/>
        <v/>
      </c>
      <c r="BD343" s="55" t="str">
        <f t="shared" si="64"/>
        <v/>
      </c>
      <c r="BE343" s="55" t="str">
        <f t="shared" si="65"/>
        <v/>
      </c>
      <c r="BF343" s="55" t="str">
        <f t="shared" si="66"/>
        <v/>
      </c>
      <c r="BG343" s="55" t="str">
        <f t="shared" si="67"/>
        <v/>
      </c>
      <c r="BH343" s="55" t="str">
        <f t="shared" si="68"/>
        <v/>
      </c>
      <c r="BI343" s="55" t="str">
        <f t="shared" si="69"/>
        <v/>
      </c>
      <c r="BJ343" s="55" t="str">
        <f t="shared" si="70"/>
        <v/>
      </c>
      <c r="BK343" s="55" t="str">
        <f t="shared" si="71"/>
        <v/>
      </c>
    </row>
    <row r="344" spans="22:63">
      <c r="V344" s="55">
        <f t="shared" ca="1" si="60"/>
        <v>1</v>
      </c>
      <c r="W344" s="64"/>
      <c r="X344" s="65"/>
      <c r="Y344" s="65"/>
      <c r="Z344" s="65"/>
      <c r="AA344" s="64"/>
      <c r="AB344" s="65"/>
      <c r="AC344" s="64"/>
      <c r="AD344" s="65"/>
      <c r="AE344" s="64"/>
      <c r="AF344" s="65"/>
      <c r="AG344" s="65"/>
      <c r="AH344" s="66" t="str">
        <f t="shared" si="61"/>
        <v/>
      </c>
      <c r="AI344" s="64"/>
      <c r="AJ344" s="65"/>
      <c r="AK344" s="64"/>
      <c r="AL344" s="65"/>
      <c r="BB344" s="55" t="str">
        <f t="shared" si="62"/>
        <v/>
      </c>
      <c r="BC344" s="55" t="str">
        <f t="shared" si="63"/>
        <v/>
      </c>
      <c r="BD344" s="55" t="str">
        <f t="shared" si="64"/>
        <v/>
      </c>
      <c r="BE344" s="55" t="str">
        <f t="shared" si="65"/>
        <v/>
      </c>
      <c r="BF344" s="55" t="str">
        <f t="shared" si="66"/>
        <v/>
      </c>
      <c r="BG344" s="55" t="str">
        <f t="shared" si="67"/>
        <v/>
      </c>
      <c r="BH344" s="55" t="str">
        <f t="shared" si="68"/>
        <v/>
      </c>
      <c r="BI344" s="55" t="str">
        <f t="shared" si="69"/>
        <v/>
      </c>
      <c r="BJ344" s="55" t="str">
        <f t="shared" si="70"/>
        <v/>
      </c>
      <c r="BK344" s="55" t="str">
        <f t="shared" si="71"/>
        <v/>
      </c>
    </row>
    <row r="345" spans="22:63">
      <c r="V345" s="55">
        <f t="shared" ca="1" si="60"/>
        <v>1</v>
      </c>
      <c r="W345" s="64"/>
      <c r="X345" s="65"/>
      <c r="Y345" s="65"/>
      <c r="Z345" s="65"/>
      <c r="AA345" s="64"/>
      <c r="AB345" s="65"/>
      <c r="AC345" s="64"/>
      <c r="AD345" s="65"/>
      <c r="AE345" s="64"/>
      <c r="AF345" s="65"/>
      <c r="AG345" s="65"/>
      <c r="AH345" s="66" t="str">
        <f t="shared" si="61"/>
        <v/>
      </c>
      <c r="AI345" s="64"/>
      <c r="AJ345" s="65"/>
      <c r="AK345" s="64"/>
      <c r="AL345" s="65"/>
      <c r="BB345" s="55" t="str">
        <f t="shared" si="62"/>
        <v/>
      </c>
      <c r="BC345" s="55" t="str">
        <f t="shared" si="63"/>
        <v/>
      </c>
      <c r="BD345" s="55" t="str">
        <f t="shared" si="64"/>
        <v/>
      </c>
      <c r="BE345" s="55" t="str">
        <f t="shared" si="65"/>
        <v/>
      </c>
      <c r="BF345" s="55" t="str">
        <f t="shared" si="66"/>
        <v/>
      </c>
      <c r="BG345" s="55" t="str">
        <f t="shared" si="67"/>
        <v/>
      </c>
      <c r="BH345" s="55" t="str">
        <f t="shared" si="68"/>
        <v/>
      </c>
      <c r="BI345" s="55" t="str">
        <f t="shared" si="69"/>
        <v/>
      </c>
      <c r="BJ345" s="55" t="str">
        <f t="shared" si="70"/>
        <v/>
      </c>
      <c r="BK345" s="55" t="str">
        <f t="shared" si="71"/>
        <v/>
      </c>
    </row>
    <row r="346" spans="22:63">
      <c r="V346" s="55">
        <f t="shared" ca="1" si="60"/>
        <v>1</v>
      </c>
      <c r="W346" s="64"/>
      <c r="X346" s="65"/>
      <c r="Y346" s="65"/>
      <c r="Z346" s="65"/>
      <c r="AA346" s="64"/>
      <c r="AB346" s="65"/>
      <c r="AC346" s="64"/>
      <c r="AD346" s="65"/>
      <c r="AE346" s="64"/>
      <c r="AF346" s="65"/>
      <c r="AG346" s="65"/>
      <c r="AH346" s="66" t="str">
        <f t="shared" si="61"/>
        <v/>
      </c>
      <c r="AI346" s="64"/>
      <c r="AJ346" s="65"/>
      <c r="AK346" s="64"/>
      <c r="AL346" s="65"/>
      <c r="BB346" s="55" t="str">
        <f t="shared" si="62"/>
        <v/>
      </c>
      <c r="BC346" s="55" t="str">
        <f t="shared" si="63"/>
        <v/>
      </c>
      <c r="BD346" s="55" t="str">
        <f t="shared" si="64"/>
        <v/>
      </c>
      <c r="BE346" s="55" t="str">
        <f t="shared" si="65"/>
        <v/>
      </c>
      <c r="BF346" s="55" t="str">
        <f t="shared" si="66"/>
        <v/>
      </c>
      <c r="BG346" s="55" t="str">
        <f t="shared" si="67"/>
        <v/>
      </c>
      <c r="BH346" s="55" t="str">
        <f t="shared" si="68"/>
        <v/>
      </c>
      <c r="BI346" s="55" t="str">
        <f t="shared" si="69"/>
        <v/>
      </c>
      <c r="BJ346" s="55" t="str">
        <f t="shared" si="70"/>
        <v/>
      </c>
      <c r="BK346" s="55" t="str">
        <f t="shared" si="71"/>
        <v/>
      </c>
    </row>
    <row r="347" spans="22:63">
      <c r="V347" s="55">
        <f t="shared" ca="1" si="60"/>
        <v>1</v>
      </c>
      <c r="W347" s="64"/>
      <c r="X347" s="65"/>
      <c r="Y347" s="65"/>
      <c r="Z347" s="65"/>
      <c r="AA347" s="64"/>
      <c r="AB347" s="65"/>
      <c r="AC347" s="64"/>
      <c r="AD347" s="65"/>
      <c r="AE347" s="64"/>
      <c r="AF347" s="65"/>
      <c r="AG347" s="65"/>
      <c r="AH347" s="66" t="str">
        <f t="shared" si="61"/>
        <v/>
      </c>
      <c r="AI347" s="64"/>
      <c r="AJ347" s="65"/>
      <c r="AK347" s="64"/>
      <c r="AL347" s="65"/>
      <c r="BB347" s="55" t="str">
        <f t="shared" si="62"/>
        <v/>
      </c>
      <c r="BC347" s="55" t="str">
        <f t="shared" si="63"/>
        <v/>
      </c>
      <c r="BD347" s="55" t="str">
        <f t="shared" si="64"/>
        <v/>
      </c>
      <c r="BE347" s="55" t="str">
        <f t="shared" si="65"/>
        <v/>
      </c>
      <c r="BF347" s="55" t="str">
        <f t="shared" si="66"/>
        <v/>
      </c>
      <c r="BG347" s="55" t="str">
        <f t="shared" si="67"/>
        <v/>
      </c>
      <c r="BH347" s="55" t="str">
        <f t="shared" si="68"/>
        <v/>
      </c>
      <c r="BI347" s="55" t="str">
        <f t="shared" si="69"/>
        <v/>
      </c>
      <c r="BJ347" s="55" t="str">
        <f t="shared" si="70"/>
        <v/>
      </c>
      <c r="BK347" s="55" t="str">
        <f t="shared" si="71"/>
        <v/>
      </c>
    </row>
    <row r="348" spans="22:63">
      <c r="V348" s="55">
        <f t="shared" ca="1" si="60"/>
        <v>1</v>
      </c>
      <c r="W348" s="64"/>
      <c r="X348" s="65"/>
      <c r="Y348" s="65"/>
      <c r="Z348" s="65"/>
      <c r="AA348" s="64"/>
      <c r="AB348" s="65"/>
      <c r="AC348" s="64"/>
      <c r="AD348" s="65"/>
      <c r="AE348" s="64"/>
      <c r="AF348" s="65"/>
      <c r="AG348" s="65"/>
      <c r="AH348" s="66" t="str">
        <f t="shared" si="61"/>
        <v/>
      </c>
      <c r="AI348" s="64"/>
      <c r="AJ348" s="65"/>
      <c r="AK348" s="64"/>
      <c r="AL348" s="65"/>
      <c r="BB348" s="55" t="str">
        <f t="shared" si="62"/>
        <v/>
      </c>
      <c r="BC348" s="55" t="str">
        <f t="shared" si="63"/>
        <v/>
      </c>
      <c r="BD348" s="55" t="str">
        <f t="shared" si="64"/>
        <v/>
      </c>
      <c r="BE348" s="55" t="str">
        <f t="shared" si="65"/>
        <v/>
      </c>
      <c r="BF348" s="55" t="str">
        <f t="shared" si="66"/>
        <v/>
      </c>
      <c r="BG348" s="55" t="str">
        <f t="shared" si="67"/>
        <v/>
      </c>
      <c r="BH348" s="55" t="str">
        <f t="shared" si="68"/>
        <v/>
      </c>
      <c r="BI348" s="55" t="str">
        <f t="shared" si="69"/>
        <v/>
      </c>
      <c r="BJ348" s="55" t="str">
        <f t="shared" si="70"/>
        <v/>
      </c>
      <c r="BK348" s="55" t="str">
        <f t="shared" si="71"/>
        <v/>
      </c>
    </row>
    <row r="349" spans="22:63">
      <c r="V349" s="55">
        <f t="shared" ca="1" si="60"/>
        <v>1</v>
      </c>
      <c r="W349" s="64"/>
      <c r="X349" s="65"/>
      <c r="Y349" s="65"/>
      <c r="Z349" s="65"/>
      <c r="AA349" s="64"/>
      <c r="AB349" s="65"/>
      <c r="AC349" s="64"/>
      <c r="AD349" s="65"/>
      <c r="AE349" s="64"/>
      <c r="AF349" s="65"/>
      <c r="AG349" s="65"/>
      <c r="AH349" s="66" t="str">
        <f t="shared" si="61"/>
        <v/>
      </c>
      <c r="AI349" s="64"/>
      <c r="AJ349" s="65"/>
      <c r="AK349" s="64"/>
      <c r="AL349" s="65"/>
      <c r="BB349" s="55" t="str">
        <f t="shared" si="62"/>
        <v/>
      </c>
      <c r="BC349" s="55" t="str">
        <f t="shared" si="63"/>
        <v/>
      </c>
      <c r="BD349" s="55" t="str">
        <f t="shared" si="64"/>
        <v/>
      </c>
      <c r="BE349" s="55" t="str">
        <f t="shared" si="65"/>
        <v/>
      </c>
      <c r="BF349" s="55" t="str">
        <f t="shared" si="66"/>
        <v/>
      </c>
      <c r="BG349" s="55" t="str">
        <f t="shared" si="67"/>
        <v/>
      </c>
      <c r="BH349" s="55" t="str">
        <f t="shared" si="68"/>
        <v/>
      </c>
      <c r="BI349" s="55" t="str">
        <f t="shared" si="69"/>
        <v/>
      </c>
      <c r="BJ349" s="55" t="str">
        <f t="shared" si="70"/>
        <v/>
      </c>
      <c r="BK349" s="55" t="str">
        <f t="shared" si="71"/>
        <v/>
      </c>
    </row>
    <row r="350" spans="22:63">
      <c r="V350" s="55">
        <f t="shared" ca="1" si="60"/>
        <v>1</v>
      </c>
      <c r="W350" s="64"/>
      <c r="X350" s="65"/>
      <c r="Y350" s="65"/>
      <c r="Z350" s="65"/>
      <c r="AA350" s="64"/>
      <c r="AB350" s="65"/>
      <c r="AC350" s="64"/>
      <c r="AD350" s="65"/>
      <c r="AE350" s="64"/>
      <c r="AF350" s="65"/>
      <c r="AG350" s="65"/>
      <c r="AH350" s="66" t="str">
        <f t="shared" si="61"/>
        <v/>
      </c>
      <c r="AI350" s="64"/>
      <c r="AJ350" s="65"/>
      <c r="AK350" s="64"/>
      <c r="AL350" s="65"/>
      <c r="BB350" s="55" t="str">
        <f t="shared" si="62"/>
        <v/>
      </c>
      <c r="BC350" s="55" t="str">
        <f t="shared" si="63"/>
        <v/>
      </c>
      <c r="BD350" s="55" t="str">
        <f t="shared" si="64"/>
        <v/>
      </c>
      <c r="BE350" s="55" t="str">
        <f t="shared" si="65"/>
        <v/>
      </c>
      <c r="BF350" s="55" t="str">
        <f t="shared" si="66"/>
        <v/>
      </c>
      <c r="BG350" s="55" t="str">
        <f t="shared" si="67"/>
        <v/>
      </c>
      <c r="BH350" s="55" t="str">
        <f t="shared" si="68"/>
        <v/>
      </c>
      <c r="BI350" s="55" t="str">
        <f t="shared" si="69"/>
        <v/>
      </c>
      <c r="BJ350" s="55" t="str">
        <f t="shared" si="70"/>
        <v/>
      </c>
      <c r="BK350" s="55" t="str">
        <f t="shared" si="71"/>
        <v/>
      </c>
    </row>
    <row r="351" spans="22:63">
      <c r="V351" s="55">
        <f t="shared" ca="1" si="60"/>
        <v>1</v>
      </c>
      <c r="W351" s="64"/>
      <c r="X351" s="65"/>
      <c r="Y351" s="65"/>
      <c r="Z351" s="65"/>
      <c r="AA351" s="64"/>
      <c r="AB351" s="65"/>
      <c r="AC351" s="64"/>
      <c r="AD351" s="65"/>
      <c r="AE351" s="64"/>
      <c r="AF351" s="65"/>
      <c r="AG351" s="65"/>
      <c r="AH351" s="66" t="str">
        <f t="shared" si="61"/>
        <v/>
      </c>
      <c r="AI351" s="64"/>
      <c r="AJ351" s="65"/>
      <c r="AK351" s="64"/>
      <c r="AL351" s="65"/>
      <c r="BB351" s="55" t="str">
        <f t="shared" si="62"/>
        <v/>
      </c>
      <c r="BC351" s="55" t="str">
        <f t="shared" si="63"/>
        <v/>
      </c>
      <c r="BD351" s="55" t="str">
        <f t="shared" si="64"/>
        <v/>
      </c>
      <c r="BE351" s="55" t="str">
        <f t="shared" si="65"/>
        <v/>
      </c>
      <c r="BF351" s="55" t="str">
        <f t="shared" si="66"/>
        <v/>
      </c>
      <c r="BG351" s="55" t="str">
        <f t="shared" si="67"/>
        <v/>
      </c>
      <c r="BH351" s="55" t="str">
        <f t="shared" si="68"/>
        <v/>
      </c>
      <c r="BI351" s="55" t="str">
        <f t="shared" si="69"/>
        <v/>
      </c>
      <c r="BJ351" s="55" t="str">
        <f t="shared" si="70"/>
        <v/>
      </c>
      <c r="BK351" s="55" t="str">
        <f t="shared" si="71"/>
        <v/>
      </c>
    </row>
    <row r="352" spans="22:63">
      <c r="V352" s="55">
        <f t="shared" ca="1" si="60"/>
        <v>1</v>
      </c>
      <c r="W352" s="64"/>
      <c r="X352" s="65"/>
      <c r="Y352" s="65"/>
      <c r="Z352" s="65"/>
      <c r="AA352" s="64"/>
      <c r="AB352" s="65"/>
      <c r="AC352" s="64"/>
      <c r="AD352" s="65"/>
      <c r="AE352" s="64"/>
      <c r="AF352" s="65"/>
      <c r="AG352" s="65"/>
      <c r="AH352" s="66" t="str">
        <f t="shared" si="61"/>
        <v/>
      </c>
      <c r="AI352" s="64"/>
      <c r="AJ352" s="65"/>
      <c r="AK352" s="64"/>
      <c r="AL352" s="65"/>
      <c r="BB352" s="55" t="str">
        <f t="shared" si="62"/>
        <v/>
      </c>
      <c r="BC352" s="55" t="str">
        <f t="shared" si="63"/>
        <v/>
      </c>
      <c r="BD352" s="55" t="str">
        <f t="shared" si="64"/>
        <v/>
      </c>
      <c r="BE352" s="55" t="str">
        <f t="shared" si="65"/>
        <v/>
      </c>
      <c r="BF352" s="55" t="str">
        <f t="shared" si="66"/>
        <v/>
      </c>
      <c r="BG352" s="55" t="str">
        <f t="shared" si="67"/>
        <v/>
      </c>
      <c r="BH352" s="55" t="str">
        <f t="shared" si="68"/>
        <v/>
      </c>
      <c r="BI352" s="55" t="str">
        <f t="shared" si="69"/>
        <v/>
      </c>
      <c r="BJ352" s="55" t="str">
        <f t="shared" si="70"/>
        <v/>
      </c>
      <c r="BK352" s="55" t="str">
        <f t="shared" si="71"/>
        <v/>
      </c>
    </row>
    <row r="353" spans="22:63">
      <c r="V353" s="55">
        <f t="shared" ca="1" si="60"/>
        <v>1</v>
      </c>
      <c r="W353" s="64"/>
      <c r="X353" s="65"/>
      <c r="Y353" s="65"/>
      <c r="Z353" s="65"/>
      <c r="AA353" s="64"/>
      <c r="AB353" s="65"/>
      <c r="AC353" s="64"/>
      <c r="AD353" s="65"/>
      <c r="AE353" s="64"/>
      <c r="AF353" s="65"/>
      <c r="AG353" s="65"/>
      <c r="AH353" s="66" t="str">
        <f t="shared" si="61"/>
        <v/>
      </c>
      <c r="AI353" s="64"/>
      <c r="AJ353" s="65"/>
      <c r="AK353" s="64"/>
      <c r="AL353" s="65"/>
      <c r="BB353" s="55" t="str">
        <f t="shared" si="62"/>
        <v/>
      </c>
      <c r="BC353" s="55" t="str">
        <f t="shared" si="63"/>
        <v/>
      </c>
      <c r="BD353" s="55" t="str">
        <f t="shared" si="64"/>
        <v/>
      </c>
      <c r="BE353" s="55" t="str">
        <f t="shared" si="65"/>
        <v/>
      </c>
      <c r="BF353" s="55" t="str">
        <f t="shared" si="66"/>
        <v/>
      </c>
      <c r="BG353" s="55" t="str">
        <f t="shared" si="67"/>
        <v/>
      </c>
      <c r="BH353" s="55" t="str">
        <f t="shared" si="68"/>
        <v/>
      </c>
      <c r="BI353" s="55" t="str">
        <f t="shared" si="69"/>
        <v/>
      </c>
      <c r="BJ353" s="55" t="str">
        <f t="shared" si="70"/>
        <v/>
      </c>
      <c r="BK353" s="55" t="str">
        <f t="shared" si="71"/>
        <v/>
      </c>
    </row>
    <row r="354" spans="22:63">
      <c r="V354" s="55">
        <f t="shared" ca="1" si="60"/>
        <v>1</v>
      </c>
      <c r="W354" s="64"/>
      <c r="X354" s="65"/>
      <c r="Y354" s="65"/>
      <c r="Z354" s="65"/>
      <c r="AA354" s="64"/>
      <c r="AB354" s="65"/>
      <c r="AC354" s="64"/>
      <c r="AD354" s="65"/>
      <c r="AE354" s="64"/>
      <c r="AF354" s="65"/>
      <c r="AG354" s="65"/>
      <c r="AH354" s="66" t="str">
        <f t="shared" si="61"/>
        <v/>
      </c>
      <c r="AI354" s="64"/>
      <c r="AJ354" s="65"/>
      <c r="AK354" s="64"/>
      <c r="AL354" s="65"/>
      <c r="BB354" s="55" t="str">
        <f t="shared" si="62"/>
        <v/>
      </c>
      <c r="BC354" s="55" t="str">
        <f t="shared" si="63"/>
        <v/>
      </c>
      <c r="BD354" s="55" t="str">
        <f t="shared" si="64"/>
        <v/>
      </c>
      <c r="BE354" s="55" t="str">
        <f t="shared" si="65"/>
        <v/>
      </c>
      <c r="BF354" s="55" t="str">
        <f t="shared" si="66"/>
        <v/>
      </c>
      <c r="BG354" s="55" t="str">
        <f t="shared" si="67"/>
        <v/>
      </c>
      <c r="BH354" s="55" t="str">
        <f t="shared" si="68"/>
        <v/>
      </c>
      <c r="BI354" s="55" t="str">
        <f t="shared" si="69"/>
        <v/>
      </c>
      <c r="BJ354" s="55" t="str">
        <f t="shared" si="70"/>
        <v/>
      </c>
      <c r="BK354" s="55" t="str">
        <f t="shared" si="71"/>
        <v/>
      </c>
    </row>
    <row r="355" spans="22:63">
      <c r="V355" s="55">
        <f t="shared" ca="1" si="60"/>
        <v>1</v>
      </c>
      <c r="W355" s="64"/>
      <c r="X355" s="65"/>
      <c r="Y355" s="65"/>
      <c r="Z355" s="65"/>
      <c r="AA355" s="64"/>
      <c r="AB355" s="65"/>
      <c r="AC355" s="64"/>
      <c r="AD355" s="65"/>
      <c r="AE355" s="64"/>
      <c r="AF355" s="65"/>
      <c r="AG355" s="65"/>
      <c r="AH355" s="66" t="str">
        <f t="shared" si="61"/>
        <v/>
      </c>
      <c r="AI355" s="64"/>
      <c r="AJ355" s="65"/>
      <c r="AK355" s="64"/>
      <c r="AL355" s="65"/>
      <c r="BB355" s="55" t="str">
        <f t="shared" si="62"/>
        <v/>
      </c>
      <c r="BC355" s="55" t="str">
        <f t="shared" si="63"/>
        <v/>
      </c>
      <c r="BD355" s="55" t="str">
        <f t="shared" si="64"/>
        <v/>
      </c>
      <c r="BE355" s="55" t="str">
        <f t="shared" si="65"/>
        <v/>
      </c>
      <c r="BF355" s="55" t="str">
        <f t="shared" si="66"/>
        <v/>
      </c>
      <c r="BG355" s="55" t="str">
        <f t="shared" si="67"/>
        <v/>
      </c>
      <c r="BH355" s="55" t="str">
        <f t="shared" si="68"/>
        <v/>
      </c>
      <c r="BI355" s="55" t="str">
        <f t="shared" si="69"/>
        <v/>
      </c>
      <c r="BJ355" s="55" t="str">
        <f t="shared" si="70"/>
        <v/>
      </c>
      <c r="BK355" s="55" t="str">
        <f t="shared" si="71"/>
        <v/>
      </c>
    </row>
    <row r="356" spans="22:63">
      <c r="V356" s="55">
        <f t="shared" ca="1" si="60"/>
        <v>1</v>
      </c>
      <c r="W356" s="64"/>
      <c r="X356" s="65"/>
      <c r="Y356" s="65"/>
      <c r="Z356" s="65"/>
      <c r="AA356" s="64"/>
      <c r="AB356" s="65"/>
      <c r="AC356" s="64"/>
      <c r="AD356" s="65"/>
      <c r="AE356" s="64"/>
      <c r="AF356" s="65"/>
      <c r="AG356" s="65"/>
      <c r="AH356" s="66" t="str">
        <f t="shared" si="61"/>
        <v/>
      </c>
      <c r="AI356" s="64"/>
      <c r="AJ356" s="65"/>
      <c r="AK356" s="64"/>
      <c r="AL356" s="65"/>
      <c r="BB356" s="55" t="str">
        <f t="shared" si="62"/>
        <v/>
      </c>
      <c r="BC356" s="55" t="str">
        <f t="shared" si="63"/>
        <v/>
      </c>
      <c r="BD356" s="55" t="str">
        <f t="shared" si="64"/>
        <v/>
      </c>
      <c r="BE356" s="55" t="str">
        <f t="shared" si="65"/>
        <v/>
      </c>
      <c r="BF356" s="55" t="str">
        <f t="shared" si="66"/>
        <v/>
      </c>
      <c r="BG356" s="55" t="str">
        <f t="shared" si="67"/>
        <v/>
      </c>
      <c r="BH356" s="55" t="str">
        <f t="shared" si="68"/>
        <v/>
      </c>
      <c r="BI356" s="55" t="str">
        <f t="shared" si="69"/>
        <v/>
      </c>
      <c r="BJ356" s="55" t="str">
        <f t="shared" si="70"/>
        <v/>
      </c>
      <c r="BK356" s="55" t="str">
        <f t="shared" si="71"/>
        <v/>
      </c>
    </row>
    <row r="357" spans="22:63">
      <c r="V357" s="55">
        <f t="shared" ca="1" si="60"/>
        <v>1</v>
      </c>
      <c r="W357" s="64"/>
      <c r="X357" s="65"/>
      <c r="Y357" s="65"/>
      <c r="Z357" s="65"/>
      <c r="AA357" s="64"/>
      <c r="AB357" s="65"/>
      <c r="AC357" s="64"/>
      <c r="AD357" s="65"/>
      <c r="AE357" s="64"/>
      <c r="AF357" s="65"/>
      <c r="AG357" s="65"/>
      <c r="AH357" s="66" t="str">
        <f t="shared" si="61"/>
        <v/>
      </c>
      <c r="AI357" s="64"/>
      <c r="AJ357" s="65"/>
      <c r="AK357" s="64"/>
      <c r="AL357" s="65"/>
      <c r="BB357" s="55" t="str">
        <f t="shared" si="62"/>
        <v/>
      </c>
      <c r="BC357" s="55" t="str">
        <f t="shared" si="63"/>
        <v/>
      </c>
      <c r="BD357" s="55" t="str">
        <f t="shared" si="64"/>
        <v/>
      </c>
      <c r="BE357" s="55" t="str">
        <f t="shared" si="65"/>
        <v/>
      </c>
      <c r="BF357" s="55" t="str">
        <f t="shared" si="66"/>
        <v/>
      </c>
      <c r="BG357" s="55" t="str">
        <f t="shared" si="67"/>
        <v/>
      </c>
      <c r="BH357" s="55" t="str">
        <f t="shared" si="68"/>
        <v/>
      </c>
      <c r="BI357" s="55" t="str">
        <f t="shared" si="69"/>
        <v/>
      </c>
      <c r="BJ357" s="55" t="str">
        <f t="shared" si="70"/>
        <v/>
      </c>
      <c r="BK357" s="55" t="str">
        <f t="shared" si="71"/>
        <v/>
      </c>
    </row>
    <row r="358" spans="22:63">
      <c r="V358" s="55">
        <f t="shared" ca="1" si="60"/>
        <v>1</v>
      </c>
      <c r="W358" s="64"/>
      <c r="X358" s="65"/>
      <c r="Y358" s="65"/>
      <c r="Z358" s="65"/>
      <c r="AA358" s="64"/>
      <c r="AB358" s="65"/>
      <c r="AC358" s="64"/>
      <c r="AD358" s="65"/>
      <c r="AE358" s="64"/>
      <c r="AF358" s="65"/>
      <c r="AG358" s="65"/>
      <c r="AH358" s="66" t="str">
        <f t="shared" si="61"/>
        <v/>
      </c>
      <c r="AI358" s="64"/>
      <c r="AJ358" s="65"/>
      <c r="AK358" s="64"/>
      <c r="AL358" s="65"/>
      <c r="BB358" s="55" t="str">
        <f t="shared" si="62"/>
        <v/>
      </c>
      <c r="BC358" s="55" t="str">
        <f t="shared" si="63"/>
        <v/>
      </c>
      <c r="BD358" s="55" t="str">
        <f t="shared" si="64"/>
        <v/>
      </c>
      <c r="BE358" s="55" t="str">
        <f t="shared" si="65"/>
        <v/>
      </c>
      <c r="BF358" s="55" t="str">
        <f t="shared" si="66"/>
        <v/>
      </c>
      <c r="BG358" s="55" t="str">
        <f t="shared" si="67"/>
        <v/>
      </c>
      <c r="BH358" s="55" t="str">
        <f t="shared" si="68"/>
        <v/>
      </c>
      <c r="BI358" s="55" t="str">
        <f t="shared" si="69"/>
        <v/>
      </c>
      <c r="BJ358" s="55" t="str">
        <f t="shared" si="70"/>
        <v/>
      </c>
      <c r="BK358" s="55" t="str">
        <f t="shared" si="71"/>
        <v/>
      </c>
    </row>
    <row r="359" spans="22:63">
      <c r="V359" s="55">
        <f t="shared" ca="1" si="60"/>
        <v>1</v>
      </c>
      <c r="W359" s="64"/>
      <c r="X359" s="65"/>
      <c r="Y359" s="65"/>
      <c r="Z359" s="65"/>
      <c r="AA359" s="64"/>
      <c r="AB359" s="65"/>
      <c r="AC359" s="64"/>
      <c r="AD359" s="65"/>
      <c r="AE359" s="64"/>
      <c r="AF359" s="65"/>
      <c r="AG359" s="65"/>
      <c r="AH359" s="66" t="str">
        <f t="shared" si="61"/>
        <v/>
      </c>
      <c r="AI359" s="64"/>
      <c r="AJ359" s="65"/>
      <c r="AK359" s="64"/>
      <c r="AL359" s="65"/>
      <c r="BB359" s="55" t="str">
        <f t="shared" si="62"/>
        <v/>
      </c>
      <c r="BC359" s="55" t="str">
        <f t="shared" si="63"/>
        <v/>
      </c>
      <c r="BD359" s="55" t="str">
        <f t="shared" si="64"/>
        <v/>
      </c>
      <c r="BE359" s="55" t="str">
        <f t="shared" si="65"/>
        <v/>
      </c>
      <c r="BF359" s="55" t="str">
        <f t="shared" si="66"/>
        <v/>
      </c>
      <c r="BG359" s="55" t="str">
        <f t="shared" si="67"/>
        <v/>
      </c>
      <c r="BH359" s="55" t="str">
        <f t="shared" si="68"/>
        <v/>
      </c>
      <c r="BI359" s="55" t="str">
        <f t="shared" si="69"/>
        <v/>
      </c>
      <c r="BJ359" s="55" t="str">
        <f t="shared" si="70"/>
        <v/>
      </c>
      <c r="BK359" s="55" t="str">
        <f t="shared" si="71"/>
        <v/>
      </c>
    </row>
    <row r="360" spans="22:63">
      <c r="V360" s="55">
        <f t="shared" ca="1" si="60"/>
        <v>1</v>
      </c>
      <c r="W360" s="64"/>
      <c r="X360" s="65"/>
      <c r="Y360" s="65"/>
      <c r="Z360" s="65"/>
      <c r="AA360" s="64"/>
      <c r="AB360" s="65"/>
      <c r="AC360" s="64"/>
      <c r="AD360" s="65"/>
      <c r="AE360" s="64"/>
      <c r="AF360" s="65"/>
      <c r="AG360" s="65"/>
      <c r="AH360" s="66" t="str">
        <f t="shared" si="61"/>
        <v/>
      </c>
      <c r="AI360" s="64"/>
      <c r="AJ360" s="65"/>
      <c r="AK360" s="64"/>
      <c r="AL360" s="65"/>
      <c r="BB360" s="55" t="str">
        <f t="shared" si="62"/>
        <v/>
      </c>
      <c r="BC360" s="55" t="str">
        <f t="shared" si="63"/>
        <v/>
      </c>
      <c r="BD360" s="55" t="str">
        <f t="shared" si="64"/>
        <v/>
      </c>
      <c r="BE360" s="55" t="str">
        <f t="shared" si="65"/>
        <v/>
      </c>
      <c r="BF360" s="55" t="str">
        <f t="shared" si="66"/>
        <v/>
      </c>
      <c r="BG360" s="55" t="str">
        <f t="shared" si="67"/>
        <v/>
      </c>
      <c r="BH360" s="55" t="str">
        <f t="shared" si="68"/>
        <v/>
      </c>
      <c r="BI360" s="55" t="str">
        <f t="shared" si="69"/>
        <v/>
      </c>
      <c r="BJ360" s="55" t="str">
        <f t="shared" si="70"/>
        <v/>
      </c>
      <c r="BK360" s="55" t="str">
        <f t="shared" si="71"/>
        <v/>
      </c>
    </row>
    <row r="361" spans="22:63">
      <c r="V361" s="55">
        <f t="shared" ca="1" si="60"/>
        <v>1</v>
      </c>
      <c r="W361" s="64"/>
      <c r="X361" s="65"/>
      <c r="Y361" s="65"/>
      <c r="Z361" s="65"/>
      <c r="AA361" s="64"/>
      <c r="AB361" s="65"/>
      <c r="AC361" s="64"/>
      <c r="AD361" s="65"/>
      <c r="AE361" s="64"/>
      <c r="AF361" s="65"/>
      <c r="AG361" s="65"/>
      <c r="AH361" s="66" t="str">
        <f t="shared" si="61"/>
        <v/>
      </c>
      <c r="AI361" s="64"/>
      <c r="AJ361" s="65"/>
      <c r="AK361" s="64"/>
      <c r="AL361" s="65"/>
      <c r="BB361" s="55" t="str">
        <f t="shared" si="62"/>
        <v/>
      </c>
      <c r="BC361" s="55" t="str">
        <f t="shared" si="63"/>
        <v/>
      </c>
      <c r="BD361" s="55" t="str">
        <f t="shared" si="64"/>
        <v/>
      </c>
      <c r="BE361" s="55" t="str">
        <f t="shared" si="65"/>
        <v/>
      </c>
      <c r="BF361" s="55" t="str">
        <f t="shared" si="66"/>
        <v/>
      </c>
      <c r="BG361" s="55" t="str">
        <f t="shared" si="67"/>
        <v/>
      </c>
      <c r="BH361" s="55" t="str">
        <f t="shared" si="68"/>
        <v/>
      </c>
      <c r="BI361" s="55" t="str">
        <f t="shared" si="69"/>
        <v/>
      </c>
      <c r="BJ361" s="55" t="str">
        <f t="shared" si="70"/>
        <v/>
      </c>
      <c r="BK361" s="55" t="str">
        <f t="shared" si="71"/>
        <v/>
      </c>
    </row>
    <row r="362" spans="22:63">
      <c r="V362" s="55">
        <f t="shared" ca="1" si="60"/>
        <v>1</v>
      </c>
      <c r="W362" s="64"/>
      <c r="X362" s="65"/>
      <c r="Y362" s="65"/>
      <c r="Z362" s="65"/>
      <c r="AA362" s="64"/>
      <c r="AB362" s="65"/>
      <c r="AC362" s="64"/>
      <c r="AD362" s="65"/>
      <c r="AE362" s="64"/>
      <c r="AF362" s="65"/>
      <c r="AG362" s="65"/>
      <c r="AH362" s="66" t="str">
        <f t="shared" si="61"/>
        <v/>
      </c>
      <c r="AI362" s="64"/>
      <c r="AJ362" s="65"/>
      <c r="AK362" s="64"/>
      <c r="AL362" s="65"/>
      <c r="BB362" s="55" t="str">
        <f t="shared" si="62"/>
        <v/>
      </c>
      <c r="BC362" s="55" t="str">
        <f t="shared" si="63"/>
        <v/>
      </c>
      <c r="BD362" s="55" t="str">
        <f t="shared" si="64"/>
        <v/>
      </c>
      <c r="BE362" s="55" t="str">
        <f t="shared" si="65"/>
        <v/>
      </c>
      <c r="BF362" s="55" t="str">
        <f t="shared" si="66"/>
        <v/>
      </c>
      <c r="BG362" s="55" t="str">
        <f t="shared" si="67"/>
        <v/>
      </c>
      <c r="BH362" s="55" t="str">
        <f t="shared" si="68"/>
        <v/>
      </c>
      <c r="BI362" s="55" t="str">
        <f t="shared" si="69"/>
        <v/>
      </c>
      <c r="BJ362" s="55" t="str">
        <f t="shared" si="70"/>
        <v/>
      </c>
      <c r="BK362" s="55" t="str">
        <f t="shared" si="71"/>
        <v/>
      </c>
    </row>
    <row r="363" spans="22:63">
      <c r="V363" s="55">
        <f t="shared" ca="1" si="60"/>
        <v>1</v>
      </c>
      <c r="W363" s="64"/>
      <c r="X363" s="65"/>
      <c r="Y363" s="65"/>
      <c r="Z363" s="65"/>
      <c r="AA363" s="64"/>
      <c r="AB363" s="65"/>
      <c r="AC363" s="64"/>
      <c r="AD363" s="65"/>
      <c r="AE363" s="64"/>
      <c r="AF363" s="65"/>
      <c r="AG363" s="65"/>
      <c r="AH363" s="66" t="str">
        <f t="shared" si="61"/>
        <v/>
      </c>
      <c r="AI363" s="64"/>
      <c r="AJ363" s="65"/>
      <c r="AK363" s="64"/>
      <c r="AL363" s="65"/>
      <c r="BB363" s="55" t="str">
        <f t="shared" si="62"/>
        <v/>
      </c>
      <c r="BC363" s="55" t="str">
        <f t="shared" si="63"/>
        <v/>
      </c>
      <c r="BD363" s="55" t="str">
        <f t="shared" si="64"/>
        <v/>
      </c>
      <c r="BE363" s="55" t="str">
        <f t="shared" si="65"/>
        <v/>
      </c>
      <c r="BF363" s="55" t="str">
        <f t="shared" si="66"/>
        <v/>
      </c>
      <c r="BG363" s="55" t="str">
        <f t="shared" si="67"/>
        <v/>
      </c>
      <c r="BH363" s="55" t="str">
        <f t="shared" si="68"/>
        <v/>
      </c>
      <c r="BI363" s="55" t="str">
        <f t="shared" si="69"/>
        <v/>
      </c>
      <c r="BJ363" s="55" t="str">
        <f t="shared" si="70"/>
        <v/>
      </c>
      <c r="BK363" s="55" t="str">
        <f t="shared" si="71"/>
        <v/>
      </c>
    </row>
    <row r="364" spans="22:63">
      <c r="V364" s="55">
        <f t="shared" ca="1" si="60"/>
        <v>1</v>
      </c>
      <c r="W364" s="64"/>
      <c r="X364" s="65"/>
      <c r="Y364" s="65"/>
      <c r="Z364" s="65"/>
      <c r="AA364" s="64"/>
      <c r="AB364" s="65"/>
      <c r="AC364" s="64"/>
      <c r="AD364" s="65"/>
      <c r="AE364" s="64"/>
      <c r="AF364" s="65"/>
      <c r="AG364" s="65"/>
      <c r="AH364" s="66" t="str">
        <f t="shared" si="61"/>
        <v/>
      </c>
      <c r="AI364" s="64"/>
      <c r="AJ364" s="65"/>
      <c r="AK364" s="64"/>
      <c r="AL364" s="65"/>
      <c r="BB364" s="55" t="str">
        <f t="shared" si="62"/>
        <v/>
      </c>
      <c r="BC364" s="55" t="str">
        <f t="shared" si="63"/>
        <v/>
      </c>
      <c r="BD364" s="55" t="str">
        <f t="shared" si="64"/>
        <v/>
      </c>
      <c r="BE364" s="55" t="str">
        <f t="shared" si="65"/>
        <v/>
      </c>
      <c r="BF364" s="55" t="str">
        <f t="shared" si="66"/>
        <v/>
      </c>
      <c r="BG364" s="55" t="str">
        <f t="shared" si="67"/>
        <v/>
      </c>
      <c r="BH364" s="55" t="str">
        <f t="shared" si="68"/>
        <v/>
      </c>
      <c r="BI364" s="55" t="str">
        <f t="shared" si="69"/>
        <v/>
      </c>
      <c r="BJ364" s="55" t="str">
        <f t="shared" si="70"/>
        <v/>
      </c>
      <c r="BK364" s="55" t="str">
        <f t="shared" si="71"/>
        <v/>
      </c>
    </row>
    <row r="365" spans="22:63">
      <c r="V365" s="55">
        <f t="shared" ca="1" si="60"/>
        <v>1</v>
      </c>
      <c r="W365" s="64"/>
      <c r="X365" s="65"/>
      <c r="Y365" s="65"/>
      <c r="Z365" s="65"/>
      <c r="AA365" s="64"/>
      <c r="AB365" s="65"/>
      <c r="AC365" s="64"/>
      <c r="AD365" s="65"/>
      <c r="AE365" s="64"/>
      <c r="AF365" s="65"/>
      <c r="AG365" s="65"/>
      <c r="AH365" s="66" t="str">
        <f t="shared" si="61"/>
        <v/>
      </c>
      <c r="AI365" s="64"/>
      <c r="AJ365" s="65"/>
      <c r="AK365" s="64"/>
      <c r="AL365" s="65"/>
      <c r="BB365" s="55" t="str">
        <f t="shared" si="62"/>
        <v/>
      </c>
      <c r="BC365" s="55" t="str">
        <f t="shared" si="63"/>
        <v/>
      </c>
      <c r="BD365" s="55" t="str">
        <f t="shared" si="64"/>
        <v/>
      </c>
      <c r="BE365" s="55" t="str">
        <f t="shared" si="65"/>
        <v/>
      </c>
      <c r="BF365" s="55" t="str">
        <f t="shared" si="66"/>
        <v/>
      </c>
      <c r="BG365" s="55" t="str">
        <f t="shared" si="67"/>
        <v/>
      </c>
      <c r="BH365" s="55" t="str">
        <f t="shared" si="68"/>
        <v/>
      </c>
      <c r="BI365" s="55" t="str">
        <f t="shared" si="69"/>
        <v/>
      </c>
      <c r="BJ365" s="55" t="str">
        <f t="shared" si="70"/>
        <v/>
      </c>
      <c r="BK365" s="55" t="str">
        <f t="shared" si="71"/>
        <v/>
      </c>
    </row>
    <row r="366" spans="22:63">
      <c r="V366" s="55">
        <f t="shared" ca="1" si="60"/>
        <v>1</v>
      </c>
      <c r="W366" s="64"/>
      <c r="X366" s="65"/>
      <c r="Y366" s="65"/>
      <c r="Z366" s="65"/>
      <c r="AA366" s="64"/>
      <c r="AB366" s="65"/>
      <c r="AC366" s="64"/>
      <c r="AD366" s="65"/>
      <c r="AE366" s="64"/>
      <c r="AF366" s="65"/>
      <c r="AG366" s="65"/>
      <c r="AH366" s="66" t="str">
        <f t="shared" si="61"/>
        <v/>
      </c>
      <c r="AI366" s="64"/>
      <c r="AJ366" s="65"/>
      <c r="AK366" s="64"/>
      <c r="AL366" s="65"/>
      <c r="BB366" s="55" t="str">
        <f t="shared" si="62"/>
        <v/>
      </c>
      <c r="BC366" s="55" t="str">
        <f t="shared" si="63"/>
        <v/>
      </c>
      <c r="BD366" s="55" t="str">
        <f t="shared" si="64"/>
        <v/>
      </c>
      <c r="BE366" s="55" t="str">
        <f t="shared" si="65"/>
        <v/>
      </c>
      <c r="BF366" s="55" t="str">
        <f t="shared" si="66"/>
        <v/>
      </c>
      <c r="BG366" s="55" t="str">
        <f t="shared" si="67"/>
        <v/>
      </c>
      <c r="BH366" s="55" t="str">
        <f t="shared" si="68"/>
        <v/>
      </c>
      <c r="BI366" s="55" t="str">
        <f t="shared" si="69"/>
        <v/>
      </c>
      <c r="BJ366" s="55" t="str">
        <f t="shared" si="70"/>
        <v/>
      </c>
      <c r="BK366" s="55" t="str">
        <f t="shared" si="71"/>
        <v/>
      </c>
    </row>
    <row r="367" spans="22:63">
      <c r="V367" s="55">
        <f t="shared" ca="1" si="60"/>
        <v>1</v>
      </c>
      <c r="W367" s="64"/>
      <c r="X367" s="65"/>
      <c r="Y367" s="65"/>
      <c r="Z367" s="65"/>
      <c r="AA367" s="64"/>
      <c r="AB367" s="65"/>
      <c r="AC367" s="64"/>
      <c r="AD367" s="65"/>
      <c r="AE367" s="64"/>
      <c r="AF367" s="65"/>
      <c r="AG367" s="65"/>
      <c r="AH367" s="66" t="str">
        <f t="shared" si="61"/>
        <v/>
      </c>
      <c r="AI367" s="64"/>
      <c r="AJ367" s="65"/>
      <c r="AK367" s="64"/>
      <c r="AL367" s="65"/>
      <c r="BB367" s="55" t="str">
        <f t="shared" si="62"/>
        <v/>
      </c>
      <c r="BC367" s="55" t="str">
        <f t="shared" si="63"/>
        <v/>
      </c>
      <c r="BD367" s="55" t="str">
        <f t="shared" si="64"/>
        <v/>
      </c>
      <c r="BE367" s="55" t="str">
        <f t="shared" si="65"/>
        <v/>
      </c>
      <c r="BF367" s="55" t="str">
        <f t="shared" si="66"/>
        <v/>
      </c>
      <c r="BG367" s="55" t="str">
        <f t="shared" si="67"/>
        <v/>
      </c>
      <c r="BH367" s="55" t="str">
        <f t="shared" si="68"/>
        <v/>
      </c>
      <c r="BI367" s="55" t="str">
        <f t="shared" si="69"/>
        <v/>
      </c>
      <c r="BJ367" s="55" t="str">
        <f t="shared" si="70"/>
        <v/>
      </c>
      <c r="BK367" s="55" t="str">
        <f t="shared" si="71"/>
        <v/>
      </c>
    </row>
    <row r="368" spans="22:63">
      <c r="V368" s="55">
        <f t="shared" ca="1" si="60"/>
        <v>1</v>
      </c>
      <c r="W368" s="64"/>
      <c r="X368" s="65"/>
      <c r="Y368" s="65"/>
      <c r="Z368" s="65"/>
      <c r="AA368" s="64"/>
      <c r="AB368" s="65"/>
      <c r="AC368" s="64"/>
      <c r="AD368" s="65"/>
      <c r="AE368" s="64"/>
      <c r="AF368" s="65"/>
      <c r="AG368" s="65"/>
      <c r="AH368" s="66" t="str">
        <f t="shared" si="61"/>
        <v/>
      </c>
      <c r="AI368" s="64"/>
      <c r="AJ368" s="65"/>
      <c r="AK368" s="64"/>
      <c r="AL368" s="65"/>
      <c r="BB368" s="55" t="str">
        <f t="shared" si="62"/>
        <v/>
      </c>
      <c r="BC368" s="55" t="str">
        <f t="shared" si="63"/>
        <v/>
      </c>
      <c r="BD368" s="55" t="str">
        <f t="shared" si="64"/>
        <v/>
      </c>
      <c r="BE368" s="55" t="str">
        <f t="shared" si="65"/>
        <v/>
      </c>
      <c r="BF368" s="55" t="str">
        <f t="shared" si="66"/>
        <v/>
      </c>
      <c r="BG368" s="55" t="str">
        <f t="shared" si="67"/>
        <v/>
      </c>
      <c r="BH368" s="55" t="str">
        <f t="shared" si="68"/>
        <v/>
      </c>
      <c r="BI368" s="55" t="str">
        <f t="shared" si="69"/>
        <v/>
      </c>
      <c r="BJ368" s="55" t="str">
        <f t="shared" si="70"/>
        <v/>
      </c>
      <c r="BK368" s="55" t="str">
        <f t="shared" si="71"/>
        <v/>
      </c>
    </row>
    <row r="369" spans="22:63">
      <c r="V369" s="55">
        <f t="shared" ca="1" si="60"/>
        <v>1</v>
      </c>
      <c r="W369" s="64"/>
      <c r="X369" s="65"/>
      <c r="Y369" s="65"/>
      <c r="Z369" s="65"/>
      <c r="AA369" s="64"/>
      <c r="AB369" s="65"/>
      <c r="AC369" s="64"/>
      <c r="AD369" s="65"/>
      <c r="AE369" s="64"/>
      <c r="AF369" s="65"/>
      <c r="AG369" s="65"/>
      <c r="AH369" s="66" t="str">
        <f t="shared" si="61"/>
        <v/>
      </c>
      <c r="AI369" s="64"/>
      <c r="AJ369" s="65"/>
      <c r="AK369" s="64"/>
      <c r="AL369" s="65"/>
      <c r="BB369" s="55" t="str">
        <f t="shared" si="62"/>
        <v/>
      </c>
      <c r="BC369" s="55" t="str">
        <f t="shared" si="63"/>
        <v/>
      </c>
      <c r="BD369" s="55" t="str">
        <f t="shared" si="64"/>
        <v/>
      </c>
      <c r="BE369" s="55" t="str">
        <f t="shared" si="65"/>
        <v/>
      </c>
      <c r="BF369" s="55" t="str">
        <f t="shared" si="66"/>
        <v/>
      </c>
      <c r="BG369" s="55" t="str">
        <f t="shared" si="67"/>
        <v/>
      </c>
      <c r="BH369" s="55" t="str">
        <f t="shared" si="68"/>
        <v/>
      </c>
      <c r="BI369" s="55" t="str">
        <f t="shared" si="69"/>
        <v/>
      </c>
      <c r="BJ369" s="55" t="str">
        <f t="shared" si="70"/>
        <v/>
      </c>
      <c r="BK369" s="55" t="str">
        <f t="shared" si="71"/>
        <v/>
      </c>
    </row>
    <row r="370" spans="22:63">
      <c r="V370" s="55">
        <f t="shared" ca="1" si="60"/>
        <v>1</v>
      </c>
      <c r="W370" s="64"/>
      <c r="X370" s="65"/>
      <c r="Y370" s="65"/>
      <c r="Z370" s="65"/>
      <c r="AA370" s="64"/>
      <c r="AB370" s="65"/>
      <c r="AC370" s="64"/>
      <c r="AD370" s="65"/>
      <c r="AE370" s="64"/>
      <c r="AF370" s="65"/>
      <c r="AG370" s="65"/>
      <c r="AH370" s="66" t="str">
        <f t="shared" si="61"/>
        <v/>
      </c>
      <c r="AI370" s="64"/>
      <c r="AJ370" s="65"/>
      <c r="AK370" s="64"/>
      <c r="AL370" s="65"/>
      <c r="BB370" s="55" t="str">
        <f t="shared" si="62"/>
        <v/>
      </c>
      <c r="BC370" s="55" t="str">
        <f t="shared" si="63"/>
        <v/>
      </c>
      <c r="BD370" s="55" t="str">
        <f t="shared" si="64"/>
        <v/>
      </c>
      <c r="BE370" s="55" t="str">
        <f t="shared" si="65"/>
        <v/>
      </c>
      <c r="BF370" s="55" t="str">
        <f t="shared" si="66"/>
        <v/>
      </c>
      <c r="BG370" s="55" t="str">
        <f t="shared" si="67"/>
        <v/>
      </c>
      <c r="BH370" s="55" t="str">
        <f t="shared" si="68"/>
        <v/>
      </c>
      <c r="BI370" s="55" t="str">
        <f t="shared" si="69"/>
        <v/>
      </c>
      <c r="BJ370" s="55" t="str">
        <f t="shared" si="70"/>
        <v/>
      </c>
      <c r="BK370" s="55" t="str">
        <f t="shared" si="71"/>
        <v/>
      </c>
    </row>
    <row r="371" spans="22:63">
      <c r="V371" s="55">
        <f t="shared" ca="1" si="60"/>
        <v>1</v>
      </c>
      <c r="W371" s="64"/>
      <c r="X371" s="65"/>
      <c r="Y371" s="65"/>
      <c r="Z371" s="65"/>
      <c r="AA371" s="64"/>
      <c r="AB371" s="65"/>
      <c r="AC371" s="64"/>
      <c r="AD371" s="65"/>
      <c r="AE371" s="64"/>
      <c r="AF371" s="65"/>
      <c r="AG371" s="65"/>
      <c r="AH371" s="66" t="str">
        <f t="shared" si="61"/>
        <v/>
      </c>
      <c r="AI371" s="64"/>
      <c r="AJ371" s="65"/>
      <c r="AK371" s="64"/>
      <c r="AL371" s="65"/>
      <c r="BB371" s="55" t="str">
        <f t="shared" si="62"/>
        <v/>
      </c>
      <c r="BC371" s="55" t="str">
        <f t="shared" si="63"/>
        <v/>
      </c>
      <c r="BD371" s="55" t="str">
        <f t="shared" si="64"/>
        <v/>
      </c>
      <c r="BE371" s="55" t="str">
        <f t="shared" si="65"/>
        <v/>
      </c>
      <c r="BF371" s="55" t="str">
        <f t="shared" si="66"/>
        <v/>
      </c>
      <c r="BG371" s="55" t="str">
        <f t="shared" si="67"/>
        <v/>
      </c>
      <c r="BH371" s="55" t="str">
        <f t="shared" si="68"/>
        <v/>
      </c>
      <c r="BI371" s="55" t="str">
        <f t="shared" si="69"/>
        <v/>
      </c>
      <c r="BJ371" s="55" t="str">
        <f t="shared" si="70"/>
        <v/>
      </c>
      <c r="BK371" s="55" t="str">
        <f t="shared" si="71"/>
        <v/>
      </c>
    </row>
    <row r="372" spans="22:63">
      <c r="V372" s="55">
        <f t="shared" ca="1" si="60"/>
        <v>1</v>
      </c>
      <c r="W372" s="64"/>
      <c r="X372" s="65"/>
      <c r="Y372" s="65"/>
      <c r="Z372" s="65"/>
      <c r="AA372" s="64"/>
      <c r="AB372" s="65"/>
      <c r="AC372" s="64"/>
      <c r="AD372" s="65"/>
      <c r="AE372" s="64"/>
      <c r="AF372" s="65"/>
      <c r="AG372" s="65"/>
      <c r="AH372" s="66" t="str">
        <f t="shared" si="61"/>
        <v/>
      </c>
      <c r="AI372" s="64"/>
      <c r="AJ372" s="65"/>
      <c r="AK372" s="64"/>
      <c r="AL372" s="65"/>
      <c r="BB372" s="55" t="str">
        <f t="shared" si="62"/>
        <v/>
      </c>
      <c r="BC372" s="55" t="str">
        <f t="shared" si="63"/>
        <v/>
      </c>
      <c r="BD372" s="55" t="str">
        <f t="shared" si="64"/>
        <v/>
      </c>
      <c r="BE372" s="55" t="str">
        <f t="shared" si="65"/>
        <v/>
      </c>
      <c r="BF372" s="55" t="str">
        <f t="shared" si="66"/>
        <v/>
      </c>
      <c r="BG372" s="55" t="str">
        <f t="shared" si="67"/>
        <v/>
      </c>
      <c r="BH372" s="55" t="str">
        <f t="shared" si="68"/>
        <v/>
      </c>
      <c r="BI372" s="55" t="str">
        <f t="shared" si="69"/>
        <v/>
      </c>
      <c r="BJ372" s="55" t="str">
        <f t="shared" si="70"/>
        <v/>
      </c>
      <c r="BK372" s="55" t="str">
        <f t="shared" si="71"/>
        <v/>
      </c>
    </row>
    <row r="373" spans="22:63">
      <c r="V373" s="55">
        <f t="shared" ca="1" si="60"/>
        <v>1</v>
      </c>
      <c r="W373" s="64"/>
      <c r="X373" s="65"/>
      <c r="Y373" s="65"/>
      <c r="Z373" s="65"/>
      <c r="AA373" s="64"/>
      <c r="AB373" s="65"/>
      <c r="AC373" s="64"/>
      <c r="AD373" s="65"/>
      <c r="AE373" s="64"/>
      <c r="AF373" s="65"/>
      <c r="AG373" s="65"/>
      <c r="AH373" s="66" t="str">
        <f t="shared" si="61"/>
        <v/>
      </c>
      <c r="AI373" s="64"/>
      <c r="AJ373" s="65"/>
      <c r="AK373" s="64"/>
      <c r="AL373" s="65"/>
      <c r="BB373" s="55" t="str">
        <f t="shared" si="62"/>
        <v/>
      </c>
      <c r="BC373" s="55" t="str">
        <f t="shared" si="63"/>
        <v/>
      </c>
      <c r="BD373" s="55" t="str">
        <f t="shared" si="64"/>
        <v/>
      </c>
      <c r="BE373" s="55" t="str">
        <f t="shared" si="65"/>
        <v/>
      </c>
      <c r="BF373" s="55" t="str">
        <f t="shared" si="66"/>
        <v/>
      </c>
      <c r="BG373" s="55" t="str">
        <f t="shared" si="67"/>
        <v/>
      </c>
      <c r="BH373" s="55" t="str">
        <f t="shared" si="68"/>
        <v/>
      </c>
      <c r="BI373" s="55" t="str">
        <f t="shared" si="69"/>
        <v/>
      </c>
      <c r="BJ373" s="55" t="str">
        <f t="shared" si="70"/>
        <v/>
      </c>
      <c r="BK373" s="55" t="str">
        <f t="shared" si="71"/>
        <v/>
      </c>
    </row>
    <row r="374" spans="22:63">
      <c r="V374" s="55">
        <f t="shared" ca="1" si="60"/>
        <v>1</v>
      </c>
      <c r="W374" s="64"/>
      <c r="X374" s="65"/>
      <c r="Y374" s="65"/>
      <c r="Z374" s="65"/>
      <c r="AA374" s="64"/>
      <c r="AB374" s="65"/>
      <c r="AC374" s="64"/>
      <c r="AD374" s="65"/>
      <c r="AE374" s="64"/>
      <c r="AF374" s="65"/>
      <c r="AG374" s="65"/>
      <c r="AH374" s="66" t="str">
        <f t="shared" si="61"/>
        <v/>
      </c>
      <c r="AI374" s="64"/>
      <c r="AJ374" s="65"/>
      <c r="AK374" s="64"/>
      <c r="AL374" s="65"/>
      <c r="BB374" s="55" t="str">
        <f t="shared" si="62"/>
        <v/>
      </c>
      <c r="BC374" s="55" t="str">
        <f t="shared" si="63"/>
        <v/>
      </c>
      <c r="BD374" s="55" t="str">
        <f t="shared" si="64"/>
        <v/>
      </c>
      <c r="BE374" s="55" t="str">
        <f t="shared" si="65"/>
        <v/>
      </c>
      <c r="BF374" s="55" t="str">
        <f t="shared" si="66"/>
        <v/>
      </c>
      <c r="BG374" s="55" t="str">
        <f t="shared" si="67"/>
        <v/>
      </c>
      <c r="BH374" s="55" t="str">
        <f t="shared" si="68"/>
        <v/>
      </c>
      <c r="BI374" s="55" t="str">
        <f t="shared" si="69"/>
        <v/>
      </c>
      <c r="BJ374" s="55" t="str">
        <f t="shared" si="70"/>
        <v/>
      </c>
      <c r="BK374" s="55" t="str">
        <f t="shared" si="71"/>
        <v/>
      </c>
    </row>
    <row r="375" spans="22:63">
      <c r="V375" s="55">
        <f t="shared" ca="1" si="60"/>
        <v>1</v>
      </c>
      <c r="W375" s="64"/>
      <c r="X375" s="65"/>
      <c r="Y375" s="65"/>
      <c r="Z375" s="65"/>
      <c r="AA375" s="64"/>
      <c r="AB375" s="65"/>
      <c r="AC375" s="64"/>
      <c r="AD375" s="65"/>
      <c r="AE375" s="64"/>
      <c r="AF375" s="65"/>
      <c r="AG375" s="65"/>
      <c r="AH375" s="66" t="str">
        <f t="shared" si="61"/>
        <v/>
      </c>
      <c r="AI375" s="64"/>
      <c r="AJ375" s="65"/>
      <c r="AK375" s="64"/>
      <c r="AL375" s="65"/>
      <c r="BB375" s="55" t="str">
        <f t="shared" si="62"/>
        <v/>
      </c>
      <c r="BC375" s="55" t="str">
        <f t="shared" si="63"/>
        <v/>
      </c>
      <c r="BD375" s="55" t="str">
        <f t="shared" si="64"/>
        <v/>
      </c>
      <c r="BE375" s="55" t="str">
        <f t="shared" si="65"/>
        <v/>
      </c>
      <c r="BF375" s="55" t="str">
        <f t="shared" si="66"/>
        <v/>
      </c>
      <c r="BG375" s="55" t="str">
        <f t="shared" si="67"/>
        <v/>
      </c>
      <c r="BH375" s="55" t="str">
        <f t="shared" si="68"/>
        <v/>
      </c>
      <c r="BI375" s="55" t="str">
        <f t="shared" si="69"/>
        <v/>
      </c>
      <c r="BJ375" s="55" t="str">
        <f t="shared" si="70"/>
        <v/>
      </c>
      <c r="BK375" s="55" t="str">
        <f t="shared" si="71"/>
        <v/>
      </c>
    </row>
    <row r="376" spans="22:63">
      <c r="V376" s="55">
        <f t="shared" ca="1" si="60"/>
        <v>1</v>
      </c>
      <c r="W376" s="64"/>
      <c r="X376" s="65"/>
      <c r="Y376" s="65"/>
      <c r="Z376" s="65"/>
      <c r="AA376" s="64"/>
      <c r="AB376" s="65"/>
      <c r="AC376" s="64"/>
      <c r="AD376" s="65"/>
      <c r="AE376" s="64"/>
      <c r="AF376" s="65"/>
      <c r="AG376" s="65"/>
      <c r="AH376" s="66" t="str">
        <f t="shared" si="61"/>
        <v/>
      </c>
      <c r="AI376" s="64"/>
      <c r="AJ376" s="65"/>
      <c r="AK376" s="64"/>
      <c r="AL376" s="65"/>
      <c r="BB376" s="55" t="str">
        <f t="shared" si="62"/>
        <v/>
      </c>
      <c r="BC376" s="55" t="str">
        <f t="shared" si="63"/>
        <v/>
      </c>
      <c r="BD376" s="55" t="str">
        <f t="shared" si="64"/>
        <v/>
      </c>
      <c r="BE376" s="55" t="str">
        <f t="shared" si="65"/>
        <v/>
      </c>
      <c r="BF376" s="55" t="str">
        <f t="shared" si="66"/>
        <v/>
      </c>
      <c r="BG376" s="55" t="str">
        <f t="shared" si="67"/>
        <v/>
      </c>
      <c r="BH376" s="55" t="str">
        <f t="shared" si="68"/>
        <v/>
      </c>
      <c r="BI376" s="55" t="str">
        <f t="shared" si="69"/>
        <v/>
      </c>
      <c r="BJ376" s="55" t="str">
        <f t="shared" si="70"/>
        <v/>
      </c>
      <c r="BK376" s="55" t="str">
        <f t="shared" si="71"/>
        <v/>
      </c>
    </row>
    <row r="377" spans="22:63">
      <c r="V377" s="55">
        <f t="shared" ca="1" si="60"/>
        <v>1</v>
      </c>
      <c r="W377" s="64"/>
      <c r="X377" s="65"/>
      <c r="Y377" s="65"/>
      <c r="Z377" s="65"/>
      <c r="AA377" s="64"/>
      <c r="AB377" s="65"/>
      <c r="AC377" s="64"/>
      <c r="AD377" s="65"/>
      <c r="AE377" s="64"/>
      <c r="AF377" s="65"/>
      <c r="AG377" s="65"/>
      <c r="AH377" s="66" t="str">
        <f t="shared" si="61"/>
        <v/>
      </c>
      <c r="AI377" s="64"/>
      <c r="AJ377" s="65"/>
      <c r="AK377" s="64"/>
      <c r="AL377" s="65"/>
      <c r="BB377" s="55" t="str">
        <f t="shared" si="62"/>
        <v/>
      </c>
      <c r="BC377" s="55" t="str">
        <f t="shared" si="63"/>
        <v/>
      </c>
      <c r="BD377" s="55" t="str">
        <f t="shared" si="64"/>
        <v/>
      </c>
      <c r="BE377" s="55" t="str">
        <f t="shared" si="65"/>
        <v/>
      </c>
      <c r="BF377" s="55" t="str">
        <f t="shared" si="66"/>
        <v/>
      </c>
      <c r="BG377" s="55" t="str">
        <f t="shared" si="67"/>
        <v/>
      </c>
      <c r="BH377" s="55" t="str">
        <f t="shared" si="68"/>
        <v/>
      </c>
      <c r="BI377" s="55" t="str">
        <f t="shared" si="69"/>
        <v/>
      </c>
      <c r="BJ377" s="55" t="str">
        <f t="shared" si="70"/>
        <v/>
      </c>
      <c r="BK377" s="55" t="str">
        <f t="shared" si="71"/>
        <v/>
      </c>
    </row>
    <row r="378" spans="22:63">
      <c r="V378" s="55">
        <f t="shared" ca="1" si="60"/>
        <v>1</v>
      </c>
      <c r="W378" s="64"/>
      <c r="X378" s="65"/>
      <c r="Y378" s="65"/>
      <c r="Z378" s="65"/>
      <c r="AA378" s="64"/>
      <c r="AB378" s="65"/>
      <c r="AC378" s="64"/>
      <c r="AD378" s="65"/>
      <c r="AE378" s="64"/>
      <c r="AF378" s="65"/>
      <c r="AG378" s="65"/>
      <c r="AH378" s="66" t="str">
        <f t="shared" si="61"/>
        <v/>
      </c>
      <c r="AI378" s="64"/>
      <c r="AJ378" s="65"/>
      <c r="AK378" s="64"/>
      <c r="AL378" s="65"/>
      <c r="BB378" s="55" t="str">
        <f t="shared" si="62"/>
        <v/>
      </c>
      <c r="BC378" s="55" t="str">
        <f t="shared" si="63"/>
        <v/>
      </c>
      <c r="BD378" s="55" t="str">
        <f t="shared" si="64"/>
        <v/>
      </c>
      <c r="BE378" s="55" t="str">
        <f t="shared" si="65"/>
        <v/>
      </c>
      <c r="BF378" s="55" t="str">
        <f t="shared" si="66"/>
        <v/>
      </c>
      <c r="BG378" s="55" t="str">
        <f t="shared" si="67"/>
        <v/>
      </c>
      <c r="BH378" s="55" t="str">
        <f t="shared" si="68"/>
        <v/>
      </c>
      <c r="BI378" s="55" t="str">
        <f t="shared" si="69"/>
        <v/>
      </c>
      <c r="BJ378" s="55" t="str">
        <f t="shared" si="70"/>
        <v/>
      </c>
      <c r="BK378" s="55" t="str">
        <f t="shared" si="71"/>
        <v/>
      </c>
    </row>
    <row r="379" spans="22:63">
      <c r="V379" s="55">
        <f t="shared" ca="1" si="60"/>
        <v>1</v>
      </c>
      <c r="W379" s="64"/>
      <c r="X379" s="65"/>
      <c r="Y379" s="65"/>
      <c r="Z379" s="65"/>
      <c r="AA379" s="64"/>
      <c r="AB379" s="65"/>
      <c r="AC379" s="64"/>
      <c r="AD379" s="65"/>
      <c r="AE379" s="64"/>
      <c r="AF379" s="65"/>
      <c r="AG379" s="65"/>
      <c r="AH379" s="66" t="str">
        <f t="shared" si="61"/>
        <v/>
      </c>
      <c r="AI379" s="64"/>
      <c r="AJ379" s="65"/>
      <c r="AK379" s="64"/>
      <c r="AL379" s="65"/>
      <c r="BB379" s="55" t="str">
        <f t="shared" si="62"/>
        <v/>
      </c>
      <c r="BC379" s="55" t="str">
        <f t="shared" si="63"/>
        <v/>
      </c>
      <c r="BD379" s="55" t="str">
        <f t="shared" si="64"/>
        <v/>
      </c>
      <c r="BE379" s="55" t="str">
        <f t="shared" si="65"/>
        <v/>
      </c>
      <c r="BF379" s="55" t="str">
        <f t="shared" si="66"/>
        <v/>
      </c>
      <c r="BG379" s="55" t="str">
        <f t="shared" si="67"/>
        <v/>
      </c>
      <c r="BH379" s="55" t="str">
        <f t="shared" si="68"/>
        <v/>
      </c>
      <c r="BI379" s="55" t="str">
        <f t="shared" si="69"/>
        <v/>
      </c>
      <c r="BJ379" s="55" t="str">
        <f t="shared" si="70"/>
        <v/>
      </c>
      <c r="BK379" s="55" t="str">
        <f t="shared" si="71"/>
        <v/>
      </c>
    </row>
    <row r="380" spans="22:63">
      <c r="V380" s="55">
        <f t="shared" ca="1" si="60"/>
        <v>1</v>
      </c>
      <c r="W380" s="64"/>
      <c r="X380" s="65"/>
      <c r="Y380" s="65"/>
      <c r="Z380" s="65"/>
      <c r="AA380" s="64"/>
      <c r="AB380" s="65"/>
      <c r="AC380" s="64"/>
      <c r="AD380" s="65"/>
      <c r="AE380" s="64"/>
      <c r="AF380" s="65"/>
      <c r="AG380" s="65"/>
      <c r="AH380" s="66" t="str">
        <f t="shared" si="61"/>
        <v/>
      </c>
      <c r="AI380" s="64"/>
      <c r="AJ380" s="65"/>
      <c r="AK380" s="64"/>
      <c r="AL380" s="65"/>
      <c r="BB380" s="55" t="str">
        <f t="shared" si="62"/>
        <v/>
      </c>
      <c r="BC380" s="55" t="str">
        <f t="shared" si="63"/>
        <v/>
      </c>
      <c r="BD380" s="55" t="str">
        <f t="shared" si="64"/>
        <v/>
      </c>
      <c r="BE380" s="55" t="str">
        <f t="shared" si="65"/>
        <v/>
      </c>
      <c r="BF380" s="55" t="str">
        <f t="shared" si="66"/>
        <v/>
      </c>
      <c r="BG380" s="55" t="str">
        <f t="shared" si="67"/>
        <v/>
      </c>
      <c r="BH380" s="55" t="str">
        <f t="shared" si="68"/>
        <v/>
      </c>
      <c r="BI380" s="55" t="str">
        <f t="shared" si="69"/>
        <v/>
      </c>
      <c r="BJ380" s="55" t="str">
        <f t="shared" si="70"/>
        <v/>
      </c>
      <c r="BK380" s="55" t="str">
        <f t="shared" si="71"/>
        <v/>
      </c>
    </row>
    <row r="381" spans="22:63">
      <c r="V381" s="55">
        <f t="shared" ca="1" si="60"/>
        <v>1</v>
      </c>
      <c r="W381" s="64"/>
      <c r="X381" s="65"/>
      <c r="Y381" s="65"/>
      <c r="Z381" s="65"/>
      <c r="AA381" s="64"/>
      <c r="AB381" s="65"/>
      <c r="AC381" s="64"/>
      <c r="AD381" s="65"/>
      <c r="AE381" s="64"/>
      <c r="AF381" s="65"/>
      <c r="AG381" s="65"/>
      <c r="AH381" s="66" t="str">
        <f t="shared" si="61"/>
        <v/>
      </c>
      <c r="AI381" s="64"/>
      <c r="AJ381" s="65"/>
      <c r="AK381" s="64"/>
      <c r="AL381" s="65"/>
      <c r="BB381" s="55" t="str">
        <f t="shared" si="62"/>
        <v/>
      </c>
      <c r="BC381" s="55" t="str">
        <f t="shared" si="63"/>
        <v/>
      </c>
      <c r="BD381" s="55" t="str">
        <f t="shared" si="64"/>
        <v/>
      </c>
      <c r="BE381" s="55" t="str">
        <f t="shared" si="65"/>
        <v/>
      </c>
      <c r="BF381" s="55" t="str">
        <f t="shared" si="66"/>
        <v/>
      </c>
      <c r="BG381" s="55" t="str">
        <f t="shared" si="67"/>
        <v/>
      </c>
      <c r="BH381" s="55" t="str">
        <f t="shared" si="68"/>
        <v/>
      </c>
      <c r="BI381" s="55" t="str">
        <f t="shared" si="69"/>
        <v/>
      </c>
      <c r="BJ381" s="55" t="str">
        <f t="shared" si="70"/>
        <v/>
      </c>
      <c r="BK381" s="55" t="str">
        <f t="shared" si="71"/>
        <v/>
      </c>
    </row>
    <row r="382" spans="22:63">
      <c r="V382" s="55">
        <f t="shared" ca="1" si="60"/>
        <v>1</v>
      </c>
      <c r="W382" s="64"/>
      <c r="X382" s="65"/>
      <c r="Y382" s="65"/>
      <c r="Z382" s="65"/>
      <c r="AA382" s="64"/>
      <c r="AB382" s="65"/>
      <c r="AC382" s="64"/>
      <c r="AD382" s="65"/>
      <c r="AE382" s="64"/>
      <c r="AF382" s="65"/>
      <c r="AG382" s="65"/>
      <c r="AH382" s="66" t="str">
        <f t="shared" si="61"/>
        <v/>
      </c>
      <c r="AI382" s="64"/>
      <c r="AJ382" s="65"/>
      <c r="AK382" s="64"/>
      <c r="AL382" s="65"/>
      <c r="BB382" s="55" t="str">
        <f t="shared" si="62"/>
        <v/>
      </c>
      <c r="BC382" s="55" t="str">
        <f t="shared" si="63"/>
        <v/>
      </c>
      <c r="BD382" s="55" t="str">
        <f t="shared" si="64"/>
        <v/>
      </c>
      <c r="BE382" s="55" t="str">
        <f t="shared" si="65"/>
        <v/>
      </c>
      <c r="BF382" s="55" t="str">
        <f t="shared" si="66"/>
        <v/>
      </c>
      <c r="BG382" s="55" t="str">
        <f t="shared" si="67"/>
        <v/>
      </c>
      <c r="BH382" s="55" t="str">
        <f t="shared" si="68"/>
        <v/>
      </c>
      <c r="BI382" s="55" t="str">
        <f t="shared" si="69"/>
        <v/>
      </c>
      <c r="BJ382" s="55" t="str">
        <f t="shared" si="70"/>
        <v/>
      </c>
      <c r="BK382" s="55" t="str">
        <f t="shared" si="71"/>
        <v/>
      </c>
    </row>
    <row r="383" spans="22:63">
      <c r="V383" s="55">
        <f t="shared" ca="1" si="60"/>
        <v>1</v>
      </c>
      <c r="W383" s="64"/>
      <c r="X383" s="65"/>
      <c r="Y383" s="65"/>
      <c r="Z383" s="65"/>
      <c r="AA383" s="64"/>
      <c r="AB383" s="65"/>
      <c r="AC383" s="64"/>
      <c r="AD383" s="65"/>
      <c r="AE383" s="64"/>
      <c r="AF383" s="65"/>
      <c r="AG383" s="65"/>
      <c r="AH383" s="66" t="str">
        <f t="shared" si="61"/>
        <v/>
      </c>
      <c r="AI383" s="64"/>
      <c r="AJ383" s="65"/>
      <c r="AK383" s="64"/>
      <c r="AL383" s="65"/>
      <c r="BB383" s="55" t="str">
        <f t="shared" si="62"/>
        <v/>
      </c>
      <c r="BC383" s="55" t="str">
        <f t="shared" si="63"/>
        <v/>
      </c>
      <c r="BD383" s="55" t="str">
        <f t="shared" si="64"/>
        <v/>
      </c>
      <c r="BE383" s="55" t="str">
        <f t="shared" si="65"/>
        <v/>
      </c>
      <c r="BF383" s="55" t="str">
        <f t="shared" si="66"/>
        <v/>
      </c>
      <c r="BG383" s="55" t="str">
        <f t="shared" si="67"/>
        <v/>
      </c>
      <c r="BH383" s="55" t="str">
        <f t="shared" si="68"/>
        <v/>
      </c>
      <c r="BI383" s="55" t="str">
        <f t="shared" si="69"/>
        <v/>
      </c>
      <c r="BJ383" s="55" t="str">
        <f t="shared" si="70"/>
        <v/>
      </c>
      <c r="BK383" s="55" t="str">
        <f t="shared" si="71"/>
        <v/>
      </c>
    </row>
    <row r="384" spans="22:63">
      <c r="V384" s="55">
        <f t="shared" ca="1" si="60"/>
        <v>1</v>
      </c>
      <c r="W384" s="64"/>
      <c r="X384" s="65"/>
      <c r="Y384" s="65"/>
      <c r="Z384" s="65"/>
      <c r="AA384" s="64"/>
      <c r="AB384" s="65"/>
      <c r="AC384" s="64"/>
      <c r="AD384" s="65"/>
      <c r="AE384" s="64"/>
      <c r="AF384" s="65"/>
      <c r="AG384" s="65"/>
      <c r="AH384" s="66" t="str">
        <f t="shared" si="61"/>
        <v/>
      </c>
      <c r="AI384" s="64"/>
      <c r="AJ384" s="65"/>
      <c r="AK384" s="64"/>
      <c r="AL384" s="65"/>
      <c r="BB384" s="55" t="str">
        <f t="shared" si="62"/>
        <v/>
      </c>
      <c r="BC384" s="55" t="str">
        <f t="shared" si="63"/>
        <v/>
      </c>
      <c r="BD384" s="55" t="str">
        <f t="shared" si="64"/>
        <v/>
      </c>
      <c r="BE384" s="55" t="str">
        <f t="shared" si="65"/>
        <v/>
      </c>
      <c r="BF384" s="55" t="str">
        <f t="shared" si="66"/>
        <v/>
      </c>
      <c r="BG384" s="55" t="str">
        <f t="shared" si="67"/>
        <v/>
      </c>
      <c r="BH384" s="55" t="str">
        <f t="shared" si="68"/>
        <v/>
      </c>
      <c r="BI384" s="55" t="str">
        <f t="shared" si="69"/>
        <v/>
      </c>
      <c r="BJ384" s="55" t="str">
        <f t="shared" si="70"/>
        <v/>
      </c>
      <c r="BK384" s="55" t="str">
        <f t="shared" si="71"/>
        <v/>
      </c>
    </row>
    <row r="385" spans="22:63">
      <c r="V385" s="55">
        <f t="shared" ca="1" si="60"/>
        <v>1</v>
      </c>
      <c r="W385" s="64"/>
      <c r="X385" s="65"/>
      <c r="Y385" s="65"/>
      <c r="Z385" s="65"/>
      <c r="AA385" s="64"/>
      <c r="AB385" s="65"/>
      <c r="AC385" s="64"/>
      <c r="AD385" s="65"/>
      <c r="AE385" s="64"/>
      <c r="AF385" s="65"/>
      <c r="AG385" s="65"/>
      <c r="AH385" s="66" t="str">
        <f t="shared" si="61"/>
        <v/>
      </c>
      <c r="AI385" s="64"/>
      <c r="AJ385" s="65"/>
      <c r="AK385" s="64"/>
      <c r="AL385" s="65"/>
      <c r="BB385" s="55" t="str">
        <f t="shared" si="62"/>
        <v/>
      </c>
      <c r="BC385" s="55" t="str">
        <f t="shared" si="63"/>
        <v/>
      </c>
      <c r="BD385" s="55" t="str">
        <f t="shared" si="64"/>
        <v/>
      </c>
      <c r="BE385" s="55" t="str">
        <f t="shared" si="65"/>
        <v/>
      </c>
      <c r="BF385" s="55" t="str">
        <f t="shared" si="66"/>
        <v/>
      </c>
      <c r="BG385" s="55" t="str">
        <f t="shared" si="67"/>
        <v/>
      </c>
      <c r="BH385" s="55" t="str">
        <f t="shared" si="68"/>
        <v/>
      </c>
      <c r="BI385" s="55" t="str">
        <f t="shared" si="69"/>
        <v/>
      </c>
      <c r="BJ385" s="55" t="str">
        <f t="shared" si="70"/>
        <v/>
      </c>
      <c r="BK385" s="55" t="str">
        <f t="shared" si="71"/>
        <v/>
      </c>
    </row>
    <row r="386" spans="22:63">
      <c r="V386" s="55">
        <f t="shared" ca="1" si="60"/>
        <v>1</v>
      </c>
      <c r="W386" s="64"/>
      <c r="X386" s="65"/>
      <c r="Y386" s="65"/>
      <c r="Z386" s="65"/>
      <c r="AA386" s="64"/>
      <c r="AB386" s="65"/>
      <c r="AC386" s="64"/>
      <c r="AD386" s="65"/>
      <c r="AE386" s="64"/>
      <c r="AF386" s="65"/>
      <c r="AG386" s="65"/>
      <c r="AH386" s="66" t="str">
        <f t="shared" si="61"/>
        <v/>
      </c>
      <c r="AI386" s="64"/>
      <c r="AJ386" s="65"/>
      <c r="AK386" s="64"/>
      <c r="AL386" s="65"/>
      <c r="BB386" s="55" t="str">
        <f t="shared" si="62"/>
        <v/>
      </c>
      <c r="BC386" s="55" t="str">
        <f t="shared" si="63"/>
        <v/>
      </c>
      <c r="BD386" s="55" t="str">
        <f t="shared" si="64"/>
        <v/>
      </c>
      <c r="BE386" s="55" t="str">
        <f t="shared" si="65"/>
        <v/>
      </c>
      <c r="BF386" s="55" t="str">
        <f t="shared" si="66"/>
        <v/>
      </c>
      <c r="BG386" s="55" t="str">
        <f t="shared" si="67"/>
        <v/>
      </c>
      <c r="BH386" s="55" t="str">
        <f t="shared" si="68"/>
        <v/>
      </c>
      <c r="BI386" s="55" t="str">
        <f t="shared" si="69"/>
        <v/>
      </c>
      <c r="BJ386" s="55" t="str">
        <f t="shared" si="70"/>
        <v/>
      </c>
      <c r="BK386" s="55" t="str">
        <f t="shared" si="71"/>
        <v/>
      </c>
    </row>
    <row r="387" spans="22:63">
      <c r="V387" s="55">
        <f t="shared" ca="1" si="60"/>
        <v>1</v>
      </c>
      <c r="W387" s="64"/>
      <c r="X387" s="65"/>
      <c r="Y387" s="65"/>
      <c r="Z387" s="65"/>
      <c r="AA387" s="64"/>
      <c r="AB387" s="65"/>
      <c r="AC387" s="64"/>
      <c r="AD387" s="65"/>
      <c r="AE387" s="64"/>
      <c r="AF387" s="65"/>
      <c r="AG387" s="65"/>
      <c r="AH387" s="66" t="str">
        <f t="shared" si="61"/>
        <v/>
      </c>
      <c r="AI387" s="64"/>
      <c r="AJ387" s="65"/>
      <c r="AK387" s="64"/>
      <c r="AL387" s="65"/>
      <c r="BB387" s="55" t="str">
        <f t="shared" si="62"/>
        <v/>
      </c>
      <c r="BC387" s="55" t="str">
        <f t="shared" si="63"/>
        <v/>
      </c>
      <c r="BD387" s="55" t="str">
        <f t="shared" si="64"/>
        <v/>
      </c>
      <c r="BE387" s="55" t="str">
        <f t="shared" si="65"/>
        <v/>
      </c>
      <c r="BF387" s="55" t="str">
        <f t="shared" si="66"/>
        <v/>
      </c>
      <c r="BG387" s="55" t="str">
        <f t="shared" si="67"/>
        <v/>
      </c>
      <c r="BH387" s="55" t="str">
        <f t="shared" si="68"/>
        <v/>
      </c>
      <c r="BI387" s="55" t="str">
        <f t="shared" si="69"/>
        <v/>
      </c>
      <c r="BJ387" s="55" t="str">
        <f t="shared" si="70"/>
        <v/>
      </c>
      <c r="BK387" s="55" t="str">
        <f t="shared" si="71"/>
        <v/>
      </c>
    </row>
    <row r="388" spans="22:63">
      <c r="V388" s="55">
        <f t="shared" ca="1" si="60"/>
        <v>1</v>
      </c>
      <c r="W388" s="64"/>
      <c r="X388" s="65"/>
      <c r="Y388" s="65"/>
      <c r="Z388" s="65"/>
      <c r="AA388" s="64"/>
      <c r="AB388" s="65"/>
      <c r="AC388" s="64"/>
      <c r="AD388" s="65"/>
      <c r="AE388" s="64"/>
      <c r="AF388" s="65"/>
      <c r="AG388" s="65"/>
      <c r="AH388" s="66" t="str">
        <f t="shared" si="61"/>
        <v/>
      </c>
      <c r="AI388" s="64"/>
      <c r="AJ388" s="65"/>
      <c r="AK388" s="64"/>
      <c r="AL388" s="65"/>
      <c r="BB388" s="55" t="str">
        <f t="shared" si="62"/>
        <v/>
      </c>
      <c r="BC388" s="55" t="str">
        <f t="shared" si="63"/>
        <v/>
      </c>
      <c r="BD388" s="55" t="str">
        <f t="shared" si="64"/>
        <v/>
      </c>
      <c r="BE388" s="55" t="str">
        <f t="shared" si="65"/>
        <v/>
      </c>
      <c r="BF388" s="55" t="str">
        <f t="shared" si="66"/>
        <v/>
      </c>
      <c r="BG388" s="55" t="str">
        <f t="shared" si="67"/>
        <v/>
      </c>
      <c r="BH388" s="55" t="str">
        <f t="shared" si="68"/>
        <v/>
      </c>
      <c r="BI388" s="55" t="str">
        <f t="shared" si="69"/>
        <v/>
      </c>
      <c r="BJ388" s="55" t="str">
        <f t="shared" si="70"/>
        <v/>
      </c>
      <c r="BK388" s="55" t="str">
        <f t="shared" si="71"/>
        <v/>
      </c>
    </row>
    <row r="389" spans="22:63">
      <c r="V389" s="55">
        <f t="shared" ca="1" si="60"/>
        <v>1</v>
      </c>
      <c r="W389" s="64"/>
      <c r="X389" s="65"/>
      <c r="Y389" s="65"/>
      <c r="Z389" s="65"/>
      <c r="AA389" s="64"/>
      <c r="AB389" s="65"/>
      <c r="AC389" s="64"/>
      <c r="AD389" s="65"/>
      <c r="AE389" s="64"/>
      <c r="AF389" s="65"/>
      <c r="AG389" s="65"/>
      <c r="AH389" s="66" t="str">
        <f t="shared" si="61"/>
        <v/>
      </c>
      <c r="AI389" s="64"/>
      <c r="AJ389" s="65"/>
      <c r="AK389" s="64"/>
      <c r="AL389" s="65"/>
      <c r="BB389" s="55" t="str">
        <f t="shared" si="62"/>
        <v/>
      </c>
      <c r="BC389" s="55" t="str">
        <f t="shared" si="63"/>
        <v/>
      </c>
      <c r="BD389" s="55" t="str">
        <f t="shared" si="64"/>
        <v/>
      </c>
      <c r="BE389" s="55" t="str">
        <f t="shared" si="65"/>
        <v/>
      </c>
      <c r="BF389" s="55" t="str">
        <f t="shared" si="66"/>
        <v/>
      </c>
      <c r="BG389" s="55" t="str">
        <f t="shared" si="67"/>
        <v/>
      </c>
      <c r="BH389" s="55" t="str">
        <f t="shared" si="68"/>
        <v/>
      </c>
      <c r="BI389" s="55" t="str">
        <f t="shared" si="69"/>
        <v/>
      </c>
      <c r="BJ389" s="55" t="str">
        <f t="shared" si="70"/>
        <v/>
      </c>
      <c r="BK389" s="55" t="str">
        <f t="shared" si="71"/>
        <v/>
      </c>
    </row>
    <row r="390" spans="22:63">
      <c r="V390" s="55">
        <f t="shared" ca="1" si="60"/>
        <v>1</v>
      </c>
      <c r="W390" s="64"/>
      <c r="X390" s="65"/>
      <c r="Y390" s="65"/>
      <c r="Z390" s="65"/>
      <c r="AA390" s="64"/>
      <c r="AB390" s="65"/>
      <c r="AC390" s="64"/>
      <c r="AD390" s="65"/>
      <c r="AE390" s="64"/>
      <c r="AF390" s="65"/>
      <c r="AG390" s="65"/>
      <c r="AH390" s="66" t="str">
        <f t="shared" si="61"/>
        <v/>
      </c>
      <c r="AI390" s="64"/>
      <c r="AJ390" s="65"/>
      <c r="AK390" s="64"/>
      <c r="AL390" s="65"/>
      <c r="BB390" s="55" t="str">
        <f t="shared" si="62"/>
        <v/>
      </c>
      <c r="BC390" s="55" t="str">
        <f t="shared" si="63"/>
        <v/>
      </c>
      <c r="BD390" s="55" t="str">
        <f t="shared" si="64"/>
        <v/>
      </c>
      <c r="BE390" s="55" t="str">
        <f t="shared" si="65"/>
        <v/>
      </c>
      <c r="BF390" s="55" t="str">
        <f t="shared" si="66"/>
        <v/>
      </c>
      <c r="BG390" s="55" t="str">
        <f t="shared" si="67"/>
        <v/>
      </c>
      <c r="BH390" s="55" t="str">
        <f t="shared" si="68"/>
        <v/>
      </c>
      <c r="BI390" s="55" t="str">
        <f t="shared" si="69"/>
        <v/>
      </c>
      <c r="BJ390" s="55" t="str">
        <f t="shared" si="70"/>
        <v/>
      </c>
      <c r="BK390" s="55" t="str">
        <f t="shared" si="71"/>
        <v/>
      </c>
    </row>
    <row r="391" spans="22:63">
      <c r="V391" s="55">
        <f t="shared" ca="1" si="60"/>
        <v>1</v>
      </c>
      <c r="W391" s="64"/>
      <c r="X391" s="65"/>
      <c r="Y391" s="65"/>
      <c r="Z391" s="65"/>
      <c r="AA391" s="64"/>
      <c r="AB391" s="65"/>
      <c r="AC391" s="64"/>
      <c r="AD391" s="65"/>
      <c r="AE391" s="64"/>
      <c r="AF391" s="65"/>
      <c r="AG391" s="65"/>
      <c r="AH391" s="66" t="str">
        <f t="shared" si="61"/>
        <v/>
      </c>
      <c r="AI391" s="64"/>
      <c r="AJ391" s="65"/>
      <c r="AK391" s="64"/>
      <c r="AL391" s="65"/>
      <c r="BB391" s="55" t="str">
        <f t="shared" si="62"/>
        <v/>
      </c>
      <c r="BC391" s="55" t="str">
        <f t="shared" si="63"/>
        <v/>
      </c>
      <c r="BD391" s="55" t="str">
        <f t="shared" si="64"/>
        <v/>
      </c>
      <c r="BE391" s="55" t="str">
        <f t="shared" si="65"/>
        <v/>
      </c>
      <c r="BF391" s="55" t="str">
        <f t="shared" si="66"/>
        <v/>
      </c>
      <c r="BG391" s="55" t="str">
        <f t="shared" si="67"/>
        <v/>
      </c>
      <c r="BH391" s="55" t="str">
        <f t="shared" si="68"/>
        <v/>
      </c>
      <c r="BI391" s="55" t="str">
        <f t="shared" si="69"/>
        <v/>
      </c>
      <c r="BJ391" s="55" t="str">
        <f t="shared" si="70"/>
        <v/>
      </c>
      <c r="BK391" s="55" t="str">
        <f t="shared" si="71"/>
        <v/>
      </c>
    </row>
    <row r="392" spans="22:63">
      <c r="V392" s="55">
        <f t="shared" ca="1" si="60"/>
        <v>1</v>
      </c>
      <c r="W392" s="64"/>
      <c r="X392" s="65"/>
      <c r="Y392" s="65"/>
      <c r="Z392" s="65"/>
      <c r="AA392" s="64"/>
      <c r="AB392" s="65"/>
      <c r="AC392" s="64"/>
      <c r="AD392" s="65"/>
      <c r="AE392" s="64"/>
      <c r="AF392" s="65"/>
      <c r="AG392" s="65"/>
      <c r="AH392" s="66" t="str">
        <f t="shared" si="61"/>
        <v/>
      </c>
      <c r="AI392" s="64"/>
      <c r="AJ392" s="65"/>
      <c r="AK392" s="64"/>
      <c r="AL392" s="65"/>
      <c r="BB392" s="55" t="str">
        <f t="shared" si="62"/>
        <v/>
      </c>
      <c r="BC392" s="55" t="str">
        <f t="shared" si="63"/>
        <v/>
      </c>
      <c r="BD392" s="55" t="str">
        <f t="shared" si="64"/>
        <v/>
      </c>
      <c r="BE392" s="55" t="str">
        <f t="shared" si="65"/>
        <v/>
      </c>
      <c r="BF392" s="55" t="str">
        <f t="shared" si="66"/>
        <v/>
      </c>
      <c r="BG392" s="55" t="str">
        <f t="shared" si="67"/>
        <v/>
      </c>
      <c r="BH392" s="55" t="str">
        <f t="shared" si="68"/>
        <v/>
      </c>
      <c r="BI392" s="55" t="str">
        <f t="shared" si="69"/>
        <v/>
      </c>
      <c r="BJ392" s="55" t="str">
        <f t="shared" si="70"/>
        <v/>
      </c>
      <c r="BK392" s="55" t="str">
        <f t="shared" si="71"/>
        <v/>
      </c>
    </row>
    <row r="393" spans="22:63">
      <c r="V393" s="55">
        <f t="shared" ca="1" si="60"/>
        <v>1</v>
      </c>
      <c r="W393" s="64"/>
      <c r="X393" s="65"/>
      <c r="Y393" s="65"/>
      <c r="Z393" s="65"/>
      <c r="AA393" s="64"/>
      <c r="AB393" s="65"/>
      <c r="AC393" s="64"/>
      <c r="AD393" s="65"/>
      <c r="AE393" s="64"/>
      <c r="AF393" s="65"/>
      <c r="AG393" s="65"/>
      <c r="AH393" s="66" t="str">
        <f t="shared" si="61"/>
        <v/>
      </c>
      <c r="AI393" s="64"/>
      <c r="AJ393" s="65"/>
      <c r="AK393" s="64"/>
      <c r="AL393" s="65"/>
      <c r="BB393" s="55" t="str">
        <f t="shared" si="62"/>
        <v/>
      </c>
      <c r="BC393" s="55" t="str">
        <f t="shared" si="63"/>
        <v/>
      </c>
      <c r="BD393" s="55" t="str">
        <f t="shared" si="64"/>
        <v/>
      </c>
      <c r="BE393" s="55" t="str">
        <f t="shared" si="65"/>
        <v/>
      </c>
      <c r="BF393" s="55" t="str">
        <f t="shared" si="66"/>
        <v/>
      </c>
      <c r="BG393" s="55" t="str">
        <f t="shared" si="67"/>
        <v/>
      </c>
      <c r="BH393" s="55" t="str">
        <f t="shared" si="68"/>
        <v/>
      </c>
      <c r="BI393" s="55" t="str">
        <f t="shared" si="69"/>
        <v/>
      </c>
      <c r="BJ393" s="55" t="str">
        <f t="shared" si="70"/>
        <v/>
      </c>
      <c r="BK393" s="55" t="str">
        <f t="shared" si="71"/>
        <v/>
      </c>
    </row>
    <row r="394" spans="22:63">
      <c r="V394" s="55">
        <f t="shared" ca="1" si="60"/>
        <v>1</v>
      </c>
      <c r="W394" s="64"/>
      <c r="X394" s="65"/>
      <c r="Y394" s="65"/>
      <c r="Z394" s="65"/>
      <c r="AA394" s="64"/>
      <c r="AB394" s="65"/>
      <c r="AC394" s="64"/>
      <c r="AD394" s="65"/>
      <c r="AE394" s="64"/>
      <c r="AF394" s="65"/>
      <c r="AG394" s="65"/>
      <c r="AH394" s="66" t="str">
        <f t="shared" si="61"/>
        <v/>
      </c>
      <c r="AI394" s="64"/>
      <c r="AJ394" s="65"/>
      <c r="AK394" s="64"/>
      <c r="AL394" s="65"/>
      <c r="BB394" s="55" t="str">
        <f t="shared" si="62"/>
        <v/>
      </c>
      <c r="BC394" s="55" t="str">
        <f t="shared" si="63"/>
        <v/>
      </c>
      <c r="BD394" s="55" t="str">
        <f t="shared" si="64"/>
        <v/>
      </c>
      <c r="BE394" s="55" t="str">
        <f t="shared" si="65"/>
        <v/>
      </c>
      <c r="BF394" s="55" t="str">
        <f t="shared" si="66"/>
        <v/>
      </c>
      <c r="BG394" s="55" t="str">
        <f t="shared" si="67"/>
        <v/>
      </c>
      <c r="BH394" s="55" t="str">
        <f t="shared" si="68"/>
        <v/>
      </c>
      <c r="BI394" s="55" t="str">
        <f t="shared" si="69"/>
        <v/>
      </c>
      <c r="BJ394" s="55" t="str">
        <f t="shared" si="70"/>
        <v/>
      </c>
      <c r="BK394" s="55" t="str">
        <f t="shared" si="71"/>
        <v/>
      </c>
    </row>
    <row r="395" spans="22:63">
      <c r="V395" s="55">
        <f t="shared" ref="V395:V458" ca="1" si="72">IF(ISBLANK($W395),IF(ISNUMBER(INDIRECT("S"&amp;ROW($V395)-1)),INDIRECT("S"&amp;ROW($V395)-1),1),$W395)</f>
        <v>1</v>
      </c>
      <c r="W395" s="64"/>
      <c r="X395" s="65"/>
      <c r="Y395" s="65"/>
      <c r="Z395" s="65"/>
      <c r="AA395" s="64"/>
      <c r="AB395" s="65"/>
      <c r="AC395" s="64"/>
      <c r="AD395" s="65"/>
      <c r="AE395" s="64"/>
      <c r="AF395" s="65"/>
      <c r="AG395" s="65"/>
      <c r="AH395" s="66" t="str">
        <f t="shared" ref="AH395:AH458" si="73">IF(ISNUMBER($BI395), $BH395&amp;" - "&amp;$BJ395,"")</f>
        <v/>
      </c>
      <c r="AI395" s="64"/>
      <c r="AJ395" s="65"/>
      <c r="AK395" s="64"/>
      <c r="AL395" s="65"/>
      <c r="BB395" s="55" t="str">
        <f t="shared" ref="BB395:BB458" si="74">IF(ISBLANK($Z395),"",VLOOKUP($Z395,$A$11:$B$1010,2,FALSE))</f>
        <v/>
      </c>
      <c r="BC395" s="55" t="str">
        <f t="shared" ref="BC395:BC458" si="75">IF(ISBLANK($AA395),"",VLOOKUP($AA395,$D$11:$E$1010,2,FALSE))</f>
        <v/>
      </c>
      <c r="BD395" s="55" t="str">
        <f t="shared" ref="BD395:BD458" si="76">IF(ISBLANK($AC395),"",VLOOKUP($AC395,$H$11:$I$1010,2,FALSE))</f>
        <v/>
      </c>
      <c r="BE395" s="55" t="str">
        <f t="shared" ref="BE395:BE458" si="77">IF(ISBLANK($AF395),"",VLOOKUP($AF395,$L$11:$M$1010,2,FALSE))</f>
        <v/>
      </c>
      <c r="BF395" s="55" t="str">
        <f t="shared" ref="BF395:BF458" si="78">IF(ISNUMBER($BC395),VLOOKUP($BC395,$E$11:$F$1010,2,FALSE),"")</f>
        <v/>
      </c>
      <c r="BG395" s="55" t="str">
        <f t="shared" ref="BG395:BG458" si="79">IF(ISNUMBER($BD395),VLOOKUP($BD395,$I$11:$J$1010,2,FALSE),"")</f>
        <v/>
      </c>
      <c r="BH395" s="55" t="str">
        <f t="shared" ref="BH395:BH458" si="80">IF(AND(ISNUMBER($BF395),ISNUMBER($BG395)),$BF395*$BG395,"")</f>
        <v/>
      </c>
      <c r="BI395" s="55" t="str">
        <f t="shared" ref="BI395:BI458" si="81">IF(ISNUMBER($BH395),LOOKUP($BH395,lower_limit_level_risiko,id_level_risiko),"")</f>
        <v/>
      </c>
      <c r="BJ395" s="55" t="str">
        <f t="shared" ref="BJ395:BJ458" si="82">IF(ISNUMBER($BH395),LOOKUP($BH395,lower_limit_level_risiko,description_level_risiko),"")</f>
        <v/>
      </c>
      <c r="BK395" s="55" t="str">
        <f t="shared" ref="BK395:BK458" si="83">IF(ISBLANK($X395),"",VLOOKUP($X395,$T$11:$U$1010,2,FALSE))</f>
        <v/>
      </c>
    </row>
    <row r="396" spans="22:63">
      <c r="V396" s="55">
        <f t="shared" ca="1" si="72"/>
        <v>1</v>
      </c>
      <c r="W396" s="64"/>
      <c r="X396" s="65"/>
      <c r="Y396" s="65"/>
      <c r="Z396" s="65"/>
      <c r="AA396" s="64"/>
      <c r="AB396" s="65"/>
      <c r="AC396" s="64"/>
      <c r="AD396" s="65"/>
      <c r="AE396" s="64"/>
      <c r="AF396" s="65"/>
      <c r="AG396" s="65"/>
      <c r="AH396" s="66" t="str">
        <f t="shared" si="73"/>
        <v/>
      </c>
      <c r="AI396" s="64"/>
      <c r="AJ396" s="65"/>
      <c r="AK396" s="64"/>
      <c r="AL396" s="65"/>
      <c r="BB396" s="55" t="str">
        <f t="shared" si="74"/>
        <v/>
      </c>
      <c r="BC396" s="55" t="str">
        <f t="shared" si="75"/>
        <v/>
      </c>
      <c r="BD396" s="55" t="str">
        <f t="shared" si="76"/>
        <v/>
      </c>
      <c r="BE396" s="55" t="str">
        <f t="shared" si="77"/>
        <v/>
      </c>
      <c r="BF396" s="55" t="str">
        <f t="shared" si="78"/>
        <v/>
      </c>
      <c r="BG396" s="55" t="str">
        <f t="shared" si="79"/>
        <v/>
      </c>
      <c r="BH396" s="55" t="str">
        <f t="shared" si="80"/>
        <v/>
      </c>
      <c r="BI396" s="55" t="str">
        <f t="shared" si="81"/>
        <v/>
      </c>
      <c r="BJ396" s="55" t="str">
        <f t="shared" si="82"/>
        <v/>
      </c>
      <c r="BK396" s="55" t="str">
        <f t="shared" si="83"/>
        <v/>
      </c>
    </row>
    <row r="397" spans="22:63">
      <c r="V397" s="55">
        <f t="shared" ca="1" si="72"/>
        <v>1</v>
      </c>
      <c r="W397" s="64"/>
      <c r="X397" s="65"/>
      <c r="Y397" s="65"/>
      <c r="Z397" s="65"/>
      <c r="AA397" s="64"/>
      <c r="AB397" s="65"/>
      <c r="AC397" s="64"/>
      <c r="AD397" s="65"/>
      <c r="AE397" s="64"/>
      <c r="AF397" s="65"/>
      <c r="AG397" s="65"/>
      <c r="AH397" s="66" t="str">
        <f t="shared" si="73"/>
        <v/>
      </c>
      <c r="AI397" s="64"/>
      <c r="AJ397" s="65"/>
      <c r="AK397" s="64"/>
      <c r="AL397" s="65"/>
      <c r="BB397" s="55" t="str">
        <f t="shared" si="74"/>
        <v/>
      </c>
      <c r="BC397" s="55" t="str">
        <f t="shared" si="75"/>
        <v/>
      </c>
      <c r="BD397" s="55" t="str">
        <f t="shared" si="76"/>
        <v/>
      </c>
      <c r="BE397" s="55" t="str">
        <f t="shared" si="77"/>
        <v/>
      </c>
      <c r="BF397" s="55" t="str">
        <f t="shared" si="78"/>
        <v/>
      </c>
      <c r="BG397" s="55" t="str">
        <f t="shared" si="79"/>
        <v/>
      </c>
      <c r="BH397" s="55" t="str">
        <f t="shared" si="80"/>
        <v/>
      </c>
      <c r="BI397" s="55" t="str">
        <f t="shared" si="81"/>
        <v/>
      </c>
      <c r="BJ397" s="55" t="str">
        <f t="shared" si="82"/>
        <v/>
      </c>
      <c r="BK397" s="55" t="str">
        <f t="shared" si="83"/>
        <v/>
      </c>
    </row>
    <row r="398" spans="22:63">
      <c r="V398" s="55">
        <f t="shared" ca="1" si="72"/>
        <v>1</v>
      </c>
      <c r="W398" s="64"/>
      <c r="X398" s="65"/>
      <c r="Y398" s="65"/>
      <c r="Z398" s="65"/>
      <c r="AA398" s="64"/>
      <c r="AB398" s="65"/>
      <c r="AC398" s="64"/>
      <c r="AD398" s="65"/>
      <c r="AE398" s="64"/>
      <c r="AF398" s="65"/>
      <c r="AG398" s="65"/>
      <c r="AH398" s="66" t="str">
        <f t="shared" si="73"/>
        <v/>
      </c>
      <c r="AI398" s="64"/>
      <c r="AJ398" s="65"/>
      <c r="AK398" s="64"/>
      <c r="AL398" s="65"/>
      <c r="BB398" s="55" t="str">
        <f t="shared" si="74"/>
        <v/>
      </c>
      <c r="BC398" s="55" t="str">
        <f t="shared" si="75"/>
        <v/>
      </c>
      <c r="BD398" s="55" t="str">
        <f t="shared" si="76"/>
        <v/>
      </c>
      <c r="BE398" s="55" t="str">
        <f t="shared" si="77"/>
        <v/>
      </c>
      <c r="BF398" s="55" t="str">
        <f t="shared" si="78"/>
        <v/>
      </c>
      <c r="BG398" s="55" t="str">
        <f t="shared" si="79"/>
        <v/>
      </c>
      <c r="BH398" s="55" t="str">
        <f t="shared" si="80"/>
        <v/>
      </c>
      <c r="BI398" s="55" t="str">
        <f t="shared" si="81"/>
        <v/>
      </c>
      <c r="BJ398" s="55" t="str">
        <f t="shared" si="82"/>
        <v/>
      </c>
      <c r="BK398" s="55" t="str">
        <f t="shared" si="83"/>
        <v/>
      </c>
    </row>
    <row r="399" spans="22:63">
      <c r="V399" s="55">
        <f t="shared" ca="1" si="72"/>
        <v>1</v>
      </c>
      <c r="W399" s="64"/>
      <c r="X399" s="65"/>
      <c r="Y399" s="65"/>
      <c r="Z399" s="65"/>
      <c r="AA399" s="64"/>
      <c r="AB399" s="65"/>
      <c r="AC399" s="64"/>
      <c r="AD399" s="65"/>
      <c r="AE399" s="64"/>
      <c r="AF399" s="65"/>
      <c r="AG399" s="65"/>
      <c r="AH399" s="66" t="str">
        <f t="shared" si="73"/>
        <v/>
      </c>
      <c r="AI399" s="64"/>
      <c r="AJ399" s="65"/>
      <c r="AK399" s="64"/>
      <c r="AL399" s="65"/>
      <c r="BB399" s="55" t="str">
        <f t="shared" si="74"/>
        <v/>
      </c>
      <c r="BC399" s="55" t="str">
        <f t="shared" si="75"/>
        <v/>
      </c>
      <c r="BD399" s="55" t="str">
        <f t="shared" si="76"/>
        <v/>
      </c>
      <c r="BE399" s="55" t="str">
        <f t="shared" si="77"/>
        <v/>
      </c>
      <c r="BF399" s="55" t="str">
        <f t="shared" si="78"/>
        <v/>
      </c>
      <c r="BG399" s="55" t="str">
        <f t="shared" si="79"/>
        <v/>
      </c>
      <c r="BH399" s="55" t="str">
        <f t="shared" si="80"/>
        <v/>
      </c>
      <c r="BI399" s="55" t="str">
        <f t="shared" si="81"/>
        <v/>
      </c>
      <c r="BJ399" s="55" t="str">
        <f t="shared" si="82"/>
        <v/>
      </c>
      <c r="BK399" s="55" t="str">
        <f t="shared" si="83"/>
        <v/>
      </c>
    </row>
    <row r="400" spans="22:63">
      <c r="V400" s="55">
        <f t="shared" ca="1" si="72"/>
        <v>1</v>
      </c>
      <c r="W400" s="64"/>
      <c r="X400" s="65"/>
      <c r="Y400" s="65"/>
      <c r="Z400" s="65"/>
      <c r="AA400" s="64"/>
      <c r="AB400" s="65"/>
      <c r="AC400" s="64"/>
      <c r="AD400" s="65"/>
      <c r="AE400" s="64"/>
      <c r="AF400" s="65"/>
      <c r="AG400" s="65"/>
      <c r="AH400" s="66" t="str">
        <f t="shared" si="73"/>
        <v/>
      </c>
      <c r="AI400" s="64"/>
      <c r="AJ400" s="65"/>
      <c r="AK400" s="64"/>
      <c r="AL400" s="65"/>
      <c r="BB400" s="55" t="str">
        <f t="shared" si="74"/>
        <v/>
      </c>
      <c r="BC400" s="55" t="str">
        <f t="shared" si="75"/>
        <v/>
      </c>
      <c r="BD400" s="55" t="str">
        <f t="shared" si="76"/>
        <v/>
      </c>
      <c r="BE400" s="55" t="str">
        <f t="shared" si="77"/>
        <v/>
      </c>
      <c r="BF400" s="55" t="str">
        <f t="shared" si="78"/>
        <v/>
      </c>
      <c r="BG400" s="55" t="str">
        <f t="shared" si="79"/>
        <v/>
      </c>
      <c r="BH400" s="55" t="str">
        <f t="shared" si="80"/>
        <v/>
      </c>
      <c r="BI400" s="55" t="str">
        <f t="shared" si="81"/>
        <v/>
      </c>
      <c r="BJ400" s="55" t="str">
        <f t="shared" si="82"/>
        <v/>
      </c>
      <c r="BK400" s="55" t="str">
        <f t="shared" si="83"/>
        <v/>
      </c>
    </row>
    <row r="401" spans="22:63">
      <c r="V401" s="55">
        <f t="shared" ca="1" si="72"/>
        <v>1</v>
      </c>
      <c r="W401" s="64"/>
      <c r="X401" s="65"/>
      <c r="Y401" s="65"/>
      <c r="Z401" s="65"/>
      <c r="AA401" s="64"/>
      <c r="AB401" s="65"/>
      <c r="AC401" s="64"/>
      <c r="AD401" s="65"/>
      <c r="AE401" s="64"/>
      <c r="AF401" s="65"/>
      <c r="AG401" s="65"/>
      <c r="AH401" s="66" t="str">
        <f t="shared" si="73"/>
        <v/>
      </c>
      <c r="AI401" s="64"/>
      <c r="AJ401" s="65"/>
      <c r="AK401" s="64"/>
      <c r="AL401" s="65"/>
      <c r="BB401" s="55" t="str">
        <f t="shared" si="74"/>
        <v/>
      </c>
      <c r="BC401" s="55" t="str">
        <f t="shared" si="75"/>
        <v/>
      </c>
      <c r="BD401" s="55" t="str">
        <f t="shared" si="76"/>
        <v/>
      </c>
      <c r="BE401" s="55" t="str">
        <f t="shared" si="77"/>
        <v/>
      </c>
      <c r="BF401" s="55" t="str">
        <f t="shared" si="78"/>
        <v/>
      </c>
      <c r="BG401" s="55" t="str">
        <f t="shared" si="79"/>
        <v/>
      </c>
      <c r="BH401" s="55" t="str">
        <f t="shared" si="80"/>
        <v/>
      </c>
      <c r="BI401" s="55" t="str">
        <f t="shared" si="81"/>
        <v/>
      </c>
      <c r="BJ401" s="55" t="str">
        <f t="shared" si="82"/>
        <v/>
      </c>
      <c r="BK401" s="55" t="str">
        <f t="shared" si="83"/>
        <v/>
      </c>
    </row>
    <row r="402" spans="22:63">
      <c r="V402" s="55">
        <f t="shared" ca="1" si="72"/>
        <v>1</v>
      </c>
      <c r="W402" s="64"/>
      <c r="X402" s="65"/>
      <c r="Y402" s="65"/>
      <c r="Z402" s="65"/>
      <c r="AA402" s="64"/>
      <c r="AB402" s="65"/>
      <c r="AC402" s="64"/>
      <c r="AD402" s="65"/>
      <c r="AE402" s="64"/>
      <c r="AF402" s="65"/>
      <c r="AG402" s="65"/>
      <c r="AH402" s="66" t="str">
        <f t="shared" si="73"/>
        <v/>
      </c>
      <c r="AI402" s="64"/>
      <c r="AJ402" s="65"/>
      <c r="AK402" s="64"/>
      <c r="AL402" s="65"/>
      <c r="BB402" s="55" t="str">
        <f t="shared" si="74"/>
        <v/>
      </c>
      <c r="BC402" s="55" t="str">
        <f t="shared" si="75"/>
        <v/>
      </c>
      <c r="BD402" s="55" t="str">
        <f t="shared" si="76"/>
        <v/>
      </c>
      <c r="BE402" s="55" t="str">
        <f t="shared" si="77"/>
        <v/>
      </c>
      <c r="BF402" s="55" t="str">
        <f t="shared" si="78"/>
        <v/>
      </c>
      <c r="BG402" s="55" t="str">
        <f t="shared" si="79"/>
        <v/>
      </c>
      <c r="BH402" s="55" t="str">
        <f t="shared" si="80"/>
        <v/>
      </c>
      <c r="BI402" s="55" t="str">
        <f t="shared" si="81"/>
        <v/>
      </c>
      <c r="BJ402" s="55" t="str">
        <f t="shared" si="82"/>
        <v/>
      </c>
      <c r="BK402" s="55" t="str">
        <f t="shared" si="83"/>
        <v/>
      </c>
    </row>
    <row r="403" spans="22:63">
      <c r="V403" s="55">
        <f t="shared" ca="1" si="72"/>
        <v>1</v>
      </c>
      <c r="W403" s="64"/>
      <c r="X403" s="65"/>
      <c r="Y403" s="65"/>
      <c r="Z403" s="65"/>
      <c r="AA403" s="64"/>
      <c r="AB403" s="65"/>
      <c r="AC403" s="64"/>
      <c r="AD403" s="65"/>
      <c r="AE403" s="64"/>
      <c r="AF403" s="65"/>
      <c r="AG403" s="65"/>
      <c r="AH403" s="66" t="str">
        <f t="shared" si="73"/>
        <v/>
      </c>
      <c r="AI403" s="64"/>
      <c r="AJ403" s="65"/>
      <c r="AK403" s="64"/>
      <c r="AL403" s="65"/>
      <c r="BB403" s="55" t="str">
        <f t="shared" si="74"/>
        <v/>
      </c>
      <c r="BC403" s="55" t="str">
        <f t="shared" si="75"/>
        <v/>
      </c>
      <c r="BD403" s="55" t="str">
        <f t="shared" si="76"/>
        <v/>
      </c>
      <c r="BE403" s="55" t="str">
        <f t="shared" si="77"/>
        <v/>
      </c>
      <c r="BF403" s="55" t="str">
        <f t="shared" si="78"/>
        <v/>
      </c>
      <c r="BG403" s="55" t="str">
        <f t="shared" si="79"/>
        <v/>
      </c>
      <c r="BH403" s="55" t="str">
        <f t="shared" si="80"/>
        <v/>
      </c>
      <c r="BI403" s="55" t="str">
        <f t="shared" si="81"/>
        <v/>
      </c>
      <c r="BJ403" s="55" t="str">
        <f t="shared" si="82"/>
        <v/>
      </c>
      <c r="BK403" s="55" t="str">
        <f t="shared" si="83"/>
        <v/>
      </c>
    </row>
    <row r="404" spans="22:63">
      <c r="V404" s="55">
        <f t="shared" ca="1" si="72"/>
        <v>1</v>
      </c>
      <c r="W404" s="64"/>
      <c r="X404" s="65"/>
      <c r="Y404" s="65"/>
      <c r="Z404" s="65"/>
      <c r="AA404" s="64"/>
      <c r="AB404" s="65"/>
      <c r="AC404" s="64"/>
      <c r="AD404" s="65"/>
      <c r="AE404" s="64"/>
      <c r="AF404" s="65"/>
      <c r="AG404" s="65"/>
      <c r="AH404" s="66" t="str">
        <f t="shared" si="73"/>
        <v/>
      </c>
      <c r="AI404" s="64"/>
      <c r="AJ404" s="65"/>
      <c r="AK404" s="64"/>
      <c r="AL404" s="65"/>
      <c r="BB404" s="55" t="str">
        <f t="shared" si="74"/>
        <v/>
      </c>
      <c r="BC404" s="55" t="str">
        <f t="shared" si="75"/>
        <v/>
      </c>
      <c r="BD404" s="55" t="str">
        <f t="shared" si="76"/>
        <v/>
      </c>
      <c r="BE404" s="55" t="str">
        <f t="shared" si="77"/>
        <v/>
      </c>
      <c r="BF404" s="55" t="str">
        <f t="shared" si="78"/>
        <v/>
      </c>
      <c r="BG404" s="55" t="str">
        <f t="shared" si="79"/>
        <v/>
      </c>
      <c r="BH404" s="55" t="str">
        <f t="shared" si="80"/>
        <v/>
      </c>
      <c r="BI404" s="55" t="str">
        <f t="shared" si="81"/>
        <v/>
      </c>
      <c r="BJ404" s="55" t="str">
        <f t="shared" si="82"/>
        <v/>
      </c>
      <c r="BK404" s="55" t="str">
        <f t="shared" si="83"/>
        <v/>
      </c>
    </row>
    <row r="405" spans="22:63">
      <c r="V405" s="55">
        <f t="shared" ca="1" si="72"/>
        <v>1</v>
      </c>
      <c r="W405" s="64"/>
      <c r="X405" s="65"/>
      <c r="Y405" s="65"/>
      <c r="Z405" s="65"/>
      <c r="AA405" s="64"/>
      <c r="AB405" s="65"/>
      <c r="AC405" s="64"/>
      <c r="AD405" s="65"/>
      <c r="AE405" s="64"/>
      <c r="AF405" s="65"/>
      <c r="AG405" s="65"/>
      <c r="AH405" s="66" t="str">
        <f t="shared" si="73"/>
        <v/>
      </c>
      <c r="AI405" s="64"/>
      <c r="AJ405" s="65"/>
      <c r="AK405" s="64"/>
      <c r="AL405" s="65"/>
      <c r="BB405" s="55" t="str">
        <f t="shared" si="74"/>
        <v/>
      </c>
      <c r="BC405" s="55" t="str">
        <f t="shared" si="75"/>
        <v/>
      </c>
      <c r="BD405" s="55" t="str">
        <f t="shared" si="76"/>
        <v/>
      </c>
      <c r="BE405" s="55" t="str">
        <f t="shared" si="77"/>
        <v/>
      </c>
      <c r="BF405" s="55" t="str">
        <f t="shared" si="78"/>
        <v/>
      </c>
      <c r="BG405" s="55" t="str">
        <f t="shared" si="79"/>
        <v/>
      </c>
      <c r="BH405" s="55" t="str">
        <f t="shared" si="80"/>
        <v/>
      </c>
      <c r="BI405" s="55" t="str">
        <f t="shared" si="81"/>
        <v/>
      </c>
      <c r="BJ405" s="55" t="str">
        <f t="shared" si="82"/>
        <v/>
      </c>
      <c r="BK405" s="55" t="str">
        <f t="shared" si="83"/>
        <v/>
      </c>
    </row>
    <row r="406" spans="22:63">
      <c r="V406" s="55">
        <f t="shared" ca="1" si="72"/>
        <v>1</v>
      </c>
      <c r="W406" s="64"/>
      <c r="X406" s="65"/>
      <c r="Y406" s="65"/>
      <c r="Z406" s="65"/>
      <c r="AA406" s="64"/>
      <c r="AB406" s="65"/>
      <c r="AC406" s="64"/>
      <c r="AD406" s="65"/>
      <c r="AE406" s="64"/>
      <c r="AF406" s="65"/>
      <c r="AG406" s="65"/>
      <c r="AH406" s="66" t="str">
        <f t="shared" si="73"/>
        <v/>
      </c>
      <c r="AI406" s="64"/>
      <c r="AJ406" s="65"/>
      <c r="AK406" s="64"/>
      <c r="AL406" s="65"/>
      <c r="BB406" s="55" t="str">
        <f t="shared" si="74"/>
        <v/>
      </c>
      <c r="BC406" s="55" t="str">
        <f t="shared" si="75"/>
        <v/>
      </c>
      <c r="BD406" s="55" t="str">
        <f t="shared" si="76"/>
        <v/>
      </c>
      <c r="BE406" s="55" t="str">
        <f t="shared" si="77"/>
        <v/>
      </c>
      <c r="BF406" s="55" t="str">
        <f t="shared" si="78"/>
        <v/>
      </c>
      <c r="BG406" s="55" t="str">
        <f t="shared" si="79"/>
        <v/>
      </c>
      <c r="BH406" s="55" t="str">
        <f t="shared" si="80"/>
        <v/>
      </c>
      <c r="BI406" s="55" t="str">
        <f t="shared" si="81"/>
        <v/>
      </c>
      <c r="BJ406" s="55" t="str">
        <f t="shared" si="82"/>
        <v/>
      </c>
      <c r="BK406" s="55" t="str">
        <f t="shared" si="83"/>
        <v/>
      </c>
    </row>
    <row r="407" spans="22:63">
      <c r="V407" s="55">
        <f t="shared" ca="1" si="72"/>
        <v>1</v>
      </c>
      <c r="W407" s="64"/>
      <c r="X407" s="65"/>
      <c r="Y407" s="65"/>
      <c r="Z407" s="65"/>
      <c r="AA407" s="64"/>
      <c r="AB407" s="65"/>
      <c r="AC407" s="64"/>
      <c r="AD407" s="65"/>
      <c r="AE407" s="64"/>
      <c r="AF407" s="65"/>
      <c r="AG407" s="65"/>
      <c r="AH407" s="66" t="str">
        <f t="shared" si="73"/>
        <v/>
      </c>
      <c r="AI407" s="64"/>
      <c r="AJ407" s="65"/>
      <c r="AK407" s="64"/>
      <c r="AL407" s="65"/>
      <c r="BB407" s="55" t="str">
        <f t="shared" si="74"/>
        <v/>
      </c>
      <c r="BC407" s="55" t="str">
        <f t="shared" si="75"/>
        <v/>
      </c>
      <c r="BD407" s="55" t="str">
        <f t="shared" si="76"/>
        <v/>
      </c>
      <c r="BE407" s="55" t="str">
        <f t="shared" si="77"/>
        <v/>
      </c>
      <c r="BF407" s="55" t="str">
        <f t="shared" si="78"/>
        <v/>
      </c>
      <c r="BG407" s="55" t="str">
        <f t="shared" si="79"/>
        <v/>
      </c>
      <c r="BH407" s="55" t="str">
        <f t="shared" si="80"/>
        <v/>
      </c>
      <c r="BI407" s="55" t="str">
        <f t="shared" si="81"/>
        <v/>
      </c>
      <c r="BJ407" s="55" t="str">
        <f t="shared" si="82"/>
        <v/>
      </c>
      <c r="BK407" s="55" t="str">
        <f t="shared" si="83"/>
        <v/>
      </c>
    </row>
    <row r="408" spans="22:63">
      <c r="V408" s="55">
        <f t="shared" ca="1" si="72"/>
        <v>1</v>
      </c>
      <c r="W408" s="64"/>
      <c r="X408" s="65"/>
      <c r="Y408" s="65"/>
      <c r="Z408" s="65"/>
      <c r="AA408" s="64"/>
      <c r="AB408" s="65"/>
      <c r="AC408" s="64"/>
      <c r="AD408" s="65"/>
      <c r="AE408" s="64"/>
      <c r="AF408" s="65"/>
      <c r="AG408" s="65"/>
      <c r="AH408" s="66" t="str">
        <f t="shared" si="73"/>
        <v/>
      </c>
      <c r="AI408" s="64"/>
      <c r="AJ408" s="65"/>
      <c r="AK408" s="64"/>
      <c r="AL408" s="65"/>
      <c r="BB408" s="55" t="str">
        <f t="shared" si="74"/>
        <v/>
      </c>
      <c r="BC408" s="55" t="str">
        <f t="shared" si="75"/>
        <v/>
      </c>
      <c r="BD408" s="55" t="str">
        <f t="shared" si="76"/>
        <v/>
      </c>
      <c r="BE408" s="55" t="str">
        <f t="shared" si="77"/>
        <v/>
      </c>
      <c r="BF408" s="55" t="str">
        <f t="shared" si="78"/>
        <v/>
      </c>
      <c r="BG408" s="55" t="str">
        <f t="shared" si="79"/>
        <v/>
      </c>
      <c r="BH408" s="55" t="str">
        <f t="shared" si="80"/>
        <v/>
      </c>
      <c r="BI408" s="55" t="str">
        <f t="shared" si="81"/>
        <v/>
      </c>
      <c r="BJ408" s="55" t="str">
        <f t="shared" si="82"/>
        <v/>
      </c>
      <c r="BK408" s="55" t="str">
        <f t="shared" si="83"/>
        <v/>
      </c>
    </row>
    <row r="409" spans="22:63">
      <c r="V409" s="55">
        <f t="shared" ca="1" si="72"/>
        <v>1</v>
      </c>
      <c r="W409" s="64"/>
      <c r="X409" s="65"/>
      <c r="Y409" s="65"/>
      <c r="Z409" s="65"/>
      <c r="AA409" s="64"/>
      <c r="AB409" s="65"/>
      <c r="AC409" s="64"/>
      <c r="AD409" s="65"/>
      <c r="AE409" s="64"/>
      <c r="AF409" s="65"/>
      <c r="AG409" s="65"/>
      <c r="AH409" s="66" t="str">
        <f t="shared" si="73"/>
        <v/>
      </c>
      <c r="AI409" s="64"/>
      <c r="AJ409" s="65"/>
      <c r="AK409" s="64"/>
      <c r="AL409" s="65"/>
      <c r="BB409" s="55" t="str">
        <f t="shared" si="74"/>
        <v/>
      </c>
      <c r="BC409" s="55" t="str">
        <f t="shared" si="75"/>
        <v/>
      </c>
      <c r="BD409" s="55" t="str">
        <f t="shared" si="76"/>
        <v/>
      </c>
      <c r="BE409" s="55" t="str">
        <f t="shared" si="77"/>
        <v/>
      </c>
      <c r="BF409" s="55" t="str">
        <f t="shared" si="78"/>
        <v/>
      </c>
      <c r="BG409" s="55" t="str">
        <f t="shared" si="79"/>
        <v/>
      </c>
      <c r="BH409" s="55" t="str">
        <f t="shared" si="80"/>
        <v/>
      </c>
      <c r="BI409" s="55" t="str">
        <f t="shared" si="81"/>
        <v/>
      </c>
      <c r="BJ409" s="55" t="str">
        <f t="shared" si="82"/>
        <v/>
      </c>
      <c r="BK409" s="55" t="str">
        <f t="shared" si="83"/>
        <v/>
      </c>
    </row>
    <row r="410" spans="22:63">
      <c r="V410" s="55">
        <f t="shared" ca="1" si="72"/>
        <v>1</v>
      </c>
      <c r="W410" s="64"/>
      <c r="X410" s="65"/>
      <c r="Y410" s="65"/>
      <c r="Z410" s="65"/>
      <c r="AA410" s="64"/>
      <c r="AB410" s="65"/>
      <c r="AC410" s="64"/>
      <c r="AD410" s="65"/>
      <c r="AE410" s="64"/>
      <c r="AF410" s="65"/>
      <c r="AG410" s="65"/>
      <c r="AH410" s="66" t="str">
        <f t="shared" si="73"/>
        <v/>
      </c>
      <c r="AI410" s="64"/>
      <c r="AJ410" s="65"/>
      <c r="AK410" s="64"/>
      <c r="AL410" s="65"/>
      <c r="BB410" s="55" t="str">
        <f t="shared" si="74"/>
        <v/>
      </c>
      <c r="BC410" s="55" t="str">
        <f t="shared" si="75"/>
        <v/>
      </c>
      <c r="BD410" s="55" t="str">
        <f t="shared" si="76"/>
        <v/>
      </c>
      <c r="BE410" s="55" t="str">
        <f t="shared" si="77"/>
        <v/>
      </c>
      <c r="BF410" s="55" t="str">
        <f t="shared" si="78"/>
        <v/>
      </c>
      <c r="BG410" s="55" t="str">
        <f t="shared" si="79"/>
        <v/>
      </c>
      <c r="BH410" s="55" t="str">
        <f t="shared" si="80"/>
        <v/>
      </c>
      <c r="BI410" s="55" t="str">
        <f t="shared" si="81"/>
        <v/>
      </c>
      <c r="BJ410" s="55" t="str">
        <f t="shared" si="82"/>
        <v/>
      </c>
      <c r="BK410" s="55" t="str">
        <f t="shared" si="83"/>
        <v/>
      </c>
    </row>
    <row r="411" spans="22:63">
      <c r="V411" s="55">
        <f t="shared" ca="1" si="72"/>
        <v>1</v>
      </c>
      <c r="W411" s="64"/>
      <c r="X411" s="65"/>
      <c r="Y411" s="65"/>
      <c r="Z411" s="65"/>
      <c r="AA411" s="64"/>
      <c r="AB411" s="65"/>
      <c r="AC411" s="64"/>
      <c r="AD411" s="65"/>
      <c r="AE411" s="64"/>
      <c r="AF411" s="65"/>
      <c r="AG411" s="65"/>
      <c r="AH411" s="66" t="str">
        <f t="shared" si="73"/>
        <v/>
      </c>
      <c r="AI411" s="64"/>
      <c r="AJ411" s="65"/>
      <c r="AK411" s="64"/>
      <c r="AL411" s="65"/>
      <c r="BB411" s="55" t="str">
        <f t="shared" si="74"/>
        <v/>
      </c>
      <c r="BC411" s="55" t="str">
        <f t="shared" si="75"/>
        <v/>
      </c>
      <c r="BD411" s="55" t="str">
        <f t="shared" si="76"/>
        <v/>
      </c>
      <c r="BE411" s="55" t="str">
        <f t="shared" si="77"/>
        <v/>
      </c>
      <c r="BF411" s="55" t="str">
        <f t="shared" si="78"/>
        <v/>
      </c>
      <c r="BG411" s="55" t="str">
        <f t="shared" si="79"/>
        <v/>
      </c>
      <c r="BH411" s="55" t="str">
        <f t="shared" si="80"/>
        <v/>
      </c>
      <c r="BI411" s="55" t="str">
        <f t="shared" si="81"/>
        <v/>
      </c>
      <c r="BJ411" s="55" t="str">
        <f t="shared" si="82"/>
        <v/>
      </c>
      <c r="BK411" s="55" t="str">
        <f t="shared" si="83"/>
        <v/>
      </c>
    </row>
    <row r="412" spans="22:63">
      <c r="V412" s="55">
        <f t="shared" ca="1" si="72"/>
        <v>1</v>
      </c>
      <c r="W412" s="64"/>
      <c r="X412" s="65"/>
      <c r="Y412" s="65"/>
      <c r="Z412" s="65"/>
      <c r="AA412" s="64"/>
      <c r="AB412" s="65"/>
      <c r="AC412" s="64"/>
      <c r="AD412" s="65"/>
      <c r="AE412" s="64"/>
      <c r="AF412" s="65"/>
      <c r="AG412" s="65"/>
      <c r="AH412" s="66" t="str">
        <f t="shared" si="73"/>
        <v/>
      </c>
      <c r="AI412" s="64"/>
      <c r="AJ412" s="65"/>
      <c r="AK412" s="64"/>
      <c r="AL412" s="65"/>
      <c r="BB412" s="55" t="str">
        <f t="shared" si="74"/>
        <v/>
      </c>
      <c r="BC412" s="55" t="str">
        <f t="shared" si="75"/>
        <v/>
      </c>
      <c r="BD412" s="55" t="str">
        <f t="shared" si="76"/>
        <v/>
      </c>
      <c r="BE412" s="55" t="str">
        <f t="shared" si="77"/>
        <v/>
      </c>
      <c r="BF412" s="55" t="str">
        <f t="shared" si="78"/>
        <v/>
      </c>
      <c r="BG412" s="55" t="str">
        <f t="shared" si="79"/>
        <v/>
      </c>
      <c r="BH412" s="55" t="str">
        <f t="shared" si="80"/>
        <v/>
      </c>
      <c r="BI412" s="55" t="str">
        <f t="shared" si="81"/>
        <v/>
      </c>
      <c r="BJ412" s="55" t="str">
        <f t="shared" si="82"/>
        <v/>
      </c>
      <c r="BK412" s="55" t="str">
        <f t="shared" si="83"/>
        <v/>
      </c>
    </row>
    <row r="413" spans="22:63">
      <c r="V413" s="55">
        <f t="shared" ca="1" si="72"/>
        <v>1</v>
      </c>
      <c r="W413" s="64"/>
      <c r="X413" s="65"/>
      <c r="Y413" s="65"/>
      <c r="Z413" s="65"/>
      <c r="AA413" s="64"/>
      <c r="AB413" s="65"/>
      <c r="AC413" s="64"/>
      <c r="AD413" s="65"/>
      <c r="AE413" s="64"/>
      <c r="AF413" s="65"/>
      <c r="AG413" s="65"/>
      <c r="AH413" s="66" t="str">
        <f t="shared" si="73"/>
        <v/>
      </c>
      <c r="AI413" s="64"/>
      <c r="AJ413" s="65"/>
      <c r="AK413" s="64"/>
      <c r="AL413" s="65"/>
      <c r="BB413" s="55" t="str">
        <f t="shared" si="74"/>
        <v/>
      </c>
      <c r="BC413" s="55" t="str">
        <f t="shared" si="75"/>
        <v/>
      </c>
      <c r="BD413" s="55" t="str">
        <f t="shared" si="76"/>
        <v/>
      </c>
      <c r="BE413" s="55" t="str">
        <f t="shared" si="77"/>
        <v/>
      </c>
      <c r="BF413" s="55" t="str">
        <f t="shared" si="78"/>
        <v/>
      </c>
      <c r="BG413" s="55" t="str">
        <f t="shared" si="79"/>
        <v/>
      </c>
      <c r="BH413" s="55" t="str">
        <f t="shared" si="80"/>
        <v/>
      </c>
      <c r="BI413" s="55" t="str">
        <f t="shared" si="81"/>
        <v/>
      </c>
      <c r="BJ413" s="55" t="str">
        <f t="shared" si="82"/>
        <v/>
      </c>
      <c r="BK413" s="55" t="str">
        <f t="shared" si="83"/>
        <v/>
      </c>
    </row>
    <row r="414" spans="22:63">
      <c r="V414" s="55">
        <f t="shared" ca="1" si="72"/>
        <v>1</v>
      </c>
      <c r="W414" s="64"/>
      <c r="X414" s="65"/>
      <c r="Y414" s="65"/>
      <c r="Z414" s="65"/>
      <c r="AA414" s="64"/>
      <c r="AB414" s="65"/>
      <c r="AC414" s="64"/>
      <c r="AD414" s="65"/>
      <c r="AE414" s="64"/>
      <c r="AF414" s="65"/>
      <c r="AG414" s="65"/>
      <c r="AH414" s="66" t="str">
        <f t="shared" si="73"/>
        <v/>
      </c>
      <c r="AI414" s="64"/>
      <c r="AJ414" s="65"/>
      <c r="AK414" s="64"/>
      <c r="AL414" s="65"/>
      <c r="BB414" s="55" t="str">
        <f t="shared" si="74"/>
        <v/>
      </c>
      <c r="BC414" s="55" t="str">
        <f t="shared" si="75"/>
        <v/>
      </c>
      <c r="BD414" s="55" t="str">
        <f t="shared" si="76"/>
        <v/>
      </c>
      <c r="BE414" s="55" t="str">
        <f t="shared" si="77"/>
        <v/>
      </c>
      <c r="BF414" s="55" t="str">
        <f t="shared" si="78"/>
        <v/>
      </c>
      <c r="BG414" s="55" t="str">
        <f t="shared" si="79"/>
        <v/>
      </c>
      <c r="BH414" s="55" t="str">
        <f t="shared" si="80"/>
        <v/>
      </c>
      <c r="BI414" s="55" t="str">
        <f t="shared" si="81"/>
        <v/>
      </c>
      <c r="BJ414" s="55" t="str">
        <f t="shared" si="82"/>
        <v/>
      </c>
      <c r="BK414" s="55" t="str">
        <f t="shared" si="83"/>
        <v/>
      </c>
    </row>
    <row r="415" spans="22:63">
      <c r="V415" s="55">
        <f t="shared" ca="1" si="72"/>
        <v>1</v>
      </c>
      <c r="W415" s="64"/>
      <c r="X415" s="65"/>
      <c r="Y415" s="65"/>
      <c r="Z415" s="65"/>
      <c r="AA415" s="64"/>
      <c r="AB415" s="65"/>
      <c r="AC415" s="64"/>
      <c r="AD415" s="65"/>
      <c r="AE415" s="64"/>
      <c r="AF415" s="65"/>
      <c r="AG415" s="65"/>
      <c r="AH415" s="66" t="str">
        <f t="shared" si="73"/>
        <v/>
      </c>
      <c r="AI415" s="64"/>
      <c r="AJ415" s="65"/>
      <c r="AK415" s="64"/>
      <c r="AL415" s="65"/>
      <c r="BB415" s="55" t="str">
        <f t="shared" si="74"/>
        <v/>
      </c>
      <c r="BC415" s="55" t="str">
        <f t="shared" si="75"/>
        <v/>
      </c>
      <c r="BD415" s="55" t="str">
        <f t="shared" si="76"/>
        <v/>
      </c>
      <c r="BE415" s="55" t="str">
        <f t="shared" si="77"/>
        <v/>
      </c>
      <c r="BF415" s="55" t="str">
        <f t="shared" si="78"/>
        <v/>
      </c>
      <c r="BG415" s="55" t="str">
        <f t="shared" si="79"/>
        <v/>
      </c>
      <c r="BH415" s="55" t="str">
        <f t="shared" si="80"/>
        <v/>
      </c>
      <c r="BI415" s="55" t="str">
        <f t="shared" si="81"/>
        <v/>
      </c>
      <c r="BJ415" s="55" t="str">
        <f t="shared" si="82"/>
        <v/>
      </c>
      <c r="BK415" s="55" t="str">
        <f t="shared" si="83"/>
        <v/>
      </c>
    </row>
    <row r="416" spans="22:63">
      <c r="V416" s="55">
        <f t="shared" ca="1" si="72"/>
        <v>1</v>
      </c>
      <c r="W416" s="64"/>
      <c r="X416" s="65"/>
      <c r="Y416" s="65"/>
      <c r="Z416" s="65"/>
      <c r="AA416" s="64"/>
      <c r="AB416" s="65"/>
      <c r="AC416" s="64"/>
      <c r="AD416" s="65"/>
      <c r="AE416" s="64"/>
      <c r="AF416" s="65"/>
      <c r="AG416" s="65"/>
      <c r="AH416" s="66" t="str">
        <f t="shared" si="73"/>
        <v/>
      </c>
      <c r="AI416" s="64"/>
      <c r="AJ416" s="65"/>
      <c r="AK416" s="64"/>
      <c r="AL416" s="65"/>
      <c r="BB416" s="55" t="str">
        <f t="shared" si="74"/>
        <v/>
      </c>
      <c r="BC416" s="55" t="str">
        <f t="shared" si="75"/>
        <v/>
      </c>
      <c r="BD416" s="55" t="str">
        <f t="shared" si="76"/>
        <v/>
      </c>
      <c r="BE416" s="55" t="str">
        <f t="shared" si="77"/>
        <v/>
      </c>
      <c r="BF416" s="55" t="str">
        <f t="shared" si="78"/>
        <v/>
      </c>
      <c r="BG416" s="55" t="str">
        <f t="shared" si="79"/>
        <v/>
      </c>
      <c r="BH416" s="55" t="str">
        <f t="shared" si="80"/>
        <v/>
      </c>
      <c r="BI416" s="55" t="str">
        <f t="shared" si="81"/>
        <v/>
      </c>
      <c r="BJ416" s="55" t="str">
        <f t="shared" si="82"/>
        <v/>
      </c>
      <c r="BK416" s="55" t="str">
        <f t="shared" si="83"/>
        <v/>
      </c>
    </row>
    <row r="417" spans="22:63">
      <c r="V417" s="55">
        <f t="shared" ca="1" si="72"/>
        <v>1</v>
      </c>
      <c r="W417" s="64"/>
      <c r="X417" s="65"/>
      <c r="Y417" s="65"/>
      <c r="Z417" s="65"/>
      <c r="AA417" s="64"/>
      <c r="AB417" s="65"/>
      <c r="AC417" s="64"/>
      <c r="AD417" s="65"/>
      <c r="AE417" s="64"/>
      <c r="AF417" s="65"/>
      <c r="AG417" s="65"/>
      <c r="AH417" s="66" t="str">
        <f t="shared" si="73"/>
        <v/>
      </c>
      <c r="AI417" s="64"/>
      <c r="AJ417" s="65"/>
      <c r="AK417" s="64"/>
      <c r="AL417" s="65"/>
      <c r="BB417" s="55" t="str">
        <f t="shared" si="74"/>
        <v/>
      </c>
      <c r="BC417" s="55" t="str">
        <f t="shared" si="75"/>
        <v/>
      </c>
      <c r="BD417" s="55" t="str">
        <f t="shared" si="76"/>
        <v/>
      </c>
      <c r="BE417" s="55" t="str">
        <f t="shared" si="77"/>
        <v/>
      </c>
      <c r="BF417" s="55" t="str">
        <f t="shared" si="78"/>
        <v/>
      </c>
      <c r="BG417" s="55" t="str">
        <f t="shared" si="79"/>
        <v/>
      </c>
      <c r="BH417" s="55" t="str">
        <f t="shared" si="80"/>
        <v/>
      </c>
      <c r="BI417" s="55" t="str">
        <f t="shared" si="81"/>
        <v/>
      </c>
      <c r="BJ417" s="55" t="str">
        <f t="shared" si="82"/>
        <v/>
      </c>
      <c r="BK417" s="55" t="str">
        <f t="shared" si="83"/>
        <v/>
      </c>
    </row>
    <row r="418" spans="22:63">
      <c r="V418" s="55">
        <f t="shared" ca="1" si="72"/>
        <v>1</v>
      </c>
      <c r="W418" s="64"/>
      <c r="X418" s="65"/>
      <c r="Y418" s="65"/>
      <c r="Z418" s="65"/>
      <c r="AA418" s="64"/>
      <c r="AB418" s="65"/>
      <c r="AC418" s="64"/>
      <c r="AD418" s="65"/>
      <c r="AE418" s="64"/>
      <c r="AF418" s="65"/>
      <c r="AG418" s="65"/>
      <c r="AH418" s="66" t="str">
        <f t="shared" si="73"/>
        <v/>
      </c>
      <c r="AI418" s="64"/>
      <c r="AJ418" s="65"/>
      <c r="AK418" s="64"/>
      <c r="AL418" s="65"/>
      <c r="BB418" s="55" t="str">
        <f t="shared" si="74"/>
        <v/>
      </c>
      <c r="BC418" s="55" t="str">
        <f t="shared" si="75"/>
        <v/>
      </c>
      <c r="BD418" s="55" t="str">
        <f t="shared" si="76"/>
        <v/>
      </c>
      <c r="BE418" s="55" t="str">
        <f t="shared" si="77"/>
        <v/>
      </c>
      <c r="BF418" s="55" t="str">
        <f t="shared" si="78"/>
        <v/>
      </c>
      <c r="BG418" s="55" t="str">
        <f t="shared" si="79"/>
        <v/>
      </c>
      <c r="BH418" s="55" t="str">
        <f t="shared" si="80"/>
        <v/>
      </c>
      <c r="BI418" s="55" t="str">
        <f t="shared" si="81"/>
        <v/>
      </c>
      <c r="BJ418" s="55" t="str">
        <f t="shared" si="82"/>
        <v/>
      </c>
      <c r="BK418" s="55" t="str">
        <f t="shared" si="83"/>
        <v/>
      </c>
    </row>
    <row r="419" spans="22:63">
      <c r="V419" s="55">
        <f t="shared" ca="1" si="72"/>
        <v>1</v>
      </c>
      <c r="W419" s="64"/>
      <c r="X419" s="65"/>
      <c r="Y419" s="65"/>
      <c r="Z419" s="65"/>
      <c r="AA419" s="64"/>
      <c r="AB419" s="65"/>
      <c r="AC419" s="64"/>
      <c r="AD419" s="65"/>
      <c r="AE419" s="64"/>
      <c r="AF419" s="65"/>
      <c r="AG419" s="65"/>
      <c r="AH419" s="66" t="str">
        <f t="shared" si="73"/>
        <v/>
      </c>
      <c r="AI419" s="64"/>
      <c r="AJ419" s="65"/>
      <c r="AK419" s="64"/>
      <c r="AL419" s="65"/>
      <c r="BB419" s="55" t="str">
        <f t="shared" si="74"/>
        <v/>
      </c>
      <c r="BC419" s="55" t="str">
        <f t="shared" si="75"/>
        <v/>
      </c>
      <c r="BD419" s="55" t="str">
        <f t="shared" si="76"/>
        <v/>
      </c>
      <c r="BE419" s="55" t="str">
        <f t="shared" si="77"/>
        <v/>
      </c>
      <c r="BF419" s="55" t="str">
        <f t="shared" si="78"/>
        <v/>
      </c>
      <c r="BG419" s="55" t="str">
        <f t="shared" si="79"/>
        <v/>
      </c>
      <c r="BH419" s="55" t="str">
        <f t="shared" si="80"/>
        <v/>
      </c>
      <c r="BI419" s="55" t="str">
        <f t="shared" si="81"/>
        <v/>
      </c>
      <c r="BJ419" s="55" t="str">
        <f t="shared" si="82"/>
        <v/>
      </c>
      <c r="BK419" s="55" t="str">
        <f t="shared" si="83"/>
        <v/>
      </c>
    </row>
    <row r="420" spans="22:63">
      <c r="V420" s="55">
        <f t="shared" ca="1" si="72"/>
        <v>1</v>
      </c>
      <c r="W420" s="64"/>
      <c r="X420" s="65"/>
      <c r="Y420" s="65"/>
      <c r="Z420" s="65"/>
      <c r="AA420" s="64"/>
      <c r="AB420" s="65"/>
      <c r="AC420" s="64"/>
      <c r="AD420" s="65"/>
      <c r="AE420" s="64"/>
      <c r="AF420" s="65"/>
      <c r="AG420" s="65"/>
      <c r="AH420" s="66" t="str">
        <f t="shared" si="73"/>
        <v/>
      </c>
      <c r="AI420" s="64"/>
      <c r="AJ420" s="65"/>
      <c r="AK420" s="64"/>
      <c r="AL420" s="65"/>
      <c r="BB420" s="55" t="str">
        <f t="shared" si="74"/>
        <v/>
      </c>
      <c r="BC420" s="55" t="str">
        <f t="shared" si="75"/>
        <v/>
      </c>
      <c r="BD420" s="55" t="str">
        <f t="shared" si="76"/>
        <v/>
      </c>
      <c r="BE420" s="55" t="str">
        <f t="shared" si="77"/>
        <v/>
      </c>
      <c r="BF420" s="55" t="str">
        <f t="shared" si="78"/>
        <v/>
      </c>
      <c r="BG420" s="55" t="str">
        <f t="shared" si="79"/>
        <v/>
      </c>
      <c r="BH420" s="55" t="str">
        <f t="shared" si="80"/>
        <v/>
      </c>
      <c r="BI420" s="55" t="str">
        <f t="shared" si="81"/>
        <v/>
      </c>
      <c r="BJ420" s="55" t="str">
        <f t="shared" si="82"/>
        <v/>
      </c>
      <c r="BK420" s="55" t="str">
        <f t="shared" si="83"/>
        <v/>
      </c>
    </row>
    <row r="421" spans="22:63">
      <c r="V421" s="55">
        <f t="shared" ca="1" si="72"/>
        <v>1</v>
      </c>
      <c r="W421" s="64"/>
      <c r="X421" s="65"/>
      <c r="Y421" s="65"/>
      <c r="Z421" s="65"/>
      <c r="AA421" s="64"/>
      <c r="AB421" s="65"/>
      <c r="AC421" s="64"/>
      <c r="AD421" s="65"/>
      <c r="AE421" s="64"/>
      <c r="AF421" s="65"/>
      <c r="AG421" s="65"/>
      <c r="AH421" s="66" t="str">
        <f t="shared" si="73"/>
        <v/>
      </c>
      <c r="AI421" s="64"/>
      <c r="AJ421" s="65"/>
      <c r="AK421" s="64"/>
      <c r="AL421" s="65"/>
      <c r="BB421" s="55" t="str">
        <f t="shared" si="74"/>
        <v/>
      </c>
      <c r="BC421" s="55" t="str">
        <f t="shared" si="75"/>
        <v/>
      </c>
      <c r="BD421" s="55" t="str">
        <f t="shared" si="76"/>
        <v/>
      </c>
      <c r="BE421" s="55" t="str">
        <f t="shared" si="77"/>
        <v/>
      </c>
      <c r="BF421" s="55" t="str">
        <f t="shared" si="78"/>
        <v/>
      </c>
      <c r="BG421" s="55" t="str">
        <f t="shared" si="79"/>
        <v/>
      </c>
      <c r="BH421" s="55" t="str">
        <f t="shared" si="80"/>
        <v/>
      </c>
      <c r="BI421" s="55" t="str">
        <f t="shared" si="81"/>
        <v/>
      </c>
      <c r="BJ421" s="55" t="str">
        <f t="shared" si="82"/>
        <v/>
      </c>
      <c r="BK421" s="55" t="str">
        <f t="shared" si="83"/>
        <v/>
      </c>
    </row>
    <row r="422" spans="22:63">
      <c r="V422" s="55">
        <f t="shared" ca="1" si="72"/>
        <v>1</v>
      </c>
      <c r="W422" s="64"/>
      <c r="X422" s="65"/>
      <c r="Y422" s="65"/>
      <c r="Z422" s="65"/>
      <c r="AA422" s="64"/>
      <c r="AB422" s="65"/>
      <c r="AC422" s="64"/>
      <c r="AD422" s="65"/>
      <c r="AE422" s="64"/>
      <c r="AF422" s="65"/>
      <c r="AG422" s="65"/>
      <c r="AH422" s="66" t="str">
        <f t="shared" si="73"/>
        <v/>
      </c>
      <c r="AI422" s="64"/>
      <c r="AJ422" s="65"/>
      <c r="AK422" s="64"/>
      <c r="AL422" s="65"/>
      <c r="BB422" s="55" t="str">
        <f t="shared" si="74"/>
        <v/>
      </c>
      <c r="BC422" s="55" t="str">
        <f t="shared" si="75"/>
        <v/>
      </c>
      <c r="BD422" s="55" t="str">
        <f t="shared" si="76"/>
        <v/>
      </c>
      <c r="BE422" s="55" t="str">
        <f t="shared" si="77"/>
        <v/>
      </c>
      <c r="BF422" s="55" t="str">
        <f t="shared" si="78"/>
        <v/>
      </c>
      <c r="BG422" s="55" t="str">
        <f t="shared" si="79"/>
        <v/>
      </c>
      <c r="BH422" s="55" t="str">
        <f t="shared" si="80"/>
        <v/>
      </c>
      <c r="BI422" s="55" t="str">
        <f t="shared" si="81"/>
        <v/>
      </c>
      <c r="BJ422" s="55" t="str">
        <f t="shared" si="82"/>
        <v/>
      </c>
      <c r="BK422" s="55" t="str">
        <f t="shared" si="83"/>
        <v/>
      </c>
    </row>
    <row r="423" spans="22:63">
      <c r="V423" s="55">
        <f t="shared" ca="1" si="72"/>
        <v>1</v>
      </c>
      <c r="W423" s="64"/>
      <c r="X423" s="65"/>
      <c r="Y423" s="65"/>
      <c r="Z423" s="65"/>
      <c r="AA423" s="64"/>
      <c r="AB423" s="65"/>
      <c r="AC423" s="64"/>
      <c r="AD423" s="65"/>
      <c r="AE423" s="64"/>
      <c r="AF423" s="65"/>
      <c r="AG423" s="65"/>
      <c r="AH423" s="66" t="str">
        <f t="shared" si="73"/>
        <v/>
      </c>
      <c r="AI423" s="64"/>
      <c r="AJ423" s="65"/>
      <c r="AK423" s="64"/>
      <c r="AL423" s="65"/>
      <c r="BB423" s="55" t="str">
        <f t="shared" si="74"/>
        <v/>
      </c>
      <c r="BC423" s="55" t="str">
        <f t="shared" si="75"/>
        <v/>
      </c>
      <c r="BD423" s="55" t="str">
        <f t="shared" si="76"/>
        <v/>
      </c>
      <c r="BE423" s="55" t="str">
        <f t="shared" si="77"/>
        <v/>
      </c>
      <c r="BF423" s="55" t="str">
        <f t="shared" si="78"/>
        <v/>
      </c>
      <c r="BG423" s="55" t="str">
        <f t="shared" si="79"/>
        <v/>
      </c>
      <c r="BH423" s="55" t="str">
        <f t="shared" si="80"/>
        <v/>
      </c>
      <c r="BI423" s="55" t="str">
        <f t="shared" si="81"/>
        <v/>
      </c>
      <c r="BJ423" s="55" t="str">
        <f t="shared" si="82"/>
        <v/>
      </c>
      <c r="BK423" s="55" t="str">
        <f t="shared" si="83"/>
        <v/>
      </c>
    </row>
    <row r="424" spans="22:63">
      <c r="V424" s="55">
        <f t="shared" ca="1" si="72"/>
        <v>1</v>
      </c>
      <c r="W424" s="64"/>
      <c r="X424" s="65"/>
      <c r="Y424" s="65"/>
      <c r="Z424" s="65"/>
      <c r="AA424" s="64"/>
      <c r="AB424" s="65"/>
      <c r="AC424" s="64"/>
      <c r="AD424" s="65"/>
      <c r="AE424" s="64"/>
      <c r="AF424" s="65"/>
      <c r="AG424" s="65"/>
      <c r="AH424" s="66" t="str">
        <f t="shared" si="73"/>
        <v/>
      </c>
      <c r="AI424" s="64"/>
      <c r="AJ424" s="65"/>
      <c r="AK424" s="64"/>
      <c r="AL424" s="65"/>
      <c r="BB424" s="55" t="str">
        <f t="shared" si="74"/>
        <v/>
      </c>
      <c r="BC424" s="55" t="str">
        <f t="shared" si="75"/>
        <v/>
      </c>
      <c r="BD424" s="55" t="str">
        <f t="shared" si="76"/>
        <v/>
      </c>
      <c r="BE424" s="55" t="str">
        <f t="shared" si="77"/>
        <v/>
      </c>
      <c r="BF424" s="55" t="str">
        <f t="shared" si="78"/>
        <v/>
      </c>
      <c r="BG424" s="55" t="str">
        <f t="shared" si="79"/>
        <v/>
      </c>
      <c r="BH424" s="55" t="str">
        <f t="shared" si="80"/>
        <v/>
      </c>
      <c r="BI424" s="55" t="str">
        <f t="shared" si="81"/>
        <v/>
      </c>
      <c r="BJ424" s="55" t="str">
        <f t="shared" si="82"/>
        <v/>
      </c>
      <c r="BK424" s="55" t="str">
        <f t="shared" si="83"/>
        <v/>
      </c>
    </row>
    <row r="425" spans="22:63">
      <c r="V425" s="55">
        <f t="shared" ca="1" si="72"/>
        <v>1</v>
      </c>
      <c r="W425" s="64"/>
      <c r="X425" s="65"/>
      <c r="Y425" s="65"/>
      <c r="Z425" s="65"/>
      <c r="AA425" s="64"/>
      <c r="AB425" s="65"/>
      <c r="AC425" s="64"/>
      <c r="AD425" s="65"/>
      <c r="AE425" s="64"/>
      <c r="AF425" s="65"/>
      <c r="AG425" s="65"/>
      <c r="AH425" s="66" t="str">
        <f t="shared" si="73"/>
        <v/>
      </c>
      <c r="AI425" s="64"/>
      <c r="AJ425" s="65"/>
      <c r="AK425" s="64"/>
      <c r="AL425" s="65"/>
      <c r="BB425" s="55" t="str">
        <f t="shared" si="74"/>
        <v/>
      </c>
      <c r="BC425" s="55" t="str">
        <f t="shared" si="75"/>
        <v/>
      </c>
      <c r="BD425" s="55" t="str">
        <f t="shared" si="76"/>
        <v/>
      </c>
      <c r="BE425" s="55" t="str">
        <f t="shared" si="77"/>
        <v/>
      </c>
      <c r="BF425" s="55" t="str">
        <f t="shared" si="78"/>
        <v/>
      </c>
      <c r="BG425" s="55" t="str">
        <f t="shared" si="79"/>
        <v/>
      </c>
      <c r="BH425" s="55" t="str">
        <f t="shared" si="80"/>
        <v/>
      </c>
      <c r="BI425" s="55" t="str">
        <f t="shared" si="81"/>
        <v/>
      </c>
      <c r="BJ425" s="55" t="str">
        <f t="shared" si="82"/>
        <v/>
      </c>
      <c r="BK425" s="55" t="str">
        <f t="shared" si="83"/>
        <v/>
      </c>
    </row>
    <row r="426" spans="22:63">
      <c r="V426" s="55">
        <f t="shared" ca="1" si="72"/>
        <v>1</v>
      </c>
      <c r="W426" s="64"/>
      <c r="X426" s="65"/>
      <c r="Y426" s="65"/>
      <c r="Z426" s="65"/>
      <c r="AA426" s="64"/>
      <c r="AB426" s="65"/>
      <c r="AC426" s="64"/>
      <c r="AD426" s="65"/>
      <c r="AE426" s="64"/>
      <c r="AF426" s="65"/>
      <c r="AG426" s="65"/>
      <c r="AH426" s="66" t="str">
        <f t="shared" si="73"/>
        <v/>
      </c>
      <c r="AI426" s="64"/>
      <c r="AJ426" s="65"/>
      <c r="AK426" s="64"/>
      <c r="AL426" s="65"/>
      <c r="BB426" s="55" t="str">
        <f t="shared" si="74"/>
        <v/>
      </c>
      <c r="BC426" s="55" t="str">
        <f t="shared" si="75"/>
        <v/>
      </c>
      <c r="BD426" s="55" t="str">
        <f t="shared" si="76"/>
        <v/>
      </c>
      <c r="BE426" s="55" t="str">
        <f t="shared" si="77"/>
        <v/>
      </c>
      <c r="BF426" s="55" t="str">
        <f t="shared" si="78"/>
        <v/>
      </c>
      <c r="BG426" s="55" t="str">
        <f t="shared" si="79"/>
        <v/>
      </c>
      <c r="BH426" s="55" t="str">
        <f t="shared" si="80"/>
        <v/>
      </c>
      <c r="BI426" s="55" t="str">
        <f t="shared" si="81"/>
        <v/>
      </c>
      <c r="BJ426" s="55" t="str">
        <f t="shared" si="82"/>
        <v/>
      </c>
      <c r="BK426" s="55" t="str">
        <f t="shared" si="83"/>
        <v/>
      </c>
    </row>
    <row r="427" spans="22:63">
      <c r="V427" s="55">
        <f t="shared" ca="1" si="72"/>
        <v>1</v>
      </c>
      <c r="W427" s="64"/>
      <c r="X427" s="65"/>
      <c r="Y427" s="65"/>
      <c r="Z427" s="65"/>
      <c r="AA427" s="64"/>
      <c r="AB427" s="65"/>
      <c r="AC427" s="64"/>
      <c r="AD427" s="65"/>
      <c r="AE427" s="64"/>
      <c r="AF427" s="65"/>
      <c r="AG427" s="65"/>
      <c r="AH427" s="66" t="str">
        <f t="shared" si="73"/>
        <v/>
      </c>
      <c r="AI427" s="64"/>
      <c r="AJ427" s="65"/>
      <c r="AK427" s="64"/>
      <c r="AL427" s="65"/>
      <c r="BB427" s="55" t="str">
        <f t="shared" si="74"/>
        <v/>
      </c>
      <c r="BC427" s="55" t="str">
        <f t="shared" si="75"/>
        <v/>
      </c>
      <c r="BD427" s="55" t="str">
        <f t="shared" si="76"/>
        <v/>
      </c>
      <c r="BE427" s="55" t="str">
        <f t="shared" si="77"/>
        <v/>
      </c>
      <c r="BF427" s="55" t="str">
        <f t="shared" si="78"/>
        <v/>
      </c>
      <c r="BG427" s="55" t="str">
        <f t="shared" si="79"/>
        <v/>
      </c>
      <c r="BH427" s="55" t="str">
        <f t="shared" si="80"/>
        <v/>
      </c>
      <c r="BI427" s="55" t="str">
        <f t="shared" si="81"/>
        <v/>
      </c>
      <c r="BJ427" s="55" t="str">
        <f t="shared" si="82"/>
        <v/>
      </c>
      <c r="BK427" s="55" t="str">
        <f t="shared" si="83"/>
        <v/>
      </c>
    </row>
    <row r="428" spans="22:63">
      <c r="V428" s="55">
        <f t="shared" ca="1" si="72"/>
        <v>1</v>
      </c>
      <c r="W428" s="64"/>
      <c r="X428" s="65"/>
      <c r="Y428" s="65"/>
      <c r="Z428" s="65"/>
      <c r="AA428" s="64"/>
      <c r="AB428" s="65"/>
      <c r="AC428" s="64"/>
      <c r="AD428" s="65"/>
      <c r="AE428" s="64"/>
      <c r="AF428" s="65"/>
      <c r="AG428" s="65"/>
      <c r="AH428" s="66" t="str">
        <f t="shared" si="73"/>
        <v/>
      </c>
      <c r="AI428" s="64"/>
      <c r="AJ428" s="65"/>
      <c r="AK428" s="64"/>
      <c r="AL428" s="65"/>
      <c r="BB428" s="55" t="str">
        <f t="shared" si="74"/>
        <v/>
      </c>
      <c r="BC428" s="55" t="str">
        <f t="shared" si="75"/>
        <v/>
      </c>
      <c r="BD428" s="55" t="str">
        <f t="shared" si="76"/>
        <v/>
      </c>
      <c r="BE428" s="55" t="str">
        <f t="shared" si="77"/>
        <v/>
      </c>
      <c r="BF428" s="55" t="str">
        <f t="shared" si="78"/>
        <v/>
      </c>
      <c r="BG428" s="55" t="str">
        <f t="shared" si="79"/>
        <v/>
      </c>
      <c r="BH428" s="55" t="str">
        <f t="shared" si="80"/>
        <v/>
      </c>
      <c r="BI428" s="55" t="str">
        <f t="shared" si="81"/>
        <v/>
      </c>
      <c r="BJ428" s="55" t="str">
        <f t="shared" si="82"/>
        <v/>
      </c>
      <c r="BK428" s="55" t="str">
        <f t="shared" si="83"/>
        <v/>
      </c>
    </row>
    <row r="429" spans="22:63">
      <c r="V429" s="55">
        <f t="shared" ca="1" si="72"/>
        <v>1</v>
      </c>
      <c r="W429" s="64"/>
      <c r="X429" s="65"/>
      <c r="Y429" s="65"/>
      <c r="Z429" s="65"/>
      <c r="AA429" s="64"/>
      <c r="AB429" s="65"/>
      <c r="AC429" s="64"/>
      <c r="AD429" s="65"/>
      <c r="AE429" s="64"/>
      <c r="AF429" s="65"/>
      <c r="AG429" s="65"/>
      <c r="AH429" s="66" t="str">
        <f t="shared" si="73"/>
        <v/>
      </c>
      <c r="AI429" s="64"/>
      <c r="AJ429" s="65"/>
      <c r="AK429" s="64"/>
      <c r="AL429" s="65"/>
      <c r="BB429" s="55" t="str">
        <f t="shared" si="74"/>
        <v/>
      </c>
      <c r="BC429" s="55" t="str">
        <f t="shared" si="75"/>
        <v/>
      </c>
      <c r="BD429" s="55" t="str">
        <f t="shared" si="76"/>
        <v/>
      </c>
      <c r="BE429" s="55" t="str">
        <f t="shared" si="77"/>
        <v/>
      </c>
      <c r="BF429" s="55" t="str">
        <f t="shared" si="78"/>
        <v/>
      </c>
      <c r="BG429" s="55" t="str">
        <f t="shared" si="79"/>
        <v/>
      </c>
      <c r="BH429" s="55" t="str">
        <f t="shared" si="80"/>
        <v/>
      </c>
      <c r="BI429" s="55" t="str">
        <f t="shared" si="81"/>
        <v/>
      </c>
      <c r="BJ429" s="55" t="str">
        <f t="shared" si="82"/>
        <v/>
      </c>
      <c r="BK429" s="55" t="str">
        <f t="shared" si="83"/>
        <v/>
      </c>
    </row>
    <row r="430" spans="22:63">
      <c r="V430" s="55">
        <f t="shared" ca="1" si="72"/>
        <v>1</v>
      </c>
      <c r="W430" s="64"/>
      <c r="X430" s="65"/>
      <c r="Y430" s="65"/>
      <c r="Z430" s="65"/>
      <c r="AA430" s="64"/>
      <c r="AB430" s="65"/>
      <c r="AC430" s="64"/>
      <c r="AD430" s="65"/>
      <c r="AE430" s="64"/>
      <c r="AF430" s="65"/>
      <c r="AG430" s="65"/>
      <c r="AH430" s="66" t="str">
        <f t="shared" si="73"/>
        <v/>
      </c>
      <c r="AI430" s="64"/>
      <c r="AJ430" s="65"/>
      <c r="AK430" s="64"/>
      <c r="AL430" s="65"/>
      <c r="BB430" s="55" t="str">
        <f t="shared" si="74"/>
        <v/>
      </c>
      <c r="BC430" s="55" t="str">
        <f t="shared" si="75"/>
        <v/>
      </c>
      <c r="BD430" s="55" t="str">
        <f t="shared" si="76"/>
        <v/>
      </c>
      <c r="BE430" s="55" t="str">
        <f t="shared" si="77"/>
        <v/>
      </c>
      <c r="BF430" s="55" t="str">
        <f t="shared" si="78"/>
        <v/>
      </c>
      <c r="BG430" s="55" t="str">
        <f t="shared" si="79"/>
        <v/>
      </c>
      <c r="BH430" s="55" t="str">
        <f t="shared" si="80"/>
        <v/>
      </c>
      <c r="BI430" s="55" t="str">
        <f t="shared" si="81"/>
        <v/>
      </c>
      <c r="BJ430" s="55" t="str">
        <f t="shared" si="82"/>
        <v/>
      </c>
      <c r="BK430" s="55" t="str">
        <f t="shared" si="83"/>
        <v/>
      </c>
    </row>
    <row r="431" spans="22:63">
      <c r="V431" s="55">
        <f t="shared" ca="1" si="72"/>
        <v>1</v>
      </c>
      <c r="W431" s="64"/>
      <c r="X431" s="65"/>
      <c r="Y431" s="65"/>
      <c r="Z431" s="65"/>
      <c r="AA431" s="64"/>
      <c r="AB431" s="65"/>
      <c r="AC431" s="64"/>
      <c r="AD431" s="65"/>
      <c r="AE431" s="64"/>
      <c r="AF431" s="65"/>
      <c r="AG431" s="65"/>
      <c r="AH431" s="66" t="str">
        <f t="shared" si="73"/>
        <v/>
      </c>
      <c r="AI431" s="64"/>
      <c r="AJ431" s="65"/>
      <c r="AK431" s="64"/>
      <c r="AL431" s="65"/>
      <c r="BB431" s="55" t="str">
        <f t="shared" si="74"/>
        <v/>
      </c>
      <c r="BC431" s="55" t="str">
        <f t="shared" si="75"/>
        <v/>
      </c>
      <c r="BD431" s="55" t="str">
        <f t="shared" si="76"/>
        <v/>
      </c>
      <c r="BE431" s="55" t="str">
        <f t="shared" si="77"/>
        <v/>
      </c>
      <c r="BF431" s="55" t="str">
        <f t="shared" si="78"/>
        <v/>
      </c>
      <c r="BG431" s="55" t="str">
        <f t="shared" si="79"/>
        <v/>
      </c>
      <c r="BH431" s="55" t="str">
        <f t="shared" si="80"/>
        <v/>
      </c>
      <c r="BI431" s="55" t="str">
        <f t="shared" si="81"/>
        <v/>
      </c>
      <c r="BJ431" s="55" t="str">
        <f t="shared" si="82"/>
        <v/>
      </c>
      <c r="BK431" s="55" t="str">
        <f t="shared" si="83"/>
        <v/>
      </c>
    </row>
    <row r="432" spans="22:63">
      <c r="V432" s="55">
        <f t="shared" ca="1" si="72"/>
        <v>1</v>
      </c>
      <c r="W432" s="64"/>
      <c r="X432" s="65"/>
      <c r="Y432" s="65"/>
      <c r="Z432" s="65"/>
      <c r="AA432" s="64"/>
      <c r="AB432" s="65"/>
      <c r="AC432" s="64"/>
      <c r="AD432" s="65"/>
      <c r="AE432" s="64"/>
      <c r="AF432" s="65"/>
      <c r="AG432" s="65"/>
      <c r="AH432" s="66" t="str">
        <f t="shared" si="73"/>
        <v/>
      </c>
      <c r="AI432" s="64"/>
      <c r="AJ432" s="65"/>
      <c r="AK432" s="64"/>
      <c r="AL432" s="65"/>
      <c r="BB432" s="55" t="str">
        <f t="shared" si="74"/>
        <v/>
      </c>
      <c r="BC432" s="55" t="str">
        <f t="shared" si="75"/>
        <v/>
      </c>
      <c r="BD432" s="55" t="str">
        <f t="shared" si="76"/>
        <v/>
      </c>
      <c r="BE432" s="55" t="str">
        <f t="shared" si="77"/>
        <v/>
      </c>
      <c r="BF432" s="55" t="str">
        <f t="shared" si="78"/>
        <v/>
      </c>
      <c r="BG432" s="55" t="str">
        <f t="shared" si="79"/>
        <v/>
      </c>
      <c r="BH432" s="55" t="str">
        <f t="shared" si="80"/>
        <v/>
      </c>
      <c r="BI432" s="55" t="str">
        <f t="shared" si="81"/>
        <v/>
      </c>
      <c r="BJ432" s="55" t="str">
        <f t="shared" si="82"/>
        <v/>
      </c>
      <c r="BK432" s="55" t="str">
        <f t="shared" si="83"/>
        <v/>
      </c>
    </row>
    <row r="433" spans="22:63">
      <c r="V433" s="55">
        <f t="shared" ca="1" si="72"/>
        <v>1</v>
      </c>
      <c r="W433" s="64"/>
      <c r="X433" s="65"/>
      <c r="Y433" s="65"/>
      <c r="Z433" s="65"/>
      <c r="AA433" s="64"/>
      <c r="AB433" s="65"/>
      <c r="AC433" s="64"/>
      <c r="AD433" s="65"/>
      <c r="AE433" s="64"/>
      <c r="AF433" s="65"/>
      <c r="AG433" s="65"/>
      <c r="AH433" s="66" t="str">
        <f t="shared" si="73"/>
        <v/>
      </c>
      <c r="AI433" s="64"/>
      <c r="AJ433" s="65"/>
      <c r="AK433" s="64"/>
      <c r="AL433" s="65"/>
      <c r="BB433" s="55" t="str">
        <f t="shared" si="74"/>
        <v/>
      </c>
      <c r="BC433" s="55" t="str">
        <f t="shared" si="75"/>
        <v/>
      </c>
      <c r="BD433" s="55" t="str">
        <f t="shared" si="76"/>
        <v/>
      </c>
      <c r="BE433" s="55" t="str">
        <f t="shared" si="77"/>
        <v/>
      </c>
      <c r="BF433" s="55" t="str">
        <f t="shared" si="78"/>
        <v/>
      </c>
      <c r="BG433" s="55" t="str">
        <f t="shared" si="79"/>
        <v/>
      </c>
      <c r="BH433" s="55" t="str">
        <f t="shared" si="80"/>
        <v/>
      </c>
      <c r="BI433" s="55" t="str">
        <f t="shared" si="81"/>
        <v/>
      </c>
      <c r="BJ433" s="55" t="str">
        <f t="shared" si="82"/>
        <v/>
      </c>
      <c r="BK433" s="55" t="str">
        <f t="shared" si="83"/>
        <v/>
      </c>
    </row>
    <row r="434" spans="22:63">
      <c r="V434" s="55">
        <f t="shared" ca="1" si="72"/>
        <v>1</v>
      </c>
      <c r="W434" s="64"/>
      <c r="X434" s="65"/>
      <c r="Y434" s="65"/>
      <c r="Z434" s="65"/>
      <c r="AA434" s="64"/>
      <c r="AB434" s="65"/>
      <c r="AC434" s="64"/>
      <c r="AD434" s="65"/>
      <c r="AE434" s="64"/>
      <c r="AF434" s="65"/>
      <c r="AG434" s="65"/>
      <c r="AH434" s="66" t="str">
        <f t="shared" si="73"/>
        <v/>
      </c>
      <c r="AI434" s="64"/>
      <c r="AJ434" s="65"/>
      <c r="AK434" s="64"/>
      <c r="AL434" s="65"/>
      <c r="BB434" s="55" t="str">
        <f t="shared" si="74"/>
        <v/>
      </c>
      <c r="BC434" s="55" t="str">
        <f t="shared" si="75"/>
        <v/>
      </c>
      <c r="BD434" s="55" t="str">
        <f t="shared" si="76"/>
        <v/>
      </c>
      <c r="BE434" s="55" t="str">
        <f t="shared" si="77"/>
        <v/>
      </c>
      <c r="BF434" s="55" t="str">
        <f t="shared" si="78"/>
        <v/>
      </c>
      <c r="BG434" s="55" t="str">
        <f t="shared" si="79"/>
        <v/>
      </c>
      <c r="BH434" s="55" t="str">
        <f t="shared" si="80"/>
        <v/>
      </c>
      <c r="BI434" s="55" t="str">
        <f t="shared" si="81"/>
        <v/>
      </c>
      <c r="BJ434" s="55" t="str">
        <f t="shared" si="82"/>
        <v/>
      </c>
      <c r="BK434" s="55" t="str">
        <f t="shared" si="83"/>
        <v/>
      </c>
    </row>
    <row r="435" spans="22:63">
      <c r="V435" s="55">
        <f t="shared" ca="1" si="72"/>
        <v>1</v>
      </c>
      <c r="W435" s="64"/>
      <c r="X435" s="65"/>
      <c r="Y435" s="65"/>
      <c r="Z435" s="65"/>
      <c r="AA435" s="64"/>
      <c r="AB435" s="65"/>
      <c r="AC435" s="64"/>
      <c r="AD435" s="65"/>
      <c r="AE435" s="64"/>
      <c r="AF435" s="65"/>
      <c r="AG435" s="65"/>
      <c r="AH435" s="66" t="str">
        <f t="shared" si="73"/>
        <v/>
      </c>
      <c r="AI435" s="64"/>
      <c r="AJ435" s="65"/>
      <c r="AK435" s="64"/>
      <c r="AL435" s="65"/>
      <c r="BB435" s="55" t="str">
        <f t="shared" si="74"/>
        <v/>
      </c>
      <c r="BC435" s="55" t="str">
        <f t="shared" si="75"/>
        <v/>
      </c>
      <c r="BD435" s="55" t="str">
        <f t="shared" si="76"/>
        <v/>
      </c>
      <c r="BE435" s="55" t="str">
        <f t="shared" si="77"/>
        <v/>
      </c>
      <c r="BF435" s="55" t="str">
        <f t="shared" si="78"/>
        <v/>
      </c>
      <c r="BG435" s="55" t="str">
        <f t="shared" si="79"/>
        <v/>
      </c>
      <c r="BH435" s="55" t="str">
        <f t="shared" si="80"/>
        <v/>
      </c>
      <c r="BI435" s="55" t="str">
        <f t="shared" si="81"/>
        <v/>
      </c>
      <c r="BJ435" s="55" t="str">
        <f t="shared" si="82"/>
        <v/>
      </c>
      <c r="BK435" s="55" t="str">
        <f t="shared" si="83"/>
        <v/>
      </c>
    </row>
    <row r="436" spans="22:63">
      <c r="V436" s="55">
        <f t="shared" ca="1" si="72"/>
        <v>1</v>
      </c>
      <c r="W436" s="64"/>
      <c r="X436" s="65"/>
      <c r="Y436" s="65"/>
      <c r="Z436" s="65"/>
      <c r="AA436" s="64"/>
      <c r="AB436" s="65"/>
      <c r="AC436" s="64"/>
      <c r="AD436" s="65"/>
      <c r="AE436" s="64"/>
      <c r="AF436" s="65"/>
      <c r="AG436" s="65"/>
      <c r="AH436" s="66" t="str">
        <f t="shared" si="73"/>
        <v/>
      </c>
      <c r="AI436" s="64"/>
      <c r="AJ436" s="65"/>
      <c r="AK436" s="64"/>
      <c r="AL436" s="65"/>
      <c r="BB436" s="55" t="str">
        <f t="shared" si="74"/>
        <v/>
      </c>
      <c r="BC436" s="55" t="str">
        <f t="shared" si="75"/>
        <v/>
      </c>
      <c r="BD436" s="55" t="str">
        <f t="shared" si="76"/>
        <v/>
      </c>
      <c r="BE436" s="55" t="str">
        <f t="shared" si="77"/>
        <v/>
      </c>
      <c r="BF436" s="55" t="str">
        <f t="shared" si="78"/>
        <v/>
      </c>
      <c r="BG436" s="55" t="str">
        <f t="shared" si="79"/>
        <v/>
      </c>
      <c r="BH436" s="55" t="str">
        <f t="shared" si="80"/>
        <v/>
      </c>
      <c r="BI436" s="55" t="str">
        <f t="shared" si="81"/>
        <v/>
      </c>
      <c r="BJ436" s="55" t="str">
        <f t="shared" si="82"/>
        <v/>
      </c>
      <c r="BK436" s="55" t="str">
        <f t="shared" si="83"/>
        <v/>
      </c>
    </row>
    <row r="437" spans="22:63">
      <c r="V437" s="55">
        <f t="shared" ca="1" si="72"/>
        <v>1</v>
      </c>
      <c r="W437" s="64"/>
      <c r="X437" s="65"/>
      <c r="Y437" s="65"/>
      <c r="Z437" s="65"/>
      <c r="AA437" s="64"/>
      <c r="AB437" s="65"/>
      <c r="AC437" s="64"/>
      <c r="AD437" s="65"/>
      <c r="AE437" s="64"/>
      <c r="AF437" s="65"/>
      <c r="AG437" s="65"/>
      <c r="AH437" s="66" t="str">
        <f t="shared" si="73"/>
        <v/>
      </c>
      <c r="AI437" s="64"/>
      <c r="AJ437" s="65"/>
      <c r="AK437" s="64"/>
      <c r="AL437" s="65"/>
      <c r="BB437" s="55" t="str">
        <f t="shared" si="74"/>
        <v/>
      </c>
      <c r="BC437" s="55" t="str">
        <f t="shared" si="75"/>
        <v/>
      </c>
      <c r="BD437" s="55" t="str">
        <f t="shared" si="76"/>
        <v/>
      </c>
      <c r="BE437" s="55" t="str">
        <f t="shared" si="77"/>
        <v/>
      </c>
      <c r="BF437" s="55" t="str">
        <f t="shared" si="78"/>
        <v/>
      </c>
      <c r="BG437" s="55" t="str">
        <f t="shared" si="79"/>
        <v/>
      </c>
      <c r="BH437" s="55" t="str">
        <f t="shared" si="80"/>
        <v/>
      </c>
      <c r="BI437" s="55" t="str">
        <f t="shared" si="81"/>
        <v/>
      </c>
      <c r="BJ437" s="55" t="str">
        <f t="shared" si="82"/>
        <v/>
      </c>
      <c r="BK437" s="55" t="str">
        <f t="shared" si="83"/>
        <v/>
      </c>
    </row>
    <row r="438" spans="22:63">
      <c r="V438" s="55">
        <f t="shared" ca="1" si="72"/>
        <v>1</v>
      </c>
      <c r="W438" s="64"/>
      <c r="X438" s="65"/>
      <c r="Y438" s="65"/>
      <c r="Z438" s="65"/>
      <c r="AA438" s="64"/>
      <c r="AB438" s="65"/>
      <c r="AC438" s="64"/>
      <c r="AD438" s="65"/>
      <c r="AE438" s="64"/>
      <c r="AF438" s="65"/>
      <c r="AG438" s="65"/>
      <c r="AH438" s="66" t="str">
        <f t="shared" si="73"/>
        <v/>
      </c>
      <c r="AI438" s="64"/>
      <c r="AJ438" s="65"/>
      <c r="AK438" s="64"/>
      <c r="AL438" s="65"/>
      <c r="BB438" s="55" t="str">
        <f t="shared" si="74"/>
        <v/>
      </c>
      <c r="BC438" s="55" t="str">
        <f t="shared" si="75"/>
        <v/>
      </c>
      <c r="BD438" s="55" t="str">
        <f t="shared" si="76"/>
        <v/>
      </c>
      <c r="BE438" s="55" t="str">
        <f t="shared" si="77"/>
        <v/>
      </c>
      <c r="BF438" s="55" t="str">
        <f t="shared" si="78"/>
        <v/>
      </c>
      <c r="BG438" s="55" t="str">
        <f t="shared" si="79"/>
        <v/>
      </c>
      <c r="BH438" s="55" t="str">
        <f t="shared" si="80"/>
        <v/>
      </c>
      <c r="BI438" s="55" t="str">
        <f t="shared" si="81"/>
        <v/>
      </c>
      <c r="BJ438" s="55" t="str">
        <f t="shared" si="82"/>
        <v/>
      </c>
      <c r="BK438" s="55" t="str">
        <f t="shared" si="83"/>
        <v/>
      </c>
    </row>
    <row r="439" spans="22:63">
      <c r="V439" s="55">
        <f t="shared" ca="1" si="72"/>
        <v>1</v>
      </c>
      <c r="W439" s="64"/>
      <c r="X439" s="65"/>
      <c r="Y439" s="65"/>
      <c r="Z439" s="65"/>
      <c r="AA439" s="64"/>
      <c r="AB439" s="65"/>
      <c r="AC439" s="64"/>
      <c r="AD439" s="65"/>
      <c r="AE439" s="64"/>
      <c r="AF439" s="65"/>
      <c r="AG439" s="65"/>
      <c r="AH439" s="66" t="str">
        <f t="shared" si="73"/>
        <v/>
      </c>
      <c r="AI439" s="64"/>
      <c r="AJ439" s="65"/>
      <c r="AK439" s="64"/>
      <c r="AL439" s="65"/>
      <c r="BB439" s="55" t="str">
        <f t="shared" si="74"/>
        <v/>
      </c>
      <c r="BC439" s="55" t="str">
        <f t="shared" si="75"/>
        <v/>
      </c>
      <c r="BD439" s="55" t="str">
        <f t="shared" si="76"/>
        <v/>
      </c>
      <c r="BE439" s="55" t="str">
        <f t="shared" si="77"/>
        <v/>
      </c>
      <c r="BF439" s="55" t="str">
        <f t="shared" si="78"/>
        <v/>
      </c>
      <c r="BG439" s="55" t="str">
        <f t="shared" si="79"/>
        <v/>
      </c>
      <c r="BH439" s="55" t="str">
        <f t="shared" si="80"/>
        <v/>
      </c>
      <c r="BI439" s="55" t="str">
        <f t="shared" si="81"/>
        <v/>
      </c>
      <c r="BJ439" s="55" t="str">
        <f t="shared" si="82"/>
        <v/>
      </c>
      <c r="BK439" s="55" t="str">
        <f t="shared" si="83"/>
        <v/>
      </c>
    </row>
    <row r="440" spans="22:63">
      <c r="V440" s="55">
        <f t="shared" ca="1" si="72"/>
        <v>1</v>
      </c>
      <c r="W440" s="64"/>
      <c r="X440" s="65"/>
      <c r="Y440" s="65"/>
      <c r="Z440" s="65"/>
      <c r="AA440" s="64"/>
      <c r="AB440" s="65"/>
      <c r="AC440" s="64"/>
      <c r="AD440" s="65"/>
      <c r="AE440" s="64"/>
      <c r="AF440" s="65"/>
      <c r="AG440" s="65"/>
      <c r="AH440" s="66" t="str">
        <f t="shared" si="73"/>
        <v/>
      </c>
      <c r="AI440" s="64"/>
      <c r="AJ440" s="65"/>
      <c r="AK440" s="64"/>
      <c r="AL440" s="65"/>
      <c r="BB440" s="55" t="str">
        <f t="shared" si="74"/>
        <v/>
      </c>
      <c r="BC440" s="55" t="str">
        <f t="shared" si="75"/>
        <v/>
      </c>
      <c r="BD440" s="55" t="str">
        <f t="shared" si="76"/>
        <v/>
      </c>
      <c r="BE440" s="55" t="str">
        <f t="shared" si="77"/>
        <v/>
      </c>
      <c r="BF440" s="55" t="str">
        <f t="shared" si="78"/>
        <v/>
      </c>
      <c r="BG440" s="55" t="str">
        <f t="shared" si="79"/>
        <v/>
      </c>
      <c r="BH440" s="55" t="str">
        <f t="shared" si="80"/>
        <v/>
      </c>
      <c r="BI440" s="55" t="str">
        <f t="shared" si="81"/>
        <v/>
      </c>
      <c r="BJ440" s="55" t="str">
        <f t="shared" si="82"/>
        <v/>
      </c>
      <c r="BK440" s="55" t="str">
        <f t="shared" si="83"/>
        <v/>
      </c>
    </row>
    <row r="441" spans="22:63">
      <c r="V441" s="55">
        <f t="shared" ca="1" si="72"/>
        <v>1</v>
      </c>
      <c r="W441" s="64"/>
      <c r="X441" s="65"/>
      <c r="Y441" s="65"/>
      <c r="Z441" s="65"/>
      <c r="AA441" s="64"/>
      <c r="AB441" s="65"/>
      <c r="AC441" s="64"/>
      <c r="AD441" s="65"/>
      <c r="AE441" s="64"/>
      <c r="AF441" s="65"/>
      <c r="AG441" s="65"/>
      <c r="AH441" s="66" t="str">
        <f t="shared" si="73"/>
        <v/>
      </c>
      <c r="AI441" s="64"/>
      <c r="AJ441" s="65"/>
      <c r="AK441" s="64"/>
      <c r="AL441" s="65"/>
      <c r="BB441" s="55" t="str">
        <f t="shared" si="74"/>
        <v/>
      </c>
      <c r="BC441" s="55" t="str">
        <f t="shared" si="75"/>
        <v/>
      </c>
      <c r="BD441" s="55" t="str">
        <f t="shared" si="76"/>
        <v/>
      </c>
      <c r="BE441" s="55" t="str">
        <f t="shared" si="77"/>
        <v/>
      </c>
      <c r="BF441" s="55" t="str">
        <f t="shared" si="78"/>
        <v/>
      </c>
      <c r="BG441" s="55" t="str">
        <f t="shared" si="79"/>
        <v/>
      </c>
      <c r="BH441" s="55" t="str">
        <f t="shared" si="80"/>
        <v/>
      </c>
      <c r="BI441" s="55" t="str">
        <f t="shared" si="81"/>
        <v/>
      </c>
      <c r="BJ441" s="55" t="str">
        <f t="shared" si="82"/>
        <v/>
      </c>
      <c r="BK441" s="55" t="str">
        <f t="shared" si="83"/>
        <v/>
      </c>
    </row>
    <row r="442" spans="22:63">
      <c r="V442" s="55">
        <f t="shared" ca="1" si="72"/>
        <v>1</v>
      </c>
      <c r="W442" s="64"/>
      <c r="X442" s="65"/>
      <c r="Y442" s="65"/>
      <c r="Z442" s="65"/>
      <c r="AA442" s="64"/>
      <c r="AB442" s="65"/>
      <c r="AC442" s="64"/>
      <c r="AD442" s="65"/>
      <c r="AE442" s="64"/>
      <c r="AF442" s="65"/>
      <c r="AG442" s="65"/>
      <c r="AH442" s="66" t="str">
        <f t="shared" si="73"/>
        <v/>
      </c>
      <c r="AI442" s="64"/>
      <c r="AJ442" s="65"/>
      <c r="AK442" s="64"/>
      <c r="AL442" s="65"/>
      <c r="BB442" s="55" t="str">
        <f t="shared" si="74"/>
        <v/>
      </c>
      <c r="BC442" s="55" t="str">
        <f t="shared" si="75"/>
        <v/>
      </c>
      <c r="BD442" s="55" t="str">
        <f t="shared" si="76"/>
        <v/>
      </c>
      <c r="BE442" s="55" t="str">
        <f t="shared" si="77"/>
        <v/>
      </c>
      <c r="BF442" s="55" t="str">
        <f t="shared" si="78"/>
        <v/>
      </c>
      <c r="BG442" s="55" t="str">
        <f t="shared" si="79"/>
        <v/>
      </c>
      <c r="BH442" s="55" t="str">
        <f t="shared" si="80"/>
        <v/>
      </c>
      <c r="BI442" s="55" t="str">
        <f t="shared" si="81"/>
        <v/>
      </c>
      <c r="BJ442" s="55" t="str">
        <f t="shared" si="82"/>
        <v/>
      </c>
      <c r="BK442" s="55" t="str">
        <f t="shared" si="83"/>
        <v/>
      </c>
    </row>
    <row r="443" spans="22:63">
      <c r="V443" s="55">
        <f t="shared" ca="1" si="72"/>
        <v>1</v>
      </c>
      <c r="W443" s="64"/>
      <c r="X443" s="65"/>
      <c r="Y443" s="65"/>
      <c r="Z443" s="65"/>
      <c r="AA443" s="64"/>
      <c r="AB443" s="65"/>
      <c r="AC443" s="64"/>
      <c r="AD443" s="65"/>
      <c r="AE443" s="64"/>
      <c r="AF443" s="65"/>
      <c r="AG443" s="65"/>
      <c r="AH443" s="66" t="str">
        <f t="shared" si="73"/>
        <v/>
      </c>
      <c r="AI443" s="64"/>
      <c r="AJ443" s="65"/>
      <c r="AK443" s="64"/>
      <c r="AL443" s="65"/>
      <c r="BB443" s="55" t="str">
        <f t="shared" si="74"/>
        <v/>
      </c>
      <c r="BC443" s="55" t="str">
        <f t="shared" si="75"/>
        <v/>
      </c>
      <c r="BD443" s="55" t="str">
        <f t="shared" si="76"/>
        <v/>
      </c>
      <c r="BE443" s="55" t="str">
        <f t="shared" si="77"/>
        <v/>
      </c>
      <c r="BF443" s="55" t="str">
        <f t="shared" si="78"/>
        <v/>
      </c>
      <c r="BG443" s="55" t="str">
        <f t="shared" si="79"/>
        <v/>
      </c>
      <c r="BH443" s="55" t="str">
        <f t="shared" si="80"/>
        <v/>
      </c>
      <c r="BI443" s="55" t="str">
        <f t="shared" si="81"/>
        <v/>
      </c>
      <c r="BJ443" s="55" t="str">
        <f t="shared" si="82"/>
        <v/>
      </c>
      <c r="BK443" s="55" t="str">
        <f t="shared" si="83"/>
        <v/>
      </c>
    </row>
    <row r="444" spans="22:63">
      <c r="V444" s="55">
        <f t="shared" ca="1" si="72"/>
        <v>1</v>
      </c>
      <c r="W444" s="64"/>
      <c r="X444" s="65"/>
      <c r="Y444" s="65"/>
      <c r="Z444" s="65"/>
      <c r="AA444" s="64"/>
      <c r="AB444" s="65"/>
      <c r="AC444" s="64"/>
      <c r="AD444" s="65"/>
      <c r="AE444" s="64"/>
      <c r="AF444" s="65"/>
      <c r="AG444" s="65"/>
      <c r="AH444" s="66" t="str">
        <f t="shared" si="73"/>
        <v/>
      </c>
      <c r="AI444" s="64"/>
      <c r="AJ444" s="65"/>
      <c r="AK444" s="64"/>
      <c r="AL444" s="65"/>
      <c r="BB444" s="55" t="str">
        <f t="shared" si="74"/>
        <v/>
      </c>
      <c r="BC444" s="55" t="str">
        <f t="shared" si="75"/>
        <v/>
      </c>
      <c r="BD444" s="55" t="str">
        <f t="shared" si="76"/>
        <v/>
      </c>
      <c r="BE444" s="55" t="str">
        <f t="shared" si="77"/>
        <v/>
      </c>
      <c r="BF444" s="55" t="str">
        <f t="shared" si="78"/>
        <v/>
      </c>
      <c r="BG444" s="55" t="str">
        <f t="shared" si="79"/>
        <v/>
      </c>
      <c r="BH444" s="55" t="str">
        <f t="shared" si="80"/>
        <v/>
      </c>
      <c r="BI444" s="55" t="str">
        <f t="shared" si="81"/>
        <v/>
      </c>
      <c r="BJ444" s="55" t="str">
        <f t="shared" si="82"/>
        <v/>
      </c>
      <c r="BK444" s="55" t="str">
        <f t="shared" si="83"/>
        <v/>
      </c>
    </row>
    <row r="445" spans="22:63">
      <c r="V445" s="55">
        <f t="shared" ca="1" si="72"/>
        <v>1</v>
      </c>
      <c r="W445" s="64"/>
      <c r="X445" s="65"/>
      <c r="Y445" s="65"/>
      <c r="Z445" s="65"/>
      <c r="AA445" s="64"/>
      <c r="AB445" s="65"/>
      <c r="AC445" s="64"/>
      <c r="AD445" s="65"/>
      <c r="AE445" s="64"/>
      <c r="AF445" s="65"/>
      <c r="AG445" s="65"/>
      <c r="AH445" s="66" t="str">
        <f t="shared" si="73"/>
        <v/>
      </c>
      <c r="AI445" s="64"/>
      <c r="AJ445" s="65"/>
      <c r="AK445" s="64"/>
      <c r="AL445" s="65"/>
      <c r="BB445" s="55" t="str">
        <f t="shared" si="74"/>
        <v/>
      </c>
      <c r="BC445" s="55" t="str">
        <f t="shared" si="75"/>
        <v/>
      </c>
      <c r="BD445" s="55" t="str">
        <f t="shared" si="76"/>
        <v/>
      </c>
      <c r="BE445" s="55" t="str">
        <f t="shared" si="77"/>
        <v/>
      </c>
      <c r="BF445" s="55" t="str">
        <f t="shared" si="78"/>
        <v/>
      </c>
      <c r="BG445" s="55" t="str">
        <f t="shared" si="79"/>
        <v/>
      </c>
      <c r="BH445" s="55" t="str">
        <f t="shared" si="80"/>
        <v/>
      </c>
      <c r="BI445" s="55" t="str">
        <f t="shared" si="81"/>
        <v/>
      </c>
      <c r="BJ445" s="55" t="str">
        <f t="shared" si="82"/>
        <v/>
      </c>
      <c r="BK445" s="55" t="str">
        <f t="shared" si="83"/>
        <v/>
      </c>
    </row>
    <row r="446" spans="22:63">
      <c r="V446" s="55">
        <f t="shared" ca="1" si="72"/>
        <v>1</v>
      </c>
      <c r="W446" s="64"/>
      <c r="X446" s="65"/>
      <c r="Y446" s="65"/>
      <c r="Z446" s="65"/>
      <c r="AA446" s="64"/>
      <c r="AB446" s="65"/>
      <c r="AC446" s="64"/>
      <c r="AD446" s="65"/>
      <c r="AE446" s="64"/>
      <c r="AF446" s="65"/>
      <c r="AG446" s="65"/>
      <c r="AH446" s="66" t="str">
        <f t="shared" si="73"/>
        <v/>
      </c>
      <c r="AI446" s="64"/>
      <c r="AJ446" s="65"/>
      <c r="AK446" s="64"/>
      <c r="AL446" s="65"/>
      <c r="BB446" s="55" t="str">
        <f t="shared" si="74"/>
        <v/>
      </c>
      <c r="BC446" s="55" t="str">
        <f t="shared" si="75"/>
        <v/>
      </c>
      <c r="BD446" s="55" t="str">
        <f t="shared" si="76"/>
        <v/>
      </c>
      <c r="BE446" s="55" t="str">
        <f t="shared" si="77"/>
        <v/>
      </c>
      <c r="BF446" s="55" t="str">
        <f t="shared" si="78"/>
        <v/>
      </c>
      <c r="BG446" s="55" t="str">
        <f t="shared" si="79"/>
        <v/>
      </c>
      <c r="BH446" s="55" t="str">
        <f t="shared" si="80"/>
        <v/>
      </c>
      <c r="BI446" s="55" t="str">
        <f t="shared" si="81"/>
        <v/>
      </c>
      <c r="BJ446" s="55" t="str">
        <f t="shared" si="82"/>
        <v/>
      </c>
      <c r="BK446" s="55" t="str">
        <f t="shared" si="83"/>
        <v/>
      </c>
    </row>
    <row r="447" spans="22:63">
      <c r="V447" s="55">
        <f t="shared" ca="1" si="72"/>
        <v>1</v>
      </c>
      <c r="W447" s="64"/>
      <c r="X447" s="65"/>
      <c r="Y447" s="65"/>
      <c r="Z447" s="65"/>
      <c r="AA447" s="64"/>
      <c r="AB447" s="65"/>
      <c r="AC447" s="64"/>
      <c r="AD447" s="65"/>
      <c r="AE447" s="64"/>
      <c r="AF447" s="65"/>
      <c r="AG447" s="65"/>
      <c r="AH447" s="66" t="str">
        <f t="shared" si="73"/>
        <v/>
      </c>
      <c r="AI447" s="64"/>
      <c r="AJ447" s="65"/>
      <c r="AK447" s="64"/>
      <c r="AL447" s="65"/>
      <c r="BB447" s="55" t="str">
        <f t="shared" si="74"/>
        <v/>
      </c>
      <c r="BC447" s="55" t="str">
        <f t="shared" si="75"/>
        <v/>
      </c>
      <c r="BD447" s="55" t="str">
        <f t="shared" si="76"/>
        <v/>
      </c>
      <c r="BE447" s="55" t="str">
        <f t="shared" si="77"/>
        <v/>
      </c>
      <c r="BF447" s="55" t="str">
        <f t="shared" si="78"/>
        <v/>
      </c>
      <c r="BG447" s="55" t="str">
        <f t="shared" si="79"/>
        <v/>
      </c>
      <c r="BH447" s="55" t="str">
        <f t="shared" si="80"/>
        <v/>
      </c>
      <c r="BI447" s="55" t="str">
        <f t="shared" si="81"/>
        <v/>
      </c>
      <c r="BJ447" s="55" t="str">
        <f t="shared" si="82"/>
        <v/>
      </c>
      <c r="BK447" s="55" t="str">
        <f t="shared" si="83"/>
        <v/>
      </c>
    </row>
    <row r="448" spans="22:63">
      <c r="V448" s="55">
        <f t="shared" ca="1" si="72"/>
        <v>1</v>
      </c>
      <c r="W448" s="64"/>
      <c r="X448" s="65"/>
      <c r="Y448" s="65"/>
      <c r="Z448" s="65"/>
      <c r="AA448" s="64"/>
      <c r="AB448" s="65"/>
      <c r="AC448" s="64"/>
      <c r="AD448" s="65"/>
      <c r="AE448" s="64"/>
      <c r="AF448" s="65"/>
      <c r="AG448" s="65"/>
      <c r="AH448" s="66" t="str">
        <f t="shared" si="73"/>
        <v/>
      </c>
      <c r="AI448" s="64"/>
      <c r="AJ448" s="65"/>
      <c r="AK448" s="64"/>
      <c r="AL448" s="65"/>
      <c r="BB448" s="55" t="str">
        <f t="shared" si="74"/>
        <v/>
      </c>
      <c r="BC448" s="55" t="str">
        <f t="shared" si="75"/>
        <v/>
      </c>
      <c r="BD448" s="55" t="str">
        <f t="shared" si="76"/>
        <v/>
      </c>
      <c r="BE448" s="55" t="str">
        <f t="shared" si="77"/>
        <v/>
      </c>
      <c r="BF448" s="55" t="str">
        <f t="shared" si="78"/>
        <v/>
      </c>
      <c r="BG448" s="55" t="str">
        <f t="shared" si="79"/>
        <v/>
      </c>
      <c r="BH448" s="55" t="str">
        <f t="shared" si="80"/>
        <v/>
      </c>
      <c r="BI448" s="55" t="str">
        <f t="shared" si="81"/>
        <v/>
      </c>
      <c r="BJ448" s="55" t="str">
        <f t="shared" si="82"/>
        <v/>
      </c>
      <c r="BK448" s="55" t="str">
        <f t="shared" si="83"/>
        <v/>
      </c>
    </row>
    <row r="449" spans="22:63">
      <c r="V449" s="55">
        <f t="shared" ca="1" si="72"/>
        <v>1</v>
      </c>
      <c r="W449" s="64"/>
      <c r="X449" s="65"/>
      <c r="Y449" s="65"/>
      <c r="Z449" s="65"/>
      <c r="AA449" s="64"/>
      <c r="AB449" s="65"/>
      <c r="AC449" s="64"/>
      <c r="AD449" s="65"/>
      <c r="AE449" s="64"/>
      <c r="AF449" s="65"/>
      <c r="AG449" s="65"/>
      <c r="AH449" s="66" t="str">
        <f t="shared" si="73"/>
        <v/>
      </c>
      <c r="AI449" s="64"/>
      <c r="AJ449" s="65"/>
      <c r="AK449" s="64"/>
      <c r="AL449" s="65"/>
      <c r="BB449" s="55" t="str">
        <f t="shared" si="74"/>
        <v/>
      </c>
      <c r="BC449" s="55" t="str">
        <f t="shared" si="75"/>
        <v/>
      </c>
      <c r="BD449" s="55" t="str">
        <f t="shared" si="76"/>
        <v/>
      </c>
      <c r="BE449" s="55" t="str">
        <f t="shared" si="77"/>
        <v/>
      </c>
      <c r="BF449" s="55" t="str">
        <f t="shared" si="78"/>
        <v/>
      </c>
      <c r="BG449" s="55" t="str">
        <f t="shared" si="79"/>
        <v/>
      </c>
      <c r="BH449" s="55" t="str">
        <f t="shared" si="80"/>
        <v/>
      </c>
      <c r="BI449" s="55" t="str">
        <f t="shared" si="81"/>
        <v/>
      </c>
      <c r="BJ449" s="55" t="str">
        <f t="shared" si="82"/>
        <v/>
      </c>
      <c r="BK449" s="55" t="str">
        <f t="shared" si="83"/>
        <v/>
      </c>
    </row>
    <row r="450" spans="22:63">
      <c r="V450" s="55">
        <f t="shared" ca="1" si="72"/>
        <v>1</v>
      </c>
      <c r="W450" s="64"/>
      <c r="X450" s="65"/>
      <c r="Y450" s="65"/>
      <c r="Z450" s="65"/>
      <c r="AA450" s="64"/>
      <c r="AB450" s="65"/>
      <c r="AC450" s="64"/>
      <c r="AD450" s="65"/>
      <c r="AE450" s="64"/>
      <c r="AF450" s="65"/>
      <c r="AG450" s="65"/>
      <c r="AH450" s="66" t="str">
        <f t="shared" si="73"/>
        <v/>
      </c>
      <c r="AI450" s="64"/>
      <c r="AJ450" s="65"/>
      <c r="AK450" s="64"/>
      <c r="AL450" s="65"/>
      <c r="BB450" s="55" t="str">
        <f t="shared" si="74"/>
        <v/>
      </c>
      <c r="BC450" s="55" t="str">
        <f t="shared" si="75"/>
        <v/>
      </c>
      <c r="BD450" s="55" t="str">
        <f t="shared" si="76"/>
        <v/>
      </c>
      <c r="BE450" s="55" t="str">
        <f t="shared" si="77"/>
        <v/>
      </c>
      <c r="BF450" s="55" t="str">
        <f t="shared" si="78"/>
        <v/>
      </c>
      <c r="BG450" s="55" t="str">
        <f t="shared" si="79"/>
        <v/>
      </c>
      <c r="BH450" s="55" t="str">
        <f t="shared" si="80"/>
        <v/>
      </c>
      <c r="BI450" s="55" t="str">
        <f t="shared" si="81"/>
        <v/>
      </c>
      <c r="BJ450" s="55" t="str">
        <f t="shared" si="82"/>
        <v/>
      </c>
      <c r="BK450" s="55" t="str">
        <f t="shared" si="83"/>
        <v/>
      </c>
    </row>
    <row r="451" spans="22:63">
      <c r="V451" s="55">
        <f t="shared" ca="1" si="72"/>
        <v>1</v>
      </c>
      <c r="W451" s="64"/>
      <c r="X451" s="65"/>
      <c r="Y451" s="65"/>
      <c r="Z451" s="65"/>
      <c r="AA451" s="64"/>
      <c r="AB451" s="65"/>
      <c r="AC451" s="64"/>
      <c r="AD451" s="65"/>
      <c r="AE451" s="64"/>
      <c r="AF451" s="65"/>
      <c r="AG451" s="65"/>
      <c r="AH451" s="66" t="str">
        <f t="shared" si="73"/>
        <v/>
      </c>
      <c r="AI451" s="64"/>
      <c r="AJ451" s="65"/>
      <c r="AK451" s="64"/>
      <c r="AL451" s="65"/>
      <c r="BB451" s="55" t="str">
        <f t="shared" si="74"/>
        <v/>
      </c>
      <c r="BC451" s="55" t="str">
        <f t="shared" si="75"/>
        <v/>
      </c>
      <c r="BD451" s="55" t="str">
        <f t="shared" si="76"/>
        <v/>
      </c>
      <c r="BE451" s="55" t="str">
        <f t="shared" si="77"/>
        <v/>
      </c>
      <c r="BF451" s="55" t="str">
        <f t="shared" si="78"/>
        <v/>
      </c>
      <c r="BG451" s="55" t="str">
        <f t="shared" si="79"/>
        <v/>
      </c>
      <c r="BH451" s="55" t="str">
        <f t="shared" si="80"/>
        <v/>
      </c>
      <c r="BI451" s="55" t="str">
        <f t="shared" si="81"/>
        <v/>
      </c>
      <c r="BJ451" s="55" t="str">
        <f t="shared" si="82"/>
        <v/>
      </c>
      <c r="BK451" s="55" t="str">
        <f t="shared" si="83"/>
        <v/>
      </c>
    </row>
    <row r="452" spans="22:63">
      <c r="V452" s="55">
        <f t="shared" ca="1" si="72"/>
        <v>1</v>
      </c>
      <c r="W452" s="64"/>
      <c r="X452" s="65"/>
      <c r="Y452" s="65"/>
      <c r="Z452" s="65"/>
      <c r="AA452" s="64"/>
      <c r="AB452" s="65"/>
      <c r="AC452" s="64"/>
      <c r="AD452" s="65"/>
      <c r="AE452" s="64"/>
      <c r="AF452" s="65"/>
      <c r="AG452" s="65"/>
      <c r="AH452" s="66" t="str">
        <f t="shared" si="73"/>
        <v/>
      </c>
      <c r="AI452" s="64"/>
      <c r="AJ452" s="65"/>
      <c r="AK452" s="64"/>
      <c r="AL452" s="65"/>
      <c r="BB452" s="55" t="str">
        <f t="shared" si="74"/>
        <v/>
      </c>
      <c r="BC452" s="55" t="str">
        <f t="shared" si="75"/>
        <v/>
      </c>
      <c r="BD452" s="55" t="str">
        <f t="shared" si="76"/>
        <v/>
      </c>
      <c r="BE452" s="55" t="str">
        <f t="shared" si="77"/>
        <v/>
      </c>
      <c r="BF452" s="55" t="str">
        <f t="shared" si="78"/>
        <v/>
      </c>
      <c r="BG452" s="55" t="str">
        <f t="shared" si="79"/>
        <v/>
      </c>
      <c r="BH452" s="55" t="str">
        <f t="shared" si="80"/>
        <v/>
      </c>
      <c r="BI452" s="55" t="str">
        <f t="shared" si="81"/>
        <v/>
      </c>
      <c r="BJ452" s="55" t="str">
        <f t="shared" si="82"/>
        <v/>
      </c>
      <c r="BK452" s="55" t="str">
        <f t="shared" si="83"/>
        <v/>
      </c>
    </row>
    <row r="453" spans="22:63">
      <c r="V453" s="55">
        <f t="shared" ca="1" si="72"/>
        <v>1</v>
      </c>
      <c r="W453" s="64"/>
      <c r="X453" s="65"/>
      <c r="Y453" s="65"/>
      <c r="Z453" s="65"/>
      <c r="AA453" s="64"/>
      <c r="AB453" s="65"/>
      <c r="AC453" s="64"/>
      <c r="AD453" s="65"/>
      <c r="AE453" s="64"/>
      <c r="AF453" s="65"/>
      <c r="AG453" s="65"/>
      <c r="AH453" s="66" t="str">
        <f t="shared" si="73"/>
        <v/>
      </c>
      <c r="AI453" s="64"/>
      <c r="AJ453" s="65"/>
      <c r="AK453" s="64"/>
      <c r="AL453" s="65"/>
      <c r="BB453" s="55" t="str">
        <f t="shared" si="74"/>
        <v/>
      </c>
      <c r="BC453" s="55" t="str">
        <f t="shared" si="75"/>
        <v/>
      </c>
      <c r="BD453" s="55" t="str">
        <f t="shared" si="76"/>
        <v/>
      </c>
      <c r="BE453" s="55" t="str">
        <f t="shared" si="77"/>
        <v/>
      </c>
      <c r="BF453" s="55" t="str">
        <f t="shared" si="78"/>
        <v/>
      </c>
      <c r="BG453" s="55" t="str">
        <f t="shared" si="79"/>
        <v/>
      </c>
      <c r="BH453" s="55" t="str">
        <f t="shared" si="80"/>
        <v/>
      </c>
      <c r="BI453" s="55" t="str">
        <f t="shared" si="81"/>
        <v/>
      </c>
      <c r="BJ453" s="55" t="str">
        <f t="shared" si="82"/>
        <v/>
      </c>
      <c r="BK453" s="55" t="str">
        <f t="shared" si="83"/>
        <v/>
      </c>
    </row>
    <row r="454" spans="22:63">
      <c r="V454" s="55">
        <f t="shared" ca="1" si="72"/>
        <v>1</v>
      </c>
      <c r="W454" s="64"/>
      <c r="X454" s="65"/>
      <c r="Y454" s="65"/>
      <c r="Z454" s="65"/>
      <c r="AA454" s="64"/>
      <c r="AB454" s="65"/>
      <c r="AC454" s="64"/>
      <c r="AD454" s="65"/>
      <c r="AE454" s="64"/>
      <c r="AF454" s="65"/>
      <c r="AG454" s="65"/>
      <c r="AH454" s="66" t="str">
        <f t="shared" si="73"/>
        <v/>
      </c>
      <c r="AI454" s="64"/>
      <c r="AJ454" s="65"/>
      <c r="AK454" s="64"/>
      <c r="AL454" s="65"/>
      <c r="BB454" s="55" t="str">
        <f t="shared" si="74"/>
        <v/>
      </c>
      <c r="BC454" s="55" t="str">
        <f t="shared" si="75"/>
        <v/>
      </c>
      <c r="BD454" s="55" t="str">
        <f t="shared" si="76"/>
        <v/>
      </c>
      <c r="BE454" s="55" t="str">
        <f t="shared" si="77"/>
        <v/>
      </c>
      <c r="BF454" s="55" t="str">
        <f t="shared" si="78"/>
        <v/>
      </c>
      <c r="BG454" s="55" t="str">
        <f t="shared" si="79"/>
        <v/>
      </c>
      <c r="BH454" s="55" t="str">
        <f t="shared" si="80"/>
        <v/>
      </c>
      <c r="BI454" s="55" t="str">
        <f t="shared" si="81"/>
        <v/>
      </c>
      <c r="BJ454" s="55" t="str">
        <f t="shared" si="82"/>
        <v/>
      </c>
      <c r="BK454" s="55" t="str">
        <f t="shared" si="83"/>
        <v/>
      </c>
    </row>
    <row r="455" spans="22:63">
      <c r="V455" s="55">
        <f t="shared" ca="1" si="72"/>
        <v>1</v>
      </c>
      <c r="W455" s="64"/>
      <c r="X455" s="65"/>
      <c r="Y455" s="65"/>
      <c r="Z455" s="65"/>
      <c r="AA455" s="64"/>
      <c r="AB455" s="65"/>
      <c r="AC455" s="64"/>
      <c r="AD455" s="65"/>
      <c r="AE455" s="64"/>
      <c r="AF455" s="65"/>
      <c r="AG455" s="65"/>
      <c r="AH455" s="66" t="str">
        <f t="shared" si="73"/>
        <v/>
      </c>
      <c r="AI455" s="64"/>
      <c r="AJ455" s="65"/>
      <c r="AK455" s="64"/>
      <c r="AL455" s="65"/>
      <c r="BB455" s="55" t="str">
        <f t="shared" si="74"/>
        <v/>
      </c>
      <c r="BC455" s="55" t="str">
        <f t="shared" si="75"/>
        <v/>
      </c>
      <c r="BD455" s="55" t="str">
        <f t="shared" si="76"/>
        <v/>
      </c>
      <c r="BE455" s="55" t="str">
        <f t="shared" si="77"/>
        <v/>
      </c>
      <c r="BF455" s="55" t="str">
        <f t="shared" si="78"/>
        <v/>
      </c>
      <c r="BG455" s="55" t="str">
        <f t="shared" si="79"/>
        <v/>
      </c>
      <c r="BH455" s="55" t="str">
        <f t="shared" si="80"/>
        <v/>
      </c>
      <c r="BI455" s="55" t="str">
        <f t="shared" si="81"/>
        <v/>
      </c>
      <c r="BJ455" s="55" t="str">
        <f t="shared" si="82"/>
        <v/>
      </c>
      <c r="BK455" s="55" t="str">
        <f t="shared" si="83"/>
        <v/>
      </c>
    </row>
    <row r="456" spans="22:63">
      <c r="V456" s="55">
        <f t="shared" ca="1" si="72"/>
        <v>1</v>
      </c>
      <c r="W456" s="64"/>
      <c r="X456" s="65"/>
      <c r="Y456" s="65"/>
      <c r="Z456" s="65"/>
      <c r="AA456" s="64"/>
      <c r="AB456" s="65"/>
      <c r="AC456" s="64"/>
      <c r="AD456" s="65"/>
      <c r="AE456" s="64"/>
      <c r="AF456" s="65"/>
      <c r="AG456" s="65"/>
      <c r="AH456" s="66" t="str">
        <f t="shared" si="73"/>
        <v/>
      </c>
      <c r="AI456" s="64"/>
      <c r="AJ456" s="65"/>
      <c r="AK456" s="64"/>
      <c r="AL456" s="65"/>
      <c r="BB456" s="55" t="str">
        <f t="shared" si="74"/>
        <v/>
      </c>
      <c r="BC456" s="55" t="str">
        <f t="shared" si="75"/>
        <v/>
      </c>
      <c r="BD456" s="55" t="str">
        <f t="shared" si="76"/>
        <v/>
      </c>
      <c r="BE456" s="55" t="str">
        <f t="shared" si="77"/>
        <v/>
      </c>
      <c r="BF456" s="55" t="str">
        <f t="shared" si="78"/>
        <v/>
      </c>
      <c r="BG456" s="55" t="str">
        <f t="shared" si="79"/>
        <v/>
      </c>
      <c r="BH456" s="55" t="str">
        <f t="shared" si="80"/>
        <v/>
      </c>
      <c r="BI456" s="55" t="str">
        <f t="shared" si="81"/>
        <v/>
      </c>
      <c r="BJ456" s="55" t="str">
        <f t="shared" si="82"/>
        <v/>
      </c>
      <c r="BK456" s="55" t="str">
        <f t="shared" si="83"/>
        <v/>
      </c>
    </row>
    <row r="457" spans="22:63">
      <c r="V457" s="55">
        <f t="shared" ca="1" si="72"/>
        <v>1</v>
      </c>
      <c r="W457" s="64"/>
      <c r="X457" s="65"/>
      <c r="Y457" s="65"/>
      <c r="Z457" s="65"/>
      <c r="AA457" s="64"/>
      <c r="AB457" s="65"/>
      <c r="AC457" s="64"/>
      <c r="AD457" s="65"/>
      <c r="AE457" s="64"/>
      <c r="AF457" s="65"/>
      <c r="AG457" s="65"/>
      <c r="AH457" s="66" t="str">
        <f t="shared" si="73"/>
        <v/>
      </c>
      <c r="AI457" s="64"/>
      <c r="AJ457" s="65"/>
      <c r="AK457" s="64"/>
      <c r="AL457" s="65"/>
      <c r="BB457" s="55" t="str">
        <f t="shared" si="74"/>
        <v/>
      </c>
      <c r="BC457" s="55" t="str">
        <f t="shared" si="75"/>
        <v/>
      </c>
      <c r="BD457" s="55" t="str">
        <f t="shared" si="76"/>
        <v/>
      </c>
      <c r="BE457" s="55" t="str">
        <f t="shared" si="77"/>
        <v/>
      </c>
      <c r="BF457" s="55" t="str">
        <f t="shared" si="78"/>
        <v/>
      </c>
      <c r="BG457" s="55" t="str">
        <f t="shared" si="79"/>
        <v/>
      </c>
      <c r="BH457" s="55" t="str">
        <f t="shared" si="80"/>
        <v/>
      </c>
      <c r="BI457" s="55" t="str">
        <f t="shared" si="81"/>
        <v/>
      </c>
      <c r="BJ457" s="55" t="str">
        <f t="shared" si="82"/>
        <v/>
      </c>
      <c r="BK457" s="55" t="str">
        <f t="shared" si="83"/>
        <v/>
      </c>
    </row>
    <row r="458" spans="22:63">
      <c r="V458" s="55">
        <f t="shared" ca="1" si="72"/>
        <v>1</v>
      </c>
      <c r="W458" s="64"/>
      <c r="X458" s="65"/>
      <c r="Y458" s="65"/>
      <c r="Z458" s="65"/>
      <c r="AA458" s="64"/>
      <c r="AB458" s="65"/>
      <c r="AC458" s="64"/>
      <c r="AD458" s="65"/>
      <c r="AE458" s="64"/>
      <c r="AF458" s="65"/>
      <c r="AG458" s="65"/>
      <c r="AH458" s="66" t="str">
        <f t="shared" si="73"/>
        <v/>
      </c>
      <c r="AI458" s="64"/>
      <c r="AJ458" s="65"/>
      <c r="AK458" s="64"/>
      <c r="AL458" s="65"/>
      <c r="BB458" s="55" t="str">
        <f t="shared" si="74"/>
        <v/>
      </c>
      <c r="BC458" s="55" t="str">
        <f t="shared" si="75"/>
        <v/>
      </c>
      <c r="BD458" s="55" t="str">
        <f t="shared" si="76"/>
        <v/>
      </c>
      <c r="BE458" s="55" t="str">
        <f t="shared" si="77"/>
        <v/>
      </c>
      <c r="BF458" s="55" t="str">
        <f t="shared" si="78"/>
        <v/>
      </c>
      <c r="BG458" s="55" t="str">
        <f t="shared" si="79"/>
        <v/>
      </c>
      <c r="BH458" s="55" t="str">
        <f t="shared" si="80"/>
        <v/>
      </c>
      <c r="BI458" s="55" t="str">
        <f t="shared" si="81"/>
        <v/>
      </c>
      <c r="BJ458" s="55" t="str">
        <f t="shared" si="82"/>
        <v/>
      </c>
      <c r="BK458" s="55" t="str">
        <f t="shared" si="83"/>
        <v/>
      </c>
    </row>
    <row r="459" spans="22:63">
      <c r="V459" s="55">
        <f t="shared" ref="V459:V522" ca="1" si="84">IF(ISBLANK($W459),IF(ISNUMBER(INDIRECT("S"&amp;ROW($V459)-1)),INDIRECT("S"&amp;ROW($V459)-1),1),$W459)</f>
        <v>1</v>
      </c>
      <c r="W459" s="64"/>
      <c r="X459" s="65"/>
      <c r="Y459" s="65"/>
      <c r="Z459" s="65"/>
      <c r="AA459" s="64"/>
      <c r="AB459" s="65"/>
      <c r="AC459" s="64"/>
      <c r="AD459" s="65"/>
      <c r="AE459" s="64"/>
      <c r="AF459" s="65"/>
      <c r="AG459" s="65"/>
      <c r="AH459" s="66" t="str">
        <f t="shared" ref="AH459:AH522" si="85">IF(ISNUMBER($BI459), $BH459&amp;" - "&amp;$BJ459,"")</f>
        <v/>
      </c>
      <c r="AI459" s="64"/>
      <c r="AJ459" s="65"/>
      <c r="AK459" s="64"/>
      <c r="AL459" s="65"/>
      <c r="BB459" s="55" t="str">
        <f t="shared" ref="BB459:BB522" si="86">IF(ISBLANK($Z459),"",VLOOKUP($Z459,$A$11:$B$1010,2,FALSE))</f>
        <v/>
      </c>
      <c r="BC459" s="55" t="str">
        <f t="shared" ref="BC459:BC522" si="87">IF(ISBLANK($AA459),"",VLOOKUP($AA459,$D$11:$E$1010,2,FALSE))</f>
        <v/>
      </c>
      <c r="BD459" s="55" t="str">
        <f t="shared" ref="BD459:BD522" si="88">IF(ISBLANK($AC459),"",VLOOKUP($AC459,$H$11:$I$1010,2,FALSE))</f>
        <v/>
      </c>
      <c r="BE459" s="55" t="str">
        <f t="shared" ref="BE459:BE522" si="89">IF(ISBLANK($AF459),"",VLOOKUP($AF459,$L$11:$M$1010,2,FALSE))</f>
        <v/>
      </c>
      <c r="BF459" s="55" t="str">
        <f t="shared" ref="BF459:BF522" si="90">IF(ISNUMBER($BC459),VLOOKUP($BC459,$E$11:$F$1010,2,FALSE),"")</f>
        <v/>
      </c>
      <c r="BG459" s="55" t="str">
        <f t="shared" ref="BG459:BG522" si="91">IF(ISNUMBER($BD459),VLOOKUP($BD459,$I$11:$J$1010,2,FALSE),"")</f>
        <v/>
      </c>
      <c r="BH459" s="55" t="str">
        <f t="shared" ref="BH459:BH522" si="92">IF(AND(ISNUMBER($BF459),ISNUMBER($BG459)),$BF459*$BG459,"")</f>
        <v/>
      </c>
      <c r="BI459" s="55" t="str">
        <f t="shared" ref="BI459:BI522" si="93">IF(ISNUMBER($BH459),LOOKUP($BH459,lower_limit_level_risiko,id_level_risiko),"")</f>
        <v/>
      </c>
      <c r="BJ459" s="55" t="str">
        <f t="shared" ref="BJ459:BJ522" si="94">IF(ISNUMBER($BH459),LOOKUP($BH459,lower_limit_level_risiko,description_level_risiko),"")</f>
        <v/>
      </c>
      <c r="BK459" s="55" t="str">
        <f t="shared" ref="BK459:BK522" si="95">IF(ISBLANK($X459),"",VLOOKUP($X459,$T$11:$U$1010,2,FALSE))</f>
        <v/>
      </c>
    </row>
    <row r="460" spans="22:63">
      <c r="V460" s="55">
        <f t="shared" ca="1" si="84"/>
        <v>1</v>
      </c>
      <c r="W460" s="64"/>
      <c r="X460" s="65"/>
      <c r="Y460" s="65"/>
      <c r="Z460" s="65"/>
      <c r="AA460" s="64"/>
      <c r="AB460" s="65"/>
      <c r="AC460" s="64"/>
      <c r="AD460" s="65"/>
      <c r="AE460" s="64"/>
      <c r="AF460" s="65"/>
      <c r="AG460" s="65"/>
      <c r="AH460" s="66" t="str">
        <f t="shared" si="85"/>
        <v/>
      </c>
      <c r="AI460" s="64"/>
      <c r="AJ460" s="65"/>
      <c r="AK460" s="64"/>
      <c r="AL460" s="65"/>
      <c r="BB460" s="55" t="str">
        <f t="shared" si="86"/>
        <v/>
      </c>
      <c r="BC460" s="55" t="str">
        <f t="shared" si="87"/>
        <v/>
      </c>
      <c r="BD460" s="55" t="str">
        <f t="shared" si="88"/>
        <v/>
      </c>
      <c r="BE460" s="55" t="str">
        <f t="shared" si="89"/>
        <v/>
      </c>
      <c r="BF460" s="55" t="str">
        <f t="shared" si="90"/>
        <v/>
      </c>
      <c r="BG460" s="55" t="str">
        <f t="shared" si="91"/>
        <v/>
      </c>
      <c r="BH460" s="55" t="str">
        <f t="shared" si="92"/>
        <v/>
      </c>
      <c r="BI460" s="55" t="str">
        <f t="shared" si="93"/>
        <v/>
      </c>
      <c r="BJ460" s="55" t="str">
        <f t="shared" si="94"/>
        <v/>
      </c>
      <c r="BK460" s="55" t="str">
        <f t="shared" si="95"/>
        <v/>
      </c>
    </row>
    <row r="461" spans="22:63">
      <c r="V461" s="55">
        <f t="shared" ca="1" si="84"/>
        <v>1</v>
      </c>
      <c r="W461" s="64"/>
      <c r="X461" s="65"/>
      <c r="Y461" s="65"/>
      <c r="Z461" s="65"/>
      <c r="AA461" s="64"/>
      <c r="AB461" s="65"/>
      <c r="AC461" s="64"/>
      <c r="AD461" s="65"/>
      <c r="AE461" s="64"/>
      <c r="AF461" s="65"/>
      <c r="AG461" s="65"/>
      <c r="AH461" s="66" t="str">
        <f t="shared" si="85"/>
        <v/>
      </c>
      <c r="AI461" s="64"/>
      <c r="AJ461" s="65"/>
      <c r="AK461" s="64"/>
      <c r="AL461" s="65"/>
      <c r="BB461" s="55" t="str">
        <f t="shared" si="86"/>
        <v/>
      </c>
      <c r="BC461" s="55" t="str">
        <f t="shared" si="87"/>
        <v/>
      </c>
      <c r="BD461" s="55" t="str">
        <f t="shared" si="88"/>
        <v/>
      </c>
      <c r="BE461" s="55" t="str">
        <f t="shared" si="89"/>
        <v/>
      </c>
      <c r="BF461" s="55" t="str">
        <f t="shared" si="90"/>
        <v/>
      </c>
      <c r="BG461" s="55" t="str">
        <f t="shared" si="91"/>
        <v/>
      </c>
      <c r="BH461" s="55" t="str">
        <f t="shared" si="92"/>
        <v/>
      </c>
      <c r="BI461" s="55" t="str">
        <f t="shared" si="93"/>
        <v/>
      </c>
      <c r="BJ461" s="55" t="str">
        <f t="shared" si="94"/>
        <v/>
      </c>
      <c r="BK461" s="55" t="str">
        <f t="shared" si="95"/>
        <v/>
      </c>
    </row>
    <row r="462" spans="22:63">
      <c r="V462" s="55">
        <f t="shared" ca="1" si="84"/>
        <v>1</v>
      </c>
      <c r="W462" s="64"/>
      <c r="X462" s="65"/>
      <c r="Y462" s="65"/>
      <c r="Z462" s="65"/>
      <c r="AA462" s="64"/>
      <c r="AB462" s="65"/>
      <c r="AC462" s="64"/>
      <c r="AD462" s="65"/>
      <c r="AE462" s="64"/>
      <c r="AF462" s="65"/>
      <c r="AG462" s="65"/>
      <c r="AH462" s="66" t="str">
        <f t="shared" si="85"/>
        <v/>
      </c>
      <c r="AI462" s="64"/>
      <c r="AJ462" s="65"/>
      <c r="AK462" s="64"/>
      <c r="AL462" s="65"/>
      <c r="BB462" s="55" t="str">
        <f t="shared" si="86"/>
        <v/>
      </c>
      <c r="BC462" s="55" t="str">
        <f t="shared" si="87"/>
        <v/>
      </c>
      <c r="BD462" s="55" t="str">
        <f t="shared" si="88"/>
        <v/>
      </c>
      <c r="BE462" s="55" t="str">
        <f t="shared" si="89"/>
        <v/>
      </c>
      <c r="BF462" s="55" t="str">
        <f t="shared" si="90"/>
        <v/>
      </c>
      <c r="BG462" s="55" t="str">
        <f t="shared" si="91"/>
        <v/>
      </c>
      <c r="BH462" s="55" t="str">
        <f t="shared" si="92"/>
        <v/>
      </c>
      <c r="BI462" s="55" t="str">
        <f t="shared" si="93"/>
        <v/>
      </c>
      <c r="BJ462" s="55" t="str">
        <f t="shared" si="94"/>
        <v/>
      </c>
      <c r="BK462" s="55" t="str">
        <f t="shared" si="95"/>
        <v/>
      </c>
    </row>
    <row r="463" spans="22:63">
      <c r="V463" s="55">
        <f t="shared" ca="1" si="84"/>
        <v>1</v>
      </c>
      <c r="W463" s="64"/>
      <c r="X463" s="65"/>
      <c r="Y463" s="65"/>
      <c r="Z463" s="65"/>
      <c r="AA463" s="64"/>
      <c r="AB463" s="65"/>
      <c r="AC463" s="64"/>
      <c r="AD463" s="65"/>
      <c r="AE463" s="64"/>
      <c r="AF463" s="65"/>
      <c r="AG463" s="65"/>
      <c r="AH463" s="66" t="str">
        <f t="shared" si="85"/>
        <v/>
      </c>
      <c r="AI463" s="64"/>
      <c r="AJ463" s="65"/>
      <c r="AK463" s="64"/>
      <c r="AL463" s="65"/>
      <c r="BB463" s="55" t="str">
        <f t="shared" si="86"/>
        <v/>
      </c>
      <c r="BC463" s="55" t="str">
        <f t="shared" si="87"/>
        <v/>
      </c>
      <c r="BD463" s="55" t="str">
        <f t="shared" si="88"/>
        <v/>
      </c>
      <c r="BE463" s="55" t="str">
        <f t="shared" si="89"/>
        <v/>
      </c>
      <c r="BF463" s="55" t="str">
        <f t="shared" si="90"/>
        <v/>
      </c>
      <c r="BG463" s="55" t="str">
        <f t="shared" si="91"/>
        <v/>
      </c>
      <c r="BH463" s="55" t="str">
        <f t="shared" si="92"/>
        <v/>
      </c>
      <c r="BI463" s="55" t="str">
        <f t="shared" si="93"/>
        <v/>
      </c>
      <c r="BJ463" s="55" t="str">
        <f t="shared" si="94"/>
        <v/>
      </c>
      <c r="BK463" s="55" t="str">
        <f t="shared" si="95"/>
        <v/>
      </c>
    </row>
    <row r="464" spans="22:63">
      <c r="V464" s="55">
        <f t="shared" ca="1" si="84"/>
        <v>1</v>
      </c>
      <c r="W464" s="64"/>
      <c r="X464" s="65"/>
      <c r="Y464" s="65"/>
      <c r="Z464" s="65"/>
      <c r="AA464" s="64"/>
      <c r="AB464" s="65"/>
      <c r="AC464" s="64"/>
      <c r="AD464" s="65"/>
      <c r="AE464" s="64"/>
      <c r="AF464" s="65"/>
      <c r="AG464" s="65"/>
      <c r="AH464" s="66" t="str">
        <f t="shared" si="85"/>
        <v/>
      </c>
      <c r="AI464" s="64"/>
      <c r="AJ464" s="65"/>
      <c r="AK464" s="64"/>
      <c r="AL464" s="65"/>
      <c r="BB464" s="55" t="str">
        <f t="shared" si="86"/>
        <v/>
      </c>
      <c r="BC464" s="55" t="str">
        <f t="shared" si="87"/>
        <v/>
      </c>
      <c r="BD464" s="55" t="str">
        <f t="shared" si="88"/>
        <v/>
      </c>
      <c r="BE464" s="55" t="str">
        <f t="shared" si="89"/>
        <v/>
      </c>
      <c r="BF464" s="55" t="str">
        <f t="shared" si="90"/>
        <v/>
      </c>
      <c r="BG464" s="55" t="str">
        <f t="shared" si="91"/>
        <v/>
      </c>
      <c r="BH464" s="55" t="str">
        <f t="shared" si="92"/>
        <v/>
      </c>
      <c r="BI464" s="55" t="str">
        <f t="shared" si="93"/>
        <v/>
      </c>
      <c r="BJ464" s="55" t="str">
        <f t="shared" si="94"/>
        <v/>
      </c>
      <c r="BK464" s="55" t="str">
        <f t="shared" si="95"/>
        <v/>
      </c>
    </row>
    <row r="465" spans="22:63">
      <c r="V465" s="55">
        <f t="shared" ca="1" si="84"/>
        <v>1</v>
      </c>
      <c r="W465" s="64"/>
      <c r="X465" s="65"/>
      <c r="Y465" s="65"/>
      <c r="Z465" s="65"/>
      <c r="AA465" s="64"/>
      <c r="AB465" s="65"/>
      <c r="AC465" s="64"/>
      <c r="AD465" s="65"/>
      <c r="AE465" s="64"/>
      <c r="AF465" s="65"/>
      <c r="AG465" s="65"/>
      <c r="AH465" s="66" t="str">
        <f t="shared" si="85"/>
        <v/>
      </c>
      <c r="AI465" s="64"/>
      <c r="AJ465" s="65"/>
      <c r="AK465" s="64"/>
      <c r="AL465" s="65"/>
      <c r="BB465" s="55" t="str">
        <f t="shared" si="86"/>
        <v/>
      </c>
      <c r="BC465" s="55" t="str">
        <f t="shared" si="87"/>
        <v/>
      </c>
      <c r="BD465" s="55" t="str">
        <f t="shared" si="88"/>
        <v/>
      </c>
      <c r="BE465" s="55" t="str">
        <f t="shared" si="89"/>
        <v/>
      </c>
      <c r="BF465" s="55" t="str">
        <f t="shared" si="90"/>
        <v/>
      </c>
      <c r="BG465" s="55" t="str">
        <f t="shared" si="91"/>
        <v/>
      </c>
      <c r="BH465" s="55" t="str">
        <f t="shared" si="92"/>
        <v/>
      </c>
      <c r="BI465" s="55" t="str">
        <f t="shared" si="93"/>
        <v/>
      </c>
      <c r="BJ465" s="55" t="str">
        <f t="shared" si="94"/>
        <v/>
      </c>
      <c r="BK465" s="55" t="str">
        <f t="shared" si="95"/>
        <v/>
      </c>
    </row>
    <row r="466" spans="22:63">
      <c r="V466" s="55">
        <f t="shared" ca="1" si="84"/>
        <v>1</v>
      </c>
      <c r="W466" s="64"/>
      <c r="X466" s="65"/>
      <c r="Y466" s="65"/>
      <c r="Z466" s="65"/>
      <c r="AA466" s="64"/>
      <c r="AB466" s="65"/>
      <c r="AC466" s="64"/>
      <c r="AD466" s="65"/>
      <c r="AE466" s="64"/>
      <c r="AF466" s="65"/>
      <c r="AG466" s="65"/>
      <c r="AH466" s="66" t="str">
        <f t="shared" si="85"/>
        <v/>
      </c>
      <c r="AI466" s="64"/>
      <c r="AJ466" s="65"/>
      <c r="AK466" s="64"/>
      <c r="AL466" s="65"/>
      <c r="BB466" s="55" t="str">
        <f t="shared" si="86"/>
        <v/>
      </c>
      <c r="BC466" s="55" t="str">
        <f t="shared" si="87"/>
        <v/>
      </c>
      <c r="BD466" s="55" t="str">
        <f t="shared" si="88"/>
        <v/>
      </c>
      <c r="BE466" s="55" t="str">
        <f t="shared" si="89"/>
        <v/>
      </c>
      <c r="BF466" s="55" t="str">
        <f t="shared" si="90"/>
        <v/>
      </c>
      <c r="BG466" s="55" t="str">
        <f t="shared" si="91"/>
        <v/>
      </c>
      <c r="BH466" s="55" t="str">
        <f t="shared" si="92"/>
        <v/>
      </c>
      <c r="BI466" s="55" t="str">
        <f t="shared" si="93"/>
        <v/>
      </c>
      <c r="BJ466" s="55" t="str">
        <f t="shared" si="94"/>
        <v/>
      </c>
      <c r="BK466" s="55" t="str">
        <f t="shared" si="95"/>
        <v/>
      </c>
    </row>
    <row r="467" spans="22:63">
      <c r="V467" s="55">
        <f t="shared" ca="1" si="84"/>
        <v>1</v>
      </c>
      <c r="W467" s="64"/>
      <c r="X467" s="65"/>
      <c r="Y467" s="65"/>
      <c r="Z467" s="65"/>
      <c r="AA467" s="64"/>
      <c r="AB467" s="65"/>
      <c r="AC467" s="64"/>
      <c r="AD467" s="65"/>
      <c r="AE467" s="64"/>
      <c r="AF467" s="65"/>
      <c r="AG467" s="65"/>
      <c r="AH467" s="66" t="str">
        <f t="shared" si="85"/>
        <v/>
      </c>
      <c r="AI467" s="64"/>
      <c r="AJ467" s="65"/>
      <c r="AK467" s="64"/>
      <c r="AL467" s="65"/>
      <c r="BB467" s="55" t="str">
        <f t="shared" si="86"/>
        <v/>
      </c>
      <c r="BC467" s="55" t="str">
        <f t="shared" si="87"/>
        <v/>
      </c>
      <c r="BD467" s="55" t="str">
        <f t="shared" si="88"/>
        <v/>
      </c>
      <c r="BE467" s="55" t="str">
        <f t="shared" si="89"/>
        <v/>
      </c>
      <c r="BF467" s="55" t="str">
        <f t="shared" si="90"/>
        <v/>
      </c>
      <c r="BG467" s="55" t="str">
        <f t="shared" si="91"/>
        <v/>
      </c>
      <c r="BH467" s="55" t="str">
        <f t="shared" si="92"/>
        <v/>
      </c>
      <c r="BI467" s="55" t="str">
        <f t="shared" si="93"/>
        <v/>
      </c>
      <c r="BJ467" s="55" t="str">
        <f t="shared" si="94"/>
        <v/>
      </c>
      <c r="BK467" s="55" t="str">
        <f t="shared" si="95"/>
        <v/>
      </c>
    </row>
    <row r="468" spans="22:63">
      <c r="V468" s="55">
        <f t="shared" ca="1" si="84"/>
        <v>1</v>
      </c>
      <c r="W468" s="64"/>
      <c r="X468" s="65"/>
      <c r="Y468" s="65"/>
      <c r="Z468" s="65"/>
      <c r="AA468" s="64"/>
      <c r="AB468" s="65"/>
      <c r="AC468" s="64"/>
      <c r="AD468" s="65"/>
      <c r="AE468" s="64"/>
      <c r="AF468" s="65"/>
      <c r="AG468" s="65"/>
      <c r="AH468" s="66" t="str">
        <f t="shared" si="85"/>
        <v/>
      </c>
      <c r="AI468" s="64"/>
      <c r="AJ468" s="65"/>
      <c r="AK468" s="64"/>
      <c r="AL468" s="65"/>
      <c r="BB468" s="55" t="str">
        <f t="shared" si="86"/>
        <v/>
      </c>
      <c r="BC468" s="55" t="str">
        <f t="shared" si="87"/>
        <v/>
      </c>
      <c r="BD468" s="55" t="str">
        <f t="shared" si="88"/>
        <v/>
      </c>
      <c r="BE468" s="55" t="str">
        <f t="shared" si="89"/>
        <v/>
      </c>
      <c r="BF468" s="55" t="str">
        <f t="shared" si="90"/>
        <v/>
      </c>
      <c r="BG468" s="55" t="str">
        <f t="shared" si="91"/>
        <v/>
      </c>
      <c r="BH468" s="55" t="str">
        <f t="shared" si="92"/>
        <v/>
      </c>
      <c r="BI468" s="55" t="str">
        <f t="shared" si="93"/>
        <v/>
      </c>
      <c r="BJ468" s="55" t="str">
        <f t="shared" si="94"/>
        <v/>
      </c>
      <c r="BK468" s="55" t="str">
        <f t="shared" si="95"/>
        <v/>
      </c>
    </row>
    <row r="469" spans="22:63">
      <c r="V469" s="55">
        <f t="shared" ca="1" si="84"/>
        <v>1</v>
      </c>
      <c r="W469" s="64"/>
      <c r="X469" s="65"/>
      <c r="Y469" s="65"/>
      <c r="Z469" s="65"/>
      <c r="AA469" s="64"/>
      <c r="AB469" s="65"/>
      <c r="AC469" s="64"/>
      <c r="AD469" s="65"/>
      <c r="AE469" s="64"/>
      <c r="AF469" s="65"/>
      <c r="AG469" s="65"/>
      <c r="AH469" s="66" t="str">
        <f t="shared" si="85"/>
        <v/>
      </c>
      <c r="AI469" s="64"/>
      <c r="AJ469" s="65"/>
      <c r="AK469" s="64"/>
      <c r="AL469" s="65"/>
      <c r="BB469" s="55" t="str">
        <f t="shared" si="86"/>
        <v/>
      </c>
      <c r="BC469" s="55" t="str">
        <f t="shared" si="87"/>
        <v/>
      </c>
      <c r="BD469" s="55" t="str">
        <f t="shared" si="88"/>
        <v/>
      </c>
      <c r="BE469" s="55" t="str">
        <f t="shared" si="89"/>
        <v/>
      </c>
      <c r="BF469" s="55" t="str">
        <f t="shared" si="90"/>
        <v/>
      </c>
      <c r="BG469" s="55" t="str">
        <f t="shared" si="91"/>
        <v/>
      </c>
      <c r="BH469" s="55" t="str">
        <f t="shared" si="92"/>
        <v/>
      </c>
      <c r="BI469" s="55" t="str">
        <f t="shared" si="93"/>
        <v/>
      </c>
      <c r="BJ469" s="55" t="str">
        <f t="shared" si="94"/>
        <v/>
      </c>
      <c r="BK469" s="55" t="str">
        <f t="shared" si="95"/>
        <v/>
      </c>
    </row>
    <row r="470" spans="22:63">
      <c r="V470" s="55">
        <f t="shared" ca="1" si="84"/>
        <v>1</v>
      </c>
      <c r="W470" s="64"/>
      <c r="X470" s="65"/>
      <c r="Y470" s="65"/>
      <c r="Z470" s="65"/>
      <c r="AA470" s="64"/>
      <c r="AB470" s="65"/>
      <c r="AC470" s="64"/>
      <c r="AD470" s="65"/>
      <c r="AE470" s="64"/>
      <c r="AF470" s="65"/>
      <c r="AG470" s="65"/>
      <c r="AH470" s="66" t="str">
        <f t="shared" si="85"/>
        <v/>
      </c>
      <c r="AI470" s="64"/>
      <c r="AJ470" s="65"/>
      <c r="AK470" s="64"/>
      <c r="AL470" s="65"/>
      <c r="BB470" s="55" t="str">
        <f t="shared" si="86"/>
        <v/>
      </c>
      <c r="BC470" s="55" t="str">
        <f t="shared" si="87"/>
        <v/>
      </c>
      <c r="BD470" s="55" t="str">
        <f t="shared" si="88"/>
        <v/>
      </c>
      <c r="BE470" s="55" t="str">
        <f t="shared" si="89"/>
        <v/>
      </c>
      <c r="BF470" s="55" t="str">
        <f t="shared" si="90"/>
        <v/>
      </c>
      <c r="BG470" s="55" t="str">
        <f t="shared" si="91"/>
        <v/>
      </c>
      <c r="BH470" s="55" t="str">
        <f t="shared" si="92"/>
        <v/>
      </c>
      <c r="BI470" s="55" t="str">
        <f t="shared" si="93"/>
        <v/>
      </c>
      <c r="BJ470" s="55" t="str">
        <f t="shared" si="94"/>
        <v/>
      </c>
      <c r="BK470" s="55" t="str">
        <f t="shared" si="95"/>
        <v/>
      </c>
    </row>
    <row r="471" spans="22:63">
      <c r="V471" s="55">
        <f t="shared" ca="1" si="84"/>
        <v>1</v>
      </c>
      <c r="W471" s="64"/>
      <c r="X471" s="65"/>
      <c r="Y471" s="65"/>
      <c r="Z471" s="65"/>
      <c r="AA471" s="64"/>
      <c r="AB471" s="65"/>
      <c r="AC471" s="64"/>
      <c r="AD471" s="65"/>
      <c r="AE471" s="64"/>
      <c r="AF471" s="65"/>
      <c r="AG471" s="65"/>
      <c r="AH471" s="66" t="str">
        <f t="shared" si="85"/>
        <v/>
      </c>
      <c r="AI471" s="64"/>
      <c r="AJ471" s="65"/>
      <c r="AK471" s="64"/>
      <c r="AL471" s="65"/>
      <c r="BB471" s="55" t="str">
        <f t="shared" si="86"/>
        <v/>
      </c>
      <c r="BC471" s="55" t="str">
        <f t="shared" si="87"/>
        <v/>
      </c>
      <c r="BD471" s="55" t="str">
        <f t="shared" si="88"/>
        <v/>
      </c>
      <c r="BE471" s="55" t="str">
        <f t="shared" si="89"/>
        <v/>
      </c>
      <c r="BF471" s="55" t="str">
        <f t="shared" si="90"/>
        <v/>
      </c>
      <c r="BG471" s="55" t="str">
        <f t="shared" si="91"/>
        <v/>
      </c>
      <c r="BH471" s="55" t="str">
        <f t="shared" si="92"/>
        <v/>
      </c>
      <c r="BI471" s="55" t="str">
        <f t="shared" si="93"/>
        <v/>
      </c>
      <c r="BJ471" s="55" t="str">
        <f t="shared" si="94"/>
        <v/>
      </c>
      <c r="BK471" s="55" t="str">
        <f t="shared" si="95"/>
        <v/>
      </c>
    </row>
    <row r="472" spans="22:63">
      <c r="V472" s="55">
        <f t="shared" ca="1" si="84"/>
        <v>1</v>
      </c>
      <c r="W472" s="64"/>
      <c r="X472" s="65"/>
      <c r="Y472" s="65"/>
      <c r="Z472" s="65"/>
      <c r="AA472" s="64"/>
      <c r="AB472" s="65"/>
      <c r="AC472" s="64"/>
      <c r="AD472" s="65"/>
      <c r="AE472" s="64"/>
      <c r="AF472" s="65"/>
      <c r="AG472" s="65"/>
      <c r="AH472" s="66" t="str">
        <f t="shared" si="85"/>
        <v/>
      </c>
      <c r="AI472" s="64"/>
      <c r="AJ472" s="65"/>
      <c r="AK472" s="64"/>
      <c r="AL472" s="65"/>
      <c r="BB472" s="55" t="str">
        <f t="shared" si="86"/>
        <v/>
      </c>
      <c r="BC472" s="55" t="str">
        <f t="shared" si="87"/>
        <v/>
      </c>
      <c r="BD472" s="55" t="str">
        <f t="shared" si="88"/>
        <v/>
      </c>
      <c r="BE472" s="55" t="str">
        <f t="shared" si="89"/>
        <v/>
      </c>
      <c r="BF472" s="55" t="str">
        <f t="shared" si="90"/>
        <v/>
      </c>
      <c r="BG472" s="55" t="str">
        <f t="shared" si="91"/>
        <v/>
      </c>
      <c r="BH472" s="55" t="str">
        <f t="shared" si="92"/>
        <v/>
      </c>
      <c r="BI472" s="55" t="str">
        <f t="shared" si="93"/>
        <v/>
      </c>
      <c r="BJ472" s="55" t="str">
        <f t="shared" si="94"/>
        <v/>
      </c>
      <c r="BK472" s="55" t="str">
        <f t="shared" si="95"/>
        <v/>
      </c>
    </row>
    <row r="473" spans="22:63">
      <c r="V473" s="55">
        <f t="shared" ca="1" si="84"/>
        <v>1</v>
      </c>
      <c r="W473" s="64"/>
      <c r="X473" s="65"/>
      <c r="Y473" s="65"/>
      <c r="Z473" s="65"/>
      <c r="AA473" s="64"/>
      <c r="AB473" s="65"/>
      <c r="AC473" s="64"/>
      <c r="AD473" s="65"/>
      <c r="AE473" s="64"/>
      <c r="AF473" s="65"/>
      <c r="AG473" s="65"/>
      <c r="AH473" s="66" t="str">
        <f t="shared" si="85"/>
        <v/>
      </c>
      <c r="AI473" s="64"/>
      <c r="AJ473" s="65"/>
      <c r="AK473" s="64"/>
      <c r="AL473" s="65"/>
      <c r="BB473" s="55" t="str">
        <f t="shared" si="86"/>
        <v/>
      </c>
      <c r="BC473" s="55" t="str">
        <f t="shared" si="87"/>
        <v/>
      </c>
      <c r="BD473" s="55" t="str">
        <f t="shared" si="88"/>
        <v/>
      </c>
      <c r="BE473" s="55" t="str">
        <f t="shared" si="89"/>
        <v/>
      </c>
      <c r="BF473" s="55" t="str">
        <f t="shared" si="90"/>
        <v/>
      </c>
      <c r="BG473" s="55" t="str">
        <f t="shared" si="91"/>
        <v/>
      </c>
      <c r="BH473" s="55" t="str">
        <f t="shared" si="92"/>
        <v/>
      </c>
      <c r="BI473" s="55" t="str">
        <f t="shared" si="93"/>
        <v/>
      </c>
      <c r="BJ473" s="55" t="str">
        <f t="shared" si="94"/>
        <v/>
      </c>
      <c r="BK473" s="55" t="str">
        <f t="shared" si="95"/>
        <v/>
      </c>
    </row>
    <row r="474" spans="22:63">
      <c r="V474" s="55">
        <f t="shared" ca="1" si="84"/>
        <v>1</v>
      </c>
      <c r="W474" s="64"/>
      <c r="X474" s="65"/>
      <c r="Y474" s="65"/>
      <c r="Z474" s="65"/>
      <c r="AA474" s="64"/>
      <c r="AB474" s="65"/>
      <c r="AC474" s="64"/>
      <c r="AD474" s="65"/>
      <c r="AE474" s="64"/>
      <c r="AF474" s="65"/>
      <c r="AG474" s="65"/>
      <c r="AH474" s="66" t="str">
        <f t="shared" si="85"/>
        <v/>
      </c>
      <c r="AI474" s="64"/>
      <c r="AJ474" s="65"/>
      <c r="AK474" s="64"/>
      <c r="AL474" s="65"/>
      <c r="BB474" s="55" t="str">
        <f t="shared" si="86"/>
        <v/>
      </c>
      <c r="BC474" s="55" t="str">
        <f t="shared" si="87"/>
        <v/>
      </c>
      <c r="BD474" s="55" t="str">
        <f t="shared" si="88"/>
        <v/>
      </c>
      <c r="BE474" s="55" t="str">
        <f t="shared" si="89"/>
        <v/>
      </c>
      <c r="BF474" s="55" t="str">
        <f t="shared" si="90"/>
        <v/>
      </c>
      <c r="BG474" s="55" t="str">
        <f t="shared" si="91"/>
        <v/>
      </c>
      <c r="BH474" s="55" t="str">
        <f t="shared" si="92"/>
        <v/>
      </c>
      <c r="BI474" s="55" t="str">
        <f t="shared" si="93"/>
        <v/>
      </c>
      <c r="BJ474" s="55" t="str">
        <f t="shared" si="94"/>
        <v/>
      </c>
      <c r="BK474" s="55" t="str">
        <f t="shared" si="95"/>
        <v/>
      </c>
    </row>
    <row r="475" spans="22:63">
      <c r="V475" s="55">
        <f t="shared" ca="1" si="84"/>
        <v>1</v>
      </c>
      <c r="W475" s="64"/>
      <c r="X475" s="65"/>
      <c r="Y475" s="65"/>
      <c r="Z475" s="65"/>
      <c r="AA475" s="64"/>
      <c r="AB475" s="65"/>
      <c r="AC475" s="64"/>
      <c r="AD475" s="65"/>
      <c r="AE475" s="64"/>
      <c r="AF475" s="65"/>
      <c r="AG475" s="65"/>
      <c r="AH475" s="66" t="str">
        <f t="shared" si="85"/>
        <v/>
      </c>
      <c r="AI475" s="64"/>
      <c r="AJ475" s="65"/>
      <c r="AK475" s="64"/>
      <c r="AL475" s="65"/>
      <c r="BB475" s="55" t="str">
        <f t="shared" si="86"/>
        <v/>
      </c>
      <c r="BC475" s="55" t="str">
        <f t="shared" si="87"/>
        <v/>
      </c>
      <c r="BD475" s="55" t="str">
        <f t="shared" si="88"/>
        <v/>
      </c>
      <c r="BE475" s="55" t="str">
        <f t="shared" si="89"/>
        <v/>
      </c>
      <c r="BF475" s="55" t="str">
        <f t="shared" si="90"/>
        <v/>
      </c>
      <c r="BG475" s="55" t="str">
        <f t="shared" si="91"/>
        <v/>
      </c>
      <c r="BH475" s="55" t="str">
        <f t="shared" si="92"/>
        <v/>
      </c>
      <c r="BI475" s="55" t="str">
        <f t="shared" si="93"/>
        <v/>
      </c>
      <c r="BJ475" s="55" t="str">
        <f t="shared" si="94"/>
        <v/>
      </c>
      <c r="BK475" s="55" t="str">
        <f t="shared" si="95"/>
        <v/>
      </c>
    </row>
    <row r="476" spans="22:63">
      <c r="V476" s="55">
        <f t="shared" ca="1" si="84"/>
        <v>1</v>
      </c>
      <c r="W476" s="64"/>
      <c r="X476" s="65"/>
      <c r="Y476" s="65"/>
      <c r="Z476" s="65"/>
      <c r="AA476" s="64"/>
      <c r="AB476" s="65"/>
      <c r="AC476" s="64"/>
      <c r="AD476" s="65"/>
      <c r="AE476" s="64"/>
      <c r="AF476" s="65"/>
      <c r="AG476" s="65"/>
      <c r="AH476" s="66" t="str">
        <f t="shared" si="85"/>
        <v/>
      </c>
      <c r="AI476" s="64"/>
      <c r="AJ476" s="65"/>
      <c r="AK476" s="64"/>
      <c r="AL476" s="65"/>
      <c r="BB476" s="55" t="str">
        <f t="shared" si="86"/>
        <v/>
      </c>
      <c r="BC476" s="55" t="str">
        <f t="shared" si="87"/>
        <v/>
      </c>
      <c r="BD476" s="55" t="str">
        <f t="shared" si="88"/>
        <v/>
      </c>
      <c r="BE476" s="55" t="str">
        <f t="shared" si="89"/>
        <v/>
      </c>
      <c r="BF476" s="55" t="str">
        <f t="shared" si="90"/>
        <v/>
      </c>
      <c r="BG476" s="55" t="str">
        <f t="shared" si="91"/>
        <v/>
      </c>
      <c r="BH476" s="55" t="str">
        <f t="shared" si="92"/>
        <v/>
      </c>
      <c r="BI476" s="55" t="str">
        <f t="shared" si="93"/>
        <v/>
      </c>
      <c r="BJ476" s="55" t="str">
        <f t="shared" si="94"/>
        <v/>
      </c>
      <c r="BK476" s="55" t="str">
        <f t="shared" si="95"/>
        <v/>
      </c>
    </row>
    <row r="477" spans="22:63">
      <c r="V477" s="55">
        <f t="shared" ca="1" si="84"/>
        <v>1</v>
      </c>
      <c r="W477" s="64"/>
      <c r="X477" s="65"/>
      <c r="Y477" s="65"/>
      <c r="Z477" s="65"/>
      <c r="AA477" s="64"/>
      <c r="AB477" s="65"/>
      <c r="AC477" s="64"/>
      <c r="AD477" s="65"/>
      <c r="AE477" s="64"/>
      <c r="AF477" s="65"/>
      <c r="AG477" s="65"/>
      <c r="AH477" s="66" t="str">
        <f t="shared" si="85"/>
        <v/>
      </c>
      <c r="AI477" s="64"/>
      <c r="AJ477" s="65"/>
      <c r="AK477" s="64"/>
      <c r="AL477" s="65"/>
      <c r="BB477" s="55" t="str">
        <f t="shared" si="86"/>
        <v/>
      </c>
      <c r="BC477" s="55" t="str">
        <f t="shared" si="87"/>
        <v/>
      </c>
      <c r="BD477" s="55" t="str">
        <f t="shared" si="88"/>
        <v/>
      </c>
      <c r="BE477" s="55" t="str">
        <f t="shared" si="89"/>
        <v/>
      </c>
      <c r="BF477" s="55" t="str">
        <f t="shared" si="90"/>
        <v/>
      </c>
      <c r="BG477" s="55" t="str">
        <f t="shared" si="91"/>
        <v/>
      </c>
      <c r="BH477" s="55" t="str">
        <f t="shared" si="92"/>
        <v/>
      </c>
      <c r="BI477" s="55" t="str">
        <f t="shared" si="93"/>
        <v/>
      </c>
      <c r="BJ477" s="55" t="str">
        <f t="shared" si="94"/>
        <v/>
      </c>
      <c r="BK477" s="55" t="str">
        <f t="shared" si="95"/>
        <v/>
      </c>
    </row>
    <row r="478" spans="22:63">
      <c r="V478" s="55">
        <f t="shared" ca="1" si="84"/>
        <v>1</v>
      </c>
      <c r="W478" s="64"/>
      <c r="X478" s="65"/>
      <c r="Y478" s="65"/>
      <c r="Z478" s="65"/>
      <c r="AA478" s="64"/>
      <c r="AB478" s="65"/>
      <c r="AC478" s="64"/>
      <c r="AD478" s="65"/>
      <c r="AE478" s="64"/>
      <c r="AF478" s="65"/>
      <c r="AG478" s="65"/>
      <c r="AH478" s="66" t="str">
        <f t="shared" si="85"/>
        <v/>
      </c>
      <c r="AI478" s="64"/>
      <c r="AJ478" s="65"/>
      <c r="AK478" s="64"/>
      <c r="AL478" s="65"/>
      <c r="BB478" s="55" t="str">
        <f t="shared" si="86"/>
        <v/>
      </c>
      <c r="BC478" s="55" t="str">
        <f t="shared" si="87"/>
        <v/>
      </c>
      <c r="BD478" s="55" t="str">
        <f t="shared" si="88"/>
        <v/>
      </c>
      <c r="BE478" s="55" t="str">
        <f t="shared" si="89"/>
        <v/>
      </c>
      <c r="BF478" s="55" t="str">
        <f t="shared" si="90"/>
        <v/>
      </c>
      <c r="BG478" s="55" t="str">
        <f t="shared" si="91"/>
        <v/>
      </c>
      <c r="BH478" s="55" t="str">
        <f t="shared" si="92"/>
        <v/>
      </c>
      <c r="BI478" s="55" t="str">
        <f t="shared" si="93"/>
        <v/>
      </c>
      <c r="BJ478" s="55" t="str">
        <f t="shared" si="94"/>
        <v/>
      </c>
      <c r="BK478" s="55" t="str">
        <f t="shared" si="95"/>
        <v/>
      </c>
    </row>
    <row r="479" spans="22:63">
      <c r="V479" s="55">
        <f t="shared" ca="1" si="84"/>
        <v>1</v>
      </c>
      <c r="W479" s="64"/>
      <c r="X479" s="65"/>
      <c r="Y479" s="65"/>
      <c r="Z479" s="65"/>
      <c r="AA479" s="64"/>
      <c r="AB479" s="65"/>
      <c r="AC479" s="64"/>
      <c r="AD479" s="65"/>
      <c r="AE479" s="64"/>
      <c r="AF479" s="65"/>
      <c r="AG479" s="65"/>
      <c r="AH479" s="66" t="str">
        <f t="shared" si="85"/>
        <v/>
      </c>
      <c r="AI479" s="64"/>
      <c r="AJ479" s="65"/>
      <c r="AK479" s="64"/>
      <c r="AL479" s="65"/>
      <c r="BB479" s="55" t="str">
        <f t="shared" si="86"/>
        <v/>
      </c>
      <c r="BC479" s="55" t="str">
        <f t="shared" si="87"/>
        <v/>
      </c>
      <c r="BD479" s="55" t="str">
        <f t="shared" si="88"/>
        <v/>
      </c>
      <c r="BE479" s="55" t="str">
        <f t="shared" si="89"/>
        <v/>
      </c>
      <c r="BF479" s="55" t="str">
        <f t="shared" si="90"/>
        <v/>
      </c>
      <c r="BG479" s="55" t="str">
        <f t="shared" si="91"/>
        <v/>
      </c>
      <c r="BH479" s="55" t="str">
        <f t="shared" si="92"/>
        <v/>
      </c>
      <c r="BI479" s="55" t="str">
        <f t="shared" si="93"/>
        <v/>
      </c>
      <c r="BJ479" s="55" t="str">
        <f t="shared" si="94"/>
        <v/>
      </c>
      <c r="BK479" s="55" t="str">
        <f t="shared" si="95"/>
        <v/>
      </c>
    </row>
    <row r="480" spans="22:63">
      <c r="V480" s="55">
        <f t="shared" ca="1" si="84"/>
        <v>1</v>
      </c>
      <c r="W480" s="64"/>
      <c r="X480" s="65"/>
      <c r="Y480" s="65"/>
      <c r="Z480" s="65"/>
      <c r="AA480" s="64"/>
      <c r="AB480" s="65"/>
      <c r="AC480" s="64"/>
      <c r="AD480" s="65"/>
      <c r="AE480" s="64"/>
      <c r="AF480" s="65"/>
      <c r="AG480" s="65"/>
      <c r="AH480" s="66" t="str">
        <f t="shared" si="85"/>
        <v/>
      </c>
      <c r="AI480" s="64"/>
      <c r="AJ480" s="65"/>
      <c r="AK480" s="64"/>
      <c r="AL480" s="65"/>
      <c r="BB480" s="55" t="str">
        <f t="shared" si="86"/>
        <v/>
      </c>
      <c r="BC480" s="55" t="str">
        <f t="shared" si="87"/>
        <v/>
      </c>
      <c r="BD480" s="55" t="str">
        <f t="shared" si="88"/>
        <v/>
      </c>
      <c r="BE480" s="55" t="str">
        <f t="shared" si="89"/>
        <v/>
      </c>
      <c r="BF480" s="55" t="str">
        <f t="shared" si="90"/>
        <v/>
      </c>
      <c r="BG480" s="55" t="str">
        <f t="shared" si="91"/>
        <v/>
      </c>
      <c r="BH480" s="55" t="str">
        <f t="shared" si="92"/>
        <v/>
      </c>
      <c r="BI480" s="55" t="str">
        <f t="shared" si="93"/>
        <v/>
      </c>
      <c r="BJ480" s="55" t="str">
        <f t="shared" si="94"/>
        <v/>
      </c>
      <c r="BK480" s="55" t="str">
        <f t="shared" si="95"/>
        <v/>
      </c>
    </row>
    <row r="481" spans="22:63">
      <c r="V481" s="55">
        <f t="shared" ca="1" si="84"/>
        <v>1</v>
      </c>
      <c r="W481" s="64"/>
      <c r="X481" s="65"/>
      <c r="Y481" s="65"/>
      <c r="Z481" s="65"/>
      <c r="AA481" s="64"/>
      <c r="AB481" s="65"/>
      <c r="AC481" s="64"/>
      <c r="AD481" s="65"/>
      <c r="AE481" s="64"/>
      <c r="AF481" s="65"/>
      <c r="AG481" s="65"/>
      <c r="AH481" s="66" t="str">
        <f t="shared" si="85"/>
        <v/>
      </c>
      <c r="AI481" s="64"/>
      <c r="AJ481" s="65"/>
      <c r="AK481" s="64"/>
      <c r="AL481" s="65"/>
      <c r="BB481" s="55" t="str">
        <f t="shared" si="86"/>
        <v/>
      </c>
      <c r="BC481" s="55" t="str">
        <f t="shared" si="87"/>
        <v/>
      </c>
      <c r="BD481" s="55" t="str">
        <f t="shared" si="88"/>
        <v/>
      </c>
      <c r="BE481" s="55" t="str">
        <f t="shared" si="89"/>
        <v/>
      </c>
      <c r="BF481" s="55" t="str">
        <f t="shared" si="90"/>
        <v/>
      </c>
      <c r="BG481" s="55" t="str">
        <f t="shared" si="91"/>
        <v/>
      </c>
      <c r="BH481" s="55" t="str">
        <f t="shared" si="92"/>
        <v/>
      </c>
      <c r="BI481" s="55" t="str">
        <f t="shared" si="93"/>
        <v/>
      </c>
      <c r="BJ481" s="55" t="str">
        <f t="shared" si="94"/>
        <v/>
      </c>
      <c r="BK481" s="55" t="str">
        <f t="shared" si="95"/>
        <v/>
      </c>
    </row>
    <row r="482" spans="22:63">
      <c r="V482" s="55">
        <f t="shared" ca="1" si="84"/>
        <v>1</v>
      </c>
      <c r="W482" s="64"/>
      <c r="X482" s="65"/>
      <c r="Y482" s="65"/>
      <c r="Z482" s="65"/>
      <c r="AA482" s="64"/>
      <c r="AB482" s="65"/>
      <c r="AC482" s="64"/>
      <c r="AD482" s="65"/>
      <c r="AE482" s="64"/>
      <c r="AF482" s="65"/>
      <c r="AG482" s="65"/>
      <c r="AH482" s="66" t="str">
        <f t="shared" si="85"/>
        <v/>
      </c>
      <c r="AI482" s="64"/>
      <c r="AJ482" s="65"/>
      <c r="AK482" s="64"/>
      <c r="AL482" s="65"/>
      <c r="BB482" s="55" t="str">
        <f t="shared" si="86"/>
        <v/>
      </c>
      <c r="BC482" s="55" t="str">
        <f t="shared" si="87"/>
        <v/>
      </c>
      <c r="BD482" s="55" t="str">
        <f t="shared" si="88"/>
        <v/>
      </c>
      <c r="BE482" s="55" t="str">
        <f t="shared" si="89"/>
        <v/>
      </c>
      <c r="BF482" s="55" t="str">
        <f t="shared" si="90"/>
        <v/>
      </c>
      <c r="BG482" s="55" t="str">
        <f t="shared" si="91"/>
        <v/>
      </c>
      <c r="BH482" s="55" t="str">
        <f t="shared" si="92"/>
        <v/>
      </c>
      <c r="BI482" s="55" t="str">
        <f t="shared" si="93"/>
        <v/>
      </c>
      <c r="BJ482" s="55" t="str">
        <f t="shared" si="94"/>
        <v/>
      </c>
      <c r="BK482" s="55" t="str">
        <f t="shared" si="95"/>
        <v/>
      </c>
    </row>
    <row r="483" spans="22:63">
      <c r="V483" s="55">
        <f t="shared" ca="1" si="84"/>
        <v>1</v>
      </c>
      <c r="W483" s="64"/>
      <c r="X483" s="65"/>
      <c r="Y483" s="65"/>
      <c r="Z483" s="65"/>
      <c r="AA483" s="64"/>
      <c r="AB483" s="65"/>
      <c r="AC483" s="64"/>
      <c r="AD483" s="65"/>
      <c r="AE483" s="64"/>
      <c r="AF483" s="65"/>
      <c r="AG483" s="65"/>
      <c r="AH483" s="66" t="str">
        <f t="shared" si="85"/>
        <v/>
      </c>
      <c r="AI483" s="64"/>
      <c r="AJ483" s="65"/>
      <c r="AK483" s="64"/>
      <c r="AL483" s="65"/>
      <c r="BB483" s="55" t="str">
        <f t="shared" si="86"/>
        <v/>
      </c>
      <c r="BC483" s="55" t="str">
        <f t="shared" si="87"/>
        <v/>
      </c>
      <c r="BD483" s="55" t="str">
        <f t="shared" si="88"/>
        <v/>
      </c>
      <c r="BE483" s="55" t="str">
        <f t="shared" si="89"/>
        <v/>
      </c>
      <c r="BF483" s="55" t="str">
        <f t="shared" si="90"/>
        <v/>
      </c>
      <c r="BG483" s="55" t="str">
        <f t="shared" si="91"/>
        <v/>
      </c>
      <c r="BH483" s="55" t="str">
        <f t="shared" si="92"/>
        <v/>
      </c>
      <c r="BI483" s="55" t="str">
        <f t="shared" si="93"/>
        <v/>
      </c>
      <c r="BJ483" s="55" t="str">
        <f t="shared" si="94"/>
        <v/>
      </c>
      <c r="BK483" s="55" t="str">
        <f t="shared" si="95"/>
        <v/>
      </c>
    </row>
    <row r="484" spans="22:63">
      <c r="V484" s="55">
        <f t="shared" ca="1" si="84"/>
        <v>1</v>
      </c>
      <c r="W484" s="64"/>
      <c r="X484" s="65"/>
      <c r="Y484" s="65"/>
      <c r="Z484" s="65"/>
      <c r="AA484" s="64"/>
      <c r="AB484" s="65"/>
      <c r="AC484" s="64"/>
      <c r="AD484" s="65"/>
      <c r="AE484" s="64"/>
      <c r="AF484" s="65"/>
      <c r="AG484" s="65"/>
      <c r="AH484" s="66" t="str">
        <f t="shared" si="85"/>
        <v/>
      </c>
      <c r="AI484" s="64"/>
      <c r="AJ484" s="65"/>
      <c r="AK484" s="64"/>
      <c r="AL484" s="65"/>
      <c r="BB484" s="55" t="str">
        <f t="shared" si="86"/>
        <v/>
      </c>
      <c r="BC484" s="55" t="str">
        <f t="shared" si="87"/>
        <v/>
      </c>
      <c r="BD484" s="55" t="str">
        <f t="shared" si="88"/>
        <v/>
      </c>
      <c r="BE484" s="55" t="str">
        <f t="shared" si="89"/>
        <v/>
      </c>
      <c r="BF484" s="55" t="str">
        <f t="shared" si="90"/>
        <v/>
      </c>
      <c r="BG484" s="55" t="str">
        <f t="shared" si="91"/>
        <v/>
      </c>
      <c r="BH484" s="55" t="str">
        <f t="shared" si="92"/>
        <v/>
      </c>
      <c r="BI484" s="55" t="str">
        <f t="shared" si="93"/>
        <v/>
      </c>
      <c r="BJ484" s="55" t="str">
        <f t="shared" si="94"/>
        <v/>
      </c>
      <c r="BK484" s="55" t="str">
        <f t="shared" si="95"/>
        <v/>
      </c>
    </row>
    <row r="485" spans="22:63">
      <c r="V485" s="55">
        <f t="shared" ca="1" si="84"/>
        <v>1</v>
      </c>
      <c r="W485" s="64"/>
      <c r="X485" s="65"/>
      <c r="Y485" s="65"/>
      <c r="Z485" s="65"/>
      <c r="AA485" s="64"/>
      <c r="AB485" s="65"/>
      <c r="AC485" s="64"/>
      <c r="AD485" s="65"/>
      <c r="AE485" s="64"/>
      <c r="AF485" s="65"/>
      <c r="AG485" s="65"/>
      <c r="AH485" s="66" t="str">
        <f t="shared" si="85"/>
        <v/>
      </c>
      <c r="AI485" s="64"/>
      <c r="AJ485" s="65"/>
      <c r="AK485" s="64"/>
      <c r="AL485" s="65"/>
      <c r="BB485" s="55" t="str">
        <f t="shared" si="86"/>
        <v/>
      </c>
      <c r="BC485" s="55" t="str">
        <f t="shared" si="87"/>
        <v/>
      </c>
      <c r="BD485" s="55" t="str">
        <f t="shared" si="88"/>
        <v/>
      </c>
      <c r="BE485" s="55" t="str">
        <f t="shared" si="89"/>
        <v/>
      </c>
      <c r="BF485" s="55" t="str">
        <f t="shared" si="90"/>
        <v/>
      </c>
      <c r="BG485" s="55" t="str">
        <f t="shared" si="91"/>
        <v/>
      </c>
      <c r="BH485" s="55" t="str">
        <f t="shared" si="92"/>
        <v/>
      </c>
      <c r="BI485" s="55" t="str">
        <f t="shared" si="93"/>
        <v/>
      </c>
      <c r="BJ485" s="55" t="str">
        <f t="shared" si="94"/>
        <v/>
      </c>
      <c r="BK485" s="55" t="str">
        <f t="shared" si="95"/>
        <v/>
      </c>
    </row>
    <row r="486" spans="22:63">
      <c r="V486" s="55">
        <f t="shared" ca="1" si="84"/>
        <v>1</v>
      </c>
      <c r="W486" s="64"/>
      <c r="X486" s="65"/>
      <c r="Y486" s="65"/>
      <c r="Z486" s="65"/>
      <c r="AA486" s="64"/>
      <c r="AB486" s="65"/>
      <c r="AC486" s="64"/>
      <c r="AD486" s="65"/>
      <c r="AE486" s="64"/>
      <c r="AF486" s="65"/>
      <c r="AG486" s="65"/>
      <c r="AH486" s="66" t="str">
        <f t="shared" si="85"/>
        <v/>
      </c>
      <c r="AI486" s="64"/>
      <c r="AJ486" s="65"/>
      <c r="AK486" s="64"/>
      <c r="AL486" s="65"/>
      <c r="BB486" s="55" t="str">
        <f t="shared" si="86"/>
        <v/>
      </c>
      <c r="BC486" s="55" t="str">
        <f t="shared" si="87"/>
        <v/>
      </c>
      <c r="BD486" s="55" t="str">
        <f t="shared" si="88"/>
        <v/>
      </c>
      <c r="BE486" s="55" t="str">
        <f t="shared" si="89"/>
        <v/>
      </c>
      <c r="BF486" s="55" t="str">
        <f t="shared" si="90"/>
        <v/>
      </c>
      <c r="BG486" s="55" t="str">
        <f t="shared" si="91"/>
        <v/>
      </c>
      <c r="BH486" s="55" t="str">
        <f t="shared" si="92"/>
        <v/>
      </c>
      <c r="BI486" s="55" t="str">
        <f t="shared" si="93"/>
        <v/>
      </c>
      <c r="BJ486" s="55" t="str">
        <f t="shared" si="94"/>
        <v/>
      </c>
      <c r="BK486" s="55" t="str">
        <f t="shared" si="95"/>
        <v/>
      </c>
    </row>
    <row r="487" spans="22:63">
      <c r="V487" s="55">
        <f t="shared" ca="1" si="84"/>
        <v>1</v>
      </c>
      <c r="W487" s="64"/>
      <c r="X487" s="65"/>
      <c r="Y487" s="65"/>
      <c r="Z487" s="65"/>
      <c r="AA487" s="64"/>
      <c r="AB487" s="65"/>
      <c r="AC487" s="64"/>
      <c r="AD487" s="65"/>
      <c r="AE487" s="64"/>
      <c r="AF487" s="65"/>
      <c r="AG487" s="65"/>
      <c r="AH487" s="66" t="str">
        <f t="shared" si="85"/>
        <v/>
      </c>
      <c r="AI487" s="64"/>
      <c r="AJ487" s="65"/>
      <c r="AK487" s="64"/>
      <c r="AL487" s="65"/>
      <c r="BB487" s="55" t="str">
        <f t="shared" si="86"/>
        <v/>
      </c>
      <c r="BC487" s="55" t="str">
        <f t="shared" si="87"/>
        <v/>
      </c>
      <c r="BD487" s="55" t="str">
        <f t="shared" si="88"/>
        <v/>
      </c>
      <c r="BE487" s="55" t="str">
        <f t="shared" si="89"/>
        <v/>
      </c>
      <c r="BF487" s="55" t="str">
        <f t="shared" si="90"/>
        <v/>
      </c>
      <c r="BG487" s="55" t="str">
        <f t="shared" si="91"/>
        <v/>
      </c>
      <c r="BH487" s="55" t="str">
        <f t="shared" si="92"/>
        <v/>
      </c>
      <c r="BI487" s="55" t="str">
        <f t="shared" si="93"/>
        <v/>
      </c>
      <c r="BJ487" s="55" t="str">
        <f t="shared" si="94"/>
        <v/>
      </c>
      <c r="BK487" s="55" t="str">
        <f t="shared" si="95"/>
        <v/>
      </c>
    </row>
    <row r="488" spans="22:63">
      <c r="V488" s="55">
        <f t="shared" ca="1" si="84"/>
        <v>1</v>
      </c>
      <c r="W488" s="64"/>
      <c r="X488" s="65"/>
      <c r="Y488" s="65"/>
      <c r="Z488" s="65"/>
      <c r="AA488" s="64"/>
      <c r="AB488" s="65"/>
      <c r="AC488" s="64"/>
      <c r="AD488" s="65"/>
      <c r="AE488" s="64"/>
      <c r="AF488" s="65"/>
      <c r="AG488" s="65"/>
      <c r="AH488" s="66" t="str">
        <f t="shared" si="85"/>
        <v/>
      </c>
      <c r="AI488" s="64"/>
      <c r="AJ488" s="65"/>
      <c r="AK488" s="64"/>
      <c r="AL488" s="65"/>
      <c r="BB488" s="55" t="str">
        <f t="shared" si="86"/>
        <v/>
      </c>
      <c r="BC488" s="55" t="str">
        <f t="shared" si="87"/>
        <v/>
      </c>
      <c r="BD488" s="55" t="str">
        <f t="shared" si="88"/>
        <v/>
      </c>
      <c r="BE488" s="55" t="str">
        <f t="shared" si="89"/>
        <v/>
      </c>
      <c r="BF488" s="55" t="str">
        <f t="shared" si="90"/>
        <v/>
      </c>
      <c r="BG488" s="55" t="str">
        <f t="shared" si="91"/>
        <v/>
      </c>
      <c r="BH488" s="55" t="str">
        <f t="shared" si="92"/>
        <v/>
      </c>
      <c r="BI488" s="55" t="str">
        <f t="shared" si="93"/>
        <v/>
      </c>
      <c r="BJ488" s="55" t="str">
        <f t="shared" si="94"/>
        <v/>
      </c>
      <c r="BK488" s="55" t="str">
        <f t="shared" si="95"/>
        <v/>
      </c>
    </row>
    <row r="489" spans="22:63">
      <c r="V489" s="55">
        <f t="shared" ca="1" si="84"/>
        <v>1</v>
      </c>
      <c r="W489" s="64"/>
      <c r="X489" s="65"/>
      <c r="Y489" s="65"/>
      <c r="Z489" s="65"/>
      <c r="AA489" s="64"/>
      <c r="AB489" s="65"/>
      <c r="AC489" s="64"/>
      <c r="AD489" s="65"/>
      <c r="AE489" s="64"/>
      <c r="AF489" s="65"/>
      <c r="AG489" s="65"/>
      <c r="AH489" s="66" t="str">
        <f t="shared" si="85"/>
        <v/>
      </c>
      <c r="AI489" s="64"/>
      <c r="AJ489" s="65"/>
      <c r="AK489" s="64"/>
      <c r="AL489" s="65"/>
      <c r="BB489" s="55" t="str">
        <f t="shared" si="86"/>
        <v/>
      </c>
      <c r="BC489" s="55" t="str">
        <f t="shared" si="87"/>
        <v/>
      </c>
      <c r="BD489" s="55" t="str">
        <f t="shared" si="88"/>
        <v/>
      </c>
      <c r="BE489" s="55" t="str">
        <f t="shared" si="89"/>
        <v/>
      </c>
      <c r="BF489" s="55" t="str">
        <f t="shared" si="90"/>
        <v/>
      </c>
      <c r="BG489" s="55" t="str">
        <f t="shared" si="91"/>
        <v/>
      </c>
      <c r="BH489" s="55" t="str">
        <f t="shared" si="92"/>
        <v/>
      </c>
      <c r="BI489" s="55" t="str">
        <f t="shared" si="93"/>
        <v/>
      </c>
      <c r="BJ489" s="55" t="str">
        <f t="shared" si="94"/>
        <v/>
      </c>
      <c r="BK489" s="55" t="str">
        <f t="shared" si="95"/>
        <v/>
      </c>
    </row>
    <row r="490" spans="22:63">
      <c r="V490" s="55">
        <f t="shared" ca="1" si="84"/>
        <v>1</v>
      </c>
      <c r="W490" s="64"/>
      <c r="X490" s="65"/>
      <c r="Y490" s="65"/>
      <c r="Z490" s="65"/>
      <c r="AA490" s="64"/>
      <c r="AB490" s="65"/>
      <c r="AC490" s="64"/>
      <c r="AD490" s="65"/>
      <c r="AE490" s="64"/>
      <c r="AF490" s="65"/>
      <c r="AG490" s="65"/>
      <c r="AH490" s="66" t="str">
        <f t="shared" si="85"/>
        <v/>
      </c>
      <c r="AI490" s="64"/>
      <c r="AJ490" s="65"/>
      <c r="AK490" s="64"/>
      <c r="AL490" s="65"/>
      <c r="BB490" s="55" t="str">
        <f t="shared" si="86"/>
        <v/>
      </c>
      <c r="BC490" s="55" t="str">
        <f t="shared" si="87"/>
        <v/>
      </c>
      <c r="BD490" s="55" t="str">
        <f t="shared" si="88"/>
        <v/>
      </c>
      <c r="BE490" s="55" t="str">
        <f t="shared" si="89"/>
        <v/>
      </c>
      <c r="BF490" s="55" t="str">
        <f t="shared" si="90"/>
        <v/>
      </c>
      <c r="BG490" s="55" t="str">
        <f t="shared" si="91"/>
        <v/>
      </c>
      <c r="BH490" s="55" t="str">
        <f t="shared" si="92"/>
        <v/>
      </c>
      <c r="BI490" s="55" t="str">
        <f t="shared" si="93"/>
        <v/>
      </c>
      <c r="BJ490" s="55" t="str">
        <f t="shared" si="94"/>
        <v/>
      </c>
      <c r="BK490" s="55" t="str">
        <f t="shared" si="95"/>
        <v/>
      </c>
    </row>
    <row r="491" spans="22:63">
      <c r="V491" s="55">
        <f t="shared" ca="1" si="84"/>
        <v>1</v>
      </c>
      <c r="W491" s="64"/>
      <c r="X491" s="65"/>
      <c r="Y491" s="65"/>
      <c r="Z491" s="65"/>
      <c r="AA491" s="64"/>
      <c r="AB491" s="65"/>
      <c r="AC491" s="64"/>
      <c r="AD491" s="65"/>
      <c r="AE491" s="64"/>
      <c r="AF491" s="65"/>
      <c r="AG491" s="65"/>
      <c r="AH491" s="66" t="str">
        <f t="shared" si="85"/>
        <v/>
      </c>
      <c r="AI491" s="64"/>
      <c r="AJ491" s="65"/>
      <c r="AK491" s="64"/>
      <c r="AL491" s="65"/>
      <c r="BB491" s="55" t="str">
        <f t="shared" si="86"/>
        <v/>
      </c>
      <c r="BC491" s="55" t="str">
        <f t="shared" si="87"/>
        <v/>
      </c>
      <c r="BD491" s="55" t="str">
        <f t="shared" si="88"/>
        <v/>
      </c>
      <c r="BE491" s="55" t="str">
        <f t="shared" si="89"/>
        <v/>
      </c>
      <c r="BF491" s="55" t="str">
        <f t="shared" si="90"/>
        <v/>
      </c>
      <c r="BG491" s="55" t="str">
        <f t="shared" si="91"/>
        <v/>
      </c>
      <c r="BH491" s="55" t="str">
        <f t="shared" si="92"/>
        <v/>
      </c>
      <c r="BI491" s="55" t="str">
        <f t="shared" si="93"/>
        <v/>
      </c>
      <c r="BJ491" s="55" t="str">
        <f t="shared" si="94"/>
        <v/>
      </c>
      <c r="BK491" s="55" t="str">
        <f t="shared" si="95"/>
        <v/>
      </c>
    </row>
    <row r="492" spans="22:63">
      <c r="V492" s="55">
        <f t="shared" ca="1" si="84"/>
        <v>1</v>
      </c>
      <c r="W492" s="64"/>
      <c r="X492" s="65"/>
      <c r="Y492" s="65"/>
      <c r="Z492" s="65"/>
      <c r="AA492" s="64"/>
      <c r="AB492" s="65"/>
      <c r="AC492" s="64"/>
      <c r="AD492" s="65"/>
      <c r="AE492" s="64"/>
      <c r="AF492" s="65"/>
      <c r="AG492" s="65"/>
      <c r="AH492" s="66" t="str">
        <f t="shared" si="85"/>
        <v/>
      </c>
      <c r="AI492" s="64"/>
      <c r="AJ492" s="65"/>
      <c r="AK492" s="64"/>
      <c r="AL492" s="65"/>
      <c r="BB492" s="55" t="str">
        <f t="shared" si="86"/>
        <v/>
      </c>
      <c r="BC492" s="55" t="str">
        <f t="shared" si="87"/>
        <v/>
      </c>
      <c r="BD492" s="55" t="str">
        <f t="shared" si="88"/>
        <v/>
      </c>
      <c r="BE492" s="55" t="str">
        <f t="shared" si="89"/>
        <v/>
      </c>
      <c r="BF492" s="55" t="str">
        <f t="shared" si="90"/>
        <v/>
      </c>
      <c r="BG492" s="55" t="str">
        <f t="shared" si="91"/>
        <v/>
      </c>
      <c r="BH492" s="55" t="str">
        <f t="shared" si="92"/>
        <v/>
      </c>
      <c r="BI492" s="55" t="str">
        <f t="shared" si="93"/>
        <v/>
      </c>
      <c r="BJ492" s="55" t="str">
        <f t="shared" si="94"/>
        <v/>
      </c>
      <c r="BK492" s="55" t="str">
        <f t="shared" si="95"/>
        <v/>
      </c>
    </row>
    <row r="493" spans="22:63">
      <c r="V493" s="55">
        <f t="shared" ca="1" si="84"/>
        <v>1</v>
      </c>
      <c r="W493" s="64"/>
      <c r="X493" s="65"/>
      <c r="Y493" s="65"/>
      <c r="Z493" s="65"/>
      <c r="AA493" s="64"/>
      <c r="AB493" s="65"/>
      <c r="AC493" s="64"/>
      <c r="AD493" s="65"/>
      <c r="AE493" s="64"/>
      <c r="AF493" s="65"/>
      <c r="AG493" s="65"/>
      <c r="AH493" s="66" t="str">
        <f t="shared" si="85"/>
        <v/>
      </c>
      <c r="AI493" s="64"/>
      <c r="AJ493" s="65"/>
      <c r="AK493" s="64"/>
      <c r="AL493" s="65"/>
      <c r="BB493" s="55" t="str">
        <f t="shared" si="86"/>
        <v/>
      </c>
      <c r="BC493" s="55" t="str">
        <f t="shared" si="87"/>
        <v/>
      </c>
      <c r="BD493" s="55" t="str">
        <f t="shared" si="88"/>
        <v/>
      </c>
      <c r="BE493" s="55" t="str">
        <f t="shared" si="89"/>
        <v/>
      </c>
      <c r="BF493" s="55" t="str">
        <f t="shared" si="90"/>
        <v/>
      </c>
      <c r="BG493" s="55" t="str">
        <f t="shared" si="91"/>
        <v/>
      </c>
      <c r="BH493" s="55" t="str">
        <f t="shared" si="92"/>
        <v/>
      </c>
      <c r="BI493" s="55" t="str">
        <f t="shared" si="93"/>
        <v/>
      </c>
      <c r="BJ493" s="55" t="str">
        <f t="shared" si="94"/>
        <v/>
      </c>
      <c r="BK493" s="55" t="str">
        <f t="shared" si="95"/>
        <v/>
      </c>
    </row>
    <row r="494" spans="22:63">
      <c r="V494" s="55">
        <f t="shared" ca="1" si="84"/>
        <v>1</v>
      </c>
      <c r="W494" s="64"/>
      <c r="X494" s="65"/>
      <c r="Y494" s="65"/>
      <c r="Z494" s="65"/>
      <c r="AA494" s="64"/>
      <c r="AB494" s="65"/>
      <c r="AC494" s="64"/>
      <c r="AD494" s="65"/>
      <c r="AE494" s="64"/>
      <c r="AF494" s="65"/>
      <c r="AG494" s="65"/>
      <c r="AH494" s="66" t="str">
        <f t="shared" si="85"/>
        <v/>
      </c>
      <c r="AI494" s="64"/>
      <c r="AJ494" s="65"/>
      <c r="AK494" s="64"/>
      <c r="AL494" s="65"/>
      <c r="BB494" s="55" t="str">
        <f t="shared" si="86"/>
        <v/>
      </c>
      <c r="BC494" s="55" t="str">
        <f t="shared" si="87"/>
        <v/>
      </c>
      <c r="BD494" s="55" t="str">
        <f t="shared" si="88"/>
        <v/>
      </c>
      <c r="BE494" s="55" t="str">
        <f t="shared" si="89"/>
        <v/>
      </c>
      <c r="BF494" s="55" t="str">
        <f t="shared" si="90"/>
        <v/>
      </c>
      <c r="BG494" s="55" t="str">
        <f t="shared" si="91"/>
        <v/>
      </c>
      <c r="BH494" s="55" t="str">
        <f t="shared" si="92"/>
        <v/>
      </c>
      <c r="BI494" s="55" t="str">
        <f t="shared" si="93"/>
        <v/>
      </c>
      <c r="BJ494" s="55" t="str">
        <f t="shared" si="94"/>
        <v/>
      </c>
      <c r="BK494" s="55" t="str">
        <f t="shared" si="95"/>
        <v/>
      </c>
    </row>
    <row r="495" spans="22:63">
      <c r="V495" s="55">
        <f t="shared" ca="1" si="84"/>
        <v>1</v>
      </c>
      <c r="W495" s="64"/>
      <c r="X495" s="65"/>
      <c r="Y495" s="65"/>
      <c r="Z495" s="65"/>
      <c r="AA495" s="64"/>
      <c r="AB495" s="65"/>
      <c r="AC495" s="64"/>
      <c r="AD495" s="65"/>
      <c r="AE495" s="64"/>
      <c r="AF495" s="65"/>
      <c r="AG495" s="65"/>
      <c r="AH495" s="66" t="str">
        <f t="shared" si="85"/>
        <v/>
      </c>
      <c r="AI495" s="64"/>
      <c r="AJ495" s="65"/>
      <c r="AK495" s="64"/>
      <c r="AL495" s="65"/>
      <c r="BB495" s="55" t="str">
        <f t="shared" si="86"/>
        <v/>
      </c>
      <c r="BC495" s="55" t="str">
        <f t="shared" si="87"/>
        <v/>
      </c>
      <c r="BD495" s="55" t="str">
        <f t="shared" si="88"/>
        <v/>
      </c>
      <c r="BE495" s="55" t="str">
        <f t="shared" si="89"/>
        <v/>
      </c>
      <c r="BF495" s="55" t="str">
        <f t="shared" si="90"/>
        <v/>
      </c>
      <c r="BG495" s="55" t="str">
        <f t="shared" si="91"/>
        <v/>
      </c>
      <c r="BH495" s="55" t="str">
        <f t="shared" si="92"/>
        <v/>
      </c>
      <c r="BI495" s="55" t="str">
        <f t="shared" si="93"/>
        <v/>
      </c>
      <c r="BJ495" s="55" t="str">
        <f t="shared" si="94"/>
        <v/>
      </c>
      <c r="BK495" s="55" t="str">
        <f t="shared" si="95"/>
        <v/>
      </c>
    </row>
    <row r="496" spans="22:63">
      <c r="V496" s="55">
        <f t="shared" ca="1" si="84"/>
        <v>1</v>
      </c>
      <c r="W496" s="64"/>
      <c r="X496" s="65"/>
      <c r="Y496" s="65"/>
      <c r="Z496" s="65"/>
      <c r="AA496" s="64"/>
      <c r="AB496" s="65"/>
      <c r="AC496" s="64"/>
      <c r="AD496" s="65"/>
      <c r="AE496" s="64"/>
      <c r="AF496" s="65"/>
      <c r="AG496" s="65"/>
      <c r="AH496" s="66" t="str">
        <f t="shared" si="85"/>
        <v/>
      </c>
      <c r="AI496" s="64"/>
      <c r="AJ496" s="65"/>
      <c r="AK496" s="64"/>
      <c r="AL496" s="65"/>
      <c r="BB496" s="55" t="str">
        <f t="shared" si="86"/>
        <v/>
      </c>
      <c r="BC496" s="55" t="str">
        <f t="shared" si="87"/>
        <v/>
      </c>
      <c r="BD496" s="55" t="str">
        <f t="shared" si="88"/>
        <v/>
      </c>
      <c r="BE496" s="55" t="str">
        <f t="shared" si="89"/>
        <v/>
      </c>
      <c r="BF496" s="55" t="str">
        <f t="shared" si="90"/>
        <v/>
      </c>
      <c r="BG496" s="55" t="str">
        <f t="shared" si="91"/>
        <v/>
      </c>
      <c r="BH496" s="55" t="str">
        <f t="shared" si="92"/>
        <v/>
      </c>
      <c r="BI496" s="55" t="str">
        <f t="shared" si="93"/>
        <v/>
      </c>
      <c r="BJ496" s="55" t="str">
        <f t="shared" si="94"/>
        <v/>
      </c>
      <c r="BK496" s="55" t="str">
        <f t="shared" si="95"/>
        <v/>
      </c>
    </row>
    <row r="497" spans="22:63">
      <c r="V497" s="55">
        <f t="shared" ca="1" si="84"/>
        <v>1</v>
      </c>
      <c r="W497" s="64"/>
      <c r="X497" s="65"/>
      <c r="Y497" s="65"/>
      <c r="Z497" s="65"/>
      <c r="AA497" s="64"/>
      <c r="AB497" s="65"/>
      <c r="AC497" s="64"/>
      <c r="AD497" s="65"/>
      <c r="AE497" s="64"/>
      <c r="AF497" s="65"/>
      <c r="AG497" s="65"/>
      <c r="AH497" s="66" t="str">
        <f t="shared" si="85"/>
        <v/>
      </c>
      <c r="AI497" s="64"/>
      <c r="AJ497" s="65"/>
      <c r="AK497" s="64"/>
      <c r="AL497" s="65"/>
      <c r="BB497" s="55" t="str">
        <f t="shared" si="86"/>
        <v/>
      </c>
      <c r="BC497" s="55" t="str">
        <f t="shared" si="87"/>
        <v/>
      </c>
      <c r="BD497" s="55" t="str">
        <f t="shared" si="88"/>
        <v/>
      </c>
      <c r="BE497" s="55" t="str">
        <f t="shared" si="89"/>
        <v/>
      </c>
      <c r="BF497" s="55" t="str">
        <f t="shared" si="90"/>
        <v/>
      </c>
      <c r="BG497" s="55" t="str">
        <f t="shared" si="91"/>
        <v/>
      </c>
      <c r="BH497" s="55" t="str">
        <f t="shared" si="92"/>
        <v/>
      </c>
      <c r="BI497" s="55" t="str">
        <f t="shared" si="93"/>
        <v/>
      </c>
      <c r="BJ497" s="55" t="str">
        <f t="shared" si="94"/>
        <v/>
      </c>
      <c r="BK497" s="55" t="str">
        <f t="shared" si="95"/>
        <v/>
      </c>
    </row>
    <row r="498" spans="22:63">
      <c r="V498" s="55">
        <f t="shared" ca="1" si="84"/>
        <v>1</v>
      </c>
      <c r="W498" s="64"/>
      <c r="X498" s="65"/>
      <c r="Y498" s="65"/>
      <c r="Z498" s="65"/>
      <c r="AA498" s="64"/>
      <c r="AB498" s="65"/>
      <c r="AC498" s="64"/>
      <c r="AD498" s="65"/>
      <c r="AE498" s="64"/>
      <c r="AF498" s="65"/>
      <c r="AG498" s="65"/>
      <c r="AH498" s="66" t="str">
        <f t="shared" si="85"/>
        <v/>
      </c>
      <c r="AI498" s="64"/>
      <c r="AJ498" s="65"/>
      <c r="AK498" s="64"/>
      <c r="AL498" s="65"/>
      <c r="BB498" s="55" t="str">
        <f t="shared" si="86"/>
        <v/>
      </c>
      <c r="BC498" s="55" t="str">
        <f t="shared" si="87"/>
        <v/>
      </c>
      <c r="BD498" s="55" t="str">
        <f t="shared" si="88"/>
        <v/>
      </c>
      <c r="BE498" s="55" t="str">
        <f t="shared" si="89"/>
        <v/>
      </c>
      <c r="BF498" s="55" t="str">
        <f t="shared" si="90"/>
        <v/>
      </c>
      <c r="BG498" s="55" t="str">
        <f t="shared" si="91"/>
        <v/>
      </c>
      <c r="BH498" s="55" t="str">
        <f t="shared" si="92"/>
        <v/>
      </c>
      <c r="BI498" s="55" t="str">
        <f t="shared" si="93"/>
        <v/>
      </c>
      <c r="BJ498" s="55" t="str">
        <f t="shared" si="94"/>
        <v/>
      </c>
      <c r="BK498" s="55" t="str">
        <f t="shared" si="95"/>
        <v/>
      </c>
    </row>
    <row r="499" spans="22:63">
      <c r="V499" s="55">
        <f t="shared" ca="1" si="84"/>
        <v>1</v>
      </c>
      <c r="W499" s="64"/>
      <c r="X499" s="65"/>
      <c r="Y499" s="65"/>
      <c r="Z499" s="65"/>
      <c r="AA499" s="64"/>
      <c r="AB499" s="65"/>
      <c r="AC499" s="64"/>
      <c r="AD499" s="65"/>
      <c r="AE499" s="64"/>
      <c r="AF499" s="65"/>
      <c r="AG499" s="65"/>
      <c r="AH499" s="66" t="str">
        <f t="shared" si="85"/>
        <v/>
      </c>
      <c r="AI499" s="64"/>
      <c r="AJ499" s="65"/>
      <c r="AK499" s="64"/>
      <c r="AL499" s="65"/>
      <c r="BB499" s="55" t="str">
        <f t="shared" si="86"/>
        <v/>
      </c>
      <c r="BC499" s="55" t="str">
        <f t="shared" si="87"/>
        <v/>
      </c>
      <c r="BD499" s="55" t="str">
        <f t="shared" si="88"/>
        <v/>
      </c>
      <c r="BE499" s="55" t="str">
        <f t="shared" si="89"/>
        <v/>
      </c>
      <c r="BF499" s="55" t="str">
        <f t="shared" si="90"/>
        <v/>
      </c>
      <c r="BG499" s="55" t="str">
        <f t="shared" si="91"/>
        <v/>
      </c>
      <c r="BH499" s="55" t="str">
        <f t="shared" si="92"/>
        <v/>
      </c>
      <c r="BI499" s="55" t="str">
        <f t="shared" si="93"/>
        <v/>
      </c>
      <c r="BJ499" s="55" t="str">
        <f t="shared" si="94"/>
        <v/>
      </c>
      <c r="BK499" s="55" t="str">
        <f t="shared" si="95"/>
        <v/>
      </c>
    </row>
    <row r="500" spans="22:63">
      <c r="V500" s="55">
        <f t="shared" ca="1" si="84"/>
        <v>1</v>
      </c>
      <c r="W500" s="64"/>
      <c r="X500" s="65"/>
      <c r="Y500" s="65"/>
      <c r="Z500" s="65"/>
      <c r="AA500" s="64"/>
      <c r="AB500" s="65"/>
      <c r="AC500" s="64"/>
      <c r="AD500" s="65"/>
      <c r="AE500" s="64"/>
      <c r="AF500" s="65"/>
      <c r="AG500" s="65"/>
      <c r="AH500" s="66" t="str">
        <f t="shared" si="85"/>
        <v/>
      </c>
      <c r="AI500" s="64"/>
      <c r="AJ500" s="65"/>
      <c r="AK500" s="64"/>
      <c r="AL500" s="65"/>
      <c r="BB500" s="55" t="str">
        <f t="shared" si="86"/>
        <v/>
      </c>
      <c r="BC500" s="55" t="str">
        <f t="shared" si="87"/>
        <v/>
      </c>
      <c r="BD500" s="55" t="str">
        <f t="shared" si="88"/>
        <v/>
      </c>
      <c r="BE500" s="55" t="str">
        <f t="shared" si="89"/>
        <v/>
      </c>
      <c r="BF500" s="55" t="str">
        <f t="shared" si="90"/>
        <v/>
      </c>
      <c r="BG500" s="55" t="str">
        <f t="shared" si="91"/>
        <v/>
      </c>
      <c r="BH500" s="55" t="str">
        <f t="shared" si="92"/>
        <v/>
      </c>
      <c r="BI500" s="55" t="str">
        <f t="shared" si="93"/>
        <v/>
      </c>
      <c r="BJ500" s="55" t="str">
        <f t="shared" si="94"/>
        <v/>
      </c>
      <c r="BK500" s="55" t="str">
        <f t="shared" si="95"/>
        <v/>
      </c>
    </row>
    <row r="501" spans="22:63">
      <c r="V501" s="55">
        <f t="shared" ca="1" si="84"/>
        <v>1</v>
      </c>
      <c r="W501" s="64"/>
      <c r="X501" s="65"/>
      <c r="Y501" s="65"/>
      <c r="Z501" s="65"/>
      <c r="AA501" s="64"/>
      <c r="AB501" s="65"/>
      <c r="AC501" s="64"/>
      <c r="AD501" s="65"/>
      <c r="AE501" s="64"/>
      <c r="AF501" s="65"/>
      <c r="AG501" s="65"/>
      <c r="AH501" s="66" t="str">
        <f t="shared" si="85"/>
        <v/>
      </c>
      <c r="AI501" s="64"/>
      <c r="AJ501" s="65"/>
      <c r="AK501" s="64"/>
      <c r="AL501" s="65"/>
      <c r="BB501" s="55" t="str">
        <f t="shared" si="86"/>
        <v/>
      </c>
      <c r="BC501" s="55" t="str">
        <f t="shared" si="87"/>
        <v/>
      </c>
      <c r="BD501" s="55" t="str">
        <f t="shared" si="88"/>
        <v/>
      </c>
      <c r="BE501" s="55" t="str">
        <f t="shared" si="89"/>
        <v/>
      </c>
      <c r="BF501" s="55" t="str">
        <f t="shared" si="90"/>
        <v/>
      </c>
      <c r="BG501" s="55" t="str">
        <f t="shared" si="91"/>
        <v/>
      </c>
      <c r="BH501" s="55" t="str">
        <f t="shared" si="92"/>
        <v/>
      </c>
      <c r="BI501" s="55" t="str">
        <f t="shared" si="93"/>
        <v/>
      </c>
      <c r="BJ501" s="55" t="str">
        <f t="shared" si="94"/>
        <v/>
      </c>
      <c r="BK501" s="55" t="str">
        <f t="shared" si="95"/>
        <v/>
      </c>
    </row>
    <row r="502" spans="22:63">
      <c r="V502" s="55">
        <f t="shared" ca="1" si="84"/>
        <v>1</v>
      </c>
      <c r="W502" s="64"/>
      <c r="X502" s="65"/>
      <c r="Y502" s="65"/>
      <c r="Z502" s="65"/>
      <c r="AA502" s="64"/>
      <c r="AB502" s="65"/>
      <c r="AC502" s="64"/>
      <c r="AD502" s="65"/>
      <c r="AE502" s="64"/>
      <c r="AF502" s="65"/>
      <c r="AG502" s="65"/>
      <c r="AH502" s="66" t="str">
        <f t="shared" si="85"/>
        <v/>
      </c>
      <c r="AI502" s="64"/>
      <c r="AJ502" s="65"/>
      <c r="AK502" s="64"/>
      <c r="AL502" s="65"/>
      <c r="BB502" s="55" t="str">
        <f t="shared" si="86"/>
        <v/>
      </c>
      <c r="BC502" s="55" t="str">
        <f t="shared" si="87"/>
        <v/>
      </c>
      <c r="BD502" s="55" t="str">
        <f t="shared" si="88"/>
        <v/>
      </c>
      <c r="BE502" s="55" t="str">
        <f t="shared" si="89"/>
        <v/>
      </c>
      <c r="BF502" s="55" t="str">
        <f t="shared" si="90"/>
        <v/>
      </c>
      <c r="BG502" s="55" t="str">
        <f t="shared" si="91"/>
        <v/>
      </c>
      <c r="BH502" s="55" t="str">
        <f t="shared" si="92"/>
        <v/>
      </c>
      <c r="BI502" s="55" t="str">
        <f t="shared" si="93"/>
        <v/>
      </c>
      <c r="BJ502" s="55" t="str">
        <f t="shared" si="94"/>
        <v/>
      </c>
      <c r="BK502" s="55" t="str">
        <f t="shared" si="95"/>
        <v/>
      </c>
    </row>
    <row r="503" spans="22:63">
      <c r="V503" s="55">
        <f t="shared" ca="1" si="84"/>
        <v>1</v>
      </c>
      <c r="W503" s="64"/>
      <c r="X503" s="65"/>
      <c r="Y503" s="65"/>
      <c r="Z503" s="65"/>
      <c r="AA503" s="64"/>
      <c r="AB503" s="65"/>
      <c r="AC503" s="64"/>
      <c r="AD503" s="65"/>
      <c r="AE503" s="64"/>
      <c r="AF503" s="65"/>
      <c r="AG503" s="65"/>
      <c r="AH503" s="66" t="str">
        <f t="shared" si="85"/>
        <v/>
      </c>
      <c r="AI503" s="64"/>
      <c r="AJ503" s="65"/>
      <c r="AK503" s="64"/>
      <c r="AL503" s="65"/>
      <c r="BB503" s="55" t="str">
        <f t="shared" si="86"/>
        <v/>
      </c>
      <c r="BC503" s="55" t="str">
        <f t="shared" si="87"/>
        <v/>
      </c>
      <c r="BD503" s="55" t="str">
        <f t="shared" si="88"/>
        <v/>
      </c>
      <c r="BE503" s="55" t="str">
        <f t="shared" si="89"/>
        <v/>
      </c>
      <c r="BF503" s="55" t="str">
        <f t="shared" si="90"/>
        <v/>
      </c>
      <c r="BG503" s="55" t="str">
        <f t="shared" si="91"/>
        <v/>
      </c>
      <c r="BH503" s="55" t="str">
        <f t="shared" si="92"/>
        <v/>
      </c>
      <c r="BI503" s="55" t="str">
        <f t="shared" si="93"/>
        <v/>
      </c>
      <c r="BJ503" s="55" t="str">
        <f t="shared" si="94"/>
        <v/>
      </c>
      <c r="BK503" s="55" t="str">
        <f t="shared" si="95"/>
        <v/>
      </c>
    </row>
    <row r="504" spans="22:63">
      <c r="V504" s="55">
        <f t="shared" ca="1" si="84"/>
        <v>1</v>
      </c>
      <c r="W504" s="64"/>
      <c r="X504" s="65"/>
      <c r="Y504" s="65"/>
      <c r="Z504" s="65"/>
      <c r="AA504" s="64"/>
      <c r="AB504" s="65"/>
      <c r="AC504" s="64"/>
      <c r="AD504" s="65"/>
      <c r="AE504" s="64"/>
      <c r="AF504" s="65"/>
      <c r="AG504" s="65"/>
      <c r="AH504" s="66" t="str">
        <f t="shared" si="85"/>
        <v/>
      </c>
      <c r="AI504" s="64"/>
      <c r="AJ504" s="65"/>
      <c r="AK504" s="64"/>
      <c r="AL504" s="65"/>
      <c r="BB504" s="55" t="str">
        <f t="shared" si="86"/>
        <v/>
      </c>
      <c r="BC504" s="55" t="str">
        <f t="shared" si="87"/>
        <v/>
      </c>
      <c r="BD504" s="55" t="str">
        <f t="shared" si="88"/>
        <v/>
      </c>
      <c r="BE504" s="55" t="str">
        <f t="shared" si="89"/>
        <v/>
      </c>
      <c r="BF504" s="55" t="str">
        <f t="shared" si="90"/>
        <v/>
      </c>
      <c r="BG504" s="55" t="str">
        <f t="shared" si="91"/>
        <v/>
      </c>
      <c r="BH504" s="55" t="str">
        <f t="shared" si="92"/>
        <v/>
      </c>
      <c r="BI504" s="55" t="str">
        <f t="shared" si="93"/>
        <v/>
      </c>
      <c r="BJ504" s="55" t="str">
        <f t="shared" si="94"/>
        <v/>
      </c>
      <c r="BK504" s="55" t="str">
        <f t="shared" si="95"/>
        <v/>
      </c>
    </row>
    <row r="505" spans="22:63">
      <c r="V505" s="55">
        <f t="shared" ca="1" si="84"/>
        <v>1</v>
      </c>
      <c r="W505" s="64"/>
      <c r="X505" s="65"/>
      <c r="Y505" s="65"/>
      <c r="Z505" s="65"/>
      <c r="AA505" s="64"/>
      <c r="AB505" s="65"/>
      <c r="AC505" s="64"/>
      <c r="AD505" s="65"/>
      <c r="AE505" s="64"/>
      <c r="AF505" s="65"/>
      <c r="AG505" s="65"/>
      <c r="AH505" s="66" t="str">
        <f t="shared" si="85"/>
        <v/>
      </c>
      <c r="AI505" s="64"/>
      <c r="AJ505" s="65"/>
      <c r="AK505" s="64"/>
      <c r="AL505" s="65"/>
      <c r="BB505" s="55" t="str">
        <f t="shared" si="86"/>
        <v/>
      </c>
      <c r="BC505" s="55" t="str">
        <f t="shared" si="87"/>
        <v/>
      </c>
      <c r="BD505" s="55" t="str">
        <f t="shared" si="88"/>
        <v/>
      </c>
      <c r="BE505" s="55" t="str">
        <f t="shared" si="89"/>
        <v/>
      </c>
      <c r="BF505" s="55" t="str">
        <f t="shared" si="90"/>
        <v/>
      </c>
      <c r="BG505" s="55" t="str">
        <f t="shared" si="91"/>
        <v/>
      </c>
      <c r="BH505" s="55" t="str">
        <f t="shared" si="92"/>
        <v/>
      </c>
      <c r="BI505" s="55" t="str">
        <f t="shared" si="93"/>
        <v/>
      </c>
      <c r="BJ505" s="55" t="str">
        <f t="shared" si="94"/>
        <v/>
      </c>
      <c r="BK505" s="55" t="str">
        <f t="shared" si="95"/>
        <v/>
      </c>
    </row>
    <row r="506" spans="22:63">
      <c r="V506" s="55">
        <f t="shared" ca="1" si="84"/>
        <v>1</v>
      </c>
      <c r="W506" s="64"/>
      <c r="X506" s="65"/>
      <c r="Y506" s="65"/>
      <c r="Z506" s="65"/>
      <c r="AA506" s="64"/>
      <c r="AB506" s="65"/>
      <c r="AC506" s="64"/>
      <c r="AD506" s="65"/>
      <c r="AE506" s="64"/>
      <c r="AF506" s="65"/>
      <c r="AG506" s="65"/>
      <c r="AH506" s="66" t="str">
        <f t="shared" si="85"/>
        <v/>
      </c>
      <c r="AI506" s="64"/>
      <c r="AJ506" s="65"/>
      <c r="AK506" s="64"/>
      <c r="AL506" s="65"/>
      <c r="BB506" s="55" t="str">
        <f t="shared" si="86"/>
        <v/>
      </c>
      <c r="BC506" s="55" t="str">
        <f t="shared" si="87"/>
        <v/>
      </c>
      <c r="BD506" s="55" t="str">
        <f t="shared" si="88"/>
        <v/>
      </c>
      <c r="BE506" s="55" t="str">
        <f t="shared" si="89"/>
        <v/>
      </c>
      <c r="BF506" s="55" t="str">
        <f t="shared" si="90"/>
        <v/>
      </c>
      <c r="BG506" s="55" t="str">
        <f t="shared" si="91"/>
        <v/>
      </c>
      <c r="BH506" s="55" t="str">
        <f t="shared" si="92"/>
        <v/>
      </c>
      <c r="BI506" s="55" t="str">
        <f t="shared" si="93"/>
        <v/>
      </c>
      <c r="BJ506" s="55" t="str">
        <f t="shared" si="94"/>
        <v/>
      </c>
      <c r="BK506" s="55" t="str">
        <f t="shared" si="95"/>
        <v/>
      </c>
    </row>
    <row r="507" spans="22:63">
      <c r="V507" s="55">
        <f t="shared" ca="1" si="84"/>
        <v>1</v>
      </c>
      <c r="W507" s="64"/>
      <c r="X507" s="65"/>
      <c r="Y507" s="65"/>
      <c r="Z507" s="65"/>
      <c r="AA507" s="64"/>
      <c r="AB507" s="65"/>
      <c r="AC507" s="64"/>
      <c r="AD507" s="65"/>
      <c r="AE507" s="64"/>
      <c r="AF507" s="65"/>
      <c r="AG507" s="65"/>
      <c r="AH507" s="66" t="str">
        <f t="shared" si="85"/>
        <v/>
      </c>
      <c r="AI507" s="64"/>
      <c r="AJ507" s="65"/>
      <c r="AK507" s="64"/>
      <c r="AL507" s="65"/>
      <c r="BB507" s="55" t="str">
        <f t="shared" si="86"/>
        <v/>
      </c>
      <c r="BC507" s="55" t="str">
        <f t="shared" si="87"/>
        <v/>
      </c>
      <c r="BD507" s="55" t="str">
        <f t="shared" si="88"/>
        <v/>
      </c>
      <c r="BE507" s="55" t="str">
        <f t="shared" si="89"/>
        <v/>
      </c>
      <c r="BF507" s="55" t="str">
        <f t="shared" si="90"/>
        <v/>
      </c>
      <c r="BG507" s="55" t="str">
        <f t="shared" si="91"/>
        <v/>
      </c>
      <c r="BH507" s="55" t="str">
        <f t="shared" si="92"/>
        <v/>
      </c>
      <c r="BI507" s="55" t="str">
        <f t="shared" si="93"/>
        <v/>
      </c>
      <c r="BJ507" s="55" t="str">
        <f t="shared" si="94"/>
        <v/>
      </c>
      <c r="BK507" s="55" t="str">
        <f t="shared" si="95"/>
        <v/>
      </c>
    </row>
    <row r="508" spans="22:63">
      <c r="V508" s="55">
        <f t="shared" ca="1" si="84"/>
        <v>1</v>
      </c>
      <c r="W508" s="64"/>
      <c r="X508" s="65"/>
      <c r="Y508" s="65"/>
      <c r="Z508" s="65"/>
      <c r="AA508" s="64"/>
      <c r="AB508" s="65"/>
      <c r="AC508" s="64"/>
      <c r="AD508" s="65"/>
      <c r="AE508" s="64"/>
      <c r="AF508" s="65"/>
      <c r="AG508" s="65"/>
      <c r="AH508" s="66" t="str">
        <f t="shared" si="85"/>
        <v/>
      </c>
      <c r="AI508" s="64"/>
      <c r="AJ508" s="65"/>
      <c r="AK508" s="64"/>
      <c r="AL508" s="65"/>
      <c r="BB508" s="55" t="str">
        <f t="shared" si="86"/>
        <v/>
      </c>
      <c r="BC508" s="55" t="str">
        <f t="shared" si="87"/>
        <v/>
      </c>
      <c r="BD508" s="55" t="str">
        <f t="shared" si="88"/>
        <v/>
      </c>
      <c r="BE508" s="55" t="str">
        <f t="shared" si="89"/>
        <v/>
      </c>
      <c r="BF508" s="55" t="str">
        <f t="shared" si="90"/>
        <v/>
      </c>
      <c r="BG508" s="55" t="str">
        <f t="shared" si="91"/>
        <v/>
      </c>
      <c r="BH508" s="55" t="str">
        <f t="shared" si="92"/>
        <v/>
      </c>
      <c r="BI508" s="55" t="str">
        <f t="shared" si="93"/>
        <v/>
      </c>
      <c r="BJ508" s="55" t="str">
        <f t="shared" si="94"/>
        <v/>
      </c>
      <c r="BK508" s="55" t="str">
        <f t="shared" si="95"/>
        <v/>
      </c>
    </row>
    <row r="509" spans="22:63">
      <c r="V509" s="55">
        <f t="shared" ca="1" si="84"/>
        <v>1</v>
      </c>
      <c r="W509" s="64"/>
      <c r="X509" s="65"/>
      <c r="Y509" s="65"/>
      <c r="Z509" s="65"/>
      <c r="AA509" s="64"/>
      <c r="AB509" s="65"/>
      <c r="AC509" s="64"/>
      <c r="AD509" s="65"/>
      <c r="AE509" s="64"/>
      <c r="AF509" s="65"/>
      <c r="AG509" s="65"/>
      <c r="AH509" s="66" t="str">
        <f t="shared" si="85"/>
        <v/>
      </c>
      <c r="AI509" s="64"/>
      <c r="AJ509" s="65"/>
      <c r="AK509" s="64"/>
      <c r="AL509" s="65"/>
      <c r="BB509" s="55" t="str">
        <f t="shared" si="86"/>
        <v/>
      </c>
      <c r="BC509" s="55" t="str">
        <f t="shared" si="87"/>
        <v/>
      </c>
      <c r="BD509" s="55" t="str">
        <f t="shared" si="88"/>
        <v/>
      </c>
      <c r="BE509" s="55" t="str">
        <f t="shared" si="89"/>
        <v/>
      </c>
      <c r="BF509" s="55" t="str">
        <f t="shared" si="90"/>
        <v/>
      </c>
      <c r="BG509" s="55" t="str">
        <f t="shared" si="91"/>
        <v/>
      </c>
      <c r="BH509" s="55" t="str">
        <f t="shared" si="92"/>
        <v/>
      </c>
      <c r="BI509" s="55" t="str">
        <f t="shared" si="93"/>
        <v/>
      </c>
      <c r="BJ509" s="55" t="str">
        <f t="shared" si="94"/>
        <v/>
      </c>
      <c r="BK509" s="55" t="str">
        <f t="shared" si="95"/>
        <v/>
      </c>
    </row>
    <row r="510" spans="22:63">
      <c r="V510" s="55">
        <f t="shared" ca="1" si="84"/>
        <v>1</v>
      </c>
      <c r="W510" s="64"/>
      <c r="X510" s="65"/>
      <c r="Y510" s="65"/>
      <c r="Z510" s="65"/>
      <c r="AA510" s="64"/>
      <c r="AB510" s="65"/>
      <c r="AC510" s="64"/>
      <c r="AD510" s="65"/>
      <c r="AE510" s="64"/>
      <c r="AF510" s="65"/>
      <c r="AG510" s="65"/>
      <c r="AH510" s="66" t="str">
        <f t="shared" si="85"/>
        <v/>
      </c>
      <c r="AI510" s="64"/>
      <c r="AJ510" s="65"/>
      <c r="AK510" s="64"/>
      <c r="AL510" s="65"/>
      <c r="BB510" s="55" t="str">
        <f t="shared" si="86"/>
        <v/>
      </c>
      <c r="BC510" s="55" t="str">
        <f t="shared" si="87"/>
        <v/>
      </c>
      <c r="BD510" s="55" t="str">
        <f t="shared" si="88"/>
        <v/>
      </c>
      <c r="BE510" s="55" t="str">
        <f t="shared" si="89"/>
        <v/>
      </c>
      <c r="BF510" s="55" t="str">
        <f t="shared" si="90"/>
        <v/>
      </c>
      <c r="BG510" s="55" t="str">
        <f t="shared" si="91"/>
        <v/>
      </c>
      <c r="BH510" s="55" t="str">
        <f t="shared" si="92"/>
        <v/>
      </c>
      <c r="BI510" s="55" t="str">
        <f t="shared" si="93"/>
        <v/>
      </c>
      <c r="BJ510" s="55" t="str">
        <f t="shared" si="94"/>
        <v/>
      </c>
      <c r="BK510" s="55" t="str">
        <f t="shared" si="95"/>
        <v/>
      </c>
    </row>
    <row r="511" spans="22:63">
      <c r="V511" s="55">
        <f t="shared" ca="1" si="84"/>
        <v>1</v>
      </c>
      <c r="W511" s="64"/>
      <c r="X511" s="65"/>
      <c r="Y511" s="65"/>
      <c r="Z511" s="65"/>
      <c r="AA511" s="64"/>
      <c r="AB511" s="65"/>
      <c r="AC511" s="64"/>
      <c r="AD511" s="65"/>
      <c r="AE511" s="64"/>
      <c r="AF511" s="65"/>
      <c r="AG511" s="65"/>
      <c r="AH511" s="66" t="str">
        <f t="shared" si="85"/>
        <v/>
      </c>
      <c r="AI511" s="64"/>
      <c r="AJ511" s="65"/>
      <c r="AK511" s="64"/>
      <c r="AL511" s="65"/>
      <c r="BB511" s="55" t="str">
        <f t="shared" si="86"/>
        <v/>
      </c>
      <c r="BC511" s="55" t="str">
        <f t="shared" si="87"/>
        <v/>
      </c>
      <c r="BD511" s="55" t="str">
        <f t="shared" si="88"/>
        <v/>
      </c>
      <c r="BE511" s="55" t="str">
        <f t="shared" si="89"/>
        <v/>
      </c>
      <c r="BF511" s="55" t="str">
        <f t="shared" si="90"/>
        <v/>
      </c>
      <c r="BG511" s="55" t="str">
        <f t="shared" si="91"/>
        <v/>
      </c>
      <c r="BH511" s="55" t="str">
        <f t="shared" si="92"/>
        <v/>
      </c>
      <c r="BI511" s="55" t="str">
        <f t="shared" si="93"/>
        <v/>
      </c>
      <c r="BJ511" s="55" t="str">
        <f t="shared" si="94"/>
        <v/>
      </c>
      <c r="BK511" s="55" t="str">
        <f t="shared" si="95"/>
        <v/>
      </c>
    </row>
    <row r="512" spans="22:63">
      <c r="V512" s="55">
        <f t="shared" ca="1" si="84"/>
        <v>1</v>
      </c>
      <c r="W512" s="64"/>
      <c r="X512" s="65"/>
      <c r="Y512" s="65"/>
      <c r="Z512" s="65"/>
      <c r="AA512" s="64"/>
      <c r="AB512" s="65"/>
      <c r="AC512" s="64"/>
      <c r="AD512" s="65"/>
      <c r="AE512" s="64"/>
      <c r="AF512" s="65"/>
      <c r="AG512" s="65"/>
      <c r="AH512" s="66" t="str">
        <f t="shared" si="85"/>
        <v/>
      </c>
      <c r="AI512" s="64"/>
      <c r="AJ512" s="65"/>
      <c r="AK512" s="64"/>
      <c r="AL512" s="65"/>
      <c r="BB512" s="55" t="str">
        <f t="shared" si="86"/>
        <v/>
      </c>
      <c r="BC512" s="55" t="str">
        <f t="shared" si="87"/>
        <v/>
      </c>
      <c r="BD512" s="55" t="str">
        <f t="shared" si="88"/>
        <v/>
      </c>
      <c r="BE512" s="55" t="str">
        <f t="shared" si="89"/>
        <v/>
      </c>
      <c r="BF512" s="55" t="str">
        <f t="shared" si="90"/>
        <v/>
      </c>
      <c r="BG512" s="55" t="str">
        <f t="shared" si="91"/>
        <v/>
      </c>
      <c r="BH512" s="55" t="str">
        <f t="shared" si="92"/>
        <v/>
      </c>
      <c r="BI512" s="55" t="str">
        <f t="shared" si="93"/>
        <v/>
      </c>
      <c r="BJ512" s="55" t="str">
        <f t="shared" si="94"/>
        <v/>
      </c>
      <c r="BK512" s="55" t="str">
        <f t="shared" si="95"/>
        <v/>
      </c>
    </row>
    <row r="513" spans="22:63">
      <c r="V513" s="55">
        <f t="shared" ca="1" si="84"/>
        <v>1</v>
      </c>
      <c r="W513" s="64"/>
      <c r="X513" s="65"/>
      <c r="Y513" s="65"/>
      <c r="Z513" s="65"/>
      <c r="AA513" s="64"/>
      <c r="AB513" s="65"/>
      <c r="AC513" s="64"/>
      <c r="AD513" s="65"/>
      <c r="AE513" s="64"/>
      <c r="AF513" s="65"/>
      <c r="AG513" s="65"/>
      <c r="AH513" s="66" t="str">
        <f t="shared" si="85"/>
        <v/>
      </c>
      <c r="AI513" s="64"/>
      <c r="AJ513" s="65"/>
      <c r="AK513" s="64"/>
      <c r="AL513" s="65"/>
      <c r="BB513" s="55" t="str">
        <f t="shared" si="86"/>
        <v/>
      </c>
      <c r="BC513" s="55" t="str">
        <f t="shared" si="87"/>
        <v/>
      </c>
      <c r="BD513" s="55" t="str">
        <f t="shared" si="88"/>
        <v/>
      </c>
      <c r="BE513" s="55" t="str">
        <f t="shared" si="89"/>
        <v/>
      </c>
      <c r="BF513" s="55" t="str">
        <f t="shared" si="90"/>
        <v/>
      </c>
      <c r="BG513" s="55" t="str">
        <f t="shared" si="91"/>
        <v/>
      </c>
      <c r="BH513" s="55" t="str">
        <f t="shared" si="92"/>
        <v/>
      </c>
      <c r="BI513" s="55" t="str">
        <f t="shared" si="93"/>
        <v/>
      </c>
      <c r="BJ513" s="55" t="str">
        <f t="shared" si="94"/>
        <v/>
      </c>
      <c r="BK513" s="55" t="str">
        <f t="shared" si="95"/>
        <v/>
      </c>
    </row>
    <row r="514" spans="22:63">
      <c r="V514" s="55">
        <f t="shared" ca="1" si="84"/>
        <v>1</v>
      </c>
      <c r="W514" s="64"/>
      <c r="X514" s="65"/>
      <c r="Y514" s="65"/>
      <c r="Z514" s="65"/>
      <c r="AA514" s="64"/>
      <c r="AB514" s="65"/>
      <c r="AC514" s="64"/>
      <c r="AD514" s="65"/>
      <c r="AE514" s="64"/>
      <c r="AF514" s="65"/>
      <c r="AG514" s="65"/>
      <c r="AH514" s="66" t="str">
        <f t="shared" si="85"/>
        <v/>
      </c>
      <c r="AI514" s="64"/>
      <c r="AJ514" s="65"/>
      <c r="AK514" s="64"/>
      <c r="AL514" s="65"/>
      <c r="BB514" s="55" t="str">
        <f t="shared" si="86"/>
        <v/>
      </c>
      <c r="BC514" s="55" t="str">
        <f t="shared" si="87"/>
        <v/>
      </c>
      <c r="BD514" s="55" t="str">
        <f t="shared" si="88"/>
        <v/>
      </c>
      <c r="BE514" s="55" t="str">
        <f t="shared" si="89"/>
        <v/>
      </c>
      <c r="BF514" s="55" t="str">
        <f t="shared" si="90"/>
        <v/>
      </c>
      <c r="BG514" s="55" t="str">
        <f t="shared" si="91"/>
        <v/>
      </c>
      <c r="BH514" s="55" t="str">
        <f t="shared" si="92"/>
        <v/>
      </c>
      <c r="BI514" s="55" t="str">
        <f t="shared" si="93"/>
        <v/>
      </c>
      <c r="BJ514" s="55" t="str">
        <f t="shared" si="94"/>
        <v/>
      </c>
      <c r="BK514" s="55" t="str">
        <f t="shared" si="95"/>
        <v/>
      </c>
    </row>
    <row r="515" spans="22:63">
      <c r="V515" s="55">
        <f t="shared" ca="1" si="84"/>
        <v>1</v>
      </c>
      <c r="W515" s="64"/>
      <c r="X515" s="65"/>
      <c r="Y515" s="65"/>
      <c r="Z515" s="65"/>
      <c r="AA515" s="64"/>
      <c r="AB515" s="65"/>
      <c r="AC515" s="64"/>
      <c r="AD515" s="65"/>
      <c r="AE515" s="64"/>
      <c r="AF515" s="65"/>
      <c r="AG515" s="65"/>
      <c r="AH515" s="66" t="str">
        <f t="shared" si="85"/>
        <v/>
      </c>
      <c r="AI515" s="64"/>
      <c r="AJ515" s="65"/>
      <c r="AK515" s="64"/>
      <c r="AL515" s="65"/>
      <c r="BB515" s="55" t="str">
        <f t="shared" si="86"/>
        <v/>
      </c>
      <c r="BC515" s="55" t="str">
        <f t="shared" si="87"/>
        <v/>
      </c>
      <c r="BD515" s="55" t="str">
        <f t="shared" si="88"/>
        <v/>
      </c>
      <c r="BE515" s="55" t="str">
        <f t="shared" si="89"/>
        <v/>
      </c>
      <c r="BF515" s="55" t="str">
        <f t="shared" si="90"/>
        <v/>
      </c>
      <c r="BG515" s="55" t="str">
        <f t="shared" si="91"/>
        <v/>
      </c>
      <c r="BH515" s="55" t="str">
        <f t="shared" si="92"/>
        <v/>
      </c>
      <c r="BI515" s="55" t="str">
        <f t="shared" si="93"/>
        <v/>
      </c>
      <c r="BJ515" s="55" t="str">
        <f t="shared" si="94"/>
        <v/>
      </c>
      <c r="BK515" s="55" t="str">
        <f t="shared" si="95"/>
        <v/>
      </c>
    </row>
    <row r="516" spans="22:63">
      <c r="V516" s="55">
        <f t="shared" ca="1" si="84"/>
        <v>1</v>
      </c>
      <c r="W516" s="64"/>
      <c r="X516" s="65"/>
      <c r="Y516" s="65"/>
      <c r="Z516" s="65"/>
      <c r="AA516" s="64"/>
      <c r="AB516" s="65"/>
      <c r="AC516" s="64"/>
      <c r="AD516" s="65"/>
      <c r="AE516" s="64"/>
      <c r="AF516" s="65"/>
      <c r="AG516" s="65"/>
      <c r="AH516" s="66" t="str">
        <f t="shared" si="85"/>
        <v/>
      </c>
      <c r="AI516" s="64"/>
      <c r="AJ516" s="65"/>
      <c r="AK516" s="64"/>
      <c r="AL516" s="65"/>
      <c r="BB516" s="55" t="str">
        <f t="shared" si="86"/>
        <v/>
      </c>
      <c r="BC516" s="55" t="str">
        <f t="shared" si="87"/>
        <v/>
      </c>
      <c r="BD516" s="55" t="str">
        <f t="shared" si="88"/>
        <v/>
      </c>
      <c r="BE516" s="55" t="str">
        <f t="shared" si="89"/>
        <v/>
      </c>
      <c r="BF516" s="55" t="str">
        <f t="shared" si="90"/>
        <v/>
      </c>
      <c r="BG516" s="55" t="str">
        <f t="shared" si="91"/>
        <v/>
      </c>
      <c r="BH516" s="55" t="str">
        <f t="shared" si="92"/>
        <v/>
      </c>
      <c r="BI516" s="55" t="str">
        <f t="shared" si="93"/>
        <v/>
      </c>
      <c r="BJ516" s="55" t="str">
        <f t="shared" si="94"/>
        <v/>
      </c>
      <c r="BK516" s="55" t="str">
        <f t="shared" si="95"/>
        <v/>
      </c>
    </row>
    <row r="517" spans="22:63">
      <c r="V517" s="55">
        <f t="shared" ca="1" si="84"/>
        <v>1</v>
      </c>
      <c r="W517" s="64"/>
      <c r="X517" s="65"/>
      <c r="Y517" s="65"/>
      <c r="Z517" s="65"/>
      <c r="AA517" s="64"/>
      <c r="AB517" s="65"/>
      <c r="AC517" s="64"/>
      <c r="AD517" s="65"/>
      <c r="AE517" s="64"/>
      <c r="AF517" s="65"/>
      <c r="AG517" s="65"/>
      <c r="AH517" s="66" t="str">
        <f t="shared" si="85"/>
        <v/>
      </c>
      <c r="AI517" s="64"/>
      <c r="AJ517" s="65"/>
      <c r="AK517" s="64"/>
      <c r="AL517" s="65"/>
      <c r="BB517" s="55" t="str">
        <f t="shared" si="86"/>
        <v/>
      </c>
      <c r="BC517" s="55" t="str">
        <f t="shared" si="87"/>
        <v/>
      </c>
      <c r="BD517" s="55" t="str">
        <f t="shared" si="88"/>
        <v/>
      </c>
      <c r="BE517" s="55" t="str">
        <f t="shared" si="89"/>
        <v/>
      </c>
      <c r="BF517" s="55" t="str">
        <f t="shared" si="90"/>
        <v/>
      </c>
      <c r="BG517" s="55" t="str">
        <f t="shared" si="91"/>
        <v/>
      </c>
      <c r="BH517" s="55" t="str">
        <f t="shared" si="92"/>
        <v/>
      </c>
      <c r="BI517" s="55" t="str">
        <f t="shared" si="93"/>
        <v/>
      </c>
      <c r="BJ517" s="55" t="str">
        <f t="shared" si="94"/>
        <v/>
      </c>
      <c r="BK517" s="55" t="str">
        <f t="shared" si="95"/>
        <v/>
      </c>
    </row>
    <row r="518" spans="22:63">
      <c r="V518" s="55">
        <f t="shared" ca="1" si="84"/>
        <v>1</v>
      </c>
      <c r="W518" s="64"/>
      <c r="X518" s="65"/>
      <c r="Y518" s="65"/>
      <c r="Z518" s="65"/>
      <c r="AA518" s="64"/>
      <c r="AB518" s="65"/>
      <c r="AC518" s="64"/>
      <c r="AD518" s="65"/>
      <c r="AE518" s="64"/>
      <c r="AF518" s="65"/>
      <c r="AG518" s="65"/>
      <c r="AH518" s="66" t="str">
        <f t="shared" si="85"/>
        <v/>
      </c>
      <c r="AI518" s="64"/>
      <c r="AJ518" s="65"/>
      <c r="AK518" s="64"/>
      <c r="AL518" s="65"/>
      <c r="BB518" s="55" t="str">
        <f t="shared" si="86"/>
        <v/>
      </c>
      <c r="BC518" s="55" t="str">
        <f t="shared" si="87"/>
        <v/>
      </c>
      <c r="BD518" s="55" t="str">
        <f t="shared" si="88"/>
        <v/>
      </c>
      <c r="BE518" s="55" t="str">
        <f t="shared" si="89"/>
        <v/>
      </c>
      <c r="BF518" s="55" t="str">
        <f t="shared" si="90"/>
        <v/>
      </c>
      <c r="BG518" s="55" t="str">
        <f t="shared" si="91"/>
        <v/>
      </c>
      <c r="BH518" s="55" t="str">
        <f t="shared" si="92"/>
        <v/>
      </c>
      <c r="BI518" s="55" t="str">
        <f t="shared" si="93"/>
        <v/>
      </c>
      <c r="BJ518" s="55" t="str">
        <f t="shared" si="94"/>
        <v/>
      </c>
      <c r="BK518" s="55" t="str">
        <f t="shared" si="95"/>
        <v/>
      </c>
    </row>
    <row r="519" spans="22:63">
      <c r="V519" s="55">
        <f t="shared" ca="1" si="84"/>
        <v>1</v>
      </c>
      <c r="W519" s="64"/>
      <c r="X519" s="65"/>
      <c r="Y519" s="65"/>
      <c r="Z519" s="65"/>
      <c r="AA519" s="64"/>
      <c r="AB519" s="65"/>
      <c r="AC519" s="64"/>
      <c r="AD519" s="65"/>
      <c r="AE519" s="64"/>
      <c r="AF519" s="65"/>
      <c r="AG519" s="65"/>
      <c r="AH519" s="66" t="str">
        <f t="shared" si="85"/>
        <v/>
      </c>
      <c r="AI519" s="64"/>
      <c r="AJ519" s="65"/>
      <c r="AK519" s="64"/>
      <c r="AL519" s="65"/>
      <c r="BB519" s="55" t="str">
        <f t="shared" si="86"/>
        <v/>
      </c>
      <c r="BC519" s="55" t="str">
        <f t="shared" si="87"/>
        <v/>
      </c>
      <c r="BD519" s="55" t="str">
        <f t="shared" si="88"/>
        <v/>
      </c>
      <c r="BE519" s="55" t="str">
        <f t="shared" si="89"/>
        <v/>
      </c>
      <c r="BF519" s="55" t="str">
        <f t="shared" si="90"/>
        <v/>
      </c>
      <c r="BG519" s="55" t="str">
        <f t="shared" si="91"/>
        <v/>
      </c>
      <c r="BH519" s="55" t="str">
        <f t="shared" si="92"/>
        <v/>
      </c>
      <c r="BI519" s="55" t="str">
        <f t="shared" si="93"/>
        <v/>
      </c>
      <c r="BJ519" s="55" t="str">
        <f t="shared" si="94"/>
        <v/>
      </c>
      <c r="BK519" s="55" t="str">
        <f t="shared" si="95"/>
        <v/>
      </c>
    </row>
    <row r="520" spans="22:63">
      <c r="V520" s="55">
        <f t="shared" ca="1" si="84"/>
        <v>1</v>
      </c>
      <c r="W520" s="64"/>
      <c r="X520" s="65"/>
      <c r="Y520" s="65"/>
      <c r="Z520" s="65"/>
      <c r="AA520" s="64"/>
      <c r="AB520" s="65"/>
      <c r="AC520" s="64"/>
      <c r="AD520" s="65"/>
      <c r="AE520" s="64"/>
      <c r="AF520" s="65"/>
      <c r="AG520" s="65"/>
      <c r="AH520" s="66" t="str">
        <f t="shared" si="85"/>
        <v/>
      </c>
      <c r="AI520" s="64"/>
      <c r="AJ520" s="65"/>
      <c r="AK520" s="64"/>
      <c r="AL520" s="65"/>
      <c r="BB520" s="55" t="str">
        <f t="shared" si="86"/>
        <v/>
      </c>
      <c r="BC520" s="55" t="str">
        <f t="shared" si="87"/>
        <v/>
      </c>
      <c r="BD520" s="55" t="str">
        <f t="shared" si="88"/>
        <v/>
      </c>
      <c r="BE520" s="55" t="str">
        <f t="shared" si="89"/>
        <v/>
      </c>
      <c r="BF520" s="55" t="str">
        <f t="shared" si="90"/>
        <v/>
      </c>
      <c r="BG520" s="55" t="str">
        <f t="shared" si="91"/>
        <v/>
      </c>
      <c r="BH520" s="55" t="str">
        <f t="shared" si="92"/>
        <v/>
      </c>
      <c r="BI520" s="55" t="str">
        <f t="shared" si="93"/>
        <v/>
      </c>
      <c r="BJ520" s="55" t="str">
        <f t="shared" si="94"/>
        <v/>
      </c>
      <c r="BK520" s="55" t="str">
        <f t="shared" si="95"/>
        <v/>
      </c>
    </row>
    <row r="521" spans="22:63">
      <c r="V521" s="55">
        <f t="shared" ca="1" si="84"/>
        <v>1</v>
      </c>
      <c r="W521" s="64"/>
      <c r="X521" s="65"/>
      <c r="Y521" s="65"/>
      <c r="Z521" s="65"/>
      <c r="AA521" s="64"/>
      <c r="AB521" s="65"/>
      <c r="AC521" s="64"/>
      <c r="AD521" s="65"/>
      <c r="AE521" s="64"/>
      <c r="AF521" s="65"/>
      <c r="AG521" s="65"/>
      <c r="AH521" s="66" t="str">
        <f t="shared" si="85"/>
        <v/>
      </c>
      <c r="AI521" s="64"/>
      <c r="AJ521" s="65"/>
      <c r="AK521" s="64"/>
      <c r="AL521" s="65"/>
      <c r="BB521" s="55" t="str">
        <f t="shared" si="86"/>
        <v/>
      </c>
      <c r="BC521" s="55" t="str">
        <f t="shared" si="87"/>
        <v/>
      </c>
      <c r="BD521" s="55" t="str">
        <f t="shared" si="88"/>
        <v/>
      </c>
      <c r="BE521" s="55" t="str">
        <f t="shared" si="89"/>
        <v/>
      </c>
      <c r="BF521" s="55" t="str">
        <f t="shared" si="90"/>
        <v/>
      </c>
      <c r="BG521" s="55" t="str">
        <f t="shared" si="91"/>
        <v/>
      </c>
      <c r="BH521" s="55" t="str">
        <f t="shared" si="92"/>
        <v/>
      </c>
      <c r="BI521" s="55" t="str">
        <f t="shared" si="93"/>
        <v/>
      </c>
      <c r="BJ521" s="55" t="str">
        <f t="shared" si="94"/>
        <v/>
      </c>
      <c r="BK521" s="55" t="str">
        <f t="shared" si="95"/>
        <v/>
      </c>
    </row>
    <row r="522" spans="22:63">
      <c r="V522" s="55">
        <f t="shared" ca="1" si="84"/>
        <v>1</v>
      </c>
      <c r="W522" s="64"/>
      <c r="X522" s="65"/>
      <c r="Y522" s="65"/>
      <c r="Z522" s="65"/>
      <c r="AA522" s="64"/>
      <c r="AB522" s="65"/>
      <c r="AC522" s="64"/>
      <c r="AD522" s="65"/>
      <c r="AE522" s="64"/>
      <c r="AF522" s="65"/>
      <c r="AG522" s="65"/>
      <c r="AH522" s="66" t="str">
        <f t="shared" si="85"/>
        <v/>
      </c>
      <c r="AI522" s="64"/>
      <c r="AJ522" s="65"/>
      <c r="AK522" s="64"/>
      <c r="AL522" s="65"/>
      <c r="BB522" s="55" t="str">
        <f t="shared" si="86"/>
        <v/>
      </c>
      <c r="BC522" s="55" t="str">
        <f t="shared" si="87"/>
        <v/>
      </c>
      <c r="BD522" s="55" t="str">
        <f t="shared" si="88"/>
        <v/>
      </c>
      <c r="BE522" s="55" t="str">
        <f t="shared" si="89"/>
        <v/>
      </c>
      <c r="BF522" s="55" t="str">
        <f t="shared" si="90"/>
        <v/>
      </c>
      <c r="BG522" s="55" t="str">
        <f t="shared" si="91"/>
        <v/>
      </c>
      <c r="BH522" s="55" t="str">
        <f t="shared" si="92"/>
        <v/>
      </c>
      <c r="BI522" s="55" t="str">
        <f t="shared" si="93"/>
        <v/>
      </c>
      <c r="BJ522" s="55" t="str">
        <f t="shared" si="94"/>
        <v/>
      </c>
      <c r="BK522" s="55" t="str">
        <f t="shared" si="95"/>
        <v/>
      </c>
    </row>
    <row r="523" spans="22:63">
      <c r="V523" s="55">
        <f t="shared" ref="V523:V586" ca="1" si="96">IF(ISBLANK($W523),IF(ISNUMBER(INDIRECT("S"&amp;ROW($V523)-1)),INDIRECT("S"&amp;ROW($V523)-1),1),$W523)</f>
        <v>1</v>
      </c>
      <c r="W523" s="64"/>
      <c r="X523" s="65"/>
      <c r="Y523" s="65"/>
      <c r="Z523" s="65"/>
      <c r="AA523" s="64"/>
      <c r="AB523" s="65"/>
      <c r="AC523" s="64"/>
      <c r="AD523" s="65"/>
      <c r="AE523" s="64"/>
      <c r="AF523" s="65"/>
      <c r="AG523" s="65"/>
      <c r="AH523" s="66" t="str">
        <f t="shared" ref="AH523:AH586" si="97">IF(ISNUMBER($BI523), $BH523&amp;" - "&amp;$BJ523,"")</f>
        <v/>
      </c>
      <c r="AI523" s="64"/>
      <c r="AJ523" s="65"/>
      <c r="AK523" s="64"/>
      <c r="AL523" s="65"/>
      <c r="BB523" s="55" t="str">
        <f t="shared" ref="BB523:BB586" si="98">IF(ISBLANK($Z523),"",VLOOKUP($Z523,$A$11:$B$1010,2,FALSE))</f>
        <v/>
      </c>
      <c r="BC523" s="55" t="str">
        <f t="shared" ref="BC523:BC586" si="99">IF(ISBLANK($AA523),"",VLOOKUP($AA523,$D$11:$E$1010,2,FALSE))</f>
        <v/>
      </c>
      <c r="BD523" s="55" t="str">
        <f t="shared" ref="BD523:BD586" si="100">IF(ISBLANK($AC523),"",VLOOKUP($AC523,$H$11:$I$1010,2,FALSE))</f>
        <v/>
      </c>
      <c r="BE523" s="55" t="str">
        <f t="shared" ref="BE523:BE586" si="101">IF(ISBLANK($AF523),"",VLOOKUP($AF523,$L$11:$M$1010,2,FALSE))</f>
        <v/>
      </c>
      <c r="BF523" s="55" t="str">
        <f t="shared" ref="BF523:BF586" si="102">IF(ISNUMBER($BC523),VLOOKUP($BC523,$E$11:$F$1010,2,FALSE),"")</f>
        <v/>
      </c>
      <c r="BG523" s="55" t="str">
        <f t="shared" ref="BG523:BG586" si="103">IF(ISNUMBER($BD523),VLOOKUP($BD523,$I$11:$J$1010,2,FALSE),"")</f>
        <v/>
      </c>
      <c r="BH523" s="55" t="str">
        <f t="shared" ref="BH523:BH586" si="104">IF(AND(ISNUMBER($BF523),ISNUMBER($BG523)),$BF523*$BG523,"")</f>
        <v/>
      </c>
      <c r="BI523" s="55" t="str">
        <f t="shared" ref="BI523:BI586" si="105">IF(ISNUMBER($BH523),LOOKUP($BH523,lower_limit_level_risiko,id_level_risiko),"")</f>
        <v/>
      </c>
      <c r="BJ523" s="55" t="str">
        <f t="shared" ref="BJ523:BJ586" si="106">IF(ISNUMBER($BH523),LOOKUP($BH523,lower_limit_level_risiko,description_level_risiko),"")</f>
        <v/>
      </c>
      <c r="BK523" s="55" t="str">
        <f t="shared" ref="BK523:BK586" si="107">IF(ISBLANK($X523),"",VLOOKUP($X523,$T$11:$U$1010,2,FALSE))</f>
        <v/>
      </c>
    </row>
    <row r="524" spans="22:63">
      <c r="V524" s="55">
        <f t="shared" ca="1" si="96"/>
        <v>1</v>
      </c>
      <c r="W524" s="64"/>
      <c r="X524" s="65"/>
      <c r="Y524" s="65"/>
      <c r="Z524" s="65"/>
      <c r="AA524" s="64"/>
      <c r="AB524" s="65"/>
      <c r="AC524" s="64"/>
      <c r="AD524" s="65"/>
      <c r="AE524" s="64"/>
      <c r="AF524" s="65"/>
      <c r="AG524" s="65"/>
      <c r="AH524" s="66" t="str">
        <f t="shared" si="97"/>
        <v/>
      </c>
      <c r="AI524" s="64"/>
      <c r="AJ524" s="65"/>
      <c r="AK524" s="64"/>
      <c r="AL524" s="65"/>
      <c r="BB524" s="55" t="str">
        <f t="shared" si="98"/>
        <v/>
      </c>
      <c r="BC524" s="55" t="str">
        <f t="shared" si="99"/>
        <v/>
      </c>
      <c r="BD524" s="55" t="str">
        <f t="shared" si="100"/>
        <v/>
      </c>
      <c r="BE524" s="55" t="str">
        <f t="shared" si="101"/>
        <v/>
      </c>
      <c r="BF524" s="55" t="str">
        <f t="shared" si="102"/>
        <v/>
      </c>
      <c r="BG524" s="55" t="str">
        <f t="shared" si="103"/>
        <v/>
      </c>
      <c r="BH524" s="55" t="str">
        <f t="shared" si="104"/>
        <v/>
      </c>
      <c r="BI524" s="55" t="str">
        <f t="shared" si="105"/>
        <v/>
      </c>
      <c r="BJ524" s="55" t="str">
        <f t="shared" si="106"/>
        <v/>
      </c>
      <c r="BK524" s="55" t="str">
        <f t="shared" si="107"/>
        <v/>
      </c>
    </row>
    <row r="525" spans="22:63">
      <c r="V525" s="55">
        <f t="shared" ca="1" si="96"/>
        <v>1</v>
      </c>
      <c r="W525" s="64"/>
      <c r="X525" s="65"/>
      <c r="Y525" s="65"/>
      <c r="Z525" s="65"/>
      <c r="AA525" s="64"/>
      <c r="AB525" s="65"/>
      <c r="AC525" s="64"/>
      <c r="AD525" s="65"/>
      <c r="AE525" s="64"/>
      <c r="AF525" s="65"/>
      <c r="AG525" s="65"/>
      <c r="AH525" s="66" t="str">
        <f t="shared" si="97"/>
        <v/>
      </c>
      <c r="AI525" s="64"/>
      <c r="AJ525" s="65"/>
      <c r="AK525" s="64"/>
      <c r="AL525" s="65"/>
      <c r="BB525" s="55" t="str">
        <f t="shared" si="98"/>
        <v/>
      </c>
      <c r="BC525" s="55" t="str">
        <f t="shared" si="99"/>
        <v/>
      </c>
      <c r="BD525" s="55" t="str">
        <f t="shared" si="100"/>
        <v/>
      </c>
      <c r="BE525" s="55" t="str">
        <f t="shared" si="101"/>
        <v/>
      </c>
      <c r="BF525" s="55" t="str">
        <f t="shared" si="102"/>
        <v/>
      </c>
      <c r="BG525" s="55" t="str">
        <f t="shared" si="103"/>
        <v/>
      </c>
      <c r="BH525" s="55" t="str">
        <f t="shared" si="104"/>
        <v/>
      </c>
      <c r="BI525" s="55" t="str">
        <f t="shared" si="105"/>
        <v/>
      </c>
      <c r="BJ525" s="55" t="str">
        <f t="shared" si="106"/>
        <v/>
      </c>
      <c r="BK525" s="55" t="str">
        <f t="shared" si="107"/>
        <v/>
      </c>
    </row>
    <row r="526" spans="22:63">
      <c r="V526" s="55">
        <f t="shared" ca="1" si="96"/>
        <v>1</v>
      </c>
      <c r="W526" s="64"/>
      <c r="X526" s="65"/>
      <c r="Y526" s="65"/>
      <c r="Z526" s="65"/>
      <c r="AA526" s="64"/>
      <c r="AB526" s="65"/>
      <c r="AC526" s="64"/>
      <c r="AD526" s="65"/>
      <c r="AE526" s="64"/>
      <c r="AF526" s="65"/>
      <c r="AG526" s="65"/>
      <c r="AH526" s="66" t="str">
        <f t="shared" si="97"/>
        <v/>
      </c>
      <c r="AI526" s="64"/>
      <c r="AJ526" s="65"/>
      <c r="AK526" s="64"/>
      <c r="AL526" s="65"/>
      <c r="BB526" s="55" t="str">
        <f t="shared" si="98"/>
        <v/>
      </c>
      <c r="BC526" s="55" t="str">
        <f t="shared" si="99"/>
        <v/>
      </c>
      <c r="BD526" s="55" t="str">
        <f t="shared" si="100"/>
        <v/>
      </c>
      <c r="BE526" s="55" t="str">
        <f t="shared" si="101"/>
        <v/>
      </c>
      <c r="BF526" s="55" t="str">
        <f t="shared" si="102"/>
        <v/>
      </c>
      <c r="BG526" s="55" t="str">
        <f t="shared" si="103"/>
        <v/>
      </c>
      <c r="BH526" s="55" t="str">
        <f t="shared" si="104"/>
        <v/>
      </c>
      <c r="BI526" s="55" t="str">
        <f t="shared" si="105"/>
        <v/>
      </c>
      <c r="BJ526" s="55" t="str">
        <f t="shared" si="106"/>
        <v/>
      </c>
      <c r="BK526" s="55" t="str">
        <f t="shared" si="107"/>
        <v/>
      </c>
    </row>
    <row r="527" spans="22:63">
      <c r="V527" s="55">
        <f t="shared" ca="1" si="96"/>
        <v>1</v>
      </c>
      <c r="W527" s="64"/>
      <c r="X527" s="65"/>
      <c r="Y527" s="65"/>
      <c r="Z527" s="65"/>
      <c r="AA527" s="64"/>
      <c r="AB527" s="65"/>
      <c r="AC527" s="64"/>
      <c r="AD527" s="65"/>
      <c r="AE527" s="64"/>
      <c r="AF527" s="65"/>
      <c r="AG527" s="65"/>
      <c r="AH527" s="66" t="str">
        <f t="shared" si="97"/>
        <v/>
      </c>
      <c r="AI527" s="64"/>
      <c r="AJ527" s="65"/>
      <c r="AK527" s="64"/>
      <c r="AL527" s="65"/>
      <c r="BB527" s="55" t="str">
        <f t="shared" si="98"/>
        <v/>
      </c>
      <c r="BC527" s="55" t="str">
        <f t="shared" si="99"/>
        <v/>
      </c>
      <c r="BD527" s="55" t="str">
        <f t="shared" si="100"/>
        <v/>
      </c>
      <c r="BE527" s="55" t="str">
        <f t="shared" si="101"/>
        <v/>
      </c>
      <c r="BF527" s="55" t="str">
        <f t="shared" si="102"/>
        <v/>
      </c>
      <c r="BG527" s="55" t="str">
        <f t="shared" si="103"/>
        <v/>
      </c>
      <c r="BH527" s="55" t="str">
        <f t="shared" si="104"/>
        <v/>
      </c>
      <c r="BI527" s="55" t="str">
        <f t="shared" si="105"/>
        <v/>
      </c>
      <c r="BJ527" s="55" t="str">
        <f t="shared" si="106"/>
        <v/>
      </c>
      <c r="BK527" s="55" t="str">
        <f t="shared" si="107"/>
        <v/>
      </c>
    </row>
    <row r="528" spans="22:63">
      <c r="V528" s="55">
        <f t="shared" ca="1" si="96"/>
        <v>1</v>
      </c>
      <c r="W528" s="64"/>
      <c r="X528" s="65"/>
      <c r="Y528" s="65"/>
      <c r="Z528" s="65"/>
      <c r="AA528" s="64"/>
      <c r="AB528" s="65"/>
      <c r="AC528" s="64"/>
      <c r="AD528" s="65"/>
      <c r="AE528" s="64"/>
      <c r="AF528" s="65"/>
      <c r="AG528" s="65"/>
      <c r="AH528" s="66" t="str">
        <f t="shared" si="97"/>
        <v/>
      </c>
      <c r="AI528" s="64"/>
      <c r="AJ528" s="65"/>
      <c r="AK528" s="64"/>
      <c r="AL528" s="65"/>
      <c r="BB528" s="55" t="str">
        <f t="shared" si="98"/>
        <v/>
      </c>
      <c r="BC528" s="55" t="str">
        <f t="shared" si="99"/>
        <v/>
      </c>
      <c r="BD528" s="55" t="str">
        <f t="shared" si="100"/>
        <v/>
      </c>
      <c r="BE528" s="55" t="str">
        <f t="shared" si="101"/>
        <v/>
      </c>
      <c r="BF528" s="55" t="str">
        <f t="shared" si="102"/>
        <v/>
      </c>
      <c r="BG528" s="55" t="str">
        <f t="shared" si="103"/>
        <v/>
      </c>
      <c r="BH528" s="55" t="str">
        <f t="shared" si="104"/>
        <v/>
      </c>
      <c r="BI528" s="55" t="str">
        <f t="shared" si="105"/>
        <v/>
      </c>
      <c r="BJ528" s="55" t="str">
        <f t="shared" si="106"/>
        <v/>
      </c>
      <c r="BK528" s="55" t="str">
        <f t="shared" si="107"/>
        <v/>
      </c>
    </row>
    <row r="529" spans="22:63">
      <c r="V529" s="55">
        <f t="shared" ca="1" si="96"/>
        <v>1</v>
      </c>
      <c r="W529" s="64"/>
      <c r="X529" s="65"/>
      <c r="Y529" s="65"/>
      <c r="Z529" s="65"/>
      <c r="AA529" s="64"/>
      <c r="AB529" s="65"/>
      <c r="AC529" s="64"/>
      <c r="AD529" s="65"/>
      <c r="AE529" s="64"/>
      <c r="AF529" s="65"/>
      <c r="AG529" s="65"/>
      <c r="AH529" s="66" t="str">
        <f t="shared" si="97"/>
        <v/>
      </c>
      <c r="AI529" s="64"/>
      <c r="AJ529" s="65"/>
      <c r="AK529" s="64"/>
      <c r="AL529" s="65"/>
      <c r="BB529" s="55" t="str">
        <f t="shared" si="98"/>
        <v/>
      </c>
      <c r="BC529" s="55" t="str">
        <f t="shared" si="99"/>
        <v/>
      </c>
      <c r="BD529" s="55" t="str">
        <f t="shared" si="100"/>
        <v/>
      </c>
      <c r="BE529" s="55" t="str">
        <f t="shared" si="101"/>
        <v/>
      </c>
      <c r="BF529" s="55" t="str">
        <f t="shared" si="102"/>
        <v/>
      </c>
      <c r="BG529" s="55" t="str">
        <f t="shared" si="103"/>
        <v/>
      </c>
      <c r="BH529" s="55" t="str">
        <f t="shared" si="104"/>
        <v/>
      </c>
      <c r="BI529" s="55" t="str">
        <f t="shared" si="105"/>
        <v/>
      </c>
      <c r="BJ529" s="55" t="str">
        <f t="shared" si="106"/>
        <v/>
      </c>
      <c r="BK529" s="55" t="str">
        <f t="shared" si="107"/>
        <v/>
      </c>
    </row>
    <row r="530" spans="22:63">
      <c r="V530" s="55">
        <f t="shared" ca="1" si="96"/>
        <v>1</v>
      </c>
      <c r="W530" s="64"/>
      <c r="X530" s="65"/>
      <c r="Y530" s="65"/>
      <c r="Z530" s="65"/>
      <c r="AA530" s="64"/>
      <c r="AB530" s="65"/>
      <c r="AC530" s="64"/>
      <c r="AD530" s="65"/>
      <c r="AE530" s="64"/>
      <c r="AF530" s="65"/>
      <c r="AG530" s="65"/>
      <c r="AH530" s="66" t="str">
        <f t="shared" si="97"/>
        <v/>
      </c>
      <c r="AI530" s="64"/>
      <c r="AJ530" s="65"/>
      <c r="AK530" s="64"/>
      <c r="AL530" s="65"/>
      <c r="BB530" s="55" t="str">
        <f t="shared" si="98"/>
        <v/>
      </c>
      <c r="BC530" s="55" t="str">
        <f t="shared" si="99"/>
        <v/>
      </c>
      <c r="BD530" s="55" t="str">
        <f t="shared" si="100"/>
        <v/>
      </c>
      <c r="BE530" s="55" t="str">
        <f t="shared" si="101"/>
        <v/>
      </c>
      <c r="BF530" s="55" t="str">
        <f t="shared" si="102"/>
        <v/>
      </c>
      <c r="BG530" s="55" t="str">
        <f t="shared" si="103"/>
        <v/>
      </c>
      <c r="BH530" s="55" t="str">
        <f t="shared" si="104"/>
        <v/>
      </c>
      <c r="BI530" s="55" t="str">
        <f t="shared" si="105"/>
        <v/>
      </c>
      <c r="BJ530" s="55" t="str">
        <f t="shared" si="106"/>
        <v/>
      </c>
      <c r="BK530" s="55" t="str">
        <f t="shared" si="107"/>
        <v/>
      </c>
    </row>
    <row r="531" spans="22:63">
      <c r="V531" s="55">
        <f t="shared" ca="1" si="96"/>
        <v>1</v>
      </c>
      <c r="W531" s="64"/>
      <c r="X531" s="65"/>
      <c r="Y531" s="65"/>
      <c r="Z531" s="65"/>
      <c r="AA531" s="64"/>
      <c r="AB531" s="65"/>
      <c r="AC531" s="64"/>
      <c r="AD531" s="65"/>
      <c r="AE531" s="64"/>
      <c r="AF531" s="65"/>
      <c r="AG531" s="65"/>
      <c r="AH531" s="66" t="str">
        <f t="shared" si="97"/>
        <v/>
      </c>
      <c r="AI531" s="64"/>
      <c r="AJ531" s="65"/>
      <c r="AK531" s="64"/>
      <c r="AL531" s="65"/>
      <c r="BB531" s="55" t="str">
        <f t="shared" si="98"/>
        <v/>
      </c>
      <c r="BC531" s="55" t="str">
        <f t="shared" si="99"/>
        <v/>
      </c>
      <c r="BD531" s="55" t="str">
        <f t="shared" si="100"/>
        <v/>
      </c>
      <c r="BE531" s="55" t="str">
        <f t="shared" si="101"/>
        <v/>
      </c>
      <c r="BF531" s="55" t="str">
        <f t="shared" si="102"/>
        <v/>
      </c>
      <c r="BG531" s="55" t="str">
        <f t="shared" si="103"/>
        <v/>
      </c>
      <c r="BH531" s="55" t="str">
        <f t="shared" si="104"/>
        <v/>
      </c>
      <c r="BI531" s="55" t="str">
        <f t="shared" si="105"/>
        <v/>
      </c>
      <c r="BJ531" s="55" t="str">
        <f t="shared" si="106"/>
        <v/>
      </c>
      <c r="BK531" s="55" t="str">
        <f t="shared" si="107"/>
        <v/>
      </c>
    </row>
    <row r="532" spans="22:63">
      <c r="V532" s="55">
        <f t="shared" ca="1" si="96"/>
        <v>1</v>
      </c>
      <c r="W532" s="64"/>
      <c r="X532" s="65"/>
      <c r="Y532" s="65"/>
      <c r="Z532" s="65"/>
      <c r="AA532" s="64"/>
      <c r="AB532" s="65"/>
      <c r="AC532" s="64"/>
      <c r="AD532" s="65"/>
      <c r="AE532" s="64"/>
      <c r="AF532" s="65"/>
      <c r="AG532" s="65"/>
      <c r="AH532" s="66" t="str">
        <f t="shared" si="97"/>
        <v/>
      </c>
      <c r="AI532" s="64"/>
      <c r="AJ532" s="65"/>
      <c r="AK532" s="64"/>
      <c r="AL532" s="65"/>
      <c r="BB532" s="55" t="str">
        <f t="shared" si="98"/>
        <v/>
      </c>
      <c r="BC532" s="55" t="str">
        <f t="shared" si="99"/>
        <v/>
      </c>
      <c r="BD532" s="55" t="str">
        <f t="shared" si="100"/>
        <v/>
      </c>
      <c r="BE532" s="55" t="str">
        <f t="shared" si="101"/>
        <v/>
      </c>
      <c r="BF532" s="55" t="str">
        <f t="shared" si="102"/>
        <v/>
      </c>
      <c r="BG532" s="55" t="str">
        <f t="shared" si="103"/>
        <v/>
      </c>
      <c r="BH532" s="55" t="str">
        <f t="shared" si="104"/>
        <v/>
      </c>
      <c r="BI532" s="55" t="str">
        <f t="shared" si="105"/>
        <v/>
      </c>
      <c r="BJ532" s="55" t="str">
        <f t="shared" si="106"/>
        <v/>
      </c>
      <c r="BK532" s="55" t="str">
        <f t="shared" si="107"/>
        <v/>
      </c>
    </row>
    <row r="533" spans="22:63">
      <c r="V533" s="55">
        <f t="shared" ca="1" si="96"/>
        <v>1</v>
      </c>
      <c r="W533" s="64"/>
      <c r="X533" s="65"/>
      <c r="Y533" s="65"/>
      <c r="Z533" s="65"/>
      <c r="AA533" s="64"/>
      <c r="AB533" s="65"/>
      <c r="AC533" s="64"/>
      <c r="AD533" s="65"/>
      <c r="AE533" s="64"/>
      <c r="AF533" s="65"/>
      <c r="AG533" s="65"/>
      <c r="AH533" s="66" t="str">
        <f t="shared" si="97"/>
        <v/>
      </c>
      <c r="AI533" s="64"/>
      <c r="AJ533" s="65"/>
      <c r="AK533" s="64"/>
      <c r="AL533" s="65"/>
      <c r="BB533" s="55" t="str">
        <f t="shared" si="98"/>
        <v/>
      </c>
      <c r="BC533" s="55" t="str">
        <f t="shared" si="99"/>
        <v/>
      </c>
      <c r="BD533" s="55" t="str">
        <f t="shared" si="100"/>
        <v/>
      </c>
      <c r="BE533" s="55" t="str">
        <f t="shared" si="101"/>
        <v/>
      </c>
      <c r="BF533" s="55" t="str">
        <f t="shared" si="102"/>
        <v/>
      </c>
      <c r="BG533" s="55" t="str">
        <f t="shared" si="103"/>
        <v/>
      </c>
      <c r="BH533" s="55" t="str">
        <f t="shared" si="104"/>
        <v/>
      </c>
      <c r="BI533" s="55" t="str">
        <f t="shared" si="105"/>
        <v/>
      </c>
      <c r="BJ533" s="55" t="str">
        <f t="shared" si="106"/>
        <v/>
      </c>
      <c r="BK533" s="55" t="str">
        <f t="shared" si="107"/>
        <v/>
      </c>
    </row>
    <row r="534" spans="22:63">
      <c r="V534" s="55">
        <f t="shared" ca="1" si="96"/>
        <v>1</v>
      </c>
      <c r="W534" s="64"/>
      <c r="X534" s="65"/>
      <c r="Y534" s="65"/>
      <c r="Z534" s="65"/>
      <c r="AA534" s="64"/>
      <c r="AB534" s="65"/>
      <c r="AC534" s="64"/>
      <c r="AD534" s="65"/>
      <c r="AE534" s="64"/>
      <c r="AF534" s="65"/>
      <c r="AG534" s="65"/>
      <c r="AH534" s="66" t="str">
        <f t="shared" si="97"/>
        <v/>
      </c>
      <c r="AI534" s="64"/>
      <c r="AJ534" s="65"/>
      <c r="AK534" s="64"/>
      <c r="AL534" s="65"/>
      <c r="BB534" s="55" t="str">
        <f t="shared" si="98"/>
        <v/>
      </c>
      <c r="BC534" s="55" t="str">
        <f t="shared" si="99"/>
        <v/>
      </c>
      <c r="BD534" s="55" t="str">
        <f t="shared" si="100"/>
        <v/>
      </c>
      <c r="BE534" s="55" t="str">
        <f t="shared" si="101"/>
        <v/>
      </c>
      <c r="BF534" s="55" t="str">
        <f t="shared" si="102"/>
        <v/>
      </c>
      <c r="BG534" s="55" t="str">
        <f t="shared" si="103"/>
        <v/>
      </c>
      <c r="BH534" s="55" t="str">
        <f t="shared" si="104"/>
        <v/>
      </c>
      <c r="BI534" s="55" t="str">
        <f t="shared" si="105"/>
        <v/>
      </c>
      <c r="BJ534" s="55" t="str">
        <f t="shared" si="106"/>
        <v/>
      </c>
      <c r="BK534" s="55" t="str">
        <f t="shared" si="107"/>
        <v/>
      </c>
    </row>
    <row r="535" spans="22:63">
      <c r="V535" s="55">
        <f t="shared" ca="1" si="96"/>
        <v>1</v>
      </c>
      <c r="W535" s="64"/>
      <c r="X535" s="65"/>
      <c r="Y535" s="65"/>
      <c r="Z535" s="65"/>
      <c r="AA535" s="64"/>
      <c r="AB535" s="65"/>
      <c r="AC535" s="64"/>
      <c r="AD535" s="65"/>
      <c r="AE535" s="64"/>
      <c r="AF535" s="65"/>
      <c r="AG535" s="65"/>
      <c r="AH535" s="66" t="str">
        <f t="shared" si="97"/>
        <v/>
      </c>
      <c r="AI535" s="64"/>
      <c r="AJ535" s="65"/>
      <c r="AK535" s="64"/>
      <c r="AL535" s="65"/>
      <c r="BB535" s="55" t="str">
        <f t="shared" si="98"/>
        <v/>
      </c>
      <c r="BC535" s="55" t="str">
        <f t="shared" si="99"/>
        <v/>
      </c>
      <c r="BD535" s="55" t="str">
        <f t="shared" si="100"/>
        <v/>
      </c>
      <c r="BE535" s="55" t="str">
        <f t="shared" si="101"/>
        <v/>
      </c>
      <c r="BF535" s="55" t="str">
        <f t="shared" si="102"/>
        <v/>
      </c>
      <c r="BG535" s="55" t="str">
        <f t="shared" si="103"/>
        <v/>
      </c>
      <c r="BH535" s="55" t="str">
        <f t="shared" si="104"/>
        <v/>
      </c>
      <c r="BI535" s="55" t="str">
        <f t="shared" si="105"/>
        <v/>
      </c>
      <c r="BJ535" s="55" t="str">
        <f t="shared" si="106"/>
        <v/>
      </c>
      <c r="BK535" s="55" t="str">
        <f t="shared" si="107"/>
        <v/>
      </c>
    </row>
    <row r="536" spans="22:63">
      <c r="V536" s="55">
        <f t="shared" ca="1" si="96"/>
        <v>1</v>
      </c>
      <c r="W536" s="64"/>
      <c r="X536" s="65"/>
      <c r="Y536" s="65"/>
      <c r="Z536" s="65"/>
      <c r="AA536" s="64"/>
      <c r="AB536" s="65"/>
      <c r="AC536" s="64"/>
      <c r="AD536" s="65"/>
      <c r="AE536" s="64"/>
      <c r="AF536" s="65"/>
      <c r="AG536" s="65"/>
      <c r="AH536" s="66" t="str">
        <f t="shared" si="97"/>
        <v/>
      </c>
      <c r="AI536" s="64"/>
      <c r="AJ536" s="65"/>
      <c r="AK536" s="64"/>
      <c r="AL536" s="65"/>
      <c r="BB536" s="55" t="str">
        <f t="shared" si="98"/>
        <v/>
      </c>
      <c r="BC536" s="55" t="str">
        <f t="shared" si="99"/>
        <v/>
      </c>
      <c r="BD536" s="55" t="str">
        <f t="shared" si="100"/>
        <v/>
      </c>
      <c r="BE536" s="55" t="str">
        <f t="shared" si="101"/>
        <v/>
      </c>
      <c r="BF536" s="55" t="str">
        <f t="shared" si="102"/>
        <v/>
      </c>
      <c r="BG536" s="55" t="str">
        <f t="shared" si="103"/>
        <v/>
      </c>
      <c r="BH536" s="55" t="str">
        <f t="shared" si="104"/>
        <v/>
      </c>
      <c r="BI536" s="55" t="str">
        <f t="shared" si="105"/>
        <v/>
      </c>
      <c r="BJ536" s="55" t="str">
        <f t="shared" si="106"/>
        <v/>
      </c>
      <c r="BK536" s="55" t="str">
        <f t="shared" si="107"/>
        <v/>
      </c>
    </row>
    <row r="537" spans="22:63">
      <c r="V537" s="55">
        <f t="shared" ca="1" si="96"/>
        <v>1</v>
      </c>
      <c r="W537" s="64"/>
      <c r="X537" s="65"/>
      <c r="Y537" s="65"/>
      <c r="Z537" s="65"/>
      <c r="AA537" s="64"/>
      <c r="AB537" s="65"/>
      <c r="AC537" s="64"/>
      <c r="AD537" s="65"/>
      <c r="AE537" s="64"/>
      <c r="AF537" s="65"/>
      <c r="AG537" s="65"/>
      <c r="AH537" s="66" t="str">
        <f t="shared" si="97"/>
        <v/>
      </c>
      <c r="AI537" s="64"/>
      <c r="AJ537" s="65"/>
      <c r="AK537" s="64"/>
      <c r="AL537" s="65"/>
      <c r="BB537" s="55" t="str">
        <f t="shared" si="98"/>
        <v/>
      </c>
      <c r="BC537" s="55" t="str">
        <f t="shared" si="99"/>
        <v/>
      </c>
      <c r="BD537" s="55" t="str">
        <f t="shared" si="100"/>
        <v/>
      </c>
      <c r="BE537" s="55" t="str">
        <f t="shared" si="101"/>
        <v/>
      </c>
      <c r="BF537" s="55" t="str">
        <f t="shared" si="102"/>
        <v/>
      </c>
      <c r="BG537" s="55" t="str">
        <f t="shared" si="103"/>
        <v/>
      </c>
      <c r="BH537" s="55" t="str">
        <f t="shared" si="104"/>
        <v/>
      </c>
      <c r="BI537" s="55" t="str">
        <f t="shared" si="105"/>
        <v/>
      </c>
      <c r="BJ537" s="55" t="str">
        <f t="shared" si="106"/>
        <v/>
      </c>
      <c r="BK537" s="55" t="str">
        <f t="shared" si="107"/>
        <v/>
      </c>
    </row>
    <row r="538" spans="22:63">
      <c r="V538" s="55">
        <f t="shared" ca="1" si="96"/>
        <v>1</v>
      </c>
      <c r="W538" s="64"/>
      <c r="X538" s="65"/>
      <c r="Y538" s="65"/>
      <c r="Z538" s="65"/>
      <c r="AA538" s="64"/>
      <c r="AB538" s="65"/>
      <c r="AC538" s="64"/>
      <c r="AD538" s="65"/>
      <c r="AE538" s="64"/>
      <c r="AF538" s="65"/>
      <c r="AG538" s="65"/>
      <c r="AH538" s="66" t="str">
        <f t="shared" si="97"/>
        <v/>
      </c>
      <c r="AI538" s="64"/>
      <c r="AJ538" s="65"/>
      <c r="AK538" s="64"/>
      <c r="AL538" s="65"/>
      <c r="BB538" s="55" t="str">
        <f t="shared" si="98"/>
        <v/>
      </c>
      <c r="BC538" s="55" t="str">
        <f t="shared" si="99"/>
        <v/>
      </c>
      <c r="BD538" s="55" t="str">
        <f t="shared" si="100"/>
        <v/>
      </c>
      <c r="BE538" s="55" t="str">
        <f t="shared" si="101"/>
        <v/>
      </c>
      <c r="BF538" s="55" t="str">
        <f t="shared" si="102"/>
        <v/>
      </c>
      <c r="BG538" s="55" t="str">
        <f t="shared" si="103"/>
        <v/>
      </c>
      <c r="BH538" s="55" t="str">
        <f t="shared" si="104"/>
        <v/>
      </c>
      <c r="BI538" s="55" t="str">
        <f t="shared" si="105"/>
        <v/>
      </c>
      <c r="BJ538" s="55" t="str">
        <f t="shared" si="106"/>
        <v/>
      </c>
      <c r="BK538" s="55" t="str">
        <f t="shared" si="107"/>
        <v/>
      </c>
    </row>
    <row r="539" spans="22:63">
      <c r="V539" s="55">
        <f t="shared" ca="1" si="96"/>
        <v>1</v>
      </c>
      <c r="W539" s="64"/>
      <c r="X539" s="65"/>
      <c r="Y539" s="65"/>
      <c r="Z539" s="65"/>
      <c r="AA539" s="64"/>
      <c r="AB539" s="65"/>
      <c r="AC539" s="64"/>
      <c r="AD539" s="65"/>
      <c r="AE539" s="64"/>
      <c r="AF539" s="65"/>
      <c r="AG539" s="65"/>
      <c r="AH539" s="66" t="str">
        <f t="shared" si="97"/>
        <v/>
      </c>
      <c r="AI539" s="64"/>
      <c r="AJ539" s="65"/>
      <c r="AK539" s="64"/>
      <c r="AL539" s="65"/>
      <c r="BB539" s="55" t="str">
        <f t="shared" si="98"/>
        <v/>
      </c>
      <c r="BC539" s="55" t="str">
        <f t="shared" si="99"/>
        <v/>
      </c>
      <c r="BD539" s="55" t="str">
        <f t="shared" si="100"/>
        <v/>
      </c>
      <c r="BE539" s="55" t="str">
        <f t="shared" si="101"/>
        <v/>
      </c>
      <c r="BF539" s="55" t="str">
        <f t="shared" si="102"/>
        <v/>
      </c>
      <c r="BG539" s="55" t="str">
        <f t="shared" si="103"/>
        <v/>
      </c>
      <c r="BH539" s="55" t="str">
        <f t="shared" si="104"/>
        <v/>
      </c>
      <c r="BI539" s="55" t="str">
        <f t="shared" si="105"/>
        <v/>
      </c>
      <c r="BJ539" s="55" t="str">
        <f t="shared" si="106"/>
        <v/>
      </c>
      <c r="BK539" s="55" t="str">
        <f t="shared" si="107"/>
        <v/>
      </c>
    </row>
    <row r="540" spans="22:63">
      <c r="V540" s="55">
        <f t="shared" ca="1" si="96"/>
        <v>1</v>
      </c>
      <c r="W540" s="64"/>
      <c r="X540" s="65"/>
      <c r="Y540" s="65"/>
      <c r="Z540" s="65"/>
      <c r="AA540" s="64"/>
      <c r="AB540" s="65"/>
      <c r="AC540" s="64"/>
      <c r="AD540" s="65"/>
      <c r="AE540" s="64"/>
      <c r="AF540" s="65"/>
      <c r="AG540" s="65"/>
      <c r="AH540" s="66" t="str">
        <f t="shared" si="97"/>
        <v/>
      </c>
      <c r="AI540" s="64"/>
      <c r="AJ540" s="65"/>
      <c r="AK540" s="64"/>
      <c r="AL540" s="65"/>
      <c r="BB540" s="55" t="str">
        <f t="shared" si="98"/>
        <v/>
      </c>
      <c r="BC540" s="55" t="str">
        <f t="shared" si="99"/>
        <v/>
      </c>
      <c r="BD540" s="55" t="str">
        <f t="shared" si="100"/>
        <v/>
      </c>
      <c r="BE540" s="55" t="str">
        <f t="shared" si="101"/>
        <v/>
      </c>
      <c r="BF540" s="55" t="str">
        <f t="shared" si="102"/>
        <v/>
      </c>
      <c r="BG540" s="55" t="str">
        <f t="shared" si="103"/>
        <v/>
      </c>
      <c r="BH540" s="55" t="str">
        <f t="shared" si="104"/>
        <v/>
      </c>
      <c r="BI540" s="55" t="str">
        <f t="shared" si="105"/>
        <v/>
      </c>
      <c r="BJ540" s="55" t="str">
        <f t="shared" si="106"/>
        <v/>
      </c>
      <c r="BK540" s="55" t="str">
        <f t="shared" si="107"/>
        <v/>
      </c>
    </row>
    <row r="541" spans="22:63">
      <c r="V541" s="55">
        <f t="shared" ca="1" si="96"/>
        <v>1</v>
      </c>
      <c r="W541" s="64"/>
      <c r="X541" s="65"/>
      <c r="Y541" s="65"/>
      <c r="Z541" s="65"/>
      <c r="AA541" s="64"/>
      <c r="AB541" s="65"/>
      <c r="AC541" s="64"/>
      <c r="AD541" s="65"/>
      <c r="AE541" s="64"/>
      <c r="AF541" s="65"/>
      <c r="AG541" s="65"/>
      <c r="AH541" s="66" t="str">
        <f t="shared" si="97"/>
        <v/>
      </c>
      <c r="AI541" s="64"/>
      <c r="AJ541" s="65"/>
      <c r="AK541" s="64"/>
      <c r="AL541" s="65"/>
      <c r="BB541" s="55" t="str">
        <f t="shared" si="98"/>
        <v/>
      </c>
      <c r="BC541" s="55" t="str">
        <f t="shared" si="99"/>
        <v/>
      </c>
      <c r="BD541" s="55" t="str">
        <f t="shared" si="100"/>
        <v/>
      </c>
      <c r="BE541" s="55" t="str">
        <f t="shared" si="101"/>
        <v/>
      </c>
      <c r="BF541" s="55" t="str">
        <f t="shared" si="102"/>
        <v/>
      </c>
      <c r="BG541" s="55" t="str">
        <f t="shared" si="103"/>
        <v/>
      </c>
      <c r="BH541" s="55" t="str">
        <f t="shared" si="104"/>
        <v/>
      </c>
      <c r="BI541" s="55" t="str">
        <f t="shared" si="105"/>
        <v/>
      </c>
      <c r="BJ541" s="55" t="str">
        <f t="shared" si="106"/>
        <v/>
      </c>
      <c r="BK541" s="55" t="str">
        <f t="shared" si="107"/>
        <v/>
      </c>
    </row>
    <row r="542" spans="22:63">
      <c r="V542" s="55">
        <f t="shared" ca="1" si="96"/>
        <v>1</v>
      </c>
      <c r="W542" s="64"/>
      <c r="X542" s="65"/>
      <c r="Y542" s="65"/>
      <c r="Z542" s="65"/>
      <c r="AA542" s="64"/>
      <c r="AB542" s="65"/>
      <c r="AC542" s="64"/>
      <c r="AD542" s="65"/>
      <c r="AE542" s="64"/>
      <c r="AF542" s="65"/>
      <c r="AG542" s="65"/>
      <c r="AH542" s="66" t="str">
        <f t="shared" si="97"/>
        <v/>
      </c>
      <c r="AI542" s="64"/>
      <c r="AJ542" s="65"/>
      <c r="AK542" s="64"/>
      <c r="AL542" s="65"/>
      <c r="BB542" s="55" t="str">
        <f t="shared" si="98"/>
        <v/>
      </c>
      <c r="BC542" s="55" t="str">
        <f t="shared" si="99"/>
        <v/>
      </c>
      <c r="BD542" s="55" t="str">
        <f t="shared" si="100"/>
        <v/>
      </c>
      <c r="BE542" s="55" t="str">
        <f t="shared" si="101"/>
        <v/>
      </c>
      <c r="BF542" s="55" t="str">
        <f t="shared" si="102"/>
        <v/>
      </c>
      <c r="BG542" s="55" t="str">
        <f t="shared" si="103"/>
        <v/>
      </c>
      <c r="BH542" s="55" t="str">
        <f t="shared" si="104"/>
        <v/>
      </c>
      <c r="BI542" s="55" t="str">
        <f t="shared" si="105"/>
        <v/>
      </c>
      <c r="BJ542" s="55" t="str">
        <f t="shared" si="106"/>
        <v/>
      </c>
      <c r="BK542" s="55" t="str">
        <f t="shared" si="107"/>
        <v/>
      </c>
    </row>
    <row r="543" spans="22:63">
      <c r="V543" s="55">
        <f t="shared" ca="1" si="96"/>
        <v>1</v>
      </c>
      <c r="W543" s="64"/>
      <c r="X543" s="65"/>
      <c r="Y543" s="65"/>
      <c r="Z543" s="65"/>
      <c r="AA543" s="64"/>
      <c r="AB543" s="65"/>
      <c r="AC543" s="64"/>
      <c r="AD543" s="65"/>
      <c r="AE543" s="64"/>
      <c r="AF543" s="65"/>
      <c r="AG543" s="65"/>
      <c r="AH543" s="66" t="str">
        <f t="shared" si="97"/>
        <v/>
      </c>
      <c r="AI543" s="64"/>
      <c r="AJ543" s="65"/>
      <c r="AK543" s="64"/>
      <c r="AL543" s="65"/>
      <c r="BB543" s="55" t="str">
        <f t="shared" si="98"/>
        <v/>
      </c>
      <c r="BC543" s="55" t="str">
        <f t="shared" si="99"/>
        <v/>
      </c>
      <c r="BD543" s="55" t="str">
        <f t="shared" si="100"/>
        <v/>
      </c>
      <c r="BE543" s="55" t="str">
        <f t="shared" si="101"/>
        <v/>
      </c>
      <c r="BF543" s="55" t="str">
        <f t="shared" si="102"/>
        <v/>
      </c>
      <c r="BG543" s="55" t="str">
        <f t="shared" si="103"/>
        <v/>
      </c>
      <c r="BH543" s="55" t="str">
        <f t="shared" si="104"/>
        <v/>
      </c>
      <c r="BI543" s="55" t="str">
        <f t="shared" si="105"/>
        <v/>
      </c>
      <c r="BJ543" s="55" t="str">
        <f t="shared" si="106"/>
        <v/>
      </c>
      <c r="BK543" s="55" t="str">
        <f t="shared" si="107"/>
        <v/>
      </c>
    </row>
    <row r="544" spans="22:63">
      <c r="V544" s="55">
        <f t="shared" ca="1" si="96"/>
        <v>1</v>
      </c>
      <c r="W544" s="64"/>
      <c r="X544" s="65"/>
      <c r="Y544" s="65"/>
      <c r="Z544" s="65"/>
      <c r="AA544" s="64"/>
      <c r="AB544" s="65"/>
      <c r="AC544" s="64"/>
      <c r="AD544" s="65"/>
      <c r="AE544" s="64"/>
      <c r="AF544" s="65"/>
      <c r="AG544" s="65"/>
      <c r="AH544" s="66" t="str">
        <f t="shared" si="97"/>
        <v/>
      </c>
      <c r="AI544" s="64"/>
      <c r="AJ544" s="65"/>
      <c r="AK544" s="64"/>
      <c r="AL544" s="65"/>
      <c r="BB544" s="55" t="str">
        <f t="shared" si="98"/>
        <v/>
      </c>
      <c r="BC544" s="55" t="str">
        <f t="shared" si="99"/>
        <v/>
      </c>
      <c r="BD544" s="55" t="str">
        <f t="shared" si="100"/>
        <v/>
      </c>
      <c r="BE544" s="55" t="str">
        <f t="shared" si="101"/>
        <v/>
      </c>
      <c r="BF544" s="55" t="str">
        <f t="shared" si="102"/>
        <v/>
      </c>
      <c r="BG544" s="55" t="str">
        <f t="shared" si="103"/>
        <v/>
      </c>
      <c r="BH544" s="55" t="str">
        <f t="shared" si="104"/>
        <v/>
      </c>
      <c r="BI544" s="55" t="str">
        <f t="shared" si="105"/>
        <v/>
      </c>
      <c r="BJ544" s="55" t="str">
        <f t="shared" si="106"/>
        <v/>
      </c>
      <c r="BK544" s="55" t="str">
        <f t="shared" si="107"/>
        <v/>
      </c>
    </row>
    <row r="545" spans="22:63">
      <c r="V545" s="55">
        <f t="shared" ca="1" si="96"/>
        <v>1</v>
      </c>
      <c r="W545" s="64"/>
      <c r="X545" s="65"/>
      <c r="Y545" s="65"/>
      <c r="Z545" s="65"/>
      <c r="AA545" s="64"/>
      <c r="AB545" s="65"/>
      <c r="AC545" s="64"/>
      <c r="AD545" s="65"/>
      <c r="AE545" s="64"/>
      <c r="AF545" s="65"/>
      <c r="AG545" s="65"/>
      <c r="AH545" s="66" t="str">
        <f t="shared" si="97"/>
        <v/>
      </c>
      <c r="AI545" s="64"/>
      <c r="AJ545" s="65"/>
      <c r="AK545" s="64"/>
      <c r="AL545" s="65"/>
      <c r="BB545" s="55" t="str">
        <f t="shared" si="98"/>
        <v/>
      </c>
      <c r="BC545" s="55" t="str">
        <f t="shared" si="99"/>
        <v/>
      </c>
      <c r="BD545" s="55" t="str">
        <f t="shared" si="100"/>
        <v/>
      </c>
      <c r="BE545" s="55" t="str">
        <f t="shared" si="101"/>
        <v/>
      </c>
      <c r="BF545" s="55" t="str">
        <f t="shared" si="102"/>
        <v/>
      </c>
      <c r="BG545" s="55" t="str">
        <f t="shared" si="103"/>
        <v/>
      </c>
      <c r="BH545" s="55" t="str">
        <f t="shared" si="104"/>
        <v/>
      </c>
      <c r="BI545" s="55" t="str">
        <f t="shared" si="105"/>
        <v/>
      </c>
      <c r="BJ545" s="55" t="str">
        <f t="shared" si="106"/>
        <v/>
      </c>
      <c r="BK545" s="55" t="str">
        <f t="shared" si="107"/>
        <v/>
      </c>
    </row>
    <row r="546" spans="22:63">
      <c r="V546" s="55">
        <f t="shared" ca="1" si="96"/>
        <v>1</v>
      </c>
      <c r="W546" s="64"/>
      <c r="X546" s="65"/>
      <c r="Y546" s="65"/>
      <c r="Z546" s="65"/>
      <c r="AA546" s="64"/>
      <c r="AB546" s="65"/>
      <c r="AC546" s="64"/>
      <c r="AD546" s="65"/>
      <c r="AE546" s="64"/>
      <c r="AF546" s="65"/>
      <c r="AG546" s="65"/>
      <c r="AH546" s="66" t="str">
        <f t="shared" si="97"/>
        <v/>
      </c>
      <c r="AI546" s="64"/>
      <c r="AJ546" s="65"/>
      <c r="AK546" s="64"/>
      <c r="AL546" s="65"/>
      <c r="BB546" s="55" t="str">
        <f t="shared" si="98"/>
        <v/>
      </c>
      <c r="BC546" s="55" t="str">
        <f t="shared" si="99"/>
        <v/>
      </c>
      <c r="BD546" s="55" t="str">
        <f t="shared" si="100"/>
        <v/>
      </c>
      <c r="BE546" s="55" t="str">
        <f t="shared" si="101"/>
        <v/>
      </c>
      <c r="BF546" s="55" t="str">
        <f t="shared" si="102"/>
        <v/>
      </c>
      <c r="BG546" s="55" t="str">
        <f t="shared" si="103"/>
        <v/>
      </c>
      <c r="BH546" s="55" t="str">
        <f t="shared" si="104"/>
        <v/>
      </c>
      <c r="BI546" s="55" t="str">
        <f t="shared" si="105"/>
        <v/>
      </c>
      <c r="BJ546" s="55" t="str">
        <f t="shared" si="106"/>
        <v/>
      </c>
      <c r="BK546" s="55" t="str">
        <f t="shared" si="107"/>
        <v/>
      </c>
    </row>
    <row r="547" spans="22:63">
      <c r="V547" s="55">
        <f t="shared" ca="1" si="96"/>
        <v>1</v>
      </c>
      <c r="W547" s="64"/>
      <c r="X547" s="65"/>
      <c r="Y547" s="65"/>
      <c r="Z547" s="65"/>
      <c r="AA547" s="64"/>
      <c r="AB547" s="65"/>
      <c r="AC547" s="64"/>
      <c r="AD547" s="65"/>
      <c r="AE547" s="64"/>
      <c r="AF547" s="65"/>
      <c r="AG547" s="65"/>
      <c r="AH547" s="66" t="str">
        <f t="shared" si="97"/>
        <v/>
      </c>
      <c r="AI547" s="64"/>
      <c r="AJ547" s="65"/>
      <c r="AK547" s="64"/>
      <c r="AL547" s="65"/>
      <c r="BB547" s="55" t="str">
        <f t="shared" si="98"/>
        <v/>
      </c>
      <c r="BC547" s="55" t="str">
        <f t="shared" si="99"/>
        <v/>
      </c>
      <c r="BD547" s="55" t="str">
        <f t="shared" si="100"/>
        <v/>
      </c>
      <c r="BE547" s="55" t="str">
        <f t="shared" si="101"/>
        <v/>
      </c>
      <c r="BF547" s="55" t="str">
        <f t="shared" si="102"/>
        <v/>
      </c>
      <c r="BG547" s="55" t="str">
        <f t="shared" si="103"/>
        <v/>
      </c>
      <c r="BH547" s="55" t="str">
        <f t="shared" si="104"/>
        <v/>
      </c>
      <c r="BI547" s="55" t="str">
        <f t="shared" si="105"/>
        <v/>
      </c>
      <c r="BJ547" s="55" t="str">
        <f t="shared" si="106"/>
        <v/>
      </c>
      <c r="BK547" s="55" t="str">
        <f t="shared" si="107"/>
        <v/>
      </c>
    </row>
    <row r="548" spans="22:63">
      <c r="V548" s="55">
        <f t="shared" ca="1" si="96"/>
        <v>1</v>
      </c>
      <c r="W548" s="64"/>
      <c r="X548" s="65"/>
      <c r="Y548" s="65"/>
      <c r="Z548" s="65"/>
      <c r="AA548" s="64"/>
      <c r="AB548" s="65"/>
      <c r="AC548" s="64"/>
      <c r="AD548" s="65"/>
      <c r="AE548" s="64"/>
      <c r="AF548" s="65"/>
      <c r="AG548" s="65"/>
      <c r="AH548" s="66" t="str">
        <f t="shared" si="97"/>
        <v/>
      </c>
      <c r="AI548" s="64"/>
      <c r="AJ548" s="65"/>
      <c r="AK548" s="64"/>
      <c r="AL548" s="65"/>
      <c r="BB548" s="55" t="str">
        <f t="shared" si="98"/>
        <v/>
      </c>
      <c r="BC548" s="55" t="str">
        <f t="shared" si="99"/>
        <v/>
      </c>
      <c r="BD548" s="55" t="str">
        <f t="shared" si="100"/>
        <v/>
      </c>
      <c r="BE548" s="55" t="str">
        <f t="shared" si="101"/>
        <v/>
      </c>
      <c r="BF548" s="55" t="str">
        <f t="shared" si="102"/>
        <v/>
      </c>
      <c r="BG548" s="55" t="str">
        <f t="shared" si="103"/>
        <v/>
      </c>
      <c r="BH548" s="55" t="str">
        <f t="shared" si="104"/>
        <v/>
      </c>
      <c r="BI548" s="55" t="str">
        <f t="shared" si="105"/>
        <v/>
      </c>
      <c r="BJ548" s="55" t="str">
        <f t="shared" si="106"/>
        <v/>
      </c>
      <c r="BK548" s="55" t="str">
        <f t="shared" si="107"/>
        <v/>
      </c>
    </row>
    <row r="549" spans="22:63">
      <c r="V549" s="55">
        <f t="shared" ca="1" si="96"/>
        <v>1</v>
      </c>
      <c r="W549" s="64"/>
      <c r="X549" s="65"/>
      <c r="Y549" s="65"/>
      <c r="Z549" s="65"/>
      <c r="AA549" s="64"/>
      <c r="AB549" s="65"/>
      <c r="AC549" s="64"/>
      <c r="AD549" s="65"/>
      <c r="AE549" s="64"/>
      <c r="AF549" s="65"/>
      <c r="AG549" s="65"/>
      <c r="AH549" s="66" t="str">
        <f t="shared" si="97"/>
        <v/>
      </c>
      <c r="AI549" s="64"/>
      <c r="AJ549" s="65"/>
      <c r="AK549" s="64"/>
      <c r="AL549" s="65"/>
      <c r="BB549" s="55" t="str">
        <f t="shared" si="98"/>
        <v/>
      </c>
      <c r="BC549" s="55" t="str">
        <f t="shared" si="99"/>
        <v/>
      </c>
      <c r="BD549" s="55" t="str">
        <f t="shared" si="100"/>
        <v/>
      </c>
      <c r="BE549" s="55" t="str">
        <f t="shared" si="101"/>
        <v/>
      </c>
      <c r="BF549" s="55" t="str">
        <f t="shared" si="102"/>
        <v/>
      </c>
      <c r="BG549" s="55" t="str">
        <f t="shared" si="103"/>
        <v/>
      </c>
      <c r="BH549" s="55" t="str">
        <f t="shared" si="104"/>
        <v/>
      </c>
      <c r="BI549" s="55" t="str">
        <f t="shared" si="105"/>
        <v/>
      </c>
      <c r="BJ549" s="55" t="str">
        <f t="shared" si="106"/>
        <v/>
      </c>
      <c r="BK549" s="55" t="str">
        <f t="shared" si="107"/>
        <v/>
      </c>
    </row>
    <row r="550" spans="22:63">
      <c r="V550" s="55">
        <f t="shared" ca="1" si="96"/>
        <v>1</v>
      </c>
      <c r="W550" s="64"/>
      <c r="X550" s="65"/>
      <c r="Y550" s="65"/>
      <c r="Z550" s="65"/>
      <c r="AA550" s="64"/>
      <c r="AB550" s="65"/>
      <c r="AC550" s="64"/>
      <c r="AD550" s="65"/>
      <c r="AE550" s="64"/>
      <c r="AF550" s="65"/>
      <c r="AG550" s="65"/>
      <c r="AH550" s="66" t="str">
        <f t="shared" si="97"/>
        <v/>
      </c>
      <c r="AI550" s="64"/>
      <c r="AJ550" s="65"/>
      <c r="AK550" s="64"/>
      <c r="AL550" s="65"/>
      <c r="BB550" s="55" t="str">
        <f t="shared" si="98"/>
        <v/>
      </c>
      <c r="BC550" s="55" t="str">
        <f t="shared" si="99"/>
        <v/>
      </c>
      <c r="BD550" s="55" t="str">
        <f t="shared" si="100"/>
        <v/>
      </c>
      <c r="BE550" s="55" t="str">
        <f t="shared" si="101"/>
        <v/>
      </c>
      <c r="BF550" s="55" t="str">
        <f t="shared" si="102"/>
        <v/>
      </c>
      <c r="BG550" s="55" t="str">
        <f t="shared" si="103"/>
        <v/>
      </c>
      <c r="BH550" s="55" t="str">
        <f t="shared" si="104"/>
        <v/>
      </c>
      <c r="BI550" s="55" t="str">
        <f t="shared" si="105"/>
        <v/>
      </c>
      <c r="BJ550" s="55" t="str">
        <f t="shared" si="106"/>
        <v/>
      </c>
      <c r="BK550" s="55" t="str">
        <f t="shared" si="107"/>
        <v/>
      </c>
    </row>
    <row r="551" spans="22:63">
      <c r="V551" s="55">
        <f t="shared" ca="1" si="96"/>
        <v>1</v>
      </c>
      <c r="W551" s="64"/>
      <c r="X551" s="65"/>
      <c r="Y551" s="65"/>
      <c r="Z551" s="65"/>
      <c r="AA551" s="64"/>
      <c r="AB551" s="65"/>
      <c r="AC551" s="64"/>
      <c r="AD551" s="65"/>
      <c r="AE551" s="64"/>
      <c r="AF551" s="65"/>
      <c r="AG551" s="65"/>
      <c r="AH551" s="66" t="str">
        <f t="shared" si="97"/>
        <v/>
      </c>
      <c r="AI551" s="64"/>
      <c r="AJ551" s="65"/>
      <c r="AK551" s="64"/>
      <c r="AL551" s="65"/>
      <c r="BB551" s="55" t="str">
        <f t="shared" si="98"/>
        <v/>
      </c>
      <c r="BC551" s="55" t="str">
        <f t="shared" si="99"/>
        <v/>
      </c>
      <c r="BD551" s="55" t="str">
        <f t="shared" si="100"/>
        <v/>
      </c>
      <c r="BE551" s="55" t="str">
        <f t="shared" si="101"/>
        <v/>
      </c>
      <c r="BF551" s="55" t="str">
        <f t="shared" si="102"/>
        <v/>
      </c>
      <c r="BG551" s="55" t="str">
        <f t="shared" si="103"/>
        <v/>
      </c>
      <c r="BH551" s="55" t="str">
        <f t="shared" si="104"/>
        <v/>
      </c>
      <c r="BI551" s="55" t="str">
        <f t="shared" si="105"/>
        <v/>
      </c>
      <c r="BJ551" s="55" t="str">
        <f t="shared" si="106"/>
        <v/>
      </c>
      <c r="BK551" s="55" t="str">
        <f t="shared" si="107"/>
        <v/>
      </c>
    </row>
    <row r="552" spans="22:63">
      <c r="V552" s="55">
        <f t="shared" ca="1" si="96"/>
        <v>1</v>
      </c>
      <c r="W552" s="64"/>
      <c r="X552" s="65"/>
      <c r="Y552" s="65"/>
      <c r="Z552" s="65"/>
      <c r="AA552" s="64"/>
      <c r="AB552" s="65"/>
      <c r="AC552" s="64"/>
      <c r="AD552" s="65"/>
      <c r="AE552" s="64"/>
      <c r="AF552" s="65"/>
      <c r="AG552" s="65"/>
      <c r="AH552" s="66" t="str">
        <f t="shared" si="97"/>
        <v/>
      </c>
      <c r="AI552" s="64"/>
      <c r="AJ552" s="65"/>
      <c r="AK552" s="64"/>
      <c r="AL552" s="65"/>
      <c r="BB552" s="55" t="str">
        <f t="shared" si="98"/>
        <v/>
      </c>
      <c r="BC552" s="55" t="str">
        <f t="shared" si="99"/>
        <v/>
      </c>
      <c r="BD552" s="55" t="str">
        <f t="shared" si="100"/>
        <v/>
      </c>
      <c r="BE552" s="55" t="str">
        <f t="shared" si="101"/>
        <v/>
      </c>
      <c r="BF552" s="55" t="str">
        <f t="shared" si="102"/>
        <v/>
      </c>
      <c r="BG552" s="55" t="str">
        <f t="shared" si="103"/>
        <v/>
      </c>
      <c r="BH552" s="55" t="str">
        <f t="shared" si="104"/>
        <v/>
      </c>
      <c r="BI552" s="55" t="str">
        <f t="shared" si="105"/>
        <v/>
      </c>
      <c r="BJ552" s="55" t="str">
        <f t="shared" si="106"/>
        <v/>
      </c>
      <c r="BK552" s="55" t="str">
        <f t="shared" si="107"/>
        <v/>
      </c>
    </row>
    <row r="553" spans="22:63">
      <c r="V553" s="55">
        <f t="shared" ca="1" si="96"/>
        <v>1</v>
      </c>
      <c r="W553" s="64"/>
      <c r="X553" s="65"/>
      <c r="Y553" s="65"/>
      <c r="Z553" s="65"/>
      <c r="AA553" s="64"/>
      <c r="AB553" s="65"/>
      <c r="AC553" s="64"/>
      <c r="AD553" s="65"/>
      <c r="AE553" s="64"/>
      <c r="AF553" s="65"/>
      <c r="AG553" s="65"/>
      <c r="AH553" s="66" t="str">
        <f t="shared" si="97"/>
        <v/>
      </c>
      <c r="AI553" s="64"/>
      <c r="AJ553" s="65"/>
      <c r="AK553" s="64"/>
      <c r="AL553" s="65"/>
      <c r="BB553" s="55" t="str">
        <f t="shared" si="98"/>
        <v/>
      </c>
      <c r="BC553" s="55" t="str">
        <f t="shared" si="99"/>
        <v/>
      </c>
      <c r="BD553" s="55" t="str">
        <f t="shared" si="100"/>
        <v/>
      </c>
      <c r="BE553" s="55" t="str">
        <f t="shared" si="101"/>
        <v/>
      </c>
      <c r="BF553" s="55" t="str">
        <f t="shared" si="102"/>
        <v/>
      </c>
      <c r="BG553" s="55" t="str">
        <f t="shared" si="103"/>
        <v/>
      </c>
      <c r="BH553" s="55" t="str">
        <f t="shared" si="104"/>
        <v/>
      </c>
      <c r="BI553" s="55" t="str">
        <f t="shared" si="105"/>
        <v/>
      </c>
      <c r="BJ553" s="55" t="str">
        <f t="shared" si="106"/>
        <v/>
      </c>
      <c r="BK553" s="55" t="str">
        <f t="shared" si="107"/>
        <v/>
      </c>
    </row>
    <row r="554" spans="22:63">
      <c r="V554" s="55">
        <f t="shared" ca="1" si="96"/>
        <v>1</v>
      </c>
      <c r="W554" s="64"/>
      <c r="X554" s="65"/>
      <c r="Y554" s="65"/>
      <c r="Z554" s="65"/>
      <c r="AA554" s="64"/>
      <c r="AB554" s="65"/>
      <c r="AC554" s="64"/>
      <c r="AD554" s="65"/>
      <c r="AE554" s="64"/>
      <c r="AF554" s="65"/>
      <c r="AG554" s="65"/>
      <c r="AH554" s="66" t="str">
        <f t="shared" si="97"/>
        <v/>
      </c>
      <c r="AI554" s="64"/>
      <c r="AJ554" s="65"/>
      <c r="AK554" s="64"/>
      <c r="AL554" s="65"/>
      <c r="BB554" s="55" t="str">
        <f t="shared" si="98"/>
        <v/>
      </c>
      <c r="BC554" s="55" t="str">
        <f t="shared" si="99"/>
        <v/>
      </c>
      <c r="BD554" s="55" t="str">
        <f t="shared" si="100"/>
        <v/>
      </c>
      <c r="BE554" s="55" t="str">
        <f t="shared" si="101"/>
        <v/>
      </c>
      <c r="BF554" s="55" t="str">
        <f t="shared" si="102"/>
        <v/>
      </c>
      <c r="BG554" s="55" t="str">
        <f t="shared" si="103"/>
        <v/>
      </c>
      <c r="BH554" s="55" t="str">
        <f t="shared" si="104"/>
        <v/>
      </c>
      <c r="BI554" s="55" t="str">
        <f t="shared" si="105"/>
        <v/>
      </c>
      <c r="BJ554" s="55" t="str">
        <f t="shared" si="106"/>
        <v/>
      </c>
      <c r="BK554" s="55" t="str">
        <f t="shared" si="107"/>
        <v/>
      </c>
    </row>
    <row r="555" spans="22:63">
      <c r="V555" s="55">
        <f t="shared" ca="1" si="96"/>
        <v>1</v>
      </c>
      <c r="W555" s="64"/>
      <c r="X555" s="65"/>
      <c r="Y555" s="65"/>
      <c r="Z555" s="65"/>
      <c r="AA555" s="64"/>
      <c r="AB555" s="65"/>
      <c r="AC555" s="64"/>
      <c r="AD555" s="65"/>
      <c r="AE555" s="64"/>
      <c r="AF555" s="65"/>
      <c r="AG555" s="65"/>
      <c r="AH555" s="66" t="str">
        <f t="shared" si="97"/>
        <v/>
      </c>
      <c r="AI555" s="64"/>
      <c r="AJ555" s="65"/>
      <c r="AK555" s="64"/>
      <c r="AL555" s="65"/>
      <c r="BB555" s="55" t="str">
        <f t="shared" si="98"/>
        <v/>
      </c>
      <c r="BC555" s="55" t="str">
        <f t="shared" si="99"/>
        <v/>
      </c>
      <c r="BD555" s="55" t="str">
        <f t="shared" si="100"/>
        <v/>
      </c>
      <c r="BE555" s="55" t="str">
        <f t="shared" si="101"/>
        <v/>
      </c>
      <c r="BF555" s="55" t="str">
        <f t="shared" si="102"/>
        <v/>
      </c>
      <c r="BG555" s="55" t="str">
        <f t="shared" si="103"/>
        <v/>
      </c>
      <c r="BH555" s="55" t="str">
        <f t="shared" si="104"/>
        <v/>
      </c>
      <c r="BI555" s="55" t="str">
        <f t="shared" si="105"/>
        <v/>
      </c>
      <c r="BJ555" s="55" t="str">
        <f t="shared" si="106"/>
        <v/>
      </c>
      <c r="BK555" s="55" t="str">
        <f t="shared" si="107"/>
        <v/>
      </c>
    </row>
    <row r="556" spans="22:63">
      <c r="V556" s="55">
        <f t="shared" ca="1" si="96"/>
        <v>1</v>
      </c>
      <c r="W556" s="64"/>
      <c r="X556" s="65"/>
      <c r="Y556" s="65"/>
      <c r="Z556" s="65"/>
      <c r="AA556" s="64"/>
      <c r="AB556" s="65"/>
      <c r="AC556" s="64"/>
      <c r="AD556" s="65"/>
      <c r="AE556" s="64"/>
      <c r="AF556" s="65"/>
      <c r="AG556" s="65"/>
      <c r="AH556" s="66" t="str">
        <f t="shared" si="97"/>
        <v/>
      </c>
      <c r="AI556" s="64"/>
      <c r="AJ556" s="65"/>
      <c r="AK556" s="64"/>
      <c r="AL556" s="65"/>
      <c r="BB556" s="55" t="str">
        <f t="shared" si="98"/>
        <v/>
      </c>
      <c r="BC556" s="55" t="str">
        <f t="shared" si="99"/>
        <v/>
      </c>
      <c r="BD556" s="55" t="str">
        <f t="shared" si="100"/>
        <v/>
      </c>
      <c r="BE556" s="55" t="str">
        <f t="shared" si="101"/>
        <v/>
      </c>
      <c r="BF556" s="55" t="str">
        <f t="shared" si="102"/>
        <v/>
      </c>
      <c r="BG556" s="55" t="str">
        <f t="shared" si="103"/>
        <v/>
      </c>
      <c r="BH556" s="55" t="str">
        <f t="shared" si="104"/>
        <v/>
      </c>
      <c r="BI556" s="55" t="str">
        <f t="shared" si="105"/>
        <v/>
      </c>
      <c r="BJ556" s="55" t="str">
        <f t="shared" si="106"/>
        <v/>
      </c>
      <c r="BK556" s="55" t="str">
        <f t="shared" si="107"/>
        <v/>
      </c>
    </row>
    <row r="557" spans="22:63">
      <c r="V557" s="55">
        <f t="shared" ca="1" si="96"/>
        <v>1</v>
      </c>
      <c r="W557" s="64"/>
      <c r="X557" s="65"/>
      <c r="Y557" s="65"/>
      <c r="Z557" s="65"/>
      <c r="AA557" s="64"/>
      <c r="AB557" s="65"/>
      <c r="AC557" s="64"/>
      <c r="AD557" s="65"/>
      <c r="AE557" s="64"/>
      <c r="AF557" s="65"/>
      <c r="AG557" s="65"/>
      <c r="AH557" s="66" t="str">
        <f t="shared" si="97"/>
        <v/>
      </c>
      <c r="AI557" s="64"/>
      <c r="AJ557" s="65"/>
      <c r="AK557" s="64"/>
      <c r="AL557" s="65"/>
      <c r="BB557" s="55" t="str">
        <f t="shared" si="98"/>
        <v/>
      </c>
      <c r="BC557" s="55" t="str">
        <f t="shared" si="99"/>
        <v/>
      </c>
      <c r="BD557" s="55" t="str">
        <f t="shared" si="100"/>
        <v/>
      </c>
      <c r="BE557" s="55" t="str">
        <f t="shared" si="101"/>
        <v/>
      </c>
      <c r="BF557" s="55" t="str">
        <f t="shared" si="102"/>
        <v/>
      </c>
      <c r="BG557" s="55" t="str">
        <f t="shared" si="103"/>
        <v/>
      </c>
      <c r="BH557" s="55" t="str">
        <f t="shared" si="104"/>
        <v/>
      </c>
      <c r="BI557" s="55" t="str">
        <f t="shared" si="105"/>
        <v/>
      </c>
      <c r="BJ557" s="55" t="str">
        <f t="shared" si="106"/>
        <v/>
      </c>
      <c r="BK557" s="55" t="str">
        <f t="shared" si="107"/>
        <v/>
      </c>
    </row>
    <row r="558" spans="22:63">
      <c r="V558" s="55">
        <f t="shared" ca="1" si="96"/>
        <v>1</v>
      </c>
      <c r="W558" s="64"/>
      <c r="X558" s="65"/>
      <c r="Y558" s="65"/>
      <c r="Z558" s="65"/>
      <c r="AA558" s="64"/>
      <c r="AB558" s="65"/>
      <c r="AC558" s="64"/>
      <c r="AD558" s="65"/>
      <c r="AE558" s="64"/>
      <c r="AF558" s="65"/>
      <c r="AG558" s="65"/>
      <c r="AH558" s="66" t="str">
        <f t="shared" si="97"/>
        <v/>
      </c>
      <c r="AI558" s="64"/>
      <c r="AJ558" s="65"/>
      <c r="AK558" s="64"/>
      <c r="AL558" s="65"/>
      <c r="BB558" s="55" t="str">
        <f t="shared" si="98"/>
        <v/>
      </c>
      <c r="BC558" s="55" t="str">
        <f t="shared" si="99"/>
        <v/>
      </c>
      <c r="BD558" s="55" t="str">
        <f t="shared" si="100"/>
        <v/>
      </c>
      <c r="BE558" s="55" t="str">
        <f t="shared" si="101"/>
        <v/>
      </c>
      <c r="BF558" s="55" t="str">
        <f t="shared" si="102"/>
        <v/>
      </c>
      <c r="BG558" s="55" t="str">
        <f t="shared" si="103"/>
        <v/>
      </c>
      <c r="BH558" s="55" t="str">
        <f t="shared" si="104"/>
        <v/>
      </c>
      <c r="BI558" s="55" t="str">
        <f t="shared" si="105"/>
        <v/>
      </c>
      <c r="BJ558" s="55" t="str">
        <f t="shared" si="106"/>
        <v/>
      </c>
      <c r="BK558" s="55" t="str">
        <f t="shared" si="107"/>
        <v/>
      </c>
    </row>
    <row r="559" spans="22:63">
      <c r="V559" s="55">
        <f t="shared" ca="1" si="96"/>
        <v>1</v>
      </c>
      <c r="W559" s="64"/>
      <c r="X559" s="65"/>
      <c r="Y559" s="65"/>
      <c r="Z559" s="65"/>
      <c r="AA559" s="64"/>
      <c r="AB559" s="65"/>
      <c r="AC559" s="64"/>
      <c r="AD559" s="65"/>
      <c r="AE559" s="64"/>
      <c r="AF559" s="65"/>
      <c r="AG559" s="65"/>
      <c r="AH559" s="66" t="str">
        <f t="shared" si="97"/>
        <v/>
      </c>
      <c r="AI559" s="64"/>
      <c r="AJ559" s="65"/>
      <c r="AK559" s="64"/>
      <c r="AL559" s="65"/>
      <c r="BB559" s="55" t="str">
        <f t="shared" si="98"/>
        <v/>
      </c>
      <c r="BC559" s="55" t="str">
        <f t="shared" si="99"/>
        <v/>
      </c>
      <c r="BD559" s="55" t="str">
        <f t="shared" si="100"/>
        <v/>
      </c>
      <c r="BE559" s="55" t="str">
        <f t="shared" si="101"/>
        <v/>
      </c>
      <c r="BF559" s="55" t="str">
        <f t="shared" si="102"/>
        <v/>
      </c>
      <c r="BG559" s="55" t="str">
        <f t="shared" si="103"/>
        <v/>
      </c>
      <c r="BH559" s="55" t="str">
        <f t="shared" si="104"/>
        <v/>
      </c>
      <c r="BI559" s="55" t="str">
        <f t="shared" si="105"/>
        <v/>
      </c>
      <c r="BJ559" s="55" t="str">
        <f t="shared" si="106"/>
        <v/>
      </c>
      <c r="BK559" s="55" t="str">
        <f t="shared" si="107"/>
        <v/>
      </c>
    </row>
    <row r="560" spans="22:63">
      <c r="V560" s="55">
        <f t="shared" ca="1" si="96"/>
        <v>1</v>
      </c>
      <c r="W560" s="64"/>
      <c r="X560" s="65"/>
      <c r="Y560" s="65"/>
      <c r="Z560" s="65"/>
      <c r="AA560" s="64"/>
      <c r="AB560" s="65"/>
      <c r="AC560" s="64"/>
      <c r="AD560" s="65"/>
      <c r="AE560" s="64"/>
      <c r="AF560" s="65"/>
      <c r="AG560" s="65"/>
      <c r="AH560" s="66" t="str">
        <f t="shared" si="97"/>
        <v/>
      </c>
      <c r="AI560" s="64"/>
      <c r="AJ560" s="65"/>
      <c r="AK560" s="64"/>
      <c r="AL560" s="65"/>
      <c r="BB560" s="55" t="str">
        <f t="shared" si="98"/>
        <v/>
      </c>
      <c r="BC560" s="55" t="str">
        <f t="shared" si="99"/>
        <v/>
      </c>
      <c r="BD560" s="55" t="str">
        <f t="shared" si="100"/>
        <v/>
      </c>
      <c r="BE560" s="55" t="str">
        <f t="shared" si="101"/>
        <v/>
      </c>
      <c r="BF560" s="55" t="str">
        <f t="shared" si="102"/>
        <v/>
      </c>
      <c r="BG560" s="55" t="str">
        <f t="shared" si="103"/>
        <v/>
      </c>
      <c r="BH560" s="55" t="str">
        <f t="shared" si="104"/>
        <v/>
      </c>
      <c r="BI560" s="55" t="str">
        <f t="shared" si="105"/>
        <v/>
      </c>
      <c r="BJ560" s="55" t="str">
        <f t="shared" si="106"/>
        <v/>
      </c>
      <c r="BK560" s="55" t="str">
        <f t="shared" si="107"/>
        <v/>
      </c>
    </row>
    <row r="561" spans="22:63">
      <c r="V561" s="55">
        <f t="shared" ca="1" si="96"/>
        <v>1</v>
      </c>
      <c r="W561" s="64"/>
      <c r="X561" s="65"/>
      <c r="Y561" s="65"/>
      <c r="Z561" s="65"/>
      <c r="AA561" s="64"/>
      <c r="AB561" s="65"/>
      <c r="AC561" s="64"/>
      <c r="AD561" s="65"/>
      <c r="AE561" s="64"/>
      <c r="AF561" s="65"/>
      <c r="AG561" s="65"/>
      <c r="AH561" s="66" t="str">
        <f t="shared" si="97"/>
        <v/>
      </c>
      <c r="AI561" s="64"/>
      <c r="AJ561" s="65"/>
      <c r="AK561" s="64"/>
      <c r="AL561" s="65"/>
      <c r="BB561" s="55" t="str">
        <f t="shared" si="98"/>
        <v/>
      </c>
      <c r="BC561" s="55" t="str">
        <f t="shared" si="99"/>
        <v/>
      </c>
      <c r="BD561" s="55" t="str">
        <f t="shared" si="100"/>
        <v/>
      </c>
      <c r="BE561" s="55" t="str">
        <f t="shared" si="101"/>
        <v/>
      </c>
      <c r="BF561" s="55" t="str">
        <f t="shared" si="102"/>
        <v/>
      </c>
      <c r="BG561" s="55" t="str">
        <f t="shared" si="103"/>
        <v/>
      </c>
      <c r="BH561" s="55" t="str">
        <f t="shared" si="104"/>
        <v/>
      </c>
      <c r="BI561" s="55" t="str">
        <f t="shared" si="105"/>
        <v/>
      </c>
      <c r="BJ561" s="55" t="str">
        <f t="shared" si="106"/>
        <v/>
      </c>
      <c r="BK561" s="55" t="str">
        <f t="shared" si="107"/>
        <v/>
      </c>
    </row>
    <row r="562" spans="22:63">
      <c r="V562" s="55">
        <f t="shared" ca="1" si="96"/>
        <v>1</v>
      </c>
      <c r="W562" s="64"/>
      <c r="X562" s="65"/>
      <c r="Y562" s="65"/>
      <c r="Z562" s="65"/>
      <c r="AA562" s="64"/>
      <c r="AB562" s="65"/>
      <c r="AC562" s="64"/>
      <c r="AD562" s="65"/>
      <c r="AE562" s="64"/>
      <c r="AF562" s="65"/>
      <c r="AG562" s="65"/>
      <c r="AH562" s="66" t="str">
        <f t="shared" si="97"/>
        <v/>
      </c>
      <c r="AI562" s="64"/>
      <c r="AJ562" s="65"/>
      <c r="AK562" s="64"/>
      <c r="AL562" s="65"/>
      <c r="BB562" s="55" t="str">
        <f t="shared" si="98"/>
        <v/>
      </c>
      <c r="BC562" s="55" t="str">
        <f t="shared" si="99"/>
        <v/>
      </c>
      <c r="BD562" s="55" t="str">
        <f t="shared" si="100"/>
        <v/>
      </c>
      <c r="BE562" s="55" t="str">
        <f t="shared" si="101"/>
        <v/>
      </c>
      <c r="BF562" s="55" t="str">
        <f t="shared" si="102"/>
        <v/>
      </c>
      <c r="BG562" s="55" t="str">
        <f t="shared" si="103"/>
        <v/>
      </c>
      <c r="BH562" s="55" t="str">
        <f t="shared" si="104"/>
        <v/>
      </c>
      <c r="BI562" s="55" t="str">
        <f t="shared" si="105"/>
        <v/>
      </c>
      <c r="BJ562" s="55" t="str">
        <f t="shared" si="106"/>
        <v/>
      </c>
      <c r="BK562" s="55" t="str">
        <f t="shared" si="107"/>
        <v/>
      </c>
    </row>
    <row r="563" spans="22:63">
      <c r="V563" s="55">
        <f t="shared" ca="1" si="96"/>
        <v>1</v>
      </c>
      <c r="W563" s="64"/>
      <c r="X563" s="65"/>
      <c r="Y563" s="65"/>
      <c r="Z563" s="65"/>
      <c r="AA563" s="64"/>
      <c r="AB563" s="65"/>
      <c r="AC563" s="64"/>
      <c r="AD563" s="65"/>
      <c r="AE563" s="64"/>
      <c r="AF563" s="65"/>
      <c r="AG563" s="65"/>
      <c r="AH563" s="66" t="str">
        <f t="shared" si="97"/>
        <v/>
      </c>
      <c r="AI563" s="64"/>
      <c r="AJ563" s="65"/>
      <c r="AK563" s="64"/>
      <c r="AL563" s="65"/>
      <c r="BB563" s="55" t="str">
        <f t="shared" si="98"/>
        <v/>
      </c>
      <c r="BC563" s="55" t="str">
        <f t="shared" si="99"/>
        <v/>
      </c>
      <c r="BD563" s="55" t="str">
        <f t="shared" si="100"/>
        <v/>
      </c>
      <c r="BE563" s="55" t="str">
        <f t="shared" si="101"/>
        <v/>
      </c>
      <c r="BF563" s="55" t="str">
        <f t="shared" si="102"/>
        <v/>
      </c>
      <c r="BG563" s="55" t="str">
        <f t="shared" si="103"/>
        <v/>
      </c>
      <c r="BH563" s="55" t="str">
        <f t="shared" si="104"/>
        <v/>
      </c>
      <c r="BI563" s="55" t="str">
        <f t="shared" si="105"/>
        <v/>
      </c>
      <c r="BJ563" s="55" t="str">
        <f t="shared" si="106"/>
        <v/>
      </c>
      <c r="BK563" s="55" t="str">
        <f t="shared" si="107"/>
        <v/>
      </c>
    </row>
    <row r="564" spans="22:63">
      <c r="V564" s="55">
        <f t="shared" ca="1" si="96"/>
        <v>1</v>
      </c>
      <c r="W564" s="64"/>
      <c r="X564" s="65"/>
      <c r="Y564" s="65"/>
      <c r="Z564" s="65"/>
      <c r="AA564" s="64"/>
      <c r="AB564" s="65"/>
      <c r="AC564" s="64"/>
      <c r="AD564" s="65"/>
      <c r="AE564" s="64"/>
      <c r="AF564" s="65"/>
      <c r="AG564" s="65"/>
      <c r="AH564" s="66" t="str">
        <f t="shared" si="97"/>
        <v/>
      </c>
      <c r="AI564" s="64"/>
      <c r="AJ564" s="65"/>
      <c r="AK564" s="64"/>
      <c r="AL564" s="65"/>
      <c r="BB564" s="55" t="str">
        <f t="shared" si="98"/>
        <v/>
      </c>
      <c r="BC564" s="55" t="str">
        <f t="shared" si="99"/>
        <v/>
      </c>
      <c r="BD564" s="55" t="str">
        <f t="shared" si="100"/>
        <v/>
      </c>
      <c r="BE564" s="55" t="str">
        <f t="shared" si="101"/>
        <v/>
      </c>
      <c r="BF564" s="55" t="str">
        <f t="shared" si="102"/>
        <v/>
      </c>
      <c r="BG564" s="55" t="str">
        <f t="shared" si="103"/>
        <v/>
      </c>
      <c r="BH564" s="55" t="str">
        <f t="shared" si="104"/>
        <v/>
      </c>
      <c r="BI564" s="55" t="str">
        <f t="shared" si="105"/>
        <v/>
      </c>
      <c r="BJ564" s="55" t="str">
        <f t="shared" si="106"/>
        <v/>
      </c>
      <c r="BK564" s="55" t="str">
        <f t="shared" si="107"/>
        <v/>
      </c>
    </row>
    <row r="565" spans="22:63">
      <c r="V565" s="55">
        <f t="shared" ca="1" si="96"/>
        <v>1</v>
      </c>
      <c r="W565" s="64"/>
      <c r="X565" s="65"/>
      <c r="Y565" s="65"/>
      <c r="Z565" s="65"/>
      <c r="AA565" s="64"/>
      <c r="AB565" s="65"/>
      <c r="AC565" s="64"/>
      <c r="AD565" s="65"/>
      <c r="AE565" s="64"/>
      <c r="AF565" s="65"/>
      <c r="AG565" s="65"/>
      <c r="AH565" s="66" t="str">
        <f t="shared" si="97"/>
        <v/>
      </c>
      <c r="AI565" s="64"/>
      <c r="AJ565" s="65"/>
      <c r="AK565" s="64"/>
      <c r="AL565" s="65"/>
      <c r="BB565" s="55" t="str">
        <f t="shared" si="98"/>
        <v/>
      </c>
      <c r="BC565" s="55" t="str">
        <f t="shared" si="99"/>
        <v/>
      </c>
      <c r="BD565" s="55" t="str">
        <f t="shared" si="100"/>
        <v/>
      </c>
      <c r="BE565" s="55" t="str">
        <f t="shared" si="101"/>
        <v/>
      </c>
      <c r="BF565" s="55" t="str">
        <f t="shared" si="102"/>
        <v/>
      </c>
      <c r="BG565" s="55" t="str">
        <f t="shared" si="103"/>
        <v/>
      </c>
      <c r="BH565" s="55" t="str">
        <f t="shared" si="104"/>
        <v/>
      </c>
      <c r="BI565" s="55" t="str">
        <f t="shared" si="105"/>
        <v/>
      </c>
      <c r="BJ565" s="55" t="str">
        <f t="shared" si="106"/>
        <v/>
      </c>
      <c r="BK565" s="55" t="str">
        <f t="shared" si="107"/>
        <v/>
      </c>
    </row>
    <row r="566" spans="22:63">
      <c r="V566" s="55">
        <f t="shared" ca="1" si="96"/>
        <v>1</v>
      </c>
      <c r="W566" s="64"/>
      <c r="X566" s="65"/>
      <c r="Y566" s="65"/>
      <c r="Z566" s="65"/>
      <c r="AA566" s="64"/>
      <c r="AB566" s="65"/>
      <c r="AC566" s="64"/>
      <c r="AD566" s="65"/>
      <c r="AE566" s="64"/>
      <c r="AF566" s="65"/>
      <c r="AG566" s="65"/>
      <c r="AH566" s="66" t="str">
        <f t="shared" si="97"/>
        <v/>
      </c>
      <c r="AI566" s="64"/>
      <c r="AJ566" s="65"/>
      <c r="AK566" s="64"/>
      <c r="AL566" s="65"/>
      <c r="BB566" s="55" t="str">
        <f t="shared" si="98"/>
        <v/>
      </c>
      <c r="BC566" s="55" t="str">
        <f t="shared" si="99"/>
        <v/>
      </c>
      <c r="BD566" s="55" t="str">
        <f t="shared" si="100"/>
        <v/>
      </c>
      <c r="BE566" s="55" t="str">
        <f t="shared" si="101"/>
        <v/>
      </c>
      <c r="BF566" s="55" t="str">
        <f t="shared" si="102"/>
        <v/>
      </c>
      <c r="BG566" s="55" t="str">
        <f t="shared" si="103"/>
        <v/>
      </c>
      <c r="BH566" s="55" t="str">
        <f t="shared" si="104"/>
        <v/>
      </c>
      <c r="BI566" s="55" t="str">
        <f t="shared" si="105"/>
        <v/>
      </c>
      <c r="BJ566" s="55" t="str">
        <f t="shared" si="106"/>
        <v/>
      </c>
      <c r="BK566" s="55" t="str">
        <f t="shared" si="107"/>
        <v/>
      </c>
    </row>
    <row r="567" spans="22:63">
      <c r="V567" s="55">
        <f t="shared" ca="1" si="96"/>
        <v>1</v>
      </c>
      <c r="W567" s="64"/>
      <c r="X567" s="65"/>
      <c r="Y567" s="65"/>
      <c r="Z567" s="65"/>
      <c r="AA567" s="64"/>
      <c r="AB567" s="65"/>
      <c r="AC567" s="64"/>
      <c r="AD567" s="65"/>
      <c r="AE567" s="64"/>
      <c r="AF567" s="65"/>
      <c r="AG567" s="65"/>
      <c r="AH567" s="66" t="str">
        <f t="shared" si="97"/>
        <v/>
      </c>
      <c r="AI567" s="64"/>
      <c r="AJ567" s="65"/>
      <c r="AK567" s="64"/>
      <c r="AL567" s="65"/>
      <c r="BB567" s="55" t="str">
        <f t="shared" si="98"/>
        <v/>
      </c>
      <c r="BC567" s="55" t="str">
        <f t="shared" si="99"/>
        <v/>
      </c>
      <c r="BD567" s="55" t="str">
        <f t="shared" si="100"/>
        <v/>
      </c>
      <c r="BE567" s="55" t="str">
        <f t="shared" si="101"/>
        <v/>
      </c>
      <c r="BF567" s="55" t="str">
        <f t="shared" si="102"/>
        <v/>
      </c>
      <c r="BG567" s="55" t="str">
        <f t="shared" si="103"/>
        <v/>
      </c>
      <c r="BH567" s="55" t="str">
        <f t="shared" si="104"/>
        <v/>
      </c>
      <c r="BI567" s="55" t="str">
        <f t="shared" si="105"/>
        <v/>
      </c>
      <c r="BJ567" s="55" t="str">
        <f t="shared" si="106"/>
        <v/>
      </c>
      <c r="BK567" s="55" t="str">
        <f t="shared" si="107"/>
        <v/>
      </c>
    </row>
    <row r="568" spans="22:63">
      <c r="V568" s="55">
        <f t="shared" ca="1" si="96"/>
        <v>1</v>
      </c>
      <c r="W568" s="64"/>
      <c r="X568" s="65"/>
      <c r="Y568" s="65"/>
      <c r="Z568" s="65"/>
      <c r="AA568" s="64"/>
      <c r="AB568" s="65"/>
      <c r="AC568" s="64"/>
      <c r="AD568" s="65"/>
      <c r="AE568" s="64"/>
      <c r="AF568" s="65"/>
      <c r="AG568" s="65"/>
      <c r="AH568" s="66" t="str">
        <f t="shared" si="97"/>
        <v/>
      </c>
      <c r="AI568" s="64"/>
      <c r="AJ568" s="65"/>
      <c r="AK568" s="64"/>
      <c r="AL568" s="65"/>
      <c r="BB568" s="55" t="str">
        <f t="shared" si="98"/>
        <v/>
      </c>
      <c r="BC568" s="55" t="str">
        <f t="shared" si="99"/>
        <v/>
      </c>
      <c r="BD568" s="55" t="str">
        <f t="shared" si="100"/>
        <v/>
      </c>
      <c r="BE568" s="55" t="str">
        <f t="shared" si="101"/>
        <v/>
      </c>
      <c r="BF568" s="55" t="str">
        <f t="shared" si="102"/>
        <v/>
      </c>
      <c r="BG568" s="55" t="str">
        <f t="shared" si="103"/>
        <v/>
      </c>
      <c r="BH568" s="55" t="str">
        <f t="shared" si="104"/>
        <v/>
      </c>
      <c r="BI568" s="55" t="str">
        <f t="shared" si="105"/>
        <v/>
      </c>
      <c r="BJ568" s="55" t="str">
        <f t="shared" si="106"/>
        <v/>
      </c>
      <c r="BK568" s="55" t="str">
        <f t="shared" si="107"/>
        <v/>
      </c>
    </row>
    <row r="569" spans="22:63">
      <c r="V569" s="55">
        <f t="shared" ca="1" si="96"/>
        <v>1</v>
      </c>
      <c r="W569" s="64"/>
      <c r="X569" s="65"/>
      <c r="Y569" s="65"/>
      <c r="Z569" s="65"/>
      <c r="AA569" s="64"/>
      <c r="AB569" s="65"/>
      <c r="AC569" s="64"/>
      <c r="AD569" s="65"/>
      <c r="AE569" s="64"/>
      <c r="AF569" s="65"/>
      <c r="AG569" s="65"/>
      <c r="AH569" s="66" t="str">
        <f t="shared" si="97"/>
        <v/>
      </c>
      <c r="AI569" s="64"/>
      <c r="AJ569" s="65"/>
      <c r="AK569" s="64"/>
      <c r="AL569" s="65"/>
      <c r="BB569" s="55" t="str">
        <f t="shared" si="98"/>
        <v/>
      </c>
      <c r="BC569" s="55" t="str">
        <f t="shared" si="99"/>
        <v/>
      </c>
      <c r="BD569" s="55" t="str">
        <f t="shared" si="100"/>
        <v/>
      </c>
      <c r="BE569" s="55" t="str">
        <f t="shared" si="101"/>
        <v/>
      </c>
      <c r="BF569" s="55" t="str">
        <f t="shared" si="102"/>
        <v/>
      </c>
      <c r="BG569" s="55" t="str">
        <f t="shared" si="103"/>
        <v/>
      </c>
      <c r="BH569" s="55" t="str">
        <f t="shared" si="104"/>
        <v/>
      </c>
      <c r="BI569" s="55" t="str">
        <f t="shared" si="105"/>
        <v/>
      </c>
      <c r="BJ569" s="55" t="str">
        <f t="shared" si="106"/>
        <v/>
      </c>
      <c r="BK569" s="55" t="str">
        <f t="shared" si="107"/>
        <v/>
      </c>
    </row>
    <row r="570" spans="22:63">
      <c r="V570" s="55">
        <f t="shared" ca="1" si="96"/>
        <v>1</v>
      </c>
      <c r="W570" s="64"/>
      <c r="X570" s="65"/>
      <c r="Y570" s="65"/>
      <c r="Z570" s="65"/>
      <c r="AA570" s="64"/>
      <c r="AB570" s="65"/>
      <c r="AC570" s="64"/>
      <c r="AD570" s="65"/>
      <c r="AE570" s="64"/>
      <c r="AF570" s="65"/>
      <c r="AG570" s="65"/>
      <c r="AH570" s="66" t="str">
        <f t="shared" si="97"/>
        <v/>
      </c>
      <c r="AI570" s="64"/>
      <c r="AJ570" s="65"/>
      <c r="AK570" s="64"/>
      <c r="AL570" s="65"/>
      <c r="BB570" s="55" t="str">
        <f t="shared" si="98"/>
        <v/>
      </c>
      <c r="BC570" s="55" t="str">
        <f t="shared" si="99"/>
        <v/>
      </c>
      <c r="BD570" s="55" t="str">
        <f t="shared" si="100"/>
        <v/>
      </c>
      <c r="BE570" s="55" t="str">
        <f t="shared" si="101"/>
        <v/>
      </c>
      <c r="BF570" s="55" t="str">
        <f t="shared" si="102"/>
        <v/>
      </c>
      <c r="BG570" s="55" t="str">
        <f t="shared" si="103"/>
        <v/>
      </c>
      <c r="BH570" s="55" t="str">
        <f t="shared" si="104"/>
        <v/>
      </c>
      <c r="BI570" s="55" t="str">
        <f t="shared" si="105"/>
        <v/>
      </c>
      <c r="BJ570" s="55" t="str">
        <f t="shared" si="106"/>
        <v/>
      </c>
      <c r="BK570" s="55" t="str">
        <f t="shared" si="107"/>
        <v/>
      </c>
    </row>
    <row r="571" spans="22:63">
      <c r="V571" s="55">
        <f t="shared" ca="1" si="96"/>
        <v>1</v>
      </c>
      <c r="W571" s="64"/>
      <c r="X571" s="65"/>
      <c r="Y571" s="65"/>
      <c r="Z571" s="65"/>
      <c r="AA571" s="64"/>
      <c r="AB571" s="65"/>
      <c r="AC571" s="64"/>
      <c r="AD571" s="65"/>
      <c r="AE571" s="64"/>
      <c r="AF571" s="65"/>
      <c r="AG571" s="65"/>
      <c r="AH571" s="66" t="str">
        <f t="shared" si="97"/>
        <v/>
      </c>
      <c r="AI571" s="64"/>
      <c r="AJ571" s="65"/>
      <c r="AK571" s="64"/>
      <c r="AL571" s="65"/>
      <c r="BB571" s="55" t="str">
        <f t="shared" si="98"/>
        <v/>
      </c>
      <c r="BC571" s="55" t="str">
        <f t="shared" si="99"/>
        <v/>
      </c>
      <c r="BD571" s="55" t="str">
        <f t="shared" si="100"/>
        <v/>
      </c>
      <c r="BE571" s="55" t="str">
        <f t="shared" si="101"/>
        <v/>
      </c>
      <c r="BF571" s="55" t="str">
        <f t="shared" si="102"/>
        <v/>
      </c>
      <c r="BG571" s="55" t="str">
        <f t="shared" si="103"/>
        <v/>
      </c>
      <c r="BH571" s="55" t="str">
        <f t="shared" si="104"/>
        <v/>
      </c>
      <c r="BI571" s="55" t="str">
        <f t="shared" si="105"/>
        <v/>
      </c>
      <c r="BJ571" s="55" t="str">
        <f t="shared" si="106"/>
        <v/>
      </c>
      <c r="BK571" s="55" t="str">
        <f t="shared" si="107"/>
        <v/>
      </c>
    </row>
    <row r="572" spans="22:63">
      <c r="V572" s="55">
        <f t="shared" ca="1" si="96"/>
        <v>1</v>
      </c>
      <c r="W572" s="64"/>
      <c r="X572" s="65"/>
      <c r="Y572" s="65"/>
      <c r="Z572" s="65"/>
      <c r="AA572" s="64"/>
      <c r="AB572" s="65"/>
      <c r="AC572" s="64"/>
      <c r="AD572" s="65"/>
      <c r="AE572" s="64"/>
      <c r="AF572" s="65"/>
      <c r="AG572" s="65"/>
      <c r="AH572" s="66" t="str">
        <f t="shared" si="97"/>
        <v/>
      </c>
      <c r="AI572" s="64"/>
      <c r="AJ572" s="65"/>
      <c r="AK572" s="64"/>
      <c r="AL572" s="65"/>
      <c r="BB572" s="55" t="str">
        <f t="shared" si="98"/>
        <v/>
      </c>
      <c r="BC572" s="55" t="str">
        <f t="shared" si="99"/>
        <v/>
      </c>
      <c r="BD572" s="55" t="str">
        <f t="shared" si="100"/>
        <v/>
      </c>
      <c r="BE572" s="55" t="str">
        <f t="shared" si="101"/>
        <v/>
      </c>
      <c r="BF572" s="55" t="str">
        <f t="shared" si="102"/>
        <v/>
      </c>
      <c r="BG572" s="55" t="str">
        <f t="shared" si="103"/>
        <v/>
      </c>
      <c r="BH572" s="55" t="str">
        <f t="shared" si="104"/>
        <v/>
      </c>
      <c r="BI572" s="55" t="str">
        <f t="shared" si="105"/>
        <v/>
      </c>
      <c r="BJ572" s="55" t="str">
        <f t="shared" si="106"/>
        <v/>
      </c>
      <c r="BK572" s="55" t="str">
        <f t="shared" si="107"/>
        <v/>
      </c>
    </row>
    <row r="573" spans="22:63">
      <c r="V573" s="55">
        <f t="shared" ca="1" si="96"/>
        <v>1</v>
      </c>
      <c r="W573" s="64"/>
      <c r="X573" s="65"/>
      <c r="Y573" s="65"/>
      <c r="Z573" s="65"/>
      <c r="AA573" s="64"/>
      <c r="AB573" s="65"/>
      <c r="AC573" s="64"/>
      <c r="AD573" s="65"/>
      <c r="AE573" s="64"/>
      <c r="AF573" s="65"/>
      <c r="AG573" s="65"/>
      <c r="AH573" s="66" t="str">
        <f t="shared" si="97"/>
        <v/>
      </c>
      <c r="AI573" s="64"/>
      <c r="AJ573" s="65"/>
      <c r="AK573" s="64"/>
      <c r="AL573" s="65"/>
      <c r="BB573" s="55" t="str">
        <f t="shared" si="98"/>
        <v/>
      </c>
      <c r="BC573" s="55" t="str">
        <f t="shared" si="99"/>
        <v/>
      </c>
      <c r="BD573" s="55" t="str">
        <f t="shared" si="100"/>
        <v/>
      </c>
      <c r="BE573" s="55" t="str">
        <f t="shared" si="101"/>
        <v/>
      </c>
      <c r="BF573" s="55" t="str">
        <f t="shared" si="102"/>
        <v/>
      </c>
      <c r="BG573" s="55" t="str">
        <f t="shared" si="103"/>
        <v/>
      </c>
      <c r="BH573" s="55" t="str">
        <f t="shared" si="104"/>
        <v/>
      </c>
      <c r="BI573" s="55" t="str">
        <f t="shared" si="105"/>
        <v/>
      </c>
      <c r="BJ573" s="55" t="str">
        <f t="shared" si="106"/>
        <v/>
      </c>
      <c r="BK573" s="55" t="str">
        <f t="shared" si="107"/>
        <v/>
      </c>
    </row>
    <row r="574" spans="22:63">
      <c r="V574" s="55">
        <f t="shared" ca="1" si="96"/>
        <v>1</v>
      </c>
      <c r="W574" s="64"/>
      <c r="X574" s="65"/>
      <c r="Y574" s="65"/>
      <c r="Z574" s="65"/>
      <c r="AA574" s="64"/>
      <c r="AB574" s="65"/>
      <c r="AC574" s="64"/>
      <c r="AD574" s="65"/>
      <c r="AE574" s="64"/>
      <c r="AF574" s="65"/>
      <c r="AG574" s="65"/>
      <c r="AH574" s="66" t="str">
        <f t="shared" si="97"/>
        <v/>
      </c>
      <c r="AI574" s="64"/>
      <c r="AJ574" s="65"/>
      <c r="AK574" s="64"/>
      <c r="AL574" s="65"/>
      <c r="BB574" s="55" t="str">
        <f t="shared" si="98"/>
        <v/>
      </c>
      <c r="BC574" s="55" t="str">
        <f t="shared" si="99"/>
        <v/>
      </c>
      <c r="BD574" s="55" t="str">
        <f t="shared" si="100"/>
        <v/>
      </c>
      <c r="BE574" s="55" t="str">
        <f t="shared" si="101"/>
        <v/>
      </c>
      <c r="BF574" s="55" t="str">
        <f t="shared" si="102"/>
        <v/>
      </c>
      <c r="BG574" s="55" t="str">
        <f t="shared" si="103"/>
        <v/>
      </c>
      <c r="BH574" s="55" t="str">
        <f t="shared" si="104"/>
        <v/>
      </c>
      <c r="BI574" s="55" t="str">
        <f t="shared" si="105"/>
        <v/>
      </c>
      <c r="BJ574" s="55" t="str">
        <f t="shared" si="106"/>
        <v/>
      </c>
      <c r="BK574" s="55" t="str">
        <f t="shared" si="107"/>
        <v/>
      </c>
    </row>
    <row r="575" spans="22:63">
      <c r="V575" s="55">
        <f t="shared" ca="1" si="96"/>
        <v>1</v>
      </c>
      <c r="W575" s="64"/>
      <c r="X575" s="65"/>
      <c r="Y575" s="65"/>
      <c r="Z575" s="65"/>
      <c r="AA575" s="64"/>
      <c r="AB575" s="65"/>
      <c r="AC575" s="64"/>
      <c r="AD575" s="65"/>
      <c r="AE575" s="64"/>
      <c r="AF575" s="65"/>
      <c r="AG575" s="65"/>
      <c r="AH575" s="66" t="str">
        <f t="shared" si="97"/>
        <v/>
      </c>
      <c r="AI575" s="64"/>
      <c r="AJ575" s="65"/>
      <c r="AK575" s="64"/>
      <c r="AL575" s="65"/>
      <c r="BB575" s="55" t="str">
        <f t="shared" si="98"/>
        <v/>
      </c>
      <c r="BC575" s="55" t="str">
        <f t="shared" si="99"/>
        <v/>
      </c>
      <c r="BD575" s="55" t="str">
        <f t="shared" si="100"/>
        <v/>
      </c>
      <c r="BE575" s="55" t="str">
        <f t="shared" si="101"/>
        <v/>
      </c>
      <c r="BF575" s="55" t="str">
        <f t="shared" si="102"/>
        <v/>
      </c>
      <c r="BG575" s="55" t="str">
        <f t="shared" si="103"/>
        <v/>
      </c>
      <c r="BH575" s="55" t="str">
        <f t="shared" si="104"/>
        <v/>
      </c>
      <c r="BI575" s="55" t="str">
        <f t="shared" si="105"/>
        <v/>
      </c>
      <c r="BJ575" s="55" t="str">
        <f t="shared" si="106"/>
        <v/>
      </c>
      <c r="BK575" s="55" t="str">
        <f t="shared" si="107"/>
        <v/>
      </c>
    </row>
    <row r="576" spans="22:63">
      <c r="V576" s="55">
        <f t="shared" ca="1" si="96"/>
        <v>1</v>
      </c>
      <c r="W576" s="64"/>
      <c r="X576" s="65"/>
      <c r="Y576" s="65"/>
      <c r="Z576" s="65"/>
      <c r="AA576" s="64"/>
      <c r="AB576" s="65"/>
      <c r="AC576" s="64"/>
      <c r="AD576" s="65"/>
      <c r="AE576" s="64"/>
      <c r="AF576" s="65"/>
      <c r="AG576" s="65"/>
      <c r="AH576" s="66" t="str">
        <f t="shared" si="97"/>
        <v/>
      </c>
      <c r="AI576" s="64"/>
      <c r="AJ576" s="65"/>
      <c r="AK576" s="64"/>
      <c r="AL576" s="65"/>
      <c r="BB576" s="55" t="str">
        <f t="shared" si="98"/>
        <v/>
      </c>
      <c r="BC576" s="55" t="str">
        <f t="shared" si="99"/>
        <v/>
      </c>
      <c r="BD576" s="55" t="str">
        <f t="shared" si="100"/>
        <v/>
      </c>
      <c r="BE576" s="55" t="str">
        <f t="shared" si="101"/>
        <v/>
      </c>
      <c r="BF576" s="55" t="str">
        <f t="shared" si="102"/>
        <v/>
      </c>
      <c r="BG576" s="55" t="str">
        <f t="shared" si="103"/>
        <v/>
      </c>
      <c r="BH576" s="55" t="str">
        <f t="shared" si="104"/>
        <v/>
      </c>
      <c r="BI576" s="55" t="str">
        <f t="shared" si="105"/>
        <v/>
      </c>
      <c r="BJ576" s="55" t="str">
        <f t="shared" si="106"/>
        <v/>
      </c>
      <c r="BK576" s="55" t="str">
        <f t="shared" si="107"/>
        <v/>
      </c>
    </row>
    <row r="577" spans="22:63">
      <c r="V577" s="55">
        <f t="shared" ca="1" si="96"/>
        <v>1</v>
      </c>
      <c r="W577" s="64"/>
      <c r="X577" s="65"/>
      <c r="Y577" s="65"/>
      <c r="Z577" s="65"/>
      <c r="AA577" s="64"/>
      <c r="AB577" s="65"/>
      <c r="AC577" s="64"/>
      <c r="AD577" s="65"/>
      <c r="AE577" s="64"/>
      <c r="AF577" s="65"/>
      <c r="AG577" s="65"/>
      <c r="AH577" s="66" t="str">
        <f t="shared" si="97"/>
        <v/>
      </c>
      <c r="AI577" s="64"/>
      <c r="AJ577" s="65"/>
      <c r="AK577" s="64"/>
      <c r="AL577" s="65"/>
      <c r="BB577" s="55" t="str">
        <f t="shared" si="98"/>
        <v/>
      </c>
      <c r="BC577" s="55" t="str">
        <f t="shared" si="99"/>
        <v/>
      </c>
      <c r="BD577" s="55" t="str">
        <f t="shared" si="100"/>
        <v/>
      </c>
      <c r="BE577" s="55" t="str">
        <f t="shared" si="101"/>
        <v/>
      </c>
      <c r="BF577" s="55" t="str">
        <f t="shared" si="102"/>
        <v/>
      </c>
      <c r="BG577" s="55" t="str">
        <f t="shared" si="103"/>
        <v/>
      </c>
      <c r="BH577" s="55" t="str">
        <f t="shared" si="104"/>
        <v/>
      </c>
      <c r="BI577" s="55" t="str">
        <f t="shared" si="105"/>
        <v/>
      </c>
      <c r="BJ577" s="55" t="str">
        <f t="shared" si="106"/>
        <v/>
      </c>
      <c r="BK577" s="55" t="str">
        <f t="shared" si="107"/>
        <v/>
      </c>
    </row>
    <row r="578" spans="22:63">
      <c r="V578" s="55">
        <f t="shared" ca="1" si="96"/>
        <v>1</v>
      </c>
      <c r="W578" s="64"/>
      <c r="X578" s="65"/>
      <c r="Y578" s="65"/>
      <c r="Z578" s="65"/>
      <c r="AA578" s="64"/>
      <c r="AB578" s="65"/>
      <c r="AC578" s="64"/>
      <c r="AD578" s="65"/>
      <c r="AE578" s="64"/>
      <c r="AF578" s="65"/>
      <c r="AG578" s="65"/>
      <c r="AH578" s="66" t="str">
        <f t="shared" si="97"/>
        <v/>
      </c>
      <c r="AI578" s="64"/>
      <c r="AJ578" s="65"/>
      <c r="AK578" s="64"/>
      <c r="AL578" s="65"/>
      <c r="BB578" s="55" t="str">
        <f t="shared" si="98"/>
        <v/>
      </c>
      <c r="BC578" s="55" t="str">
        <f t="shared" si="99"/>
        <v/>
      </c>
      <c r="BD578" s="55" t="str">
        <f t="shared" si="100"/>
        <v/>
      </c>
      <c r="BE578" s="55" t="str">
        <f t="shared" si="101"/>
        <v/>
      </c>
      <c r="BF578" s="55" t="str">
        <f t="shared" si="102"/>
        <v/>
      </c>
      <c r="BG578" s="55" t="str">
        <f t="shared" si="103"/>
        <v/>
      </c>
      <c r="BH578" s="55" t="str">
        <f t="shared" si="104"/>
        <v/>
      </c>
      <c r="BI578" s="55" t="str">
        <f t="shared" si="105"/>
        <v/>
      </c>
      <c r="BJ578" s="55" t="str">
        <f t="shared" si="106"/>
        <v/>
      </c>
      <c r="BK578" s="55" t="str">
        <f t="shared" si="107"/>
        <v/>
      </c>
    </row>
    <row r="579" spans="22:63">
      <c r="V579" s="55">
        <f t="shared" ca="1" si="96"/>
        <v>1</v>
      </c>
      <c r="W579" s="64"/>
      <c r="X579" s="65"/>
      <c r="Y579" s="65"/>
      <c r="Z579" s="65"/>
      <c r="AA579" s="64"/>
      <c r="AB579" s="65"/>
      <c r="AC579" s="64"/>
      <c r="AD579" s="65"/>
      <c r="AE579" s="64"/>
      <c r="AF579" s="65"/>
      <c r="AG579" s="65"/>
      <c r="AH579" s="66" t="str">
        <f t="shared" si="97"/>
        <v/>
      </c>
      <c r="AI579" s="64"/>
      <c r="AJ579" s="65"/>
      <c r="AK579" s="64"/>
      <c r="AL579" s="65"/>
      <c r="BB579" s="55" t="str">
        <f t="shared" si="98"/>
        <v/>
      </c>
      <c r="BC579" s="55" t="str">
        <f t="shared" si="99"/>
        <v/>
      </c>
      <c r="BD579" s="55" t="str">
        <f t="shared" si="100"/>
        <v/>
      </c>
      <c r="BE579" s="55" t="str">
        <f t="shared" si="101"/>
        <v/>
      </c>
      <c r="BF579" s="55" t="str">
        <f t="shared" si="102"/>
        <v/>
      </c>
      <c r="BG579" s="55" t="str">
        <f t="shared" si="103"/>
        <v/>
      </c>
      <c r="BH579" s="55" t="str">
        <f t="shared" si="104"/>
        <v/>
      </c>
      <c r="BI579" s="55" t="str">
        <f t="shared" si="105"/>
        <v/>
      </c>
      <c r="BJ579" s="55" t="str">
        <f t="shared" si="106"/>
        <v/>
      </c>
      <c r="BK579" s="55" t="str">
        <f t="shared" si="107"/>
        <v/>
      </c>
    </row>
    <row r="580" spans="22:63">
      <c r="V580" s="55">
        <f t="shared" ca="1" si="96"/>
        <v>1</v>
      </c>
      <c r="W580" s="64"/>
      <c r="X580" s="65"/>
      <c r="Y580" s="65"/>
      <c r="Z580" s="65"/>
      <c r="AA580" s="64"/>
      <c r="AB580" s="65"/>
      <c r="AC580" s="64"/>
      <c r="AD580" s="65"/>
      <c r="AE580" s="64"/>
      <c r="AF580" s="65"/>
      <c r="AG580" s="65"/>
      <c r="AH580" s="66" t="str">
        <f t="shared" si="97"/>
        <v/>
      </c>
      <c r="AI580" s="64"/>
      <c r="AJ580" s="65"/>
      <c r="AK580" s="64"/>
      <c r="AL580" s="65"/>
      <c r="BB580" s="55" t="str">
        <f t="shared" si="98"/>
        <v/>
      </c>
      <c r="BC580" s="55" t="str">
        <f t="shared" si="99"/>
        <v/>
      </c>
      <c r="BD580" s="55" t="str">
        <f t="shared" si="100"/>
        <v/>
      </c>
      <c r="BE580" s="55" t="str">
        <f t="shared" si="101"/>
        <v/>
      </c>
      <c r="BF580" s="55" t="str">
        <f t="shared" si="102"/>
        <v/>
      </c>
      <c r="BG580" s="55" t="str">
        <f t="shared" si="103"/>
        <v/>
      </c>
      <c r="BH580" s="55" t="str">
        <f t="shared" si="104"/>
        <v/>
      </c>
      <c r="BI580" s="55" t="str">
        <f t="shared" si="105"/>
        <v/>
      </c>
      <c r="BJ580" s="55" t="str">
        <f t="shared" si="106"/>
        <v/>
      </c>
      <c r="BK580" s="55" t="str">
        <f t="shared" si="107"/>
        <v/>
      </c>
    </row>
    <row r="581" spans="22:63">
      <c r="V581" s="55">
        <f t="shared" ca="1" si="96"/>
        <v>1</v>
      </c>
      <c r="W581" s="64"/>
      <c r="X581" s="65"/>
      <c r="Y581" s="65"/>
      <c r="Z581" s="65"/>
      <c r="AA581" s="64"/>
      <c r="AB581" s="65"/>
      <c r="AC581" s="64"/>
      <c r="AD581" s="65"/>
      <c r="AE581" s="64"/>
      <c r="AF581" s="65"/>
      <c r="AG581" s="65"/>
      <c r="AH581" s="66" t="str">
        <f t="shared" si="97"/>
        <v/>
      </c>
      <c r="AI581" s="64"/>
      <c r="AJ581" s="65"/>
      <c r="AK581" s="64"/>
      <c r="AL581" s="65"/>
      <c r="BB581" s="55" t="str">
        <f t="shared" si="98"/>
        <v/>
      </c>
      <c r="BC581" s="55" t="str">
        <f t="shared" si="99"/>
        <v/>
      </c>
      <c r="BD581" s="55" t="str">
        <f t="shared" si="100"/>
        <v/>
      </c>
      <c r="BE581" s="55" t="str">
        <f t="shared" si="101"/>
        <v/>
      </c>
      <c r="BF581" s="55" t="str">
        <f t="shared" si="102"/>
        <v/>
      </c>
      <c r="BG581" s="55" t="str">
        <f t="shared" si="103"/>
        <v/>
      </c>
      <c r="BH581" s="55" t="str">
        <f t="shared" si="104"/>
        <v/>
      </c>
      <c r="BI581" s="55" t="str">
        <f t="shared" si="105"/>
        <v/>
      </c>
      <c r="BJ581" s="55" t="str">
        <f t="shared" si="106"/>
        <v/>
      </c>
      <c r="BK581" s="55" t="str">
        <f t="shared" si="107"/>
        <v/>
      </c>
    </row>
    <row r="582" spans="22:63">
      <c r="V582" s="55">
        <f t="shared" ca="1" si="96"/>
        <v>1</v>
      </c>
      <c r="W582" s="64"/>
      <c r="X582" s="65"/>
      <c r="Y582" s="65"/>
      <c r="Z582" s="65"/>
      <c r="AA582" s="64"/>
      <c r="AB582" s="65"/>
      <c r="AC582" s="64"/>
      <c r="AD582" s="65"/>
      <c r="AE582" s="64"/>
      <c r="AF582" s="65"/>
      <c r="AG582" s="65"/>
      <c r="AH582" s="66" t="str">
        <f t="shared" si="97"/>
        <v/>
      </c>
      <c r="AI582" s="64"/>
      <c r="AJ582" s="65"/>
      <c r="AK582" s="64"/>
      <c r="AL582" s="65"/>
      <c r="BB582" s="55" t="str">
        <f t="shared" si="98"/>
        <v/>
      </c>
      <c r="BC582" s="55" t="str">
        <f t="shared" si="99"/>
        <v/>
      </c>
      <c r="BD582" s="55" t="str">
        <f t="shared" si="100"/>
        <v/>
      </c>
      <c r="BE582" s="55" t="str">
        <f t="shared" si="101"/>
        <v/>
      </c>
      <c r="BF582" s="55" t="str">
        <f t="shared" si="102"/>
        <v/>
      </c>
      <c r="BG582" s="55" t="str">
        <f t="shared" si="103"/>
        <v/>
      </c>
      <c r="BH582" s="55" t="str">
        <f t="shared" si="104"/>
        <v/>
      </c>
      <c r="BI582" s="55" t="str">
        <f t="shared" si="105"/>
        <v/>
      </c>
      <c r="BJ582" s="55" t="str">
        <f t="shared" si="106"/>
        <v/>
      </c>
      <c r="BK582" s="55" t="str">
        <f t="shared" si="107"/>
        <v/>
      </c>
    </row>
    <row r="583" spans="22:63">
      <c r="V583" s="55">
        <f t="shared" ca="1" si="96"/>
        <v>1</v>
      </c>
      <c r="W583" s="64"/>
      <c r="X583" s="65"/>
      <c r="Y583" s="65"/>
      <c r="Z583" s="65"/>
      <c r="AA583" s="64"/>
      <c r="AB583" s="65"/>
      <c r="AC583" s="64"/>
      <c r="AD583" s="65"/>
      <c r="AE583" s="64"/>
      <c r="AF583" s="65"/>
      <c r="AG583" s="65"/>
      <c r="AH583" s="66" t="str">
        <f t="shared" si="97"/>
        <v/>
      </c>
      <c r="AI583" s="64"/>
      <c r="AJ583" s="65"/>
      <c r="AK583" s="64"/>
      <c r="AL583" s="65"/>
      <c r="BB583" s="55" t="str">
        <f t="shared" si="98"/>
        <v/>
      </c>
      <c r="BC583" s="55" t="str">
        <f t="shared" si="99"/>
        <v/>
      </c>
      <c r="BD583" s="55" t="str">
        <f t="shared" si="100"/>
        <v/>
      </c>
      <c r="BE583" s="55" t="str">
        <f t="shared" si="101"/>
        <v/>
      </c>
      <c r="BF583" s="55" t="str">
        <f t="shared" si="102"/>
        <v/>
      </c>
      <c r="BG583" s="55" t="str">
        <f t="shared" si="103"/>
        <v/>
      </c>
      <c r="BH583" s="55" t="str">
        <f t="shared" si="104"/>
        <v/>
      </c>
      <c r="BI583" s="55" t="str">
        <f t="shared" si="105"/>
        <v/>
      </c>
      <c r="BJ583" s="55" t="str">
        <f t="shared" si="106"/>
        <v/>
      </c>
      <c r="BK583" s="55" t="str">
        <f t="shared" si="107"/>
        <v/>
      </c>
    </row>
    <row r="584" spans="22:63">
      <c r="V584" s="55">
        <f t="shared" ca="1" si="96"/>
        <v>1</v>
      </c>
      <c r="W584" s="64"/>
      <c r="X584" s="65"/>
      <c r="Y584" s="65"/>
      <c r="Z584" s="65"/>
      <c r="AA584" s="64"/>
      <c r="AB584" s="65"/>
      <c r="AC584" s="64"/>
      <c r="AD584" s="65"/>
      <c r="AE584" s="64"/>
      <c r="AF584" s="65"/>
      <c r="AG584" s="65"/>
      <c r="AH584" s="66" t="str">
        <f t="shared" si="97"/>
        <v/>
      </c>
      <c r="AI584" s="64"/>
      <c r="AJ584" s="65"/>
      <c r="AK584" s="64"/>
      <c r="AL584" s="65"/>
      <c r="BB584" s="55" t="str">
        <f t="shared" si="98"/>
        <v/>
      </c>
      <c r="BC584" s="55" t="str">
        <f t="shared" si="99"/>
        <v/>
      </c>
      <c r="BD584" s="55" t="str">
        <f t="shared" si="100"/>
        <v/>
      </c>
      <c r="BE584" s="55" t="str">
        <f t="shared" si="101"/>
        <v/>
      </c>
      <c r="BF584" s="55" t="str">
        <f t="shared" si="102"/>
        <v/>
      </c>
      <c r="BG584" s="55" t="str">
        <f t="shared" si="103"/>
        <v/>
      </c>
      <c r="BH584" s="55" t="str">
        <f t="shared" si="104"/>
        <v/>
      </c>
      <c r="BI584" s="55" t="str">
        <f t="shared" si="105"/>
        <v/>
      </c>
      <c r="BJ584" s="55" t="str">
        <f t="shared" si="106"/>
        <v/>
      </c>
      <c r="BK584" s="55" t="str">
        <f t="shared" si="107"/>
        <v/>
      </c>
    </row>
    <row r="585" spans="22:63">
      <c r="V585" s="55">
        <f t="shared" ca="1" si="96"/>
        <v>1</v>
      </c>
      <c r="W585" s="64"/>
      <c r="X585" s="65"/>
      <c r="Y585" s="65"/>
      <c r="Z585" s="65"/>
      <c r="AA585" s="64"/>
      <c r="AB585" s="65"/>
      <c r="AC585" s="64"/>
      <c r="AD585" s="65"/>
      <c r="AE585" s="64"/>
      <c r="AF585" s="65"/>
      <c r="AG585" s="65"/>
      <c r="AH585" s="66" t="str">
        <f t="shared" si="97"/>
        <v/>
      </c>
      <c r="AI585" s="64"/>
      <c r="AJ585" s="65"/>
      <c r="AK585" s="64"/>
      <c r="AL585" s="65"/>
      <c r="BB585" s="55" t="str">
        <f t="shared" si="98"/>
        <v/>
      </c>
      <c r="BC585" s="55" t="str">
        <f t="shared" si="99"/>
        <v/>
      </c>
      <c r="BD585" s="55" t="str">
        <f t="shared" si="100"/>
        <v/>
      </c>
      <c r="BE585" s="55" t="str">
        <f t="shared" si="101"/>
        <v/>
      </c>
      <c r="BF585" s="55" t="str">
        <f t="shared" si="102"/>
        <v/>
      </c>
      <c r="BG585" s="55" t="str">
        <f t="shared" si="103"/>
        <v/>
      </c>
      <c r="BH585" s="55" t="str">
        <f t="shared" si="104"/>
        <v/>
      </c>
      <c r="BI585" s="55" t="str">
        <f t="shared" si="105"/>
        <v/>
      </c>
      <c r="BJ585" s="55" t="str">
        <f t="shared" si="106"/>
        <v/>
      </c>
      <c r="BK585" s="55" t="str">
        <f t="shared" si="107"/>
        <v/>
      </c>
    </row>
    <row r="586" spans="22:63">
      <c r="V586" s="55">
        <f t="shared" ca="1" si="96"/>
        <v>1</v>
      </c>
      <c r="W586" s="64"/>
      <c r="X586" s="65"/>
      <c r="Y586" s="65"/>
      <c r="Z586" s="65"/>
      <c r="AA586" s="64"/>
      <c r="AB586" s="65"/>
      <c r="AC586" s="64"/>
      <c r="AD586" s="65"/>
      <c r="AE586" s="64"/>
      <c r="AF586" s="65"/>
      <c r="AG586" s="65"/>
      <c r="AH586" s="66" t="str">
        <f t="shared" si="97"/>
        <v/>
      </c>
      <c r="AI586" s="64"/>
      <c r="AJ586" s="65"/>
      <c r="AK586" s="64"/>
      <c r="AL586" s="65"/>
      <c r="BB586" s="55" t="str">
        <f t="shared" si="98"/>
        <v/>
      </c>
      <c r="BC586" s="55" t="str">
        <f t="shared" si="99"/>
        <v/>
      </c>
      <c r="BD586" s="55" t="str">
        <f t="shared" si="100"/>
        <v/>
      </c>
      <c r="BE586" s="55" t="str">
        <f t="shared" si="101"/>
        <v/>
      </c>
      <c r="BF586" s="55" t="str">
        <f t="shared" si="102"/>
        <v/>
      </c>
      <c r="BG586" s="55" t="str">
        <f t="shared" si="103"/>
        <v/>
      </c>
      <c r="BH586" s="55" t="str">
        <f t="shared" si="104"/>
        <v/>
      </c>
      <c r="BI586" s="55" t="str">
        <f t="shared" si="105"/>
        <v/>
      </c>
      <c r="BJ586" s="55" t="str">
        <f t="shared" si="106"/>
        <v/>
      </c>
      <c r="BK586" s="55" t="str">
        <f t="shared" si="107"/>
        <v/>
      </c>
    </row>
    <row r="587" spans="22:63">
      <c r="V587" s="55">
        <f t="shared" ref="V587:V650" ca="1" si="108">IF(ISBLANK($W587),IF(ISNUMBER(INDIRECT("S"&amp;ROW($V587)-1)),INDIRECT("S"&amp;ROW($V587)-1),1),$W587)</f>
        <v>1</v>
      </c>
      <c r="W587" s="64"/>
      <c r="X587" s="65"/>
      <c r="Y587" s="65"/>
      <c r="Z587" s="65"/>
      <c r="AA587" s="64"/>
      <c r="AB587" s="65"/>
      <c r="AC587" s="64"/>
      <c r="AD587" s="65"/>
      <c r="AE587" s="64"/>
      <c r="AF587" s="65"/>
      <c r="AG587" s="65"/>
      <c r="AH587" s="66" t="str">
        <f t="shared" ref="AH587:AH650" si="109">IF(ISNUMBER($BI587), $BH587&amp;" - "&amp;$BJ587,"")</f>
        <v/>
      </c>
      <c r="AI587" s="64"/>
      <c r="AJ587" s="65"/>
      <c r="AK587" s="64"/>
      <c r="AL587" s="65"/>
      <c r="BB587" s="55" t="str">
        <f t="shared" ref="BB587:BB650" si="110">IF(ISBLANK($Z587),"",VLOOKUP($Z587,$A$11:$B$1010,2,FALSE))</f>
        <v/>
      </c>
      <c r="BC587" s="55" t="str">
        <f t="shared" ref="BC587:BC650" si="111">IF(ISBLANK($AA587),"",VLOOKUP($AA587,$D$11:$E$1010,2,FALSE))</f>
        <v/>
      </c>
      <c r="BD587" s="55" t="str">
        <f t="shared" ref="BD587:BD650" si="112">IF(ISBLANK($AC587),"",VLOOKUP($AC587,$H$11:$I$1010,2,FALSE))</f>
        <v/>
      </c>
      <c r="BE587" s="55" t="str">
        <f t="shared" ref="BE587:BE650" si="113">IF(ISBLANK($AF587),"",VLOOKUP($AF587,$L$11:$M$1010,2,FALSE))</f>
        <v/>
      </c>
      <c r="BF587" s="55" t="str">
        <f t="shared" ref="BF587:BF650" si="114">IF(ISNUMBER($BC587),VLOOKUP($BC587,$E$11:$F$1010,2,FALSE),"")</f>
        <v/>
      </c>
      <c r="BG587" s="55" t="str">
        <f t="shared" ref="BG587:BG650" si="115">IF(ISNUMBER($BD587),VLOOKUP($BD587,$I$11:$J$1010,2,FALSE),"")</f>
        <v/>
      </c>
      <c r="BH587" s="55" t="str">
        <f t="shared" ref="BH587:BH650" si="116">IF(AND(ISNUMBER($BF587),ISNUMBER($BG587)),$BF587*$BG587,"")</f>
        <v/>
      </c>
      <c r="BI587" s="55" t="str">
        <f t="shared" ref="BI587:BI650" si="117">IF(ISNUMBER($BH587),LOOKUP($BH587,lower_limit_level_risiko,id_level_risiko),"")</f>
        <v/>
      </c>
      <c r="BJ587" s="55" t="str">
        <f t="shared" ref="BJ587:BJ650" si="118">IF(ISNUMBER($BH587),LOOKUP($BH587,lower_limit_level_risiko,description_level_risiko),"")</f>
        <v/>
      </c>
      <c r="BK587" s="55" t="str">
        <f t="shared" ref="BK587:BK650" si="119">IF(ISBLANK($X587),"",VLOOKUP($X587,$T$11:$U$1010,2,FALSE))</f>
        <v/>
      </c>
    </row>
    <row r="588" spans="22:63">
      <c r="V588" s="55">
        <f t="shared" ca="1" si="108"/>
        <v>1</v>
      </c>
      <c r="W588" s="64"/>
      <c r="X588" s="65"/>
      <c r="Y588" s="65"/>
      <c r="Z588" s="65"/>
      <c r="AA588" s="64"/>
      <c r="AB588" s="65"/>
      <c r="AC588" s="64"/>
      <c r="AD588" s="65"/>
      <c r="AE588" s="64"/>
      <c r="AF588" s="65"/>
      <c r="AG588" s="65"/>
      <c r="AH588" s="66" t="str">
        <f t="shared" si="109"/>
        <v/>
      </c>
      <c r="AI588" s="64"/>
      <c r="AJ588" s="65"/>
      <c r="AK588" s="64"/>
      <c r="AL588" s="65"/>
      <c r="BB588" s="55" t="str">
        <f t="shared" si="110"/>
        <v/>
      </c>
      <c r="BC588" s="55" t="str">
        <f t="shared" si="111"/>
        <v/>
      </c>
      <c r="BD588" s="55" t="str">
        <f t="shared" si="112"/>
        <v/>
      </c>
      <c r="BE588" s="55" t="str">
        <f t="shared" si="113"/>
        <v/>
      </c>
      <c r="BF588" s="55" t="str">
        <f t="shared" si="114"/>
        <v/>
      </c>
      <c r="BG588" s="55" t="str">
        <f t="shared" si="115"/>
        <v/>
      </c>
      <c r="BH588" s="55" t="str">
        <f t="shared" si="116"/>
        <v/>
      </c>
      <c r="BI588" s="55" t="str">
        <f t="shared" si="117"/>
        <v/>
      </c>
      <c r="BJ588" s="55" t="str">
        <f t="shared" si="118"/>
        <v/>
      </c>
      <c r="BK588" s="55" t="str">
        <f t="shared" si="119"/>
        <v/>
      </c>
    </row>
    <row r="589" spans="22:63">
      <c r="V589" s="55">
        <f t="shared" ca="1" si="108"/>
        <v>1</v>
      </c>
      <c r="W589" s="64"/>
      <c r="X589" s="65"/>
      <c r="Y589" s="65"/>
      <c r="Z589" s="65"/>
      <c r="AA589" s="64"/>
      <c r="AB589" s="65"/>
      <c r="AC589" s="64"/>
      <c r="AD589" s="65"/>
      <c r="AE589" s="64"/>
      <c r="AF589" s="65"/>
      <c r="AG589" s="65"/>
      <c r="AH589" s="66" t="str">
        <f t="shared" si="109"/>
        <v/>
      </c>
      <c r="AI589" s="64"/>
      <c r="AJ589" s="65"/>
      <c r="AK589" s="64"/>
      <c r="AL589" s="65"/>
      <c r="BB589" s="55" t="str">
        <f t="shared" si="110"/>
        <v/>
      </c>
      <c r="BC589" s="55" t="str">
        <f t="shared" si="111"/>
        <v/>
      </c>
      <c r="BD589" s="55" t="str">
        <f t="shared" si="112"/>
        <v/>
      </c>
      <c r="BE589" s="55" t="str">
        <f t="shared" si="113"/>
        <v/>
      </c>
      <c r="BF589" s="55" t="str">
        <f t="shared" si="114"/>
        <v/>
      </c>
      <c r="BG589" s="55" t="str">
        <f t="shared" si="115"/>
        <v/>
      </c>
      <c r="BH589" s="55" t="str">
        <f t="shared" si="116"/>
        <v/>
      </c>
      <c r="BI589" s="55" t="str">
        <f t="shared" si="117"/>
        <v/>
      </c>
      <c r="BJ589" s="55" t="str">
        <f t="shared" si="118"/>
        <v/>
      </c>
      <c r="BK589" s="55" t="str">
        <f t="shared" si="119"/>
        <v/>
      </c>
    </row>
    <row r="590" spans="22:63">
      <c r="V590" s="55">
        <f t="shared" ca="1" si="108"/>
        <v>1</v>
      </c>
      <c r="W590" s="64"/>
      <c r="X590" s="65"/>
      <c r="Y590" s="65"/>
      <c r="Z590" s="65"/>
      <c r="AA590" s="64"/>
      <c r="AB590" s="65"/>
      <c r="AC590" s="64"/>
      <c r="AD590" s="65"/>
      <c r="AE590" s="64"/>
      <c r="AF590" s="65"/>
      <c r="AG590" s="65"/>
      <c r="AH590" s="66" t="str">
        <f t="shared" si="109"/>
        <v/>
      </c>
      <c r="AI590" s="64"/>
      <c r="AJ590" s="65"/>
      <c r="AK590" s="64"/>
      <c r="AL590" s="65"/>
      <c r="BB590" s="55" t="str">
        <f t="shared" si="110"/>
        <v/>
      </c>
      <c r="BC590" s="55" t="str">
        <f t="shared" si="111"/>
        <v/>
      </c>
      <c r="BD590" s="55" t="str">
        <f t="shared" si="112"/>
        <v/>
      </c>
      <c r="BE590" s="55" t="str">
        <f t="shared" si="113"/>
        <v/>
      </c>
      <c r="BF590" s="55" t="str">
        <f t="shared" si="114"/>
        <v/>
      </c>
      <c r="BG590" s="55" t="str">
        <f t="shared" si="115"/>
        <v/>
      </c>
      <c r="BH590" s="55" t="str">
        <f t="shared" si="116"/>
        <v/>
      </c>
      <c r="BI590" s="55" t="str">
        <f t="shared" si="117"/>
        <v/>
      </c>
      <c r="BJ590" s="55" t="str">
        <f t="shared" si="118"/>
        <v/>
      </c>
      <c r="BK590" s="55" t="str">
        <f t="shared" si="119"/>
        <v/>
      </c>
    </row>
    <row r="591" spans="22:63">
      <c r="V591" s="55">
        <f t="shared" ca="1" si="108"/>
        <v>1</v>
      </c>
      <c r="W591" s="64"/>
      <c r="X591" s="65"/>
      <c r="Y591" s="65"/>
      <c r="Z591" s="65"/>
      <c r="AA591" s="64"/>
      <c r="AB591" s="65"/>
      <c r="AC591" s="64"/>
      <c r="AD591" s="65"/>
      <c r="AE591" s="64"/>
      <c r="AF591" s="65"/>
      <c r="AG591" s="65"/>
      <c r="AH591" s="66" t="str">
        <f t="shared" si="109"/>
        <v/>
      </c>
      <c r="AI591" s="64"/>
      <c r="AJ591" s="65"/>
      <c r="AK591" s="64"/>
      <c r="AL591" s="65"/>
      <c r="BB591" s="55" t="str">
        <f t="shared" si="110"/>
        <v/>
      </c>
      <c r="BC591" s="55" t="str">
        <f t="shared" si="111"/>
        <v/>
      </c>
      <c r="BD591" s="55" t="str">
        <f t="shared" si="112"/>
        <v/>
      </c>
      <c r="BE591" s="55" t="str">
        <f t="shared" si="113"/>
        <v/>
      </c>
      <c r="BF591" s="55" t="str">
        <f t="shared" si="114"/>
        <v/>
      </c>
      <c r="BG591" s="55" t="str">
        <f t="shared" si="115"/>
        <v/>
      </c>
      <c r="BH591" s="55" t="str">
        <f t="shared" si="116"/>
        <v/>
      </c>
      <c r="BI591" s="55" t="str">
        <f t="shared" si="117"/>
        <v/>
      </c>
      <c r="BJ591" s="55" t="str">
        <f t="shared" si="118"/>
        <v/>
      </c>
      <c r="BK591" s="55" t="str">
        <f t="shared" si="119"/>
        <v/>
      </c>
    </row>
    <row r="592" spans="22:63">
      <c r="V592" s="55">
        <f t="shared" ca="1" si="108"/>
        <v>1</v>
      </c>
      <c r="W592" s="64"/>
      <c r="X592" s="65"/>
      <c r="Y592" s="65"/>
      <c r="Z592" s="65"/>
      <c r="AA592" s="64"/>
      <c r="AB592" s="65"/>
      <c r="AC592" s="64"/>
      <c r="AD592" s="65"/>
      <c r="AE592" s="64"/>
      <c r="AF592" s="65"/>
      <c r="AG592" s="65"/>
      <c r="AH592" s="66" t="str">
        <f t="shared" si="109"/>
        <v/>
      </c>
      <c r="AI592" s="64"/>
      <c r="AJ592" s="65"/>
      <c r="AK592" s="64"/>
      <c r="AL592" s="65"/>
      <c r="BB592" s="55" t="str">
        <f t="shared" si="110"/>
        <v/>
      </c>
      <c r="BC592" s="55" t="str">
        <f t="shared" si="111"/>
        <v/>
      </c>
      <c r="BD592" s="55" t="str">
        <f t="shared" si="112"/>
        <v/>
      </c>
      <c r="BE592" s="55" t="str">
        <f t="shared" si="113"/>
        <v/>
      </c>
      <c r="BF592" s="55" t="str">
        <f t="shared" si="114"/>
        <v/>
      </c>
      <c r="BG592" s="55" t="str">
        <f t="shared" si="115"/>
        <v/>
      </c>
      <c r="BH592" s="55" t="str">
        <f t="shared" si="116"/>
        <v/>
      </c>
      <c r="BI592" s="55" t="str">
        <f t="shared" si="117"/>
        <v/>
      </c>
      <c r="BJ592" s="55" t="str">
        <f t="shared" si="118"/>
        <v/>
      </c>
      <c r="BK592" s="55" t="str">
        <f t="shared" si="119"/>
        <v/>
      </c>
    </row>
    <row r="593" spans="22:63">
      <c r="V593" s="55">
        <f t="shared" ca="1" si="108"/>
        <v>1</v>
      </c>
      <c r="W593" s="64"/>
      <c r="X593" s="65"/>
      <c r="Y593" s="65"/>
      <c r="Z593" s="65"/>
      <c r="AA593" s="64"/>
      <c r="AB593" s="65"/>
      <c r="AC593" s="64"/>
      <c r="AD593" s="65"/>
      <c r="AE593" s="64"/>
      <c r="AF593" s="65"/>
      <c r="AG593" s="65"/>
      <c r="AH593" s="66" t="str">
        <f t="shared" si="109"/>
        <v/>
      </c>
      <c r="AI593" s="64"/>
      <c r="AJ593" s="65"/>
      <c r="AK593" s="64"/>
      <c r="AL593" s="65"/>
      <c r="BB593" s="55" t="str">
        <f t="shared" si="110"/>
        <v/>
      </c>
      <c r="BC593" s="55" t="str">
        <f t="shared" si="111"/>
        <v/>
      </c>
      <c r="BD593" s="55" t="str">
        <f t="shared" si="112"/>
        <v/>
      </c>
      <c r="BE593" s="55" t="str">
        <f t="shared" si="113"/>
        <v/>
      </c>
      <c r="BF593" s="55" t="str">
        <f t="shared" si="114"/>
        <v/>
      </c>
      <c r="BG593" s="55" t="str">
        <f t="shared" si="115"/>
        <v/>
      </c>
      <c r="BH593" s="55" t="str">
        <f t="shared" si="116"/>
        <v/>
      </c>
      <c r="BI593" s="55" t="str">
        <f t="shared" si="117"/>
        <v/>
      </c>
      <c r="BJ593" s="55" t="str">
        <f t="shared" si="118"/>
        <v/>
      </c>
      <c r="BK593" s="55" t="str">
        <f t="shared" si="119"/>
        <v/>
      </c>
    </row>
    <row r="594" spans="22:63">
      <c r="V594" s="55">
        <f t="shared" ca="1" si="108"/>
        <v>1</v>
      </c>
      <c r="W594" s="64"/>
      <c r="X594" s="65"/>
      <c r="Y594" s="65"/>
      <c r="Z594" s="65"/>
      <c r="AA594" s="64"/>
      <c r="AB594" s="65"/>
      <c r="AC594" s="64"/>
      <c r="AD594" s="65"/>
      <c r="AE594" s="64"/>
      <c r="AF594" s="65"/>
      <c r="AG594" s="65"/>
      <c r="AH594" s="66" t="str">
        <f t="shared" si="109"/>
        <v/>
      </c>
      <c r="AI594" s="64"/>
      <c r="AJ594" s="65"/>
      <c r="AK594" s="64"/>
      <c r="AL594" s="65"/>
      <c r="BB594" s="55" t="str">
        <f t="shared" si="110"/>
        <v/>
      </c>
      <c r="BC594" s="55" t="str">
        <f t="shared" si="111"/>
        <v/>
      </c>
      <c r="BD594" s="55" t="str">
        <f t="shared" si="112"/>
        <v/>
      </c>
      <c r="BE594" s="55" t="str">
        <f t="shared" si="113"/>
        <v/>
      </c>
      <c r="BF594" s="55" t="str">
        <f t="shared" si="114"/>
        <v/>
      </c>
      <c r="BG594" s="55" t="str">
        <f t="shared" si="115"/>
        <v/>
      </c>
      <c r="BH594" s="55" t="str">
        <f t="shared" si="116"/>
        <v/>
      </c>
      <c r="BI594" s="55" t="str">
        <f t="shared" si="117"/>
        <v/>
      </c>
      <c r="BJ594" s="55" t="str">
        <f t="shared" si="118"/>
        <v/>
      </c>
      <c r="BK594" s="55" t="str">
        <f t="shared" si="119"/>
        <v/>
      </c>
    </row>
    <row r="595" spans="22:63">
      <c r="V595" s="55">
        <f t="shared" ca="1" si="108"/>
        <v>1</v>
      </c>
      <c r="W595" s="64"/>
      <c r="X595" s="65"/>
      <c r="Y595" s="65"/>
      <c r="Z595" s="65"/>
      <c r="AA595" s="64"/>
      <c r="AB595" s="65"/>
      <c r="AC595" s="64"/>
      <c r="AD595" s="65"/>
      <c r="AE595" s="64"/>
      <c r="AF595" s="65"/>
      <c r="AG595" s="65"/>
      <c r="AH595" s="66" t="str">
        <f t="shared" si="109"/>
        <v/>
      </c>
      <c r="AI595" s="64"/>
      <c r="AJ595" s="65"/>
      <c r="AK595" s="64"/>
      <c r="AL595" s="65"/>
      <c r="BB595" s="55" t="str">
        <f t="shared" si="110"/>
        <v/>
      </c>
      <c r="BC595" s="55" t="str">
        <f t="shared" si="111"/>
        <v/>
      </c>
      <c r="BD595" s="55" t="str">
        <f t="shared" si="112"/>
        <v/>
      </c>
      <c r="BE595" s="55" t="str">
        <f t="shared" si="113"/>
        <v/>
      </c>
      <c r="BF595" s="55" t="str">
        <f t="shared" si="114"/>
        <v/>
      </c>
      <c r="BG595" s="55" t="str">
        <f t="shared" si="115"/>
        <v/>
      </c>
      <c r="BH595" s="55" t="str">
        <f t="shared" si="116"/>
        <v/>
      </c>
      <c r="BI595" s="55" t="str">
        <f t="shared" si="117"/>
        <v/>
      </c>
      <c r="BJ595" s="55" t="str">
        <f t="shared" si="118"/>
        <v/>
      </c>
      <c r="BK595" s="55" t="str">
        <f t="shared" si="119"/>
        <v/>
      </c>
    </row>
    <row r="596" spans="22:63">
      <c r="V596" s="55">
        <f t="shared" ca="1" si="108"/>
        <v>1</v>
      </c>
      <c r="W596" s="64"/>
      <c r="X596" s="65"/>
      <c r="Y596" s="65"/>
      <c r="Z596" s="65"/>
      <c r="AA596" s="64"/>
      <c r="AB596" s="65"/>
      <c r="AC596" s="64"/>
      <c r="AD596" s="65"/>
      <c r="AE596" s="64"/>
      <c r="AF596" s="65"/>
      <c r="AG596" s="65"/>
      <c r="AH596" s="66" t="str">
        <f t="shared" si="109"/>
        <v/>
      </c>
      <c r="AI596" s="64"/>
      <c r="AJ596" s="65"/>
      <c r="AK596" s="64"/>
      <c r="AL596" s="65"/>
      <c r="BB596" s="55" t="str">
        <f t="shared" si="110"/>
        <v/>
      </c>
      <c r="BC596" s="55" t="str">
        <f t="shared" si="111"/>
        <v/>
      </c>
      <c r="BD596" s="55" t="str">
        <f t="shared" si="112"/>
        <v/>
      </c>
      <c r="BE596" s="55" t="str">
        <f t="shared" si="113"/>
        <v/>
      </c>
      <c r="BF596" s="55" t="str">
        <f t="shared" si="114"/>
        <v/>
      </c>
      <c r="BG596" s="55" t="str">
        <f t="shared" si="115"/>
        <v/>
      </c>
      <c r="BH596" s="55" t="str">
        <f t="shared" si="116"/>
        <v/>
      </c>
      <c r="BI596" s="55" t="str">
        <f t="shared" si="117"/>
        <v/>
      </c>
      <c r="BJ596" s="55" t="str">
        <f t="shared" si="118"/>
        <v/>
      </c>
      <c r="BK596" s="55" t="str">
        <f t="shared" si="119"/>
        <v/>
      </c>
    </row>
    <row r="597" spans="22:63">
      <c r="V597" s="55">
        <f t="shared" ca="1" si="108"/>
        <v>1</v>
      </c>
      <c r="W597" s="64"/>
      <c r="X597" s="65"/>
      <c r="Y597" s="65"/>
      <c r="Z597" s="65"/>
      <c r="AA597" s="64"/>
      <c r="AB597" s="65"/>
      <c r="AC597" s="64"/>
      <c r="AD597" s="65"/>
      <c r="AE597" s="64"/>
      <c r="AF597" s="65"/>
      <c r="AG597" s="65"/>
      <c r="AH597" s="66" t="str">
        <f t="shared" si="109"/>
        <v/>
      </c>
      <c r="AI597" s="64"/>
      <c r="AJ597" s="65"/>
      <c r="AK597" s="64"/>
      <c r="AL597" s="65"/>
      <c r="BB597" s="55" t="str">
        <f t="shared" si="110"/>
        <v/>
      </c>
      <c r="BC597" s="55" t="str">
        <f t="shared" si="111"/>
        <v/>
      </c>
      <c r="BD597" s="55" t="str">
        <f t="shared" si="112"/>
        <v/>
      </c>
      <c r="BE597" s="55" t="str">
        <f t="shared" si="113"/>
        <v/>
      </c>
      <c r="BF597" s="55" t="str">
        <f t="shared" si="114"/>
        <v/>
      </c>
      <c r="BG597" s="55" t="str">
        <f t="shared" si="115"/>
        <v/>
      </c>
      <c r="BH597" s="55" t="str">
        <f t="shared" si="116"/>
        <v/>
      </c>
      <c r="BI597" s="55" t="str">
        <f t="shared" si="117"/>
        <v/>
      </c>
      <c r="BJ597" s="55" t="str">
        <f t="shared" si="118"/>
        <v/>
      </c>
      <c r="BK597" s="55" t="str">
        <f t="shared" si="119"/>
        <v/>
      </c>
    </row>
    <row r="598" spans="22:63">
      <c r="V598" s="55">
        <f t="shared" ca="1" si="108"/>
        <v>1</v>
      </c>
      <c r="W598" s="64"/>
      <c r="X598" s="65"/>
      <c r="Y598" s="65"/>
      <c r="Z598" s="65"/>
      <c r="AA598" s="64"/>
      <c r="AB598" s="65"/>
      <c r="AC598" s="64"/>
      <c r="AD598" s="65"/>
      <c r="AE598" s="64"/>
      <c r="AF598" s="65"/>
      <c r="AG598" s="65"/>
      <c r="AH598" s="66" t="str">
        <f t="shared" si="109"/>
        <v/>
      </c>
      <c r="AI598" s="64"/>
      <c r="AJ598" s="65"/>
      <c r="AK598" s="64"/>
      <c r="AL598" s="65"/>
      <c r="BB598" s="55" t="str">
        <f t="shared" si="110"/>
        <v/>
      </c>
      <c r="BC598" s="55" t="str">
        <f t="shared" si="111"/>
        <v/>
      </c>
      <c r="BD598" s="55" t="str">
        <f t="shared" si="112"/>
        <v/>
      </c>
      <c r="BE598" s="55" t="str">
        <f t="shared" si="113"/>
        <v/>
      </c>
      <c r="BF598" s="55" t="str">
        <f t="shared" si="114"/>
        <v/>
      </c>
      <c r="BG598" s="55" t="str">
        <f t="shared" si="115"/>
        <v/>
      </c>
      <c r="BH598" s="55" t="str">
        <f t="shared" si="116"/>
        <v/>
      </c>
      <c r="BI598" s="55" t="str">
        <f t="shared" si="117"/>
        <v/>
      </c>
      <c r="BJ598" s="55" t="str">
        <f t="shared" si="118"/>
        <v/>
      </c>
      <c r="BK598" s="55" t="str">
        <f t="shared" si="119"/>
        <v/>
      </c>
    </row>
    <row r="599" spans="22:63">
      <c r="V599" s="55">
        <f t="shared" ca="1" si="108"/>
        <v>1</v>
      </c>
      <c r="W599" s="64"/>
      <c r="X599" s="65"/>
      <c r="Y599" s="65"/>
      <c r="Z599" s="65"/>
      <c r="AA599" s="64"/>
      <c r="AB599" s="65"/>
      <c r="AC599" s="64"/>
      <c r="AD599" s="65"/>
      <c r="AE599" s="64"/>
      <c r="AF599" s="65"/>
      <c r="AG599" s="65"/>
      <c r="AH599" s="66" t="str">
        <f t="shared" si="109"/>
        <v/>
      </c>
      <c r="AI599" s="64"/>
      <c r="AJ599" s="65"/>
      <c r="AK599" s="64"/>
      <c r="AL599" s="65"/>
      <c r="BB599" s="55" t="str">
        <f t="shared" si="110"/>
        <v/>
      </c>
      <c r="BC599" s="55" t="str">
        <f t="shared" si="111"/>
        <v/>
      </c>
      <c r="BD599" s="55" t="str">
        <f t="shared" si="112"/>
        <v/>
      </c>
      <c r="BE599" s="55" t="str">
        <f t="shared" si="113"/>
        <v/>
      </c>
      <c r="BF599" s="55" t="str">
        <f t="shared" si="114"/>
        <v/>
      </c>
      <c r="BG599" s="55" t="str">
        <f t="shared" si="115"/>
        <v/>
      </c>
      <c r="BH599" s="55" t="str">
        <f t="shared" si="116"/>
        <v/>
      </c>
      <c r="BI599" s="55" t="str">
        <f t="shared" si="117"/>
        <v/>
      </c>
      <c r="BJ599" s="55" t="str">
        <f t="shared" si="118"/>
        <v/>
      </c>
      <c r="BK599" s="55" t="str">
        <f t="shared" si="119"/>
        <v/>
      </c>
    </row>
    <row r="600" spans="22:63">
      <c r="V600" s="55">
        <f t="shared" ca="1" si="108"/>
        <v>1</v>
      </c>
      <c r="W600" s="64"/>
      <c r="X600" s="65"/>
      <c r="Y600" s="65"/>
      <c r="Z600" s="65"/>
      <c r="AA600" s="64"/>
      <c r="AB600" s="65"/>
      <c r="AC600" s="64"/>
      <c r="AD600" s="65"/>
      <c r="AE600" s="64"/>
      <c r="AF600" s="65"/>
      <c r="AG600" s="65"/>
      <c r="AH600" s="66" t="str">
        <f t="shared" si="109"/>
        <v/>
      </c>
      <c r="AI600" s="64"/>
      <c r="AJ600" s="65"/>
      <c r="AK600" s="64"/>
      <c r="AL600" s="65"/>
      <c r="BB600" s="55" t="str">
        <f t="shared" si="110"/>
        <v/>
      </c>
      <c r="BC600" s="55" t="str">
        <f t="shared" si="111"/>
        <v/>
      </c>
      <c r="BD600" s="55" t="str">
        <f t="shared" si="112"/>
        <v/>
      </c>
      <c r="BE600" s="55" t="str">
        <f t="shared" si="113"/>
        <v/>
      </c>
      <c r="BF600" s="55" t="str">
        <f t="shared" si="114"/>
        <v/>
      </c>
      <c r="BG600" s="55" t="str">
        <f t="shared" si="115"/>
        <v/>
      </c>
      <c r="BH600" s="55" t="str">
        <f t="shared" si="116"/>
        <v/>
      </c>
      <c r="BI600" s="55" t="str">
        <f t="shared" si="117"/>
        <v/>
      </c>
      <c r="BJ600" s="55" t="str">
        <f t="shared" si="118"/>
        <v/>
      </c>
      <c r="BK600" s="55" t="str">
        <f t="shared" si="119"/>
        <v/>
      </c>
    </row>
    <row r="601" spans="22:63">
      <c r="V601" s="55">
        <f t="shared" ca="1" si="108"/>
        <v>1</v>
      </c>
      <c r="W601" s="64"/>
      <c r="X601" s="65"/>
      <c r="Y601" s="65"/>
      <c r="Z601" s="65"/>
      <c r="AA601" s="64"/>
      <c r="AB601" s="65"/>
      <c r="AC601" s="64"/>
      <c r="AD601" s="65"/>
      <c r="AE601" s="64"/>
      <c r="AF601" s="65"/>
      <c r="AG601" s="65"/>
      <c r="AH601" s="66" t="str">
        <f t="shared" si="109"/>
        <v/>
      </c>
      <c r="AI601" s="64"/>
      <c r="AJ601" s="65"/>
      <c r="AK601" s="64"/>
      <c r="AL601" s="65"/>
      <c r="BB601" s="55" t="str">
        <f t="shared" si="110"/>
        <v/>
      </c>
      <c r="BC601" s="55" t="str">
        <f t="shared" si="111"/>
        <v/>
      </c>
      <c r="BD601" s="55" t="str">
        <f t="shared" si="112"/>
        <v/>
      </c>
      <c r="BE601" s="55" t="str">
        <f t="shared" si="113"/>
        <v/>
      </c>
      <c r="BF601" s="55" t="str">
        <f t="shared" si="114"/>
        <v/>
      </c>
      <c r="BG601" s="55" t="str">
        <f t="shared" si="115"/>
        <v/>
      </c>
      <c r="BH601" s="55" t="str">
        <f t="shared" si="116"/>
        <v/>
      </c>
      <c r="BI601" s="55" t="str">
        <f t="shared" si="117"/>
        <v/>
      </c>
      <c r="BJ601" s="55" t="str">
        <f t="shared" si="118"/>
        <v/>
      </c>
      <c r="BK601" s="55" t="str">
        <f t="shared" si="119"/>
        <v/>
      </c>
    </row>
    <row r="602" spans="22:63">
      <c r="V602" s="55">
        <f t="shared" ca="1" si="108"/>
        <v>1</v>
      </c>
      <c r="W602" s="64"/>
      <c r="X602" s="65"/>
      <c r="Y602" s="65"/>
      <c r="Z602" s="65"/>
      <c r="AA602" s="64"/>
      <c r="AB602" s="65"/>
      <c r="AC602" s="64"/>
      <c r="AD602" s="65"/>
      <c r="AE602" s="64"/>
      <c r="AF602" s="65"/>
      <c r="AG602" s="65"/>
      <c r="AH602" s="66" t="str">
        <f t="shared" si="109"/>
        <v/>
      </c>
      <c r="AI602" s="64"/>
      <c r="AJ602" s="65"/>
      <c r="AK602" s="64"/>
      <c r="AL602" s="65"/>
      <c r="BB602" s="55" t="str">
        <f t="shared" si="110"/>
        <v/>
      </c>
      <c r="BC602" s="55" t="str">
        <f t="shared" si="111"/>
        <v/>
      </c>
      <c r="BD602" s="55" t="str">
        <f t="shared" si="112"/>
        <v/>
      </c>
      <c r="BE602" s="55" t="str">
        <f t="shared" si="113"/>
        <v/>
      </c>
      <c r="BF602" s="55" t="str">
        <f t="shared" si="114"/>
        <v/>
      </c>
      <c r="BG602" s="55" t="str">
        <f t="shared" si="115"/>
        <v/>
      </c>
      <c r="BH602" s="55" t="str">
        <f t="shared" si="116"/>
        <v/>
      </c>
      <c r="BI602" s="55" t="str">
        <f t="shared" si="117"/>
        <v/>
      </c>
      <c r="BJ602" s="55" t="str">
        <f t="shared" si="118"/>
        <v/>
      </c>
      <c r="BK602" s="55" t="str">
        <f t="shared" si="119"/>
        <v/>
      </c>
    </row>
    <row r="603" spans="22:63">
      <c r="V603" s="55">
        <f t="shared" ca="1" si="108"/>
        <v>1</v>
      </c>
      <c r="W603" s="64"/>
      <c r="X603" s="65"/>
      <c r="Y603" s="65"/>
      <c r="Z603" s="65"/>
      <c r="AA603" s="64"/>
      <c r="AB603" s="65"/>
      <c r="AC603" s="64"/>
      <c r="AD603" s="65"/>
      <c r="AE603" s="64"/>
      <c r="AF603" s="65"/>
      <c r="AG603" s="65"/>
      <c r="AH603" s="66" t="str">
        <f t="shared" si="109"/>
        <v/>
      </c>
      <c r="AI603" s="64"/>
      <c r="AJ603" s="65"/>
      <c r="AK603" s="64"/>
      <c r="AL603" s="65"/>
      <c r="BB603" s="55" t="str">
        <f t="shared" si="110"/>
        <v/>
      </c>
      <c r="BC603" s="55" t="str">
        <f t="shared" si="111"/>
        <v/>
      </c>
      <c r="BD603" s="55" t="str">
        <f t="shared" si="112"/>
        <v/>
      </c>
      <c r="BE603" s="55" t="str">
        <f t="shared" si="113"/>
        <v/>
      </c>
      <c r="BF603" s="55" t="str">
        <f t="shared" si="114"/>
        <v/>
      </c>
      <c r="BG603" s="55" t="str">
        <f t="shared" si="115"/>
        <v/>
      </c>
      <c r="BH603" s="55" t="str">
        <f t="shared" si="116"/>
        <v/>
      </c>
      <c r="BI603" s="55" t="str">
        <f t="shared" si="117"/>
        <v/>
      </c>
      <c r="BJ603" s="55" t="str">
        <f t="shared" si="118"/>
        <v/>
      </c>
      <c r="BK603" s="55" t="str">
        <f t="shared" si="119"/>
        <v/>
      </c>
    </row>
    <row r="604" spans="22:63">
      <c r="V604" s="55">
        <f t="shared" ca="1" si="108"/>
        <v>1</v>
      </c>
      <c r="W604" s="64"/>
      <c r="X604" s="65"/>
      <c r="Y604" s="65"/>
      <c r="Z604" s="65"/>
      <c r="AA604" s="64"/>
      <c r="AB604" s="65"/>
      <c r="AC604" s="64"/>
      <c r="AD604" s="65"/>
      <c r="AE604" s="64"/>
      <c r="AF604" s="65"/>
      <c r="AG604" s="65"/>
      <c r="AH604" s="66" t="str">
        <f t="shared" si="109"/>
        <v/>
      </c>
      <c r="AI604" s="64"/>
      <c r="AJ604" s="65"/>
      <c r="AK604" s="64"/>
      <c r="AL604" s="65"/>
      <c r="BB604" s="55" t="str">
        <f t="shared" si="110"/>
        <v/>
      </c>
      <c r="BC604" s="55" t="str">
        <f t="shared" si="111"/>
        <v/>
      </c>
      <c r="BD604" s="55" t="str">
        <f t="shared" si="112"/>
        <v/>
      </c>
      <c r="BE604" s="55" t="str">
        <f t="shared" si="113"/>
        <v/>
      </c>
      <c r="BF604" s="55" t="str">
        <f t="shared" si="114"/>
        <v/>
      </c>
      <c r="BG604" s="55" t="str">
        <f t="shared" si="115"/>
        <v/>
      </c>
      <c r="BH604" s="55" t="str">
        <f t="shared" si="116"/>
        <v/>
      </c>
      <c r="BI604" s="55" t="str">
        <f t="shared" si="117"/>
        <v/>
      </c>
      <c r="BJ604" s="55" t="str">
        <f t="shared" si="118"/>
        <v/>
      </c>
      <c r="BK604" s="55" t="str">
        <f t="shared" si="119"/>
        <v/>
      </c>
    </row>
    <row r="605" spans="22:63">
      <c r="V605" s="55">
        <f t="shared" ca="1" si="108"/>
        <v>1</v>
      </c>
      <c r="W605" s="64"/>
      <c r="X605" s="65"/>
      <c r="Y605" s="65"/>
      <c r="Z605" s="65"/>
      <c r="AA605" s="64"/>
      <c r="AB605" s="65"/>
      <c r="AC605" s="64"/>
      <c r="AD605" s="65"/>
      <c r="AE605" s="64"/>
      <c r="AF605" s="65"/>
      <c r="AG605" s="65"/>
      <c r="AH605" s="66" t="str">
        <f t="shared" si="109"/>
        <v/>
      </c>
      <c r="AI605" s="64"/>
      <c r="AJ605" s="65"/>
      <c r="AK605" s="64"/>
      <c r="AL605" s="65"/>
      <c r="BB605" s="55" t="str">
        <f t="shared" si="110"/>
        <v/>
      </c>
      <c r="BC605" s="55" t="str">
        <f t="shared" si="111"/>
        <v/>
      </c>
      <c r="BD605" s="55" t="str">
        <f t="shared" si="112"/>
        <v/>
      </c>
      <c r="BE605" s="55" t="str">
        <f t="shared" si="113"/>
        <v/>
      </c>
      <c r="BF605" s="55" t="str">
        <f t="shared" si="114"/>
        <v/>
      </c>
      <c r="BG605" s="55" t="str">
        <f t="shared" si="115"/>
        <v/>
      </c>
      <c r="BH605" s="55" t="str">
        <f t="shared" si="116"/>
        <v/>
      </c>
      <c r="BI605" s="55" t="str">
        <f t="shared" si="117"/>
        <v/>
      </c>
      <c r="BJ605" s="55" t="str">
        <f t="shared" si="118"/>
        <v/>
      </c>
      <c r="BK605" s="55" t="str">
        <f t="shared" si="119"/>
        <v/>
      </c>
    </row>
    <row r="606" spans="22:63">
      <c r="V606" s="55">
        <f t="shared" ca="1" si="108"/>
        <v>1</v>
      </c>
      <c r="W606" s="64"/>
      <c r="X606" s="65"/>
      <c r="Y606" s="65"/>
      <c r="Z606" s="65"/>
      <c r="AA606" s="64"/>
      <c r="AB606" s="65"/>
      <c r="AC606" s="64"/>
      <c r="AD606" s="65"/>
      <c r="AE606" s="64"/>
      <c r="AF606" s="65"/>
      <c r="AG606" s="65"/>
      <c r="AH606" s="66" t="str">
        <f t="shared" si="109"/>
        <v/>
      </c>
      <c r="AI606" s="64"/>
      <c r="AJ606" s="65"/>
      <c r="AK606" s="64"/>
      <c r="AL606" s="65"/>
      <c r="BB606" s="55" t="str">
        <f t="shared" si="110"/>
        <v/>
      </c>
      <c r="BC606" s="55" t="str">
        <f t="shared" si="111"/>
        <v/>
      </c>
      <c r="BD606" s="55" t="str">
        <f t="shared" si="112"/>
        <v/>
      </c>
      <c r="BE606" s="55" t="str">
        <f t="shared" si="113"/>
        <v/>
      </c>
      <c r="BF606" s="55" t="str">
        <f t="shared" si="114"/>
        <v/>
      </c>
      <c r="BG606" s="55" t="str">
        <f t="shared" si="115"/>
        <v/>
      </c>
      <c r="BH606" s="55" t="str">
        <f t="shared" si="116"/>
        <v/>
      </c>
      <c r="BI606" s="55" t="str">
        <f t="shared" si="117"/>
        <v/>
      </c>
      <c r="BJ606" s="55" t="str">
        <f t="shared" si="118"/>
        <v/>
      </c>
      <c r="BK606" s="55" t="str">
        <f t="shared" si="119"/>
        <v/>
      </c>
    </row>
    <row r="607" spans="22:63">
      <c r="V607" s="55">
        <f t="shared" ca="1" si="108"/>
        <v>1</v>
      </c>
      <c r="W607" s="64"/>
      <c r="X607" s="65"/>
      <c r="Y607" s="65"/>
      <c r="Z607" s="65"/>
      <c r="AA607" s="64"/>
      <c r="AB607" s="65"/>
      <c r="AC607" s="64"/>
      <c r="AD607" s="65"/>
      <c r="AE607" s="64"/>
      <c r="AF607" s="65"/>
      <c r="AG607" s="65"/>
      <c r="AH607" s="66" t="str">
        <f t="shared" si="109"/>
        <v/>
      </c>
      <c r="AI607" s="64"/>
      <c r="AJ607" s="65"/>
      <c r="AK607" s="64"/>
      <c r="AL607" s="65"/>
      <c r="BB607" s="55" t="str">
        <f t="shared" si="110"/>
        <v/>
      </c>
      <c r="BC607" s="55" t="str">
        <f t="shared" si="111"/>
        <v/>
      </c>
      <c r="BD607" s="55" t="str">
        <f t="shared" si="112"/>
        <v/>
      </c>
      <c r="BE607" s="55" t="str">
        <f t="shared" si="113"/>
        <v/>
      </c>
      <c r="BF607" s="55" t="str">
        <f t="shared" si="114"/>
        <v/>
      </c>
      <c r="BG607" s="55" t="str">
        <f t="shared" si="115"/>
        <v/>
      </c>
      <c r="BH607" s="55" t="str">
        <f t="shared" si="116"/>
        <v/>
      </c>
      <c r="BI607" s="55" t="str">
        <f t="shared" si="117"/>
        <v/>
      </c>
      <c r="BJ607" s="55" t="str">
        <f t="shared" si="118"/>
        <v/>
      </c>
      <c r="BK607" s="55" t="str">
        <f t="shared" si="119"/>
        <v/>
      </c>
    </row>
    <row r="608" spans="22:63">
      <c r="V608" s="55">
        <f t="shared" ca="1" si="108"/>
        <v>1</v>
      </c>
      <c r="W608" s="64"/>
      <c r="X608" s="65"/>
      <c r="Y608" s="65"/>
      <c r="Z608" s="65"/>
      <c r="AA608" s="64"/>
      <c r="AB608" s="65"/>
      <c r="AC608" s="64"/>
      <c r="AD608" s="65"/>
      <c r="AE608" s="64"/>
      <c r="AF608" s="65"/>
      <c r="AG608" s="65"/>
      <c r="AH608" s="66" t="str">
        <f t="shared" si="109"/>
        <v/>
      </c>
      <c r="AI608" s="64"/>
      <c r="AJ608" s="65"/>
      <c r="AK608" s="64"/>
      <c r="AL608" s="65"/>
      <c r="BB608" s="55" t="str">
        <f t="shared" si="110"/>
        <v/>
      </c>
      <c r="BC608" s="55" t="str">
        <f t="shared" si="111"/>
        <v/>
      </c>
      <c r="BD608" s="55" t="str">
        <f t="shared" si="112"/>
        <v/>
      </c>
      <c r="BE608" s="55" t="str">
        <f t="shared" si="113"/>
        <v/>
      </c>
      <c r="BF608" s="55" t="str">
        <f t="shared" si="114"/>
        <v/>
      </c>
      <c r="BG608" s="55" t="str">
        <f t="shared" si="115"/>
        <v/>
      </c>
      <c r="BH608" s="55" t="str">
        <f t="shared" si="116"/>
        <v/>
      </c>
      <c r="BI608" s="55" t="str">
        <f t="shared" si="117"/>
        <v/>
      </c>
      <c r="BJ608" s="55" t="str">
        <f t="shared" si="118"/>
        <v/>
      </c>
      <c r="BK608" s="55" t="str">
        <f t="shared" si="119"/>
        <v/>
      </c>
    </row>
    <row r="609" spans="22:63">
      <c r="V609" s="55">
        <f t="shared" ca="1" si="108"/>
        <v>1</v>
      </c>
      <c r="W609" s="64"/>
      <c r="X609" s="65"/>
      <c r="Y609" s="65"/>
      <c r="Z609" s="65"/>
      <c r="AA609" s="64"/>
      <c r="AB609" s="65"/>
      <c r="AC609" s="64"/>
      <c r="AD609" s="65"/>
      <c r="AE609" s="64"/>
      <c r="AF609" s="65"/>
      <c r="AG609" s="65"/>
      <c r="AH609" s="66" t="str">
        <f t="shared" si="109"/>
        <v/>
      </c>
      <c r="AI609" s="64"/>
      <c r="AJ609" s="65"/>
      <c r="AK609" s="64"/>
      <c r="AL609" s="65"/>
      <c r="BB609" s="55" t="str">
        <f t="shared" si="110"/>
        <v/>
      </c>
      <c r="BC609" s="55" t="str">
        <f t="shared" si="111"/>
        <v/>
      </c>
      <c r="BD609" s="55" t="str">
        <f t="shared" si="112"/>
        <v/>
      </c>
      <c r="BE609" s="55" t="str">
        <f t="shared" si="113"/>
        <v/>
      </c>
      <c r="BF609" s="55" t="str">
        <f t="shared" si="114"/>
        <v/>
      </c>
      <c r="BG609" s="55" t="str">
        <f t="shared" si="115"/>
        <v/>
      </c>
      <c r="BH609" s="55" t="str">
        <f t="shared" si="116"/>
        <v/>
      </c>
      <c r="BI609" s="55" t="str">
        <f t="shared" si="117"/>
        <v/>
      </c>
      <c r="BJ609" s="55" t="str">
        <f t="shared" si="118"/>
        <v/>
      </c>
      <c r="BK609" s="55" t="str">
        <f t="shared" si="119"/>
        <v/>
      </c>
    </row>
    <row r="610" spans="22:63">
      <c r="V610" s="55">
        <f t="shared" ca="1" si="108"/>
        <v>1</v>
      </c>
      <c r="W610" s="64"/>
      <c r="X610" s="65"/>
      <c r="Y610" s="65"/>
      <c r="Z610" s="65"/>
      <c r="AA610" s="64"/>
      <c r="AB610" s="65"/>
      <c r="AC610" s="64"/>
      <c r="AD610" s="65"/>
      <c r="AE610" s="64"/>
      <c r="AF610" s="65"/>
      <c r="AG610" s="65"/>
      <c r="AH610" s="66" t="str">
        <f t="shared" si="109"/>
        <v/>
      </c>
      <c r="AI610" s="64"/>
      <c r="AJ610" s="65"/>
      <c r="AK610" s="64"/>
      <c r="AL610" s="65"/>
      <c r="BB610" s="55" t="str">
        <f t="shared" si="110"/>
        <v/>
      </c>
      <c r="BC610" s="55" t="str">
        <f t="shared" si="111"/>
        <v/>
      </c>
      <c r="BD610" s="55" t="str">
        <f t="shared" si="112"/>
        <v/>
      </c>
      <c r="BE610" s="55" t="str">
        <f t="shared" si="113"/>
        <v/>
      </c>
      <c r="BF610" s="55" t="str">
        <f t="shared" si="114"/>
        <v/>
      </c>
      <c r="BG610" s="55" t="str">
        <f t="shared" si="115"/>
        <v/>
      </c>
      <c r="BH610" s="55" t="str">
        <f t="shared" si="116"/>
        <v/>
      </c>
      <c r="BI610" s="55" t="str">
        <f t="shared" si="117"/>
        <v/>
      </c>
      <c r="BJ610" s="55" t="str">
        <f t="shared" si="118"/>
        <v/>
      </c>
      <c r="BK610" s="55" t="str">
        <f t="shared" si="119"/>
        <v/>
      </c>
    </row>
    <row r="611" spans="22:63">
      <c r="V611" s="55">
        <f t="shared" ca="1" si="108"/>
        <v>1</v>
      </c>
      <c r="W611" s="64"/>
      <c r="X611" s="65"/>
      <c r="Y611" s="65"/>
      <c r="Z611" s="65"/>
      <c r="AA611" s="64"/>
      <c r="AB611" s="65"/>
      <c r="AC611" s="64"/>
      <c r="AD611" s="65"/>
      <c r="AE611" s="64"/>
      <c r="AF611" s="65"/>
      <c r="AG611" s="65"/>
      <c r="AH611" s="66" t="str">
        <f t="shared" si="109"/>
        <v/>
      </c>
      <c r="AI611" s="64"/>
      <c r="AJ611" s="65"/>
      <c r="AK611" s="64"/>
      <c r="AL611" s="65"/>
      <c r="BB611" s="55" t="str">
        <f t="shared" si="110"/>
        <v/>
      </c>
      <c r="BC611" s="55" t="str">
        <f t="shared" si="111"/>
        <v/>
      </c>
      <c r="BD611" s="55" t="str">
        <f t="shared" si="112"/>
        <v/>
      </c>
      <c r="BE611" s="55" t="str">
        <f t="shared" si="113"/>
        <v/>
      </c>
      <c r="BF611" s="55" t="str">
        <f t="shared" si="114"/>
        <v/>
      </c>
      <c r="BG611" s="55" t="str">
        <f t="shared" si="115"/>
        <v/>
      </c>
      <c r="BH611" s="55" t="str">
        <f t="shared" si="116"/>
        <v/>
      </c>
      <c r="BI611" s="55" t="str">
        <f t="shared" si="117"/>
        <v/>
      </c>
      <c r="BJ611" s="55" t="str">
        <f t="shared" si="118"/>
        <v/>
      </c>
      <c r="BK611" s="55" t="str">
        <f t="shared" si="119"/>
        <v/>
      </c>
    </row>
    <row r="612" spans="22:63">
      <c r="V612" s="55">
        <f t="shared" ca="1" si="108"/>
        <v>1</v>
      </c>
      <c r="W612" s="64"/>
      <c r="X612" s="65"/>
      <c r="Y612" s="65"/>
      <c r="Z612" s="65"/>
      <c r="AA612" s="64"/>
      <c r="AB612" s="65"/>
      <c r="AC612" s="64"/>
      <c r="AD612" s="65"/>
      <c r="AE612" s="64"/>
      <c r="AF612" s="65"/>
      <c r="AG612" s="65"/>
      <c r="AH612" s="66" t="str">
        <f t="shared" si="109"/>
        <v/>
      </c>
      <c r="AI612" s="64"/>
      <c r="AJ612" s="65"/>
      <c r="AK612" s="64"/>
      <c r="AL612" s="65"/>
      <c r="BB612" s="55" t="str">
        <f t="shared" si="110"/>
        <v/>
      </c>
      <c r="BC612" s="55" t="str">
        <f t="shared" si="111"/>
        <v/>
      </c>
      <c r="BD612" s="55" t="str">
        <f t="shared" si="112"/>
        <v/>
      </c>
      <c r="BE612" s="55" t="str">
        <f t="shared" si="113"/>
        <v/>
      </c>
      <c r="BF612" s="55" t="str">
        <f t="shared" si="114"/>
        <v/>
      </c>
      <c r="BG612" s="55" t="str">
        <f t="shared" si="115"/>
        <v/>
      </c>
      <c r="BH612" s="55" t="str">
        <f t="shared" si="116"/>
        <v/>
      </c>
      <c r="BI612" s="55" t="str">
        <f t="shared" si="117"/>
        <v/>
      </c>
      <c r="BJ612" s="55" t="str">
        <f t="shared" si="118"/>
        <v/>
      </c>
      <c r="BK612" s="55" t="str">
        <f t="shared" si="119"/>
        <v/>
      </c>
    </row>
    <row r="613" spans="22:63">
      <c r="V613" s="55">
        <f t="shared" ca="1" si="108"/>
        <v>1</v>
      </c>
      <c r="W613" s="64"/>
      <c r="X613" s="65"/>
      <c r="Y613" s="65"/>
      <c r="Z613" s="65"/>
      <c r="AA613" s="64"/>
      <c r="AB613" s="65"/>
      <c r="AC613" s="64"/>
      <c r="AD613" s="65"/>
      <c r="AE613" s="64"/>
      <c r="AF613" s="65"/>
      <c r="AG613" s="65"/>
      <c r="AH613" s="66" t="str">
        <f t="shared" si="109"/>
        <v/>
      </c>
      <c r="AI613" s="64"/>
      <c r="AJ613" s="65"/>
      <c r="AK613" s="64"/>
      <c r="AL613" s="65"/>
      <c r="BB613" s="55" t="str">
        <f t="shared" si="110"/>
        <v/>
      </c>
      <c r="BC613" s="55" t="str">
        <f t="shared" si="111"/>
        <v/>
      </c>
      <c r="BD613" s="55" t="str">
        <f t="shared" si="112"/>
        <v/>
      </c>
      <c r="BE613" s="55" t="str">
        <f t="shared" si="113"/>
        <v/>
      </c>
      <c r="BF613" s="55" t="str">
        <f t="shared" si="114"/>
        <v/>
      </c>
      <c r="BG613" s="55" t="str">
        <f t="shared" si="115"/>
        <v/>
      </c>
      <c r="BH613" s="55" t="str">
        <f t="shared" si="116"/>
        <v/>
      </c>
      <c r="BI613" s="55" t="str">
        <f t="shared" si="117"/>
        <v/>
      </c>
      <c r="BJ613" s="55" t="str">
        <f t="shared" si="118"/>
        <v/>
      </c>
      <c r="BK613" s="55" t="str">
        <f t="shared" si="119"/>
        <v/>
      </c>
    </row>
    <row r="614" spans="22:63">
      <c r="V614" s="55">
        <f t="shared" ca="1" si="108"/>
        <v>1</v>
      </c>
      <c r="W614" s="64"/>
      <c r="X614" s="65"/>
      <c r="Y614" s="65"/>
      <c r="Z614" s="65"/>
      <c r="AA614" s="64"/>
      <c r="AB614" s="65"/>
      <c r="AC614" s="64"/>
      <c r="AD614" s="65"/>
      <c r="AE614" s="64"/>
      <c r="AF614" s="65"/>
      <c r="AG614" s="65"/>
      <c r="AH614" s="66" t="str">
        <f t="shared" si="109"/>
        <v/>
      </c>
      <c r="AI614" s="64"/>
      <c r="AJ614" s="65"/>
      <c r="AK614" s="64"/>
      <c r="AL614" s="65"/>
      <c r="BB614" s="55" t="str">
        <f t="shared" si="110"/>
        <v/>
      </c>
      <c r="BC614" s="55" t="str">
        <f t="shared" si="111"/>
        <v/>
      </c>
      <c r="BD614" s="55" t="str">
        <f t="shared" si="112"/>
        <v/>
      </c>
      <c r="BE614" s="55" t="str">
        <f t="shared" si="113"/>
        <v/>
      </c>
      <c r="BF614" s="55" t="str">
        <f t="shared" si="114"/>
        <v/>
      </c>
      <c r="BG614" s="55" t="str">
        <f t="shared" si="115"/>
        <v/>
      </c>
      <c r="BH614" s="55" t="str">
        <f t="shared" si="116"/>
        <v/>
      </c>
      <c r="BI614" s="55" t="str">
        <f t="shared" si="117"/>
        <v/>
      </c>
      <c r="BJ614" s="55" t="str">
        <f t="shared" si="118"/>
        <v/>
      </c>
      <c r="BK614" s="55" t="str">
        <f t="shared" si="119"/>
        <v/>
      </c>
    </row>
    <row r="615" spans="22:63">
      <c r="V615" s="55">
        <f t="shared" ca="1" si="108"/>
        <v>1</v>
      </c>
      <c r="W615" s="64"/>
      <c r="X615" s="65"/>
      <c r="Y615" s="65"/>
      <c r="Z615" s="65"/>
      <c r="AA615" s="64"/>
      <c r="AB615" s="65"/>
      <c r="AC615" s="64"/>
      <c r="AD615" s="65"/>
      <c r="AE615" s="64"/>
      <c r="AF615" s="65"/>
      <c r="AG615" s="65"/>
      <c r="AH615" s="66" t="str">
        <f t="shared" si="109"/>
        <v/>
      </c>
      <c r="AI615" s="64"/>
      <c r="AJ615" s="65"/>
      <c r="AK615" s="64"/>
      <c r="AL615" s="65"/>
      <c r="BB615" s="55" t="str">
        <f t="shared" si="110"/>
        <v/>
      </c>
      <c r="BC615" s="55" t="str">
        <f t="shared" si="111"/>
        <v/>
      </c>
      <c r="BD615" s="55" t="str">
        <f t="shared" si="112"/>
        <v/>
      </c>
      <c r="BE615" s="55" t="str">
        <f t="shared" si="113"/>
        <v/>
      </c>
      <c r="BF615" s="55" t="str">
        <f t="shared" si="114"/>
        <v/>
      </c>
      <c r="BG615" s="55" t="str">
        <f t="shared" si="115"/>
        <v/>
      </c>
      <c r="BH615" s="55" t="str">
        <f t="shared" si="116"/>
        <v/>
      </c>
      <c r="BI615" s="55" t="str">
        <f t="shared" si="117"/>
        <v/>
      </c>
      <c r="BJ615" s="55" t="str">
        <f t="shared" si="118"/>
        <v/>
      </c>
      <c r="BK615" s="55" t="str">
        <f t="shared" si="119"/>
        <v/>
      </c>
    </row>
    <row r="616" spans="22:63">
      <c r="V616" s="55">
        <f t="shared" ca="1" si="108"/>
        <v>1</v>
      </c>
      <c r="W616" s="64"/>
      <c r="X616" s="65"/>
      <c r="Y616" s="65"/>
      <c r="Z616" s="65"/>
      <c r="AA616" s="64"/>
      <c r="AB616" s="65"/>
      <c r="AC616" s="64"/>
      <c r="AD616" s="65"/>
      <c r="AE616" s="64"/>
      <c r="AF616" s="65"/>
      <c r="AG616" s="65"/>
      <c r="AH616" s="66" t="str">
        <f t="shared" si="109"/>
        <v/>
      </c>
      <c r="AI616" s="64"/>
      <c r="AJ616" s="65"/>
      <c r="AK616" s="64"/>
      <c r="AL616" s="65"/>
      <c r="BB616" s="55" t="str">
        <f t="shared" si="110"/>
        <v/>
      </c>
      <c r="BC616" s="55" t="str">
        <f t="shared" si="111"/>
        <v/>
      </c>
      <c r="BD616" s="55" t="str">
        <f t="shared" si="112"/>
        <v/>
      </c>
      <c r="BE616" s="55" t="str">
        <f t="shared" si="113"/>
        <v/>
      </c>
      <c r="BF616" s="55" t="str">
        <f t="shared" si="114"/>
        <v/>
      </c>
      <c r="BG616" s="55" t="str">
        <f t="shared" si="115"/>
        <v/>
      </c>
      <c r="BH616" s="55" t="str">
        <f t="shared" si="116"/>
        <v/>
      </c>
      <c r="BI616" s="55" t="str">
        <f t="shared" si="117"/>
        <v/>
      </c>
      <c r="BJ616" s="55" t="str">
        <f t="shared" si="118"/>
        <v/>
      </c>
      <c r="BK616" s="55" t="str">
        <f t="shared" si="119"/>
        <v/>
      </c>
    </row>
    <row r="617" spans="22:63">
      <c r="V617" s="55">
        <f t="shared" ca="1" si="108"/>
        <v>1</v>
      </c>
      <c r="W617" s="64"/>
      <c r="X617" s="65"/>
      <c r="Y617" s="65"/>
      <c r="Z617" s="65"/>
      <c r="AA617" s="64"/>
      <c r="AB617" s="65"/>
      <c r="AC617" s="64"/>
      <c r="AD617" s="65"/>
      <c r="AE617" s="64"/>
      <c r="AF617" s="65"/>
      <c r="AG617" s="65"/>
      <c r="AH617" s="66" t="str">
        <f t="shared" si="109"/>
        <v/>
      </c>
      <c r="AI617" s="64"/>
      <c r="AJ617" s="65"/>
      <c r="AK617" s="64"/>
      <c r="AL617" s="65"/>
      <c r="BB617" s="55" t="str">
        <f t="shared" si="110"/>
        <v/>
      </c>
      <c r="BC617" s="55" t="str">
        <f t="shared" si="111"/>
        <v/>
      </c>
      <c r="BD617" s="55" t="str">
        <f t="shared" si="112"/>
        <v/>
      </c>
      <c r="BE617" s="55" t="str">
        <f t="shared" si="113"/>
        <v/>
      </c>
      <c r="BF617" s="55" t="str">
        <f t="shared" si="114"/>
        <v/>
      </c>
      <c r="BG617" s="55" t="str">
        <f t="shared" si="115"/>
        <v/>
      </c>
      <c r="BH617" s="55" t="str">
        <f t="shared" si="116"/>
        <v/>
      </c>
      <c r="BI617" s="55" t="str">
        <f t="shared" si="117"/>
        <v/>
      </c>
      <c r="BJ617" s="55" t="str">
        <f t="shared" si="118"/>
        <v/>
      </c>
      <c r="BK617" s="55" t="str">
        <f t="shared" si="119"/>
        <v/>
      </c>
    </row>
    <row r="618" spans="22:63">
      <c r="V618" s="55">
        <f t="shared" ca="1" si="108"/>
        <v>1</v>
      </c>
      <c r="W618" s="64"/>
      <c r="X618" s="65"/>
      <c r="Y618" s="65"/>
      <c r="Z618" s="65"/>
      <c r="AA618" s="64"/>
      <c r="AB618" s="65"/>
      <c r="AC618" s="64"/>
      <c r="AD618" s="65"/>
      <c r="AE618" s="64"/>
      <c r="AF618" s="65"/>
      <c r="AG618" s="65"/>
      <c r="AH618" s="66" t="str">
        <f t="shared" si="109"/>
        <v/>
      </c>
      <c r="AI618" s="64"/>
      <c r="AJ618" s="65"/>
      <c r="AK618" s="64"/>
      <c r="AL618" s="65"/>
      <c r="BB618" s="55" t="str">
        <f t="shared" si="110"/>
        <v/>
      </c>
      <c r="BC618" s="55" t="str">
        <f t="shared" si="111"/>
        <v/>
      </c>
      <c r="BD618" s="55" t="str">
        <f t="shared" si="112"/>
        <v/>
      </c>
      <c r="BE618" s="55" t="str">
        <f t="shared" si="113"/>
        <v/>
      </c>
      <c r="BF618" s="55" t="str">
        <f t="shared" si="114"/>
        <v/>
      </c>
      <c r="BG618" s="55" t="str">
        <f t="shared" si="115"/>
        <v/>
      </c>
      <c r="BH618" s="55" t="str">
        <f t="shared" si="116"/>
        <v/>
      </c>
      <c r="BI618" s="55" t="str">
        <f t="shared" si="117"/>
        <v/>
      </c>
      <c r="BJ618" s="55" t="str">
        <f t="shared" si="118"/>
        <v/>
      </c>
      <c r="BK618" s="55" t="str">
        <f t="shared" si="119"/>
        <v/>
      </c>
    </row>
    <row r="619" spans="22:63">
      <c r="V619" s="55">
        <f t="shared" ca="1" si="108"/>
        <v>1</v>
      </c>
      <c r="W619" s="64"/>
      <c r="X619" s="65"/>
      <c r="Y619" s="65"/>
      <c r="Z619" s="65"/>
      <c r="AA619" s="64"/>
      <c r="AB619" s="65"/>
      <c r="AC619" s="64"/>
      <c r="AD619" s="65"/>
      <c r="AE619" s="64"/>
      <c r="AF619" s="65"/>
      <c r="AG619" s="65"/>
      <c r="AH619" s="66" t="str">
        <f t="shared" si="109"/>
        <v/>
      </c>
      <c r="AI619" s="64"/>
      <c r="AJ619" s="65"/>
      <c r="AK619" s="64"/>
      <c r="AL619" s="65"/>
      <c r="BB619" s="55" t="str">
        <f t="shared" si="110"/>
        <v/>
      </c>
      <c r="BC619" s="55" t="str">
        <f t="shared" si="111"/>
        <v/>
      </c>
      <c r="BD619" s="55" t="str">
        <f t="shared" si="112"/>
        <v/>
      </c>
      <c r="BE619" s="55" t="str">
        <f t="shared" si="113"/>
        <v/>
      </c>
      <c r="BF619" s="55" t="str">
        <f t="shared" si="114"/>
        <v/>
      </c>
      <c r="BG619" s="55" t="str">
        <f t="shared" si="115"/>
        <v/>
      </c>
      <c r="BH619" s="55" t="str">
        <f t="shared" si="116"/>
        <v/>
      </c>
      <c r="BI619" s="55" t="str">
        <f t="shared" si="117"/>
        <v/>
      </c>
      <c r="BJ619" s="55" t="str">
        <f t="shared" si="118"/>
        <v/>
      </c>
      <c r="BK619" s="55" t="str">
        <f t="shared" si="119"/>
        <v/>
      </c>
    </row>
    <row r="620" spans="22:63">
      <c r="V620" s="55">
        <f t="shared" ca="1" si="108"/>
        <v>1</v>
      </c>
      <c r="W620" s="64"/>
      <c r="X620" s="65"/>
      <c r="Y620" s="65"/>
      <c r="Z620" s="65"/>
      <c r="AA620" s="64"/>
      <c r="AB620" s="65"/>
      <c r="AC620" s="64"/>
      <c r="AD620" s="65"/>
      <c r="AE620" s="64"/>
      <c r="AF620" s="65"/>
      <c r="AG620" s="65"/>
      <c r="AH620" s="66" t="str">
        <f t="shared" si="109"/>
        <v/>
      </c>
      <c r="AI620" s="64"/>
      <c r="AJ620" s="65"/>
      <c r="AK620" s="64"/>
      <c r="AL620" s="65"/>
      <c r="BB620" s="55" t="str">
        <f t="shared" si="110"/>
        <v/>
      </c>
      <c r="BC620" s="55" t="str">
        <f t="shared" si="111"/>
        <v/>
      </c>
      <c r="BD620" s="55" t="str">
        <f t="shared" si="112"/>
        <v/>
      </c>
      <c r="BE620" s="55" t="str">
        <f t="shared" si="113"/>
        <v/>
      </c>
      <c r="BF620" s="55" t="str">
        <f t="shared" si="114"/>
        <v/>
      </c>
      <c r="BG620" s="55" t="str">
        <f t="shared" si="115"/>
        <v/>
      </c>
      <c r="BH620" s="55" t="str">
        <f t="shared" si="116"/>
        <v/>
      </c>
      <c r="BI620" s="55" t="str">
        <f t="shared" si="117"/>
        <v/>
      </c>
      <c r="BJ620" s="55" t="str">
        <f t="shared" si="118"/>
        <v/>
      </c>
      <c r="BK620" s="55" t="str">
        <f t="shared" si="119"/>
        <v/>
      </c>
    </row>
    <row r="621" spans="22:63">
      <c r="V621" s="55">
        <f t="shared" ca="1" si="108"/>
        <v>1</v>
      </c>
      <c r="W621" s="64"/>
      <c r="X621" s="65"/>
      <c r="Y621" s="65"/>
      <c r="Z621" s="65"/>
      <c r="AA621" s="64"/>
      <c r="AB621" s="65"/>
      <c r="AC621" s="64"/>
      <c r="AD621" s="65"/>
      <c r="AE621" s="64"/>
      <c r="AF621" s="65"/>
      <c r="AG621" s="65"/>
      <c r="AH621" s="66" t="str">
        <f t="shared" si="109"/>
        <v/>
      </c>
      <c r="AI621" s="64"/>
      <c r="AJ621" s="65"/>
      <c r="AK621" s="64"/>
      <c r="AL621" s="65"/>
      <c r="BB621" s="55" t="str">
        <f t="shared" si="110"/>
        <v/>
      </c>
      <c r="BC621" s="55" t="str">
        <f t="shared" si="111"/>
        <v/>
      </c>
      <c r="BD621" s="55" t="str">
        <f t="shared" si="112"/>
        <v/>
      </c>
      <c r="BE621" s="55" t="str">
        <f t="shared" si="113"/>
        <v/>
      </c>
      <c r="BF621" s="55" t="str">
        <f t="shared" si="114"/>
        <v/>
      </c>
      <c r="BG621" s="55" t="str">
        <f t="shared" si="115"/>
        <v/>
      </c>
      <c r="BH621" s="55" t="str">
        <f t="shared" si="116"/>
        <v/>
      </c>
      <c r="BI621" s="55" t="str">
        <f t="shared" si="117"/>
        <v/>
      </c>
      <c r="BJ621" s="55" t="str">
        <f t="shared" si="118"/>
        <v/>
      </c>
      <c r="BK621" s="55" t="str">
        <f t="shared" si="119"/>
        <v/>
      </c>
    </row>
    <row r="622" spans="22:63">
      <c r="V622" s="55">
        <f t="shared" ca="1" si="108"/>
        <v>1</v>
      </c>
      <c r="W622" s="64"/>
      <c r="X622" s="65"/>
      <c r="Y622" s="65"/>
      <c r="Z622" s="65"/>
      <c r="AA622" s="64"/>
      <c r="AB622" s="65"/>
      <c r="AC622" s="64"/>
      <c r="AD622" s="65"/>
      <c r="AE622" s="64"/>
      <c r="AF622" s="65"/>
      <c r="AG622" s="65"/>
      <c r="AH622" s="66" t="str">
        <f t="shared" si="109"/>
        <v/>
      </c>
      <c r="AI622" s="64"/>
      <c r="AJ622" s="65"/>
      <c r="AK622" s="64"/>
      <c r="AL622" s="65"/>
      <c r="BB622" s="55" t="str">
        <f t="shared" si="110"/>
        <v/>
      </c>
      <c r="BC622" s="55" t="str">
        <f t="shared" si="111"/>
        <v/>
      </c>
      <c r="BD622" s="55" t="str">
        <f t="shared" si="112"/>
        <v/>
      </c>
      <c r="BE622" s="55" t="str">
        <f t="shared" si="113"/>
        <v/>
      </c>
      <c r="BF622" s="55" t="str">
        <f t="shared" si="114"/>
        <v/>
      </c>
      <c r="BG622" s="55" t="str">
        <f t="shared" si="115"/>
        <v/>
      </c>
      <c r="BH622" s="55" t="str">
        <f t="shared" si="116"/>
        <v/>
      </c>
      <c r="BI622" s="55" t="str">
        <f t="shared" si="117"/>
        <v/>
      </c>
      <c r="BJ622" s="55" t="str">
        <f t="shared" si="118"/>
        <v/>
      </c>
      <c r="BK622" s="55" t="str">
        <f t="shared" si="119"/>
        <v/>
      </c>
    </row>
    <row r="623" spans="22:63">
      <c r="V623" s="55">
        <f t="shared" ca="1" si="108"/>
        <v>1</v>
      </c>
      <c r="W623" s="64"/>
      <c r="X623" s="65"/>
      <c r="Y623" s="65"/>
      <c r="Z623" s="65"/>
      <c r="AA623" s="64"/>
      <c r="AB623" s="65"/>
      <c r="AC623" s="64"/>
      <c r="AD623" s="65"/>
      <c r="AE623" s="64"/>
      <c r="AF623" s="65"/>
      <c r="AG623" s="65"/>
      <c r="AH623" s="66" t="str">
        <f t="shared" si="109"/>
        <v/>
      </c>
      <c r="AI623" s="64"/>
      <c r="AJ623" s="65"/>
      <c r="AK623" s="64"/>
      <c r="AL623" s="65"/>
      <c r="BB623" s="55" t="str">
        <f t="shared" si="110"/>
        <v/>
      </c>
      <c r="BC623" s="55" t="str">
        <f t="shared" si="111"/>
        <v/>
      </c>
      <c r="BD623" s="55" t="str">
        <f t="shared" si="112"/>
        <v/>
      </c>
      <c r="BE623" s="55" t="str">
        <f t="shared" si="113"/>
        <v/>
      </c>
      <c r="BF623" s="55" t="str">
        <f t="shared" si="114"/>
        <v/>
      </c>
      <c r="BG623" s="55" t="str">
        <f t="shared" si="115"/>
        <v/>
      </c>
      <c r="BH623" s="55" t="str">
        <f t="shared" si="116"/>
        <v/>
      </c>
      <c r="BI623" s="55" t="str">
        <f t="shared" si="117"/>
        <v/>
      </c>
      <c r="BJ623" s="55" t="str">
        <f t="shared" si="118"/>
        <v/>
      </c>
      <c r="BK623" s="55" t="str">
        <f t="shared" si="119"/>
        <v/>
      </c>
    </row>
    <row r="624" spans="22:63">
      <c r="V624" s="55">
        <f t="shared" ca="1" si="108"/>
        <v>1</v>
      </c>
      <c r="W624" s="64"/>
      <c r="X624" s="65"/>
      <c r="Y624" s="65"/>
      <c r="Z624" s="65"/>
      <c r="AA624" s="64"/>
      <c r="AB624" s="65"/>
      <c r="AC624" s="64"/>
      <c r="AD624" s="65"/>
      <c r="AE624" s="64"/>
      <c r="AF624" s="65"/>
      <c r="AG624" s="65"/>
      <c r="AH624" s="66" t="str">
        <f t="shared" si="109"/>
        <v/>
      </c>
      <c r="AI624" s="64"/>
      <c r="AJ624" s="65"/>
      <c r="AK624" s="64"/>
      <c r="AL624" s="65"/>
      <c r="BB624" s="55" t="str">
        <f t="shared" si="110"/>
        <v/>
      </c>
      <c r="BC624" s="55" t="str">
        <f t="shared" si="111"/>
        <v/>
      </c>
      <c r="BD624" s="55" t="str">
        <f t="shared" si="112"/>
        <v/>
      </c>
      <c r="BE624" s="55" t="str">
        <f t="shared" si="113"/>
        <v/>
      </c>
      <c r="BF624" s="55" t="str">
        <f t="shared" si="114"/>
        <v/>
      </c>
      <c r="BG624" s="55" t="str">
        <f t="shared" si="115"/>
        <v/>
      </c>
      <c r="BH624" s="55" t="str">
        <f t="shared" si="116"/>
        <v/>
      </c>
      <c r="BI624" s="55" t="str">
        <f t="shared" si="117"/>
        <v/>
      </c>
      <c r="BJ624" s="55" t="str">
        <f t="shared" si="118"/>
        <v/>
      </c>
      <c r="BK624" s="55" t="str">
        <f t="shared" si="119"/>
        <v/>
      </c>
    </row>
    <row r="625" spans="22:63">
      <c r="V625" s="55">
        <f t="shared" ca="1" si="108"/>
        <v>1</v>
      </c>
      <c r="W625" s="64"/>
      <c r="X625" s="65"/>
      <c r="Y625" s="65"/>
      <c r="Z625" s="65"/>
      <c r="AA625" s="64"/>
      <c r="AB625" s="65"/>
      <c r="AC625" s="64"/>
      <c r="AD625" s="65"/>
      <c r="AE625" s="64"/>
      <c r="AF625" s="65"/>
      <c r="AG625" s="65"/>
      <c r="AH625" s="66" t="str">
        <f t="shared" si="109"/>
        <v/>
      </c>
      <c r="AI625" s="64"/>
      <c r="AJ625" s="65"/>
      <c r="AK625" s="64"/>
      <c r="AL625" s="65"/>
      <c r="BB625" s="55" t="str">
        <f t="shared" si="110"/>
        <v/>
      </c>
      <c r="BC625" s="55" t="str">
        <f t="shared" si="111"/>
        <v/>
      </c>
      <c r="BD625" s="55" t="str">
        <f t="shared" si="112"/>
        <v/>
      </c>
      <c r="BE625" s="55" t="str">
        <f t="shared" si="113"/>
        <v/>
      </c>
      <c r="BF625" s="55" t="str">
        <f t="shared" si="114"/>
        <v/>
      </c>
      <c r="BG625" s="55" t="str">
        <f t="shared" si="115"/>
        <v/>
      </c>
      <c r="BH625" s="55" t="str">
        <f t="shared" si="116"/>
        <v/>
      </c>
      <c r="BI625" s="55" t="str">
        <f t="shared" si="117"/>
        <v/>
      </c>
      <c r="BJ625" s="55" t="str">
        <f t="shared" si="118"/>
        <v/>
      </c>
      <c r="BK625" s="55" t="str">
        <f t="shared" si="119"/>
        <v/>
      </c>
    </row>
    <row r="626" spans="22:63">
      <c r="V626" s="55">
        <f t="shared" ca="1" si="108"/>
        <v>1</v>
      </c>
      <c r="W626" s="64"/>
      <c r="X626" s="65"/>
      <c r="Y626" s="65"/>
      <c r="Z626" s="65"/>
      <c r="AA626" s="64"/>
      <c r="AB626" s="65"/>
      <c r="AC626" s="64"/>
      <c r="AD626" s="65"/>
      <c r="AE626" s="64"/>
      <c r="AF626" s="65"/>
      <c r="AG626" s="65"/>
      <c r="AH626" s="66" t="str">
        <f t="shared" si="109"/>
        <v/>
      </c>
      <c r="AI626" s="64"/>
      <c r="AJ626" s="65"/>
      <c r="AK626" s="64"/>
      <c r="AL626" s="65"/>
      <c r="BB626" s="55" t="str">
        <f t="shared" si="110"/>
        <v/>
      </c>
      <c r="BC626" s="55" t="str">
        <f t="shared" si="111"/>
        <v/>
      </c>
      <c r="BD626" s="55" t="str">
        <f t="shared" si="112"/>
        <v/>
      </c>
      <c r="BE626" s="55" t="str">
        <f t="shared" si="113"/>
        <v/>
      </c>
      <c r="BF626" s="55" t="str">
        <f t="shared" si="114"/>
        <v/>
      </c>
      <c r="BG626" s="55" t="str">
        <f t="shared" si="115"/>
        <v/>
      </c>
      <c r="BH626" s="55" t="str">
        <f t="shared" si="116"/>
        <v/>
      </c>
      <c r="BI626" s="55" t="str">
        <f t="shared" si="117"/>
        <v/>
      </c>
      <c r="BJ626" s="55" t="str">
        <f t="shared" si="118"/>
        <v/>
      </c>
      <c r="BK626" s="55" t="str">
        <f t="shared" si="119"/>
        <v/>
      </c>
    </row>
    <row r="627" spans="22:63">
      <c r="V627" s="55">
        <f t="shared" ca="1" si="108"/>
        <v>1</v>
      </c>
      <c r="W627" s="64"/>
      <c r="X627" s="65"/>
      <c r="Y627" s="65"/>
      <c r="Z627" s="65"/>
      <c r="AA627" s="64"/>
      <c r="AB627" s="65"/>
      <c r="AC627" s="64"/>
      <c r="AD627" s="65"/>
      <c r="AE627" s="64"/>
      <c r="AF627" s="65"/>
      <c r="AG627" s="65"/>
      <c r="AH627" s="66" t="str">
        <f t="shared" si="109"/>
        <v/>
      </c>
      <c r="AI627" s="64"/>
      <c r="AJ627" s="65"/>
      <c r="AK627" s="64"/>
      <c r="AL627" s="65"/>
      <c r="BB627" s="55" t="str">
        <f t="shared" si="110"/>
        <v/>
      </c>
      <c r="BC627" s="55" t="str">
        <f t="shared" si="111"/>
        <v/>
      </c>
      <c r="BD627" s="55" t="str">
        <f t="shared" si="112"/>
        <v/>
      </c>
      <c r="BE627" s="55" t="str">
        <f t="shared" si="113"/>
        <v/>
      </c>
      <c r="BF627" s="55" t="str">
        <f t="shared" si="114"/>
        <v/>
      </c>
      <c r="BG627" s="55" t="str">
        <f t="shared" si="115"/>
        <v/>
      </c>
      <c r="BH627" s="55" t="str">
        <f t="shared" si="116"/>
        <v/>
      </c>
      <c r="BI627" s="55" t="str">
        <f t="shared" si="117"/>
        <v/>
      </c>
      <c r="BJ627" s="55" t="str">
        <f t="shared" si="118"/>
        <v/>
      </c>
      <c r="BK627" s="55" t="str">
        <f t="shared" si="119"/>
        <v/>
      </c>
    </row>
    <row r="628" spans="22:63">
      <c r="V628" s="55">
        <f t="shared" ca="1" si="108"/>
        <v>1</v>
      </c>
      <c r="W628" s="64"/>
      <c r="X628" s="65"/>
      <c r="Y628" s="65"/>
      <c r="Z628" s="65"/>
      <c r="AA628" s="64"/>
      <c r="AB628" s="65"/>
      <c r="AC628" s="64"/>
      <c r="AD628" s="65"/>
      <c r="AE628" s="64"/>
      <c r="AF628" s="65"/>
      <c r="AG628" s="65"/>
      <c r="AH628" s="66" t="str">
        <f t="shared" si="109"/>
        <v/>
      </c>
      <c r="AI628" s="64"/>
      <c r="AJ628" s="65"/>
      <c r="AK628" s="64"/>
      <c r="AL628" s="65"/>
      <c r="BB628" s="55" t="str">
        <f t="shared" si="110"/>
        <v/>
      </c>
      <c r="BC628" s="55" t="str">
        <f t="shared" si="111"/>
        <v/>
      </c>
      <c r="BD628" s="55" t="str">
        <f t="shared" si="112"/>
        <v/>
      </c>
      <c r="BE628" s="55" t="str">
        <f t="shared" si="113"/>
        <v/>
      </c>
      <c r="BF628" s="55" t="str">
        <f t="shared" si="114"/>
        <v/>
      </c>
      <c r="BG628" s="55" t="str">
        <f t="shared" si="115"/>
        <v/>
      </c>
      <c r="BH628" s="55" t="str">
        <f t="shared" si="116"/>
        <v/>
      </c>
      <c r="BI628" s="55" t="str">
        <f t="shared" si="117"/>
        <v/>
      </c>
      <c r="BJ628" s="55" t="str">
        <f t="shared" si="118"/>
        <v/>
      </c>
      <c r="BK628" s="55" t="str">
        <f t="shared" si="119"/>
        <v/>
      </c>
    </row>
    <row r="629" spans="22:63">
      <c r="V629" s="55">
        <f t="shared" ca="1" si="108"/>
        <v>1</v>
      </c>
      <c r="W629" s="64"/>
      <c r="X629" s="65"/>
      <c r="Y629" s="65"/>
      <c r="Z629" s="65"/>
      <c r="AA629" s="64"/>
      <c r="AB629" s="65"/>
      <c r="AC629" s="64"/>
      <c r="AD629" s="65"/>
      <c r="AE629" s="64"/>
      <c r="AF629" s="65"/>
      <c r="AG629" s="65"/>
      <c r="AH629" s="66" t="str">
        <f t="shared" si="109"/>
        <v/>
      </c>
      <c r="AI629" s="64"/>
      <c r="AJ629" s="65"/>
      <c r="AK629" s="64"/>
      <c r="AL629" s="65"/>
      <c r="BB629" s="55" t="str">
        <f t="shared" si="110"/>
        <v/>
      </c>
      <c r="BC629" s="55" t="str">
        <f t="shared" si="111"/>
        <v/>
      </c>
      <c r="BD629" s="55" t="str">
        <f t="shared" si="112"/>
        <v/>
      </c>
      <c r="BE629" s="55" t="str">
        <f t="shared" si="113"/>
        <v/>
      </c>
      <c r="BF629" s="55" t="str">
        <f t="shared" si="114"/>
        <v/>
      </c>
      <c r="BG629" s="55" t="str">
        <f t="shared" si="115"/>
        <v/>
      </c>
      <c r="BH629" s="55" t="str">
        <f t="shared" si="116"/>
        <v/>
      </c>
      <c r="BI629" s="55" t="str">
        <f t="shared" si="117"/>
        <v/>
      </c>
      <c r="BJ629" s="55" t="str">
        <f t="shared" si="118"/>
        <v/>
      </c>
      <c r="BK629" s="55" t="str">
        <f t="shared" si="119"/>
        <v/>
      </c>
    </row>
    <row r="630" spans="22:63">
      <c r="V630" s="55">
        <f t="shared" ca="1" si="108"/>
        <v>1</v>
      </c>
      <c r="W630" s="64"/>
      <c r="X630" s="65"/>
      <c r="Y630" s="65"/>
      <c r="Z630" s="65"/>
      <c r="AA630" s="64"/>
      <c r="AB630" s="65"/>
      <c r="AC630" s="64"/>
      <c r="AD630" s="65"/>
      <c r="AE630" s="64"/>
      <c r="AF630" s="65"/>
      <c r="AG630" s="65"/>
      <c r="AH630" s="66" t="str">
        <f t="shared" si="109"/>
        <v/>
      </c>
      <c r="AI630" s="64"/>
      <c r="AJ630" s="65"/>
      <c r="AK630" s="64"/>
      <c r="AL630" s="65"/>
      <c r="BB630" s="55" t="str">
        <f t="shared" si="110"/>
        <v/>
      </c>
      <c r="BC630" s="55" t="str">
        <f t="shared" si="111"/>
        <v/>
      </c>
      <c r="BD630" s="55" t="str">
        <f t="shared" si="112"/>
        <v/>
      </c>
      <c r="BE630" s="55" t="str">
        <f t="shared" si="113"/>
        <v/>
      </c>
      <c r="BF630" s="55" t="str">
        <f t="shared" si="114"/>
        <v/>
      </c>
      <c r="BG630" s="55" t="str">
        <f t="shared" si="115"/>
        <v/>
      </c>
      <c r="BH630" s="55" t="str">
        <f t="shared" si="116"/>
        <v/>
      </c>
      <c r="BI630" s="55" t="str">
        <f t="shared" si="117"/>
        <v/>
      </c>
      <c r="BJ630" s="55" t="str">
        <f t="shared" si="118"/>
        <v/>
      </c>
      <c r="BK630" s="55" t="str">
        <f t="shared" si="119"/>
        <v/>
      </c>
    </row>
    <row r="631" spans="22:63">
      <c r="V631" s="55">
        <f t="shared" ca="1" si="108"/>
        <v>1</v>
      </c>
      <c r="W631" s="64"/>
      <c r="X631" s="65"/>
      <c r="Y631" s="65"/>
      <c r="Z631" s="65"/>
      <c r="AA631" s="64"/>
      <c r="AB631" s="65"/>
      <c r="AC631" s="64"/>
      <c r="AD631" s="65"/>
      <c r="AE631" s="64"/>
      <c r="AF631" s="65"/>
      <c r="AG631" s="65"/>
      <c r="AH631" s="66" t="str">
        <f t="shared" si="109"/>
        <v/>
      </c>
      <c r="AI631" s="64"/>
      <c r="AJ631" s="65"/>
      <c r="AK631" s="64"/>
      <c r="AL631" s="65"/>
      <c r="BB631" s="55" t="str">
        <f t="shared" si="110"/>
        <v/>
      </c>
      <c r="BC631" s="55" t="str">
        <f t="shared" si="111"/>
        <v/>
      </c>
      <c r="BD631" s="55" t="str">
        <f t="shared" si="112"/>
        <v/>
      </c>
      <c r="BE631" s="55" t="str">
        <f t="shared" si="113"/>
        <v/>
      </c>
      <c r="BF631" s="55" t="str">
        <f t="shared" si="114"/>
        <v/>
      </c>
      <c r="BG631" s="55" t="str">
        <f t="shared" si="115"/>
        <v/>
      </c>
      <c r="BH631" s="55" t="str">
        <f t="shared" si="116"/>
        <v/>
      </c>
      <c r="BI631" s="55" t="str">
        <f t="shared" si="117"/>
        <v/>
      </c>
      <c r="BJ631" s="55" t="str">
        <f t="shared" si="118"/>
        <v/>
      </c>
      <c r="BK631" s="55" t="str">
        <f t="shared" si="119"/>
        <v/>
      </c>
    </row>
    <row r="632" spans="22:63">
      <c r="V632" s="55">
        <f t="shared" ca="1" si="108"/>
        <v>1</v>
      </c>
      <c r="W632" s="64"/>
      <c r="X632" s="65"/>
      <c r="Y632" s="65"/>
      <c r="Z632" s="65"/>
      <c r="AA632" s="64"/>
      <c r="AB632" s="65"/>
      <c r="AC632" s="64"/>
      <c r="AD632" s="65"/>
      <c r="AE632" s="64"/>
      <c r="AF632" s="65"/>
      <c r="AG632" s="65"/>
      <c r="AH632" s="66" t="str">
        <f t="shared" si="109"/>
        <v/>
      </c>
      <c r="AI632" s="64"/>
      <c r="AJ632" s="65"/>
      <c r="AK632" s="64"/>
      <c r="AL632" s="65"/>
      <c r="BB632" s="55" t="str">
        <f t="shared" si="110"/>
        <v/>
      </c>
      <c r="BC632" s="55" t="str">
        <f t="shared" si="111"/>
        <v/>
      </c>
      <c r="BD632" s="55" t="str">
        <f t="shared" si="112"/>
        <v/>
      </c>
      <c r="BE632" s="55" t="str">
        <f t="shared" si="113"/>
        <v/>
      </c>
      <c r="BF632" s="55" t="str">
        <f t="shared" si="114"/>
        <v/>
      </c>
      <c r="BG632" s="55" t="str">
        <f t="shared" si="115"/>
        <v/>
      </c>
      <c r="BH632" s="55" t="str">
        <f t="shared" si="116"/>
        <v/>
      </c>
      <c r="BI632" s="55" t="str">
        <f t="shared" si="117"/>
        <v/>
      </c>
      <c r="BJ632" s="55" t="str">
        <f t="shared" si="118"/>
        <v/>
      </c>
      <c r="BK632" s="55" t="str">
        <f t="shared" si="119"/>
        <v/>
      </c>
    </row>
    <row r="633" spans="22:63">
      <c r="V633" s="55">
        <f t="shared" ca="1" si="108"/>
        <v>1</v>
      </c>
      <c r="W633" s="64"/>
      <c r="X633" s="65"/>
      <c r="Y633" s="65"/>
      <c r="Z633" s="65"/>
      <c r="AA633" s="64"/>
      <c r="AB633" s="65"/>
      <c r="AC633" s="64"/>
      <c r="AD633" s="65"/>
      <c r="AE633" s="64"/>
      <c r="AF633" s="65"/>
      <c r="AG633" s="65"/>
      <c r="AH633" s="66" t="str">
        <f t="shared" si="109"/>
        <v/>
      </c>
      <c r="AI633" s="64"/>
      <c r="AJ633" s="65"/>
      <c r="AK633" s="64"/>
      <c r="AL633" s="65"/>
      <c r="BB633" s="55" t="str">
        <f t="shared" si="110"/>
        <v/>
      </c>
      <c r="BC633" s="55" t="str">
        <f t="shared" si="111"/>
        <v/>
      </c>
      <c r="BD633" s="55" t="str">
        <f t="shared" si="112"/>
        <v/>
      </c>
      <c r="BE633" s="55" t="str">
        <f t="shared" si="113"/>
        <v/>
      </c>
      <c r="BF633" s="55" t="str">
        <f t="shared" si="114"/>
        <v/>
      </c>
      <c r="BG633" s="55" t="str">
        <f t="shared" si="115"/>
        <v/>
      </c>
      <c r="BH633" s="55" t="str">
        <f t="shared" si="116"/>
        <v/>
      </c>
      <c r="BI633" s="55" t="str">
        <f t="shared" si="117"/>
        <v/>
      </c>
      <c r="BJ633" s="55" t="str">
        <f t="shared" si="118"/>
        <v/>
      </c>
      <c r="BK633" s="55" t="str">
        <f t="shared" si="119"/>
        <v/>
      </c>
    </row>
    <row r="634" spans="22:63">
      <c r="V634" s="55">
        <f t="shared" ca="1" si="108"/>
        <v>1</v>
      </c>
      <c r="W634" s="64"/>
      <c r="X634" s="65"/>
      <c r="Y634" s="65"/>
      <c r="Z634" s="65"/>
      <c r="AA634" s="64"/>
      <c r="AB634" s="65"/>
      <c r="AC634" s="64"/>
      <c r="AD634" s="65"/>
      <c r="AE634" s="64"/>
      <c r="AF634" s="65"/>
      <c r="AG634" s="65"/>
      <c r="AH634" s="66" t="str">
        <f t="shared" si="109"/>
        <v/>
      </c>
      <c r="AI634" s="64"/>
      <c r="AJ634" s="65"/>
      <c r="AK634" s="64"/>
      <c r="AL634" s="65"/>
      <c r="BB634" s="55" t="str">
        <f t="shared" si="110"/>
        <v/>
      </c>
      <c r="BC634" s="55" t="str">
        <f t="shared" si="111"/>
        <v/>
      </c>
      <c r="BD634" s="55" t="str">
        <f t="shared" si="112"/>
        <v/>
      </c>
      <c r="BE634" s="55" t="str">
        <f t="shared" si="113"/>
        <v/>
      </c>
      <c r="BF634" s="55" t="str">
        <f t="shared" si="114"/>
        <v/>
      </c>
      <c r="BG634" s="55" t="str">
        <f t="shared" si="115"/>
        <v/>
      </c>
      <c r="BH634" s="55" t="str">
        <f t="shared" si="116"/>
        <v/>
      </c>
      <c r="BI634" s="55" t="str">
        <f t="shared" si="117"/>
        <v/>
      </c>
      <c r="BJ634" s="55" t="str">
        <f t="shared" si="118"/>
        <v/>
      </c>
      <c r="BK634" s="55" t="str">
        <f t="shared" si="119"/>
        <v/>
      </c>
    </row>
    <row r="635" spans="22:63">
      <c r="V635" s="55">
        <f t="shared" ca="1" si="108"/>
        <v>1</v>
      </c>
      <c r="W635" s="64"/>
      <c r="X635" s="65"/>
      <c r="Y635" s="65"/>
      <c r="Z635" s="65"/>
      <c r="AA635" s="64"/>
      <c r="AB635" s="65"/>
      <c r="AC635" s="64"/>
      <c r="AD635" s="65"/>
      <c r="AE635" s="64"/>
      <c r="AF635" s="65"/>
      <c r="AG635" s="65"/>
      <c r="AH635" s="66" t="str">
        <f t="shared" si="109"/>
        <v/>
      </c>
      <c r="AI635" s="64"/>
      <c r="AJ635" s="65"/>
      <c r="AK635" s="64"/>
      <c r="AL635" s="65"/>
      <c r="BB635" s="55" t="str">
        <f t="shared" si="110"/>
        <v/>
      </c>
      <c r="BC635" s="55" t="str">
        <f t="shared" si="111"/>
        <v/>
      </c>
      <c r="BD635" s="55" t="str">
        <f t="shared" si="112"/>
        <v/>
      </c>
      <c r="BE635" s="55" t="str">
        <f t="shared" si="113"/>
        <v/>
      </c>
      <c r="BF635" s="55" t="str">
        <f t="shared" si="114"/>
        <v/>
      </c>
      <c r="BG635" s="55" t="str">
        <f t="shared" si="115"/>
        <v/>
      </c>
      <c r="BH635" s="55" t="str">
        <f t="shared" si="116"/>
        <v/>
      </c>
      <c r="BI635" s="55" t="str">
        <f t="shared" si="117"/>
        <v/>
      </c>
      <c r="BJ635" s="55" t="str">
        <f t="shared" si="118"/>
        <v/>
      </c>
      <c r="BK635" s="55" t="str">
        <f t="shared" si="119"/>
        <v/>
      </c>
    </row>
    <row r="636" spans="22:63">
      <c r="V636" s="55">
        <f t="shared" ca="1" si="108"/>
        <v>1</v>
      </c>
      <c r="W636" s="64"/>
      <c r="X636" s="65"/>
      <c r="Y636" s="65"/>
      <c r="Z636" s="65"/>
      <c r="AA636" s="64"/>
      <c r="AB636" s="65"/>
      <c r="AC636" s="64"/>
      <c r="AD636" s="65"/>
      <c r="AE636" s="64"/>
      <c r="AF636" s="65"/>
      <c r="AG636" s="65"/>
      <c r="AH636" s="66" t="str">
        <f t="shared" si="109"/>
        <v/>
      </c>
      <c r="AI636" s="64"/>
      <c r="AJ636" s="65"/>
      <c r="AK636" s="64"/>
      <c r="AL636" s="65"/>
      <c r="BB636" s="55" t="str">
        <f t="shared" si="110"/>
        <v/>
      </c>
      <c r="BC636" s="55" t="str">
        <f t="shared" si="111"/>
        <v/>
      </c>
      <c r="BD636" s="55" t="str">
        <f t="shared" si="112"/>
        <v/>
      </c>
      <c r="BE636" s="55" t="str">
        <f t="shared" si="113"/>
        <v/>
      </c>
      <c r="BF636" s="55" t="str">
        <f t="shared" si="114"/>
        <v/>
      </c>
      <c r="BG636" s="55" t="str">
        <f t="shared" si="115"/>
        <v/>
      </c>
      <c r="BH636" s="55" t="str">
        <f t="shared" si="116"/>
        <v/>
      </c>
      <c r="BI636" s="55" t="str">
        <f t="shared" si="117"/>
        <v/>
      </c>
      <c r="BJ636" s="55" t="str">
        <f t="shared" si="118"/>
        <v/>
      </c>
      <c r="BK636" s="55" t="str">
        <f t="shared" si="119"/>
        <v/>
      </c>
    </row>
    <row r="637" spans="22:63">
      <c r="V637" s="55">
        <f t="shared" ca="1" si="108"/>
        <v>1</v>
      </c>
      <c r="W637" s="64"/>
      <c r="X637" s="65"/>
      <c r="Y637" s="65"/>
      <c r="Z637" s="65"/>
      <c r="AA637" s="64"/>
      <c r="AB637" s="65"/>
      <c r="AC637" s="64"/>
      <c r="AD637" s="65"/>
      <c r="AE637" s="64"/>
      <c r="AF637" s="65"/>
      <c r="AG637" s="65"/>
      <c r="AH637" s="66" t="str">
        <f t="shared" si="109"/>
        <v/>
      </c>
      <c r="AI637" s="64"/>
      <c r="AJ637" s="65"/>
      <c r="AK637" s="64"/>
      <c r="AL637" s="65"/>
      <c r="BB637" s="55" t="str">
        <f t="shared" si="110"/>
        <v/>
      </c>
      <c r="BC637" s="55" t="str">
        <f t="shared" si="111"/>
        <v/>
      </c>
      <c r="BD637" s="55" t="str">
        <f t="shared" si="112"/>
        <v/>
      </c>
      <c r="BE637" s="55" t="str">
        <f t="shared" si="113"/>
        <v/>
      </c>
      <c r="BF637" s="55" t="str">
        <f t="shared" si="114"/>
        <v/>
      </c>
      <c r="BG637" s="55" t="str">
        <f t="shared" si="115"/>
        <v/>
      </c>
      <c r="BH637" s="55" t="str">
        <f t="shared" si="116"/>
        <v/>
      </c>
      <c r="BI637" s="55" t="str">
        <f t="shared" si="117"/>
        <v/>
      </c>
      <c r="BJ637" s="55" t="str">
        <f t="shared" si="118"/>
        <v/>
      </c>
      <c r="BK637" s="55" t="str">
        <f t="shared" si="119"/>
        <v/>
      </c>
    </row>
    <row r="638" spans="22:63">
      <c r="V638" s="55">
        <f t="shared" ca="1" si="108"/>
        <v>1</v>
      </c>
      <c r="W638" s="64"/>
      <c r="X638" s="65"/>
      <c r="Y638" s="65"/>
      <c r="Z638" s="65"/>
      <c r="AA638" s="64"/>
      <c r="AB638" s="65"/>
      <c r="AC638" s="64"/>
      <c r="AD638" s="65"/>
      <c r="AE638" s="64"/>
      <c r="AF638" s="65"/>
      <c r="AG638" s="65"/>
      <c r="AH638" s="66" t="str">
        <f t="shared" si="109"/>
        <v/>
      </c>
      <c r="AI638" s="64"/>
      <c r="AJ638" s="65"/>
      <c r="AK638" s="64"/>
      <c r="AL638" s="65"/>
      <c r="BB638" s="55" t="str">
        <f t="shared" si="110"/>
        <v/>
      </c>
      <c r="BC638" s="55" t="str">
        <f t="shared" si="111"/>
        <v/>
      </c>
      <c r="BD638" s="55" t="str">
        <f t="shared" si="112"/>
        <v/>
      </c>
      <c r="BE638" s="55" t="str">
        <f t="shared" si="113"/>
        <v/>
      </c>
      <c r="BF638" s="55" t="str">
        <f t="shared" si="114"/>
        <v/>
      </c>
      <c r="BG638" s="55" t="str">
        <f t="shared" si="115"/>
        <v/>
      </c>
      <c r="BH638" s="55" t="str">
        <f t="shared" si="116"/>
        <v/>
      </c>
      <c r="BI638" s="55" t="str">
        <f t="shared" si="117"/>
        <v/>
      </c>
      <c r="BJ638" s="55" t="str">
        <f t="shared" si="118"/>
        <v/>
      </c>
      <c r="BK638" s="55" t="str">
        <f t="shared" si="119"/>
        <v/>
      </c>
    </row>
    <row r="639" spans="22:63">
      <c r="V639" s="55">
        <f t="shared" ca="1" si="108"/>
        <v>1</v>
      </c>
      <c r="W639" s="64"/>
      <c r="X639" s="65"/>
      <c r="Y639" s="65"/>
      <c r="Z639" s="65"/>
      <c r="AA639" s="64"/>
      <c r="AB639" s="65"/>
      <c r="AC639" s="64"/>
      <c r="AD639" s="65"/>
      <c r="AE639" s="64"/>
      <c r="AF639" s="65"/>
      <c r="AG639" s="65"/>
      <c r="AH639" s="66" t="str">
        <f t="shared" si="109"/>
        <v/>
      </c>
      <c r="AI639" s="64"/>
      <c r="AJ639" s="65"/>
      <c r="AK639" s="64"/>
      <c r="AL639" s="65"/>
      <c r="BB639" s="55" t="str">
        <f t="shared" si="110"/>
        <v/>
      </c>
      <c r="BC639" s="55" t="str">
        <f t="shared" si="111"/>
        <v/>
      </c>
      <c r="BD639" s="55" t="str">
        <f t="shared" si="112"/>
        <v/>
      </c>
      <c r="BE639" s="55" t="str">
        <f t="shared" si="113"/>
        <v/>
      </c>
      <c r="BF639" s="55" t="str">
        <f t="shared" si="114"/>
        <v/>
      </c>
      <c r="BG639" s="55" t="str">
        <f t="shared" si="115"/>
        <v/>
      </c>
      <c r="BH639" s="55" t="str">
        <f t="shared" si="116"/>
        <v/>
      </c>
      <c r="BI639" s="55" t="str">
        <f t="shared" si="117"/>
        <v/>
      </c>
      <c r="BJ639" s="55" t="str">
        <f t="shared" si="118"/>
        <v/>
      </c>
      <c r="BK639" s="55" t="str">
        <f t="shared" si="119"/>
        <v/>
      </c>
    </row>
    <row r="640" spans="22:63">
      <c r="V640" s="55">
        <f t="shared" ca="1" si="108"/>
        <v>1</v>
      </c>
      <c r="W640" s="64"/>
      <c r="X640" s="65"/>
      <c r="Y640" s="65"/>
      <c r="Z640" s="65"/>
      <c r="AA640" s="64"/>
      <c r="AB640" s="65"/>
      <c r="AC640" s="64"/>
      <c r="AD640" s="65"/>
      <c r="AE640" s="64"/>
      <c r="AF640" s="65"/>
      <c r="AG640" s="65"/>
      <c r="AH640" s="66" t="str">
        <f t="shared" si="109"/>
        <v/>
      </c>
      <c r="AI640" s="64"/>
      <c r="AJ640" s="65"/>
      <c r="AK640" s="64"/>
      <c r="AL640" s="65"/>
      <c r="BB640" s="55" t="str">
        <f t="shared" si="110"/>
        <v/>
      </c>
      <c r="BC640" s="55" t="str">
        <f t="shared" si="111"/>
        <v/>
      </c>
      <c r="BD640" s="55" t="str">
        <f t="shared" si="112"/>
        <v/>
      </c>
      <c r="BE640" s="55" t="str">
        <f t="shared" si="113"/>
        <v/>
      </c>
      <c r="BF640" s="55" t="str">
        <f t="shared" si="114"/>
        <v/>
      </c>
      <c r="BG640" s="55" t="str">
        <f t="shared" si="115"/>
        <v/>
      </c>
      <c r="BH640" s="55" t="str">
        <f t="shared" si="116"/>
        <v/>
      </c>
      <c r="BI640" s="55" t="str">
        <f t="shared" si="117"/>
        <v/>
      </c>
      <c r="BJ640" s="55" t="str">
        <f t="shared" si="118"/>
        <v/>
      </c>
      <c r="BK640" s="55" t="str">
        <f t="shared" si="119"/>
        <v/>
      </c>
    </row>
    <row r="641" spans="22:63">
      <c r="V641" s="55">
        <f t="shared" ca="1" si="108"/>
        <v>1</v>
      </c>
      <c r="W641" s="64"/>
      <c r="X641" s="65"/>
      <c r="Y641" s="65"/>
      <c r="Z641" s="65"/>
      <c r="AA641" s="64"/>
      <c r="AB641" s="65"/>
      <c r="AC641" s="64"/>
      <c r="AD641" s="65"/>
      <c r="AE641" s="64"/>
      <c r="AF641" s="65"/>
      <c r="AG641" s="65"/>
      <c r="AH641" s="66" t="str">
        <f t="shared" si="109"/>
        <v/>
      </c>
      <c r="AI641" s="64"/>
      <c r="AJ641" s="65"/>
      <c r="AK641" s="64"/>
      <c r="AL641" s="65"/>
      <c r="BB641" s="55" t="str">
        <f t="shared" si="110"/>
        <v/>
      </c>
      <c r="BC641" s="55" t="str">
        <f t="shared" si="111"/>
        <v/>
      </c>
      <c r="BD641" s="55" t="str">
        <f t="shared" si="112"/>
        <v/>
      </c>
      <c r="BE641" s="55" t="str">
        <f t="shared" si="113"/>
        <v/>
      </c>
      <c r="BF641" s="55" t="str">
        <f t="shared" si="114"/>
        <v/>
      </c>
      <c r="BG641" s="55" t="str">
        <f t="shared" si="115"/>
        <v/>
      </c>
      <c r="BH641" s="55" t="str">
        <f t="shared" si="116"/>
        <v/>
      </c>
      <c r="BI641" s="55" t="str">
        <f t="shared" si="117"/>
        <v/>
      </c>
      <c r="BJ641" s="55" t="str">
        <f t="shared" si="118"/>
        <v/>
      </c>
      <c r="BK641" s="55" t="str">
        <f t="shared" si="119"/>
        <v/>
      </c>
    </row>
    <row r="642" spans="22:63">
      <c r="V642" s="55">
        <f t="shared" ca="1" si="108"/>
        <v>1</v>
      </c>
      <c r="W642" s="64"/>
      <c r="X642" s="65"/>
      <c r="Y642" s="65"/>
      <c r="Z642" s="65"/>
      <c r="AA642" s="64"/>
      <c r="AB642" s="65"/>
      <c r="AC642" s="64"/>
      <c r="AD642" s="65"/>
      <c r="AE642" s="64"/>
      <c r="AF642" s="65"/>
      <c r="AG642" s="65"/>
      <c r="AH642" s="66" t="str">
        <f t="shared" si="109"/>
        <v/>
      </c>
      <c r="AI642" s="64"/>
      <c r="AJ642" s="65"/>
      <c r="AK642" s="64"/>
      <c r="AL642" s="65"/>
      <c r="BB642" s="55" t="str">
        <f t="shared" si="110"/>
        <v/>
      </c>
      <c r="BC642" s="55" t="str">
        <f t="shared" si="111"/>
        <v/>
      </c>
      <c r="BD642" s="55" t="str">
        <f t="shared" si="112"/>
        <v/>
      </c>
      <c r="BE642" s="55" t="str">
        <f t="shared" si="113"/>
        <v/>
      </c>
      <c r="BF642" s="55" t="str">
        <f t="shared" si="114"/>
        <v/>
      </c>
      <c r="BG642" s="55" t="str">
        <f t="shared" si="115"/>
        <v/>
      </c>
      <c r="BH642" s="55" t="str">
        <f t="shared" si="116"/>
        <v/>
      </c>
      <c r="BI642" s="55" t="str">
        <f t="shared" si="117"/>
        <v/>
      </c>
      <c r="BJ642" s="55" t="str">
        <f t="shared" si="118"/>
        <v/>
      </c>
      <c r="BK642" s="55" t="str">
        <f t="shared" si="119"/>
        <v/>
      </c>
    </row>
    <row r="643" spans="22:63">
      <c r="V643" s="55">
        <f t="shared" ca="1" si="108"/>
        <v>1</v>
      </c>
      <c r="W643" s="64"/>
      <c r="X643" s="65"/>
      <c r="Y643" s="65"/>
      <c r="Z643" s="65"/>
      <c r="AA643" s="64"/>
      <c r="AB643" s="65"/>
      <c r="AC643" s="64"/>
      <c r="AD643" s="65"/>
      <c r="AE643" s="64"/>
      <c r="AF643" s="65"/>
      <c r="AG643" s="65"/>
      <c r="AH643" s="66" t="str">
        <f t="shared" si="109"/>
        <v/>
      </c>
      <c r="AI643" s="64"/>
      <c r="AJ643" s="65"/>
      <c r="AK643" s="64"/>
      <c r="AL643" s="65"/>
      <c r="BB643" s="55" t="str">
        <f t="shared" si="110"/>
        <v/>
      </c>
      <c r="BC643" s="55" t="str">
        <f t="shared" si="111"/>
        <v/>
      </c>
      <c r="BD643" s="55" t="str">
        <f t="shared" si="112"/>
        <v/>
      </c>
      <c r="BE643" s="55" t="str">
        <f t="shared" si="113"/>
        <v/>
      </c>
      <c r="BF643" s="55" t="str">
        <f t="shared" si="114"/>
        <v/>
      </c>
      <c r="BG643" s="55" t="str">
        <f t="shared" si="115"/>
        <v/>
      </c>
      <c r="BH643" s="55" t="str">
        <f t="shared" si="116"/>
        <v/>
      </c>
      <c r="BI643" s="55" t="str">
        <f t="shared" si="117"/>
        <v/>
      </c>
      <c r="BJ643" s="55" t="str">
        <f t="shared" si="118"/>
        <v/>
      </c>
      <c r="BK643" s="55" t="str">
        <f t="shared" si="119"/>
        <v/>
      </c>
    </row>
    <row r="644" spans="22:63">
      <c r="V644" s="55">
        <f t="shared" ca="1" si="108"/>
        <v>1</v>
      </c>
      <c r="W644" s="64"/>
      <c r="X644" s="65"/>
      <c r="Y644" s="65"/>
      <c r="Z644" s="65"/>
      <c r="AA644" s="64"/>
      <c r="AB644" s="65"/>
      <c r="AC644" s="64"/>
      <c r="AD644" s="65"/>
      <c r="AE644" s="64"/>
      <c r="AF644" s="65"/>
      <c r="AG644" s="65"/>
      <c r="AH644" s="66" t="str">
        <f t="shared" si="109"/>
        <v/>
      </c>
      <c r="AI644" s="64"/>
      <c r="AJ644" s="65"/>
      <c r="AK644" s="64"/>
      <c r="AL644" s="65"/>
      <c r="BB644" s="55" t="str">
        <f t="shared" si="110"/>
        <v/>
      </c>
      <c r="BC644" s="55" t="str">
        <f t="shared" si="111"/>
        <v/>
      </c>
      <c r="BD644" s="55" t="str">
        <f t="shared" si="112"/>
        <v/>
      </c>
      <c r="BE644" s="55" t="str">
        <f t="shared" si="113"/>
        <v/>
      </c>
      <c r="BF644" s="55" t="str">
        <f t="shared" si="114"/>
        <v/>
      </c>
      <c r="BG644" s="55" t="str">
        <f t="shared" si="115"/>
        <v/>
      </c>
      <c r="BH644" s="55" t="str">
        <f t="shared" si="116"/>
        <v/>
      </c>
      <c r="BI644" s="55" t="str">
        <f t="shared" si="117"/>
        <v/>
      </c>
      <c r="BJ644" s="55" t="str">
        <f t="shared" si="118"/>
        <v/>
      </c>
      <c r="BK644" s="55" t="str">
        <f t="shared" si="119"/>
        <v/>
      </c>
    </row>
    <row r="645" spans="22:63">
      <c r="V645" s="55">
        <f t="shared" ca="1" si="108"/>
        <v>1</v>
      </c>
      <c r="W645" s="64"/>
      <c r="X645" s="65"/>
      <c r="Y645" s="65"/>
      <c r="Z645" s="65"/>
      <c r="AA645" s="64"/>
      <c r="AB645" s="65"/>
      <c r="AC645" s="64"/>
      <c r="AD645" s="65"/>
      <c r="AE645" s="64"/>
      <c r="AF645" s="65"/>
      <c r="AG645" s="65"/>
      <c r="AH645" s="66" t="str">
        <f t="shared" si="109"/>
        <v/>
      </c>
      <c r="AI645" s="64"/>
      <c r="AJ645" s="65"/>
      <c r="AK645" s="64"/>
      <c r="AL645" s="65"/>
      <c r="BB645" s="55" t="str">
        <f t="shared" si="110"/>
        <v/>
      </c>
      <c r="BC645" s="55" t="str">
        <f t="shared" si="111"/>
        <v/>
      </c>
      <c r="BD645" s="55" t="str">
        <f t="shared" si="112"/>
        <v/>
      </c>
      <c r="BE645" s="55" t="str">
        <f t="shared" si="113"/>
        <v/>
      </c>
      <c r="BF645" s="55" t="str">
        <f t="shared" si="114"/>
        <v/>
      </c>
      <c r="BG645" s="55" t="str">
        <f t="shared" si="115"/>
        <v/>
      </c>
      <c r="BH645" s="55" t="str">
        <f t="shared" si="116"/>
        <v/>
      </c>
      <c r="BI645" s="55" t="str">
        <f t="shared" si="117"/>
        <v/>
      </c>
      <c r="BJ645" s="55" t="str">
        <f t="shared" si="118"/>
        <v/>
      </c>
      <c r="BK645" s="55" t="str">
        <f t="shared" si="119"/>
        <v/>
      </c>
    </row>
    <row r="646" spans="22:63">
      <c r="V646" s="55">
        <f t="shared" ca="1" si="108"/>
        <v>1</v>
      </c>
      <c r="W646" s="64"/>
      <c r="X646" s="65"/>
      <c r="Y646" s="65"/>
      <c r="Z646" s="65"/>
      <c r="AA646" s="64"/>
      <c r="AB646" s="65"/>
      <c r="AC646" s="64"/>
      <c r="AD646" s="65"/>
      <c r="AE646" s="64"/>
      <c r="AF646" s="65"/>
      <c r="AG646" s="65"/>
      <c r="AH646" s="66" t="str">
        <f t="shared" si="109"/>
        <v/>
      </c>
      <c r="AI646" s="64"/>
      <c r="AJ646" s="65"/>
      <c r="AK646" s="64"/>
      <c r="AL646" s="65"/>
      <c r="BB646" s="55" t="str">
        <f t="shared" si="110"/>
        <v/>
      </c>
      <c r="BC646" s="55" t="str">
        <f t="shared" si="111"/>
        <v/>
      </c>
      <c r="BD646" s="55" t="str">
        <f t="shared" si="112"/>
        <v/>
      </c>
      <c r="BE646" s="55" t="str">
        <f t="shared" si="113"/>
        <v/>
      </c>
      <c r="BF646" s="55" t="str">
        <f t="shared" si="114"/>
        <v/>
      </c>
      <c r="BG646" s="55" t="str">
        <f t="shared" si="115"/>
        <v/>
      </c>
      <c r="BH646" s="55" t="str">
        <f t="shared" si="116"/>
        <v/>
      </c>
      <c r="BI646" s="55" t="str">
        <f t="shared" si="117"/>
        <v/>
      </c>
      <c r="BJ646" s="55" t="str">
        <f t="shared" si="118"/>
        <v/>
      </c>
      <c r="BK646" s="55" t="str">
        <f t="shared" si="119"/>
        <v/>
      </c>
    </row>
    <row r="647" spans="22:63">
      <c r="V647" s="55">
        <f t="shared" ca="1" si="108"/>
        <v>1</v>
      </c>
      <c r="W647" s="64"/>
      <c r="X647" s="65"/>
      <c r="Y647" s="65"/>
      <c r="Z647" s="65"/>
      <c r="AA647" s="64"/>
      <c r="AB647" s="65"/>
      <c r="AC647" s="64"/>
      <c r="AD647" s="65"/>
      <c r="AE647" s="64"/>
      <c r="AF647" s="65"/>
      <c r="AG647" s="65"/>
      <c r="AH647" s="66" t="str">
        <f t="shared" si="109"/>
        <v/>
      </c>
      <c r="AI647" s="64"/>
      <c r="AJ647" s="65"/>
      <c r="AK647" s="64"/>
      <c r="AL647" s="65"/>
      <c r="BB647" s="55" t="str">
        <f t="shared" si="110"/>
        <v/>
      </c>
      <c r="BC647" s="55" t="str">
        <f t="shared" si="111"/>
        <v/>
      </c>
      <c r="BD647" s="55" t="str">
        <f t="shared" si="112"/>
        <v/>
      </c>
      <c r="BE647" s="55" t="str">
        <f t="shared" si="113"/>
        <v/>
      </c>
      <c r="BF647" s="55" t="str">
        <f t="shared" si="114"/>
        <v/>
      </c>
      <c r="BG647" s="55" t="str">
        <f t="shared" si="115"/>
        <v/>
      </c>
      <c r="BH647" s="55" t="str">
        <f t="shared" si="116"/>
        <v/>
      </c>
      <c r="BI647" s="55" t="str">
        <f t="shared" si="117"/>
        <v/>
      </c>
      <c r="BJ647" s="55" t="str">
        <f t="shared" si="118"/>
        <v/>
      </c>
      <c r="BK647" s="55" t="str">
        <f t="shared" si="119"/>
        <v/>
      </c>
    </row>
    <row r="648" spans="22:63">
      <c r="V648" s="55">
        <f t="shared" ca="1" si="108"/>
        <v>1</v>
      </c>
      <c r="W648" s="64"/>
      <c r="X648" s="65"/>
      <c r="Y648" s="65"/>
      <c r="Z648" s="65"/>
      <c r="AA648" s="64"/>
      <c r="AB648" s="65"/>
      <c r="AC648" s="64"/>
      <c r="AD648" s="65"/>
      <c r="AE648" s="64"/>
      <c r="AF648" s="65"/>
      <c r="AG648" s="65"/>
      <c r="AH648" s="66" t="str">
        <f t="shared" si="109"/>
        <v/>
      </c>
      <c r="AI648" s="64"/>
      <c r="AJ648" s="65"/>
      <c r="AK648" s="64"/>
      <c r="AL648" s="65"/>
      <c r="BB648" s="55" t="str">
        <f t="shared" si="110"/>
        <v/>
      </c>
      <c r="BC648" s="55" t="str">
        <f t="shared" si="111"/>
        <v/>
      </c>
      <c r="BD648" s="55" t="str">
        <f t="shared" si="112"/>
        <v/>
      </c>
      <c r="BE648" s="55" t="str">
        <f t="shared" si="113"/>
        <v/>
      </c>
      <c r="BF648" s="55" t="str">
        <f t="shared" si="114"/>
        <v/>
      </c>
      <c r="BG648" s="55" t="str">
        <f t="shared" si="115"/>
        <v/>
      </c>
      <c r="BH648" s="55" t="str">
        <f t="shared" si="116"/>
        <v/>
      </c>
      <c r="BI648" s="55" t="str">
        <f t="shared" si="117"/>
        <v/>
      </c>
      <c r="BJ648" s="55" t="str">
        <f t="shared" si="118"/>
        <v/>
      </c>
      <c r="BK648" s="55" t="str">
        <f t="shared" si="119"/>
        <v/>
      </c>
    </row>
    <row r="649" spans="22:63">
      <c r="V649" s="55">
        <f t="shared" ca="1" si="108"/>
        <v>1</v>
      </c>
      <c r="W649" s="64"/>
      <c r="X649" s="65"/>
      <c r="Y649" s="65"/>
      <c r="Z649" s="65"/>
      <c r="AA649" s="64"/>
      <c r="AB649" s="65"/>
      <c r="AC649" s="64"/>
      <c r="AD649" s="65"/>
      <c r="AE649" s="64"/>
      <c r="AF649" s="65"/>
      <c r="AG649" s="65"/>
      <c r="AH649" s="66" t="str">
        <f t="shared" si="109"/>
        <v/>
      </c>
      <c r="AI649" s="64"/>
      <c r="AJ649" s="65"/>
      <c r="AK649" s="64"/>
      <c r="AL649" s="65"/>
      <c r="BB649" s="55" t="str">
        <f t="shared" si="110"/>
        <v/>
      </c>
      <c r="BC649" s="55" t="str">
        <f t="shared" si="111"/>
        <v/>
      </c>
      <c r="BD649" s="55" t="str">
        <f t="shared" si="112"/>
        <v/>
      </c>
      <c r="BE649" s="55" t="str">
        <f t="shared" si="113"/>
        <v/>
      </c>
      <c r="BF649" s="55" t="str">
        <f t="shared" si="114"/>
        <v/>
      </c>
      <c r="BG649" s="55" t="str">
        <f t="shared" si="115"/>
        <v/>
      </c>
      <c r="BH649" s="55" t="str">
        <f t="shared" si="116"/>
        <v/>
      </c>
      <c r="BI649" s="55" t="str">
        <f t="shared" si="117"/>
        <v/>
      </c>
      <c r="BJ649" s="55" t="str">
        <f t="shared" si="118"/>
        <v/>
      </c>
      <c r="BK649" s="55" t="str">
        <f t="shared" si="119"/>
        <v/>
      </c>
    </row>
    <row r="650" spans="22:63">
      <c r="V650" s="55">
        <f t="shared" ca="1" si="108"/>
        <v>1</v>
      </c>
      <c r="W650" s="64"/>
      <c r="X650" s="65"/>
      <c r="Y650" s="65"/>
      <c r="Z650" s="65"/>
      <c r="AA650" s="64"/>
      <c r="AB650" s="65"/>
      <c r="AC650" s="64"/>
      <c r="AD650" s="65"/>
      <c r="AE650" s="64"/>
      <c r="AF650" s="65"/>
      <c r="AG650" s="65"/>
      <c r="AH650" s="66" t="str">
        <f t="shared" si="109"/>
        <v/>
      </c>
      <c r="AI650" s="64"/>
      <c r="AJ650" s="65"/>
      <c r="AK650" s="64"/>
      <c r="AL650" s="65"/>
      <c r="BB650" s="55" t="str">
        <f t="shared" si="110"/>
        <v/>
      </c>
      <c r="BC650" s="55" t="str">
        <f t="shared" si="111"/>
        <v/>
      </c>
      <c r="BD650" s="55" t="str">
        <f t="shared" si="112"/>
        <v/>
      </c>
      <c r="BE650" s="55" t="str">
        <f t="shared" si="113"/>
        <v/>
      </c>
      <c r="BF650" s="55" t="str">
        <f t="shared" si="114"/>
        <v/>
      </c>
      <c r="BG650" s="55" t="str">
        <f t="shared" si="115"/>
        <v/>
      </c>
      <c r="BH650" s="55" t="str">
        <f t="shared" si="116"/>
        <v/>
      </c>
      <c r="BI650" s="55" t="str">
        <f t="shared" si="117"/>
        <v/>
      </c>
      <c r="BJ650" s="55" t="str">
        <f t="shared" si="118"/>
        <v/>
      </c>
      <c r="BK650" s="55" t="str">
        <f t="shared" si="119"/>
        <v/>
      </c>
    </row>
    <row r="651" spans="22:63">
      <c r="V651" s="55">
        <f t="shared" ref="V651:V714" ca="1" si="120">IF(ISBLANK($W651),IF(ISNUMBER(INDIRECT("S"&amp;ROW($V651)-1)),INDIRECT("S"&amp;ROW($V651)-1),1),$W651)</f>
        <v>1</v>
      </c>
      <c r="W651" s="64"/>
      <c r="X651" s="65"/>
      <c r="Y651" s="65"/>
      <c r="Z651" s="65"/>
      <c r="AA651" s="64"/>
      <c r="AB651" s="65"/>
      <c r="AC651" s="64"/>
      <c r="AD651" s="65"/>
      <c r="AE651" s="64"/>
      <c r="AF651" s="65"/>
      <c r="AG651" s="65"/>
      <c r="AH651" s="66" t="str">
        <f t="shared" ref="AH651:AH714" si="121">IF(ISNUMBER($BI651), $BH651&amp;" - "&amp;$BJ651,"")</f>
        <v/>
      </c>
      <c r="AI651" s="64"/>
      <c r="AJ651" s="65"/>
      <c r="AK651" s="64"/>
      <c r="AL651" s="65"/>
      <c r="BB651" s="55" t="str">
        <f t="shared" ref="BB651:BB714" si="122">IF(ISBLANK($Z651),"",VLOOKUP($Z651,$A$11:$B$1010,2,FALSE))</f>
        <v/>
      </c>
      <c r="BC651" s="55" t="str">
        <f t="shared" ref="BC651:BC714" si="123">IF(ISBLANK($AA651),"",VLOOKUP($AA651,$D$11:$E$1010,2,FALSE))</f>
        <v/>
      </c>
      <c r="BD651" s="55" t="str">
        <f t="shared" ref="BD651:BD714" si="124">IF(ISBLANK($AC651),"",VLOOKUP($AC651,$H$11:$I$1010,2,FALSE))</f>
        <v/>
      </c>
      <c r="BE651" s="55" t="str">
        <f t="shared" ref="BE651:BE714" si="125">IF(ISBLANK($AF651),"",VLOOKUP($AF651,$L$11:$M$1010,2,FALSE))</f>
        <v/>
      </c>
      <c r="BF651" s="55" t="str">
        <f t="shared" ref="BF651:BF714" si="126">IF(ISNUMBER($BC651),VLOOKUP($BC651,$E$11:$F$1010,2,FALSE),"")</f>
        <v/>
      </c>
      <c r="BG651" s="55" t="str">
        <f t="shared" ref="BG651:BG714" si="127">IF(ISNUMBER($BD651),VLOOKUP($BD651,$I$11:$J$1010,2,FALSE),"")</f>
        <v/>
      </c>
      <c r="BH651" s="55" t="str">
        <f t="shared" ref="BH651:BH714" si="128">IF(AND(ISNUMBER($BF651),ISNUMBER($BG651)),$BF651*$BG651,"")</f>
        <v/>
      </c>
      <c r="BI651" s="55" t="str">
        <f t="shared" ref="BI651:BI714" si="129">IF(ISNUMBER($BH651),LOOKUP($BH651,lower_limit_level_risiko,id_level_risiko),"")</f>
        <v/>
      </c>
      <c r="BJ651" s="55" t="str">
        <f t="shared" ref="BJ651:BJ714" si="130">IF(ISNUMBER($BH651),LOOKUP($BH651,lower_limit_level_risiko,description_level_risiko),"")</f>
        <v/>
      </c>
      <c r="BK651" s="55" t="str">
        <f t="shared" ref="BK651:BK714" si="131">IF(ISBLANK($X651),"",VLOOKUP($X651,$T$11:$U$1010,2,FALSE))</f>
        <v/>
      </c>
    </row>
    <row r="652" spans="22:63">
      <c r="V652" s="55">
        <f t="shared" ca="1" si="120"/>
        <v>1</v>
      </c>
      <c r="W652" s="64"/>
      <c r="X652" s="65"/>
      <c r="Y652" s="65"/>
      <c r="Z652" s="65"/>
      <c r="AA652" s="64"/>
      <c r="AB652" s="65"/>
      <c r="AC652" s="64"/>
      <c r="AD652" s="65"/>
      <c r="AE652" s="64"/>
      <c r="AF652" s="65"/>
      <c r="AG652" s="65"/>
      <c r="AH652" s="66" t="str">
        <f t="shared" si="121"/>
        <v/>
      </c>
      <c r="AI652" s="64"/>
      <c r="AJ652" s="65"/>
      <c r="AK652" s="64"/>
      <c r="AL652" s="65"/>
      <c r="BB652" s="55" t="str">
        <f t="shared" si="122"/>
        <v/>
      </c>
      <c r="BC652" s="55" t="str">
        <f t="shared" si="123"/>
        <v/>
      </c>
      <c r="BD652" s="55" t="str">
        <f t="shared" si="124"/>
        <v/>
      </c>
      <c r="BE652" s="55" t="str">
        <f t="shared" si="125"/>
        <v/>
      </c>
      <c r="BF652" s="55" t="str">
        <f t="shared" si="126"/>
        <v/>
      </c>
      <c r="BG652" s="55" t="str">
        <f t="shared" si="127"/>
        <v/>
      </c>
      <c r="BH652" s="55" t="str">
        <f t="shared" si="128"/>
        <v/>
      </c>
      <c r="BI652" s="55" t="str">
        <f t="shared" si="129"/>
        <v/>
      </c>
      <c r="BJ652" s="55" t="str">
        <f t="shared" si="130"/>
        <v/>
      </c>
      <c r="BK652" s="55" t="str">
        <f t="shared" si="131"/>
        <v/>
      </c>
    </row>
    <row r="653" spans="22:63">
      <c r="V653" s="55">
        <f t="shared" ca="1" si="120"/>
        <v>1</v>
      </c>
      <c r="W653" s="64"/>
      <c r="X653" s="65"/>
      <c r="Y653" s="65"/>
      <c r="Z653" s="65"/>
      <c r="AA653" s="64"/>
      <c r="AB653" s="65"/>
      <c r="AC653" s="64"/>
      <c r="AD653" s="65"/>
      <c r="AE653" s="64"/>
      <c r="AF653" s="65"/>
      <c r="AG653" s="65"/>
      <c r="AH653" s="66" t="str">
        <f t="shared" si="121"/>
        <v/>
      </c>
      <c r="AI653" s="64"/>
      <c r="AJ653" s="65"/>
      <c r="AK653" s="64"/>
      <c r="AL653" s="65"/>
      <c r="BB653" s="55" t="str">
        <f t="shared" si="122"/>
        <v/>
      </c>
      <c r="BC653" s="55" t="str">
        <f t="shared" si="123"/>
        <v/>
      </c>
      <c r="BD653" s="55" t="str">
        <f t="shared" si="124"/>
        <v/>
      </c>
      <c r="BE653" s="55" t="str">
        <f t="shared" si="125"/>
        <v/>
      </c>
      <c r="BF653" s="55" t="str">
        <f t="shared" si="126"/>
        <v/>
      </c>
      <c r="BG653" s="55" t="str">
        <f t="shared" si="127"/>
        <v/>
      </c>
      <c r="BH653" s="55" t="str">
        <f t="shared" si="128"/>
        <v/>
      </c>
      <c r="BI653" s="55" t="str">
        <f t="shared" si="129"/>
        <v/>
      </c>
      <c r="BJ653" s="55" t="str">
        <f t="shared" si="130"/>
        <v/>
      </c>
      <c r="BK653" s="55" t="str">
        <f t="shared" si="131"/>
        <v/>
      </c>
    </row>
    <row r="654" spans="22:63">
      <c r="V654" s="55">
        <f t="shared" ca="1" si="120"/>
        <v>1</v>
      </c>
      <c r="W654" s="64"/>
      <c r="X654" s="65"/>
      <c r="Y654" s="65"/>
      <c r="Z654" s="65"/>
      <c r="AA654" s="64"/>
      <c r="AB654" s="65"/>
      <c r="AC654" s="64"/>
      <c r="AD654" s="65"/>
      <c r="AE654" s="64"/>
      <c r="AF654" s="65"/>
      <c r="AG654" s="65"/>
      <c r="AH654" s="66" t="str">
        <f t="shared" si="121"/>
        <v/>
      </c>
      <c r="AI654" s="64"/>
      <c r="AJ654" s="65"/>
      <c r="AK654" s="64"/>
      <c r="AL654" s="65"/>
      <c r="BB654" s="55" t="str">
        <f t="shared" si="122"/>
        <v/>
      </c>
      <c r="BC654" s="55" t="str">
        <f t="shared" si="123"/>
        <v/>
      </c>
      <c r="BD654" s="55" t="str">
        <f t="shared" si="124"/>
        <v/>
      </c>
      <c r="BE654" s="55" t="str">
        <f t="shared" si="125"/>
        <v/>
      </c>
      <c r="BF654" s="55" t="str">
        <f t="shared" si="126"/>
        <v/>
      </c>
      <c r="BG654" s="55" t="str">
        <f t="shared" si="127"/>
        <v/>
      </c>
      <c r="BH654" s="55" t="str">
        <f t="shared" si="128"/>
        <v/>
      </c>
      <c r="BI654" s="55" t="str">
        <f t="shared" si="129"/>
        <v/>
      </c>
      <c r="BJ654" s="55" t="str">
        <f t="shared" si="130"/>
        <v/>
      </c>
      <c r="BK654" s="55" t="str">
        <f t="shared" si="131"/>
        <v/>
      </c>
    </row>
    <row r="655" spans="22:63">
      <c r="V655" s="55">
        <f t="shared" ca="1" si="120"/>
        <v>1</v>
      </c>
      <c r="W655" s="64"/>
      <c r="X655" s="65"/>
      <c r="Y655" s="65"/>
      <c r="Z655" s="65"/>
      <c r="AA655" s="64"/>
      <c r="AB655" s="65"/>
      <c r="AC655" s="64"/>
      <c r="AD655" s="65"/>
      <c r="AE655" s="64"/>
      <c r="AF655" s="65"/>
      <c r="AG655" s="65"/>
      <c r="AH655" s="66" t="str">
        <f t="shared" si="121"/>
        <v/>
      </c>
      <c r="AI655" s="64"/>
      <c r="AJ655" s="65"/>
      <c r="AK655" s="64"/>
      <c r="AL655" s="65"/>
      <c r="BB655" s="55" t="str">
        <f t="shared" si="122"/>
        <v/>
      </c>
      <c r="BC655" s="55" t="str">
        <f t="shared" si="123"/>
        <v/>
      </c>
      <c r="BD655" s="55" t="str">
        <f t="shared" si="124"/>
        <v/>
      </c>
      <c r="BE655" s="55" t="str">
        <f t="shared" si="125"/>
        <v/>
      </c>
      <c r="BF655" s="55" t="str">
        <f t="shared" si="126"/>
        <v/>
      </c>
      <c r="BG655" s="55" t="str">
        <f t="shared" si="127"/>
        <v/>
      </c>
      <c r="BH655" s="55" t="str">
        <f t="shared" si="128"/>
        <v/>
      </c>
      <c r="BI655" s="55" t="str">
        <f t="shared" si="129"/>
        <v/>
      </c>
      <c r="BJ655" s="55" t="str">
        <f t="shared" si="130"/>
        <v/>
      </c>
      <c r="BK655" s="55" t="str">
        <f t="shared" si="131"/>
        <v/>
      </c>
    </row>
    <row r="656" spans="22:63">
      <c r="V656" s="55">
        <f t="shared" ca="1" si="120"/>
        <v>1</v>
      </c>
      <c r="W656" s="64"/>
      <c r="X656" s="65"/>
      <c r="Y656" s="65"/>
      <c r="Z656" s="65"/>
      <c r="AA656" s="64"/>
      <c r="AB656" s="65"/>
      <c r="AC656" s="64"/>
      <c r="AD656" s="65"/>
      <c r="AE656" s="64"/>
      <c r="AF656" s="65"/>
      <c r="AG656" s="65"/>
      <c r="AH656" s="66" t="str">
        <f t="shared" si="121"/>
        <v/>
      </c>
      <c r="AI656" s="64"/>
      <c r="AJ656" s="65"/>
      <c r="AK656" s="64"/>
      <c r="AL656" s="65"/>
      <c r="BB656" s="55" t="str">
        <f t="shared" si="122"/>
        <v/>
      </c>
      <c r="BC656" s="55" t="str">
        <f t="shared" si="123"/>
        <v/>
      </c>
      <c r="BD656" s="55" t="str">
        <f t="shared" si="124"/>
        <v/>
      </c>
      <c r="BE656" s="55" t="str">
        <f t="shared" si="125"/>
        <v/>
      </c>
      <c r="BF656" s="55" t="str">
        <f t="shared" si="126"/>
        <v/>
      </c>
      <c r="BG656" s="55" t="str">
        <f t="shared" si="127"/>
        <v/>
      </c>
      <c r="BH656" s="55" t="str">
        <f t="shared" si="128"/>
        <v/>
      </c>
      <c r="BI656" s="55" t="str">
        <f t="shared" si="129"/>
        <v/>
      </c>
      <c r="BJ656" s="55" t="str">
        <f t="shared" si="130"/>
        <v/>
      </c>
      <c r="BK656" s="55" t="str">
        <f t="shared" si="131"/>
        <v/>
      </c>
    </row>
    <row r="657" spans="22:63">
      <c r="V657" s="55">
        <f t="shared" ca="1" si="120"/>
        <v>1</v>
      </c>
      <c r="W657" s="64"/>
      <c r="X657" s="65"/>
      <c r="Y657" s="65"/>
      <c r="Z657" s="65"/>
      <c r="AA657" s="64"/>
      <c r="AB657" s="65"/>
      <c r="AC657" s="64"/>
      <c r="AD657" s="65"/>
      <c r="AE657" s="64"/>
      <c r="AF657" s="65"/>
      <c r="AG657" s="65"/>
      <c r="AH657" s="66" t="str">
        <f t="shared" si="121"/>
        <v/>
      </c>
      <c r="AI657" s="64"/>
      <c r="AJ657" s="65"/>
      <c r="AK657" s="64"/>
      <c r="AL657" s="65"/>
      <c r="BB657" s="55" t="str">
        <f t="shared" si="122"/>
        <v/>
      </c>
      <c r="BC657" s="55" t="str">
        <f t="shared" si="123"/>
        <v/>
      </c>
      <c r="BD657" s="55" t="str">
        <f t="shared" si="124"/>
        <v/>
      </c>
      <c r="BE657" s="55" t="str">
        <f t="shared" si="125"/>
        <v/>
      </c>
      <c r="BF657" s="55" t="str">
        <f t="shared" si="126"/>
        <v/>
      </c>
      <c r="BG657" s="55" t="str">
        <f t="shared" si="127"/>
        <v/>
      </c>
      <c r="BH657" s="55" t="str">
        <f t="shared" si="128"/>
        <v/>
      </c>
      <c r="BI657" s="55" t="str">
        <f t="shared" si="129"/>
        <v/>
      </c>
      <c r="BJ657" s="55" t="str">
        <f t="shared" si="130"/>
        <v/>
      </c>
      <c r="BK657" s="55" t="str">
        <f t="shared" si="131"/>
        <v/>
      </c>
    </row>
    <row r="658" spans="22:63">
      <c r="V658" s="55">
        <f t="shared" ca="1" si="120"/>
        <v>1</v>
      </c>
      <c r="W658" s="64"/>
      <c r="X658" s="65"/>
      <c r="Y658" s="65"/>
      <c r="Z658" s="65"/>
      <c r="AA658" s="64"/>
      <c r="AB658" s="65"/>
      <c r="AC658" s="64"/>
      <c r="AD658" s="65"/>
      <c r="AE658" s="64"/>
      <c r="AF658" s="65"/>
      <c r="AG658" s="65"/>
      <c r="AH658" s="66" t="str">
        <f t="shared" si="121"/>
        <v/>
      </c>
      <c r="AI658" s="64"/>
      <c r="AJ658" s="65"/>
      <c r="AK658" s="64"/>
      <c r="AL658" s="65"/>
      <c r="BB658" s="55" t="str">
        <f t="shared" si="122"/>
        <v/>
      </c>
      <c r="BC658" s="55" t="str">
        <f t="shared" si="123"/>
        <v/>
      </c>
      <c r="BD658" s="55" t="str">
        <f t="shared" si="124"/>
        <v/>
      </c>
      <c r="BE658" s="55" t="str">
        <f t="shared" si="125"/>
        <v/>
      </c>
      <c r="BF658" s="55" t="str">
        <f t="shared" si="126"/>
        <v/>
      </c>
      <c r="BG658" s="55" t="str">
        <f t="shared" si="127"/>
        <v/>
      </c>
      <c r="BH658" s="55" t="str">
        <f t="shared" si="128"/>
        <v/>
      </c>
      <c r="BI658" s="55" t="str">
        <f t="shared" si="129"/>
        <v/>
      </c>
      <c r="BJ658" s="55" t="str">
        <f t="shared" si="130"/>
        <v/>
      </c>
      <c r="BK658" s="55" t="str">
        <f t="shared" si="131"/>
        <v/>
      </c>
    </row>
    <row r="659" spans="22:63">
      <c r="V659" s="55">
        <f t="shared" ca="1" si="120"/>
        <v>1</v>
      </c>
      <c r="W659" s="64"/>
      <c r="X659" s="65"/>
      <c r="Y659" s="65"/>
      <c r="Z659" s="65"/>
      <c r="AA659" s="64"/>
      <c r="AB659" s="65"/>
      <c r="AC659" s="64"/>
      <c r="AD659" s="65"/>
      <c r="AE659" s="64"/>
      <c r="AF659" s="65"/>
      <c r="AG659" s="65"/>
      <c r="AH659" s="66" t="str">
        <f t="shared" si="121"/>
        <v/>
      </c>
      <c r="AI659" s="64"/>
      <c r="AJ659" s="65"/>
      <c r="AK659" s="64"/>
      <c r="AL659" s="65"/>
      <c r="BB659" s="55" t="str">
        <f t="shared" si="122"/>
        <v/>
      </c>
      <c r="BC659" s="55" t="str">
        <f t="shared" si="123"/>
        <v/>
      </c>
      <c r="BD659" s="55" t="str">
        <f t="shared" si="124"/>
        <v/>
      </c>
      <c r="BE659" s="55" t="str">
        <f t="shared" si="125"/>
        <v/>
      </c>
      <c r="BF659" s="55" t="str">
        <f t="shared" si="126"/>
        <v/>
      </c>
      <c r="BG659" s="55" t="str">
        <f t="shared" si="127"/>
        <v/>
      </c>
      <c r="BH659" s="55" t="str">
        <f t="shared" si="128"/>
        <v/>
      </c>
      <c r="BI659" s="55" t="str">
        <f t="shared" si="129"/>
        <v/>
      </c>
      <c r="BJ659" s="55" t="str">
        <f t="shared" si="130"/>
        <v/>
      </c>
      <c r="BK659" s="55" t="str">
        <f t="shared" si="131"/>
        <v/>
      </c>
    </row>
    <row r="660" spans="22:63">
      <c r="V660" s="55">
        <f t="shared" ca="1" si="120"/>
        <v>1</v>
      </c>
      <c r="W660" s="64"/>
      <c r="X660" s="65"/>
      <c r="Y660" s="65"/>
      <c r="Z660" s="65"/>
      <c r="AA660" s="64"/>
      <c r="AB660" s="65"/>
      <c r="AC660" s="64"/>
      <c r="AD660" s="65"/>
      <c r="AE660" s="64"/>
      <c r="AF660" s="65"/>
      <c r="AG660" s="65"/>
      <c r="AH660" s="66" t="str">
        <f t="shared" si="121"/>
        <v/>
      </c>
      <c r="AI660" s="64"/>
      <c r="AJ660" s="65"/>
      <c r="AK660" s="64"/>
      <c r="AL660" s="65"/>
      <c r="BB660" s="55" t="str">
        <f t="shared" si="122"/>
        <v/>
      </c>
      <c r="BC660" s="55" t="str">
        <f t="shared" si="123"/>
        <v/>
      </c>
      <c r="BD660" s="55" t="str">
        <f t="shared" si="124"/>
        <v/>
      </c>
      <c r="BE660" s="55" t="str">
        <f t="shared" si="125"/>
        <v/>
      </c>
      <c r="BF660" s="55" t="str">
        <f t="shared" si="126"/>
        <v/>
      </c>
      <c r="BG660" s="55" t="str">
        <f t="shared" si="127"/>
        <v/>
      </c>
      <c r="BH660" s="55" t="str">
        <f t="shared" si="128"/>
        <v/>
      </c>
      <c r="BI660" s="55" t="str">
        <f t="shared" si="129"/>
        <v/>
      </c>
      <c r="BJ660" s="55" t="str">
        <f t="shared" si="130"/>
        <v/>
      </c>
      <c r="BK660" s="55" t="str">
        <f t="shared" si="131"/>
        <v/>
      </c>
    </row>
    <row r="661" spans="22:63">
      <c r="V661" s="55">
        <f t="shared" ca="1" si="120"/>
        <v>1</v>
      </c>
      <c r="W661" s="64"/>
      <c r="X661" s="65"/>
      <c r="Y661" s="65"/>
      <c r="Z661" s="65"/>
      <c r="AA661" s="64"/>
      <c r="AB661" s="65"/>
      <c r="AC661" s="64"/>
      <c r="AD661" s="65"/>
      <c r="AE661" s="64"/>
      <c r="AF661" s="65"/>
      <c r="AG661" s="65"/>
      <c r="AH661" s="66" t="str">
        <f t="shared" si="121"/>
        <v/>
      </c>
      <c r="AI661" s="64"/>
      <c r="AJ661" s="65"/>
      <c r="AK661" s="64"/>
      <c r="AL661" s="65"/>
      <c r="BB661" s="55" t="str">
        <f t="shared" si="122"/>
        <v/>
      </c>
      <c r="BC661" s="55" t="str">
        <f t="shared" si="123"/>
        <v/>
      </c>
      <c r="BD661" s="55" t="str">
        <f t="shared" si="124"/>
        <v/>
      </c>
      <c r="BE661" s="55" t="str">
        <f t="shared" si="125"/>
        <v/>
      </c>
      <c r="BF661" s="55" t="str">
        <f t="shared" si="126"/>
        <v/>
      </c>
      <c r="BG661" s="55" t="str">
        <f t="shared" si="127"/>
        <v/>
      </c>
      <c r="BH661" s="55" t="str">
        <f t="shared" si="128"/>
        <v/>
      </c>
      <c r="BI661" s="55" t="str">
        <f t="shared" si="129"/>
        <v/>
      </c>
      <c r="BJ661" s="55" t="str">
        <f t="shared" si="130"/>
        <v/>
      </c>
      <c r="BK661" s="55" t="str">
        <f t="shared" si="131"/>
        <v/>
      </c>
    </row>
    <row r="662" spans="22:63">
      <c r="V662" s="55">
        <f t="shared" ca="1" si="120"/>
        <v>1</v>
      </c>
      <c r="W662" s="64"/>
      <c r="X662" s="65"/>
      <c r="Y662" s="65"/>
      <c r="Z662" s="65"/>
      <c r="AA662" s="64"/>
      <c r="AB662" s="65"/>
      <c r="AC662" s="64"/>
      <c r="AD662" s="65"/>
      <c r="AE662" s="64"/>
      <c r="AF662" s="65"/>
      <c r="AG662" s="65"/>
      <c r="AH662" s="66" t="str">
        <f t="shared" si="121"/>
        <v/>
      </c>
      <c r="AI662" s="64"/>
      <c r="AJ662" s="65"/>
      <c r="AK662" s="64"/>
      <c r="AL662" s="65"/>
      <c r="BB662" s="55" t="str">
        <f t="shared" si="122"/>
        <v/>
      </c>
      <c r="BC662" s="55" t="str">
        <f t="shared" si="123"/>
        <v/>
      </c>
      <c r="BD662" s="55" t="str">
        <f t="shared" si="124"/>
        <v/>
      </c>
      <c r="BE662" s="55" t="str">
        <f t="shared" si="125"/>
        <v/>
      </c>
      <c r="BF662" s="55" t="str">
        <f t="shared" si="126"/>
        <v/>
      </c>
      <c r="BG662" s="55" t="str">
        <f t="shared" si="127"/>
        <v/>
      </c>
      <c r="BH662" s="55" t="str">
        <f t="shared" si="128"/>
        <v/>
      </c>
      <c r="BI662" s="55" t="str">
        <f t="shared" si="129"/>
        <v/>
      </c>
      <c r="BJ662" s="55" t="str">
        <f t="shared" si="130"/>
        <v/>
      </c>
      <c r="BK662" s="55" t="str">
        <f t="shared" si="131"/>
        <v/>
      </c>
    </row>
    <row r="663" spans="22:63">
      <c r="V663" s="55">
        <f t="shared" ca="1" si="120"/>
        <v>1</v>
      </c>
      <c r="W663" s="64"/>
      <c r="X663" s="65"/>
      <c r="Y663" s="65"/>
      <c r="Z663" s="65"/>
      <c r="AA663" s="64"/>
      <c r="AB663" s="65"/>
      <c r="AC663" s="64"/>
      <c r="AD663" s="65"/>
      <c r="AE663" s="64"/>
      <c r="AF663" s="65"/>
      <c r="AG663" s="65"/>
      <c r="AH663" s="66" t="str">
        <f t="shared" si="121"/>
        <v/>
      </c>
      <c r="AI663" s="64"/>
      <c r="AJ663" s="65"/>
      <c r="AK663" s="64"/>
      <c r="AL663" s="65"/>
      <c r="BB663" s="55" t="str">
        <f t="shared" si="122"/>
        <v/>
      </c>
      <c r="BC663" s="55" t="str">
        <f t="shared" si="123"/>
        <v/>
      </c>
      <c r="BD663" s="55" t="str">
        <f t="shared" si="124"/>
        <v/>
      </c>
      <c r="BE663" s="55" t="str">
        <f t="shared" si="125"/>
        <v/>
      </c>
      <c r="BF663" s="55" t="str">
        <f t="shared" si="126"/>
        <v/>
      </c>
      <c r="BG663" s="55" t="str">
        <f t="shared" si="127"/>
        <v/>
      </c>
      <c r="BH663" s="55" t="str">
        <f t="shared" si="128"/>
        <v/>
      </c>
      <c r="BI663" s="55" t="str">
        <f t="shared" si="129"/>
        <v/>
      </c>
      <c r="BJ663" s="55" t="str">
        <f t="shared" si="130"/>
        <v/>
      </c>
      <c r="BK663" s="55" t="str">
        <f t="shared" si="131"/>
        <v/>
      </c>
    </row>
    <row r="664" spans="22:63">
      <c r="V664" s="55">
        <f t="shared" ca="1" si="120"/>
        <v>1</v>
      </c>
      <c r="W664" s="64"/>
      <c r="X664" s="65"/>
      <c r="Y664" s="65"/>
      <c r="Z664" s="65"/>
      <c r="AA664" s="64"/>
      <c r="AB664" s="65"/>
      <c r="AC664" s="64"/>
      <c r="AD664" s="65"/>
      <c r="AE664" s="64"/>
      <c r="AF664" s="65"/>
      <c r="AG664" s="65"/>
      <c r="AH664" s="66" t="str">
        <f t="shared" si="121"/>
        <v/>
      </c>
      <c r="AI664" s="64"/>
      <c r="AJ664" s="65"/>
      <c r="AK664" s="64"/>
      <c r="AL664" s="65"/>
      <c r="BB664" s="55" t="str">
        <f t="shared" si="122"/>
        <v/>
      </c>
      <c r="BC664" s="55" t="str">
        <f t="shared" si="123"/>
        <v/>
      </c>
      <c r="BD664" s="55" t="str">
        <f t="shared" si="124"/>
        <v/>
      </c>
      <c r="BE664" s="55" t="str">
        <f t="shared" si="125"/>
        <v/>
      </c>
      <c r="BF664" s="55" t="str">
        <f t="shared" si="126"/>
        <v/>
      </c>
      <c r="BG664" s="55" t="str">
        <f t="shared" si="127"/>
        <v/>
      </c>
      <c r="BH664" s="55" t="str">
        <f t="shared" si="128"/>
        <v/>
      </c>
      <c r="BI664" s="55" t="str">
        <f t="shared" si="129"/>
        <v/>
      </c>
      <c r="BJ664" s="55" t="str">
        <f t="shared" si="130"/>
        <v/>
      </c>
      <c r="BK664" s="55" t="str">
        <f t="shared" si="131"/>
        <v/>
      </c>
    </row>
    <row r="665" spans="22:63">
      <c r="V665" s="55">
        <f t="shared" ca="1" si="120"/>
        <v>1</v>
      </c>
      <c r="W665" s="64"/>
      <c r="X665" s="65"/>
      <c r="Y665" s="65"/>
      <c r="Z665" s="65"/>
      <c r="AA665" s="64"/>
      <c r="AB665" s="65"/>
      <c r="AC665" s="64"/>
      <c r="AD665" s="65"/>
      <c r="AE665" s="64"/>
      <c r="AF665" s="65"/>
      <c r="AG665" s="65"/>
      <c r="AH665" s="66" t="str">
        <f t="shared" si="121"/>
        <v/>
      </c>
      <c r="AI665" s="64"/>
      <c r="AJ665" s="65"/>
      <c r="AK665" s="64"/>
      <c r="AL665" s="65"/>
      <c r="BB665" s="55" t="str">
        <f t="shared" si="122"/>
        <v/>
      </c>
      <c r="BC665" s="55" t="str">
        <f t="shared" si="123"/>
        <v/>
      </c>
      <c r="BD665" s="55" t="str">
        <f t="shared" si="124"/>
        <v/>
      </c>
      <c r="BE665" s="55" t="str">
        <f t="shared" si="125"/>
        <v/>
      </c>
      <c r="BF665" s="55" t="str">
        <f t="shared" si="126"/>
        <v/>
      </c>
      <c r="BG665" s="55" t="str">
        <f t="shared" si="127"/>
        <v/>
      </c>
      <c r="BH665" s="55" t="str">
        <f t="shared" si="128"/>
        <v/>
      </c>
      <c r="BI665" s="55" t="str">
        <f t="shared" si="129"/>
        <v/>
      </c>
      <c r="BJ665" s="55" t="str">
        <f t="shared" si="130"/>
        <v/>
      </c>
      <c r="BK665" s="55" t="str">
        <f t="shared" si="131"/>
        <v/>
      </c>
    </row>
    <row r="666" spans="22:63">
      <c r="V666" s="55">
        <f t="shared" ca="1" si="120"/>
        <v>1</v>
      </c>
      <c r="W666" s="64"/>
      <c r="X666" s="65"/>
      <c r="Y666" s="65"/>
      <c r="Z666" s="65"/>
      <c r="AA666" s="64"/>
      <c r="AB666" s="65"/>
      <c r="AC666" s="64"/>
      <c r="AD666" s="65"/>
      <c r="AE666" s="64"/>
      <c r="AF666" s="65"/>
      <c r="AG666" s="65"/>
      <c r="AH666" s="66" t="str">
        <f t="shared" si="121"/>
        <v/>
      </c>
      <c r="AI666" s="64"/>
      <c r="AJ666" s="65"/>
      <c r="AK666" s="64"/>
      <c r="AL666" s="65"/>
      <c r="BB666" s="55" t="str">
        <f t="shared" si="122"/>
        <v/>
      </c>
      <c r="BC666" s="55" t="str">
        <f t="shared" si="123"/>
        <v/>
      </c>
      <c r="BD666" s="55" t="str">
        <f t="shared" si="124"/>
        <v/>
      </c>
      <c r="BE666" s="55" t="str">
        <f t="shared" si="125"/>
        <v/>
      </c>
      <c r="BF666" s="55" t="str">
        <f t="shared" si="126"/>
        <v/>
      </c>
      <c r="BG666" s="55" t="str">
        <f t="shared" si="127"/>
        <v/>
      </c>
      <c r="BH666" s="55" t="str">
        <f t="shared" si="128"/>
        <v/>
      </c>
      <c r="BI666" s="55" t="str">
        <f t="shared" si="129"/>
        <v/>
      </c>
      <c r="BJ666" s="55" t="str">
        <f t="shared" si="130"/>
        <v/>
      </c>
      <c r="BK666" s="55" t="str">
        <f t="shared" si="131"/>
        <v/>
      </c>
    </row>
    <row r="667" spans="22:63">
      <c r="V667" s="55">
        <f t="shared" ca="1" si="120"/>
        <v>1</v>
      </c>
      <c r="W667" s="64"/>
      <c r="X667" s="65"/>
      <c r="Y667" s="65"/>
      <c r="Z667" s="65"/>
      <c r="AA667" s="64"/>
      <c r="AB667" s="65"/>
      <c r="AC667" s="64"/>
      <c r="AD667" s="65"/>
      <c r="AE667" s="64"/>
      <c r="AF667" s="65"/>
      <c r="AG667" s="65"/>
      <c r="AH667" s="66" t="str">
        <f t="shared" si="121"/>
        <v/>
      </c>
      <c r="AI667" s="64"/>
      <c r="AJ667" s="65"/>
      <c r="AK667" s="64"/>
      <c r="AL667" s="65"/>
      <c r="BB667" s="55" t="str">
        <f t="shared" si="122"/>
        <v/>
      </c>
      <c r="BC667" s="55" t="str">
        <f t="shared" si="123"/>
        <v/>
      </c>
      <c r="BD667" s="55" t="str">
        <f t="shared" si="124"/>
        <v/>
      </c>
      <c r="BE667" s="55" t="str">
        <f t="shared" si="125"/>
        <v/>
      </c>
      <c r="BF667" s="55" t="str">
        <f t="shared" si="126"/>
        <v/>
      </c>
      <c r="BG667" s="55" t="str">
        <f t="shared" si="127"/>
        <v/>
      </c>
      <c r="BH667" s="55" t="str">
        <f t="shared" si="128"/>
        <v/>
      </c>
      <c r="BI667" s="55" t="str">
        <f t="shared" si="129"/>
        <v/>
      </c>
      <c r="BJ667" s="55" t="str">
        <f t="shared" si="130"/>
        <v/>
      </c>
      <c r="BK667" s="55" t="str">
        <f t="shared" si="131"/>
        <v/>
      </c>
    </row>
    <row r="668" spans="22:63">
      <c r="V668" s="55">
        <f t="shared" ca="1" si="120"/>
        <v>1</v>
      </c>
      <c r="W668" s="64"/>
      <c r="X668" s="65"/>
      <c r="Y668" s="65"/>
      <c r="Z668" s="65"/>
      <c r="AA668" s="64"/>
      <c r="AB668" s="65"/>
      <c r="AC668" s="64"/>
      <c r="AD668" s="65"/>
      <c r="AE668" s="64"/>
      <c r="AF668" s="65"/>
      <c r="AG668" s="65"/>
      <c r="AH668" s="66" t="str">
        <f t="shared" si="121"/>
        <v/>
      </c>
      <c r="AI668" s="64"/>
      <c r="AJ668" s="65"/>
      <c r="AK668" s="64"/>
      <c r="AL668" s="65"/>
      <c r="BB668" s="55" t="str">
        <f t="shared" si="122"/>
        <v/>
      </c>
      <c r="BC668" s="55" t="str">
        <f t="shared" si="123"/>
        <v/>
      </c>
      <c r="BD668" s="55" t="str">
        <f t="shared" si="124"/>
        <v/>
      </c>
      <c r="BE668" s="55" t="str">
        <f t="shared" si="125"/>
        <v/>
      </c>
      <c r="BF668" s="55" t="str">
        <f t="shared" si="126"/>
        <v/>
      </c>
      <c r="BG668" s="55" t="str">
        <f t="shared" si="127"/>
        <v/>
      </c>
      <c r="BH668" s="55" t="str">
        <f t="shared" si="128"/>
        <v/>
      </c>
      <c r="BI668" s="55" t="str">
        <f t="shared" si="129"/>
        <v/>
      </c>
      <c r="BJ668" s="55" t="str">
        <f t="shared" si="130"/>
        <v/>
      </c>
      <c r="BK668" s="55" t="str">
        <f t="shared" si="131"/>
        <v/>
      </c>
    </row>
    <row r="669" spans="22:63">
      <c r="V669" s="55">
        <f t="shared" ca="1" si="120"/>
        <v>1</v>
      </c>
      <c r="W669" s="64"/>
      <c r="X669" s="65"/>
      <c r="Y669" s="65"/>
      <c r="Z669" s="65"/>
      <c r="AA669" s="64"/>
      <c r="AB669" s="65"/>
      <c r="AC669" s="64"/>
      <c r="AD669" s="65"/>
      <c r="AE669" s="64"/>
      <c r="AF669" s="65"/>
      <c r="AG669" s="65"/>
      <c r="AH669" s="66" t="str">
        <f t="shared" si="121"/>
        <v/>
      </c>
      <c r="AI669" s="64"/>
      <c r="AJ669" s="65"/>
      <c r="AK669" s="64"/>
      <c r="AL669" s="65"/>
      <c r="BB669" s="55" t="str">
        <f t="shared" si="122"/>
        <v/>
      </c>
      <c r="BC669" s="55" t="str">
        <f t="shared" si="123"/>
        <v/>
      </c>
      <c r="BD669" s="55" t="str">
        <f t="shared" si="124"/>
        <v/>
      </c>
      <c r="BE669" s="55" t="str">
        <f t="shared" si="125"/>
        <v/>
      </c>
      <c r="BF669" s="55" t="str">
        <f t="shared" si="126"/>
        <v/>
      </c>
      <c r="BG669" s="55" t="str">
        <f t="shared" si="127"/>
        <v/>
      </c>
      <c r="BH669" s="55" t="str">
        <f t="shared" si="128"/>
        <v/>
      </c>
      <c r="BI669" s="55" t="str">
        <f t="shared" si="129"/>
        <v/>
      </c>
      <c r="BJ669" s="55" t="str">
        <f t="shared" si="130"/>
        <v/>
      </c>
      <c r="BK669" s="55" t="str">
        <f t="shared" si="131"/>
        <v/>
      </c>
    </row>
    <row r="670" spans="22:63">
      <c r="V670" s="55">
        <f t="shared" ca="1" si="120"/>
        <v>1</v>
      </c>
      <c r="W670" s="64"/>
      <c r="X670" s="65"/>
      <c r="Y670" s="65"/>
      <c r="Z670" s="65"/>
      <c r="AA670" s="64"/>
      <c r="AB670" s="65"/>
      <c r="AC670" s="64"/>
      <c r="AD670" s="65"/>
      <c r="AE670" s="64"/>
      <c r="AF670" s="65"/>
      <c r="AG670" s="65"/>
      <c r="AH670" s="66" t="str">
        <f t="shared" si="121"/>
        <v/>
      </c>
      <c r="AI670" s="64"/>
      <c r="AJ670" s="65"/>
      <c r="AK670" s="64"/>
      <c r="AL670" s="65"/>
      <c r="BB670" s="55" t="str">
        <f t="shared" si="122"/>
        <v/>
      </c>
      <c r="BC670" s="55" t="str">
        <f t="shared" si="123"/>
        <v/>
      </c>
      <c r="BD670" s="55" t="str">
        <f t="shared" si="124"/>
        <v/>
      </c>
      <c r="BE670" s="55" t="str">
        <f t="shared" si="125"/>
        <v/>
      </c>
      <c r="BF670" s="55" t="str">
        <f t="shared" si="126"/>
        <v/>
      </c>
      <c r="BG670" s="55" t="str">
        <f t="shared" si="127"/>
        <v/>
      </c>
      <c r="BH670" s="55" t="str">
        <f t="shared" si="128"/>
        <v/>
      </c>
      <c r="BI670" s="55" t="str">
        <f t="shared" si="129"/>
        <v/>
      </c>
      <c r="BJ670" s="55" t="str">
        <f t="shared" si="130"/>
        <v/>
      </c>
      <c r="BK670" s="55" t="str">
        <f t="shared" si="131"/>
        <v/>
      </c>
    </row>
    <row r="671" spans="22:63">
      <c r="V671" s="55">
        <f t="shared" ca="1" si="120"/>
        <v>1</v>
      </c>
      <c r="W671" s="64"/>
      <c r="X671" s="65"/>
      <c r="Y671" s="65"/>
      <c r="Z671" s="65"/>
      <c r="AA671" s="64"/>
      <c r="AB671" s="65"/>
      <c r="AC671" s="64"/>
      <c r="AD671" s="65"/>
      <c r="AE671" s="64"/>
      <c r="AF671" s="65"/>
      <c r="AG671" s="65"/>
      <c r="AH671" s="66" t="str">
        <f t="shared" si="121"/>
        <v/>
      </c>
      <c r="AI671" s="64"/>
      <c r="AJ671" s="65"/>
      <c r="AK671" s="64"/>
      <c r="AL671" s="65"/>
      <c r="BB671" s="55" t="str">
        <f t="shared" si="122"/>
        <v/>
      </c>
      <c r="BC671" s="55" t="str">
        <f t="shared" si="123"/>
        <v/>
      </c>
      <c r="BD671" s="55" t="str">
        <f t="shared" si="124"/>
        <v/>
      </c>
      <c r="BE671" s="55" t="str">
        <f t="shared" si="125"/>
        <v/>
      </c>
      <c r="BF671" s="55" t="str">
        <f t="shared" si="126"/>
        <v/>
      </c>
      <c r="BG671" s="55" t="str">
        <f t="shared" si="127"/>
        <v/>
      </c>
      <c r="BH671" s="55" t="str">
        <f t="shared" si="128"/>
        <v/>
      </c>
      <c r="BI671" s="55" t="str">
        <f t="shared" si="129"/>
        <v/>
      </c>
      <c r="BJ671" s="55" t="str">
        <f t="shared" si="130"/>
        <v/>
      </c>
      <c r="BK671" s="55" t="str">
        <f t="shared" si="131"/>
        <v/>
      </c>
    </row>
    <row r="672" spans="22:63">
      <c r="V672" s="55">
        <f t="shared" ca="1" si="120"/>
        <v>1</v>
      </c>
      <c r="W672" s="64"/>
      <c r="X672" s="65"/>
      <c r="Y672" s="65"/>
      <c r="Z672" s="65"/>
      <c r="AA672" s="64"/>
      <c r="AB672" s="65"/>
      <c r="AC672" s="64"/>
      <c r="AD672" s="65"/>
      <c r="AE672" s="64"/>
      <c r="AF672" s="65"/>
      <c r="AG672" s="65"/>
      <c r="AH672" s="66" t="str">
        <f t="shared" si="121"/>
        <v/>
      </c>
      <c r="AI672" s="64"/>
      <c r="AJ672" s="65"/>
      <c r="AK672" s="64"/>
      <c r="AL672" s="65"/>
      <c r="BB672" s="55" t="str">
        <f t="shared" si="122"/>
        <v/>
      </c>
      <c r="BC672" s="55" t="str">
        <f t="shared" si="123"/>
        <v/>
      </c>
      <c r="BD672" s="55" t="str">
        <f t="shared" si="124"/>
        <v/>
      </c>
      <c r="BE672" s="55" t="str">
        <f t="shared" si="125"/>
        <v/>
      </c>
      <c r="BF672" s="55" t="str">
        <f t="shared" si="126"/>
        <v/>
      </c>
      <c r="BG672" s="55" t="str">
        <f t="shared" si="127"/>
        <v/>
      </c>
      <c r="BH672" s="55" t="str">
        <f t="shared" si="128"/>
        <v/>
      </c>
      <c r="BI672" s="55" t="str">
        <f t="shared" si="129"/>
        <v/>
      </c>
      <c r="BJ672" s="55" t="str">
        <f t="shared" si="130"/>
        <v/>
      </c>
      <c r="BK672" s="55" t="str">
        <f t="shared" si="131"/>
        <v/>
      </c>
    </row>
    <row r="673" spans="22:63">
      <c r="V673" s="55">
        <f t="shared" ca="1" si="120"/>
        <v>1</v>
      </c>
      <c r="W673" s="64"/>
      <c r="X673" s="65"/>
      <c r="Y673" s="65"/>
      <c r="Z673" s="65"/>
      <c r="AA673" s="64"/>
      <c r="AB673" s="65"/>
      <c r="AC673" s="64"/>
      <c r="AD673" s="65"/>
      <c r="AE673" s="64"/>
      <c r="AF673" s="65"/>
      <c r="AG673" s="65"/>
      <c r="AH673" s="66" t="str">
        <f t="shared" si="121"/>
        <v/>
      </c>
      <c r="AI673" s="64"/>
      <c r="AJ673" s="65"/>
      <c r="AK673" s="64"/>
      <c r="AL673" s="65"/>
      <c r="BB673" s="55" t="str">
        <f t="shared" si="122"/>
        <v/>
      </c>
      <c r="BC673" s="55" t="str">
        <f t="shared" si="123"/>
        <v/>
      </c>
      <c r="BD673" s="55" t="str">
        <f t="shared" si="124"/>
        <v/>
      </c>
      <c r="BE673" s="55" t="str">
        <f t="shared" si="125"/>
        <v/>
      </c>
      <c r="BF673" s="55" t="str">
        <f t="shared" si="126"/>
        <v/>
      </c>
      <c r="BG673" s="55" t="str">
        <f t="shared" si="127"/>
        <v/>
      </c>
      <c r="BH673" s="55" t="str">
        <f t="shared" si="128"/>
        <v/>
      </c>
      <c r="BI673" s="55" t="str">
        <f t="shared" si="129"/>
        <v/>
      </c>
      <c r="BJ673" s="55" t="str">
        <f t="shared" si="130"/>
        <v/>
      </c>
      <c r="BK673" s="55" t="str">
        <f t="shared" si="131"/>
        <v/>
      </c>
    </row>
    <row r="674" spans="22:63">
      <c r="V674" s="55">
        <f t="shared" ca="1" si="120"/>
        <v>1</v>
      </c>
      <c r="W674" s="64"/>
      <c r="X674" s="65"/>
      <c r="Y674" s="65"/>
      <c r="Z674" s="65"/>
      <c r="AA674" s="64"/>
      <c r="AB674" s="65"/>
      <c r="AC674" s="64"/>
      <c r="AD674" s="65"/>
      <c r="AE674" s="64"/>
      <c r="AF674" s="65"/>
      <c r="AG674" s="65"/>
      <c r="AH674" s="66" t="str">
        <f t="shared" si="121"/>
        <v/>
      </c>
      <c r="AI674" s="64"/>
      <c r="AJ674" s="65"/>
      <c r="AK674" s="64"/>
      <c r="AL674" s="65"/>
      <c r="BB674" s="55" t="str">
        <f t="shared" si="122"/>
        <v/>
      </c>
      <c r="BC674" s="55" t="str">
        <f t="shared" si="123"/>
        <v/>
      </c>
      <c r="BD674" s="55" t="str">
        <f t="shared" si="124"/>
        <v/>
      </c>
      <c r="BE674" s="55" t="str">
        <f t="shared" si="125"/>
        <v/>
      </c>
      <c r="BF674" s="55" t="str">
        <f t="shared" si="126"/>
        <v/>
      </c>
      <c r="BG674" s="55" t="str">
        <f t="shared" si="127"/>
        <v/>
      </c>
      <c r="BH674" s="55" t="str">
        <f t="shared" si="128"/>
        <v/>
      </c>
      <c r="BI674" s="55" t="str">
        <f t="shared" si="129"/>
        <v/>
      </c>
      <c r="BJ674" s="55" t="str">
        <f t="shared" si="130"/>
        <v/>
      </c>
      <c r="BK674" s="55" t="str">
        <f t="shared" si="131"/>
        <v/>
      </c>
    </row>
    <row r="675" spans="22:63">
      <c r="V675" s="55">
        <f t="shared" ca="1" si="120"/>
        <v>1</v>
      </c>
      <c r="W675" s="64"/>
      <c r="X675" s="65"/>
      <c r="Y675" s="65"/>
      <c r="Z675" s="65"/>
      <c r="AA675" s="64"/>
      <c r="AB675" s="65"/>
      <c r="AC675" s="64"/>
      <c r="AD675" s="65"/>
      <c r="AE675" s="64"/>
      <c r="AF675" s="65"/>
      <c r="AG675" s="65"/>
      <c r="AH675" s="66" t="str">
        <f t="shared" si="121"/>
        <v/>
      </c>
      <c r="AI675" s="64"/>
      <c r="AJ675" s="65"/>
      <c r="AK675" s="64"/>
      <c r="AL675" s="65"/>
      <c r="BB675" s="55" t="str">
        <f t="shared" si="122"/>
        <v/>
      </c>
      <c r="BC675" s="55" t="str">
        <f t="shared" si="123"/>
        <v/>
      </c>
      <c r="BD675" s="55" t="str">
        <f t="shared" si="124"/>
        <v/>
      </c>
      <c r="BE675" s="55" t="str">
        <f t="shared" si="125"/>
        <v/>
      </c>
      <c r="BF675" s="55" t="str">
        <f t="shared" si="126"/>
        <v/>
      </c>
      <c r="BG675" s="55" t="str">
        <f t="shared" si="127"/>
        <v/>
      </c>
      <c r="BH675" s="55" t="str">
        <f t="shared" si="128"/>
        <v/>
      </c>
      <c r="BI675" s="55" t="str">
        <f t="shared" si="129"/>
        <v/>
      </c>
      <c r="BJ675" s="55" t="str">
        <f t="shared" si="130"/>
        <v/>
      </c>
      <c r="BK675" s="55" t="str">
        <f t="shared" si="131"/>
        <v/>
      </c>
    </row>
    <row r="676" spans="22:63">
      <c r="V676" s="55">
        <f t="shared" ca="1" si="120"/>
        <v>1</v>
      </c>
      <c r="W676" s="64"/>
      <c r="X676" s="65"/>
      <c r="Y676" s="65"/>
      <c r="Z676" s="65"/>
      <c r="AA676" s="64"/>
      <c r="AB676" s="65"/>
      <c r="AC676" s="64"/>
      <c r="AD676" s="65"/>
      <c r="AE676" s="64"/>
      <c r="AF676" s="65"/>
      <c r="AG676" s="65"/>
      <c r="AH676" s="66" t="str">
        <f t="shared" si="121"/>
        <v/>
      </c>
      <c r="AI676" s="64"/>
      <c r="AJ676" s="65"/>
      <c r="AK676" s="64"/>
      <c r="AL676" s="65"/>
      <c r="BB676" s="55" t="str">
        <f t="shared" si="122"/>
        <v/>
      </c>
      <c r="BC676" s="55" t="str">
        <f t="shared" si="123"/>
        <v/>
      </c>
      <c r="BD676" s="55" t="str">
        <f t="shared" si="124"/>
        <v/>
      </c>
      <c r="BE676" s="55" t="str">
        <f t="shared" si="125"/>
        <v/>
      </c>
      <c r="BF676" s="55" t="str">
        <f t="shared" si="126"/>
        <v/>
      </c>
      <c r="BG676" s="55" t="str">
        <f t="shared" si="127"/>
        <v/>
      </c>
      <c r="BH676" s="55" t="str">
        <f t="shared" si="128"/>
        <v/>
      </c>
      <c r="BI676" s="55" t="str">
        <f t="shared" si="129"/>
        <v/>
      </c>
      <c r="BJ676" s="55" t="str">
        <f t="shared" si="130"/>
        <v/>
      </c>
      <c r="BK676" s="55" t="str">
        <f t="shared" si="131"/>
        <v/>
      </c>
    </row>
    <row r="677" spans="22:63">
      <c r="V677" s="55">
        <f t="shared" ca="1" si="120"/>
        <v>1</v>
      </c>
      <c r="W677" s="64"/>
      <c r="X677" s="65"/>
      <c r="Y677" s="65"/>
      <c r="Z677" s="65"/>
      <c r="AA677" s="64"/>
      <c r="AB677" s="65"/>
      <c r="AC677" s="64"/>
      <c r="AD677" s="65"/>
      <c r="AE677" s="64"/>
      <c r="AF677" s="65"/>
      <c r="AG677" s="65"/>
      <c r="AH677" s="66" t="str">
        <f t="shared" si="121"/>
        <v/>
      </c>
      <c r="AI677" s="64"/>
      <c r="AJ677" s="65"/>
      <c r="AK677" s="64"/>
      <c r="AL677" s="65"/>
      <c r="BB677" s="55" t="str">
        <f t="shared" si="122"/>
        <v/>
      </c>
      <c r="BC677" s="55" t="str">
        <f t="shared" si="123"/>
        <v/>
      </c>
      <c r="BD677" s="55" t="str">
        <f t="shared" si="124"/>
        <v/>
      </c>
      <c r="BE677" s="55" t="str">
        <f t="shared" si="125"/>
        <v/>
      </c>
      <c r="BF677" s="55" t="str">
        <f t="shared" si="126"/>
        <v/>
      </c>
      <c r="BG677" s="55" t="str">
        <f t="shared" si="127"/>
        <v/>
      </c>
      <c r="BH677" s="55" t="str">
        <f t="shared" si="128"/>
        <v/>
      </c>
      <c r="BI677" s="55" t="str">
        <f t="shared" si="129"/>
        <v/>
      </c>
      <c r="BJ677" s="55" t="str">
        <f t="shared" si="130"/>
        <v/>
      </c>
      <c r="BK677" s="55" t="str">
        <f t="shared" si="131"/>
        <v/>
      </c>
    </row>
    <row r="678" spans="22:63">
      <c r="V678" s="55">
        <f t="shared" ca="1" si="120"/>
        <v>1</v>
      </c>
      <c r="W678" s="64"/>
      <c r="X678" s="65"/>
      <c r="Y678" s="65"/>
      <c r="Z678" s="65"/>
      <c r="AA678" s="64"/>
      <c r="AB678" s="65"/>
      <c r="AC678" s="64"/>
      <c r="AD678" s="65"/>
      <c r="AE678" s="64"/>
      <c r="AF678" s="65"/>
      <c r="AG678" s="65"/>
      <c r="AH678" s="66" t="str">
        <f t="shared" si="121"/>
        <v/>
      </c>
      <c r="AI678" s="64"/>
      <c r="AJ678" s="65"/>
      <c r="AK678" s="64"/>
      <c r="AL678" s="65"/>
      <c r="BB678" s="55" t="str">
        <f t="shared" si="122"/>
        <v/>
      </c>
      <c r="BC678" s="55" t="str">
        <f t="shared" si="123"/>
        <v/>
      </c>
      <c r="BD678" s="55" t="str">
        <f t="shared" si="124"/>
        <v/>
      </c>
      <c r="BE678" s="55" t="str">
        <f t="shared" si="125"/>
        <v/>
      </c>
      <c r="BF678" s="55" t="str">
        <f t="shared" si="126"/>
        <v/>
      </c>
      <c r="BG678" s="55" t="str">
        <f t="shared" si="127"/>
        <v/>
      </c>
      <c r="BH678" s="55" t="str">
        <f t="shared" si="128"/>
        <v/>
      </c>
      <c r="BI678" s="55" t="str">
        <f t="shared" si="129"/>
        <v/>
      </c>
      <c r="BJ678" s="55" t="str">
        <f t="shared" si="130"/>
        <v/>
      </c>
      <c r="BK678" s="55" t="str">
        <f t="shared" si="131"/>
        <v/>
      </c>
    </row>
    <row r="679" spans="22:63">
      <c r="V679" s="55">
        <f t="shared" ca="1" si="120"/>
        <v>1</v>
      </c>
      <c r="W679" s="64"/>
      <c r="X679" s="65"/>
      <c r="Y679" s="65"/>
      <c r="Z679" s="65"/>
      <c r="AA679" s="64"/>
      <c r="AB679" s="65"/>
      <c r="AC679" s="64"/>
      <c r="AD679" s="65"/>
      <c r="AE679" s="64"/>
      <c r="AF679" s="65"/>
      <c r="AG679" s="65"/>
      <c r="AH679" s="66" t="str">
        <f t="shared" si="121"/>
        <v/>
      </c>
      <c r="AI679" s="64"/>
      <c r="AJ679" s="65"/>
      <c r="AK679" s="64"/>
      <c r="AL679" s="65"/>
      <c r="BB679" s="55" t="str">
        <f t="shared" si="122"/>
        <v/>
      </c>
      <c r="BC679" s="55" t="str">
        <f t="shared" si="123"/>
        <v/>
      </c>
      <c r="BD679" s="55" t="str">
        <f t="shared" si="124"/>
        <v/>
      </c>
      <c r="BE679" s="55" t="str">
        <f t="shared" si="125"/>
        <v/>
      </c>
      <c r="BF679" s="55" t="str">
        <f t="shared" si="126"/>
        <v/>
      </c>
      <c r="BG679" s="55" t="str">
        <f t="shared" si="127"/>
        <v/>
      </c>
      <c r="BH679" s="55" t="str">
        <f t="shared" si="128"/>
        <v/>
      </c>
      <c r="BI679" s="55" t="str">
        <f t="shared" si="129"/>
        <v/>
      </c>
      <c r="BJ679" s="55" t="str">
        <f t="shared" si="130"/>
        <v/>
      </c>
      <c r="BK679" s="55" t="str">
        <f t="shared" si="131"/>
        <v/>
      </c>
    </row>
    <row r="680" spans="22:63">
      <c r="V680" s="55">
        <f t="shared" ca="1" si="120"/>
        <v>1</v>
      </c>
      <c r="W680" s="64"/>
      <c r="X680" s="65"/>
      <c r="Y680" s="65"/>
      <c r="Z680" s="65"/>
      <c r="AA680" s="64"/>
      <c r="AB680" s="65"/>
      <c r="AC680" s="64"/>
      <c r="AD680" s="65"/>
      <c r="AE680" s="64"/>
      <c r="AF680" s="65"/>
      <c r="AG680" s="65"/>
      <c r="AH680" s="66" t="str">
        <f t="shared" si="121"/>
        <v/>
      </c>
      <c r="AI680" s="64"/>
      <c r="AJ680" s="65"/>
      <c r="AK680" s="64"/>
      <c r="AL680" s="65"/>
      <c r="BB680" s="55" t="str">
        <f t="shared" si="122"/>
        <v/>
      </c>
      <c r="BC680" s="55" t="str">
        <f t="shared" si="123"/>
        <v/>
      </c>
      <c r="BD680" s="55" t="str">
        <f t="shared" si="124"/>
        <v/>
      </c>
      <c r="BE680" s="55" t="str">
        <f t="shared" si="125"/>
        <v/>
      </c>
      <c r="BF680" s="55" t="str">
        <f t="shared" si="126"/>
        <v/>
      </c>
      <c r="BG680" s="55" t="str">
        <f t="shared" si="127"/>
        <v/>
      </c>
      <c r="BH680" s="55" t="str">
        <f t="shared" si="128"/>
        <v/>
      </c>
      <c r="BI680" s="55" t="str">
        <f t="shared" si="129"/>
        <v/>
      </c>
      <c r="BJ680" s="55" t="str">
        <f t="shared" si="130"/>
        <v/>
      </c>
      <c r="BK680" s="55" t="str">
        <f t="shared" si="131"/>
        <v/>
      </c>
    </row>
    <row r="681" spans="22:63">
      <c r="V681" s="55">
        <f t="shared" ca="1" si="120"/>
        <v>1</v>
      </c>
      <c r="W681" s="64"/>
      <c r="X681" s="65"/>
      <c r="Y681" s="65"/>
      <c r="Z681" s="65"/>
      <c r="AA681" s="64"/>
      <c r="AB681" s="65"/>
      <c r="AC681" s="64"/>
      <c r="AD681" s="65"/>
      <c r="AE681" s="64"/>
      <c r="AF681" s="65"/>
      <c r="AG681" s="65"/>
      <c r="AH681" s="66" t="str">
        <f t="shared" si="121"/>
        <v/>
      </c>
      <c r="AI681" s="64"/>
      <c r="AJ681" s="65"/>
      <c r="AK681" s="64"/>
      <c r="AL681" s="65"/>
      <c r="BB681" s="55" t="str">
        <f t="shared" si="122"/>
        <v/>
      </c>
      <c r="BC681" s="55" t="str">
        <f t="shared" si="123"/>
        <v/>
      </c>
      <c r="BD681" s="55" t="str">
        <f t="shared" si="124"/>
        <v/>
      </c>
      <c r="BE681" s="55" t="str">
        <f t="shared" si="125"/>
        <v/>
      </c>
      <c r="BF681" s="55" t="str">
        <f t="shared" si="126"/>
        <v/>
      </c>
      <c r="BG681" s="55" t="str">
        <f t="shared" si="127"/>
        <v/>
      </c>
      <c r="BH681" s="55" t="str">
        <f t="shared" si="128"/>
        <v/>
      </c>
      <c r="BI681" s="55" t="str">
        <f t="shared" si="129"/>
        <v/>
      </c>
      <c r="BJ681" s="55" t="str">
        <f t="shared" si="130"/>
        <v/>
      </c>
      <c r="BK681" s="55" t="str">
        <f t="shared" si="131"/>
        <v/>
      </c>
    </row>
    <row r="682" spans="22:63">
      <c r="V682" s="55">
        <f t="shared" ca="1" si="120"/>
        <v>1</v>
      </c>
      <c r="W682" s="64"/>
      <c r="X682" s="65"/>
      <c r="Y682" s="65"/>
      <c r="Z682" s="65"/>
      <c r="AA682" s="64"/>
      <c r="AB682" s="65"/>
      <c r="AC682" s="64"/>
      <c r="AD682" s="65"/>
      <c r="AE682" s="64"/>
      <c r="AF682" s="65"/>
      <c r="AG682" s="65"/>
      <c r="AH682" s="66" t="str">
        <f t="shared" si="121"/>
        <v/>
      </c>
      <c r="AI682" s="64"/>
      <c r="AJ682" s="65"/>
      <c r="AK682" s="64"/>
      <c r="AL682" s="65"/>
      <c r="BB682" s="55" t="str">
        <f t="shared" si="122"/>
        <v/>
      </c>
      <c r="BC682" s="55" t="str">
        <f t="shared" si="123"/>
        <v/>
      </c>
      <c r="BD682" s="55" t="str">
        <f t="shared" si="124"/>
        <v/>
      </c>
      <c r="BE682" s="55" t="str">
        <f t="shared" si="125"/>
        <v/>
      </c>
      <c r="BF682" s="55" t="str">
        <f t="shared" si="126"/>
        <v/>
      </c>
      <c r="BG682" s="55" t="str">
        <f t="shared" si="127"/>
        <v/>
      </c>
      <c r="BH682" s="55" t="str">
        <f t="shared" si="128"/>
        <v/>
      </c>
      <c r="BI682" s="55" t="str">
        <f t="shared" si="129"/>
        <v/>
      </c>
      <c r="BJ682" s="55" t="str">
        <f t="shared" si="130"/>
        <v/>
      </c>
      <c r="BK682" s="55" t="str">
        <f t="shared" si="131"/>
        <v/>
      </c>
    </row>
    <row r="683" spans="22:63">
      <c r="V683" s="55">
        <f t="shared" ca="1" si="120"/>
        <v>1</v>
      </c>
      <c r="W683" s="64"/>
      <c r="X683" s="65"/>
      <c r="Y683" s="65"/>
      <c r="Z683" s="65"/>
      <c r="AA683" s="64"/>
      <c r="AB683" s="65"/>
      <c r="AC683" s="64"/>
      <c r="AD683" s="65"/>
      <c r="AE683" s="64"/>
      <c r="AF683" s="65"/>
      <c r="AG683" s="65"/>
      <c r="AH683" s="66" t="str">
        <f t="shared" si="121"/>
        <v/>
      </c>
      <c r="AI683" s="64"/>
      <c r="AJ683" s="65"/>
      <c r="AK683" s="64"/>
      <c r="AL683" s="65"/>
      <c r="BB683" s="55" t="str">
        <f t="shared" si="122"/>
        <v/>
      </c>
      <c r="BC683" s="55" t="str">
        <f t="shared" si="123"/>
        <v/>
      </c>
      <c r="BD683" s="55" t="str">
        <f t="shared" si="124"/>
        <v/>
      </c>
      <c r="BE683" s="55" t="str">
        <f t="shared" si="125"/>
        <v/>
      </c>
      <c r="BF683" s="55" t="str">
        <f t="shared" si="126"/>
        <v/>
      </c>
      <c r="BG683" s="55" t="str">
        <f t="shared" si="127"/>
        <v/>
      </c>
      <c r="BH683" s="55" t="str">
        <f t="shared" si="128"/>
        <v/>
      </c>
      <c r="BI683" s="55" t="str">
        <f t="shared" si="129"/>
        <v/>
      </c>
      <c r="BJ683" s="55" t="str">
        <f t="shared" si="130"/>
        <v/>
      </c>
      <c r="BK683" s="55" t="str">
        <f t="shared" si="131"/>
        <v/>
      </c>
    </row>
    <row r="684" spans="22:63">
      <c r="V684" s="55">
        <f t="shared" ca="1" si="120"/>
        <v>1</v>
      </c>
      <c r="W684" s="64"/>
      <c r="X684" s="65"/>
      <c r="Y684" s="65"/>
      <c r="Z684" s="65"/>
      <c r="AA684" s="64"/>
      <c r="AB684" s="65"/>
      <c r="AC684" s="64"/>
      <c r="AD684" s="65"/>
      <c r="AE684" s="64"/>
      <c r="AF684" s="65"/>
      <c r="AG684" s="65"/>
      <c r="AH684" s="66" t="str">
        <f t="shared" si="121"/>
        <v/>
      </c>
      <c r="AI684" s="64"/>
      <c r="AJ684" s="65"/>
      <c r="AK684" s="64"/>
      <c r="AL684" s="65"/>
      <c r="BB684" s="55" t="str">
        <f t="shared" si="122"/>
        <v/>
      </c>
      <c r="BC684" s="55" t="str">
        <f t="shared" si="123"/>
        <v/>
      </c>
      <c r="BD684" s="55" t="str">
        <f t="shared" si="124"/>
        <v/>
      </c>
      <c r="BE684" s="55" t="str">
        <f t="shared" si="125"/>
        <v/>
      </c>
      <c r="BF684" s="55" t="str">
        <f t="shared" si="126"/>
        <v/>
      </c>
      <c r="BG684" s="55" t="str">
        <f t="shared" si="127"/>
        <v/>
      </c>
      <c r="BH684" s="55" t="str">
        <f t="shared" si="128"/>
        <v/>
      </c>
      <c r="BI684" s="55" t="str">
        <f t="shared" si="129"/>
        <v/>
      </c>
      <c r="BJ684" s="55" t="str">
        <f t="shared" si="130"/>
        <v/>
      </c>
      <c r="BK684" s="55" t="str">
        <f t="shared" si="131"/>
        <v/>
      </c>
    </row>
    <row r="685" spans="22:63">
      <c r="V685" s="55">
        <f t="shared" ca="1" si="120"/>
        <v>1</v>
      </c>
      <c r="W685" s="64"/>
      <c r="X685" s="65"/>
      <c r="Y685" s="65"/>
      <c r="Z685" s="65"/>
      <c r="AA685" s="64"/>
      <c r="AB685" s="65"/>
      <c r="AC685" s="64"/>
      <c r="AD685" s="65"/>
      <c r="AE685" s="64"/>
      <c r="AF685" s="65"/>
      <c r="AG685" s="65"/>
      <c r="AH685" s="66" t="str">
        <f t="shared" si="121"/>
        <v/>
      </c>
      <c r="AI685" s="64"/>
      <c r="AJ685" s="65"/>
      <c r="AK685" s="64"/>
      <c r="AL685" s="65"/>
      <c r="BB685" s="55" t="str">
        <f t="shared" si="122"/>
        <v/>
      </c>
      <c r="BC685" s="55" t="str">
        <f t="shared" si="123"/>
        <v/>
      </c>
      <c r="BD685" s="55" t="str">
        <f t="shared" si="124"/>
        <v/>
      </c>
      <c r="BE685" s="55" t="str">
        <f t="shared" si="125"/>
        <v/>
      </c>
      <c r="BF685" s="55" t="str">
        <f t="shared" si="126"/>
        <v/>
      </c>
      <c r="BG685" s="55" t="str">
        <f t="shared" si="127"/>
        <v/>
      </c>
      <c r="BH685" s="55" t="str">
        <f t="shared" si="128"/>
        <v/>
      </c>
      <c r="BI685" s="55" t="str">
        <f t="shared" si="129"/>
        <v/>
      </c>
      <c r="BJ685" s="55" t="str">
        <f t="shared" si="130"/>
        <v/>
      </c>
      <c r="BK685" s="55" t="str">
        <f t="shared" si="131"/>
        <v/>
      </c>
    </row>
    <row r="686" spans="22:63">
      <c r="V686" s="55">
        <f t="shared" ca="1" si="120"/>
        <v>1</v>
      </c>
      <c r="W686" s="64"/>
      <c r="X686" s="65"/>
      <c r="Y686" s="65"/>
      <c r="Z686" s="65"/>
      <c r="AA686" s="64"/>
      <c r="AB686" s="65"/>
      <c r="AC686" s="64"/>
      <c r="AD686" s="65"/>
      <c r="AE686" s="64"/>
      <c r="AF686" s="65"/>
      <c r="AG686" s="65"/>
      <c r="AH686" s="66" t="str">
        <f t="shared" si="121"/>
        <v/>
      </c>
      <c r="AI686" s="64"/>
      <c r="AJ686" s="65"/>
      <c r="AK686" s="64"/>
      <c r="AL686" s="65"/>
      <c r="BB686" s="55" t="str">
        <f t="shared" si="122"/>
        <v/>
      </c>
      <c r="BC686" s="55" t="str">
        <f t="shared" si="123"/>
        <v/>
      </c>
      <c r="BD686" s="55" t="str">
        <f t="shared" si="124"/>
        <v/>
      </c>
      <c r="BE686" s="55" t="str">
        <f t="shared" si="125"/>
        <v/>
      </c>
      <c r="BF686" s="55" t="str">
        <f t="shared" si="126"/>
        <v/>
      </c>
      <c r="BG686" s="55" t="str">
        <f t="shared" si="127"/>
        <v/>
      </c>
      <c r="BH686" s="55" t="str">
        <f t="shared" si="128"/>
        <v/>
      </c>
      <c r="BI686" s="55" t="str">
        <f t="shared" si="129"/>
        <v/>
      </c>
      <c r="BJ686" s="55" t="str">
        <f t="shared" si="130"/>
        <v/>
      </c>
      <c r="BK686" s="55" t="str">
        <f t="shared" si="131"/>
        <v/>
      </c>
    </row>
    <row r="687" spans="22:63">
      <c r="V687" s="55">
        <f t="shared" ca="1" si="120"/>
        <v>1</v>
      </c>
      <c r="W687" s="64"/>
      <c r="X687" s="65"/>
      <c r="Y687" s="65"/>
      <c r="Z687" s="65"/>
      <c r="AA687" s="64"/>
      <c r="AB687" s="65"/>
      <c r="AC687" s="64"/>
      <c r="AD687" s="65"/>
      <c r="AE687" s="64"/>
      <c r="AF687" s="65"/>
      <c r="AG687" s="65"/>
      <c r="AH687" s="66" t="str">
        <f t="shared" si="121"/>
        <v/>
      </c>
      <c r="AI687" s="64"/>
      <c r="AJ687" s="65"/>
      <c r="AK687" s="64"/>
      <c r="AL687" s="65"/>
      <c r="BB687" s="55" t="str">
        <f t="shared" si="122"/>
        <v/>
      </c>
      <c r="BC687" s="55" t="str">
        <f t="shared" si="123"/>
        <v/>
      </c>
      <c r="BD687" s="55" t="str">
        <f t="shared" si="124"/>
        <v/>
      </c>
      <c r="BE687" s="55" t="str">
        <f t="shared" si="125"/>
        <v/>
      </c>
      <c r="BF687" s="55" t="str">
        <f t="shared" si="126"/>
        <v/>
      </c>
      <c r="BG687" s="55" t="str">
        <f t="shared" si="127"/>
        <v/>
      </c>
      <c r="BH687" s="55" t="str">
        <f t="shared" si="128"/>
        <v/>
      </c>
      <c r="BI687" s="55" t="str">
        <f t="shared" si="129"/>
        <v/>
      </c>
      <c r="BJ687" s="55" t="str">
        <f t="shared" si="130"/>
        <v/>
      </c>
      <c r="BK687" s="55" t="str">
        <f t="shared" si="131"/>
        <v/>
      </c>
    </row>
    <row r="688" spans="22:63">
      <c r="V688" s="55">
        <f t="shared" ca="1" si="120"/>
        <v>1</v>
      </c>
      <c r="W688" s="64"/>
      <c r="X688" s="65"/>
      <c r="Y688" s="65"/>
      <c r="Z688" s="65"/>
      <c r="AA688" s="64"/>
      <c r="AB688" s="65"/>
      <c r="AC688" s="64"/>
      <c r="AD688" s="65"/>
      <c r="AE688" s="64"/>
      <c r="AF688" s="65"/>
      <c r="AG688" s="65"/>
      <c r="AH688" s="66" t="str">
        <f t="shared" si="121"/>
        <v/>
      </c>
      <c r="AI688" s="64"/>
      <c r="AJ688" s="65"/>
      <c r="AK688" s="64"/>
      <c r="AL688" s="65"/>
      <c r="BB688" s="55" t="str">
        <f t="shared" si="122"/>
        <v/>
      </c>
      <c r="BC688" s="55" t="str">
        <f t="shared" si="123"/>
        <v/>
      </c>
      <c r="BD688" s="55" t="str">
        <f t="shared" si="124"/>
        <v/>
      </c>
      <c r="BE688" s="55" t="str">
        <f t="shared" si="125"/>
        <v/>
      </c>
      <c r="BF688" s="55" t="str">
        <f t="shared" si="126"/>
        <v/>
      </c>
      <c r="BG688" s="55" t="str">
        <f t="shared" si="127"/>
        <v/>
      </c>
      <c r="BH688" s="55" t="str">
        <f t="shared" si="128"/>
        <v/>
      </c>
      <c r="BI688" s="55" t="str">
        <f t="shared" si="129"/>
        <v/>
      </c>
      <c r="BJ688" s="55" t="str">
        <f t="shared" si="130"/>
        <v/>
      </c>
      <c r="BK688" s="55" t="str">
        <f t="shared" si="131"/>
        <v/>
      </c>
    </row>
    <row r="689" spans="22:63">
      <c r="V689" s="55">
        <f t="shared" ca="1" si="120"/>
        <v>1</v>
      </c>
      <c r="W689" s="64"/>
      <c r="X689" s="65"/>
      <c r="Y689" s="65"/>
      <c r="Z689" s="65"/>
      <c r="AA689" s="64"/>
      <c r="AB689" s="65"/>
      <c r="AC689" s="64"/>
      <c r="AD689" s="65"/>
      <c r="AE689" s="64"/>
      <c r="AF689" s="65"/>
      <c r="AG689" s="65"/>
      <c r="AH689" s="66" t="str">
        <f t="shared" si="121"/>
        <v/>
      </c>
      <c r="AI689" s="64"/>
      <c r="AJ689" s="65"/>
      <c r="AK689" s="64"/>
      <c r="AL689" s="65"/>
      <c r="BB689" s="55" t="str">
        <f t="shared" si="122"/>
        <v/>
      </c>
      <c r="BC689" s="55" t="str">
        <f t="shared" si="123"/>
        <v/>
      </c>
      <c r="BD689" s="55" t="str">
        <f t="shared" si="124"/>
        <v/>
      </c>
      <c r="BE689" s="55" t="str">
        <f t="shared" si="125"/>
        <v/>
      </c>
      <c r="BF689" s="55" t="str">
        <f t="shared" si="126"/>
        <v/>
      </c>
      <c r="BG689" s="55" t="str">
        <f t="shared" si="127"/>
        <v/>
      </c>
      <c r="BH689" s="55" t="str">
        <f t="shared" si="128"/>
        <v/>
      </c>
      <c r="BI689" s="55" t="str">
        <f t="shared" si="129"/>
        <v/>
      </c>
      <c r="BJ689" s="55" t="str">
        <f t="shared" si="130"/>
        <v/>
      </c>
      <c r="BK689" s="55" t="str">
        <f t="shared" si="131"/>
        <v/>
      </c>
    </row>
    <row r="690" spans="22:63">
      <c r="V690" s="55">
        <f t="shared" ca="1" si="120"/>
        <v>1</v>
      </c>
      <c r="W690" s="64"/>
      <c r="X690" s="65"/>
      <c r="Y690" s="65"/>
      <c r="Z690" s="65"/>
      <c r="AA690" s="64"/>
      <c r="AB690" s="65"/>
      <c r="AC690" s="64"/>
      <c r="AD690" s="65"/>
      <c r="AE690" s="64"/>
      <c r="AF690" s="65"/>
      <c r="AG690" s="65"/>
      <c r="AH690" s="66" t="str">
        <f t="shared" si="121"/>
        <v/>
      </c>
      <c r="AI690" s="64"/>
      <c r="AJ690" s="65"/>
      <c r="AK690" s="64"/>
      <c r="AL690" s="65"/>
      <c r="BB690" s="55" t="str">
        <f t="shared" si="122"/>
        <v/>
      </c>
      <c r="BC690" s="55" t="str">
        <f t="shared" si="123"/>
        <v/>
      </c>
      <c r="BD690" s="55" t="str">
        <f t="shared" si="124"/>
        <v/>
      </c>
      <c r="BE690" s="55" t="str">
        <f t="shared" si="125"/>
        <v/>
      </c>
      <c r="BF690" s="55" t="str">
        <f t="shared" si="126"/>
        <v/>
      </c>
      <c r="BG690" s="55" t="str">
        <f t="shared" si="127"/>
        <v/>
      </c>
      <c r="BH690" s="55" t="str">
        <f t="shared" si="128"/>
        <v/>
      </c>
      <c r="BI690" s="55" t="str">
        <f t="shared" si="129"/>
        <v/>
      </c>
      <c r="BJ690" s="55" t="str">
        <f t="shared" si="130"/>
        <v/>
      </c>
      <c r="BK690" s="55" t="str">
        <f t="shared" si="131"/>
        <v/>
      </c>
    </row>
    <row r="691" spans="22:63">
      <c r="V691" s="55">
        <f t="shared" ca="1" si="120"/>
        <v>1</v>
      </c>
      <c r="W691" s="64"/>
      <c r="X691" s="65"/>
      <c r="Y691" s="65"/>
      <c r="Z691" s="65"/>
      <c r="AA691" s="64"/>
      <c r="AB691" s="65"/>
      <c r="AC691" s="64"/>
      <c r="AD691" s="65"/>
      <c r="AE691" s="64"/>
      <c r="AF691" s="65"/>
      <c r="AG691" s="65"/>
      <c r="AH691" s="66" t="str">
        <f t="shared" si="121"/>
        <v/>
      </c>
      <c r="AI691" s="64"/>
      <c r="AJ691" s="65"/>
      <c r="AK691" s="64"/>
      <c r="AL691" s="65"/>
      <c r="BB691" s="55" t="str">
        <f t="shared" si="122"/>
        <v/>
      </c>
      <c r="BC691" s="55" t="str">
        <f t="shared" si="123"/>
        <v/>
      </c>
      <c r="BD691" s="55" t="str">
        <f t="shared" si="124"/>
        <v/>
      </c>
      <c r="BE691" s="55" t="str">
        <f t="shared" si="125"/>
        <v/>
      </c>
      <c r="BF691" s="55" t="str">
        <f t="shared" si="126"/>
        <v/>
      </c>
      <c r="BG691" s="55" t="str">
        <f t="shared" si="127"/>
        <v/>
      </c>
      <c r="BH691" s="55" t="str">
        <f t="shared" si="128"/>
        <v/>
      </c>
      <c r="BI691" s="55" t="str">
        <f t="shared" si="129"/>
        <v/>
      </c>
      <c r="BJ691" s="55" t="str">
        <f t="shared" si="130"/>
        <v/>
      </c>
      <c r="BK691" s="55" t="str">
        <f t="shared" si="131"/>
        <v/>
      </c>
    </row>
    <row r="692" spans="22:63">
      <c r="V692" s="55">
        <f t="shared" ca="1" si="120"/>
        <v>1</v>
      </c>
      <c r="W692" s="64"/>
      <c r="X692" s="65"/>
      <c r="Y692" s="65"/>
      <c r="Z692" s="65"/>
      <c r="AA692" s="64"/>
      <c r="AB692" s="65"/>
      <c r="AC692" s="64"/>
      <c r="AD692" s="65"/>
      <c r="AE692" s="64"/>
      <c r="AF692" s="65"/>
      <c r="AG692" s="65"/>
      <c r="AH692" s="66" t="str">
        <f t="shared" si="121"/>
        <v/>
      </c>
      <c r="AI692" s="64"/>
      <c r="AJ692" s="65"/>
      <c r="AK692" s="64"/>
      <c r="AL692" s="65"/>
      <c r="BB692" s="55" t="str">
        <f t="shared" si="122"/>
        <v/>
      </c>
      <c r="BC692" s="55" t="str">
        <f t="shared" si="123"/>
        <v/>
      </c>
      <c r="BD692" s="55" t="str">
        <f t="shared" si="124"/>
        <v/>
      </c>
      <c r="BE692" s="55" t="str">
        <f t="shared" si="125"/>
        <v/>
      </c>
      <c r="BF692" s="55" t="str">
        <f t="shared" si="126"/>
        <v/>
      </c>
      <c r="BG692" s="55" t="str">
        <f t="shared" si="127"/>
        <v/>
      </c>
      <c r="BH692" s="55" t="str">
        <f t="shared" si="128"/>
        <v/>
      </c>
      <c r="BI692" s="55" t="str">
        <f t="shared" si="129"/>
        <v/>
      </c>
      <c r="BJ692" s="55" t="str">
        <f t="shared" si="130"/>
        <v/>
      </c>
      <c r="BK692" s="55" t="str">
        <f t="shared" si="131"/>
        <v/>
      </c>
    </row>
    <row r="693" spans="22:63">
      <c r="V693" s="55">
        <f t="shared" ca="1" si="120"/>
        <v>1</v>
      </c>
      <c r="W693" s="64"/>
      <c r="X693" s="65"/>
      <c r="Y693" s="65"/>
      <c r="Z693" s="65"/>
      <c r="AA693" s="64"/>
      <c r="AB693" s="65"/>
      <c r="AC693" s="64"/>
      <c r="AD693" s="65"/>
      <c r="AE693" s="64"/>
      <c r="AF693" s="65"/>
      <c r="AG693" s="65"/>
      <c r="AH693" s="66" t="str">
        <f t="shared" si="121"/>
        <v/>
      </c>
      <c r="AI693" s="64"/>
      <c r="AJ693" s="65"/>
      <c r="AK693" s="64"/>
      <c r="AL693" s="65"/>
      <c r="BB693" s="55" t="str">
        <f t="shared" si="122"/>
        <v/>
      </c>
      <c r="BC693" s="55" t="str">
        <f t="shared" si="123"/>
        <v/>
      </c>
      <c r="BD693" s="55" t="str">
        <f t="shared" si="124"/>
        <v/>
      </c>
      <c r="BE693" s="55" t="str">
        <f t="shared" si="125"/>
        <v/>
      </c>
      <c r="BF693" s="55" t="str">
        <f t="shared" si="126"/>
        <v/>
      </c>
      <c r="BG693" s="55" t="str">
        <f t="shared" si="127"/>
        <v/>
      </c>
      <c r="BH693" s="55" t="str">
        <f t="shared" si="128"/>
        <v/>
      </c>
      <c r="BI693" s="55" t="str">
        <f t="shared" si="129"/>
        <v/>
      </c>
      <c r="BJ693" s="55" t="str">
        <f t="shared" si="130"/>
        <v/>
      </c>
      <c r="BK693" s="55" t="str">
        <f t="shared" si="131"/>
        <v/>
      </c>
    </row>
    <row r="694" spans="22:63">
      <c r="V694" s="55">
        <f t="shared" ca="1" si="120"/>
        <v>1</v>
      </c>
      <c r="W694" s="64"/>
      <c r="X694" s="65"/>
      <c r="Y694" s="65"/>
      <c r="Z694" s="65"/>
      <c r="AA694" s="64"/>
      <c r="AB694" s="65"/>
      <c r="AC694" s="64"/>
      <c r="AD694" s="65"/>
      <c r="AE694" s="64"/>
      <c r="AF694" s="65"/>
      <c r="AG694" s="65"/>
      <c r="AH694" s="66" t="str">
        <f t="shared" si="121"/>
        <v/>
      </c>
      <c r="AI694" s="64"/>
      <c r="AJ694" s="65"/>
      <c r="AK694" s="64"/>
      <c r="AL694" s="65"/>
      <c r="BB694" s="55" t="str">
        <f t="shared" si="122"/>
        <v/>
      </c>
      <c r="BC694" s="55" t="str">
        <f t="shared" si="123"/>
        <v/>
      </c>
      <c r="BD694" s="55" t="str">
        <f t="shared" si="124"/>
        <v/>
      </c>
      <c r="BE694" s="55" t="str">
        <f t="shared" si="125"/>
        <v/>
      </c>
      <c r="BF694" s="55" t="str">
        <f t="shared" si="126"/>
        <v/>
      </c>
      <c r="BG694" s="55" t="str">
        <f t="shared" si="127"/>
        <v/>
      </c>
      <c r="BH694" s="55" t="str">
        <f t="shared" si="128"/>
        <v/>
      </c>
      <c r="BI694" s="55" t="str">
        <f t="shared" si="129"/>
        <v/>
      </c>
      <c r="BJ694" s="55" t="str">
        <f t="shared" si="130"/>
        <v/>
      </c>
      <c r="BK694" s="55" t="str">
        <f t="shared" si="131"/>
        <v/>
      </c>
    </row>
    <row r="695" spans="22:63">
      <c r="V695" s="55">
        <f t="shared" ca="1" si="120"/>
        <v>1</v>
      </c>
      <c r="W695" s="64"/>
      <c r="X695" s="65"/>
      <c r="Y695" s="65"/>
      <c r="Z695" s="65"/>
      <c r="AA695" s="64"/>
      <c r="AB695" s="65"/>
      <c r="AC695" s="64"/>
      <c r="AD695" s="65"/>
      <c r="AE695" s="64"/>
      <c r="AF695" s="65"/>
      <c r="AG695" s="65"/>
      <c r="AH695" s="66" t="str">
        <f t="shared" si="121"/>
        <v/>
      </c>
      <c r="AI695" s="64"/>
      <c r="AJ695" s="65"/>
      <c r="AK695" s="64"/>
      <c r="AL695" s="65"/>
      <c r="BB695" s="55" t="str">
        <f t="shared" si="122"/>
        <v/>
      </c>
      <c r="BC695" s="55" t="str">
        <f t="shared" si="123"/>
        <v/>
      </c>
      <c r="BD695" s="55" t="str">
        <f t="shared" si="124"/>
        <v/>
      </c>
      <c r="BE695" s="55" t="str">
        <f t="shared" si="125"/>
        <v/>
      </c>
      <c r="BF695" s="55" t="str">
        <f t="shared" si="126"/>
        <v/>
      </c>
      <c r="BG695" s="55" t="str">
        <f t="shared" si="127"/>
        <v/>
      </c>
      <c r="BH695" s="55" t="str">
        <f t="shared" si="128"/>
        <v/>
      </c>
      <c r="BI695" s="55" t="str">
        <f t="shared" si="129"/>
        <v/>
      </c>
      <c r="BJ695" s="55" t="str">
        <f t="shared" si="130"/>
        <v/>
      </c>
      <c r="BK695" s="55" t="str">
        <f t="shared" si="131"/>
        <v/>
      </c>
    </row>
    <row r="696" spans="22:63">
      <c r="V696" s="55">
        <f t="shared" ca="1" si="120"/>
        <v>1</v>
      </c>
      <c r="W696" s="64"/>
      <c r="X696" s="65"/>
      <c r="Y696" s="65"/>
      <c r="Z696" s="65"/>
      <c r="AA696" s="64"/>
      <c r="AB696" s="65"/>
      <c r="AC696" s="64"/>
      <c r="AD696" s="65"/>
      <c r="AE696" s="64"/>
      <c r="AF696" s="65"/>
      <c r="AG696" s="65"/>
      <c r="AH696" s="66" t="str">
        <f t="shared" si="121"/>
        <v/>
      </c>
      <c r="AI696" s="64"/>
      <c r="AJ696" s="65"/>
      <c r="AK696" s="64"/>
      <c r="AL696" s="65"/>
      <c r="BB696" s="55" t="str">
        <f t="shared" si="122"/>
        <v/>
      </c>
      <c r="BC696" s="55" t="str">
        <f t="shared" si="123"/>
        <v/>
      </c>
      <c r="BD696" s="55" t="str">
        <f t="shared" si="124"/>
        <v/>
      </c>
      <c r="BE696" s="55" t="str">
        <f t="shared" si="125"/>
        <v/>
      </c>
      <c r="BF696" s="55" t="str">
        <f t="shared" si="126"/>
        <v/>
      </c>
      <c r="BG696" s="55" t="str">
        <f t="shared" si="127"/>
        <v/>
      </c>
      <c r="BH696" s="55" t="str">
        <f t="shared" si="128"/>
        <v/>
      </c>
      <c r="BI696" s="55" t="str">
        <f t="shared" si="129"/>
        <v/>
      </c>
      <c r="BJ696" s="55" t="str">
        <f t="shared" si="130"/>
        <v/>
      </c>
      <c r="BK696" s="55" t="str">
        <f t="shared" si="131"/>
        <v/>
      </c>
    </row>
    <row r="697" spans="22:63">
      <c r="V697" s="55">
        <f t="shared" ca="1" si="120"/>
        <v>1</v>
      </c>
      <c r="W697" s="64"/>
      <c r="X697" s="65"/>
      <c r="Y697" s="65"/>
      <c r="Z697" s="65"/>
      <c r="AA697" s="64"/>
      <c r="AB697" s="65"/>
      <c r="AC697" s="64"/>
      <c r="AD697" s="65"/>
      <c r="AE697" s="64"/>
      <c r="AF697" s="65"/>
      <c r="AG697" s="65"/>
      <c r="AH697" s="66" t="str">
        <f t="shared" si="121"/>
        <v/>
      </c>
      <c r="AI697" s="64"/>
      <c r="AJ697" s="65"/>
      <c r="AK697" s="64"/>
      <c r="AL697" s="65"/>
      <c r="BB697" s="55" t="str">
        <f t="shared" si="122"/>
        <v/>
      </c>
      <c r="BC697" s="55" t="str">
        <f t="shared" si="123"/>
        <v/>
      </c>
      <c r="BD697" s="55" t="str">
        <f t="shared" si="124"/>
        <v/>
      </c>
      <c r="BE697" s="55" t="str">
        <f t="shared" si="125"/>
        <v/>
      </c>
      <c r="BF697" s="55" t="str">
        <f t="shared" si="126"/>
        <v/>
      </c>
      <c r="BG697" s="55" t="str">
        <f t="shared" si="127"/>
        <v/>
      </c>
      <c r="BH697" s="55" t="str">
        <f t="shared" si="128"/>
        <v/>
      </c>
      <c r="BI697" s="55" t="str">
        <f t="shared" si="129"/>
        <v/>
      </c>
      <c r="BJ697" s="55" t="str">
        <f t="shared" si="130"/>
        <v/>
      </c>
      <c r="BK697" s="55" t="str">
        <f t="shared" si="131"/>
        <v/>
      </c>
    </row>
    <row r="698" spans="22:63">
      <c r="V698" s="55">
        <f t="shared" ca="1" si="120"/>
        <v>1</v>
      </c>
      <c r="W698" s="64"/>
      <c r="X698" s="65"/>
      <c r="Y698" s="65"/>
      <c r="Z698" s="65"/>
      <c r="AA698" s="64"/>
      <c r="AB698" s="65"/>
      <c r="AC698" s="64"/>
      <c r="AD698" s="65"/>
      <c r="AE698" s="64"/>
      <c r="AF698" s="65"/>
      <c r="AG698" s="65"/>
      <c r="AH698" s="66" t="str">
        <f t="shared" si="121"/>
        <v/>
      </c>
      <c r="AI698" s="64"/>
      <c r="AJ698" s="65"/>
      <c r="AK698" s="64"/>
      <c r="AL698" s="65"/>
      <c r="BB698" s="55" t="str">
        <f t="shared" si="122"/>
        <v/>
      </c>
      <c r="BC698" s="55" t="str">
        <f t="shared" si="123"/>
        <v/>
      </c>
      <c r="BD698" s="55" t="str">
        <f t="shared" si="124"/>
        <v/>
      </c>
      <c r="BE698" s="55" t="str">
        <f t="shared" si="125"/>
        <v/>
      </c>
      <c r="BF698" s="55" t="str">
        <f t="shared" si="126"/>
        <v/>
      </c>
      <c r="BG698" s="55" t="str">
        <f t="shared" si="127"/>
        <v/>
      </c>
      <c r="BH698" s="55" t="str">
        <f t="shared" si="128"/>
        <v/>
      </c>
      <c r="BI698" s="55" t="str">
        <f t="shared" si="129"/>
        <v/>
      </c>
      <c r="BJ698" s="55" t="str">
        <f t="shared" si="130"/>
        <v/>
      </c>
      <c r="BK698" s="55" t="str">
        <f t="shared" si="131"/>
        <v/>
      </c>
    </row>
    <row r="699" spans="22:63">
      <c r="V699" s="55">
        <f t="shared" ca="1" si="120"/>
        <v>1</v>
      </c>
      <c r="W699" s="64"/>
      <c r="X699" s="65"/>
      <c r="Y699" s="65"/>
      <c r="Z699" s="65"/>
      <c r="AA699" s="64"/>
      <c r="AB699" s="65"/>
      <c r="AC699" s="64"/>
      <c r="AD699" s="65"/>
      <c r="AE699" s="64"/>
      <c r="AF699" s="65"/>
      <c r="AG699" s="65"/>
      <c r="AH699" s="66" t="str">
        <f t="shared" si="121"/>
        <v/>
      </c>
      <c r="AI699" s="64"/>
      <c r="AJ699" s="65"/>
      <c r="AK699" s="64"/>
      <c r="AL699" s="65"/>
      <c r="BB699" s="55" t="str">
        <f t="shared" si="122"/>
        <v/>
      </c>
      <c r="BC699" s="55" t="str">
        <f t="shared" si="123"/>
        <v/>
      </c>
      <c r="BD699" s="55" t="str">
        <f t="shared" si="124"/>
        <v/>
      </c>
      <c r="BE699" s="55" t="str">
        <f t="shared" si="125"/>
        <v/>
      </c>
      <c r="BF699" s="55" t="str">
        <f t="shared" si="126"/>
        <v/>
      </c>
      <c r="BG699" s="55" t="str">
        <f t="shared" si="127"/>
        <v/>
      </c>
      <c r="BH699" s="55" t="str">
        <f t="shared" si="128"/>
        <v/>
      </c>
      <c r="BI699" s="55" t="str">
        <f t="shared" si="129"/>
        <v/>
      </c>
      <c r="BJ699" s="55" t="str">
        <f t="shared" si="130"/>
        <v/>
      </c>
      <c r="BK699" s="55" t="str">
        <f t="shared" si="131"/>
        <v/>
      </c>
    </row>
    <row r="700" spans="22:63">
      <c r="V700" s="55">
        <f t="shared" ca="1" si="120"/>
        <v>1</v>
      </c>
      <c r="W700" s="64"/>
      <c r="X700" s="65"/>
      <c r="Y700" s="65"/>
      <c r="Z700" s="65"/>
      <c r="AA700" s="64"/>
      <c r="AB700" s="65"/>
      <c r="AC700" s="64"/>
      <c r="AD700" s="65"/>
      <c r="AE700" s="64"/>
      <c r="AF700" s="65"/>
      <c r="AG700" s="65"/>
      <c r="AH700" s="66" t="str">
        <f t="shared" si="121"/>
        <v/>
      </c>
      <c r="AI700" s="64"/>
      <c r="AJ700" s="65"/>
      <c r="AK700" s="64"/>
      <c r="AL700" s="65"/>
      <c r="BB700" s="55" t="str">
        <f t="shared" si="122"/>
        <v/>
      </c>
      <c r="BC700" s="55" t="str">
        <f t="shared" si="123"/>
        <v/>
      </c>
      <c r="BD700" s="55" t="str">
        <f t="shared" si="124"/>
        <v/>
      </c>
      <c r="BE700" s="55" t="str">
        <f t="shared" si="125"/>
        <v/>
      </c>
      <c r="BF700" s="55" t="str">
        <f t="shared" si="126"/>
        <v/>
      </c>
      <c r="BG700" s="55" t="str">
        <f t="shared" si="127"/>
        <v/>
      </c>
      <c r="BH700" s="55" t="str">
        <f t="shared" si="128"/>
        <v/>
      </c>
      <c r="BI700" s="55" t="str">
        <f t="shared" si="129"/>
        <v/>
      </c>
      <c r="BJ700" s="55" t="str">
        <f t="shared" si="130"/>
        <v/>
      </c>
      <c r="BK700" s="55" t="str">
        <f t="shared" si="131"/>
        <v/>
      </c>
    </row>
    <row r="701" spans="22:63">
      <c r="V701" s="55">
        <f t="shared" ca="1" si="120"/>
        <v>1</v>
      </c>
      <c r="W701" s="64"/>
      <c r="X701" s="65"/>
      <c r="Y701" s="65"/>
      <c r="Z701" s="65"/>
      <c r="AA701" s="64"/>
      <c r="AB701" s="65"/>
      <c r="AC701" s="64"/>
      <c r="AD701" s="65"/>
      <c r="AE701" s="64"/>
      <c r="AF701" s="65"/>
      <c r="AG701" s="65"/>
      <c r="AH701" s="66" t="str">
        <f t="shared" si="121"/>
        <v/>
      </c>
      <c r="AI701" s="64"/>
      <c r="AJ701" s="65"/>
      <c r="AK701" s="64"/>
      <c r="AL701" s="65"/>
      <c r="BB701" s="55" t="str">
        <f t="shared" si="122"/>
        <v/>
      </c>
      <c r="BC701" s="55" t="str">
        <f t="shared" si="123"/>
        <v/>
      </c>
      <c r="BD701" s="55" t="str">
        <f t="shared" si="124"/>
        <v/>
      </c>
      <c r="BE701" s="55" t="str">
        <f t="shared" si="125"/>
        <v/>
      </c>
      <c r="BF701" s="55" t="str">
        <f t="shared" si="126"/>
        <v/>
      </c>
      <c r="BG701" s="55" t="str">
        <f t="shared" si="127"/>
        <v/>
      </c>
      <c r="BH701" s="55" t="str">
        <f t="shared" si="128"/>
        <v/>
      </c>
      <c r="BI701" s="55" t="str">
        <f t="shared" si="129"/>
        <v/>
      </c>
      <c r="BJ701" s="55" t="str">
        <f t="shared" si="130"/>
        <v/>
      </c>
      <c r="BK701" s="55" t="str">
        <f t="shared" si="131"/>
        <v/>
      </c>
    </row>
    <row r="702" spans="22:63">
      <c r="V702" s="55">
        <f t="shared" ca="1" si="120"/>
        <v>1</v>
      </c>
      <c r="W702" s="64"/>
      <c r="X702" s="65"/>
      <c r="Y702" s="65"/>
      <c r="Z702" s="65"/>
      <c r="AA702" s="64"/>
      <c r="AB702" s="65"/>
      <c r="AC702" s="64"/>
      <c r="AD702" s="65"/>
      <c r="AE702" s="64"/>
      <c r="AF702" s="65"/>
      <c r="AG702" s="65"/>
      <c r="AH702" s="66" t="str">
        <f t="shared" si="121"/>
        <v/>
      </c>
      <c r="AI702" s="64"/>
      <c r="AJ702" s="65"/>
      <c r="AK702" s="64"/>
      <c r="AL702" s="65"/>
      <c r="BB702" s="55" t="str">
        <f t="shared" si="122"/>
        <v/>
      </c>
      <c r="BC702" s="55" t="str">
        <f t="shared" si="123"/>
        <v/>
      </c>
      <c r="BD702" s="55" t="str">
        <f t="shared" si="124"/>
        <v/>
      </c>
      <c r="BE702" s="55" t="str">
        <f t="shared" si="125"/>
        <v/>
      </c>
      <c r="BF702" s="55" t="str">
        <f t="shared" si="126"/>
        <v/>
      </c>
      <c r="BG702" s="55" t="str">
        <f t="shared" si="127"/>
        <v/>
      </c>
      <c r="BH702" s="55" t="str">
        <f t="shared" si="128"/>
        <v/>
      </c>
      <c r="BI702" s="55" t="str">
        <f t="shared" si="129"/>
        <v/>
      </c>
      <c r="BJ702" s="55" t="str">
        <f t="shared" si="130"/>
        <v/>
      </c>
      <c r="BK702" s="55" t="str">
        <f t="shared" si="131"/>
        <v/>
      </c>
    </row>
    <row r="703" spans="22:63">
      <c r="V703" s="55">
        <f t="shared" ca="1" si="120"/>
        <v>1</v>
      </c>
      <c r="W703" s="64"/>
      <c r="X703" s="65"/>
      <c r="Y703" s="65"/>
      <c r="Z703" s="65"/>
      <c r="AA703" s="64"/>
      <c r="AB703" s="65"/>
      <c r="AC703" s="64"/>
      <c r="AD703" s="65"/>
      <c r="AE703" s="64"/>
      <c r="AF703" s="65"/>
      <c r="AG703" s="65"/>
      <c r="AH703" s="66" t="str">
        <f t="shared" si="121"/>
        <v/>
      </c>
      <c r="AI703" s="64"/>
      <c r="AJ703" s="65"/>
      <c r="AK703" s="64"/>
      <c r="AL703" s="65"/>
      <c r="BB703" s="55" t="str">
        <f t="shared" si="122"/>
        <v/>
      </c>
      <c r="BC703" s="55" t="str">
        <f t="shared" si="123"/>
        <v/>
      </c>
      <c r="BD703" s="55" t="str">
        <f t="shared" si="124"/>
        <v/>
      </c>
      <c r="BE703" s="55" t="str">
        <f t="shared" si="125"/>
        <v/>
      </c>
      <c r="BF703" s="55" t="str">
        <f t="shared" si="126"/>
        <v/>
      </c>
      <c r="BG703" s="55" t="str">
        <f t="shared" si="127"/>
        <v/>
      </c>
      <c r="BH703" s="55" t="str">
        <f t="shared" si="128"/>
        <v/>
      </c>
      <c r="BI703" s="55" t="str">
        <f t="shared" si="129"/>
        <v/>
      </c>
      <c r="BJ703" s="55" t="str">
        <f t="shared" si="130"/>
        <v/>
      </c>
      <c r="BK703" s="55" t="str">
        <f t="shared" si="131"/>
        <v/>
      </c>
    </row>
    <row r="704" spans="22:63">
      <c r="V704" s="55">
        <f t="shared" ca="1" si="120"/>
        <v>1</v>
      </c>
      <c r="W704" s="64"/>
      <c r="X704" s="65"/>
      <c r="Y704" s="65"/>
      <c r="Z704" s="65"/>
      <c r="AA704" s="64"/>
      <c r="AB704" s="65"/>
      <c r="AC704" s="64"/>
      <c r="AD704" s="65"/>
      <c r="AE704" s="64"/>
      <c r="AF704" s="65"/>
      <c r="AG704" s="65"/>
      <c r="AH704" s="66" t="str">
        <f t="shared" si="121"/>
        <v/>
      </c>
      <c r="AI704" s="64"/>
      <c r="AJ704" s="65"/>
      <c r="AK704" s="64"/>
      <c r="AL704" s="65"/>
      <c r="BB704" s="55" t="str">
        <f t="shared" si="122"/>
        <v/>
      </c>
      <c r="BC704" s="55" t="str">
        <f t="shared" si="123"/>
        <v/>
      </c>
      <c r="BD704" s="55" t="str">
        <f t="shared" si="124"/>
        <v/>
      </c>
      <c r="BE704" s="55" t="str">
        <f t="shared" si="125"/>
        <v/>
      </c>
      <c r="BF704" s="55" t="str">
        <f t="shared" si="126"/>
        <v/>
      </c>
      <c r="BG704" s="55" t="str">
        <f t="shared" si="127"/>
        <v/>
      </c>
      <c r="BH704" s="55" t="str">
        <f t="shared" si="128"/>
        <v/>
      </c>
      <c r="BI704" s="55" t="str">
        <f t="shared" si="129"/>
        <v/>
      </c>
      <c r="BJ704" s="55" t="str">
        <f t="shared" si="130"/>
        <v/>
      </c>
      <c r="BK704" s="55" t="str">
        <f t="shared" si="131"/>
        <v/>
      </c>
    </row>
    <row r="705" spans="22:63">
      <c r="V705" s="55">
        <f t="shared" ca="1" si="120"/>
        <v>1</v>
      </c>
      <c r="W705" s="64"/>
      <c r="X705" s="65"/>
      <c r="Y705" s="65"/>
      <c r="Z705" s="65"/>
      <c r="AA705" s="64"/>
      <c r="AB705" s="65"/>
      <c r="AC705" s="64"/>
      <c r="AD705" s="65"/>
      <c r="AE705" s="64"/>
      <c r="AF705" s="65"/>
      <c r="AG705" s="65"/>
      <c r="AH705" s="66" t="str">
        <f t="shared" si="121"/>
        <v/>
      </c>
      <c r="AI705" s="64"/>
      <c r="AJ705" s="65"/>
      <c r="AK705" s="64"/>
      <c r="AL705" s="65"/>
      <c r="BB705" s="55" t="str">
        <f t="shared" si="122"/>
        <v/>
      </c>
      <c r="BC705" s="55" t="str">
        <f t="shared" si="123"/>
        <v/>
      </c>
      <c r="BD705" s="55" t="str">
        <f t="shared" si="124"/>
        <v/>
      </c>
      <c r="BE705" s="55" t="str">
        <f t="shared" si="125"/>
        <v/>
      </c>
      <c r="BF705" s="55" t="str">
        <f t="shared" si="126"/>
        <v/>
      </c>
      <c r="BG705" s="55" t="str">
        <f t="shared" si="127"/>
        <v/>
      </c>
      <c r="BH705" s="55" t="str">
        <f t="shared" si="128"/>
        <v/>
      </c>
      <c r="BI705" s="55" t="str">
        <f t="shared" si="129"/>
        <v/>
      </c>
      <c r="BJ705" s="55" t="str">
        <f t="shared" si="130"/>
        <v/>
      </c>
      <c r="BK705" s="55" t="str">
        <f t="shared" si="131"/>
        <v/>
      </c>
    </row>
    <row r="706" spans="22:63">
      <c r="V706" s="55">
        <f t="shared" ca="1" si="120"/>
        <v>1</v>
      </c>
      <c r="W706" s="64"/>
      <c r="X706" s="65"/>
      <c r="Y706" s="65"/>
      <c r="Z706" s="65"/>
      <c r="AA706" s="64"/>
      <c r="AB706" s="65"/>
      <c r="AC706" s="64"/>
      <c r="AD706" s="65"/>
      <c r="AE706" s="64"/>
      <c r="AF706" s="65"/>
      <c r="AG706" s="65"/>
      <c r="AH706" s="66" t="str">
        <f t="shared" si="121"/>
        <v/>
      </c>
      <c r="AI706" s="64"/>
      <c r="AJ706" s="65"/>
      <c r="AK706" s="64"/>
      <c r="AL706" s="65"/>
      <c r="BB706" s="55" t="str">
        <f t="shared" si="122"/>
        <v/>
      </c>
      <c r="BC706" s="55" t="str">
        <f t="shared" si="123"/>
        <v/>
      </c>
      <c r="BD706" s="55" t="str">
        <f t="shared" si="124"/>
        <v/>
      </c>
      <c r="BE706" s="55" t="str">
        <f t="shared" si="125"/>
        <v/>
      </c>
      <c r="BF706" s="55" t="str">
        <f t="shared" si="126"/>
        <v/>
      </c>
      <c r="BG706" s="55" t="str">
        <f t="shared" si="127"/>
        <v/>
      </c>
      <c r="BH706" s="55" t="str">
        <f t="shared" si="128"/>
        <v/>
      </c>
      <c r="BI706" s="55" t="str">
        <f t="shared" si="129"/>
        <v/>
      </c>
      <c r="BJ706" s="55" t="str">
        <f t="shared" si="130"/>
        <v/>
      </c>
      <c r="BK706" s="55" t="str">
        <f t="shared" si="131"/>
        <v/>
      </c>
    </row>
    <row r="707" spans="22:63">
      <c r="V707" s="55">
        <f t="shared" ca="1" si="120"/>
        <v>1</v>
      </c>
      <c r="W707" s="64"/>
      <c r="X707" s="65"/>
      <c r="Y707" s="65"/>
      <c r="Z707" s="65"/>
      <c r="AA707" s="64"/>
      <c r="AB707" s="65"/>
      <c r="AC707" s="64"/>
      <c r="AD707" s="65"/>
      <c r="AE707" s="64"/>
      <c r="AF707" s="65"/>
      <c r="AG707" s="65"/>
      <c r="AH707" s="66" t="str">
        <f t="shared" si="121"/>
        <v/>
      </c>
      <c r="AI707" s="64"/>
      <c r="AJ707" s="65"/>
      <c r="AK707" s="64"/>
      <c r="AL707" s="65"/>
      <c r="BB707" s="55" t="str">
        <f t="shared" si="122"/>
        <v/>
      </c>
      <c r="BC707" s="55" t="str">
        <f t="shared" si="123"/>
        <v/>
      </c>
      <c r="BD707" s="55" t="str">
        <f t="shared" si="124"/>
        <v/>
      </c>
      <c r="BE707" s="55" t="str">
        <f t="shared" si="125"/>
        <v/>
      </c>
      <c r="BF707" s="55" t="str">
        <f t="shared" si="126"/>
        <v/>
      </c>
      <c r="BG707" s="55" t="str">
        <f t="shared" si="127"/>
        <v/>
      </c>
      <c r="BH707" s="55" t="str">
        <f t="shared" si="128"/>
        <v/>
      </c>
      <c r="BI707" s="55" t="str">
        <f t="shared" si="129"/>
        <v/>
      </c>
      <c r="BJ707" s="55" t="str">
        <f t="shared" si="130"/>
        <v/>
      </c>
      <c r="BK707" s="55" t="str">
        <f t="shared" si="131"/>
        <v/>
      </c>
    </row>
    <row r="708" spans="22:63">
      <c r="V708" s="55">
        <f t="shared" ca="1" si="120"/>
        <v>1</v>
      </c>
      <c r="W708" s="64"/>
      <c r="X708" s="65"/>
      <c r="Y708" s="65"/>
      <c r="Z708" s="65"/>
      <c r="AA708" s="64"/>
      <c r="AB708" s="65"/>
      <c r="AC708" s="64"/>
      <c r="AD708" s="65"/>
      <c r="AE708" s="64"/>
      <c r="AF708" s="65"/>
      <c r="AG708" s="65"/>
      <c r="AH708" s="66" t="str">
        <f t="shared" si="121"/>
        <v/>
      </c>
      <c r="AI708" s="64"/>
      <c r="AJ708" s="65"/>
      <c r="AK708" s="64"/>
      <c r="AL708" s="65"/>
      <c r="BB708" s="55" t="str">
        <f t="shared" si="122"/>
        <v/>
      </c>
      <c r="BC708" s="55" t="str">
        <f t="shared" si="123"/>
        <v/>
      </c>
      <c r="BD708" s="55" t="str">
        <f t="shared" si="124"/>
        <v/>
      </c>
      <c r="BE708" s="55" t="str">
        <f t="shared" si="125"/>
        <v/>
      </c>
      <c r="BF708" s="55" t="str">
        <f t="shared" si="126"/>
        <v/>
      </c>
      <c r="BG708" s="55" t="str">
        <f t="shared" si="127"/>
        <v/>
      </c>
      <c r="BH708" s="55" t="str">
        <f t="shared" si="128"/>
        <v/>
      </c>
      <c r="BI708" s="55" t="str">
        <f t="shared" si="129"/>
        <v/>
      </c>
      <c r="BJ708" s="55" t="str">
        <f t="shared" si="130"/>
        <v/>
      </c>
      <c r="BK708" s="55" t="str">
        <f t="shared" si="131"/>
        <v/>
      </c>
    </row>
    <row r="709" spans="22:63">
      <c r="V709" s="55">
        <f t="shared" ca="1" si="120"/>
        <v>1</v>
      </c>
      <c r="W709" s="64"/>
      <c r="X709" s="65"/>
      <c r="Y709" s="65"/>
      <c r="Z709" s="65"/>
      <c r="AA709" s="64"/>
      <c r="AB709" s="65"/>
      <c r="AC709" s="64"/>
      <c r="AD709" s="65"/>
      <c r="AE709" s="64"/>
      <c r="AF709" s="65"/>
      <c r="AG709" s="65"/>
      <c r="AH709" s="66" t="str">
        <f t="shared" si="121"/>
        <v/>
      </c>
      <c r="AI709" s="64"/>
      <c r="AJ709" s="65"/>
      <c r="AK709" s="64"/>
      <c r="AL709" s="65"/>
      <c r="BB709" s="55" t="str">
        <f t="shared" si="122"/>
        <v/>
      </c>
      <c r="BC709" s="55" t="str">
        <f t="shared" si="123"/>
        <v/>
      </c>
      <c r="BD709" s="55" t="str">
        <f t="shared" si="124"/>
        <v/>
      </c>
      <c r="BE709" s="55" t="str">
        <f t="shared" si="125"/>
        <v/>
      </c>
      <c r="BF709" s="55" t="str">
        <f t="shared" si="126"/>
        <v/>
      </c>
      <c r="BG709" s="55" t="str">
        <f t="shared" si="127"/>
        <v/>
      </c>
      <c r="BH709" s="55" t="str">
        <f t="shared" si="128"/>
        <v/>
      </c>
      <c r="BI709" s="55" t="str">
        <f t="shared" si="129"/>
        <v/>
      </c>
      <c r="BJ709" s="55" t="str">
        <f t="shared" si="130"/>
        <v/>
      </c>
      <c r="BK709" s="55" t="str">
        <f t="shared" si="131"/>
        <v/>
      </c>
    </row>
    <row r="710" spans="22:63">
      <c r="V710" s="55">
        <f t="shared" ca="1" si="120"/>
        <v>1</v>
      </c>
      <c r="W710" s="64"/>
      <c r="X710" s="65"/>
      <c r="Y710" s="65"/>
      <c r="Z710" s="65"/>
      <c r="AA710" s="64"/>
      <c r="AB710" s="65"/>
      <c r="AC710" s="64"/>
      <c r="AD710" s="65"/>
      <c r="AE710" s="64"/>
      <c r="AF710" s="65"/>
      <c r="AG710" s="65"/>
      <c r="AH710" s="66" t="str">
        <f t="shared" si="121"/>
        <v/>
      </c>
      <c r="AI710" s="64"/>
      <c r="AJ710" s="65"/>
      <c r="AK710" s="64"/>
      <c r="AL710" s="65"/>
      <c r="BB710" s="55" t="str">
        <f t="shared" si="122"/>
        <v/>
      </c>
      <c r="BC710" s="55" t="str">
        <f t="shared" si="123"/>
        <v/>
      </c>
      <c r="BD710" s="55" t="str">
        <f t="shared" si="124"/>
        <v/>
      </c>
      <c r="BE710" s="55" t="str">
        <f t="shared" si="125"/>
        <v/>
      </c>
      <c r="BF710" s="55" t="str">
        <f t="shared" si="126"/>
        <v/>
      </c>
      <c r="BG710" s="55" t="str">
        <f t="shared" si="127"/>
        <v/>
      </c>
      <c r="BH710" s="55" t="str">
        <f t="shared" si="128"/>
        <v/>
      </c>
      <c r="BI710" s="55" t="str">
        <f t="shared" si="129"/>
        <v/>
      </c>
      <c r="BJ710" s="55" t="str">
        <f t="shared" si="130"/>
        <v/>
      </c>
      <c r="BK710" s="55" t="str">
        <f t="shared" si="131"/>
        <v/>
      </c>
    </row>
    <row r="711" spans="22:63">
      <c r="V711" s="55">
        <f t="shared" ca="1" si="120"/>
        <v>1</v>
      </c>
      <c r="W711" s="64"/>
      <c r="X711" s="65"/>
      <c r="Y711" s="65"/>
      <c r="Z711" s="65"/>
      <c r="AA711" s="64"/>
      <c r="AB711" s="65"/>
      <c r="AC711" s="64"/>
      <c r="AD711" s="65"/>
      <c r="AE711" s="64"/>
      <c r="AF711" s="65"/>
      <c r="AG711" s="65"/>
      <c r="AH711" s="66" t="str">
        <f t="shared" si="121"/>
        <v/>
      </c>
      <c r="AI711" s="64"/>
      <c r="AJ711" s="65"/>
      <c r="AK711" s="64"/>
      <c r="AL711" s="65"/>
      <c r="BB711" s="55" t="str">
        <f t="shared" si="122"/>
        <v/>
      </c>
      <c r="BC711" s="55" t="str">
        <f t="shared" si="123"/>
        <v/>
      </c>
      <c r="BD711" s="55" t="str">
        <f t="shared" si="124"/>
        <v/>
      </c>
      <c r="BE711" s="55" t="str">
        <f t="shared" si="125"/>
        <v/>
      </c>
      <c r="BF711" s="55" t="str">
        <f t="shared" si="126"/>
        <v/>
      </c>
      <c r="BG711" s="55" t="str">
        <f t="shared" si="127"/>
        <v/>
      </c>
      <c r="BH711" s="55" t="str">
        <f t="shared" si="128"/>
        <v/>
      </c>
      <c r="BI711" s="55" t="str">
        <f t="shared" si="129"/>
        <v/>
      </c>
      <c r="BJ711" s="55" t="str">
        <f t="shared" si="130"/>
        <v/>
      </c>
      <c r="BK711" s="55" t="str">
        <f t="shared" si="131"/>
        <v/>
      </c>
    </row>
    <row r="712" spans="22:63">
      <c r="V712" s="55">
        <f t="shared" ca="1" si="120"/>
        <v>1</v>
      </c>
      <c r="W712" s="64"/>
      <c r="X712" s="65"/>
      <c r="Y712" s="65"/>
      <c r="Z712" s="65"/>
      <c r="AA712" s="64"/>
      <c r="AB712" s="65"/>
      <c r="AC712" s="64"/>
      <c r="AD712" s="65"/>
      <c r="AE712" s="64"/>
      <c r="AF712" s="65"/>
      <c r="AG712" s="65"/>
      <c r="AH712" s="66" t="str">
        <f t="shared" si="121"/>
        <v/>
      </c>
      <c r="AI712" s="64"/>
      <c r="AJ712" s="65"/>
      <c r="AK712" s="64"/>
      <c r="AL712" s="65"/>
      <c r="BB712" s="55" t="str">
        <f t="shared" si="122"/>
        <v/>
      </c>
      <c r="BC712" s="55" t="str">
        <f t="shared" si="123"/>
        <v/>
      </c>
      <c r="BD712" s="55" t="str">
        <f t="shared" si="124"/>
        <v/>
      </c>
      <c r="BE712" s="55" t="str">
        <f t="shared" si="125"/>
        <v/>
      </c>
      <c r="BF712" s="55" t="str">
        <f t="shared" si="126"/>
        <v/>
      </c>
      <c r="BG712" s="55" t="str">
        <f t="shared" si="127"/>
        <v/>
      </c>
      <c r="BH712" s="55" t="str">
        <f t="shared" si="128"/>
        <v/>
      </c>
      <c r="BI712" s="55" t="str">
        <f t="shared" si="129"/>
        <v/>
      </c>
      <c r="BJ712" s="55" t="str">
        <f t="shared" si="130"/>
        <v/>
      </c>
      <c r="BK712" s="55" t="str">
        <f t="shared" si="131"/>
        <v/>
      </c>
    </row>
    <row r="713" spans="22:63">
      <c r="V713" s="55">
        <f t="shared" ca="1" si="120"/>
        <v>1</v>
      </c>
      <c r="W713" s="64"/>
      <c r="X713" s="65"/>
      <c r="Y713" s="65"/>
      <c r="Z713" s="65"/>
      <c r="AA713" s="64"/>
      <c r="AB713" s="65"/>
      <c r="AC713" s="64"/>
      <c r="AD713" s="65"/>
      <c r="AE713" s="64"/>
      <c r="AF713" s="65"/>
      <c r="AG713" s="65"/>
      <c r="AH713" s="66" t="str">
        <f t="shared" si="121"/>
        <v/>
      </c>
      <c r="AI713" s="64"/>
      <c r="AJ713" s="65"/>
      <c r="AK713" s="64"/>
      <c r="AL713" s="65"/>
      <c r="BB713" s="55" t="str">
        <f t="shared" si="122"/>
        <v/>
      </c>
      <c r="BC713" s="55" t="str">
        <f t="shared" si="123"/>
        <v/>
      </c>
      <c r="BD713" s="55" t="str">
        <f t="shared" si="124"/>
        <v/>
      </c>
      <c r="BE713" s="55" t="str">
        <f t="shared" si="125"/>
        <v/>
      </c>
      <c r="BF713" s="55" t="str">
        <f t="shared" si="126"/>
        <v/>
      </c>
      <c r="BG713" s="55" t="str">
        <f t="shared" si="127"/>
        <v/>
      </c>
      <c r="BH713" s="55" t="str">
        <f t="shared" si="128"/>
        <v/>
      </c>
      <c r="BI713" s="55" t="str">
        <f t="shared" si="129"/>
        <v/>
      </c>
      <c r="BJ713" s="55" t="str">
        <f t="shared" si="130"/>
        <v/>
      </c>
      <c r="BK713" s="55" t="str">
        <f t="shared" si="131"/>
        <v/>
      </c>
    </row>
    <row r="714" spans="22:63">
      <c r="V714" s="55">
        <f t="shared" ca="1" si="120"/>
        <v>1</v>
      </c>
      <c r="W714" s="64"/>
      <c r="X714" s="65"/>
      <c r="Y714" s="65"/>
      <c r="Z714" s="65"/>
      <c r="AA714" s="64"/>
      <c r="AB714" s="65"/>
      <c r="AC714" s="64"/>
      <c r="AD714" s="65"/>
      <c r="AE714" s="64"/>
      <c r="AF714" s="65"/>
      <c r="AG714" s="65"/>
      <c r="AH714" s="66" t="str">
        <f t="shared" si="121"/>
        <v/>
      </c>
      <c r="AI714" s="64"/>
      <c r="AJ714" s="65"/>
      <c r="AK714" s="64"/>
      <c r="AL714" s="65"/>
      <c r="BB714" s="55" t="str">
        <f t="shared" si="122"/>
        <v/>
      </c>
      <c r="BC714" s="55" t="str">
        <f t="shared" si="123"/>
        <v/>
      </c>
      <c r="BD714" s="55" t="str">
        <f t="shared" si="124"/>
        <v/>
      </c>
      <c r="BE714" s="55" t="str">
        <f t="shared" si="125"/>
        <v/>
      </c>
      <c r="BF714" s="55" t="str">
        <f t="shared" si="126"/>
        <v/>
      </c>
      <c r="BG714" s="55" t="str">
        <f t="shared" si="127"/>
        <v/>
      </c>
      <c r="BH714" s="55" t="str">
        <f t="shared" si="128"/>
        <v/>
      </c>
      <c r="BI714" s="55" t="str">
        <f t="shared" si="129"/>
        <v/>
      </c>
      <c r="BJ714" s="55" t="str">
        <f t="shared" si="130"/>
        <v/>
      </c>
      <c r="BK714" s="55" t="str">
        <f t="shared" si="131"/>
        <v/>
      </c>
    </row>
    <row r="715" spans="22:63">
      <c r="V715" s="55">
        <f t="shared" ref="V715:V778" ca="1" si="132">IF(ISBLANK($W715),IF(ISNUMBER(INDIRECT("S"&amp;ROW($V715)-1)),INDIRECT("S"&amp;ROW($V715)-1),1),$W715)</f>
        <v>1</v>
      </c>
      <c r="W715" s="64"/>
      <c r="X715" s="65"/>
      <c r="Y715" s="65"/>
      <c r="Z715" s="65"/>
      <c r="AA715" s="64"/>
      <c r="AB715" s="65"/>
      <c r="AC715" s="64"/>
      <c r="AD715" s="65"/>
      <c r="AE715" s="64"/>
      <c r="AF715" s="65"/>
      <c r="AG715" s="65"/>
      <c r="AH715" s="66" t="str">
        <f t="shared" ref="AH715:AH778" si="133">IF(ISNUMBER($BI715), $BH715&amp;" - "&amp;$BJ715,"")</f>
        <v/>
      </c>
      <c r="AI715" s="64"/>
      <c r="AJ715" s="65"/>
      <c r="AK715" s="64"/>
      <c r="AL715" s="65"/>
      <c r="BB715" s="55" t="str">
        <f t="shared" ref="BB715:BB778" si="134">IF(ISBLANK($Z715),"",VLOOKUP($Z715,$A$11:$B$1010,2,FALSE))</f>
        <v/>
      </c>
      <c r="BC715" s="55" t="str">
        <f t="shared" ref="BC715:BC778" si="135">IF(ISBLANK($AA715),"",VLOOKUP($AA715,$D$11:$E$1010,2,FALSE))</f>
        <v/>
      </c>
      <c r="BD715" s="55" t="str">
        <f t="shared" ref="BD715:BD778" si="136">IF(ISBLANK($AC715),"",VLOOKUP($AC715,$H$11:$I$1010,2,FALSE))</f>
        <v/>
      </c>
      <c r="BE715" s="55" t="str">
        <f t="shared" ref="BE715:BE778" si="137">IF(ISBLANK($AF715),"",VLOOKUP($AF715,$L$11:$M$1010,2,FALSE))</f>
        <v/>
      </c>
      <c r="BF715" s="55" t="str">
        <f t="shared" ref="BF715:BF778" si="138">IF(ISNUMBER($BC715),VLOOKUP($BC715,$E$11:$F$1010,2,FALSE),"")</f>
        <v/>
      </c>
      <c r="BG715" s="55" t="str">
        <f t="shared" ref="BG715:BG778" si="139">IF(ISNUMBER($BD715),VLOOKUP($BD715,$I$11:$J$1010,2,FALSE),"")</f>
        <v/>
      </c>
      <c r="BH715" s="55" t="str">
        <f t="shared" ref="BH715:BH778" si="140">IF(AND(ISNUMBER($BF715),ISNUMBER($BG715)),$BF715*$BG715,"")</f>
        <v/>
      </c>
      <c r="BI715" s="55" t="str">
        <f t="shared" ref="BI715:BI778" si="141">IF(ISNUMBER($BH715),LOOKUP($BH715,lower_limit_level_risiko,id_level_risiko),"")</f>
        <v/>
      </c>
      <c r="BJ715" s="55" t="str">
        <f t="shared" ref="BJ715:BJ778" si="142">IF(ISNUMBER($BH715),LOOKUP($BH715,lower_limit_level_risiko,description_level_risiko),"")</f>
        <v/>
      </c>
      <c r="BK715" s="55" t="str">
        <f t="shared" ref="BK715:BK778" si="143">IF(ISBLANK($X715),"",VLOOKUP($X715,$T$11:$U$1010,2,FALSE))</f>
        <v/>
      </c>
    </row>
    <row r="716" spans="22:63">
      <c r="V716" s="55">
        <f t="shared" ca="1" si="132"/>
        <v>1</v>
      </c>
      <c r="W716" s="64"/>
      <c r="X716" s="65"/>
      <c r="Y716" s="65"/>
      <c r="Z716" s="65"/>
      <c r="AA716" s="64"/>
      <c r="AB716" s="65"/>
      <c r="AC716" s="64"/>
      <c r="AD716" s="65"/>
      <c r="AE716" s="64"/>
      <c r="AF716" s="65"/>
      <c r="AG716" s="65"/>
      <c r="AH716" s="66" t="str">
        <f t="shared" si="133"/>
        <v/>
      </c>
      <c r="AI716" s="64"/>
      <c r="AJ716" s="65"/>
      <c r="AK716" s="64"/>
      <c r="AL716" s="65"/>
      <c r="BB716" s="55" t="str">
        <f t="shared" si="134"/>
        <v/>
      </c>
      <c r="BC716" s="55" t="str">
        <f t="shared" si="135"/>
        <v/>
      </c>
      <c r="BD716" s="55" t="str">
        <f t="shared" si="136"/>
        <v/>
      </c>
      <c r="BE716" s="55" t="str">
        <f t="shared" si="137"/>
        <v/>
      </c>
      <c r="BF716" s="55" t="str">
        <f t="shared" si="138"/>
        <v/>
      </c>
      <c r="BG716" s="55" t="str">
        <f t="shared" si="139"/>
        <v/>
      </c>
      <c r="BH716" s="55" t="str">
        <f t="shared" si="140"/>
        <v/>
      </c>
      <c r="BI716" s="55" t="str">
        <f t="shared" si="141"/>
        <v/>
      </c>
      <c r="BJ716" s="55" t="str">
        <f t="shared" si="142"/>
        <v/>
      </c>
      <c r="BK716" s="55" t="str">
        <f t="shared" si="143"/>
        <v/>
      </c>
    </row>
    <row r="717" spans="22:63">
      <c r="V717" s="55">
        <f t="shared" ca="1" si="132"/>
        <v>1</v>
      </c>
      <c r="W717" s="64"/>
      <c r="X717" s="65"/>
      <c r="Y717" s="65"/>
      <c r="Z717" s="65"/>
      <c r="AA717" s="64"/>
      <c r="AB717" s="65"/>
      <c r="AC717" s="64"/>
      <c r="AD717" s="65"/>
      <c r="AE717" s="64"/>
      <c r="AF717" s="65"/>
      <c r="AG717" s="65"/>
      <c r="AH717" s="66" t="str">
        <f t="shared" si="133"/>
        <v/>
      </c>
      <c r="AI717" s="64"/>
      <c r="AJ717" s="65"/>
      <c r="AK717" s="64"/>
      <c r="AL717" s="65"/>
      <c r="BB717" s="55" t="str">
        <f t="shared" si="134"/>
        <v/>
      </c>
      <c r="BC717" s="55" t="str">
        <f t="shared" si="135"/>
        <v/>
      </c>
      <c r="BD717" s="55" t="str">
        <f t="shared" si="136"/>
        <v/>
      </c>
      <c r="BE717" s="55" t="str">
        <f t="shared" si="137"/>
        <v/>
      </c>
      <c r="BF717" s="55" t="str">
        <f t="shared" si="138"/>
        <v/>
      </c>
      <c r="BG717" s="55" t="str">
        <f t="shared" si="139"/>
        <v/>
      </c>
      <c r="BH717" s="55" t="str">
        <f t="shared" si="140"/>
        <v/>
      </c>
      <c r="BI717" s="55" t="str">
        <f t="shared" si="141"/>
        <v/>
      </c>
      <c r="BJ717" s="55" t="str">
        <f t="shared" si="142"/>
        <v/>
      </c>
      <c r="BK717" s="55" t="str">
        <f t="shared" si="143"/>
        <v/>
      </c>
    </row>
    <row r="718" spans="22:63">
      <c r="V718" s="55">
        <f t="shared" ca="1" si="132"/>
        <v>1</v>
      </c>
      <c r="W718" s="64"/>
      <c r="X718" s="65"/>
      <c r="Y718" s="65"/>
      <c r="Z718" s="65"/>
      <c r="AA718" s="64"/>
      <c r="AB718" s="65"/>
      <c r="AC718" s="64"/>
      <c r="AD718" s="65"/>
      <c r="AE718" s="64"/>
      <c r="AF718" s="65"/>
      <c r="AG718" s="65"/>
      <c r="AH718" s="66" t="str">
        <f t="shared" si="133"/>
        <v/>
      </c>
      <c r="AI718" s="64"/>
      <c r="AJ718" s="65"/>
      <c r="AK718" s="64"/>
      <c r="AL718" s="65"/>
      <c r="BB718" s="55" t="str">
        <f t="shared" si="134"/>
        <v/>
      </c>
      <c r="BC718" s="55" t="str">
        <f t="shared" si="135"/>
        <v/>
      </c>
      <c r="BD718" s="55" t="str">
        <f t="shared" si="136"/>
        <v/>
      </c>
      <c r="BE718" s="55" t="str">
        <f t="shared" si="137"/>
        <v/>
      </c>
      <c r="BF718" s="55" t="str">
        <f t="shared" si="138"/>
        <v/>
      </c>
      <c r="BG718" s="55" t="str">
        <f t="shared" si="139"/>
        <v/>
      </c>
      <c r="BH718" s="55" t="str">
        <f t="shared" si="140"/>
        <v/>
      </c>
      <c r="BI718" s="55" t="str">
        <f t="shared" si="141"/>
        <v/>
      </c>
      <c r="BJ718" s="55" t="str">
        <f t="shared" si="142"/>
        <v/>
      </c>
      <c r="BK718" s="55" t="str">
        <f t="shared" si="143"/>
        <v/>
      </c>
    </row>
    <row r="719" spans="22:63">
      <c r="V719" s="55">
        <f t="shared" ca="1" si="132"/>
        <v>1</v>
      </c>
      <c r="W719" s="64"/>
      <c r="X719" s="65"/>
      <c r="Y719" s="65"/>
      <c r="Z719" s="65"/>
      <c r="AA719" s="64"/>
      <c r="AB719" s="65"/>
      <c r="AC719" s="64"/>
      <c r="AD719" s="65"/>
      <c r="AE719" s="64"/>
      <c r="AF719" s="65"/>
      <c r="AG719" s="65"/>
      <c r="AH719" s="66" t="str">
        <f t="shared" si="133"/>
        <v/>
      </c>
      <c r="AI719" s="64"/>
      <c r="AJ719" s="65"/>
      <c r="AK719" s="64"/>
      <c r="AL719" s="65"/>
      <c r="BB719" s="55" t="str">
        <f t="shared" si="134"/>
        <v/>
      </c>
      <c r="BC719" s="55" t="str">
        <f t="shared" si="135"/>
        <v/>
      </c>
      <c r="BD719" s="55" t="str">
        <f t="shared" si="136"/>
        <v/>
      </c>
      <c r="BE719" s="55" t="str">
        <f t="shared" si="137"/>
        <v/>
      </c>
      <c r="BF719" s="55" t="str">
        <f t="shared" si="138"/>
        <v/>
      </c>
      <c r="BG719" s="55" t="str">
        <f t="shared" si="139"/>
        <v/>
      </c>
      <c r="BH719" s="55" t="str">
        <f t="shared" si="140"/>
        <v/>
      </c>
      <c r="BI719" s="55" t="str">
        <f t="shared" si="141"/>
        <v/>
      </c>
      <c r="BJ719" s="55" t="str">
        <f t="shared" si="142"/>
        <v/>
      </c>
      <c r="BK719" s="55" t="str">
        <f t="shared" si="143"/>
        <v/>
      </c>
    </row>
    <row r="720" spans="22:63">
      <c r="V720" s="55">
        <f t="shared" ca="1" si="132"/>
        <v>1</v>
      </c>
      <c r="W720" s="64"/>
      <c r="X720" s="65"/>
      <c r="Y720" s="65"/>
      <c r="Z720" s="65"/>
      <c r="AA720" s="64"/>
      <c r="AB720" s="65"/>
      <c r="AC720" s="64"/>
      <c r="AD720" s="65"/>
      <c r="AE720" s="64"/>
      <c r="AF720" s="65"/>
      <c r="AG720" s="65"/>
      <c r="AH720" s="66" t="str">
        <f t="shared" si="133"/>
        <v/>
      </c>
      <c r="AI720" s="64"/>
      <c r="AJ720" s="65"/>
      <c r="AK720" s="64"/>
      <c r="AL720" s="65"/>
      <c r="BB720" s="55" t="str">
        <f t="shared" si="134"/>
        <v/>
      </c>
      <c r="BC720" s="55" t="str">
        <f t="shared" si="135"/>
        <v/>
      </c>
      <c r="BD720" s="55" t="str">
        <f t="shared" si="136"/>
        <v/>
      </c>
      <c r="BE720" s="55" t="str">
        <f t="shared" si="137"/>
        <v/>
      </c>
      <c r="BF720" s="55" t="str">
        <f t="shared" si="138"/>
        <v/>
      </c>
      <c r="BG720" s="55" t="str">
        <f t="shared" si="139"/>
        <v/>
      </c>
      <c r="BH720" s="55" t="str">
        <f t="shared" si="140"/>
        <v/>
      </c>
      <c r="BI720" s="55" t="str">
        <f t="shared" si="141"/>
        <v/>
      </c>
      <c r="BJ720" s="55" t="str">
        <f t="shared" si="142"/>
        <v/>
      </c>
      <c r="BK720" s="55" t="str">
        <f t="shared" si="143"/>
        <v/>
      </c>
    </row>
    <row r="721" spans="22:63">
      <c r="V721" s="55">
        <f t="shared" ca="1" si="132"/>
        <v>1</v>
      </c>
      <c r="W721" s="64"/>
      <c r="X721" s="65"/>
      <c r="Y721" s="65"/>
      <c r="Z721" s="65"/>
      <c r="AA721" s="64"/>
      <c r="AB721" s="65"/>
      <c r="AC721" s="64"/>
      <c r="AD721" s="65"/>
      <c r="AE721" s="64"/>
      <c r="AF721" s="65"/>
      <c r="AG721" s="65"/>
      <c r="AH721" s="66" t="str">
        <f t="shared" si="133"/>
        <v/>
      </c>
      <c r="AI721" s="64"/>
      <c r="AJ721" s="65"/>
      <c r="AK721" s="64"/>
      <c r="AL721" s="65"/>
      <c r="BB721" s="55" t="str">
        <f t="shared" si="134"/>
        <v/>
      </c>
      <c r="BC721" s="55" t="str">
        <f t="shared" si="135"/>
        <v/>
      </c>
      <c r="BD721" s="55" t="str">
        <f t="shared" si="136"/>
        <v/>
      </c>
      <c r="BE721" s="55" t="str">
        <f t="shared" si="137"/>
        <v/>
      </c>
      <c r="BF721" s="55" t="str">
        <f t="shared" si="138"/>
        <v/>
      </c>
      <c r="BG721" s="55" t="str">
        <f t="shared" si="139"/>
        <v/>
      </c>
      <c r="BH721" s="55" t="str">
        <f t="shared" si="140"/>
        <v/>
      </c>
      <c r="BI721" s="55" t="str">
        <f t="shared" si="141"/>
        <v/>
      </c>
      <c r="BJ721" s="55" t="str">
        <f t="shared" si="142"/>
        <v/>
      </c>
      <c r="BK721" s="55" t="str">
        <f t="shared" si="143"/>
        <v/>
      </c>
    </row>
    <row r="722" spans="22:63">
      <c r="V722" s="55">
        <f t="shared" ca="1" si="132"/>
        <v>1</v>
      </c>
      <c r="W722" s="64"/>
      <c r="X722" s="65"/>
      <c r="Y722" s="65"/>
      <c r="Z722" s="65"/>
      <c r="AA722" s="64"/>
      <c r="AB722" s="65"/>
      <c r="AC722" s="64"/>
      <c r="AD722" s="65"/>
      <c r="AE722" s="64"/>
      <c r="AF722" s="65"/>
      <c r="AG722" s="65"/>
      <c r="AH722" s="66" t="str">
        <f t="shared" si="133"/>
        <v/>
      </c>
      <c r="AI722" s="64"/>
      <c r="AJ722" s="65"/>
      <c r="AK722" s="64"/>
      <c r="AL722" s="65"/>
      <c r="BB722" s="55" t="str">
        <f t="shared" si="134"/>
        <v/>
      </c>
      <c r="BC722" s="55" t="str">
        <f t="shared" si="135"/>
        <v/>
      </c>
      <c r="BD722" s="55" t="str">
        <f t="shared" si="136"/>
        <v/>
      </c>
      <c r="BE722" s="55" t="str">
        <f t="shared" si="137"/>
        <v/>
      </c>
      <c r="BF722" s="55" t="str">
        <f t="shared" si="138"/>
        <v/>
      </c>
      <c r="BG722" s="55" t="str">
        <f t="shared" si="139"/>
        <v/>
      </c>
      <c r="BH722" s="55" t="str">
        <f t="shared" si="140"/>
        <v/>
      </c>
      <c r="BI722" s="55" t="str">
        <f t="shared" si="141"/>
        <v/>
      </c>
      <c r="BJ722" s="55" t="str">
        <f t="shared" si="142"/>
        <v/>
      </c>
      <c r="BK722" s="55" t="str">
        <f t="shared" si="143"/>
        <v/>
      </c>
    </row>
    <row r="723" spans="22:63">
      <c r="V723" s="55">
        <f t="shared" ca="1" si="132"/>
        <v>1</v>
      </c>
      <c r="W723" s="64"/>
      <c r="X723" s="65"/>
      <c r="Y723" s="65"/>
      <c r="Z723" s="65"/>
      <c r="AA723" s="64"/>
      <c r="AB723" s="65"/>
      <c r="AC723" s="64"/>
      <c r="AD723" s="65"/>
      <c r="AE723" s="64"/>
      <c r="AF723" s="65"/>
      <c r="AG723" s="65"/>
      <c r="AH723" s="66" t="str">
        <f t="shared" si="133"/>
        <v/>
      </c>
      <c r="AI723" s="64"/>
      <c r="AJ723" s="65"/>
      <c r="AK723" s="64"/>
      <c r="AL723" s="65"/>
      <c r="BB723" s="55" t="str">
        <f t="shared" si="134"/>
        <v/>
      </c>
      <c r="BC723" s="55" t="str">
        <f t="shared" si="135"/>
        <v/>
      </c>
      <c r="BD723" s="55" t="str">
        <f t="shared" si="136"/>
        <v/>
      </c>
      <c r="BE723" s="55" t="str">
        <f t="shared" si="137"/>
        <v/>
      </c>
      <c r="BF723" s="55" t="str">
        <f t="shared" si="138"/>
        <v/>
      </c>
      <c r="BG723" s="55" t="str">
        <f t="shared" si="139"/>
        <v/>
      </c>
      <c r="BH723" s="55" t="str">
        <f t="shared" si="140"/>
        <v/>
      </c>
      <c r="BI723" s="55" t="str">
        <f t="shared" si="141"/>
        <v/>
      </c>
      <c r="BJ723" s="55" t="str">
        <f t="shared" si="142"/>
        <v/>
      </c>
      <c r="BK723" s="55" t="str">
        <f t="shared" si="143"/>
        <v/>
      </c>
    </row>
    <row r="724" spans="22:63">
      <c r="V724" s="55">
        <f t="shared" ca="1" si="132"/>
        <v>1</v>
      </c>
      <c r="W724" s="64"/>
      <c r="X724" s="65"/>
      <c r="Y724" s="65"/>
      <c r="Z724" s="65"/>
      <c r="AA724" s="64"/>
      <c r="AB724" s="65"/>
      <c r="AC724" s="64"/>
      <c r="AD724" s="65"/>
      <c r="AE724" s="64"/>
      <c r="AF724" s="65"/>
      <c r="AG724" s="65"/>
      <c r="AH724" s="66" t="str">
        <f t="shared" si="133"/>
        <v/>
      </c>
      <c r="AI724" s="64"/>
      <c r="AJ724" s="65"/>
      <c r="AK724" s="64"/>
      <c r="AL724" s="65"/>
      <c r="BB724" s="55" t="str">
        <f t="shared" si="134"/>
        <v/>
      </c>
      <c r="BC724" s="55" t="str">
        <f t="shared" si="135"/>
        <v/>
      </c>
      <c r="BD724" s="55" t="str">
        <f t="shared" si="136"/>
        <v/>
      </c>
      <c r="BE724" s="55" t="str">
        <f t="shared" si="137"/>
        <v/>
      </c>
      <c r="BF724" s="55" t="str">
        <f t="shared" si="138"/>
        <v/>
      </c>
      <c r="BG724" s="55" t="str">
        <f t="shared" si="139"/>
        <v/>
      </c>
      <c r="BH724" s="55" t="str">
        <f t="shared" si="140"/>
        <v/>
      </c>
      <c r="BI724" s="55" t="str">
        <f t="shared" si="141"/>
        <v/>
      </c>
      <c r="BJ724" s="55" t="str">
        <f t="shared" si="142"/>
        <v/>
      </c>
      <c r="BK724" s="55" t="str">
        <f t="shared" si="143"/>
        <v/>
      </c>
    </row>
    <row r="725" spans="22:63">
      <c r="V725" s="55">
        <f t="shared" ca="1" si="132"/>
        <v>1</v>
      </c>
      <c r="W725" s="64"/>
      <c r="X725" s="65"/>
      <c r="Y725" s="65"/>
      <c r="Z725" s="65"/>
      <c r="AA725" s="64"/>
      <c r="AB725" s="65"/>
      <c r="AC725" s="64"/>
      <c r="AD725" s="65"/>
      <c r="AE725" s="64"/>
      <c r="AF725" s="65"/>
      <c r="AG725" s="65"/>
      <c r="AH725" s="66" t="str">
        <f t="shared" si="133"/>
        <v/>
      </c>
      <c r="AI725" s="64"/>
      <c r="AJ725" s="65"/>
      <c r="AK725" s="64"/>
      <c r="AL725" s="65"/>
      <c r="BB725" s="55" t="str">
        <f t="shared" si="134"/>
        <v/>
      </c>
      <c r="BC725" s="55" t="str">
        <f t="shared" si="135"/>
        <v/>
      </c>
      <c r="BD725" s="55" t="str">
        <f t="shared" si="136"/>
        <v/>
      </c>
      <c r="BE725" s="55" t="str">
        <f t="shared" si="137"/>
        <v/>
      </c>
      <c r="BF725" s="55" t="str">
        <f t="shared" si="138"/>
        <v/>
      </c>
      <c r="BG725" s="55" t="str">
        <f t="shared" si="139"/>
        <v/>
      </c>
      <c r="BH725" s="55" t="str">
        <f t="shared" si="140"/>
        <v/>
      </c>
      <c r="BI725" s="55" t="str">
        <f t="shared" si="141"/>
        <v/>
      </c>
      <c r="BJ725" s="55" t="str">
        <f t="shared" si="142"/>
        <v/>
      </c>
      <c r="BK725" s="55" t="str">
        <f t="shared" si="143"/>
        <v/>
      </c>
    </row>
    <row r="726" spans="22:63">
      <c r="V726" s="55">
        <f t="shared" ca="1" si="132"/>
        <v>1</v>
      </c>
      <c r="W726" s="64"/>
      <c r="X726" s="65"/>
      <c r="Y726" s="65"/>
      <c r="Z726" s="65"/>
      <c r="AA726" s="64"/>
      <c r="AB726" s="65"/>
      <c r="AC726" s="64"/>
      <c r="AD726" s="65"/>
      <c r="AE726" s="64"/>
      <c r="AF726" s="65"/>
      <c r="AG726" s="65"/>
      <c r="AH726" s="66" t="str">
        <f t="shared" si="133"/>
        <v/>
      </c>
      <c r="AI726" s="64"/>
      <c r="AJ726" s="65"/>
      <c r="AK726" s="64"/>
      <c r="AL726" s="65"/>
      <c r="BB726" s="55" t="str">
        <f t="shared" si="134"/>
        <v/>
      </c>
      <c r="BC726" s="55" t="str">
        <f t="shared" si="135"/>
        <v/>
      </c>
      <c r="BD726" s="55" t="str">
        <f t="shared" si="136"/>
        <v/>
      </c>
      <c r="BE726" s="55" t="str">
        <f t="shared" si="137"/>
        <v/>
      </c>
      <c r="BF726" s="55" t="str">
        <f t="shared" si="138"/>
        <v/>
      </c>
      <c r="BG726" s="55" t="str">
        <f t="shared" si="139"/>
        <v/>
      </c>
      <c r="BH726" s="55" t="str">
        <f t="shared" si="140"/>
        <v/>
      </c>
      <c r="BI726" s="55" t="str">
        <f t="shared" si="141"/>
        <v/>
      </c>
      <c r="BJ726" s="55" t="str">
        <f t="shared" si="142"/>
        <v/>
      </c>
      <c r="BK726" s="55" t="str">
        <f t="shared" si="143"/>
        <v/>
      </c>
    </row>
    <row r="727" spans="22:63">
      <c r="V727" s="55">
        <f t="shared" ca="1" si="132"/>
        <v>1</v>
      </c>
      <c r="W727" s="64"/>
      <c r="X727" s="65"/>
      <c r="Y727" s="65"/>
      <c r="Z727" s="65"/>
      <c r="AA727" s="64"/>
      <c r="AB727" s="65"/>
      <c r="AC727" s="64"/>
      <c r="AD727" s="65"/>
      <c r="AE727" s="64"/>
      <c r="AF727" s="65"/>
      <c r="AG727" s="65"/>
      <c r="AH727" s="66" t="str">
        <f t="shared" si="133"/>
        <v/>
      </c>
      <c r="AI727" s="64"/>
      <c r="AJ727" s="65"/>
      <c r="AK727" s="64"/>
      <c r="AL727" s="65"/>
      <c r="BB727" s="55" t="str">
        <f t="shared" si="134"/>
        <v/>
      </c>
      <c r="BC727" s="55" t="str">
        <f t="shared" si="135"/>
        <v/>
      </c>
      <c r="BD727" s="55" t="str">
        <f t="shared" si="136"/>
        <v/>
      </c>
      <c r="BE727" s="55" t="str">
        <f t="shared" si="137"/>
        <v/>
      </c>
      <c r="BF727" s="55" t="str">
        <f t="shared" si="138"/>
        <v/>
      </c>
      <c r="BG727" s="55" t="str">
        <f t="shared" si="139"/>
        <v/>
      </c>
      <c r="BH727" s="55" t="str">
        <f t="shared" si="140"/>
        <v/>
      </c>
      <c r="BI727" s="55" t="str">
        <f t="shared" si="141"/>
        <v/>
      </c>
      <c r="BJ727" s="55" t="str">
        <f t="shared" si="142"/>
        <v/>
      </c>
      <c r="BK727" s="55" t="str">
        <f t="shared" si="143"/>
        <v/>
      </c>
    </row>
    <row r="728" spans="22:63">
      <c r="V728" s="55">
        <f t="shared" ca="1" si="132"/>
        <v>1</v>
      </c>
      <c r="W728" s="64"/>
      <c r="X728" s="65"/>
      <c r="Y728" s="65"/>
      <c r="Z728" s="65"/>
      <c r="AA728" s="64"/>
      <c r="AB728" s="65"/>
      <c r="AC728" s="64"/>
      <c r="AD728" s="65"/>
      <c r="AE728" s="64"/>
      <c r="AF728" s="65"/>
      <c r="AG728" s="65"/>
      <c r="AH728" s="66" t="str">
        <f t="shared" si="133"/>
        <v/>
      </c>
      <c r="AI728" s="64"/>
      <c r="AJ728" s="65"/>
      <c r="AK728" s="64"/>
      <c r="AL728" s="65"/>
      <c r="BB728" s="55" t="str">
        <f t="shared" si="134"/>
        <v/>
      </c>
      <c r="BC728" s="55" t="str">
        <f t="shared" si="135"/>
        <v/>
      </c>
      <c r="BD728" s="55" t="str">
        <f t="shared" si="136"/>
        <v/>
      </c>
      <c r="BE728" s="55" t="str">
        <f t="shared" si="137"/>
        <v/>
      </c>
      <c r="BF728" s="55" t="str">
        <f t="shared" si="138"/>
        <v/>
      </c>
      <c r="BG728" s="55" t="str">
        <f t="shared" si="139"/>
        <v/>
      </c>
      <c r="BH728" s="55" t="str">
        <f t="shared" si="140"/>
        <v/>
      </c>
      <c r="BI728" s="55" t="str">
        <f t="shared" si="141"/>
        <v/>
      </c>
      <c r="BJ728" s="55" t="str">
        <f t="shared" si="142"/>
        <v/>
      </c>
      <c r="BK728" s="55" t="str">
        <f t="shared" si="143"/>
        <v/>
      </c>
    </row>
    <row r="729" spans="22:63">
      <c r="V729" s="55">
        <f t="shared" ca="1" si="132"/>
        <v>1</v>
      </c>
      <c r="W729" s="64"/>
      <c r="X729" s="65"/>
      <c r="Y729" s="65"/>
      <c r="Z729" s="65"/>
      <c r="AA729" s="64"/>
      <c r="AB729" s="65"/>
      <c r="AC729" s="64"/>
      <c r="AD729" s="65"/>
      <c r="AE729" s="64"/>
      <c r="AF729" s="65"/>
      <c r="AG729" s="65"/>
      <c r="AH729" s="66" t="str">
        <f t="shared" si="133"/>
        <v/>
      </c>
      <c r="AI729" s="64"/>
      <c r="AJ729" s="65"/>
      <c r="AK729" s="64"/>
      <c r="AL729" s="65"/>
      <c r="BB729" s="55" t="str">
        <f t="shared" si="134"/>
        <v/>
      </c>
      <c r="BC729" s="55" t="str">
        <f t="shared" si="135"/>
        <v/>
      </c>
      <c r="BD729" s="55" t="str">
        <f t="shared" si="136"/>
        <v/>
      </c>
      <c r="BE729" s="55" t="str">
        <f t="shared" si="137"/>
        <v/>
      </c>
      <c r="BF729" s="55" t="str">
        <f t="shared" si="138"/>
        <v/>
      </c>
      <c r="BG729" s="55" t="str">
        <f t="shared" si="139"/>
        <v/>
      </c>
      <c r="BH729" s="55" t="str">
        <f t="shared" si="140"/>
        <v/>
      </c>
      <c r="BI729" s="55" t="str">
        <f t="shared" si="141"/>
        <v/>
      </c>
      <c r="BJ729" s="55" t="str">
        <f t="shared" si="142"/>
        <v/>
      </c>
      <c r="BK729" s="55" t="str">
        <f t="shared" si="143"/>
        <v/>
      </c>
    </row>
    <row r="730" spans="22:63">
      <c r="V730" s="55">
        <f t="shared" ca="1" si="132"/>
        <v>1</v>
      </c>
      <c r="W730" s="64"/>
      <c r="X730" s="65"/>
      <c r="Y730" s="65"/>
      <c r="Z730" s="65"/>
      <c r="AA730" s="64"/>
      <c r="AB730" s="65"/>
      <c r="AC730" s="64"/>
      <c r="AD730" s="65"/>
      <c r="AE730" s="64"/>
      <c r="AF730" s="65"/>
      <c r="AG730" s="65"/>
      <c r="AH730" s="66" t="str">
        <f t="shared" si="133"/>
        <v/>
      </c>
      <c r="AI730" s="64"/>
      <c r="AJ730" s="65"/>
      <c r="AK730" s="64"/>
      <c r="AL730" s="65"/>
      <c r="BB730" s="55" t="str">
        <f t="shared" si="134"/>
        <v/>
      </c>
      <c r="BC730" s="55" t="str">
        <f t="shared" si="135"/>
        <v/>
      </c>
      <c r="BD730" s="55" t="str">
        <f t="shared" si="136"/>
        <v/>
      </c>
      <c r="BE730" s="55" t="str">
        <f t="shared" si="137"/>
        <v/>
      </c>
      <c r="BF730" s="55" t="str">
        <f t="shared" si="138"/>
        <v/>
      </c>
      <c r="BG730" s="55" t="str">
        <f t="shared" si="139"/>
        <v/>
      </c>
      <c r="BH730" s="55" t="str">
        <f t="shared" si="140"/>
        <v/>
      </c>
      <c r="BI730" s="55" t="str">
        <f t="shared" si="141"/>
        <v/>
      </c>
      <c r="BJ730" s="55" t="str">
        <f t="shared" si="142"/>
        <v/>
      </c>
      <c r="BK730" s="55" t="str">
        <f t="shared" si="143"/>
        <v/>
      </c>
    </row>
    <row r="731" spans="22:63">
      <c r="V731" s="55">
        <f t="shared" ca="1" si="132"/>
        <v>1</v>
      </c>
      <c r="W731" s="64"/>
      <c r="X731" s="65"/>
      <c r="Y731" s="65"/>
      <c r="Z731" s="65"/>
      <c r="AA731" s="64"/>
      <c r="AB731" s="65"/>
      <c r="AC731" s="64"/>
      <c r="AD731" s="65"/>
      <c r="AE731" s="64"/>
      <c r="AF731" s="65"/>
      <c r="AG731" s="65"/>
      <c r="AH731" s="66" t="str">
        <f t="shared" si="133"/>
        <v/>
      </c>
      <c r="AI731" s="64"/>
      <c r="AJ731" s="65"/>
      <c r="AK731" s="64"/>
      <c r="AL731" s="65"/>
      <c r="BB731" s="55" t="str">
        <f t="shared" si="134"/>
        <v/>
      </c>
      <c r="BC731" s="55" t="str">
        <f t="shared" si="135"/>
        <v/>
      </c>
      <c r="BD731" s="55" t="str">
        <f t="shared" si="136"/>
        <v/>
      </c>
      <c r="BE731" s="55" t="str">
        <f t="shared" si="137"/>
        <v/>
      </c>
      <c r="BF731" s="55" t="str">
        <f t="shared" si="138"/>
        <v/>
      </c>
      <c r="BG731" s="55" t="str">
        <f t="shared" si="139"/>
        <v/>
      </c>
      <c r="BH731" s="55" t="str">
        <f t="shared" si="140"/>
        <v/>
      </c>
      <c r="BI731" s="55" t="str">
        <f t="shared" si="141"/>
        <v/>
      </c>
      <c r="BJ731" s="55" t="str">
        <f t="shared" si="142"/>
        <v/>
      </c>
      <c r="BK731" s="55" t="str">
        <f t="shared" si="143"/>
        <v/>
      </c>
    </row>
    <row r="732" spans="22:63">
      <c r="V732" s="55">
        <f t="shared" ca="1" si="132"/>
        <v>1</v>
      </c>
      <c r="W732" s="64"/>
      <c r="X732" s="65"/>
      <c r="Y732" s="65"/>
      <c r="Z732" s="65"/>
      <c r="AA732" s="64"/>
      <c r="AB732" s="65"/>
      <c r="AC732" s="64"/>
      <c r="AD732" s="65"/>
      <c r="AE732" s="64"/>
      <c r="AF732" s="65"/>
      <c r="AG732" s="65"/>
      <c r="AH732" s="66" t="str">
        <f t="shared" si="133"/>
        <v/>
      </c>
      <c r="AI732" s="64"/>
      <c r="AJ732" s="65"/>
      <c r="AK732" s="64"/>
      <c r="AL732" s="65"/>
      <c r="BB732" s="55" t="str">
        <f t="shared" si="134"/>
        <v/>
      </c>
      <c r="BC732" s="55" t="str">
        <f t="shared" si="135"/>
        <v/>
      </c>
      <c r="BD732" s="55" t="str">
        <f t="shared" si="136"/>
        <v/>
      </c>
      <c r="BE732" s="55" t="str">
        <f t="shared" si="137"/>
        <v/>
      </c>
      <c r="BF732" s="55" t="str">
        <f t="shared" si="138"/>
        <v/>
      </c>
      <c r="BG732" s="55" t="str">
        <f t="shared" si="139"/>
        <v/>
      </c>
      <c r="BH732" s="55" t="str">
        <f t="shared" si="140"/>
        <v/>
      </c>
      <c r="BI732" s="55" t="str">
        <f t="shared" si="141"/>
        <v/>
      </c>
      <c r="BJ732" s="55" t="str">
        <f t="shared" si="142"/>
        <v/>
      </c>
      <c r="BK732" s="55" t="str">
        <f t="shared" si="143"/>
        <v/>
      </c>
    </row>
    <row r="733" spans="22:63">
      <c r="V733" s="55">
        <f t="shared" ca="1" si="132"/>
        <v>1</v>
      </c>
      <c r="W733" s="64"/>
      <c r="X733" s="65"/>
      <c r="Y733" s="65"/>
      <c r="Z733" s="65"/>
      <c r="AA733" s="64"/>
      <c r="AB733" s="65"/>
      <c r="AC733" s="64"/>
      <c r="AD733" s="65"/>
      <c r="AE733" s="64"/>
      <c r="AF733" s="65"/>
      <c r="AG733" s="65"/>
      <c r="AH733" s="66" t="str">
        <f t="shared" si="133"/>
        <v/>
      </c>
      <c r="AI733" s="64"/>
      <c r="AJ733" s="65"/>
      <c r="AK733" s="64"/>
      <c r="AL733" s="65"/>
      <c r="BB733" s="55" t="str">
        <f t="shared" si="134"/>
        <v/>
      </c>
      <c r="BC733" s="55" t="str">
        <f t="shared" si="135"/>
        <v/>
      </c>
      <c r="BD733" s="55" t="str">
        <f t="shared" si="136"/>
        <v/>
      </c>
      <c r="BE733" s="55" t="str">
        <f t="shared" si="137"/>
        <v/>
      </c>
      <c r="BF733" s="55" t="str">
        <f t="shared" si="138"/>
        <v/>
      </c>
      <c r="BG733" s="55" t="str">
        <f t="shared" si="139"/>
        <v/>
      </c>
      <c r="BH733" s="55" t="str">
        <f t="shared" si="140"/>
        <v/>
      </c>
      <c r="BI733" s="55" t="str">
        <f t="shared" si="141"/>
        <v/>
      </c>
      <c r="BJ733" s="55" t="str">
        <f t="shared" si="142"/>
        <v/>
      </c>
      <c r="BK733" s="55" t="str">
        <f t="shared" si="143"/>
        <v/>
      </c>
    </row>
    <row r="734" spans="22:63">
      <c r="V734" s="55">
        <f t="shared" ca="1" si="132"/>
        <v>1</v>
      </c>
      <c r="W734" s="64"/>
      <c r="X734" s="65"/>
      <c r="Y734" s="65"/>
      <c r="Z734" s="65"/>
      <c r="AA734" s="64"/>
      <c r="AB734" s="65"/>
      <c r="AC734" s="64"/>
      <c r="AD734" s="65"/>
      <c r="AE734" s="64"/>
      <c r="AF734" s="65"/>
      <c r="AG734" s="65"/>
      <c r="AH734" s="66" t="str">
        <f t="shared" si="133"/>
        <v/>
      </c>
      <c r="AI734" s="64"/>
      <c r="AJ734" s="65"/>
      <c r="AK734" s="64"/>
      <c r="AL734" s="65"/>
      <c r="BB734" s="55" t="str">
        <f t="shared" si="134"/>
        <v/>
      </c>
      <c r="BC734" s="55" t="str">
        <f t="shared" si="135"/>
        <v/>
      </c>
      <c r="BD734" s="55" t="str">
        <f t="shared" si="136"/>
        <v/>
      </c>
      <c r="BE734" s="55" t="str">
        <f t="shared" si="137"/>
        <v/>
      </c>
      <c r="BF734" s="55" t="str">
        <f t="shared" si="138"/>
        <v/>
      </c>
      <c r="BG734" s="55" t="str">
        <f t="shared" si="139"/>
        <v/>
      </c>
      <c r="BH734" s="55" t="str">
        <f t="shared" si="140"/>
        <v/>
      </c>
      <c r="BI734" s="55" t="str">
        <f t="shared" si="141"/>
        <v/>
      </c>
      <c r="BJ734" s="55" t="str">
        <f t="shared" si="142"/>
        <v/>
      </c>
      <c r="BK734" s="55" t="str">
        <f t="shared" si="143"/>
        <v/>
      </c>
    </row>
    <row r="735" spans="22:63">
      <c r="V735" s="55">
        <f t="shared" ca="1" si="132"/>
        <v>1</v>
      </c>
      <c r="W735" s="64"/>
      <c r="X735" s="65"/>
      <c r="Y735" s="65"/>
      <c r="Z735" s="65"/>
      <c r="AA735" s="64"/>
      <c r="AB735" s="65"/>
      <c r="AC735" s="64"/>
      <c r="AD735" s="65"/>
      <c r="AE735" s="64"/>
      <c r="AF735" s="65"/>
      <c r="AG735" s="65"/>
      <c r="AH735" s="66" t="str">
        <f t="shared" si="133"/>
        <v/>
      </c>
      <c r="AI735" s="64"/>
      <c r="AJ735" s="65"/>
      <c r="AK735" s="64"/>
      <c r="AL735" s="65"/>
      <c r="BB735" s="55" t="str">
        <f t="shared" si="134"/>
        <v/>
      </c>
      <c r="BC735" s="55" t="str">
        <f t="shared" si="135"/>
        <v/>
      </c>
      <c r="BD735" s="55" t="str">
        <f t="shared" si="136"/>
        <v/>
      </c>
      <c r="BE735" s="55" t="str">
        <f t="shared" si="137"/>
        <v/>
      </c>
      <c r="BF735" s="55" t="str">
        <f t="shared" si="138"/>
        <v/>
      </c>
      <c r="BG735" s="55" t="str">
        <f t="shared" si="139"/>
        <v/>
      </c>
      <c r="BH735" s="55" t="str">
        <f t="shared" si="140"/>
        <v/>
      </c>
      <c r="BI735" s="55" t="str">
        <f t="shared" si="141"/>
        <v/>
      </c>
      <c r="BJ735" s="55" t="str">
        <f t="shared" si="142"/>
        <v/>
      </c>
      <c r="BK735" s="55" t="str">
        <f t="shared" si="143"/>
        <v/>
      </c>
    </row>
    <row r="736" spans="22:63">
      <c r="V736" s="55">
        <f t="shared" ca="1" si="132"/>
        <v>1</v>
      </c>
      <c r="W736" s="64"/>
      <c r="X736" s="65"/>
      <c r="Y736" s="65"/>
      <c r="Z736" s="65"/>
      <c r="AA736" s="64"/>
      <c r="AB736" s="65"/>
      <c r="AC736" s="64"/>
      <c r="AD736" s="65"/>
      <c r="AE736" s="64"/>
      <c r="AF736" s="65"/>
      <c r="AG736" s="65"/>
      <c r="AH736" s="66" t="str">
        <f t="shared" si="133"/>
        <v/>
      </c>
      <c r="AI736" s="64"/>
      <c r="AJ736" s="65"/>
      <c r="AK736" s="64"/>
      <c r="AL736" s="65"/>
      <c r="BB736" s="55" t="str">
        <f t="shared" si="134"/>
        <v/>
      </c>
      <c r="BC736" s="55" t="str">
        <f t="shared" si="135"/>
        <v/>
      </c>
      <c r="BD736" s="55" t="str">
        <f t="shared" si="136"/>
        <v/>
      </c>
      <c r="BE736" s="55" t="str">
        <f t="shared" si="137"/>
        <v/>
      </c>
      <c r="BF736" s="55" t="str">
        <f t="shared" si="138"/>
        <v/>
      </c>
      <c r="BG736" s="55" t="str">
        <f t="shared" si="139"/>
        <v/>
      </c>
      <c r="BH736" s="55" t="str">
        <f t="shared" si="140"/>
        <v/>
      </c>
      <c r="BI736" s="55" t="str">
        <f t="shared" si="141"/>
        <v/>
      </c>
      <c r="BJ736" s="55" t="str">
        <f t="shared" si="142"/>
        <v/>
      </c>
      <c r="BK736" s="55" t="str">
        <f t="shared" si="143"/>
        <v/>
      </c>
    </row>
    <row r="737" spans="22:63">
      <c r="V737" s="55">
        <f t="shared" ca="1" si="132"/>
        <v>1</v>
      </c>
      <c r="W737" s="64"/>
      <c r="X737" s="65"/>
      <c r="Y737" s="65"/>
      <c r="Z737" s="65"/>
      <c r="AA737" s="64"/>
      <c r="AB737" s="65"/>
      <c r="AC737" s="64"/>
      <c r="AD737" s="65"/>
      <c r="AE737" s="64"/>
      <c r="AF737" s="65"/>
      <c r="AG737" s="65"/>
      <c r="AH737" s="66" t="str">
        <f t="shared" si="133"/>
        <v/>
      </c>
      <c r="AI737" s="64"/>
      <c r="AJ737" s="65"/>
      <c r="AK737" s="64"/>
      <c r="AL737" s="65"/>
      <c r="BB737" s="55" t="str">
        <f t="shared" si="134"/>
        <v/>
      </c>
      <c r="BC737" s="55" t="str">
        <f t="shared" si="135"/>
        <v/>
      </c>
      <c r="BD737" s="55" t="str">
        <f t="shared" si="136"/>
        <v/>
      </c>
      <c r="BE737" s="55" t="str">
        <f t="shared" si="137"/>
        <v/>
      </c>
      <c r="BF737" s="55" t="str">
        <f t="shared" si="138"/>
        <v/>
      </c>
      <c r="BG737" s="55" t="str">
        <f t="shared" si="139"/>
        <v/>
      </c>
      <c r="BH737" s="55" t="str">
        <f t="shared" si="140"/>
        <v/>
      </c>
      <c r="BI737" s="55" t="str">
        <f t="shared" si="141"/>
        <v/>
      </c>
      <c r="BJ737" s="55" t="str">
        <f t="shared" si="142"/>
        <v/>
      </c>
      <c r="BK737" s="55" t="str">
        <f t="shared" si="143"/>
        <v/>
      </c>
    </row>
    <row r="738" spans="22:63">
      <c r="V738" s="55">
        <f t="shared" ca="1" si="132"/>
        <v>1</v>
      </c>
      <c r="W738" s="64"/>
      <c r="X738" s="65"/>
      <c r="Y738" s="65"/>
      <c r="Z738" s="65"/>
      <c r="AA738" s="64"/>
      <c r="AB738" s="65"/>
      <c r="AC738" s="64"/>
      <c r="AD738" s="65"/>
      <c r="AE738" s="64"/>
      <c r="AF738" s="65"/>
      <c r="AG738" s="65"/>
      <c r="AH738" s="66" t="str">
        <f t="shared" si="133"/>
        <v/>
      </c>
      <c r="AI738" s="64"/>
      <c r="AJ738" s="65"/>
      <c r="AK738" s="64"/>
      <c r="AL738" s="65"/>
      <c r="BB738" s="55" t="str">
        <f t="shared" si="134"/>
        <v/>
      </c>
      <c r="BC738" s="55" t="str">
        <f t="shared" si="135"/>
        <v/>
      </c>
      <c r="BD738" s="55" t="str">
        <f t="shared" si="136"/>
        <v/>
      </c>
      <c r="BE738" s="55" t="str">
        <f t="shared" si="137"/>
        <v/>
      </c>
      <c r="BF738" s="55" t="str">
        <f t="shared" si="138"/>
        <v/>
      </c>
      <c r="BG738" s="55" t="str">
        <f t="shared" si="139"/>
        <v/>
      </c>
      <c r="BH738" s="55" t="str">
        <f t="shared" si="140"/>
        <v/>
      </c>
      <c r="BI738" s="55" t="str">
        <f t="shared" si="141"/>
        <v/>
      </c>
      <c r="BJ738" s="55" t="str">
        <f t="shared" si="142"/>
        <v/>
      </c>
      <c r="BK738" s="55" t="str">
        <f t="shared" si="143"/>
        <v/>
      </c>
    </row>
    <row r="739" spans="22:63">
      <c r="V739" s="55">
        <f t="shared" ca="1" si="132"/>
        <v>1</v>
      </c>
      <c r="W739" s="64"/>
      <c r="X739" s="65"/>
      <c r="Y739" s="65"/>
      <c r="Z739" s="65"/>
      <c r="AA739" s="64"/>
      <c r="AB739" s="65"/>
      <c r="AC739" s="64"/>
      <c r="AD739" s="65"/>
      <c r="AE739" s="64"/>
      <c r="AF739" s="65"/>
      <c r="AG739" s="65"/>
      <c r="AH739" s="66" t="str">
        <f t="shared" si="133"/>
        <v/>
      </c>
      <c r="AI739" s="64"/>
      <c r="AJ739" s="65"/>
      <c r="AK739" s="64"/>
      <c r="AL739" s="65"/>
      <c r="BB739" s="55" t="str">
        <f t="shared" si="134"/>
        <v/>
      </c>
      <c r="BC739" s="55" t="str">
        <f t="shared" si="135"/>
        <v/>
      </c>
      <c r="BD739" s="55" t="str">
        <f t="shared" si="136"/>
        <v/>
      </c>
      <c r="BE739" s="55" t="str">
        <f t="shared" si="137"/>
        <v/>
      </c>
      <c r="BF739" s="55" t="str">
        <f t="shared" si="138"/>
        <v/>
      </c>
      <c r="BG739" s="55" t="str">
        <f t="shared" si="139"/>
        <v/>
      </c>
      <c r="BH739" s="55" t="str">
        <f t="shared" si="140"/>
        <v/>
      </c>
      <c r="BI739" s="55" t="str">
        <f t="shared" si="141"/>
        <v/>
      </c>
      <c r="BJ739" s="55" t="str">
        <f t="shared" si="142"/>
        <v/>
      </c>
      <c r="BK739" s="55" t="str">
        <f t="shared" si="143"/>
        <v/>
      </c>
    </row>
    <row r="740" spans="22:63">
      <c r="V740" s="55">
        <f t="shared" ca="1" si="132"/>
        <v>1</v>
      </c>
      <c r="W740" s="64"/>
      <c r="X740" s="65"/>
      <c r="Y740" s="65"/>
      <c r="Z740" s="65"/>
      <c r="AA740" s="64"/>
      <c r="AB740" s="65"/>
      <c r="AC740" s="64"/>
      <c r="AD740" s="65"/>
      <c r="AE740" s="64"/>
      <c r="AF740" s="65"/>
      <c r="AG740" s="65"/>
      <c r="AH740" s="66" t="str">
        <f t="shared" si="133"/>
        <v/>
      </c>
      <c r="AI740" s="64"/>
      <c r="AJ740" s="65"/>
      <c r="AK740" s="64"/>
      <c r="AL740" s="65"/>
      <c r="BB740" s="55" t="str">
        <f t="shared" si="134"/>
        <v/>
      </c>
      <c r="BC740" s="55" t="str">
        <f t="shared" si="135"/>
        <v/>
      </c>
      <c r="BD740" s="55" t="str">
        <f t="shared" si="136"/>
        <v/>
      </c>
      <c r="BE740" s="55" t="str">
        <f t="shared" si="137"/>
        <v/>
      </c>
      <c r="BF740" s="55" t="str">
        <f t="shared" si="138"/>
        <v/>
      </c>
      <c r="BG740" s="55" t="str">
        <f t="shared" si="139"/>
        <v/>
      </c>
      <c r="BH740" s="55" t="str">
        <f t="shared" si="140"/>
        <v/>
      </c>
      <c r="BI740" s="55" t="str">
        <f t="shared" si="141"/>
        <v/>
      </c>
      <c r="BJ740" s="55" t="str">
        <f t="shared" si="142"/>
        <v/>
      </c>
      <c r="BK740" s="55" t="str">
        <f t="shared" si="143"/>
        <v/>
      </c>
    </row>
    <row r="741" spans="22:63">
      <c r="V741" s="55">
        <f t="shared" ca="1" si="132"/>
        <v>1</v>
      </c>
      <c r="W741" s="64"/>
      <c r="X741" s="65"/>
      <c r="Y741" s="65"/>
      <c r="Z741" s="65"/>
      <c r="AA741" s="64"/>
      <c r="AB741" s="65"/>
      <c r="AC741" s="64"/>
      <c r="AD741" s="65"/>
      <c r="AE741" s="64"/>
      <c r="AF741" s="65"/>
      <c r="AG741" s="65"/>
      <c r="AH741" s="66" t="str">
        <f t="shared" si="133"/>
        <v/>
      </c>
      <c r="AI741" s="64"/>
      <c r="AJ741" s="65"/>
      <c r="AK741" s="64"/>
      <c r="AL741" s="65"/>
      <c r="BB741" s="55" t="str">
        <f t="shared" si="134"/>
        <v/>
      </c>
      <c r="BC741" s="55" t="str">
        <f t="shared" si="135"/>
        <v/>
      </c>
      <c r="BD741" s="55" t="str">
        <f t="shared" si="136"/>
        <v/>
      </c>
      <c r="BE741" s="55" t="str">
        <f t="shared" si="137"/>
        <v/>
      </c>
      <c r="BF741" s="55" t="str">
        <f t="shared" si="138"/>
        <v/>
      </c>
      <c r="BG741" s="55" t="str">
        <f t="shared" si="139"/>
        <v/>
      </c>
      <c r="BH741" s="55" t="str">
        <f t="shared" si="140"/>
        <v/>
      </c>
      <c r="BI741" s="55" t="str">
        <f t="shared" si="141"/>
        <v/>
      </c>
      <c r="BJ741" s="55" t="str">
        <f t="shared" si="142"/>
        <v/>
      </c>
      <c r="BK741" s="55" t="str">
        <f t="shared" si="143"/>
        <v/>
      </c>
    </row>
    <row r="742" spans="22:63">
      <c r="V742" s="55">
        <f t="shared" ca="1" si="132"/>
        <v>1</v>
      </c>
      <c r="W742" s="64"/>
      <c r="X742" s="65"/>
      <c r="Y742" s="65"/>
      <c r="Z742" s="65"/>
      <c r="AA742" s="64"/>
      <c r="AB742" s="65"/>
      <c r="AC742" s="64"/>
      <c r="AD742" s="65"/>
      <c r="AE742" s="64"/>
      <c r="AF742" s="65"/>
      <c r="AG742" s="65"/>
      <c r="AH742" s="66" t="str">
        <f t="shared" si="133"/>
        <v/>
      </c>
      <c r="AI742" s="64"/>
      <c r="AJ742" s="65"/>
      <c r="AK742" s="64"/>
      <c r="AL742" s="65"/>
      <c r="BB742" s="55" t="str">
        <f t="shared" si="134"/>
        <v/>
      </c>
      <c r="BC742" s="55" t="str">
        <f t="shared" si="135"/>
        <v/>
      </c>
      <c r="BD742" s="55" t="str">
        <f t="shared" si="136"/>
        <v/>
      </c>
      <c r="BE742" s="55" t="str">
        <f t="shared" si="137"/>
        <v/>
      </c>
      <c r="BF742" s="55" t="str">
        <f t="shared" si="138"/>
        <v/>
      </c>
      <c r="BG742" s="55" t="str">
        <f t="shared" si="139"/>
        <v/>
      </c>
      <c r="BH742" s="55" t="str">
        <f t="shared" si="140"/>
        <v/>
      </c>
      <c r="BI742" s="55" t="str">
        <f t="shared" si="141"/>
        <v/>
      </c>
      <c r="BJ742" s="55" t="str">
        <f t="shared" si="142"/>
        <v/>
      </c>
      <c r="BK742" s="55" t="str">
        <f t="shared" si="143"/>
        <v/>
      </c>
    </row>
    <row r="743" spans="22:63">
      <c r="V743" s="55">
        <f t="shared" ca="1" si="132"/>
        <v>1</v>
      </c>
      <c r="W743" s="64"/>
      <c r="X743" s="65"/>
      <c r="Y743" s="65"/>
      <c r="Z743" s="65"/>
      <c r="AA743" s="64"/>
      <c r="AB743" s="65"/>
      <c r="AC743" s="64"/>
      <c r="AD743" s="65"/>
      <c r="AE743" s="64"/>
      <c r="AF743" s="65"/>
      <c r="AG743" s="65"/>
      <c r="AH743" s="66" t="str">
        <f t="shared" si="133"/>
        <v/>
      </c>
      <c r="AI743" s="64"/>
      <c r="AJ743" s="65"/>
      <c r="AK743" s="64"/>
      <c r="AL743" s="65"/>
      <c r="BB743" s="55" t="str">
        <f t="shared" si="134"/>
        <v/>
      </c>
      <c r="BC743" s="55" t="str">
        <f t="shared" si="135"/>
        <v/>
      </c>
      <c r="BD743" s="55" t="str">
        <f t="shared" si="136"/>
        <v/>
      </c>
      <c r="BE743" s="55" t="str">
        <f t="shared" si="137"/>
        <v/>
      </c>
      <c r="BF743" s="55" t="str">
        <f t="shared" si="138"/>
        <v/>
      </c>
      <c r="BG743" s="55" t="str">
        <f t="shared" si="139"/>
        <v/>
      </c>
      <c r="BH743" s="55" t="str">
        <f t="shared" si="140"/>
        <v/>
      </c>
      <c r="BI743" s="55" t="str">
        <f t="shared" si="141"/>
        <v/>
      </c>
      <c r="BJ743" s="55" t="str">
        <f t="shared" si="142"/>
        <v/>
      </c>
      <c r="BK743" s="55" t="str">
        <f t="shared" si="143"/>
        <v/>
      </c>
    </row>
    <row r="744" spans="22:63">
      <c r="V744" s="55">
        <f t="shared" ca="1" si="132"/>
        <v>1</v>
      </c>
      <c r="W744" s="64"/>
      <c r="X744" s="65"/>
      <c r="Y744" s="65"/>
      <c r="Z744" s="65"/>
      <c r="AA744" s="64"/>
      <c r="AB744" s="65"/>
      <c r="AC744" s="64"/>
      <c r="AD744" s="65"/>
      <c r="AE744" s="64"/>
      <c r="AF744" s="65"/>
      <c r="AG744" s="65"/>
      <c r="AH744" s="66" t="str">
        <f t="shared" si="133"/>
        <v/>
      </c>
      <c r="AI744" s="64"/>
      <c r="AJ744" s="65"/>
      <c r="AK744" s="64"/>
      <c r="AL744" s="65"/>
      <c r="BB744" s="55" t="str">
        <f t="shared" si="134"/>
        <v/>
      </c>
      <c r="BC744" s="55" t="str">
        <f t="shared" si="135"/>
        <v/>
      </c>
      <c r="BD744" s="55" t="str">
        <f t="shared" si="136"/>
        <v/>
      </c>
      <c r="BE744" s="55" t="str">
        <f t="shared" si="137"/>
        <v/>
      </c>
      <c r="BF744" s="55" t="str">
        <f t="shared" si="138"/>
        <v/>
      </c>
      <c r="BG744" s="55" t="str">
        <f t="shared" si="139"/>
        <v/>
      </c>
      <c r="BH744" s="55" t="str">
        <f t="shared" si="140"/>
        <v/>
      </c>
      <c r="BI744" s="55" t="str">
        <f t="shared" si="141"/>
        <v/>
      </c>
      <c r="BJ744" s="55" t="str">
        <f t="shared" si="142"/>
        <v/>
      </c>
      <c r="BK744" s="55" t="str">
        <f t="shared" si="143"/>
        <v/>
      </c>
    </row>
    <row r="745" spans="22:63">
      <c r="V745" s="55">
        <f t="shared" ca="1" si="132"/>
        <v>1</v>
      </c>
      <c r="W745" s="64"/>
      <c r="X745" s="65"/>
      <c r="Y745" s="65"/>
      <c r="Z745" s="65"/>
      <c r="AA745" s="64"/>
      <c r="AB745" s="65"/>
      <c r="AC745" s="64"/>
      <c r="AD745" s="65"/>
      <c r="AE745" s="64"/>
      <c r="AF745" s="65"/>
      <c r="AG745" s="65"/>
      <c r="AH745" s="66" t="str">
        <f t="shared" si="133"/>
        <v/>
      </c>
      <c r="AI745" s="64"/>
      <c r="AJ745" s="65"/>
      <c r="AK745" s="64"/>
      <c r="AL745" s="65"/>
      <c r="BB745" s="55" t="str">
        <f t="shared" si="134"/>
        <v/>
      </c>
      <c r="BC745" s="55" t="str">
        <f t="shared" si="135"/>
        <v/>
      </c>
      <c r="BD745" s="55" t="str">
        <f t="shared" si="136"/>
        <v/>
      </c>
      <c r="BE745" s="55" t="str">
        <f t="shared" si="137"/>
        <v/>
      </c>
      <c r="BF745" s="55" t="str">
        <f t="shared" si="138"/>
        <v/>
      </c>
      <c r="BG745" s="55" t="str">
        <f t="shared" si="139"/>
        <v/>
      </c>
      <c r="BH745" s="55" t="str">
        <f t="shared" si="140"/>
        <v/>
      </c>
      <c r="BI745" s="55" t="str">
        <f t="shared" si="141"/>
        <v/>
      </c>
      <c r="BJ745" s="55" t="str">
        <f t="shared" si="142"/>
        <v/>
      </c>
      <c r="BK745" s="55" t="str">
        <f t="shared" si="143"/>
        <v/>
      </c>
    </row>
    <row r="746" spans="22:63">
      <c r="V746" s="55">
        <f t="shared" ca="1" si="132"/>
        <v>1</v>
      </c>
      <c r="W746" s="64"/>
      <c r="X746" s="65"/>
      <c r="Y746" s="65"/>
      <c r="Z746" s="65"/>
      <c r="AA746" s="64"/>
      <c r="AB746" s="65"/>
      <c r="AC746" s="64"/>
      <c r="AD746" s="65"/>
      <c r="AE746" s="64"/>
      <c r="AF746" s="65"/>
      <c r="AG746" s="65"/>
      <c r="AH746" s="66" t="str">
        <f t="shared" si="133"/>
        <v/>
      </c>
      <c r="AI746" s="64"/>
      <c r="AJ746" s="65"/>
      <c r="AK746" s="64"/>
      <c r="AL746" s="65"/>
      <c r="BB746" s="55" t="str">
        <f t="shared" si="134"/>
        <v/>
      </c>
      <c r="BC746" s="55" t="str">
        <f t="shared" si="135"/>
        <v/>
      </c>
      <c r="BD746" s="55" t="str">
        <f t="shared" si="136"/>
        <v/>
      </c>
      <c r="BE746" s="55" t="str">
        <f t="shared" si="137"/>
        <v/>
      </c>
      <c r="BF746" s="55" t="str">
        <f t="shared" si="138"/>
        <v/>
      </c>
      <c r="BG746" s="55" t="str">
        <f t="shared" si="139"/>
        <v/>
      </c>
      <c r="BH746" s="55" t="str">
        <f t="shared" si="140"/>
        <v/>
      </c>
      <c r="BI746" s="55" t="str">
        <f t="shared" si="141"/>
        <v/>
      </c>
      <c r="BJ746" s="55" t="str">
        <f t="shared" si="142"/>
        <v/>
      </c>
      <c r="BK746" s="55" t="str">
        <f t="shared" si="143"/>
        <v/>
      </c>
    </row>
    <row r="747" spans="22:63">
      <c r="V747" s="55">
        <f t="shared" ca="1" si="132"/>
        <v>1</v>
      </c>
      <c r="W747" s="64"/>
      <c r="X747" s="65"/>
      <c r="Y747" s="65"/>
      <c r="Z747" s="65"/>
      <c r="AA747" s="64"/>
      <c r="AB747" s="65"/>
      <c r="AC747" s="64"/>
      <c r="AD747" s="65"/>
      <c r="AE747" s="64"/>
      <c r="AF747" s="65"/>
      <c r="AG747" s="65"/>
      <c r="AH747" s="66" t="str">
        <f t="shared" si="133"/>
        <v/>
      </c>
      <c r="AI747" s="64"/>
      <c r="AJ747" s="65"/>
      <c r="AK747" s="64"/>
      <c r="AL747" s="65"/>
      <c r="BB747" s="55" t="str">
        <f t="shared" si="134"/>
        <v/>
      </c>
      <c r="BC747" s="55" t="str">
        <f t="shared" si="135"/>
        <v/>
      </c>
      <c r="BD747" s="55" t="str">
        <f t="shared" si="136"/>
        <v/>
      </c>
      <c r="BE747" s="55" t="str">
        <f t="shared" si="137"/>
        <v/>
      </c>
      <c r="BF747" s="55" t="str">
        <f t="shared" si="138"/>
        <v/>
      </c>
      <c r="BG747" s="55" t="str">
        <f t="shared" si="139"/>
        <v/>
      </c>
      <c r="BH747" s="55" t="str">
        <f t="shared" si="140"/>
        <v/>
      </c>
      <c r="BI747" s="55" t="str">
        <f t="shared" si="141"/>
        <v/>
      </c>
      <c r="BJ747" s="55" t="str">
        <f t="shared" si="142"/>
        <v/>
      </c>
      <c r="BK747" s="55" t="str">
        <f t="shared" si="143"/>
        <v/>
      </c>
    </row>
    <row r="748" spans="22:63">
      <c r="V748" s="55">
        <f t="shared" ca="1" si="132"/>
        <v>1</v>
      </c>
      <c r="W748" s="64"/>
      <c r="X748" s="65"/>
      <c r="Y748" s="65"/>
      <c r="Z748" s="65"/>
      <c r="AA748" s="64"/>
      <c r="AB748" s="65"/>
      <c r="AC748" s="64"/>
      <c r="AD748" s="65"/>
      <c r="AE748" s="64"/>
      <c r="AF748" s="65"/>
      <c r="AG748" s="65"/>
      <c r="AH748" s="66" t="str">
        <f t="shared" si="133"/>
        <v/>
      </c>
      <c r="AI748" s="64"/>
      <c r="AJ748" s="65"/>
      <c r="AK748" s="64"/>
      <c r="AL748" s="65"/>
      <c r="BB748" s="55" t="str">
        <f t="shared" si="134"/>
        <v/>
      </c>
      <c r="BC748" s="55" t="str">
        <f t="shared" si="135"/>
        <v/>
      </c>
      <c r="BD748" s="55" t="str">
        <f t="shared" si="136"/>
        <v/>
      </c>
      <c r="BE748" s="55" t="str">
        <f t="shared" si="137"/>
        <v/>
      </c>
      <c r="BF748" s="55" t="str">
        <f t="shared" si="138"/>
        <v/>
      </c>
      <c r="BG748" s="55" t="str">
        <f t="shared" si="139"/>
        <v/>
      </c>
      <c r="BH748" s="55" t="str">
        <f t="shared" si="140"/>
        <v/>
      </c>
      <c r="BI748" s="55" t="str">
        <f t="shared" si="141"/>
        <v/>
      </c>
      <c r="BJ748" s="55" t="str">
        <f t="shared" si="142"/>
        <v/>
      </c>
      <c r="BK748" s="55" t="str">
        <f t="shared" si="143"/>
        <v/>
      </c>
    </row>
    <row r="749" spans="22:63">
      <c r="V749" s="55">
        <f t="shared" ca="1" si="132"/>
        <v>1</v>
      </c>
      <c r="W749" s="64"/>
      <c r="X749" s="65"/>
      <c r="Y749" s="65"/>
      <c r="Z749" s="65"/>
      <c r="AA749" s="64"/>
      <c r="AB749" s="65"/>
      <c r="AC749" s="64"/>
      <c r="AD749" s="65"/>
      <c r="AE749" s="64"/>
      <c r="AF749" s="65"/>
      <c r="AG749" s="65"/>
      <c r="AH749" s="66" t="str">
        <f t="shared" si="133"/>
        <v/>
      </c>
      <c r="AI749" s="64"/>
      <c r="AJ749" s="65"/>
      <c r="AK749" s="64"/>
      <c r="AL749" s="65"/>
      <c r="BB749" s="55" t="str">
        <f t="shared" si="134"/>
        <v/>
      </c>
      <c r="BC749" s="55" t="str">
        <f t="shared" si="135"/>
        <v/>
      </c>
      <c r="BD749" s="55" t="str">
        <f t="shared" si="136"/>
        <v/>
      </c>
      <c r="BE749" s="55" t="str">
        <f t="shared" si="137"/>
        <v/>
      </c>
      <c r="BF749" s="55" t="str">
        <f t="shared" si="138"/>
        <v/>
      </c>
      <c r="BG749" s="55" t="str">
        <f t="shared" si="139"/>
        <v/>
      </c>
      <c r="BH749" s="55" t="str">
        <f t="shared" si="140"/>
        <v/>
      </c>
      <c r="BI749" s="55" t="str">
        <f t="shared" si="141"/>
        <v/>
      </c>
      <c r="BJ749" s="55" t="str">
        <f t="shared" si="142"/>
        <v/>
      </c>
      <c r="BK749" s="55" t="str">
        <f t="shared" si="143"/>
        <v/>
      </c>
    </row>
    <row r="750" spans="22:63">
      <c r="V750" s="55">
        <f t="shared" ca="1" si="132"/>
        <v>1</v>
      </c>
      <c r="W750" s="64"/>
      <c r="X750" s="65"/>
      <c r="Y750" s="65"/>
      <c r="Z750" s="65"/>
      <c r="AA750" s="64"/>
      <c r="AB750" s="65"/>
      <c r="AC750" s="64"/>
      <c r="AD750" s="65"/>
      <c r="AE750" s="64"/>
      <c r="AF750" s="65"/>
      <c r="AG750" s="65"/>
      <c r="AH750" s="66" t="str">
        <f t="shared" si="133"/>
        <v/>
      </c>
      <c r="AI750" s="64"/>
      <c r="AJ750" s="65"/>
      <c r="AK750" s="64"/>
      <c r="AL750" s="65"/>
      <c r="BB750" s="55" t="str">
        <f t="shared" si="134"/>
        <v/>
      </c>
      <c r="BC750" s="55" t="str">
        <f t="shared" si="135"/>
        <v/>
      </c>
      <c r="BD750" s="55" t="str">
        <f t="shared" si="136"/>
        <v/>
      </c>
      <c r="BE750" s="55" t="str">
        <f t="shared" si="137"/>
        <v/>
      </c>
      <c r="BF750" s="55" t="str">
        <f t="shared" si="138"/>
        <v/>
      </c>
      <c r="BG750" s="55" t="str">
        <f t="shared" si="139"/>
        <v/>
      </c>
      <c r="BH750" s="55" t="str">
        <f t="shared" si="140"/>
        <v/>
      </c>
      <c r="BI750" s="55" t="str">
        <f t="shared" si="141"/>
        <v/>
      </c>
      <c r="BJ750" s="55" t="str">
        <f t="shared" si="142"/>
        <v/>
      </c>
      <c r="BK750" s="55" t="str">
        <f t="shared" si="143"/>
        <v/>
      </c>
    </row>
    <row r="751" spans="22:63">
      <c r="V751" s="55">
        <f t="shared" ca="1" si="132"/>
        <v>1</v>
      </c>
      <c r="W751" s="64"/>
      <c r="X751" s="65"/>
      <c r="Y751" s="65"/>
      <c r="Z751" s="65"/>
      <c r="AA751" s="64"/>
      <c r="AB751" s="65"/>
      <c r="AC751" s="64"/>
      <c r="AD751" s="65"/>
      <c r="AE751" s="64"/>
      <c r="AF751" s="65"/>
      <c r="AG751" s="65"/>
      <c r="AH751" s="66" t="str">
        <f t="shared" si="133"/>
        <v/>
      </c>
      <c r="AI751" s="64"/>
      <c r="AJ751" s="65"/>
      <c r="AK751" s="64"/>
      <c r="AL751" s="65"/>
      <c r="BB751" s="55" t="str">
        <f t="shared" si="134"/>
        <v/>
      </c>
      <c r="BC751" s="55" t="str">
        <f t="shared" si="135"/>
        <v/>
      </c>
      <c r="BD751" s="55" t="str">
        <f t="shared" si="136"/>
        <v/>
      </c>
      <c r="BE751" s="55" t="str">
        <f t="shared" si="137"/>
        <v/>
      </c>
      <c r="BF751" s="55" t="str">
        <f t="shared" si="138"/>
        <v/>
      </c>
      <c r="BG751" s="55" t="str">
        <f t="shared" si="139"/>
        <v/>
      </c>
      <c r="BH751" s="55" t="str">
        <f t="shared" si="140"/>
        <v/>
      </c>
      <c r="BI751" s="55" t="str">
        <f t="shared" si="141"/>
        <v/>
      </c>
      <c r="BJ751" s="55" t="str">
        <f t="shared" si="142"/>
        <v/>
      </c>
      <c r="BK751" s="55" t="str">
        <f t="shared" si="143"/>
        <v/>
      </c>
    </row>
    <row r="752" spans="22:63">
      <c r="V752" s="55">
        <f t="shared" ca="1" si="132"/>
        <v>1</v>
      </c>
      <c r="W752" s="64"/>
      <c r="X752" s="65"/>
      <c r="Y752" s="65"/>
      <c r="Z752" s="65"/>
      <c r="AA752" s="64"/>
      <c r="AB752" s="65"/>
      <c r="AC752" s="64"/>
      <c r="AD752" s="65"/>
      <c r="AE752" s="64"/>
      <c r="AF752" s="65"/>
      <c r="AG752" s="65"/>
      <c r="AH752" s="66" t="str">
        <f t="shared" si="133"/>
        <v/>
      </c>
      <c r="AI752" s="64"/>
      <c r="AJ752" s="65"/>
      <c r="AK752" s="64"/>
      <c r="AL752" s="65"/>
      <c r="BB752" s="55" t="str">
        <f t="shared" si="134"/>
        <v/>
      </c>
      <c r="BC752" s="55" t="str">
        <f t="shared" si="135"/>
        <v/>
      </c>
      <c r="BD752" s="55" t="str">
        <f t="shared" si="136"/>
        <v/>
      </c>
      <c r="BE752" s="55" t="str">
        <f t="shared" si="137"/>
        <v/>
      </c>
      <c r="BF752" s="55" t="str">
        <f t="shared" si="138"/>
        <v/>
      </c>
      <c r="BG752" s="55" t="str">
        <f t="shared" si="139"/>
        <v/>
      </c>
      <c r="BH752" s="55" t="str">
        <f t="shared" si="140"/>
        <v/>
      </c>
      <c r="BI752" s="55" t="str">
        <f t="shared" si="141"/>
        <v/>
      </c>
      <c r="BJ752" s="55" t="str">
        <f t="shared" si="142"/>
        <v/>
      </c>
      <c r="BK752" s="55" t="str">
        <f t="shared" si="143"/>
        <v/>
      </c>
    </row>
    <row r="753" spans="22:63">
      <c r="V753" s="55">
        <f t="shared" ca="1" si="132"/>
        <v>1</v>
      </c>
      <c r="W753" s="64"/>
      <c r="X753" s="65"/>
      <c r="Y753" s="65"/>
      <c r="Z753" s="65"/>
      <c r="AA753" s="64"/>
      <c r="AB753" s="65"/>
      <c r="AC753" s="64"/>
      <c r="AD753" s="65"/>
      <c r="AE753" s="64"/>
      <c r="AF753" s="65"/>
      <c r="AG753" s="65"/>
      <c r="AH753" s="66" t="str">
        <f t="shared" si="133"/>
        <v/>
      </c>
      <c r="AI753" s="64"/>
      <c r="AJ753" s="65"/>
      <c r="AK753" s="64"/>
      <c r="AL753" s="65"/>
      <c r="BB753" s="55" t="str">
        <f t="shared" si="134"/>
        <v/>
      </c>
      <c r="BC753" s="55" t="str">
        <f t="shared" si="135"/>
        <v/>
      </c>
      <c r="BD753" s="55" t="str">
        <f t="shared" si="136"/>
        <v/>
      </c>
      <c r="BE753" s="55" t="str">
        <f t="shared" si="137"/>
        <v/>
      </c>
      <c r="BF753" s="55" t="str">
        <f t="shared" si="138"/>
        <v/>
      </c>
      <c r="BG753" s="55" t="str">
        <f t="shared" si="139"/>
        <v/>
      </c>
      <c r="BH753" s="55" t="str">
        <f t="shared" si="140"/>
        <v/>
      </c>
      <c r="BI753" s="55" t="str">
        <f t="shared" si="141"/>
        <v/>
      </c>
      <c r="BJ753" s="55" t="str">
        <f t="shared" si="142"/>
        <v/>
      </c>
      <c r="BK753" s="55" t="str">
        <f t="shared" si="143"/>
        <v/>
      </c>
    </row>
    <row r="754" spans="22:63">
      <c r="V754" s="55">
        <f t="shared" ca="1" si="132"/>
        <v>1</v>
      </c>
      <c r="W754" s="64"/>
      <c r="X754" s="65"/>
      <c r="Y754" s="65"/>
      <c r="Z754" s="65"/>
      <c r="AA754" s="64"/>
      <c r="AB754" s="65"/>
      <c r="AC754" s="64"/>
      <c r="AD754" s="65"/>
      <c r="AE754" s="64"/>
      <c r="AF754" s="65"/>
      <c r="AG754" s="65"/>
      <c r="AH754" s="66" t="str">
        <f t="shared" si="133"/>
        <v/>
      </c>
      <c r="AI754" s="64"/>
      <c r="AJ754" s="65"/>
      <c r="AK754" s="64"/>
      <c r="AL754" s="65"/>
      <c r="BB754" s="55" t="str">
        <f t="shared" si="134"/>
        <v/>
      </c>
      <c r="BC754" s="55" t="str">
        <f t="shared" si="135"/>
        <v/>
      </c>
      <c r="BD754" s="55" t="str">
        <f t="shared" si="136"/>
        <v/>
      </c>
      <c r="BE754" s="55" t="str">
        <f t="shared" si="137"/>
        <v/>
      </c>
      <c r="BF754" s="55" t="str">
        <f t="shared" si="138"/>
        <v/>
      </c>
      <c r="BG754" s="55" t="str">
        <f t="shared" si="139"/>
        <v/>
      </c>
      <c r="BH754" s="55" t="str">
        <f t="shared" si="140"/>
        <v/>
      </c>
      <c r="BI754" s="55" t="str">
        <f t="shared" si="141"/>
        <v/>
      </c>
      <c r="BJ754" s="55" t="str">
        <f t="shared" si="142"/>
        <v/>
      </c>
      <c r="BK754" s="55" t="str">
        <f t="shared" si="143"/>
        <v/>
      </c>
    </row>
    <row r="755" spans="22:63">
      <c r="V755" s="55">
        <f t="shared" ca="1" si="132"/>
        <v>1</v>
      </c>
      <c r="W755" s="64"/>
      <c r="X755" s="65"/>
      <c r="Y755" s="65"/>
      <c r="Z755" s="65"/>
      <c r="AA755" s="64"/>
      <c r="AB755" s="65"/>
      <c r="AC755" s="64"/>
      <c r="AD755" s="65"/>
      <c r="AE755" s="64"/>
      <c r="AF755" s="65"/>
      <c r="AG755" s="65"/>
      <c r="AH755" s="66" t="str">
        <f t="shared" si="133"/>
        <v/>
      </c>
      <c r="AI755" s="64"/>
      <c r="AJ755" s="65"/>
      <c r="AK755" s="64"/>
      <c r="AL755" s="65"/>
      <c r="BB755" s="55" t="str">
        <f t="shared" si="134"/>
        <v/>
      </c>
      <c r="BC755" s="55" t="str">
        <f t="shared" si="135"/>
        <v/>
      </c>
      <c r="BD755" s="55" t="str">
        <f t="shared" si="136"/>
        <v/>
      </c>
      <c r="BE755" s="55" t="str">
        <f t="shared" si="137"/>
        <v/>
      </c>
      <c r="BF755" s="55" t="str">
        <f t="shared" si="138"/>
        <v/>
      </c>
      <c r="BG755" s="55" t="str">
        <f t="shared" si="139"/>
        <v/>
      </c>
      <c r="BH755" s="55" t="str">
        <f t="shared" si="140"/>
        <v/>
      </c>
      <c r="BI755" s="55" t="str">
        <f t="shared" si="141"/>
        <v/>
      </c>
      <c r="BJ755" s="55" t="str">
        <f t="shared" si="142"/>
        <v/>
      </c>
      <c r="BK755" s="55" t="str">
        <f t="shared" si="143"/>
        <v/>
      </c>
    </row>
    <row r="756" spans="22:63">
      <c r="V756" s="55">
        <f t="shared" ca="1" si="132"/>
        <v>1</v>
      </c>
      <c r="W756" s="64"/>
      <c r="X756" s="65"/>
      <c r="Y756" s="65"/>
      <c r="Z756" s="65"/>
      <c r="AA756" s="64"/>
      <c r="AB756" s="65"/>
      <c r="AC756" s="64"/>
      <c r="AD756" s="65"/>
      <c r="AE756" s="64"/>
      <c r="AF756" s="65"/>
      <c r="AG756" s="65"/>
      <c r="AH756" s="66" t="str">
        <f t="shared" si="133"/>
        <v/>
      </c>
      <c r="AI756" s="64"/>
      <c r="AJ756" s="65"/>
      <c r="AK756" s="64"/>
      <c r="AL756" s="65"/>
      <c r="BB756" s="55" t="str">
        <f t="shared" si="134"/>
        <v/>
      </c>
      <c r="BC756" s="55" t="str">
        <f t="shared" si="135"/>
        <v/>
      </c>
      <c r="BD756" s="55" t="str">
        <f t="shared" si="136"/>
        <v/>
      </c>
      <c r="BE756" s="55" t="str">
        <f t="shared" si="137"/>
        <v/>
      </c>
      <c r="BF756" s="55" t="str">
        <f t="shared" si="138"/>
        <v/>
      </c>
      <c r="BG756" s="55" t="str">
        <f t="shared" si="139"/>
        <v/>
      </c>
      <c r="BH756" s="55" t="str">
        <f t="shared" si="140"/>
        <v/>
      </c>
      <c r="BI756" s="55" t="str">
        <f t="shared" si="141"/>
        <v/>
      </c>
      <c r="BJ756" s="55" t="str">
        <f t="shared" si="142"/>
        <v/>
      </c>
      <c r="BK756" s="55" t="str">
        <f t="shared" si="143"/>
        <v/>
      </c>
    </row>
    <row r="757" spans="22:63">
      <c r="V757" s="55">
        <f t="shared" ca="1" si="132"/>
        <v>1</v>
      </c>
      <c r="W757" s="64"/>
      <c r="X757" s="65"/>
      <c r="Y757" s="65"/>
      <c r="Z757" s="65"/>
      <c r="AA757" s="64"/>
      <c r="AB757" s="65"/>
      <c r="AC757" s="64"/>
      <c r="AD757" s="65"/>
      <c r="AE757" s="64"/>
      <c r="AF757" s="65"/>
      <c r="AG757" s="65"/>
      <c r="AH757" s="66" t="str">
        <f t="shared" si="133"/>
        <v/>
      </c>
      <c r="AI757" s="64"/>
      <c r="AJ757" s="65"/>
      <c r="AK757" s="64"/>
      <c r="AL757" s="65"/>
      <c r="BB757" s="55" t="str">
        <f t="shared" si="134"/>
        <v/>
      </c>
      <c r="BC757" s="55" t="str">
        <f t="shared" si="135"/>
        <v/>
      </c>
      <c r="BD757" s="55" t="str">
        <f t="shared" si="136"/>
        <v/>
      </c>
      <c r="BE757" s="55" t="str">
        <f t="shared" si="137"/>
        <v/>
      </c>
      <c r="BF757" s="55" t="str">
        <f t="shared" si="138"/>
        <v/>
      </c>
      <c r="BG757" s="55" t="str">
        <f t="shared" si="139"/>
        <v/>
      </c>
      <c r="BH757" s="55" t="str">
        <f t="shared" si="140"/>
        <v/>
      </c>
      <c r="BI757" s="55" t="str">
        <f t="shared" si="141"/>
        <v/>
      </c>
      <c r="BJ757" s="55" t="str">
        <f t="shared" si="142"/>
        <v/>
      </c>
      <c r="BK757" s="55" t="str">
        <f t="shared" si="143"/>
        <v/>
      </c>
    </row>
    <row r="758" spans="22:63">
      <c r="V758" s="55">
        <f t="shared" ca="1" si="132"/>
        <v>1</v>
      </c>
      <c r="W758" s="64"/>
      <c r="X758" s="65"/>
      <c r="Y758" s="65"/>
      <c r="Z758" s="65"/>
      <c r="AA758" s="64"/>
      <c r="AB758" s="65"/>
      <c r="AC758" s="64"/>
      <c r="AD758" s="65"/>
      <c r="AE758" s="64"/>
      <c r="AF758" s="65"/>
      <c r="AG758" s="65"/>
      <c r="AH758" s="66" t="str">
        <f t="shared" si="133"/>
        <v/>
      </c>
      <c r="AI758" s="64"/>
      <c r="AJ758" s="65"/>
      <c r="AK758" s="64"/>
      <c r="AL758" s="65"/>
      <c r="BB758" s="55" t="str">
        <f t="shared" si="134"/>
        <v/>
      </c>
      <c r="BC758" s="55" t="str">
        <f t="shared" si="135"/>
        <v/>
      </c>
      <c r="BD758" s="55" t="str">
        <f t="shared" si="136"/>
        <v/>
      </c>
      <c r="BE758" s="55" t="str">
        <f t="shared" si="137"/>
        <v/>
      </c>
      <c r="BF758" s="55" t="str">
        <f t="shared" si="138"/>
        <v/>
      </c>
      <c r="BG758" s="55" t="str">
        <f t="shared" si="139"/>
        <v/>
      </c>
      <c r="BH758" s="55" t="str">
        <f t="shared" si="140"/>
        <v/>
      </c>
      <c r="BI758" s="55" t="str">
        <f t="shared" si="141"/>
        <v/>
      </c>
      <c r="BJ758" s="55" t="str">
        <f t="shared" si="142"/>
        <v/>
      </c>
      <c r="BK758" s="55" t="str">
        <f t="shared" si="143"/>
        <v/>
      </c>
    </row>
    <row r="759" spans="22:63">
      <c r="V759" s="55">
        <f t="shared" ca="1" si="132"/>
        <v>1</v>
      </c>
      <c r="W759" s="64"/>
      <c r="X759" s="65"/>
      <c r="Y759" s="65"/>
      <c r="Z759" s="65"/>
      <c r="AA759" s="64"/>
      <c r="AB759" s="65"/>
      <c r="AC759" s="64"/>
      <c r="AD759" s="65"/>
      <c r="AE759" s="64"/>
      <c r="AF759" s="65"/>
      <c r="AG759" s="65"/>
      <c r="AH759" s="66" t="str">
        <f t="shared" si="133"/>
        <v/>
      </c>
      <c r="AI759" s="64"/>
      <c r="AJ759" s="65"/>
      <c r="AK759" s="64"/>
      <c r="AL759" s="65"/>
      <c r="BB759" s="55" t="str">
        <f t="shared" si="134"/>
        <v/>
      </c>
      <c r="BC759" s="55" t="str">
        <f t="shared" si="135"/>
        <v/>
      </c>
      <c r="BD759" s="55" t="str">
        <f t="shared" si="136"/>
        <v/>
      </c>
      <c r="BE759" s="55" t="str">
        <f t="shared" si="137"/>
        <v/>
      </c>
      <c r="BF759" s="55" t="str">
        <f t="shared" si="138"/>
        <v/>
      </c>
      <c r="BG759" s="55" t="str">
        <f t="shared" si="139"/>
        <v/>
      </c>
      <c r="BH759" s="55" t="str">
        <f t="shared" si="140"/>
        <v/>
      </c>
      <c r="BI759" s="55" t="str">
        <f t="shared" si="141"/>
        <v/>
      </c>
      <c r="BJ759" s="55" t="str">
        <f t="shared" si="142"/>
        <v/>
      </c>
      <c r="BK759" s="55" t="str">
        <f t="shared" si="143"/>
        <v/>
      </c>
    </row>
    <row r="760" spans="22:63">
      <c r="V760" s="55">
        <f t="shared" ca="1" si="132"/>
        <v>1</v>
      </c>
      <c r="W760" s="64"/>
      <c r="X760" s="65"/>
      <c r="Y760" s="65"/>
      <c r="Z760" s="65"/>
      <c r="AA760" s="64"/>
      <c r="AB760" s="65"/>
      <c r="AC760" s="64"/>
      <c r="AD760" s="65"/>
      <c r="AE760" s="64"/>
      <c r="AF760" s="65"/>
      <c r="AG760" s="65"/>
      <c r="AH760" s="66" t="str">
        <f t="shared" si="133"/>
        <v/>
      </c>
      <c r="AI760" s="64"/>
      <c r="AJ760" s="65"/>
      <c r="AK760" s="64"/>
      <c r="AL760" s="65"/>
      <c r="BB760" s="55" t="str">
        <f t="shared" si="134"/>
        <v/>
      </c>
      <c r="BC760" s="55" t="str">
        <f t="shared" si="135"/>
        <v/>
      </c>
      <c r="BD760" s="55" t="str">
        <f t="shared" si="136"/>
        <v/>
      </c>
      <c r="BE760" s="55" t="str">
        <f t="shared" si="137"/>
        <v/>
      </c>
      <c r="BF760" s="55" t="str">
        <f t="shared" si="138"/>
        <v/>
      </c>
      <c r="BG760" s="55" t="str">
        <f t="shared" si="139"/>
        <v/>
      </c>
      <c r="BH760" s="55" t="str">
        <f t="shared" si="140"/>
        <v/>
      </c>
      <c r="BI760" s="55" t="str">
        <f t="shared" si="141"/>
        <v/>
      </c>
      <c r="BJ760" s="55" t="str">
        <f t="shared" si="142"/>
        <v/>
      </c>
      <c r="BK760" s="55" t="str">
        <f t="shared" si="143"/>
        <v/>
      </c>
    </row>
    <row r="761" spans="22:63">
      <c r="V761" s="55">
        <f t="shared" ca="1" si="132"/>
        <v>1</v>
      </c>
      <c r="W761" s="64"/>
      <c r="X761" s="65"/>
      <c r="Y761" s="65"/>
      <c r="Z761" s="65"/>
      <c r="AA761" s="64"/>
      <c r="AB761" s="65"/>
      <c r="AC761" s="64"/>
      <c r="AD761" s="65"/>
      <c r="AE761" s="64"/>
      <c r="AF761" s="65"/>
      <c r="AG761" s="65"/>
      <c r="AH761" s="66" t="str">
        <f t="shared" si="133"/>
        <v/>
      </c>
      <c r="AI761" s="64"/>
      <c r="AJ761" s="65"/>
      <c r="AK761" s="64"/>
      <c r="AL761" s="65"/>
      <c r="BB761" s="55" t="str">
        <f t="shared" si="134"/>
        <v/>
      </c>
      <c r="BC761" s="55" t="str">
        <f t="shared" si="135"/>
        <v/>
      </c>
      <c r="BD761" s="55" t="str">
        <f t="shared" si="136"/>
        <v/>
      </c>
      <c r="BE761" s="55" t="str">
        <f t="shared" si="137"/>
        <v/>
      </c>
      <c r="BF761" s="55" t="str">
        <f t="shared" si="138"/>
        <v/>
      </c>
      <c r="BG761" s="55" t="str">
        <f t="shared" si="139"/>
        <v/>
      </c>
      <c r="BH761" s="55" t="str">
        <f t="shared" si="140"/>
        <v/>
      </c>
      <c r="BI761" s="55" t="str">
        <f t="shared" si="141"/>
        <v/>
      </c>
      <c r="BJ761" s="55" t="str">
        <f t="shared" si="142"/>
        <v/>
      </c>
      <c r="BK761" s="55" t="str">
        <f t="shared" si="143"/>
        <v/>
      </c>
    </row>
    <row r="762" spans="22:63">
      <c r="V762" s="55">
        <f t="shared" ca="1" si="132"/>
        <v>1</v>
      </c>
      <c r="W762" s="64"/>
      <c r="X762" s="65"/>
      <c r="Y762" s="65"/>
      <c r="Z762" s="65"/>
      <c r="AA762" s="64"/>
      <c r="AB762" s="65"/>
      <c r="AC762" s="64"/>
      <c r="AD762" s="65"/>
      <c r="AE762" s="64"/>
      <c r="AF762" s="65"/>
      <c r="AG762" s="65"/>
      <c r="AH762" s="66" t="str">
        <f t="shared" si="133"/>
        <v/>
      </c>
      <c r="AI762" s="64"/>
      <c r="AJ762" s="65"/>
      <c r="AK762" s="64"/>
      <c r="AL762" s="65"/>
      <c r="BB762" s="55" t="str">
        <f t="shared" si="134"/>
        <v/>
      </c>
      <c r="BC762" s="55" t="str">
        <f t="shared" si="135"/>
        <v/>
      </c>
      <c r="BD762" s="55" t="str">
        <f t="shared" si="136"/>
        <v/>
      </c>
      <c r="BE762" s="55" t="str">
        <f t="shared" si="137"/>
        <v/>
      </c>
      <c r="BF762" s="55" t="str">
        <f t="shared" si="138"/>
        <v/>
      </c>
      <c r="BG762" s="55" t="str">
        <f t="shared" si="139"/>
        <v/>
      </c>
      <c r="BH762" s="55" t="str">
        <f t="shared" si="140"/>
        <v/>
      </c>
      <c r="BI762" s="55" t="str">
        <f t="shared" si="141"/>
        <v/>
      </c>
      <c r="BJ762" s="55" t="str">
        <f t="shared" si="142"/>
        <v/>
      </c>
      <c r="BK762" s="55" t="str">
        <f t="shared" si="143"/>
        <v/>
      </c>
    </row>
    <row r="763" spans="22:63">
      <c r="V763" s="55">
        <f t="shared" ca="1" si="132"/>
        <v>1</v>
      </c>
      <c r="W763" s="64"/>
      <c r="X763" s="65"/>
      <c r="Y763" s="65"/>
      <c r="Z763" s="65"/>
      <c r="AA763" s="64"/>
      <c r="AB763" s="65"/>
      <c r="AC763" s="64"/>
      <c r="AD763" s="65"/>
      <c r="AE763" s="64"/>
      <c r="AF763" s="65"/>
      <c r="AG763" s="65"/>
      <c r="AH763" s="66" t="str">
        <f t="shared" si="133"/>
        <v/>
      </c>
      <c r="AI763" s="64"/>
      <c r="AJ763" s="65"/>
      <c r="AK763" s="64"/>
      <c r="AL763" s="65"/>
      <c r="BB763" s="55" t="str">
        <f t="shared" si="134"/>
        <v/>
      </c>
      <c r="BC763" s="55" t="str">
        <f t="shared" si="135"/>
        <v/>
      </c>
      <c r="BD763" s="55" t="str">
        <f t="shared" si="136"/>
        <v/>
      </c>
      <c r="BE763" s="55" t="str">
        <f t="shared" si="137"/>
        <v/>
      </c>
      <c r="BF763" s="55" t="str">
        <f t="shared" si="138"/>
        <v/>
      </c>
      <c r="BG763" s="55" t="str">
        <f t="shared" si="139"/>
        <v/>
      </c>
      <c r="BH763" s="55" t="str">
        <f t="shared" si="140"/>
        <v/>
      </c>
      <c r="BI763" s="55" t="str">
        <f t="shared" si="141"/>
        <v/>
      </c>
      <c r="BJ763" s="55" t="str">
        <f t="shared" si="142"/>
        <v/>
      </c>
      <c r="BK763" s="55" t="str">
        <f t="shared" si="143"/>
        <v/>
      </c>
    </row>
    <row r="764" spans="22:63">
      <c r="V764" s="55">
        <f t="shared" ca="1" si="132"/>
        <v>1</v>
      </c>
      <c r="W764" s="64"/>
      <c r="X764" s="65"/>
      <c r="Y764" s="65"/>
      <c r="Z764" s="65"/>
      <c r="AA764" s="64"/>
      <c r="AB764" s="65"/>
      <c r="AC764" s="64"/>
      <c r="AD764" s="65"/>
      <c r="AE764" s="64"/>
      <c r="AF764" s="65"/>
      <c r="AG764" s="65"/>
      <c r="AH764" s="66" t="str">
        <f t="shared" si="133"/>
        <v/>
      </c>
      <c r="AI764" s="64"/>
      <c r="AJ764" s="65"/>
      <c r="AK764" s="64"/>
      <c r="AL764" s="65"/>
      <c r="BB764" s="55" t="str">
        <f t="shared" si="134"/>
        <v/>
      </c>
      <c r="BC764" s="55" t="str">
        <f t="shared" si="135"/>
        <v/>
      </c>
      <c r="BD764" s="55" t="str">
        <f t="shared" si="136"/>
        <v/>
      </c>
      <c r="BE764" s="55" t="str">
        <f t="shared" si="137"/>
        <v/>
      </c>
      <c r="BF764" s="55" t="str">
        <f t="shared" si="138"/>
        <v/>
      </c>
      <c r="BG764" s="55" t="str">
        <f t="shared" si="139"/>
        <v/>
      </c>
      <c r="BH764" s="55" t="str">
        <f t="shared" si="140"/>
        <v/>
      </c>
      <c r="BI764" s="55" t="str">
        <f t="shared" si="141"/>
        <v/>
      </c>
      <c r="BJ764" s="55" t="str">
        <f t="shared" si="142"/>
        <v/>
      </c>
      <c r="BK764" s="55" t="str">
        <f t="shared" si="143"/>
        <v/>
      </c>
    </row>
    <row r="765" spans="22:63">
      <c r="V765" s="55">
        <f t="shared" ca="1" si="132"/>
        <v>1</v>
      </c>
      <c r="W765" s="64"/>
      <c r="X765" s="65"/>
      <c r="Y765" s="65"/>
      <c r="Z765" s="65"/>
      <c r="AA765" s="64"/>
      <c r="AB765" s="65"/>
      <c r="AC765" s="64"/>
      <c r="AD765" s="65"/>
      <c r="AE765" s="64"/>
      <c r="AF765" s="65"/>
      <c r="AG765" s="65"/>
      <c r="AH765" s="66" t="str">
        <f t="shared" si="133"/>
        <v/>
      </c>
      <c r="AI765" s="64"/>
      <c r="AJ765" s="65"/>
      <c r="AK765" s="64"/>
      <c r="AL765" s="65"/>
      <c r="BB765" s="55" t="str">
        <f t="shared" si="134"/>
        <v/>
      </c>
      <c r="BC765" s="55" t="str">
        <f t="shared" si="135"/>
        <v/>
      </c>
      <c r="BD765" s="55" t="str">
        <f t="shared" si="136"/>
        <v/>
      </c>
      <c r="BE765" s="55" t="str">
        <f t="shared" si="137"/>
        <v/>
      </c>
      <c r="BF765" s="55" t="str">
        <f t="shared" si="138"/>
        <v/>
      </c>
      <c r="BG765" s="55" t="str">
        <f t="shared" si="139"/>
        <v/>
      </c>
      <c r="BH765" s="55" t="str">
        <f t="shared" si="140"/>
        <v/>
      </c>
      <c r="BI765" s="55" t="str">
        <f t="shared" si="141"/>
        <v/>
      </c>
      <c r="BJ765" s="55" t="str">
        <f t="shared" si="142"/>
        <v/>
      </c>
      <c r="BK765" s="55" t="str">
        <f t="shared" si="143"/>
        <v/>
      </c>
    </row>
    <row r="766" spans="22:63">
      <c r="V766" s="55">
        <f t="shared" ca="1" si="132"/>
        <v>1</v>
      </c>
      <c r="W766" s="64"/>
      <c r="X766" s="65"/>
      <c r="Y766" s="65"/>
      <c r="Z766" s="65"/>
      <c r="AA766" s="64"/>
      <c r="AB766" s="65"/>
      <c r="AC766" s="64"/>
      <c r="AD766" s="65"/>
      <c r="AE766" s="64"/>
      <c r="AF766" s="65"/>
      <c r="AG766" s="65"/>
      <c r="AH766" s="66" t="str">
        <f t="shared" si="133"/>
        <v/>
      </c>
      <c r="AI766" s="64"/>
      <c r="AJ766" s="65"/>
      <c r="AK766" s="64"/>
      <c r="AL766" s="65"/>
      <c r="BB766" s="55" t="str">
        <f t="shared" si="134"/>
        <v/>
      </c>
      <c r="BC766" s="55" t="str">
        <f t="shared" si="135"/>
        <v/>
      </c>
      <c r="BD766" s="55" t="str">
        <f t="shared" si="136"/>
        <v/>
      </c>
      <c r="BE766" s="55" t="str">
        <f t="shared" si="137"/>
        <v/>
      </c>
      <c r="BF766" s="55" t="str">
        <f t="shared" si="138"/>
        <v/>
      </c>
      <c r="BG766" s="55" t="str">
        <f t="shared" si="139"/>
        <v/>
      </c>
      <c r="BH766" s="55" t="str">
        <f t="shared" si="140"/>
        <v/>
      </c>
      <c r="BI766" s="55" t="str">
        <f t="shared" si="141"/>
        <v/>
      </c>
      <c r="BJ766" s="55" t="str">
        <f t="shared" si="142"/>
        <v/>
      </c>
      <c r="BK766" s="55" t="str">
        <f t="shared" si="143"/>
        <v/>
      </c>
    </row>
    <row r="767" spans="22:63">
      <c r="V767" s="55">
        <f t="shared" ca="1" si="132"/>
        <v>1</v>
      </c>
      <c r="W767" s="64"/>
      <c r="X767" s="65"/>
      <c r="Y767" s="65"/>
      <c r="Z767" s="65"/>
      <c r="AA767" s="64"/>
      <c r="AB767" s="65"/>
      <c r="AC767" s="64"/>
      <c r="AD767" s="65"/>
      <c r="AE767" s="64"/>
      <c r="AF767" s="65"/>
      <c r="AG767" s="65"/>
      <c r="AH767" s="66" t="str">
        <f t="shared" si="133"/>
        <v/>
      </c>
      <c r="AI767" s="64"/>
      <c r="AJ767" s="65"/>
      <c r="AK767" s="64"/>
      <c r="AL767" s="65"/>
      <c r="BB767" s="55" t="str">
        <f t="shared" si="134"/>
        <v/>
      </c>
      <c r="BC767" s="55" t="str">
        <f t="shared" si="135"/>
        <v/>
      </c>
      <c r="BD767" s="55" t="str">
        <f t="shared" si="136"/>
        <v/>
      </c>
      <c r="BE767" s="55" t="str">
        <f t="shared" si="137"/>
        <v/>
      </c>
      <c r="BF767" s="55" t="str">
        <f t="shared" si="138"/>
        <v/>
      </c>
      <c r="BG767" s="55" t="str">
        <f t="shared" si="139"/>
        <v/>
      </c>
      <c r="BH767" s="55" t="str">
        <f t="shared" si="140"/>
        <v/>
      </c>
      <c r="BI767" s="55" t="str">
        <f t="shared" si="141"/>
        <v/>
      </c>
      <c r="BJ767" s="55" t="str">
        <f t="shared" si="142"/>
        <v/>
      </c>
      <c r="BK767" s="55" t="str">
        <f t="shared" si="143"/>
        <v/>
      </c>
    </row>
    <row r="768" spans="22:63">
      <c r="V768" s="55">
        <f t="shared" ca="1" si="132"/>
        <v>1</v>
      </c>
      <c r="W768" s="64"/>
      <c r="X768" s="65"/>
      <c r="Y768" s="65"/>
      <c r="Z768" s="65"/>
      <c r="AA768" s="64"/>
      <c r="AB768" s="65"/>
      <c r="AC768" s="64"/>
      <c r="AD768" s="65"/>
      <c r="AE768" s="64"/>
      <c r="AF768" s="65"/>
      <c r="AG768" s="65"/>
      <c r="AH768" s="66" t="str">
        <f t="shared" si="133"/>
        <v/>
      </c>
      <c r="AI768" s="64"/>
      <c r="AJ768" s="65"/>
      <c r="AK768" s="64"/>
      <c r="AL768" s="65"/>
      <c r="BB768" s="55" t="str">
        <f t="shared" si="134"/>
        <v/>
      </c>
      <c r="BC768" s="55" t="str">
        <f t="shared" si="135"/>
        <v/>
      </c>
      <c r="BD768" s="55" t="str">
        <f t="shared" si="136"/>
        <v/>
      </c>
      <c r="BE768" s="55" t="str">
        <f t="shared" si="137"/>
        <v/>
      </c>
      <c r="BF768" s="55" t="str">
        <f t="shared" si="138"/>
        <v/>
      </c>
      <c r="BG768" s="55" t="str">
        <f t="shared" si="139"/>
        <v/>
      </c>
      <c r="BH768" s="55" t="str">
        <f t="shared" si="140"/>
        <v/>
      </c>
      <c r="BI768" s="55" t="str">
        <f t="shared" si="141"/>
        <v/>
      </c>
      <c r="BJ768" s="55" t="str">
        <f t="shared" si="142"/>
        <v/>
      </c>
      <c r="BK768" s="55" t="str">
        <f t="shared" si="143"/>
        <v/>
      </c>
    </row>
    <row r="769" spans="22:63">
      <c r="V769" s="55">
        <f t="shared" ca="1" si="132"/>
        <v>1</v>
      </c>
      <c r="W769" s="64"/>
      <c r="X769" s="65"/>
      <c r="Y769" s="65"/>
      <c r="Z769" s="65"/>
      <c r="AA769" s="64"/>
      <c r="AB769" s="65"/>
      <c r="AC769" s="64"/>
      <c r="AD769" s="65"/>
      <c r="AE769" s="64"/>
      <c r="AF769" s="65"/>
      <c r="AG769" s="65"/>
      <c r="AH769" s="66" t="str">
        <f t="shared" si="133"/>
        <v/>
      </c>
      <c r="AI769" s="64"/>
      <c r="AJ769" s="65"/>
      <c r="AK769" s="64"/>
      <c r="AL769" s="65"/>
      <c r="BB769" s="55" t="str">
        <f t="shared" si="134"/>
        <v/>
      </c>
      <c r="BC769" s="55" t="str">
        <f t="shared" si="135"/>
        <v/>
      </c>
      <c r="BD769" s="55" t="str">
        <f t="shared" si="136"/>
        <v/>
      </c>
      <c r="BE769" s="55" t="str">
        <f t="shared" si="137"/>
        <v/>
      </c>
      <c r="BF769" s="55" t="str">
        <f t="shared" si="138"/>
        <v/>
      </c>
      <c r="BG769" s="55" t="str">
        <f t="shared" si="139"/>
        <v/>
      </c>
      <c r="BH769" s="55" t="str">
        <f t="shared" si="140"/>
        <v/>
      </c>
      <c r="BI769" s="55" t="str">
        <f t="shared" si="141"/>
        <v/>
      </c>
      <c r="BJ769" s="55" t="str">
        <f t="shared" si="142"/>
        <v/>
      </c>
      <c r="BK769" s="55" t="str">
        <f t="shared" si="143"/>
        <v/>
      </c>
    </row>
    <row r="770" spans="22:63">
      <c r="V770" s="55">
        <f t="shared" ca="1" si="132"/>
        <v>1</v>
      </c>
      <c r="W770" s="64"/>
      <c r="X770" s="65"/>
      <c r="Y770" s="65"/>
      <c r="Z770" s="65"/>
      <c r="AA770" s="64"/>
      <c r="AB770" s="65"/>
      <c r="AC770" s="64"/>
      <c r="AD770" s="65"/>
      <c r="AE770" s="64"/>
      <c r="AF770" s="65"/>
      <c r="AG770" s="65"/>
      <c r="AH770" s="66" t="str">
        <f t="shared" si="133"/>
        <v/>
      </c>
      <c r="AI770" s="64"/>
      <c r="AJ770" s="65"/>
      <c r="AK770" s="64"/>
      <c r="AL770" s="65"/>
      <c r="BB770" s="55" t="str">
        <f t="shared" si="134"/>
        <v/>
      </c>
      <c r="BC770" s="55" t="str">
        <f t="shared" si="135"/>
        <v/>
      </c>
      <c r="BD770" s="55" t="str">
        <f t="shared" si="136"/>
        <v/>
      </c>
      <c r="BE770" s="55" t="str">
        <f t="shared" si="137"/>
        <v/>
      </c>
      <c r="BF770" s="55" t="str">
        <f t="shared" si="138"/>
        <v/>
      </c>
      <c r="BG770" s="55" t="str">
        <f t="shared" si="139"/>
        <v/>
      </c>
      <c r="BH770" s="55" t="str">
        <f t="shared" si="140"/>
        <v/>
      </c>
      <c r="BI770" s="55" t="str">
        <f t="shared" si="141"/>
        <v/>
      </c>
      <c r="BJ770" s="55" t="str">
        <f t="shared" si="142"/>
        <v/>
      </c>
      <c r="BK770" s="55" t="str">
        <f t="shared" si="143"/>
        <v/>
      </c>
    </row>
    <row r="771" spans="22:63">
      <c r="V771" s="55">
        <f t="shared" ca="1" si="132"/>
        <v>1</v>
      </c>
      <c r="W771" s="64"/>
      <c r="X771" s="65"/>
      <c r="Y771" s="65"/>
      <c r="Z771" s="65"/>
      <c r="AA771" s="64"/>
      <c r="AB771" s="65"/>
      <c r="AC771" s="64"/>
      <c r="AD771" s="65"/>
      <c r="AE771" s="64"/>
      <c r="AF771" s="65"/>
      <c r="AG771" s="65"/>
      <c r="AH771" s="66" t="str">
        <f t="shared" si="133"/>
        <v/>
      </c>
      <c r="AI771" s="64"/>
      <c r="AJ771" s="65"/>
      <c r="AK771" s="64"/>
      <c r="AL771" s="65"/>
      <c r="BB771" s="55" t="str">
        <f t="shared" si="134"/>
        <v/>
      </c>
      <c r="BC771" s="55" t="str">
        <f t="shared" si="135"/>
        <v/>
      </c>
      <c r="BD771" s="55" t="str">
        <f t="shared" si="136"/>
        <v/>
      </c>
      <c r="BE771" s="55" t="str">
        <f t="shared" si="137"/>
        <v/>
      </c>
      <c r="BF771" s="55" t="str">
        <f t="shared" si="138"/>
        <v/>
      </c>
      <c r="BG771" s="55" t="str">
        <f t="shared" si="139"/>
        <v/>
      </c>
      <c r="BH771" s="55" t="str">
        <f t="shared" si="140"/>
        <v/>
      </c>
      <c r="BI771" s="55" t="str">
        <f t="shared" si="141"/>
        <v/>
      </c>
      <c r="BJ771" s="55" t="str">
        <f t="shared" si="142"/>
        <v/>
      </c>
      <c r="BK771" s="55" t="str">
        <f t="shared" si="143"/>
        <v/>
      </c>
    </row>
    <row r="772" spans="22:63">
      <c r="V772" s="55">
        <f t="shared" ca="1" si="132"/>
        <v>1</v>
      </c>
      <c r="W772" s="64"/>
      <c r="X772" s="65"/>
      <c r="Y772" s="65"/>
      <c r="Z772" s="65"/>
      <c r="AA772" s="64"/>
      <c r="AB772" s="65"/>
      <c r="AC772" s="64"/>
      <c r="AD772" s="65"/>
      <c r="AE772" s="64"/>
      <c r="AF772" s="65"/>
      <c r="AG772" s="65"/>
      <c r="AH772" s="66" t="str">
        <f t="shared" si="133"/>
        <v/>
      </c>
      <c r="AI772" s="64"/>
      <c r="AJ772" s="65"/>
      <c r="AK772" s="64"/>
      <c r="AL772" s="65"/>
      <c r="BB772" s="55" t="str">
        <f t="shared" si="134"/>
        <v/>
      </c>
      <c r="BC772" s="55" t="str">
        <f t="shared" si="135"/>
        <v/>
      </c>
      <c r="BD772" s="55" t="str">
        <f t="shared" si="136"/>
        <v/>
      </c>
      <c r="BE772" s="55" t="str">
        <f t="shared" si="137"/>
        <v/>
      </c>
      <c r="BF772" s="55" t="str">
        <f t="shared" si="138"/>
        <v/>
      </c>
      <c r="BG772" s="55" t="str">
        <f t="shared" si="139"/>
        <v/>
      </c>
      <c r="BH772" s="55" t="str">
        <f t="shared" si="140"/>
        <v/>
      </c>
      <c r="BI772" s="55" t="str">
        <f t="shared" si="141"/>
        <v/>
      </c>
      <c r="BJ772" s="55" t="str">
        <f t="shared" si="142"/>
        <v/>
      </c>
      <c r="BK772" s="55" t="str">
        <f t="shared" si="143"/>
        <v/>
      </c>
    </row>
    <row r="773" spans="22:63">
      <c r="V773" s="55">
        <f t="shared" ca="1" si="132"/>
        <v>1</v>
      </c>
      <c r="W773" s="64"/>
      <c r="X773" s="65"/>
      <c r="Y773" s="65"/>
      <c r="Z773" s="65"/>
      <c r="AA773" s="64"/>
      <c r="AB773" s="65"/>
      <c r="AC773" s="64"/>
      <c r="AD773" s="65"/>
      <c r="AE773" s="64"/>
      <c r="AF773" s="65"/>
      <c r="AG773" s="65"/>
      <c r="AH773" s="66" t="str">
        <f t="shared" si="133"/>
        <v/>
      </c>
      <c r="AI773" s="64"/>
      <c r="AJ773" s="65"/>
      <c r="AK773" s="64"/>
      <c r="AL773" s="65"/>
      <c r="BB773" s="55" t="str">
        <f t="shared" si="134"/>
        <v/>
      </c>
      <c r="BC773" s="55" t="str">
        <f t="shared" si="135"/>
        <v/>
      </c>
      <c r="BD773" s="55" t="str">
        <f t="shared" si="136"/>
        <v/>
      </c>
      <c r="BE773" s="55" t="str">
        <f t="shared" si="137"/>
        <v/>
      </c>
      <c r="BF773" s="55" t="str">
        <f t="shared" si="138"/>
        <v/>
      </c>
      <c r="BG773" s="55" t="str">
        <f t="shared" si="139"/>
        <v/>
      </c>
      <c r="BH773" s="55" t="str">
        <f t="shared" si="140"/>
        <v/>
      </c>
      <c r="BI773" s="55" t="str">
        <f t="shared" si="141"/>
        <v/>
      </c>
      <c r="BJ773" s="55" t="str">
        <f t="shared" si="142"/>
        <v/>
      </c>
      <c r="BK773" s="55" t="str">
        <f t="shared" si="143"/>
        <v/>
      </c>
    </row>
    <row r="774" spans="22:63">
      <c r="V774" s="55">
        <f t="shared" ca="1" si="132"/>
        <v>1</v>
      </c>
      <c r="W774" s="64"/>
      <c r="X774" s="65"/>
      <c r="Y774" s="65"/>
      <c r="Z774" s="65"/>
      <c r="AA774" s="64"/>
      <c r="AB774" s="65"/>
      <c r="AC774" s="64"/>
      <c r="AD774" s="65"/>
      <c r="AE774" s="64"/>
      <c r="AF774" s="65"/>
      <c r="AG774" s="65"/>
      <c r="AH774" s="66" t="str">
        <f t="shared" si="133"/>
        <v/>
      </c>
      <c r="AI774" s="64"/>
      <c r="AJ774" s="65"/>
      <c r="AK774" s="64"/>
      <c r="AL774" s="65"/>
      <c r="BB774" s="55" t="str">
        <f t="shared" si="134"/>
        <v/>
      </c>
      <c r="BC774" s="55" t="str">
        <f t="shared" si="135"/>
        <v/>
      </c>
      <c r="BD774" s="55" t="str">
        <f t="shared" si="136"/>
        <v/>
      </c>
      <c r="BE774" s="55" t="str">
        <f t="shared" si="137"/>
        <v/>
      </c>
      <c r="BF774" s="55" t="str">
        <f t="shared" si="138"/>
        <v/>
      </c>
      <c r="BG774" s="55" t="str">
        <f t="shared" si="139"/>
        <v/>
      </c>
      <c r="BH774" s="55" t="str">
        <f t="shared" si="140"/>
        <v/>
      </c>
      <c r="BI774" s="55" t="str">
        <f t="shared" si="141"/>
        <v/>
      </c>
      <c r="BJ774" s="55" t="str">
        <f t="shared" si="142"/>
        <v/>
      </c>
      <c r="BK774" s="55" t="str">
        <f t="shared" si="143"/>
        <v/>
      </c>
    </row>
    <row r="775" spans="22:63">
      <c r="V775" s="55">
        <f t="shared" ca="1" si="132"/>
        <v>1</v>
      </c>
      <c r="W775" s="64"/>
      <c r="X775" s="65"/>
      <c r="Y775" s="65"/>
      <c r="Z775" s="65"/>
      <c r="AA775" s="64"/>
      <c r="AB775" s="65"/>
      <c r="AC775" s="64"/>
      <c r="AD775" s="65"/>
      <c r="AE775" s="64"/>
      <c r="AF775" s="65"/>
      <c r="AG775" s="65"/>
      <c r="AH775" s="66" t="str">
        <f t="shared" si="133"/>
        <v/>
      </c>
      <c r="AI775" s="64"/>
      <c r="AJ775" s="65"/>
      <c r="AK775" s="64"/>
      <c r="AL775" s="65"/>
      <c r="BB775" s="55" t="str">
        <f t="shared" si="134"/>
        <v/>
      </c>
      <c r="BC775" s="55" t="str">
        <f t="shared" si="135"/>
        <v/>
      </c>
      <c r="BD775" s="55" t="str">
        <f t="shared" si="136"/>
        <v/>
      </c>
      <c r="BE775" s="55" t="str">
        <f t="shared" si="137"/>
        <v/>
      </c>
      <c r="BF775" s="55" t="str">
        <f t="shared" si="138"/>
        <v/>
      </c>
      <c r="BG775" s="55" t="str">
        <f t="shared" si="139"/>
        <v/>
      </c>
      <c r="BH775" s="55" t="str">
        <f t="shared" si="140"/>
        <v/>
      </c>
      <c r="BI775" s="55" t="str">
        <f t="shared" si="141"/>
        <v/>
      </c>
      <c r="BJ775" s="55" t="str">
        <f t="shared" si="142"/>
        <v/>
      </c>
      <c r="BK775" s="55" t="str">
        <f t="shared" si="143"/>
        <v/>
      </c>
    </row>
    <row r="776" spans="22:63">
      <c r="V776" s="55">
        <f t="shared" ca="1" si="132"/>
        <v>1</v>
      </c>
      <c r="W776" s="64"/>
      <c r="X776" s="65"/>
      <c r="Y776" s="65"/>
      <c r="Z776" s="65"/>
      <c r="AA776" s="64"/>
      <c r="AB776" s="65"/>
      <c r="AC776" s="64"/>
      <c r="AD776" s="65"/>
      <c r="AE776" s="64"/>
      <c r="AF776" s="65"/>
      <c r="AG776" s="65"/>
      <c r="AH776" s="66" t="str">
        <f t="shared" si="133"/>
        <v/>
      </c>
      <c r="AI776" s="64"/>
      <c r="AJ776" s="65"/>
      <c r="AK776" s="64"/>
      <c r="AL776" s="65"/>
      <c r="BB776" s="55" t="str">
        <f t="shared" si="134"/>
        <v/>
      </c>
      <c r="BC776" s="55" t="str">
        <f t="shared" si="135"/>
        <v/>
      </c>
      <c r="BD776" s="55" t="str">
        <f t="shared" si="136"/>
        <v/>
      </c>
      <c r="BE776" s="55" t="str">
        <f t="shared" si="137"/>
        <v/>
      </c>
      <c r="BF776" s="55" t="str">
        <f t="shared" si="138"/>
        <v/>
      </c>
      <c r="BG776" s="55" t="str">
        <f t="shared" si="139"/>
        <v/>
      </c>
      <c r="BH776" s="55" t="str">
        <f t="shared" si="140"/>
        <v/>
      </c>
      <c r="BI776" s="55" t="str">
        <f t="shared" si="141"/>
        <v/>
      </c>
      <c r="BJ776" s="55" t="str">
        <f t="shared" si="142"/>
        <v/>
      </c>
      <c r="BK776" s="55" t="str">
        <f t="shared" si="143"/>
        <v/>
      </c>
    </row>
    <row r="777" spans="22:63">
      <c r="V777" s="55">
        <f t="shared" ca="1" si="132"/>
        <v>1</v>
      </c>
      <c r="W777" s="64"/>
      <c r="X777" s="65"/>
      <c r="Y777" s="65"/>
      <c r="Z777" s="65"/>
      <c r="AA777" s="64"/>
      <c r="AB777" s="65"/>
      <c r="AC777" s="64"/>
      <c r="AD777" s="65"/>
      <c r="AE777" s="64"/>
      <c r="AF777" s="65"/>
      <c r="AG777" s="65"/>
      <c r="AH777" s="66" t="str">
        <f t="shared" si="133"/>
        <v/>
      </c>
      <c r="AI777" s="64"/>
      <c r="AJ777" s="65"/>
      <c r="AK777" s="64"/>
      <c r="AL777" s="65"/>
      <c r="BB777" s="55" t="str">
        <f t="shared" si="134"/>
        <v/>
      </c>
      <c r="BC777" s="55" t="str">
        <f t="shared" si="135"/>
        <v/>
      </c>
      <c r="BD777" s="55" t="str">
        <f t="shared" si="136"/>
        <v/>
      </c>
      <c r="BE777" s="55" t="str">
        <f t="shared" si="137"/>
        <v/>
      </c>
      <c r="BF777" s="55" t="str">
        <f t="shared" si="138"/>
        <v/>
      </c>
      <c r="BG777" s="55" t="str">
        <f t="shared" si="139"/>
        <v/>
      </c>
      <c r="BH777" s="55" t="str">
        <f t="shared" si="140"/>
        <v/>
      </c>
      <c r="BI777" s="55" t="str">
        <f t="shared" si="141"/>
        <v/>
      </c>
      <c r="BJ777" s="55" t="str">
        <f t="shared" si="142"/>
        <v/>
      </c>
      <c r="BK777" s="55" t="str">
        <f t="shared" si="143"/>
        <v/>
      </c>
    </row>
    <row r="778" spans="22:63">
      <c r="V778" s="55">
        <f t="shared" ca="1" si="132"/>
        <v>1</v>
      </c>
      <c r="W778" s="64"/>
      <c r="X778" s="65"/>
      <c r="Y778" s="65"/>
      <c r="Z778" s="65"/>
      <c r="AA778" s="64"/>
      <c r="AB778" s="65"/>
      <c r="AC778" s="64"/>
      <c r="AD778" s="65"/>
      <c r="AE778" s="64"/>
      <c r="AF778" s="65"/>
      <c r="AG778" s="65"/>
      <c r="AH778" s="66" t="str">
        <f t="shared" si="133"/>
        <v/>
      </c>
      <c r="AI778" s="64"/>
      <c r="AJ778" s="65"/>
      <c r="AK778" s="64"/>
      <c r="AL778" s="65"/>
      <c r="BB778" s="55" t="str">
        <f t="shared" si="134"/>
        <v/>
      </c>
      <c r="BC778" s="55" t="str">
        <f t="shared" si="135"/>
        <v/>
      </c>
      <c r="BD778" s="55" t="str">
        <f t="shared" si="136"/>
        <v/>
      </c>
      <c r="BE778" s="55" t="str">
        <f t="shared" si="137"/>
        <v/>
      </c>
      <c r="BF778" s="55" t="str">
        <f t="shared" si="138"/>
        <v/>
      </c>
      <c r="BG778" s="55" t="str">
        <f t="shared" si="139"/>
        <v/>
      </c>
      <c r="BH778" s="55" t="str">
        <f t="shared" si="140"/>
        <v/>
      </c>
      <c r="BI778" s="55" t="str">
        <f t="shared" si="141"/>
        <v/>
      </c>
      <c r="BJ778" s="55" t="str">
        <f t="shared" si="142"/>
        <v/>
      </c>
      <c r="BK778" s="55" t="str">
        <f t="shared" si="143"/>
        <v/>
      </c>
    </row>
    <row r="779" spans="22:63">
      <c r="V779" s="55">
        <f t="shared" ref="V779:V842" ca="1" si="144">IF(ISBLANK($W779),IF(ISNUMBER(INDIRECT("S"&amp;ROW($V779)-1)),INDIRECT("S"&amp;ROW($V779)-1),1),$W779)</f>
        <v>1</v>
      </c>
      <c r="W779" s="64"/>
      <c r="X779" s="65"/>
      <c r="Y779" s="65"/>
      <c r="Z779" s="65"/>
      <c r="AA779" s="64"/>
      <c r="AB779" s="65"/>
      <c r="AC779" s="64"/>
      <c r="AD779" s="65"/>
      <c r="AE779" s="64"/>
      <c r="AF779" s="65"/>
      <c r="AG779" s="65"/>
      <c r="AH779" s="66" t="str">
        <f t="shared" ref="AH779:AH842" si="145">IF(ISNUMBER($BI779), $BH779&amp;" - "&amp;$BJ779,"")</f>
        <v/>
      </c>
      <c r="AI779" s="64"/>
      <c r="AJ779" s="65"/>
      <c r="AK779" s="64"/>
      <c r="AL779" s="65"/>
      <c r="BB779" s="55" t="str">
        <f t="shared" ref="BB779:BB842" si="146">IF(ISBLANK($Z779),"",VLOOKUP($Z779,$A$11:$B$1010,2,FALSE))</f>
        <v/>
      </c>
      <c r="BC779" s="55" t="str">
        <f t="shared" ref="BC779:BC842" si="147">IF(ISBLANK($AA779),"",VLOOKUP($AA779,$D$11:$E$1010,2,FALSE))</f>
        <v/>
      </c>
      <c r="BD779" s="55" t="str">
        <f t="shared" ref="BD779:BD842" si="148">IF(ISBLANK($AC779),"",VLOOKUP($AC779,$H$11:$I$1010,2,FALSE))</f>
        <v/>
      </c>
      <c r="BE779" s="55" t="str">
        <f t="shared" ref="BE779:BE842" si="149">IF(ISBLANK($AF779),"",VLOOKUP($AF779,$L$11:$M$1010,2,FALSE))</f>
        <v/>
      </c>
      <c r="BF779" s="55" t="str">
        <f t="shared" ref="BF779:BF842" si="150">IF(ISNUMBER($BC779),VLOOKUP($BC779,$E$11:$F$1010,2,FALSE),"")</f>
        <v/>
      </c>
      <c r="BG779" s="55" t="str">
        <f t="shared" ref="BG779:BG842" si="151">IF(ISNUMBER($BD779),VLOOKUP($BD779,$I$11:$J$1010,2,FALSE),"")</f>
        <v/>
      </c>
      <c r="BH779" s="55" t="str">
        <f t="shared" ref="BH779:BH842" si="152">IF(AND(ISNUMBER($BF779),ISNUMBER($BG779)),$BF779*$BG779,"")</f>
        <v/>
      </c>
      <c r="BI779" s="55" t="str">
        <f t="shared" ref="BI779:BI842" si="153">IF(ISNUMBER($BH779),LOOKUP($BH779,lower_limit_level_risiko,id_level_risiko),"")</f>
        <v/>
      </c>
      <c r="BJ779" s="55" t="str">
        <f t="shared" ref="BJ779:BJ842" si="154">IF(ISNUMBER($BH779),LOOKUP($BH779,lower_limit_level_risiko,description_level_risiko),"")</f>
        <v/>
      </c>
      <c r="BK779" s="55" t="str">
        <f t="shared" ref="BK779:BK842" si="155">IF(ISBLANK($X779),"",VLOOKUP($X779,$T$11:$U$1010,2,FALSE))</f>
        <v/>
      </c>
    </row>
    <row r="780" spans="22:63">
      <c r="V780" s="55">
        <f t="shared" ca="1" si="144"/>
        <v>1</v>
      </c>
      <c r="W780" s="64"/>
      <c r="X780" s="65"/>
      <c r="Y780" s="65"/>
      <c r="Z780" s="65"/>
      <c r="AA780" s="64"/>
      <c r="AB780" s="65"/>
      <c r="AC780" s="64"/>
      <c r="AD780" s="65"/>
      <c r="AE780" s="64"/>
      <c r="AF780" s="65"/>
      <c r="AG780" s="65"/>
      <c r="AH780" s="66" t="str">
        <f t="shared" si="145"/>
        <v/>
      </c>
      <c r="AI780" s="64"/>
      <c r="AJ780" s="65"/>
      <c r="AK780" s="64"/>
      <c r="AL780" s="65"/>
      <c r="BB780" s="55" t="str">
        <f t="shared" si="146"/>
        <v/>
      </c>
      <c r="BC780" s="55" t="str">
        <f t="shared" si="147"/>
        <v/>
      </c>
      <c r="BD780" s="55" t="str">
        <f t="shared" si="148"/>
        <v/>
      </c>
      <c r="BE780" s="55" t="str">
        <f t="shared" si="149"/>
        <v/>
      </c>
      <c r="BF780" s="55" t="str">
        <f t="shared" si="150"/>
        <v/>
      </c>
      <c r="BG780" s="55" t="str">
        <f t="shared" si="151"/>
        <v/>
      </c>
      <c r="BH780" s="55" t="str">
        <f t="shared" si="152"/>
        <v/>
      </c>
      <c r="BI780" s="55" t="str">
        <f t="shared" si="153"/>
        <v/>
      </c>
      <c r="BJ780" s="55" t="str">
        <f t="shared" si="154"/>
        <v/>
      </c>
      <c r="BK780" s="55" t="str">
        <f t="shared" si="155"/>
        <v/>
      </c>
    </row>
    <row r="781" spans="22:63">
      <c r="V781" s="55">
        <f t="shared" ca="1" si="144"/>
        <v>1</v>
      </c>
      <c r="W781" s="64"/>
      <c r="X781" s="65"/>
      <c r="Y781" s="65"/>
      <c r="Z781" s="65"/>
      <c r="AA781" s="64"/>
      <c r="AB781" s="65"/>
      <c r="AC781" s="64"/>
      <c r="AD781" s="65"/>
      <c r="AE781" s="64"/>
      <c r="AF781" s="65"/>
      <c r="AG781" s="65"/>
      <c r="AH781" s="66" t="str">
        <f t="shared" si="145"/>
        <v/>
      </c>
      <c r="AI781" s="64"/>
      <c r="AJ781" s="65"/>
      <c r="AK781" s="64"/>
      <c r="AL781" s="65"/>
      <c r="BB781" s="55" t="str">
        <f t="shared" si="146"/>
        <v/>
      </c>
      <c r="BC781" s="55" t="str">
        <f t="shared" si="147"/>
        <v/>
      </c>
      <c r="BD781" s="55" t="str">
        <f t="shared" si="148"/>
        <v/>
      </c>
      <c r="BE781" s="55" t="str">
        <f t="shared" si="149"/>
        <v/>
      </c>
      <c r="BF781" s="55" t="str">
        <f t="shared" si="150"/>
        <v/>
      </c>
      <c r="BG781" s="55" t="str">
        <f t="shared" si="151"/>
        <v/>
      </c>
      <c r="BH781" s="55" t="str">
        <f t="shared" si="152"/>
        <v/>
      </c>
      <c r="BI781" s="55" t="str">
        <f t="shared" si="153"/>
        <v/>
      </c>
      <c r="BJ781" s="55" t="str">
        <f t="shared" si="154"/>
        <v/>
      </c>
      <c r="BK781" s="55" t="str">
        <f t="shared" si="155"/>
        <v/>
      </c>
    </row>
    <row r="782" spans="22:63">
      <c r="V782" s="55">
        <f t="shared" ca="1" si="144"/>
        <v>1</v>
      </c>
      <c r="W782" s="64"/>
      <c r="X782" s="65"/>
      <c r="Y782" s="65"/>
      <c r="Z782" s="65"/>
      <c r="AA782" s="64"/>
      <c r="AB782" s="65"/>
      <c r="AC782" s="64"/>
      <c r="AD782" s="65"/>
      <c r="AE782" s="64"/>
      <c r="AF782" s="65"/>
      <c r="AG782" s="65"/>
      <c r="AH782" s="66" t="str">
        <f t="shared" si="145"/>
        <v/>
      </c>
      <c r="AI782" s="64"/>
      <c r="AJ782" s="65"/>
      <c r="AK782" s="64"/>
      <c r="AL782" s="65"/>
      <c r="BB782" s="55" t="str">
        <f t="shared" si="146"/>
        <v/>
      </c>
      <c r="BC782" s="55" t="str">
        <f t="shared" si="147"/>
        <v/>
      </c>
      <c r="BD782" s="55" t="str">
        <f t="shared" si="148"/>
        <v/>
      </c>
      <c r="BE782" s="55" t="str">
        <f t="shared" si="149"/>
        <v/>
      </c>
      <c r="BF782" s="55" t="str">
        <f t="shared" si="150"/>
        <v/>
      </c>
      <c r="BG782" s="55" t="str">
        <f t="shared" si="151"/>
        <v/>
      </c>
      <c r="BH782" s="55" t="str">
        <f t="shared" si="152"/>
        <v/>
      </c>
      <c r="BI782" s="55" t="str">
        <f t="shared" si="153"/>
        <v/>
      </c>
      <c r="BJ782" s="55" t="str">
        <f t="shared" si="154"/>
        <v/>
      </c>
      <c r="BK782" s="55" t="str">
        <f t="shared" si="155"/>
        <v/>
      </c>
    </row>
    <row r="783" spans="22:63">
      <c r="V783" s="55">
        <f t="shared" ca="1" si="144"/>
        <v>1</v>
      </c>
      <c r="W783" s="64"/>
      <c r="X783" s="65"/>
      <c r="Y783" s="65"/>
      <c r="Z783" s="65"/>
      <c r="AA783" s="64"/>
      <c r="AB783" s="65"/>
      <c r="AC783" s="64"/>
      <c r="AD783" s="65"/>
      <c r="AE783" s="64"/>
      <c r="AF783" s="65"/>
      <c r="AG783" s="65"/>
      <c r="AH783" s="66" t="str">
        <f t="shared" si="145"/>
        <v/>
      </c>
      <c r="AI783" s="64"/>
      <c r="AJ783" s="65"/>
      <c r="AK783" s="64"/>
      <c r="AL783" s="65"/>
      <c r="BB783" s="55" t="str">
        <f t="shared" si="146"/>
        <v/>
      </c>
      <c r="BC783" s="55" t="str">
        <f t="shared" si="147"/>
        <v/>
      </c>
      <c r="BD783" s="55" t="str">
        <f t="shared" si="148"/>
        <v/>
      </c>
      <c r="BE783" s="55" t="str">
        <f t="shared" si="149"/>
        <v/>
      </c>
      <c r="BF783" s="55" t="str">
        <f t="shared" si="150"/>
        <v/>
      </c>
      <c r="BG783" s="55" t="str">
        <f t="shared" si="151"/>
        <v/>
      </c>
      <c r="BH783" s="55" t="str">
        <f t="shared" si="152"/>
        <v/>
      </c>
      <c r="BI783" s="55" t="str">
        <f t="shared" si="153"/>
        <v/>
      </c>
      <c r="BJ783" s="55" t="str">
        <f t="shared" si="154"/>
        <v/>
      </c>
      <c r="BK783" s="55" t="str">
        <f t="shared" si="155"/>
        <v/>
      </c>
    </row>
    <row r="784" spans="22:63">
      <c r="V784" s="55">
        <f t="shared" ca="1" si="144"/>
        <v>1</v>
      </c>
      <c r="W784" s="64"/>
      <c r="X784" s="65"/>
      <c r="Y784" s="65"/>
      <c r="Z784" s="65"/>
      <c r="AA784" s="64"/>
      <c r="AB784" s="65"/>
      <c r="AC784" s="64"/>
      <c r="AD784" s="65"/>
      <c r="AE784" s="64"/>
      <c r="AF784" s="65"/>
      <c r="AG784" s="65"/>
      <c r="AH784" s="66" t="str">
        <f t="shared" si="145"/>
        <v/>
      </c>
      <c r="AI784" s="64"/>
      <c r="AJ784" s="65"/>
      <c r="AK784" s="64"/>
      <c r="AL784" s="65"/>
      <c r="BB784" s="55" t="str">
        <f t="shared" si="146"/>
        <v/>
      </c>
      <c r="BC784" s="55" t="str">
        <f t="shared" si="147"/>
        <v/>
      </c>
      <c r="BD784" s="55" t="str">
        <f t="shared" si="148"/>
        <v/>
      </c>
      <c r="BE784" s="55" t="str">
        <f t="shared" si="149"/>
        <v/>
      </c>
      <c r="BF784" s="55" t="str">
        <f t="shared" si="150"/>
        <v/>
      </c>
      <c r="BG784" s="55" t="str">
        <f t="shared" si="151"/>
        <v/>
      </c>
      <c r="BH784" s="55" t="str">
        <f t="shared" si="152"/>
        <v/>
      </c>
      <c r="BI784" s="55" t="str">
        <f t="shared" si="153"/>
        <v/>
      </c>
      <c r="BJ784" s="55" t="str">
        <f t="shared" si="154"/>
        <v/>
      </c>
      <c r="BK784" s="55" t="str">
        <f t="shared" si="155"/>
        <v/>
      </c>
    </row>
    <row r="785" spans="22:63">
      <c r="V785" s="55">
        <f t="shared" ca="1" si="144"/>
        <v>1</v>
      </c>
      <c r="W785" s="64"/>
      <c r="X785" s="65"/>
      <c r="Y785" s="65"/>
      <c r="Z785" s="65"/>
      <c r="AA785" s="64"/>
      <c r="AB785" s="65"/>
      <c r="AC785" s="64"/>
      <c r="AD785" s="65"/>
      <c r="AE785" s="64"/>
      <c r="AF785" s="65"/>
      <c r="AG785" s="65"/>
      <c r="AH785" s="66" t="str">
        <f t="shared" si="145"/>
        <v/>
      </c>
      <c r="AI785" s="64"/>
      <c r="AJ785" s="65"/>
      <c r="AK785" s="64"/>
      <c r="AL785" s="65"/>
      <c r="BB785" s="55" t="str">
        <f t="shared" si="146"/>
        <v/>
      </c>
      <c r="BC785" s="55" t="str">
        <f t="shared" si="147"/>
        <v/>
      </c>
      <c r="BD785" s="55" t="str">
        <f t="shared" si="148"/>
        <v/>
      </c>
      <c r="BE785" s="55" t="str">
        <f t="shared" si="149"/>
        <v/>
      </c>
      <c r="BF785" s="55" t="str">
        <f t="shared" si="150"/>
        <v/>
      </c>
      <c r="BG785" s="55" t="str">
        <f t="shared" si="151"/>
        <v/>
      </c>
      <c r="BH785" s="55" t="str">
        <f t="shared" si="152"/>
        <v/>
      </c>
      <c r="BI785" s="55" t="str">
        <f t="shared" si="153"/>
        <v/>
      </c>
      <c r="BJ785" s="55" t="str">
        <f t="shared" si="154"/>
        <v/>
      </c>
      <c r="BK785" s="55" t="str">
        <f t="shared" si="155"/>
        <v/>
      </c>
    </row>
    <row r="786" spans="22:63">
      <c r="V786" s="55">
        <f t="shared" ca="1" si="144"/>
        <v>1</v>
      </c>
      <c r="W786" s="64"/>
      <c r="X786" s="65"/>
      <c r="Y786" s="65"/>
      <c r="Z786" s="65"/>
      <c r="AA786" s="64"/>
      <c r="AB786" s="65"/>
      <c r="AC786" s="64"/>
      <c r="AD786" s="65"/>
      <c r="AE786" s="64"/>
      <c r="AF786" s="65"/>
      <c r="AG786" s="65"/>
      <c r="AH786" s="66" t="str">
        <f t="shared" si="145"/>
        <v/>
      </c>
      <c r="AI786" s="64"/>
      <c r="AJ786" s="65"/>
      <c r="AK786" s="64"/>
      <c r="AL786" s="65"/>
      <c r="BB786" s="55" t="str">
        <f t="shared" si="146"/>
        <v/>
      </c>
      <c r="BC786" s="55" t="str">
        <f t="shared" si="147"/>
        <v/>
      </c>
      <c r="BD786" s="55" t="str">
        <f t="shared" si="148"/>
        <v/>
      </c>
      <c r="BE786" s="55" t="str">
        <f t="shared" si="149"/>
        <v/>
      </c>
      <c r="BF786" s="55" t="str">
        <f t="shared" si="150"/>
        <v/>
      </c>
      <c r="BG786" s="55" t="str">
        <f t="shared" si="151"/>
        <v/>
      </c>
      <c r="BH786" s="55" t="str">
        <f t="shared" si="152"/>
        <v/>
      </c>
      <c r="BI786" s="55" t="str">
        <f t="shared" si="153"/>
        <v/>
      </c>
      <c r="BJ786" s="55" t="str">
        <f t="shared" si="154"/>
        <v/>
      </c>
      <c r="BK786" s="55" t="str">
        <f t="shared" si="155"/>
        <v/>
      </c>
    </row>
    <row r="787" spans="22:63">
      <c r="V787" s="55">
        <f t="shared" ca="1" si="144"/>
        <v>1</v>
      </c>
      <c r="W787" s="64"/>
      <c r="X787" s="65"/>
      <c r="Y787" s="65"/>
      <c r="Z787" s="65"/>
      <c r="AA787" s="64"/>
      <c r="AB787" s="65"/>
      <c r="AC787" s="64"/>
      <c r="AD787" s="65"/>
      <c r="AE787" s="64"/>
      <c r="AF787" s="65"/>
      <c r="AG787" s="65"/>
      <c r="AH787" s="66" t="str">
        <f t="shared" si="145"/>
        <v/>
      </c>
      <c r="AI787" s="64"/>
      <c r="AJ787" s="65"/>
      <c r="AK787" s="64"/>
      <c r="AL787" s="65"/>
      <c r="BB787" s="55" t="str">
        <f t="shared" si="146"/>
        <v/>
      </c>
      <c r="BC787" s="55" t="str">
        <f t="shared" si="147"/>
        <v/>
      </c>
      <c r="BD787" s="55" t="str">
        <f t="shared" si="148"/>
        <v/>
      </c>
      <c r="BE787" s="55" t="str">
        <f t="shared" si="149"/>
        <v/>
      </c>
      <c r="BF787" s="55" t="str">
        <f t="shared" si="150"/>
        <v/>
      </c>
      <c r="BG787" s="55" t="str">
        <f t="shared" si="151"/>
        <v/>
      </c>
      <c r="BH787" s="55" t="str">
        <f t="shared" si="152"/>
        <v/>
      </c>
      <c r="BI787" s="55" t="str">
        <f t="shared" si="153"/>
        <v/>
      </c>
      <c r="BJ787" s="55" t="str">
        <f t="shared" si="154"/>
        <v/>
      </c>
      <c r="BK787" s="55" t="str">
        <f t="shared" si="155"/>
        <v/>
      </c>
    </row>
    <row r="788" spans="22:63">
      <c r="V788" s="55">
        <f t="shared" ca="1" si="144"/>
        <v>1</v>
      </c>
      <c r="W788" s="64"/>
      <c r="X788" s="65"/>
      <c r="Y788" s="65"/>
      <c r="Z788" s="65"/>
      <c r="AA788" s="64"/>
      <c r="AB788" s="65"/>
      <c r="AC788" s="64"/>
      <c r="AD788" s="65"/>
      <c r="AE788" s="64"/>
      <c r="AF788" s="65"/>
      <c r="AG788" s="65"/>
      <c r="AH788" s="66" t="str">
        <f t="shared" si="145"/>
        <v/>
      </c>
      <c r="AI788" s="64"/>
      <c r="AJ788" s="65"/>
      <c r="AK788" s="64"/>
      <c r="AL788" s="65"/>
      <c r="BB788" s="55" t="str">
        <f t="shared" si="146"/>
        <v/>
      </c>
      <c r="BC788" s="55" t="str">
        <f t="shared" si="147"/>
        <v/>
      </c>
      <c r="BD788" s="55" t="str">
        <f t="shared" si="148"/>
        <v/>
      </c>
      <c r="BE788" s="55" t="str">
        <f t="shared" si="149"/>
        <v/>
      </c>
      <c r="BF788" s="55" t="str">
        <f t="shared" si="150"/>
        <v/>
      </c>
      <c r="BG788" s="55" t="str">
        <f t="shared" si="151"/>
        <v/>
      </c>
      <c r="BH788" s="55" t="str">
        <f t="shared" si="152"/>
        <v/>
      </c>
      <c r="BI788" s="55" t="str">
        <f t="shared" si="153"/>
        <v/>
      </c>
      <c r="BJ788" s="55" t="str">
        <f t="shared" si="154"/>
        <v/>
      </c>
      <c r="BK788" s="55" t="str">
        <f t="shared" si="155"/>
        <v/>
      </c>
    </row>
    <row r="789" spans="22:63">
      <c r="V789" s="55">
        <f t="shared" ca="1" si="144"/>
        <v>1</v>
      </c>
      <c r="W789" s="64"/>
      <c r="X789" s="65"/>
      <c r="Y789" s="65"/>
      <c r="Z789" s="65"/>
      <c r="AA789" s="64"/>
      <c r="AB789" s="65"/>
      <c r="AC789" s="64"/>
      <c r="AD789" s="65"/>
      <c r="AE789" s="64"/>
      <c r="AF789" s="65"/>
      <c r="AG789" s="65"/>
      <c r="AH789" s="66" t="str">
        <f t="shared" si="145"/>
        <v/>
      </c>
      <c r="AI789" s="64"/>
      <c r="AJ789" s="65"/>
      <c r="AK789" s="64"/>
      <c r="AL789" s="65"/>
      <c r="BB789" s="55" t="str">
        <f t="shared" si="146"/>
        <v/>
      </c>
      <c r="BC789" s="55" t="str">
        <f t="shared" si="147"/>
        <v/>
      </c>
      <c r="BD789" s="55" t="str">
        <f t="shared" si="148"/>
        <v/>
      </c>
      <c r="BE789" s="55" t="str">
        <f t="shared" si="149"/>
        <v/>
      </c>
      <c r="BF789" s="55" t="str">
        <f t="shared" si="150"/>
        <v/>
      </c>
      <c r="BG789" s="55" t="str">
        <f t="shared" si="151"/>
        <v/>
      </c>
      <c r="BH789" s="55" t="str">
        <f t="shared" si="152"/>
        <v/>
      </c>
      <c r="BI789" s="55" t="str">
        <f t="shared" si="153"/>
        <v/>
      </c>
      <c r="BJ789" s="55" t="str">
        <f t="shared" si="154"/>
        <v/>
      </c>
      <c r="BK789" s="55" t="str">
        <f t="shared" si="155"/>
        <v/>
      </c>
    </row>
    <row r="790" spans="22:63">
      <c r="V790" s="55">
        <f t="shared" ca="1" si="144"/>
        <v>1</v>
      </c>
      <c r="W790" s="64"/>
      <c r="X790" s="65"/>
      <c r="Y790" s="65"/>
      <c r="Z790" s="65"/>
      <c r="AA790" s="64"/>
      <c r="AB790" s="65"/>
      <c r="AC790" s="64"/>
      <c r="AD790" s="65"/>
      <c r="AE790" s="64"/>
      <c r="AF790" s="65"/>
      <c r="AG790" s="65"/>
      <c r="AH790" s="66" t="str">
        <f t="shared" si="145"/>
        <v/>
      </c>
      <c r="AI790" s="64"/>
      <c r="AJ790" s="65"/>
      <c r="AK790" s="64"/>
      <c r="AL790" s="65"/>
      <c r="BB790" s="55" t="str">
        <f t="shared" si="146"/>
        <v/>
      </c>
      <c r="BC790" s="55" t="str">
        <f t="shared" si="147"/>
        <v/>
      </c>
      <c r="BD790" s="55" t="str">
        <f t="shared" si="148"/>
        <v/>
      </c>
      <c r="BE790" s="55" t="str">
        <f t="shared" si="149"/>
        <v/>
      </c>
      <c r="BF790" s="55" t="str">
        <f t="shared" si="150"/>
        <v/>
      </c>
      <c r="BG790" s="55" t="str">
        <f t="shared" si="151"/>
        <v/>
      </c>
      <c r="BH790" s="55" t="str">
        <f t="shared" si="152"/>
        <v/>
      </c>
      <c r="BI790" s="55" t="str">
        <f t="shared" si="153"/>
        <v/>
      </c>
      <c r="BJ790" s="55" t="str">
        <f t="shared" si="154"/>
        <v/>
      </c>
      <c r="BK790" s="55" t="str">
        <f t="shared" si="155"/>
        <v/>
      </c>
    </row>
    <row r="791" spans="22:63">
      <c r="V791" s="55">
        <f t="shared" ca="1" si="144"/>
        <v>1</v>
      </c>
      <c r="W791" s="64"/>
      <c r="X791" s="65"/>
      <c r="Y791" s="65"/>
      <c r="Z791" s="65"/>
      <c r="AA791" s="64"/>
      <c r="AB791" s="65"/>
      <c r="AC791" s="64"/>
      <c r="AD791" s="65"/>
      <c r="AE791" s="64"/>
      <c r="AF791" s="65"/>
      <c r="AG791" s="65"/>
      <c r="AH791" s="66" t="str">
        <f t="shared" si="145"/>
        <v/>
      </c>
      <c r="AI791" s="64"/>
      <c r="AJ791" s="65"/>
      <c r="AK791" s="64"/>
      <c r="AL791" s="65"/>
      <c r="BB791" s="55" t="str">
        <f t="shared" si="146"/>
        <v/>
      </c>
      <c r="BC791" s="55" t="str">
        <f t="shared" si="147"/>
        <v/>
      </c>
      <c r="BD791" s="55" t="str">
        <f t="shared" si="148"/>
        <v/>
      </c>
      <c r="BE791" s="55" t="str">
        <f t="shared" si="149"/>
        <v/>
      </c>
      <c r="BF791" s="55" t="str">
        <f t="shared" si="150"/>
        <v/>
      </c>
      <c r="BG791" s="55" t="str">
        <f t="shared" si="151"/>
        <v/>
      </c>
      <c r="BH791" s="55" t="str">
        <f t="shared" si="152"/>
        <v/>
      </c>
      <c r="BI791" s="55" t="str">
        <f t="shared" si="153"/>
        <v/>
      </c>
      <c r="BJ791" s="55" t="str">
        <f t="shared" si="154"/>
        <v/>
      </c>
      <c r="BK791" s="55" t="str">
        <f t="shared" si="155"/>
        <v/>
      </c>
    </row>
    <row r="792" spans="22:63">
      <c r="V792" s="55">
        <f t="shared" ca="1" si="144"/>
        <v>1</v>
      </c>
      <c r="W792" s="64"/>
      <c r="X792" s="65"/>
      <c r="Y792" s="65"/>
      <c r="Z792" s="65"/>
      <c r="AA792" s="64"/>
      <c r="AB792" s="65"/>
      <c r="AC792" s="64"/>
      <c r="AD792" s="65"/>
      <c r="AE792" s="64"/>
      <c r="AF792" s="65"/>
      <c r="AG792" s="65"/>
      <c r="AH792" s="66" t="str">
        <f t="shared" si="145"/>
        <v/>
      </c>
      <c r="AI792" s="64"/>
      <c r="AJ792" s="65"/>
      <c r="AK792" s="64"/>
      <c r="AL792" s="65"/>
      <c r="BB792" s="55" t="str">
        <f t="shared" si="146"/>
        <v/>
      </c>
      <c r="BC792" s="55" t="str">
        <f t="shared" si="147"/>
        <v/>
      </c>
      <c r="BD792" s="55" t="str">
        <f t="shared" si="148"/>
        <v/>
      </c>
      <c r="BE792" s="55" t="str">
        <f t="shared" si="149"/>
        <v/>
      </c>
      <c r="BF792" s="55" t="str">
        <f t="shared" si="150"/>
        <v/>
      </c>
      <c r="BG792" s="55" t="str">
        <f t="shared" si="151"/>
        <v/>
      </c>
      <c r="BH792" s="55" t="str">
        <f t="shared" si="152"/>
        <v/>
      </c>
      <c r="BI792" s="55" t="str">
        <f t="shared" si="153"/>
        <v/>
      </c>
      <c r="BJ792" s="55" t="str">
        <f t="shared" si="154"/>
        <v/>
      </c>
      <c r="BK792" s="55" t="str">
        <f t="shared" si="155"/>
        <v/>
      </c>
    </row>
    <row r="793" spans="22:63">
      <c r="V793" s="55">
        <f t="shared" ca="1" si="144"/>
        <v>1</v>
      </c>
      <c r="W793" s="64"/>
      <c r="X793" s="65"/>
      <c r="Y793" s="65"/>
      <c r="Z793" s="65"/>
      <c r="AA793" s="64"/>
      <c r="AB793" s="65"/>
      <c r="AC793" s="64"/>
      <c r="AD793" s="65"/>
      <c r="AE793" s="64"/>
      <c r="AF793" s="65"/>
      <c r="AG793" s="65"/>
      <c r="AH793" s="66" t="str">
        <f t="shared" si="145"/>
        <v/>
      </c>
      <c r="AI793" s="64"/>
      <c r="AJ793" s="65"/>
      <c r="AK793" s="64"/>
      <c r="AL793" s="65"/>
      <c r="BB793" s="55" t="str">
        <f t="shared" si="146"/>
        <v/>
      </c>
      <c r="BC793" s="55" t="str">
        <f t="shared" si="147"/>
        <v/>
      </c>
      <c r="BD793" s="55" t="str">
        <f t="shared" si="148"/>
        <v/>
      </c>
      <c r="BE793" s="55" t="str">
        <f t="shared" si="149"/>
        <v/>
      </c>
      <c r="BF793" s="55" t="str">
        <f t="shared" si="150"/>
        <v/>
      </c>
      <c r="BG793" s="55" t="str">
        <f t="shared" si="151"/>
        <v/>
      </c>
      <c r="BH793" s="55" t="str">
        <f t="shared" si="152"/>
        <v/>
      </c>
      <c r="BI793" s="55" t="str">
        <f t="shared" si="153"/>
        <v/>
      </c>
      <c r="BJ793" s="55" t="str">
        <f t="shared" si="154"/>
        <v/>
      </c>
      <c r="BK793" s="55" t="str">
        <f t="shared" si="155"/>
        <v/>
      </c>
    </row>
    <row r="794" spans="22:63">
      <c r="V794" s="55">
        <f t="shared" ca="1" si="144"/>
        <v>1</v>
      </c>
      <c r="W794" s="64"/>
      <c r="X794" s="65"/>
      <c r="Y794" s="65"/>
      <c r="Z794" s="65"/>
      <c r="AA794" s="64"/>
      <c r="AB794" s="65"/>
      <c r="AC794" s="64"/>
      <c r="AD794" s="65"/>
      <c r="AE794" s="64"/>
      <c r="AF794" s="65"/>
      <c r="AG794" s="65"/>
      <c r="AH794" s="66" t="str">
        <f t="shared" si="145"/>
        <v/>
      </c>
      <c r="AI794" s="64"/>
      <c r="AJ794" s="65"/>
      <c r="AK794" s="64"/>
      <c r="AL794" s="65"/>
      <c r="BB794" s="55" t="str">
        <f t="shared" si="146"/>
        <v/>
      </c>
      <c r="BC794" s="55" t="str">
        <f t="shared" si="147"/>
        <v/>
      </c>
      <c r="BD794" s="55" t="str">
        <f t="shared" si="148"/>
        <v/>
      </c>
      <c r="BE794" s="55" t="str">
        <f t="shared" si="149"/>
        <v/>
      </c>
      <c r="BF794" s="55" t="str">
        <f t="shared" si="150"/>
        <v/>
      </c>
      <c r="BG794" s="55" t="str">
        <f t="shared" si="151"/>
        <v/>
      </c>
      <c r="BH794" s="55" t="str">
        <f t="shared" si="152"/>
        <v/>
      </c>
      <c r="BI794" s="55" t="str">
        <f t="shared" si="153"/>
        <v/>
      </c>
      <c r="BJ794" s="55" t="str">
        <f t="shared" si="154"/>
        <v/>
      </c>
      <c r="BK794" s="55" t="str">
        <f t="shared" si="155"/>
        <v/>
      </c>
    </row>
    <row r="795" spans="22:63">
      <c r="V795" s="55">
        <f t="shared" ca="1" si="144"/>
        <v>1</v>
      </c>
      <c r="W795" s="64"/>
      <c r="X795" s="65"/>
      <c r="Y795" s="65"/>
      <c r="Z795" s="65"/>
      <c r="AA795" s="64"/>
      <c r="AB795" s="65"/>
      <c r="AC795" s="64"/>
      <c r="AD795" s="65"/>
      <c r="AE795" s="64"/>
      <c r="AF795" s="65"/>
      <c r="AG795" s="65"/>
      <c r="AH795" s="66" t="str">
        <f t="shared" si="145"/>
        <v/>
      </c>
      <c r="AI795" s="64"/>
      <c r="AJ795" s="65"/>
      <c r="AK795" s="64"/>
      <c r="AL795" s="65"/>
      <c r="BB795" s="55" t="str">
        <f t="shared" si="146"/>
        <v/>
      </c>
      <c r="BC795" s="55" t="str">
        <f t="shared" si="147"/>
        <v/>
      </c>
      <c r="BD795" s="55" t="str">
        <f t="shared" si="148"/>
        <v/>
      </c>
      <c r="BE795" s="55" t="str">
        <f t="shared" si="149"/>
        <v/>
      </c>
      <c r="BF795" s="55" t="str">
        <f t="shared" si="150"/>
        <v/>
      </c>
      <c r="BG795" s="55" t="str">
        <f t="shared" si="151"/>
        <v/>
      </c>
      <c r="BH795" s="55" t="str">
        <f t="shared" si="152"/>
        <v/>
      </c>
      <c r="BI795" s="55" t="str">
        <f t="shared" si="153"/>
        <v/>
      </c>
      <c r="BJ795" s="55" t="str">
        <f t="shared" si="154"/>
        <v/>
      </c>
      <c r="BK795" s="55" t="str">
        <f t="shared" si="155"/>
        <v/>
      </c>
    </row>
    <row r="796" spans="22:63">
      <c r="V796" s="55">
        <f t="shared" ca="1" si="144"/>
        <v>1</v>
      </c>
      <c r="W796" s="64"/>
      <c r="X796" s="65"/>
      <c r="Y796" s="65"/>
      <c r="Z796" s="65"/>
      <c r="AA796" s="64"/>
      <c r="AB796" s="65"/>
      <c r="AC796" s="64"/>
      <c r="AD796" s="65"/>
      <c r="AE796" s="64"/>
      <c r="AF796" s="65"/>
      <c r="AG796" s="65"/>
      <c r="AH796" s="66" t="str">
        <f t="shared" si="145"/>
        <v/>
      </c>
      <c r="AI796" s="64"/>
      <c r="AJ796" s="65"/>
      <c r="AK796" s="64"/>
      <c r="AL796" s="65"/>
      <c r="BB796" s="55" t="str">
        <f t="shared" si="146"/>
        <v/>
      </c>
      <c r="BC796" s="55" t="str">
        <f t="shared" si="147"/>
        <v/>
      </c>
      <c r="BD796" s="55" t="str">
        <f t="shared" si="148"/>
        <v/>
      </c>
      <c r="BE796" s="55" t="str">
        <f t="shared" si="149"/>
        <v/>
      </c>
      <c r="BF796" s="55" t="str">
        <f t="shared" si="150"/>
        <v/>
      </c>
      <c r="BG796" s="55" t="str">
        <f t="shared" si="151"/>
        <v/>
      </c>
      <c r="BH796" s="55" t="str">
        <f t="shared" si="152"/>
        <v/>
      </c>
      <c r="BI796" s="55" t="str">
        <f t="shared" si="153"/>
        <v/>
      </c>
      <c r="BJ796" s="55" t="str">
        <f t="shared" si="154"/>
        <v/>
      </c>
      <c r="BK796" s="55" t="str">
        <f t="shared" si="155"/>
        <v/>
      </c>
    </row>
    <row r="797" spans="22:63">
      <c r="V797" s="55">
        <f t="shared" ca="1" si="144"/>
        <v>1</v>
      </c>
      <c r="W797" s="64"/>
      <c r="X797" s="65"/>
      <c r="Y797" s="65"/>
      <c r="Z797" s="65"/>
      <c r="AA797" s="64"/>
      <c r="AB797" s="65"/>
      <c r="AC797" s="64"/>
      <c r="AD797" s="65"/>
      <c r="AE797" s="64"/>
      <c r="AF797" s="65"/>
      <c r="AG797" s="65"/>
      <c r="AH797" s="66" t="str">
        <f t="shared" si="145"/>
        <v/>
      </c>
      <c r="AI797" s="64"/>
      <c r="AJ797" s="65"/>
      <c r="AK797" s="64"/>
      <c r="AL797" s="65"/>
      <c r="BB797" s="55" t="str">
        <f t="shared" si="146"/>
        <v/>
      </c>
      <c r="BC797" s="55" t="str">
        <f t="shared" si="147"/>
        <v/>
      </c>
      <c r="BD797" s="55" t="str">
        <f t="shared" si="148"/>
        <v/>
      </c>
      <c r="BE797" s="55" t="str">
        <f t="shared" si="149"/>
        <v/>
      </c>
      <c r="BF797" s="55" t="str">
        <f t="shared" si="150"/>
        <v/>
      </c>
      <c r="BG797" s="55" t="str">
        <f t="shared" si="151"/>
        <v/>
      </c>
      <c r="BH797" s="55" t="str">
        <f t="shared" si="152"/>
        <v/>
      </c>
      <c r="BI797" s="55" t="str">
        <f t="shared" si="153"/>
        <v/>
      </c>
      <c r="BJ797" s="55" t="str">
        <f t="shared" si="154"/>
        <v/>
      </c>
      <c r="BK797" s="55" t="str">
        <f t="shared" si="155"/>
        <v/>
      </c>
    </row>
    <row r="798" spans="22:63">
      <c r="V798" s="55">
        <f t="shared" ca="1" si="144"/>
        <v>1</v>
      </c>
      <c r="W798" s="64"/>
      <c r="X798" s="65"/>
      <c r="Y798" s="65"/>
      <c r="Z798" s="65"/>
      <c r="AA798" s="64"/>
      <c r="AB798" s="65"/>
      <c r="AC798" s="64"/>
      <c r="AD798" s="65"/>
      <c r="AE798" s="64"/>
      <c r="AF798" s="65"/>
      <c r="AG798" s="65"/>
      <c r="AH798" s="66" t="str">
        <f t="shared" si="145"/>
        <v/>
      </c>
      <c r="AI798" s="64"/>
      <c r="AJ798" s="65"/>
      <c r="AK798" s="64"/>
      <c r="AL798" s="65"/>
      <c r="BB798" s="55" t="str">
        <f t="shared" si="146"/>
        <v/>
      </c>
      <c r="BC798" s="55" t="str">
        <f t="shared" si="147"/>
        <v/>
      </c>
      <c r="BD798" s="55" t="str">
        <f t="shared" si="148"/>
        <v/>
      </c>
      <c r="BE798" s="55" t="str">
        <f t="shared" si="149"/>
        <v/>
      </c>
      <c r="BF798" s="55" t="str">
        <f t="shared" si="150"/>
        <v/>
      </c>
      <c r="BG798" s="55" t="str">
        <f t="shared" si="151"/>
        <v/>
      </c>
      <c r="BH798" s="55" t="str">
        <f t="shared" si="152"/>
        <v/>
      </c>
      <c r="BI798" s="55" t="str">
        <f t="shared" si="153"/>
        <v/>
      </c>
      <c r="BJ798" s="55" t="str">
        <f t="shared" si="154"/>
        <v/>
      </c>
      <c r="BK798" s="55" t="str">
        <f t="shared" si="155"/>
        <v/>
      </c>
    </row>
    <row r="799" spans="22:63">
      <c r="V799" s="55">
        <f t="shared" ca="1" si="144"/>
        <v>1</v>
      </c>
      <c r="W799" s="64"/>
      <c r="X799" s="65"/>
      <c r="Y799" s="65"/>
      <c r="Z799" s="65"/>
      <c r="AA799" s="64"/>
      <c r="AB799" s="65"/>
      <c r="AC799" s="64"/>
      <c r="AD799" s="65"/>
      <c r="AE799" s="64"/>
      <c r="AF799" s="65"/>
      <c r="AG799" s="65"/>
      <c r="AH799" s="66" t="str">
        <f t="shared" si="145"/>
        <v/>
      </c>
      <c r="AI799" s="64"/>
      <c r="AJ799" s="65"/>
      <c r="AK799" s="64"/>
      <c r="AL799" s="65"/>
      <c r="BB799" s="55" t="str">
        <f t="shared" si="146"/>
        <v/>
      </c>
      <c r="BC799" s="55" t="str">
        <f t="shared" si="147"/>
        <v/>
      </c>
      <c r="BD799" s="55" t="str">
        <f t="shared" si="148"/>
        <v/>
      </c>
      <c r="BE799" s="55" t="str">
        <f t="shared" si="149"/>
        <v/>
      </c>
      <c r="BF799" s="55" t="str">
        <f t="shared" si="150"/>
        <v/>
      </c>
      <c r="BG799" s="55" t="str">
        <f t="shared" si="151"/>
        <v/>
      </c>
      <c r="BH799" s="55" t="str">
        <f t="shared" si="152"/>
        <v/>
      </c>
      <c r="BI799" s="55" t="str">
        <f t="shared" si="153"/>
        <v/>
      </c>
      <c r="BJ799" s="55" t="str">
        <f t="shared" si="154"/>
        <v/>
      </c>
      <c r="BK799" s="55" t="str">
        <f t="shared" si="155"/>
        <v/>
      </c>
    </row>
    <row r="800" spans="22:63">
      <c r="V800" s="55">
        <f t="shared" ca="1" si="144"/>
        <v>1</v>
      </c>
      <c r="W800" s="64"/>
      <c r="X800" s="65"/>
      <c r="Y800" s="65"/>
      <c r="Z800" s="65"/>
      <c r="AA800" s="64"/>
      <c r="AB800" s="65"/>
      <c r="AC800" s="64"/>
      <c r="AD800" s="65"/>
      <c r="AE800" s="64"/>
      <c r="AF800" s="65"/>
      <c r="AG800" s="65"/>
      <c r="AH800" s="66" t="str">
        <f t="shared" si="145"/>
        <v/>
      </c>
      <c r="AI800" s="64"/>
      <c r="AJ800" s="65"/>
      <c r="AK800" s="64"/>
      <c r="AL800" s="65"/>
      <c r="BB800" s="55" t="str">
        <f t="shared" si="146"/>
        <v/>
      </c>
      <c r="BC800" s="55" t="str">
        <f t="shared" si="147"/>
        <v/>
      </c>
      <c r="BD800" s="55" t="str">
        <f t="shared" si="148"/>
        <v/>
      </c>
      <c r="BE800" s="55" t="str">
        <f t="shared" si="149"/>
        <v/>
      </c>
      <c r="BF800" s="55" t="str">
        <f t="shared" si="150"/>
        <v/>
      </c>
      <c r="BG800" s="55" t="str">
        <f t="shared" si="151"/>
        <v/>
      </c>
      <c r="BH800" s="55" t="str">
        <f t="shared" si="152"/>
        <v/>
      </c>
      <c r="BI800" s="55" t="str">
        <f t="shared" si="153"/>
        <v/>
      </c>
      <c r="BJ800" s="55" t="str">
        <f t="shared" si="154"/>
        <v/>
      </c>
      <c r="BK800" s="55" t="str">
        <f t="shared" si="155"/>
        <v/>
      </c>
    </row>
    <row r="801" spans="22:63">
      <c r="V801" s="55">
        <f t="shared" ca="1" si="144"/>
        <v>1</v>
      </c>
      <c r="W801" s="64"/>
      <c r="X801" s="65"/>
      <c r="Y801" s="65"/>
      <c r="Z801" s="65"/>
      <c r="AA801" s="64"/>
      <c r="AB801" s="65"/>
      <c r="AC801" s="64"/>
      <c r="AD801" s="65"/>
      <c r="AE801" s="64"/>
      <c r="AF801" s="65"/>
      <c r="AG801" s="65"/>
      <c r="AH801" s="66" t="str">
        <f t="shared" si="145"/>
        <v/>
      </c>
      <c r="AI801" s="64"/>
      <c r="AJ801" s="65"/>
      <c r="AK801" s="64"/>
      <c r="AL801" s="65"/>
      <c r="BB801" s="55" t="str">
        <f t="shared" si="146"/>
        <v/>
      </c>
      <c r="BC801" s="55" t="str">
        <f t="shared" si="147"/>
        <v/>
      </c>
      <c r="BD801" s="55" t="str">
        <f t="shared" si="148"/>
        <v/>
      </c>
      <c r="BE801" s="55" t="str">
        <f t="shared" si="149"/>
        <v/>
      </c>
      <c r="BF801" s="55" t="str">
        <f t="shared" si="150"/>
        <v/>
      </c>
      <c r="BG801" s="55" t="str">
        <f t="shared" si="151"/>
        <v/>
      </c>
      <c r="BH801" s="55" t="str">
        <f t="shared" si="152"/>
        <v/>
      </c>
      <c r="BI801" s="55" t="str">
        <f t="shared" si="153"/>
        <v/>
      </c>
      <c r="BJ801" s="55" t="str">
        <f t="shared" si="154"/>
        <v/>
      </c>
      <c r="BK801" s="55" t="str">
        <f t="shared" si="155"/>
        <v/>
      </c>
    </row>
    <row r="802" spans="22:63">
      <c r="V802" s="55">
        <f t="shared" ca="1" si="144"/>
        <v>1</v>
      </c>
      <c r="W802" s="64"/>
      <c r="X802" s="65"/>
      <c r="Y802" s="65"/>
      <c r="Z802" s="65"/>
      <c r="AA802" s="64"/>
      <c r="AB802" s="65"/>
      <c r="AC802" s="64"/>
      <c r="AD802" s="65"/>
      <c r="AE802" s="64"/>
      <c r="AF802" s="65"/>
      <c r="AG802" s="65"/>
      <c r="AH802" s="66" t="str">
        <f t="shared" si="145"/>
        <v/>
      </c>
      <c r="AI802" s="64"/>
      <c r="AJ802" s="65"/>
      <c r="AK802" s="64"/>
      <c r="AL802" s="65"/>
      <c r="BB802" s="55" t="str">
        <f t="shared" si="146"/>
        <v/>
      </c>
      <c r="BC802" s="55" t="str">
        <f t="shared" si="147"/>
        <v/>
      </c>
      <c r="BD802" s="55" t="str">
        <f t="shared" si="148"/>
        <v/>
      </c>
      <c r="BE802" s="55" t="str">
        <f t="shared" si="149"/>
        <v/>
      </c>
      <c r="BF802" s="55" t="str">
        <f t="shared" si="150"/>
        <v/>
      </c>
      <c r="BG802" s="55" t="str">
        <f t="shared" si="151"/>
        <v/>
      </c>
      <c r="BH802" s="55" t="str">
        <f t="shared" si="152"/>
        <v/>
      </c>
      <c r="BI802" s="55" t="str">
        <f t="shared" si="153"/>
        <v/>
      </c>
      <c r="BJ802" s="55" t="str">
        <f t="shared" si="154"/>
        <v/>
      </c>
      <c r="BK802" s="55" t="str">
        <f t="shared" si="155"/>
        <v/>
      </c>
    </row>
    <row r="803" spans="22:63">
      <c r="V803" s="55">
        <f t="shared" ca="1" si="144"/>
        <v>1</v>
      </c>
      <c r="W803" s="64"/>
      <c r="X803" s="65"/>
      <c r="Y803" s="65"/>
      <c r="Z803" s="65"/>
      <c r="AA803" s="64"/>
      <c r="AB803" s="65"/>
      <c r="AC803" s="64"/>
      <c r="AD803" s="65"/>
      <c r="AE803" s="64"/>
      <c r="AF803" s="65"/>
      <c r="AG803" s="65"/>
      <c r="AH803" s="66" t="str">
        <f t="shared" si="145"/>
        <v/>
      </c>
      <c r="AI803" s="64"/>
      <c r="AJ803" s="65"/>
      <c r="AK803" s="64"/>
      <c r="AL803" s="65"/>
      <c r="BB803" s="55" t="str">
        <f t="shared" si="146"/>
        <v/>
      </c>
      <c r="BC803" s="55" t="str">
        <f t="shared" si="147"/>
        <v/>
      </c>
      <c r="BD803" s="55" t="str">
        <f t="shared" si="148"/>
        <v/>
      </c>
      <c r="BE803" s="55" t="str">
        <f t="shared" si="149"/>
        <v/>
      </c>
      <c r="BF803" s="55" t="str">
        <f t="shared" si="150"/>
        <v/>
      </c>
      <c r="BG803" s="55" t="str">
        <f t="shared" si="151"/>
        <v/>
      </c>
      <c r="BH803" s="55" t="str">
        <f t="shared" si="152"/>
        <v/>
      </c>
      <c r="BI803" s="55" t="str">
        <f t="shared" si="153"/>
        <v/>
      </c>
      <c r="BJ803" s="55" t="str">
        <f t="shared" si="154"/>
        <v/>
      </c>
      <c r="BK803" s="55" t="str">
        <f t="shared" si="155"/>
        <v/>
      </c>
    </row>
    <row r="804" spans="22:63">
      <c r="V804" s="55">
        <f t="shared" ca="1" si="144"/>
        <v>1</v>
      </c>
      <c r="W804" s="64"/>
      <c r="X804" s="65"/>
      <c r="Y804" s="65"/>
      <c r="Z804" s="65"/>
      <c r="AA804" s="64"/>
      <c r="AB804" s="65"/>
      <c r="AC804" s="64"/>
      <c r="AD804" s="65"/>
      <c r="AE804" s="64"/>
      <c r="AF804" s="65"/>
      <c r="AG804" s="65"/>
      <c r="AH804" s="66" t="str">
        <f t="shared" si="145"/>
        <v/>
      </c>
      <c r="AI804" s="64"/>
      <c r="AJ804" s="65"/>
      <c r="AK804" s="64"/>
      <c r="AL804" s="65"/>
      <c r="BB804" s="55" t="str">
        <f t="shared" si="146"/>
        <v/>
      </c>
      <c r="BC804" s="55" t="str">
        <f t="shared" si="147"/>
        <v/>
      </c>
      <c r="BD804" s="55" t="str">
        <f t="shared" si="148"/>
        <v/>
      </c>
      <c r="BE804" s="55" t="str">
        <f t="shared" si="149"/>
        <v/>
      </c>
      <c r="BF804" s="55" t="str">
        <f t="shared" si="150"/>
        <v/>
      </c>
      <c r="BG804" s="55" t="str">
        <f t="shared" si="151"/>
        <v/>
      </c>
      <c r="BH804" s="55" t="str">
        <f t="shared" si="152"/>
        <v/>
      </c>
      <c r="BI804" s="55" t="str">
        <f t="shared" si="153"/>
        <v/>
      </c>
      <c r="BJ804" s="55" t="str">
        <f t="shared" si="154"/>
        <v/>
      </c>
      <c r="BK804" s="55" t="str">
        <f t="shared" si="155"/>
        <v/>
      </c>
    </row>
    <row r="805" spans="22:63">
      <c r="V805" s="55">
        <f t="shared" ca="1" si="144"/>
        <v>1</v>
      </c>
      <c r="W805" s="64"/>
      <c r="X805" s="65"/>
      <c r="Y805" s="65"/>
      <c r="Z805" s="65"/>
      <c r="AA805" s="64"/>
      <c r="AB805" s="65"/>
      <c r="AC805" s="64"/>
      <c r="AD805" s="65"/>
      <c r="AE805" s="64"/>
      <c r="AF805" s="65"/>
      <c r="AG805" s="65"/>
      <c r="AH805" s="66" t="str">
        <f t="shared" si="145"/>
        <v/>
      </c>
      <c r="AI805" s="64"/>
      <c r="AJ805" s="65"/>
      <c r="AK805" s="64"/>
      <c r="AL805" s="65"/>
      <c r="BB805" s="55" t="str">
        <f t="shared" si="146"/>
        <v/>
      </c>
      <c r="BC805" s="55" t="str">
        <f t="shared" si="147"/>
        <v/>
      </c>
      <c r="BD805" s="55" t="str">
        <f t="shared" si="148"/>
        <v/>
      </c>
      <c r="BE805" s="55" t="str">
        <f t="shared" si="149"/>
        <v/>
      </c>
      <c r="BF805" s="55" t="str">
        <f t="shared" si="150"/>
        <v/>
      </c>
      <c r="BG805" s="55" t="str">
        <f t="shared" si="151"/>
        <v/>
      </c>
      <c r="BH805" s="55" t="str">
        <f t="shared" si="152"/>
        <v/>
      </c>
      <c r="BI805" s="55" t="str">
        <f t="shared" si="153"/>
        <v/>
      </c>
      <c r="BJ805" s="55" t="str">
        <f t="shared" si="154"/>
        <v/>
      </c>
      <c r="BK805" s="55" t="str">
        <f t="shared" si="155"/>
        <v/>
      </c>
    </row>
    <row r="806" spans="22:63">
      <c r="V806" s="55">
        <f t="shared" ca="1" si="144"/>
        <v>1</v>
      </c>
      <c r="W806" s="64"/>
      <c r="X806" s="65"/>
      <c r="Y806" s="65"/>
      <c r="Z806" s="65"/>
      <c r="AA806" s="64"/>
      <c r="AB806" s="65"/>
      <c r="AC806" s="64"/>
      <c r="AD806" s="65"/>
      <c r="AE806" s="64"/>
      <c r="AF806" s="65"/>
      <c r="AG806" s="65"/>
      <c r="AH806" s="66" t="str">
        <f t="shared" si="145"/>
        <v/>
      </c>
      <c r="AI806" s="64"/>
      <c r="AJ806" s="65"/>
      <c r="AK806" s="64"/>
      <c r="AL806" s="65"/>
      <c r="BB806" s="55" t="str">
        <f t="shared" si="146"/>
        <v/>
      </c>
      <c r="BC806" s="55" t="str">
        <f t="shared" si="147"/>
        <v/>
      </c>
      <c r="BD806" s="55" t="str">
        <f t="shared" si="148"/>
        <v/>
      </c>
      <c r="BE806" s="55" t="str">
        <f t="shared" si="149"/>
        <v/>
      </c>
      <c r="BF806" s="55" t="str">
        <f t="shared" si="150"/>
        <v/>
      </c>
      <c r="BG806" s="55" t="str">
        <f t="shared" si="151"/>
        <v/>
      </c>
      <c r="BH806" s="55" t="str">
        <f t="shared" si="152"/>
        <v/>
      </c>
      <c r="BI806" s="55" t="str">
        <f t="shared" si="153"/>
        <v/>
      </c>
      <c r="BJ806" s="55" t="str">
        <f t="shared" si="154"/>
        <v/>
      </c>
      <c r="BK806" s="55" t="str">
        <f t="shared" si="155"/>
        <v/>
      </c>
    </row>
    <row r="807" spans="22:63">
      <c r="V807" s="55">
        <f t="shared" ca="1" si="144"/>
        <v>1</v>
      </c>
      <c r="W807" s="64"/>
      <c r="X807" s="65"/>
      <c r="Y807" s="65"/>
      <c r="Z807" s="65"/>
      <c r="AA807" s="64"/>
      <c r="AB807" s="65"/>
      <c r="AC807" s="64"/>
      <c r="AD807" s="65"/>
      <c r="AE807" s="64"/>
      <c r="AF807" s="65"/>
      <c r="AG807" s="65"/>
      <c r="AH807" s="66" t="str">
        <f t="shared" si="145"/>
        <v/>
      </c>
      <c r="AI807" s="64"/>
      <c r="AJ807" s="65"/>
      <c r="AK807" s="64"/>
      <c r="AL807" s="65"/>
      <c r="BB807" s="55" t="str">
        <f t="shared" si="146"/>
        <v/>
      </c>
      <c r="BC807" s="55" t="str">
        <f t="shared" si="147"/>
        <v/>
      </c>
      <c r="BD807" s="55" t="str">
        <f t="shared" si="148"/>
        <v/>
      </c>
      <c r="BE807" s="55" t="str">
        <f t="shared" si="149"/>
        <v/>
      </c>
      <c r="BF807" s="55" t="str">
        <f t="shared" si="150"/>
        <v/>
      </c>
      <c r="BG807" s="55" t="str">
        <f t="shared" si="151"/>
        <v/>
      </c>
      <c r="BH807" s="55" t="str">
        <f t="shared" si="152"/>
        <v/>
      </c>
      <c r="BI807" s="55" t="str">
        <f t="shared" si="153"/>
        <v/>
      </c>
      <c r="BJ807" s="55" t="str">
        <f t="shared" si="154"/>
        <v/>
      </c>
      <c r="BK807" s="55" t="str">
        <f t="shared" si="155"/>
        <v/>
      </c>
    </row>
    <row r="808" spans="22:63">
      <c r="V808" s="55">
        <f t="shared" ca="1" si="144"/>
        <v>1</v>
      </c>
      <c r="W808" s="64"/>
      <c r="X808" s="65"/>
      <c r="Y808" s="65"/>
      <c r="Z808" s="65"/>
      <c r="AA808" s="64"/>
      <c r="AB808" s="65"/>
      <c r="AC808" s="64"/>
      <c r="AD808" s="65"/>
      <c r="AE808" s="64"/>
      <c r="AF808" s="65"/>
      <c r="AG808" s="65"/>
      <c r="AH808" s="66" t="str">
        <f t="shared" si="145"/>
        <v/>
      </c>
      <c r="AI808" s="64"/>
      <c r="AJ808" s="65"/>
      <c r="AK808" s="64"/>
      <c r="AL808" s="65"/>
      <c r="BB808" s="55" t="str">
        <f t="shared" si="146"/>
        <v/>
      </c>
      <c r="BC808" s="55" t="str">
        <f t="shared" si="147"/>
        <v/>
      </c>
      <c r="BD808" s="55" t="str">
        <f t="shared" si="148"/>
        <v/>
      </c>
      <c r="BE808" s="55" t="str">
        <f t="shared" si="149"/>
        <v/>
      </c>
      <c r="BF808" s="55" t="str">
        <f t="shared" si="150"/>
        <v/>
      </c>
      <c r="BG808" s="55" t="str">
        <f t="shared" si="151"/>
        <v/>
      </c>
      <c r="BH808" s="55" t="str">
        <f t="shared" si="152"/>
        <v/>
      </c>
      <c r="BI808" s="55" t="str">
        <f t="shared" si="153"/>
        <v/>
      </c>
      <c r="BJ808" s="55" t="str">
        <f t="shared" si="154"/>
        <v/>
      </c>
      <c r="BK808" s="55" t="str">
        <f t="shared" si="155"/>
        <v/>
      </c>
    </row>
    <row r="809" spans="22:63">
      <c r="V809" s="55">
        <f t="shared" ca="1" si="144"/>
        <v>1</v>
      </c>
      <c r="W809" s="64"/>
      <c r="X809" s="65"/>
      <c r="Y809" s="65"/>
      <c r="Z809" s="65"/>
      <c r="AA809" s="64"/>
      <c r="AB809" s="65"/>
      <c r="AC809" s="64"/>
      <c r="AD809" s="65"/>
      <c r="AE809" s="64"/>
      <c r="AF809" s="65"/>
      <c r="AG809" s="65"/>
      <c r="AH809" s="66" t="str">
        <f t="shared" si="145"/>
        <v/>
      </c>
      <c r="AI809" s="64"/>
      <c r="AJ809" s="65"/>
      <c r="AK809" s="64"/>
      <c r="AL809" s="65"/>
      <c r="BB809" s="55" t="str">
        <f t="shared" si="146"/>
        <v/>
      </c>
      <c r="BC809" s="55" t="str">
        <f t="shared" si="147"/>
        <v/>
      </c>
      <c r="BD809" s="55" t="str">
        <f t="shared" si="148"/>
        <v/>
      </c>
      <c r="BE809" s="55" t="str">
        <f t="shared" si="149"/>
        <v/>
      </c>
      <c r="BF809" s="55" t="str">
        <f t="shared" si="150"/>
        <v/>
      </c>
      <c r="BG809" s="55" t="str">
        <f t="shared" si="151"/>
        <v/>
      </c>
      <c r="BH809" s="55" t="str">
        <f t="shared" si="152"/>
        <v/>
      </c>
      <c r="BI809" s="55" t="str">
        <f t="shared" si="153"/>
        <v/>
      </c>
      <c r="BJ809" s="55" t="str">
        <f t="shared" si="154"/>
        <v/>
      </c>
      <c r="BK809" s="55" t="str">
        <f t="shared" si="155"/>
        <v/>
      </c>
    </row>
    <row r="810" spans="22:63">
      <c r="V810" s="55">
        <f t="shared" ca="1" si="144"/>
        <v>1</v>
      </c>
      <c r="W810" s="64"/>
      <c r="X810" s="65"/>
      <c r="Y810" s="65"/>
      <c r="Z810" s="65"/>
      <c r="AA810" s="64"/>
      <c r="AB810" s="65"/>
      <c r="AC810" s="64"/>
      <c r="AD810" s="65"/>
      <c r="AE810" s="64"/>
      <c r="AF810" s="65"/>
      <c r="AG810" s="65"/>
      <c r="AH810" s="66" t="str">
        <f t="shared" si="145"/>
        <v/>
      </c>
      <c r="AI810" s="64"/>
      <c r="AJ810" s="65"/>
      <c r="AK810" s="64"/>
      <c r="AL810" s="65"/>
      <c r="BB810" s="55" t="str">
        <f t="shared" si="146"/>
        <v/>
      </c>
      <c r="BC810" s="55" t="str">
        <f t="shared" si="147"/>
        <v/>
      </c>
      <c r="BD810" s="55" t="str">
        <f t="shared" si="148"/>
        <v/>
      </c>
      <c r="BE810" s="55" t="str">
        <f t="shared" si="149"/>
        <v/>
      </c>
      <c r="BF810" s="55" t="str">
        <f t="shared" si="150"/>
        <v/>
      </c>
      <c r="BG810" s="55" t="str">
        <f t="shared" si="151"/>
        <v/>
      </c>
      <c r="BH810" s="55" t="str">
        <f t="shared" si="152"/>
        <v/>
      </c>
      <c r="BI810" s="55" t="str">
        <f t="shared" si="153"/>
        <v/>
      </c>
      <c r="BJ810" s="55" t="str">
        <f t="shared" si="154"/>
        <v/>
      </c>
      <c r="BK810" s="55" t="str">
        <f t="shared" si="155"/>
        <v/>
      </c>
    </row>
    <row r="811" spans="22:63">
      <c r="V811" s="55">
        <f t="shared" ca="1" si="144"/>
        <v>1</v>
      </c>
      <c r="W811" s="64"/>
      <c r="X811" s="65"/>
      <c r="Y811" s="65"/>
      <c r="Z811" s="65"/>
      <c r="AA811" s="64"/>
      <c r="AB811" s="65"/>
      <c r="AC811" s="64"/>
      <c r="AD811" s="65"/>
      <c r="AE811" s="64"/>
      <c r="AF811" s="65"/>
      <c r="AG811" s="65"/>
      <c r="AH811" s="66" t="str">
        <f t="shared" si="145"/>
        <v/>
      </c>
      <c r="AI811" s="64"/>
      <c r="AJ811" s="65"/>
      <c r="AK811" s="64"/>
      <c r="AL811" s="65"/>
      <c r="BB811" s="55" t="str">
        <f t="shared" si="146"/>
        <v/>
      </c>
      <c r="BC811" s="55" t="str">
        <f t="shared" si="147"/>
        <v/>
      </c>
      <c r="BD811" s="55" t="str">
        <f t="shared" si="148"/>
        <v/>
      </c>
      <c r="BE811" s="55" t="str">
        <f t="shared" si="149"/>
        <v/>
      </c>
      <c r="BF811" s="55" t="str">
        <f t="shared" si="150"/>
        <v/>
      </c>
      <c r="BG811" s="55" t="str">
        <f t="shared" si="151"/>
        <v/>
      </c>
      <c r="BH811" s="55" t="str">
        <f t="shared" si="152"/>
        <v/>
      </c>
      <c r="BI811" s="55" t="str">
        <f t="shared" si="153"/>
        <v/>
      </c>
      <c r="BJ811" s="55" t="str">
        <f t="shared" si="154"/>
        <v/>
      </c>
      <c r="BK811" s="55" t="str">
        <f t="shared" si="155"/>
        <v/>
      </c>
    </row>
    <row r="812" spans="22:63">
      <c r="V812" s="55">
        <f t="shared" ca="1" si="144"/>
        <v>1</v>
      </c>
      <c r="W812" s="64"/>
      <c r="X812" s="65"/>
      <c r="Y812" s="65"/>
      <c r="Z812" s="65"/>
      <c r="AA812" s="64"/>
      <c r="AB812" s="65"/>
      <c r="AC812" s="64"/>
      <c r="AD812" s="65"/>
      <c r="AE812" s="64"/>
      <c r="AF812" s="65"/>
      <c r="AG812" s="65"/>
      <c r="AH812" s="66" t="str">
        <f t="shared" si="145"/>
        <v/>
      </c>
      <c r="AI812" s="64"/>
      <c r="AJ812" s="65"/>
      <c r="AK812" s="64"/>
      <c r="AL812" s="65"/>
      <c r="BB812" s="55" t="str">
        <f t="shared" si="146"/>
        <v/>
      </c>
      <c r="BC812" s="55" t="str">
        <f t="shared" si="147"/>
        <v/>
      </c>
      <c r="BD812" s="55" t="str">
        <f t="shared" si="148"/>
        <v/>
      </c>
      <c r="BE812" s="55" t="str">
        <f t="shared" si="149"/>
        <v/>
      </c>
      <c r="BF812" s="55" t="str">
        <f t="shared" si="150"/>
        <v/>
      </c>
      <c r="BG812" s="55" t="str">
        <f t="shared" si="151"/>
        <v/>
      </c>
      <c r="BH812" s="55" t="str">
        <f t="shared" si="152"/>
        <v/>
      </c>
      <c r="BI812" s="55" t="str">
        <f t="shared" si="153"/>
        <v/>
      </c>
      <c r="BJ812" s="55" t="str">
        <f t="shared" si="154"/>
        <v/>
      </c>
      <c r="BK812" s="55" t="str">
        <f t="shared" si="155"/>
        <v/>
      </c>
    </row>
    <row r="813" spans="22:63">
      <c r="V813" s="55">
        <f t="shared" ca="1" si="144"/>
        <v>1</v>
      </c>
      <c r="W813" s="64"/>
      <c r="X813" s="65"/>
      <c r="Y813" s="65"/>
      <c r="Z813" s="65"/>
      <c r="AA813" s="64"/>
      <c r="AB813" s="65"/>
      <c r="AC813" s="64"/>
      <c r="AD813" s="65"/>
      <c r="AE813" s="64"/>
      <c r="AF813" s="65"/>
      <c r="AG813" s="65"/>
      <c r="AH813" s="66" t="str">
        <f t="shared" si="145"/>
        <v/>
      </c>
      <c r="AI813" s="64"/>
      <c r="AJ813" s="65"/>
      <c r="AK813" s="64"/>
      <c r="AL813" s="65"/>
      <c r="BB813" s="55" t="str">
        <f t="shared" si="146"/>
        <v/>
      </c>
      <c r="BC813" s="55" t="str">
        <f t="shared" si="147"/>
        <v/>
      </c>
      <c r="BD813" s="55" t="str">
        <f t="shared" si="148"/>
        <v/>
      </c>
      <c r="BE813" s="55" t="str">
        <f t="shared" si="149"/>
        <v/>
      </c>
      <c r="BF813" s="55" t="str">
        <f t="shared" si="150"/>
        <v/>
      </c>
      <c r="BG813" s="55" t="str">
        <f t="shared" si="151"/>
        <v/>
      </c>
      <c r="BH813" s="55" t="str">
        <f t="shared" si="152"/>
        <v/>
      </c>
      <c r="BI813" s="55" t="str">
        <f t="shared" si="153"/>
        <v/>
      </c>
      <c r="BJ813" s="55" t="str">
        <f t="shared" si="154"/>
        <v/>
      </c>
      <c r="BK813" s="55" t="str">
        <f t="shared" si="155"/>
        <v/>
      </c>
    </row>
    <row r="814" spans="22:63">
      <c r="V814" s="55">
        <f t="shared" ca="1" si="144"/>
        <v>1</v>
      </c>
      <c r="W814" s="64"/>
      <c r="X814" s="65"/>
      <c r="Y814" s="65"/>
      <c r="Z814" s="65"/>
      <c r="AA814" s="64"/>
      <c r="AB814" s="65"/>
      <c r="AC814" s="64"/>
      <c r="AD814" s="65"/>
      <c r="AE814" s="64"/>
      <c r="AF814" s="65"/>
      <c r="AG814" s="65"/>
      <c r="AH814" s="66" t="str">
        <f t="shared" si="145"/>
        <v/>
      </c>
      <c r="AI814" s="64"/>
      <c r="AJ814" s="65"/>
      <c r="AK814" s="64"/>
      <c r="AL814" s="65"/>
      <c r="BB814" s="55" t="str">
        <f t="shared" si="146"/>
        <v/>
      </c>
      <c r="BC814" s="55" t="str">
        <f t="shared" si="147"/>
        <v/>
      </c>
      <c r="BD814" s="55" t="str">
        <f t="shared" si="148"/>
        <v/>
      </c>
      <c r="BE814" s="55" t="str">
        <f t="shared" si="149"/>
        <v/>
      </c>
      <c r="BF814" s="55" t="str">
        <f t="shared" si="150"/>
        <v/>
      </c>
      <c r="BG814" s="55" t="str">
        <f t="shared" si="151"/>
        <v/>
      </c>
      <c r="BH814" s="55" t="str">
        <f t="shared" si="152"/>
        <v/>
      </c>
      <c r="BI814" s="55" t="str">
        <f t="shared" si="153"/>
        <v/>
      </c>
      <c r="BJ814" s="55" t="str">
        <f t="shared" si="154"/>
        <v/>
      </c>
      <c r="BK814" s="55" t="str">
        <f t="shared" si="155"/>
        <v/>
      </c>
    </row>
    <row r="815" spans="22:63">
      <c r="V815" s="55">
        <f t="shared" ca="1" si="144"/>
        <v>1</v>
      </c>
      <c r="W815" s="64"/>
      <c r="X815" s="65"/>
      <c r="Y815" s="65"/>
      <c r="Z815" s="65"/>
      <c r="AA815" s="64"/>
      <c r="AB815" s="65"/>
      <c r="AC815" s="64"/>
      <c r="AD815" s="65"/>
      <c r="AE815" s="64"/>
      <c r="AF815" s="65"/>
      <c r="AG815" s="65"/>
      <c r="AH815" s="66" t="str">
        <f t="shared" si="145"/>
        <v/>
      </c>
      <c r="AI815" s="64"/>
      <c r="AJ815" s="65"/>
      <c r="AK815" s="64"/>
      <c r="AL815" s="65"/>
      <c r="BB815" s="55" t="str">
        <f t="shared" si="146"/>
        <v/>
      </c>
      <c r="BC815" s="55" t="str">
        <f t="shared" si="147"/>
        <v/>
      </c>
      <c r="BD815" s="55" t="str">
        <f t="shared" si="148"/>
        <v/>
      </c>
      <c r="BE815" s="55" t="str">
        <f t="shared" si="149"/>
        <v/>
      </c>
      <c r="BF815" s="55" t="str">
        <f t="shared" si="150"/>
        <v/>
      </c>
      <c r="BG815" s="55" t="str">
        <f t="shared" si="151"/>
        <v/>
      </c>
      <c r="BH815" s="55" t="str">
        <f t="shared" si="152"/>
        <v/>
      </c>
      <c r="BI815" s="55" t="str">
        <f t="shared" si="153"/>
        <v/>
      </c>
      <c r="BJ815" s="55" t="str">
        <f t="shared" si="154"/>
        <v/>
      </c>
      <c r="BK815" s="55" t="str">
        <f t="shared" si="155"/>
        <v/>
      </c>
    </row>
    <row r="816" spans="22:63">
      <c r="V816" s="55">
        <f t="shared" ca="1" si="144"/>
        <v>1</v>
      </c>
      <c r="W816" s="64"/>
      <c r="X816" s="65"/>
      <c r="Y816" s="65"/>
      <c r="Z816" s="65"/>
      <c r="AA816" s="64"/>
      <c r="AB816" s="65"/>
      <c r="AC816" s="64"/>
      <c r="AD816" s="65"/>
      <c r="AE816" s="64"/>
      <c r="AF816" s="65"/>
      <c r="AG816" s="65"/>
      <c r="AH816" s="66" t="str">
        <f t="shared" si="145"/>
        <v/>
      </c>
      <c r="AI816" s="64"/>
      <c r="AJ816" s="65"/>
      <c r="AK816" s="64"/>
      <c r="AL816" s="65"/>
      <c r="BB816" s="55" t="str">
        <f t="shared" si="146"/>
        <v/>
      </c>
      <c r="BC816" s="55" t="str">
        <f t="shared" si="147"/>
        <v/>
      </c>
      <c r="BD816" s="55" t="str">
        <f t="shared" si="148"/>
        <v/>
      </c>
      <c r="BE816" s="55" t="str">
        <f t="shared" si="149"/>
        <v/>
      </c>
      <c r="BF816" s="55" t="str">
        <f t="shared" si="150"/>
        <v/>
      </c>
      <c r="BG816" s="55" t="str">
        <f t="shared" si="151"/>
        <v/>
      </c>
      <c r="BH816" s="55" t="str">
        <f t="shared" si="152"/>
        <v/>
      </c>
      <c r="BI816" s="55" t="str">
        <f t="shared" si="153"/>
        <v/>
      </c>
      <c r="BJ816" s="55" t="str">
        <f t="shared" si="154"/>
        <v/>
      </c>
      <c r="BK816" s="55" t="str">
        <f t="shared" si="155"/>
        <v/>
      </c>
    </row>
    <row r="817" spans="22:63">
      <c r="V817" s="55">
        <f t="shared" ca="1" si="144"/>
        <v>1</v>
      </c>
      <c r="W817" s="64"/>
      <c r="X817" s="65"/>
      <c r="Y817" s="65"/>
      <c r="Z817" s="65"/>
      <c r="AA817" s="64"/>
      <c r="AB817" s="65"/>
      <c r="AC817" s="64"/>
      <c r="AD817" s="65"/>
      <c r="AE817" s="64"/>
      <c r="AF817" s="65"/>
      <c r="AG817" s="65"/>
      <c r="AH817" s="66" t="str">
        <f t="shared" si="145"/>
        <v/>
      </c>
      <c r="AI817" s="64"/>
      <c r="AJ817" s="65"/>
      <c r="AK817" s="64"/>
      <c r="AL817" s="65"/>
      <c r="BB817" s="55" t="str">
        <f t="shared" si="146"/>
        <v/>
      </c>
      <c r="BC817" s="55" t="str">
        <f t="shared" si="147"/>
        <v/>
      </c>
      <c r="BD817" s="55" t="str">
        <f t="shared" si="148"/>
        <v/>
      </c>
      <c r="BE817" s="55" t="str">
        <f t="shared" si="149"/>
        <v/>
      </c>
      <c r="BF817" s="55" t="str">
        <f t="shared" si="150"/>
        <v/>
      </c>
      <c r="BG817" s="55" t="str">
        <f t="shared" si="151"/>
        <v/>
      </c>
      <c r="BH817" s="55" t="str">
        <f t="shared" si="152"/>
        <v/>
      </c>
      <c r="BI817" s="55" t="str">
        <f t="shared" si="153"/>
        <v/>
      </c>
      <c r="BJ817" s="55" t="str">
        <f t="shared" si="154"/>
        <v/>
      </c>
      <c r="BK817" s="55" t="str">
        <f t="shared" si="155"/>
        <v/>
      </c>
    </row>
    <row r="818" spans="22:63">
      <c r="V818" s="55">
        <f t="shared" ca="1" si="144"/>
        <v>1</v>
      </c>
      <c r="W818" s="64"/>
      <c r="X818" s="65"/>
      <c r="Y818" s="65"/>
      <c r="Z818" s="65"/>
      <c r="AA818" s="64"/>
      <c r="AB818" s="65"/>
      <c r="AC818" s="64"/>
      <c r="AD818" s="65"/>
      <c r="AE818" s="64"/>
      <c r="AF818" s="65"/>
      <c r="AG818" s="65"/>
      <c r="AH818" s="66" t="str">
        <f t="shared" si="145"/>
        <v/>
      </c>
      <c r="AI818" s="64"/>
      <c r="AJ818" s="65"/>
      <c r="AK818" s="64"/>
      <c r="AL818" s="65"/>
      <c r="BB818" s="55" t="str">
        <f t="shared" si="146"/>
        <v/>
      </c>
      <c r="BC818" s="55" t="str">
        <f t="shared" si="147"/>
        <v/>
      </c>
      <c r="BD818" s="55" t="str">
        <f t="shared" si="148"/>
        <v/>
      </c>
      <c r="BE818" s="55" t="str">
        <f t="shared" si="149"/>
        <v/>
      </c>
      <c r="BF818" s="55" t="str">
        <f t="shared" si="150"/>
        <v/>
      </c>
      <c r="BG818" s="55" t="str">
        <f t="shared" si="151"/>
        <v/>
      </c>
      <c r="BH818" s="55" t="str">
        <f t="shared" si="152"/>
        <v/>
      </c>
      <c r="BI818" s="55" t="str">
        <f t="shared" si="153"/>
        <v/>
      </c>
      <c r="BJ818" s="55" t="str">
        <f t="shared" si="154"/>
        <v/>
      </c>
      <c r="BK818" s="55" t="str">
        <f t="shared" si="155"/>
        <v/>
      </c>
    </row>
    <row r="819" spans="22:63">
      <c r="V819" s="55">
        <f t="shared" ca="1" si="144"/>
        <v>1</v>
      </c>
      <c r="W819" s="64"/>
      <c r="X819" s="65"/>
      <c r="Y819" s="65"/>
      <c r="Z819" s="65"/>
      <c r="AA819" s="64"/>
      <c r="AB819" s="65"/>
      <c r="AC819" s="64"/>
      <c r="AD819" s="65"/>
      <c r="AE819" s="64"/>
      <c r="AF819" s="65"/>
      <c r="AG819" s="65"/>
      <c r="AH819" s="66" t="str">
        <f t="shared" si="145"/>
        <v/>
      </c>
      <c r="AI819" s="64"/>
      <c r="AJ819" s="65"/>
      <c r="AK819" s="64"/>
      <c r="AL819" s="65"/>
      <c r="BB819" s="55" t="str">
        <f t="shared" si="146"/>
        <v/>
      </c>
      <c r="BC819" s="55" t="str">
        <f t="shared" si="147"/>
        <v/>
      </c>
      <c r="BD819" s="55" t="str">
        <f t="shared" si="148"/>
        <v/>
      </c>
      <c r="BE819" s="55" t="str">
        <f t="shared" si="149"/>
        <v/>
      </c>
      <c r="BF819" s="55" t="str">
        <f t="shared" si="150"/>
        <v/>
      </c>
      <c r="BG819" s="55" t="str">
        <f t="shared" si="151"/>
        <v/>
      </c>
      <c r="BH819" s="55" t="str">
        <f t="shared" si="152"/>
        <v/>
      </c>
      <c r="BI819" s="55" t="str">
        <f t="shared" si="153"/>
        <v/>
      </c>
      <c r="BJ819" s="55" t="str">
        <f t="shared" si="154"/>
        <v/>
      </c>
      <c r="BK819" s="55" t="str">
        <f t="shared" si="155"/>
        <v/>
      </c>
    </row>
    <row r="820" spans="22:63">
      <c r="V820" s="55">
        <f t="shared" ca="1" si="144"/>
        <v>1</v>
      </c>
      <c r="W820" s="64"/>
      <c r="X820" s="65"/>
      <c r="Y820" s="65"/>
      <c r="Z820" s="65"/>
      <c r="AA820" s="64"/>
      <c r="AB820" s="65"/>
      <c r="AC820" s="64"/>
      <c r="AD820" s="65"/>
      <c r="AE820" s="64"/>
      <c r="AF820" s="65"/>
      <c r="AG820" s="65"/>
      <c r="AH820" s="66" t="str">
        <f t="shared" si="145"/>
        <v/>
      </c>
      <c r="AI820" s="64"/>
      <c r="AJ820" s="65"/>
      <c r="AK820" s="64"/>
      <c r="AL820" s="65"/>
      <c r="BB820" s="55" t="str">
        <f t="shared" si="146"/>
        <v/>
      </c>
      <c r="BC820" s="55" t="str">
        <f t="shared" si="147"/>
        <v/>
      </c>
      <c r="BD820" s="55" t="str">
        <f t="shared" si="148"/>
        <v/>
      </c>
      <c r="BE820" s="55" t="str">
        <f t="shared" si="149"/>
        <v/>
      </c>
      <c r="BF820" s="55" t="str">
        <f t="shared" si="150"/>
        <v/>
      </c>
      <c r="BG820" s="55" t="str">
        <f t="shared" si="151"/>
        <v/>
      </c>
      <c r="BH820" s="55" t="str">
        <f t="shared" si="152"/>
        <v/>
      </c>
      <c r="BI820" s="55" t="str">
        <f t="shared" si="153"/>
        <v/>
      </c>
      <c r="BJ820" s="55" t="str">
        <f t="shared" si="154"/>
        <v/>
      </c>
      <c r="BK820" s="55" t="str">
        <f t="shared" si="155"/>
        <v/>
      </c>
    </row>
    <row r="821" spans="22:63">
      <c r="V821" s="55">
        <f t="shared" ca="1" si="144"/>
        <v>1</v>
      </c>
      <c r="W821" s="64"/>
      <c r="X821" s="65"/>
      <c r="Y821" s="65"/>
      <c r="Z821" s="65"/>
      <c r="AA821" s="64"/>
      <c r="AB821" s="65"/>
      <c r="AC821" s="64"/>
      <c r="AD821" s="65"/>
      <c r="AE821" s="64"/>
      <c r="AF821" s="65"/>
      <c r="AG821" s="65"/>
      <c r="AH821" s="66" t="str">
        <f t="shared" si="145"/>
        <v/>
      </c>
      <c r="AI821" s="64"/>
      <c r="AJ821" s="65"/>
      <c r="AK821" s="64"/>
      <c r="AL821" s="65"/>
      <c r="BB821" s="55" t="str">
        <f t="shared" si="146"/>
        <v/>
      </c>
      <c r="BC821" s="55" t="str">
        <f t="shared" si="147"/>
        <v/>
      </c>
      <c r="BD821" s="55" t="str">
        <f t="shared" si="148"/>
        <v/>
      </c>
      <c r="BE821" s="55" t="str">
        <f t="shared" si="149"/>
        <v/>
      </c>
      <c r="BF821" s="55" t="str">
        <f t="shared" si="150"/>
        <v/>
      </c>
      <c r="BG821" s="55" t="str">
        <f t="shared" si="151"/>
        <v/>
      </c>
      <c r="BH821" s="55" t="str">
        <f t="shared" si="152"/>
        <v/>
      </c>
      <c r="BI821" s="55" t="str">
        <f t="shared" si="153"/>
        <v/>
      </c>
      <c r="BJ821" s="55" t="str">
        <f t="shared" si="154"/>
        <v/>
      </c>
      <c r="BK821" s="55" t="str">
        <f t="shared" si="155"/>
        <v/>
      </c>
    </row>
    <row r="822" spans="22:63">
      <c r="V822" s="55">
        <f t="shared" ca="1" si="144"/>
        <v>1</v>
      </c>
      <c r="W822" s="64"/>
      <c r="X822" s="65"/>
      <c r="Y822" s="65"/>
      <c r="Z822" s="65"/>
      <c r="AA822" s="64"/>
      <c r="AB822" s="65"/>
      <c r="AC822" s="64"/>
      <c r="AD822" s="65"/>
      <c r="AE822" s="64"/>
      <c r="AF822" s="65"/>
      <c r="AG822" s="65"/>
      <c r="AH822" s="66" t="str">
        <f t="shared" si="145"/>
        <v/>
      </c>
      <c r="AI822" s="64"/>
      <c r="AJ822" s="65"/>
      <c r="AK822" s="64"/>
      <c r="AL822" s="65"/>
      <c r="BB822" s="55" t="str">
        <f t="shared" si="146"/>
        <v/>
      </c>
      <c r="BC822" s="55" t="str">
        <f t="shared" si="147"/>
        <v/>
      </c>
      <c r="BD822" s="55" t="str">
        <f t="shared" si="148"/>
        <v/>
      </c>
      <c r="BE822" s="55" t="str">
        <f t="shared" si="149"/>
        <v/>
      </c>
      <c r="BF822" s="55" t="str">
        <f t="shared" si="150"/>
        <v/>
      </c>
      <c r="BG822" s="55" t="str">
        <f t="shared" si="151"/>
        <v/>
      </c>
      <c r="BH822" s="55" t="str">
        <f t="shared" si="152"/>
        <v/>
      </c>
      <c r="BI822" s="55" t="str">
        <f t="shared" si="153"/>
        <v/>
      </c>
      <c r="BJ822" s="55" t="str">
        <f t="shared" si="154"/>
        <v/>
      </c>
      <c r="BK822" s="55" t="str">
        <f t="shared" si="155"/>
        <v/>
      </c>
    </row>
    <row r="823" spans="22:63">
      <c r="V823" s="55">
        <f t="shared" ca="1" si="144"/>
        <v>1</v>
      </c>
      <c r="W823" s="64"/>
      <c r="X823" s="65"/>
      <c r="Y823" s="65"/>
      <c r="Z823" s="65"/>
      <c r="AA823" s="64"/>
      <c r="AB823" s="65"/>
      <c r="AC823" s="64"/>
      <c r="AD823" s="65"/>
      <c r="AE823" s="64"/>
      <c r="AF823" s="65"/>
      <c r="AG823" s="65"/>
      <c r="AH823" s="66" t="str">
        <f t="shared" si="145"/>
        <v/>
      </c>
      <c r="AI823" s="64"/>
      <c r="AJ823" s="65"/>
      <c r="AK823" s="64"/>
      <c r="AL823" s="65"/>
      <c r="BB823" s="55" t="str">
        <f t="shared" si="146"/>
        <v/>
      </c>
      <c r="BC823" s="55" t="str">
        <f t="shared" si="147"/>
        <v/>
      </c>
      <c r="BD823" s="55" t="str">
        <f t="shared" si="148"/>
        <v/>
      </c>
      <c r="BE823" s="55" t="str">
        <f t="shared" si="149"/>
        <v/>
      </c>
      <c r="BF823" s="55" t="str">
        <f t="shared" si="150"/>
        <v/>
      </c>
      <c r="BG823" s="55" t="str">
        <f t="shared" si="151"/>
        <v/>
      </c>
      <c r="BH823" s="55" t="str">
        <f t="shared" si="152"/>
        <v/>
      </c>
      <c r="BI823" s="55" t="str">
        <f t="shared" si="153"/>
        <v/>
      </c>
      <c r="BJ823" s="55" t="str">
        <f t="shared" si="154"/>
        <v/>
      </c>
      <c r="BK823" s="55" t="str">
        <f t="shared" si="155"/>
        <v/>
      </c>
    </row>
    <row r="824" spans="22:63">
      <c r="V824" s="55">
        <f t="shared" ca="1" si="144"/>
        <v>1</v>
      </c>
      <c r="W824" s="64"/>
      <c r="X824" s="65"/>
      <c r="Y824" s="65"/>
      <c r="Z824" s="65"/>
      <c r="AA824" s="64"/>
      <c r="AB824" s="65"/>
      <c r="AC824" s="64"/>
      <c r="AD824" s="65"/>
      <c r="AE824" s="64"/>
      <c r="AF824" s="65"/>
      <c r="AG824" s="65"/>
      <c r="AH824" s="66" t="str">
        <f t="shared" si="145"/>
        <v/>
      </c>
      <c r="AI824" s="64"/>
      <c r="AJ824" s="65"/>
      <c r="AK824" s="64"/>
      <c r="AL824" s="65"/>
      <c r="BB824" s="55" t="str">
        <f t="shared" si="146"/>
        <v/>
      </c>
      <c r="BC824" s="55" t="str">
        <f t="shared" si="147"/>
        <v/>
      </c>
      <c r="BD824" s="55" t="str">
        <f t="shared" si="148"/>
        <v/>
      </c>
      <c r="BE824" s="55" t="str">
        <f t="shared" si="149"/>
        <v/>
      </c>
      <c r="BF824" s="55" t="str">
        <f t="shared" si="150"/>
        <v/>
      </c>
      <c r="BG824" s="55" t="str">
        <f t="shared" si="151"/>
        <v/>
      </c>
      <c r="BH824" s="55" t="str">
        <f t="shared" si="152"/>
        <v/>
      </c>
      <c r="BI824" s="55" t="str">
        <f t="shared" si="153"/>
        <v/>
      </c>
      <c r="BJ824" s="55" t="str">
        <f t="shared" si="154"/>
        <v/>
      </c>
      <c r="BK824" s="55" t="str">
        <f t="shared" si="155"/>
        <v/>
      </c>
    </row>
    <row r="825" spans="22:63">
      <c r="V825" s="55">
        <f t="shared" ca="1" si="144"/>
        <v>1</v>
      </c>
      <c r="W825" s="64"/>
      <c r="X825" s="65"/>
      <c r="Y825" s="65"/>
      <c r="Z825" s="65"/>
      <c r="AA825" s="64"/>
      <c r="AB825" s="65"/>
      <c r="AC825" s="64"/>
      <c r="AD825" s="65"/>
      <c r="AE825" s="64"/>
      <c r="AF825" s="65"/>
      <c r="AG825" s="65"/>
      <c r="AH825" s="66" t="str">
        <f t="shared" si="145"/>
        <v/>
      </c>
      <c r="AI825" s="64"/>
      <c r="AJ825" s="65"/>
      <c r="AK825" s="64"/>
      <c r="AL825" s="65"/>
      <c r="BB825" s="55" t="str">
        <f t="shared" si="146"/>
        <v/>
      </c>
      <c r="BC825" s="55" t="str">
        <f t="shared" si="147"/>
        <v/>
      </c>
      <c r="BD825" s="55" t="str">
        <f t="shared" si="148"/>
        <v/>
      </c>
      <c r="BE825" s="55" t="str">
        <f t="shared" si="149"/>
        <v/>
      </c>
      <c r="BF825" s="55" t="str">
        <f t="shared" si="150"/>
        <v/>
      </c>
      <c r="BG825" s="55" t="str">
        <f t="shared" si="151"/>
        <v/>
      </c>
      <c r="BH825" s="55" t="str">
        <f t="shared" si="152"/>
        <v/>
      </c>
      <c r="BI825" s="55" t="str">
        <f t="shared" si="153"/>
        <v/>
      </c>
      <c r="BJ825" s="55" t="str">
        <f t="shared" si="154"/>
        <v/>
      </c>
      <c r="BK825" s="55" t="str">
        <f t="shared" si="155"/>
        <v/>
      </c>
    </row>
    <row r="826" spans="22:63">
      <c r="V826" s="55">
        <f t="shared" ca="1" si="144"/>
        <v>1</v>
      </c>
      <c r="W826" s="64"/>
      <c r="X826" s="65"/>
      <c r="Y826" s="65"/>
      <c r="Z826" s="65"/>
      <c r="AA826" s="64"/>
      <c r="AB826" s="65"/>
      <c r="AC826" s="64"/>
      <c r="AD826" s="65"/>
      <c r="AE826" s="64"/>
      <c r="AF826" s="65"/>
      <c r="AG826" s="65"/>
      <c r="AH826" s="66" t="str">
        <f t="shared" si="145"/>
        <v/>
      </c>
      <c r="AI826" s="64"/>
      <c r="AJ826" s="65"/>
      <c r="AK826" s="64"/>
      <c r="AL826" s="65"/>
      <c r="BB826" s="55" t="str">
        <f t="shared" si="146"/>
        <v/>
      </c>
      <c r="BC826" s="55" t="str">
        <f t="shared" si="147"/>
        <v/>
      </c>
      <c r="BD826" s="55" t="str">
        <f t="shared" si="148"/>
        <v/>
      </c>
      <c r="BE826" s="55" t="str">
        <f t="shared" si="149"/>
        <v/>
      </c>
      <c r="BF826" s="55" t="str">
        <f t="shared" si="150"/>
        <v/>
      </c>
      <c r="BG826" s="55" t="str">
        <f t="shared" si="151"/>
        <v/>
      </c>
      <c r="BH826" s="55" t="str">
        <f t="shared" si="152"/>
        <v/>
      </c>
      <c r="BI826" s="55" t="str">
        <f t="shared" si="153"/>
        <v/>
      </c>
      <c r="BJ826" s="55" t="str">
        <f t="shared" si="154"/>
        <v/>
      </c>
      <c r="BK826" s="55" t="str">
        <f t="shared" si="155"/>
        <v/>
      </c>
    </row>
    <row r="827" spans="22:63">
      <c r="V827" s="55">
        <f t="shared" ca="1" si="144"/>
        <v>1</v>
      </c>
      <c r="W827" s="64"/>
      <c r="X827" s="65"/>
      <c r="Y827" s="65"/>
      <c r="Z827" s="65"/>
      <c r="AA827" s="64"/>
      <c r="AB827" s="65"/>
      <c r="AC827" s="64"/>
      <c r="AD827" s="65"/>
      <c r="AE827" s="64"/>
      <c r="AF827" s="65"/>
      <c r="AG827" s="65"/>
      <c r="AH827" s="66" t="str">
        <f t="shared" si="145"/>
        <v/>
      </c>
      <c r="AI827" s="64"/>
      <c r="AJ827" s="65"/>
      <c r="AK827" s="64"/>
      <c r="AL827" s="65"/>
      <c r="BB827" s="55" t="str">
        <f t="shared" si="146"/>
        <v/>
      </c>
      <c r="BC827" s="55" t="str">
        <f t="shared" si="147"/>
        <v/>
      </c>
      <c r="BD827" s="55" t="str">
        <f t="shared" si="148"/>
        <v/>
      </c>
      <c r="BE827" s="55" t="str">
        <f t="shared" si="149"/>
        <v/>
      </c>
      <c r="BF827" s="55" t="str">
        <f t="shared" si="150"/>
        <v/>
      </c>
      <c r="BG827" s="55" t="str">
        <f t="shared" si="151"/>
        <v/>
      </c>
      <c r="BH827" s="55" t="str">
        <f t="shared" si="152"/>
        <v/>
      </c>
      <c r="BI827" s="55" t="str">
        <f t="shared" si="153"/>
        <v/>
      </c>
      <c r="BJ827" s="55" t="str">
        <f t="shared" si="154"/>
        <v/>
      </c>
      <c r="BK827" s="55" t="str">
        <f t="shared" si="155"/>
        <v/>
      </c>
    </row>
    <row r="828" spans="22:63">
      <c r="V828" s="55">
        <f t="shared" ca="1" si="144"/>
        <v>1</v>
      </c>
      <c r="W828" s="64"/>
      <c r="X828" s="65"/>
      <c r="Y828" s="65"/>
      <c r="Z828" s="65"/>
      <c r="AA828" s="64"/>
      <c r="AB828" s="65"/>
      <c r="AC828" s="64"/>
      <c r="AD828" s="65"/>
      <c r="AE828" s="64"/>
      <c r="AF828" s="65"/>
      <c r="AG828" s="65"/>
      <c r="AH828" s="66" t="str">
        <f t="shared" si="145"/>
        <v/>
      </c>
      <c r="AI828" s="64"/>
      <c r="AJ828" s="65"/>
      <c r="AK828" s="64"/>
      <c r="AL828" s="65"/>
      <c r="BB828" s="55" t="str">
        <f t="shared" si="146"/>
        <v/>
      </c>
      <c r="BC828" s="55" t="str">
        <f t="shared" si="147"/>
        <v/>
      </c>
      <c r="BD828" s="55" t="str">
        <f t="shared" si="148"/>
        <v/>
      </c>
      <c r="BE828" s="55" t="str">
        <f t="shared" si="149"/>
        <v/>
      </c>
      <c r="BF828" s="55" t="str">
        <f t="shared" si="150"/>
        <v/>
      </c>
      <c r="BG828" s="55" t="str">
        <f t="shared" si="151"/>
        <v/>
      </c>
      <c r="BH828" s="55" t="str">
        <f t="shared" si="152"/>
        <v/>
      </c>
      <c r="BI828" s="55" t="str">
        <f t="shared" si="153"/>
        <v/>
      </c>
      <c r="BJ828" s="55" t="str">
        <f t="shared" si="154"/>
        <v/>
      </c>
      <c r="BK828" s="55" t="str">
        <f t="shared" si="155"/>
        <v/>
      </c>
    </row>
    <row r="829" spans="22:63">
      <c r="V829" s="55">
        <f t="shared" ca="1" si="144"/>
        <v>1</v>
      </c>
      <c r="W829" s="64"/>
      <c r="X829" s="65"/>
      <c r="Y829" s="65"/>
      <c r="Z829" s="65"/>
      <c r="AA829" s="64"/>
      <c r="AB829" s="65"/>
      <c r="AC829" s="64"/>
      <c r="AD829" s="65"/>
      <c r="AE829" s="64"/>
      <c r="AF829" s="65"/>
      <c r="AG829" s="65"/>
      <c r="AH829" s="66" t="str">
        <f t="shared" si="145"/>
        <v/>
      </c>
      <c r="AI829" s="64"/>
      <c r="AJ829" s="65"/>
      <c r="AK829" s="64"/>
      <c r="AL829" s="65"/>
      <c r="BB829" s="55" t="str">
        <f t="shared" si="146"/>
        <v/>
      </c>
      <c r="BC829" s="55" t="str">
        <f t="shared" si="147"/>
        <v/>
      </c>
      <c r="BD829" s="55" t="str">
        <f t="shared" si="148"/>
        <v/>
      </c>
      <c r="BE829" s="55" t="str">
        <f t="shared" si="149"/>
        <v/>
      </c>
      <c r="BF829" s="55" t="str">
        <f t="shared" si="150"/>
        <v/>
      </c>
      <c r="BG829" s="55" t="str">
        <f t="shared" si="151"/>
        <v/>
      </c>
      <c r="BH829" s="55" t="str">
        <f t="shared" si="152"/>
        <v/>
      </c>
      <c r="BI829" s="55" t="str">
        <f t="shared" si="153"/>
        <v/>
      </c>
      <c r="BJ829" s="55" t="str">
        <f t="shared" si="154"/>
        <v/>
      </c>
      <c r="BK829" s="55" t="str">
        <f t="shared" si="155"/>
        <v/>
      </c>
    </row>
    <row r="830" spans="22:63">
      <c r="V830" s="55">
        <f t="shared" ca="1" si="144"/>
        <v>1</v>
      </c>
      <c r="W830" s="64"/>
      <c r="X830" s="65"/>
      <c r="Y830" s="65"/>
      <c r="Z830" s="65"/>
      <c r="AA830" s="64"/>
      <c r="AB830" s="65"/>
      <c r="AC830" s="64"/>
      <c r="AD830" s="65"/>
      <c r="AE830" s="64"/>
      <c r="AF830" s="65"/>
      <c r="AG830" s="65"/>
      <c r="AH830" s="66" t="str">
        <f t="shared" si="145"/>
        <v/>
      </c>
      <c r="AI830" s="64"/>
      <c r="AJ830" s="65"/>
      <c r="AK830" s="64"/>
      <c r="AL830" s="65"/>
      <c r="BB830" s="55" t="str">
        <f t="shared" si="146"/>
        <v/>
      </c>
      <c r="BC830" s="55" t="str">
        <f t="shared" si="147"/>
        <v/>
      </c>
      <c r="BD830" s="55" t="str">
        <f t="shared" si="148"/>
        <v/>
      </c>
      <c r="BE830" s="55" t="str">
        <f t="shared" si="149"/>
        <v/>
      </c>
      <c r="BF830" s="55" t="str">
        <f t="shared" si="150"/>
        <v/>
      </c>
      <c r="BG830" s="55" t="str">
        <f t="shared" si="151"/>
        <v/>
      </c>
      <c r="BH830" s="55" t="str">
        <f t="shared" si="152"/>
        <v/>
      </c>
      <c r="BI830" s="55" t="str">
        <f t="shared" si="153"/>
        <v/>
      </c>
      <c r="BJ830" s="55" t="str">
        <f t="shared" si="154"/>
        <v/>
      </c>
      <c r="BK830" s="55" t="str">
        <f t="shared" si="155"/>
        <v/>
      </c>
    </row>
    <row r="831" spans="22:63">
      <c r="V831" s="55">
        <f t="shared" ca="1" si="144"/>
        <v>1</v>
      </c>
      <c r="W831" s="64"/>
      <c r="X831" s="65"/>
      <c r="Y831" s="65"/>
      <c r="Z831" s="65"/>
      <c r="AA831" s="64"/>
      <c r="AB831" s="65"/>
      <c r="AC831" s="64"/>
      <c r="AD831" s="65"/>
      <c r="AE831" s="64"/>
      <c r="AF831" s="65"/>
      <c r="AG831" s="65"/>
      <c r="AH831" s="66" t="str">
        <f t="shared" si="145"/>
        <v/>
      </c>
      <c r="AI831" s="64"/>
      <c r="AJ831" s="65"/>
      <c r="AK831" s="64"/>
      <c r="AL831" s="65"/>
      <c r="BB831" s="55" t="str">
        <f t="shared" si="146"/>
        <v/>
      </c>
      <c r="BC831" s="55" t="str">
        <f t="shared" si="147"/>
        <v/>
      </c>
      <c r="BD831" s="55" t="str">
        <f t="shared" si="148"/>
        <v/>
      </c>
      <c r="BE831" s="55" t="str">
        <f t="shared" si="149"/>
        <v/>
      </c>
      <c r="BF831" s="55" t="str">
        <f t="shared" si="150"/>
        <v/>
      </c>
      <c r="BG831" s="55" t="str">
        <f t="shared" si="151"/>
        <v/>
      </c>
      <c r="BH831" s="55" t="str">
        <f t="shared" si="152"/>
        <v/>
      </c>
      <c r="BI831" s="55" t="str">
        <f t="shared" si="153"/>
        <v/>
      </c>
      <c r="BJ831" s="55" t="str">
        <f t="shared" si="154"/>
        <v/>
      </c>
      <c r="BK831" s="55" t="str">
        <f t="shared" si="155"/>
        <v/>
      </c>
    </row>
    <row r="832" spans="22:63">
      <c r="V832" s="55">
        <f t="shared" ca="1" si="144"/>
        <v>1</v>
      </c>
      <c r="W832" s="64"/>
      <c r="X832" s="65"/>
      <c r="Y832" s="65"/>
      <c r="Z832" s="65"/>
      <c r="AA832" s="64"/>
      <c r="AB832" s="65"/>
      <c r="AC832" s="64"/>
      <c r="AD832" s="65"/>
      <c r="AE832" s="64"/>
      <c r="AF832" s="65"/>
      <c r="AG832" s="65"/>
      <c r="AH832" s="66" t="str">
        <f t="shared" si="145"/>
        <v/>
      </c>
      <c r="AI832" s="64"/>
      <c r="AJ832" s="65"/>
      <c r="AK832" s="64"/>
      <c r="AL832" s="65"/>
      <c r="BB832" s="55" t="str">
        <f t="shared" si="146"/>
        <v/>
      </c>
      <c r="BC832" s="55" t="str">
        <f t="shared" si="147"/>
        <v/>
      </c>
      <c r="BD832" s="55" t="str">
        <f t="shared" si="148"/>
        <v/>
      </c>
      <c r="BE832" s="55" t="str">
        <f t="shared" si="149"/>
        <v/>
      </c>
      <c r="BF832" s="55" t="str">
        <f t="shared" si="150"/>
        <v/>
      </c>
      <c r="BG832" s="55" t="str">
        <f t="shared" si="151"/>
        <v/>
      </c>
      <c r="BH832" s="55" t="str">
        <f t="shared" si="152"/>
        <v/>
      </c>
      <c r="BI832" s="55" t="str">
        <f t="shared" si="153"/>
        <v/>
      </c>
      <c r="BJ832" s="55" t="str">
        <f t="shared" si="154"/>
        <v/>
      </c>
      <c r="BK832" s="55" t="str">
        <f t="shared" si="155"/>
        <v/>
      </c>
    </row>
    <row r="833" spans="22:63">
      <c r="V833" s="55">
        <f t="shared" ca="1" si="144"/>
        <v>1</v>
      </c>
      <c r="W833" s="64"/>
      <c r="X833" s="65"/>
      <c r="Y833" s="65"/>
      <c r="Z833" s="65"/>
      <c r="AA833" s="64"/>
      <c r="AB833" s="65"/>
      <c r="AC833" s="64"/>
      <c r="AD833" s="65"/>
      <c r="AE833" s="64"/>
      <c r="AF833" s="65"/>
      <c r="AG833" s="65"/>
      <c r="AH833" s="66" t="str">
        <f t="shared" si="145"/>
        <v/>
      </c>
      <c r="AI833" s="64"/>
      <c r="AJ833" s="65"/>
      <c r="AK833" s="64"/>
      <c r="AL833" s="65"/>
      <c r="BB833" s="55" t="str">
        <f t="shared" si="146"/>
        <v/>
      </c>
      <c r="BC833" s="55" t="str">
        <f t="shared" si="147"/>
        <v/>
      </c>
      <c r="BD833" s="55" t="str">
        <f t="shared" si="148"/>
        <v/>
      </c>
      <c r="BE833" s="55" t="str">
        <f t="shared" si="149"/>
        <v/>
      </c>
      <c r="BF833" s="55" t="str">
        <f t="shared" si="150"/>
        <v/>
      </c>
      <c r="BG833" s="55" t="str">
        <f t="shared" si="151"/>
        <v/>
      </c>
      <c r="BH833" s="55" t="str">
        <f t="shared" si="152"/>
        <v/>
      </c>
      <c r="BI833" s="55" t="str">
        <f t="shared" si="153"/>
        <v/>
      </c>
      <c r="BJ833" s="55" t="str">
        <f t="shared" si="154"/>
        <v/>
      </c>
      <c r="BK833" s="55" t="str">
        <f t="shared" si="155"/>
        <v/>
      </c>
    </row>
    <row r="834" spans="22:63">
      <c r="V834" s="55">
        <f t="shared" ca="1" si="144"/>
        <v>1</v>
      </c>
      <c r="W834" s="64"/>
      <c r="X834" s="65"/>
      <c r="Y834" s="65"/>
      <c r="Z834" s="65"/>
      <c r="AA834" s="64"/>
      <c r="AB834" s="65"/>
      <c r="AC834" s="64"/>
      <c r="AD834" s="65"/>
      <c r="AE834" s="64"/>
      <c r="AF834" s="65"/>
      <c r="AG834" s="65"/>
      <c r="AH834" s="66" t="str">
        <f t="shared" si="145"/>
        <v/>
      </c>
      <c r="AI834" s="64"/>
      <c r="AJ834" s="65"/>
      <c r="AK834" s="64"/>
      <c r="AL834" s="65"/>
      <c r="BB834" s="55" t="str">
        <f t="shared" si="146"/>
        <v/>
      </c>
      <c r="BC834" s="55" t="str">
        <f t="shared" si="147"/>
        <v/>
      </c>
      <c r="BD834" s="55" t="str">
        <f t="shared" si="148"/>
        <v/>
      </c>
      <c r="BE834" s="55" t="str">
        <f t="shared" si="149"/>
        <v/>
      </c>
      <c r="BF834" s="55" t="str">
        <f t="shared" si="150"/>
        <v/>
      </c>
      <c r="BG834" s="55" t="str">
        <f t="shared" si="151"/>
        <v/>
      </c>
      <c r="BH834" s="55" t="str">
        <f t="shared" si="152"/>
        <v/>
      </c>
      <c r="BI834" s="55" t="str">
        <f t="shared" si="153"/>
        <v/>
      </c>
      <c r="BJ834" s="55" t="str">
        <f t="shared" si="154"/>
        <v/>
      </c>
      <c r="BK834" s="55" t="str">
        <f t="shared" si="155"/>
        <v/>
      </c>
    </row>
    <row r="835" spans="22:63">
      <c r="V835" s="55">
        <f t="shared" ca="1" si="144"/>
        <v>1</v>
      </c>
      <c r="W835" s="64"/>
      <c r="X835" s="65"/>
      <c r="Y835" s="65"/>
      <c r="Z835" s="65"/>
      <c r="AA835" s="64"/>
      <c r="AB835" s="65"/>
      <c r="AC835" s="64"/>
      <c r="AD835" s="65"/>
      <c r="AE835" s="64"/>
      <c r="AF835" s="65"/>
      <c r="AG835" s="65"/>
      <c r="AH835" s="66" t="str">
        <f t="shared" si="145"/>
        <v/>
      </c>
      <c r="AI835" s="64"/>
      <c r="AJ835" s="65"/>
      <c r="AK835" s="64"/>
      <c r="AL835" s="65"/>
      <c r="BB835" s="55" t="str">
        <f t="shared" si="146"/>
        <v/>
      </c>
      <c r="BC835" s="55" t="str">
        <f t="shared" si="147"/>
        <v/>
      </c>
      <c r="BD835" s="55" t="str">
        <f t="shared" si="148"/>
        <v/>
      </c>
      <c r="BE835" s="55" t="str">
        <f t="shared" si="149"/>
        <v/>
      </c>
      <c r="BF835" s="55" t="str">
        <f t="shared" si="150"/>
        <v/>
      </c>
      <c r="BG835" s="55" t="str">
        <f t="shared" si="151"/>
        <v/>
      </c>
      <c r="BH835" s="55" t="str">
        <f t="shared" si="152"/>
        <v/>
      </c>
      <c r="BI835" s="55" t="str">
        <f t="shared" si="153"/>
        <v/>
      </c>
      <c r="BJ835" s="55" t="str">
        <f t="shared" si="154"/>
        <v/>
      </c>
      <c r="BK835" s="55" t="str">
        <f t="shared" si="155"/>
        <v/>
      </c>
    </row>
    <row r="836" spans="22:63">
      <c r="V836" s="55">
        <f t="shared" ca="1" si="144"/>
        <v>1</v>
      </c>
      <c r="W836" s="64"/>
      <c r="X836" s="65"/>
      <c r="Y836" s="65"/>
      <c r="Z836" s="65"/>
      <c r="AA836" s="64"/>
      <c r="AB836" s="65"/>
      <c r="AC836" s="64"/>
      <c r="AD836" s="65"/>
      <c r="AE836" s="64"/>
      <c r="AF836" s="65"/>
      <c r="AG836" s="65"/>
      <c r="AH836" s="66" t="str">
        <f t="shared" si="145"/>
        <v/>
      </c>
      <c r="AI836" s="64"/>
      <c r="AJ836" s="65"/>
      <c r="AK836" s="64"/>
      <c r="AL836" s="65"/>
      <c r="BB836" s="55" t="str">
        <f t="shared" si="146"/>
        <v/>
      </c>
      <c r="BC836" s="55" t="str">
        <f t="shared" si="147"/>
        <v/>
      </c>
      <c r="BD836" s="55" t="str">
        <f t="shared" si="148"/>
        <v/>
      </c>
      <c r="BE836" s="55" t="str">
        <f t="shared" si="149"/>
        <v/>
      </c>
      <c r="BF836" s="55" t="str">
        <f t="shared" si="150"/>
        <v/>
      </c>
      <c r="BG836" s="55" t="str">
        <f t="shared" si="151"/>
        <v/>
      </c>
      <c r="BH836" s="55" t="str">
        <f t="shared" si="152"/>
        <v/>
      </c>
      <c r="BI836" s="55" t="str">
        <f t="shared" si="153"/>
        <v/>
      </c>
      <c r="BJ836" s="55" t="str">
        <f t="shared" si="154"/>
        <v/>
      </c>
      <c r="BK836" s="55" t="str">
        <f t="shared" si="155"/>
        <v/>
      </c>
    </row>
    <row r="837" spans="22:63">
      <c r="V837" s="55">
        <f t="shared" ca="1" si="144"/>
        <v>1</v>
      </c>
      <c r="W837" s="64"/>
      <c r="X837" s="65"/>
      <c r="Y837" s="65"/>
      <c r="Z837" s="65"/>
      <c r="AA837" s="64"/>
      <c r="AB837" s="65"/>
      <c r="AC837" s="64"/>
      <c r="AD837" s="65"/>
      <c r="AE837" s="64"/>
      <c r="AF837" s="65"/>
      <c r="AG837" s="65"/>
      <c r="AH837" s="66" t="str">
        <f t="shared" si="145"/>
        <v/>
      </c>
      <c r="AI837" s="64"/>
      <c r="AJ837" s="65"/>
      <c r="AK837" s="64"/>
      <c r="AL837" s="65"/>
      <c r="BB837" s="55" t="str">
        <f t="shared" si="146"/>
        <v/>
      </c>
      <c r="BC837" s="55" t="str">
        <f t="shared" si="147"/>
        <v/>
      </c>
      <c r="BD837" s="55" t="str">
        <f t="shared" si="148"/>
        <v/>
      </c>
      <c r="BE837" s="55" t="str">
        <f t="shared" si="149"/>
        <v/>
      </c>
      <c r="BF837" s="55" t="str">
        <f t="shared" si="150"/>
        <v/>
      </c>
      <c r="BG837" s="55" t="str">
        <f t="shared" si="151"/>
        <v/>
      </c>
      <c r="BH837" s="55" t="str">
        <f t="shared" si="152"/>
        <v/>
      </c>
      <c r="BI837" s="55" t="str">
        <f t="shared" si="153"/>
        <v/>
      </c>
      <c r="BJ837" s="55" t="str">
        <f t="shared" si="154"/>
        <v/>
      </c>
      <c r="BK837" s="55" t="str">
        <f t="shared" si="155"/>
        <v/>
      </c>
    </row>
    <row r="838" spans="22:63">
      <c r="V838" s="55">
        <f t="shared" ca="1" si="144"/>
        <v>1</v>
      </c>
      <c r="W838" s="64"/>
      <c r="X838" s="65"/>
      <c r="Y838" s="65"/>
      <c r="Z838" s="65"/>
      <c r="AA838" s="64"/>
      <c r="AB838" s="65"/>
      <c r="AC838" s="64"/>
      <c r="AD838" s="65"/>
      <c r="AE838" s="64"/>
      <c r="AF838" s="65"/>
      <c r="AG838" s="65"/>
      <c r="AH838" s="66" t="str">
        <f t="shared" si="145"/>
        <v/>
      </c>
      <c r="AI838" s="64"/>
      <c r="AJ838" s="65"/>
      <c r="AK838" s="64"/>
      <c r="AL838" s="65"/>
      <c r="BB838" s="55" t="str">
        <f t="shared" si="146"/>
        <v/>
      </c>
      <c r="BC838" s="55" t="str">
        <f t="shared" si="147"/>
        <v/>
      </c>
      <c r="BD838" s="55" t="str">
        <f t="shared" si="148"/>
        <v/>
      </c>
      <c r="BE838" s="55" t="str">
        <f t="shared" si="149"/>
        <v/>
      </c>
      <c r="BF838" s="55" t="str">
        <f t="shared" si="150"/>
        <v/>
      </c>
      <c r="BG838" s="55" t="str">
        <f t="shared" si="151"/>
        <v/>
      </c>
      <c r="BH838" s="55" t="str">
        <f t="shared" si="152"/>
        <v/>
      </c>
      <c r="BI838" s="55" t="str">
        <f t="shared" si="153"/>
        <v/>
      </c>
      <c r="BJ838" s="55" t="str">
        <f t="shared" si="154"/>
        <v/>
      </c>
      <c r="BK838" s="55" t="str">
        <f t="shared" si="155"/>
        <v/>
      </c>
    </row>
    <row r="839" spans="22:63">
      <c r="V839" s="55">
        <f t="shared" ca="1" si="144"/>
        <v>1</v>
      </c>
      <c r="W839" s="64"/>
      <c r="X839" s="65"/>
      <c r="Y839" s="65"/>
      <c r="Z839" s="65"/>
      <c r="AA839" s="64"/>
      <c r="AB839" s="65"/>
      <c r="AC839" s="64"/>
      <c r="AD839" s="65"/>
      <c r="AE839" s="64"/>
      <c r="AF839" s="65"/>
      <c r="AG839" s="65"/>
      <c r="AH839" s="66" t="str">
        <f t="shared" si="145"/>
        <v/>
      </c>
      <c r="AI839" s="64"/>
      <c r="AJ839" s="65"/>
      <c r="AK839" s="64"/>
      <c r="AL839" s="65"/>
      <c r="BB839" s="55" t="str">
        <f t="shared" si="146"/>
        <v/>
      </c>
      <c r="BC839" s="55" t="str">
        <f t="shared" si="147"/>
        <v/>
      </c>
      <c r="BD839" s="55" t="str">
        <f t="shared" si="148"/>
        <v/>
      </c>
      <c r="BE839" s="55" t="str">
        <f t="shared" si="149"/>
        <v/>
      </c>
      <c r="BF839" s="55" t="str">
        <f t="shared" si="150"/>
        <v/>
      </c>
      <c r="BG839" s="55" t="str">
        <f t="shared" si="151"/>
        <v/>
      </c>
      <c r="BH839" s="55" t="str">
        <f t="shared" si="152"/>
        <v/>
      </c>
      <c r="BI839" s="55" t="str">
        <f t="shared" si="153"/>
        <v/>
      </c>
      <c r="BJ839" s="55" t="str">
        <f t="shared" si="154"/>
        <v/>
      </c>
      <c r="BK839" s="55" t="str">
        <f t="shared" si="155"/>
        <v/>
      </c>
    </row>
    <row r="840" spans="22:63">
      <c r="V840" s="55">
        <f t="shared" ca="1" si="144"/>
        <v>1</v>
      </c>
      <c r="W840" s="64"/>
      <c r="X840" s="65"/>
      <c r="Y840" s="65"/>
      <c r="Z840" s="65"/>
      <c r="AA840" s="64"/>
      <c r="AB840" s="65"/>
      <c r="AC840" s="64"/>
      <c r="AD840" s="65"/>
      <c r="AE840" s="64"/>
      <c r="AF840" s="65"/>
      <c r="AG840" s="65"/>
      <c r="AH840" s="66" t="str">
        <f t="shared" si="145"/>
        <v/>
      </c>
      <c r="AI840" s="64"/>
      <c r="AJ840" s="65"/>
      <c r="AK840" s="64"/>
      <c r="AL840" s="65"/>
      <c r="BB840" s="55" t="str">
        <f t="shared" si="146"/>
        <v/>
      </c>
      <c r="BC840" s="55" t="str">
        <f t="shared" si="147"/>
        <v/>
      </c>
      <c r="BD840" s="55" t="str">
        <f t="shared" si="148"/>
        <v/>
      </c>
      <c r="BE840" s="55" t="str">
        <f t="shared" si="149"/>
        <v/>
      </c>
      <c r="BF840" s="55" t="str">
        <f t="shared" si="150"/>
        <v/>
      </c>
      <c r="BG840" s="55" t="str">
        <f t="shared" si="151"/>
        <v/>
      </c>
      <c r="BH840" s="55" t="str">
        <f t="shared" si="152"/>
        <v/>
      </c>
      <c r="BI840" s="55" t="str">
        <f t="shared" si="153"/>
        <v/>
      </c>
      <c r="BJ840" s="55" t="str">
        <f t="shared" si="154"/>
        <v/>
      </c>
      <c r="BK840" s="55" t="str">
        <f t="shared" si="155"/>
        <v/>
      </c>
    </row>
    <row r="841" spans="22:63">
      <c r="V841" s="55">
        <f t="shared" ca="1" si="144"/>
        <v>1</v>
      </c>
      <c r="W841" s="64"/>
      <c r="X841" s="65"/>
      <c r="Y841" s="65"/>
      <c r="Z841" s="65"/>
      <c r="AA841" s="64"/>
      <c r="AB841" s="65"/>
      <c r="AC841" s="64"/>
      <c r="AD841" s="65"/>
      <c r="AE841" s="64"/>
      <c r="AF841" s="65"/>
      <c r="AG841" s="65"/>
      <c r="AH841" s="66" t="str">
        <f t="shared" si="145"/>
        <v/>
      </c>
      <c r="AI841" s="64"/>
      <c r="AJ841" s="65"/>
      <c r="AK841" s="64"/>
      <c r="AL841" s="65"/>
      <c r="BB841" s="55" t="str">
        <f t="shared" si="146"/>
        <v/>
      </c>
      <c r="BC841" s="55" t="str">
        <f t="shared" si="147"/>
        <v/>
      </c>
      <c r="BD841" s="55" t="str">
        <f t="shared" si="148"/>
        <v/>
      </c>
      <c r="BE841" s="55" t="str">
        <f t="shared" si="149"/>
        <v/>
      </c>
      <c r="BF841" s="55" t="str">
        <f t="shared" si="150"/>
        <v/>
      </c>
      <c r="BG841" s="55" t="str">
        <f t="shared" si="151"/>
        <v/>
      </c>
      <c r="BH841" s="55" t="str">
        <f t="shared" si="152"/>
        <v/>
      </c>
      <c r="BI841" s="55" t="str">
        <f t="shared" si="153"/>
        <v/>
      </c>
      <c r="BJ841" s="55" t="str">
        <f t="shared" si="154"/>
        <v/>
      </c>
      <c r="BK841" s="55" t="str">
        <f t="shared" si="155"/>
        <v/>
      </c>
    </row>
    <row r="842" spans="22:63">
      <c r="V842" s="55">
        <f t="shared" ca="1" si="144"/>
        <v>1</v>
      </c>
      <c r="W842" s="64"/>
      <c r="X842" s="65"/>
      <c r="Y842" s="65"/>
      <c r="Z842" s="65"/>
      <c r="AA842" s="64"/>
      <c r="AB842" s="65"/>
      <c r="AC842" s="64"/>
      <c r="AD842" s="65"/>
      <c r="AE842" s="64"/>
      <c r="AF842" s="65"/>
      <c r="AG842" s="65"/>
      <c r="AH842" s="66" t="str">
        <f t="shared" si="145"/>
        <v/>
      </c>
      <c r="AI842" s="64"/>
      <c r="AJ842" s="65"/>
      <c r="AK842" s="64"/>
      <c r="AL842" s="65"/>
      <c r="BB842" s="55" t="str">
        <f t="shared" si="146"/>
        <v/>
      </c>
      <c r="BC842" s="55" t="str">
        <f t="shared" si="147"/>
        <v/>
      </c>
      <c r="BD842" s="55" t="str">
        <f t="shared" si="148"/>
        <v/>
      </c>
      <c r="BE842" s="55" t="str">
        <f t="shared" si="149"/>
        <v/>
      </c>
      <c r="BF842" s="55" t="str">
        <f t="shared" si="150"/>
        <v/>
      </c>
      <c r="BG842" s="55" t="str">
        <f t="shared" si="151"/>
        <v/>
      </c>
      <c r="BH842" s="55" t="str">
        <f t="shared" si="152"/>
        <v/>
      </c>
      <c r="BI842" s="55" t="str">
        <f t="shared" si="153"/>
        <v/>
      </c>
      <c r="BJ842" s="55" t="str">
        <f t="shared" si="154"/>
        <v/>
      </c>
      <c r="BK842" s="55" t="str">
        <f t="shared" si="155"/>
        <v/>
      </c>
    </row>
    <row r="843" spans="22:63">
      <c r="V843" s="55">
        <f t="shared" ref="V843:V906" ca="1" si="156">IF(ISBLANK($W843),IF(ISNUMBER(INDIRECT("S"&amp;ROW($V843)-1)),INDIRECT("S"&amp;ROW($V843)-1),1),$W843)</f>
        <v>1</v>
      </c>
      <c r="W843" s="64"/>
      <c r="X843" s="65"/>
      <c r="Y843" s="65"/>
      <c r="Z843" s="65"/>
      <c r="AA843" s="64"/>
      <c r="AB843" s="65"/>
      <c r="AC843" s="64"/>
      <c r="AD843" s="65"/>
      <c r="AE843" s="64"/>
      <c r="AF843" s="65"/>
      <c r="AG843" s="65"/>
      <c r="AH843" s="66" t="str">
        <f t="shared" ref="AH843:AH906" si="157">IF(ISNUMBER($BI843), $BH843&amp;" - "&amp;$BJ843,"")</f>
        <v/>
      </c>
      <c r="AI843" s="64"/>
      <c r="AJ843" s="65"/>
      <c r="AK843" s="64"/>
      <c r="AL843" s="65"/>
      <c r="BB843" s="55" t="str">
        <f t="shared" ref="BB843:BB906" si="158">IF(ISBLANK($Z843),"",VLOOKUP($Z843,$A$11:$B$1010,2,FALSE))</f>
        <v/>
      </c>
      <c r="BC843" s="55" t="str">
        <f t="shared" ref="BC843:BC906" si="159">IF(ISBLANK($AA843),"",VLOOKUP($AA843,$D$11:$E$1010,2,FALSE))</f>
        <v/>
      </c>
      <c r="BD843" s="55" t="str">
        <f t="shared" ref="BD843:BD906" si="160">IF(ISBLANK($AC843),"",VLOOKUP($AC843,$H$11:$I$1010,2,FALSE))</f>
        <v/>
      </c>
      <c r="BE843" s="55" t="str">
        <f t="shared" ref="BE843:BE906" si="161">IF(ISBLANK($AF843),"",VLOOKUP($AF843,$L$11:$M$1010,2,FALSE))</f>
        <v/>
      </c>
      <c r="BF843" s="55" t="str">
        <f t="shared" ref="BF843:BF906" si="162">IF(ISNUMBER($BC843),VLOOKUP($BC843,$E$11:$F$1010,2,FALSE),"")</f>
        <v/>
      </c>
      <c r="BG843" s="55" t="str">
        <f t="shared" ref="BG843:BG906" si="163">IF(ISNUMBER($BD843),VLOOKUP($BD843,$I$11:$J$1010,2,FALSE),"")</f>
        <v/>
      </c>
      <c r="BH843" s="55" t="str">
        <f t="shared" ref="BH843:BH906" si="164">IF(AND(ISNUMBER($BF843),ISNUMBER($BG843)),$BF843*$BG843,"")</f>
        <v/>
      </c>
      <c r="BI843" s="55" t="str">
        <f t="shared" ref="BI843:BI906" si="165">IF(ISNUMBER($BH843),LOOKUP($BH843,lower_limit_level_risiko,id_level_risiko),"")</f>
        <v/>
      </c>
      <c r="BJ843" s="55" t="str">
        <f t="shared" ref="BJ843:BJ906" si="166">IF(ISNUMBER($BH843),LOOKUP($BH843,lower_limit_level_risiko,description_level_risiko),"")</f>
        <v/>
      </c>
      <c r="BK843" s="55" t="str">
        <f t="shared" ref="BK843:BK906" si="167">IF(ISBLANK($X843),"",VLOOKUP($X843,$T$11:$U$1010,2,FALSE))</f>
        <v/>
      </c>
    </row>
    <row r="844" spans="22:63">
      <c r="V844" s="55">
        <f t="shared" ca="1" si="156"/>
        <v>1</v>
      </c>
      <c r="W844" s="64"/>
      <c r="X844" s="65"/>
      <c r="Y844" s="65"/>
      <c r="Z844" s="65"/>
      <c r="AA844" s="64"/>
      <c r="AB844" s="65"/>
      <c r="AC844" s="64"/>
      <c r="AD844" s="65"/>
      <c r="AE844" s="64"/>
      <c r="AF844" s="65"/>
      <c r="AG844" s="65"/>
      <c r="AH844" s="66" t="str">
        <f t="shared" si="157"/>
        <v/>
      </c>
      <c r="AI844" s="64"/>
      <c r="AJ844" s="65"/>
      <c r="AK844" s="64"/>
      <c r="AL844" s="65"/>
      <c r="BB844" s="55" t="str">
        <f t="shared" si="158"/>
        <v/>
      </c>
      <c r="BC844" s="55" t="str">
        <f t="shared" si="159"/>
        <v/>
      </c>
      <c r="BD844" s="55" t="str">
        <f t="shared" si="160"/>
        <v/>
      </c>
      <c r="BE844" s="55" t="str">
        <f t="shared" si="161"/>
        <v/>
      </c>
      <c r="BF844" s="55" t="str">
        <f t="shared" si="162"/>
        <v/>
      </c>
      <c r="BG844" s="55" t="str">
        <f t="shared" si="163"/>
        <v/>
      </c>
      <c r="BH844" s="55" t="str">
        <f t="shared" si="164"/>
        <v/>
      </c>
      <c r="BI844" s="55" t="str">
        <f t="shared" si="165"/>
        <v/>
      </c>
      <c r="BJ844" s="55" t="str">
        <f t="shared" si="166"/>
        <v/>
      </c>
      <c r="BK844" s="55" t="str">
        <f t="shared" si="167"/>
        <v/>
      </c>
    </row>
    <row r="845" spans="22:63">
      <c r="V845" s="55">
        <f t="shared" ca="1" si="156"/>
        <v>1</v>
      </c>
      <c r="W845" s="64"/>
      <c r="X845" s="65"/>
      <c r="Y845" s="65"/>
      <c r="Z845" s="65"/>
      <c r="AA845" s="64"/>
      <c r="AB845" s="65"/>
      <c r="AC845" s="64"/>
      <c r="AD845" s="65"/>
      <c r="AE845" s="64"/>
      <c r="AF845" s="65"/>
      <c r="AG845" s="65"/>
      <c r="AH845" s="66" t="str">
        <f t="shared" si="157"/>
        <v/>
      </c>
      <c r="AI845" s="64"/>
      <c r="AJ845" s="65"/>
      <c r="AK845" s="64"/>
      <c r="AL845" s="65"/>
      <c r="BB845" s="55" t="str">
        <f t="shared" si="158"/>
        <v/>
      </c>
      <c r="BC845" s="55" t="str">
        <f t="shared" si="159"/>
        <v/>
      </c>
      <c r="BD845" s="55" t="str">
        <f t="shared" si="160"/>
        <v/>
      </c>
      <c r="BE845" s="55" t="str">
        <f t="shared" si="161"/>
        <v/>
      </c>
      <c r="BF845" s="55" t="str">
        <f t="shared" si="162"/>
        <v/>
      </c>
      <c r="BG845" s="55" t="str">
        <f t="shared" si="163"/>
        <v/>
      </c>
      <c r="BH845" s="55" t="str">
        <f t="shared" si="164"/>
        <v/>
      </c>
      <c r="BI845" s="55" t="str">
        <f t="shared" si="165"/>
        <v/>
      </c>
      <c r="BJ845" s="55" t="str">
        <f t="shared" si="166"/>
        <v/>
      </c>
      <c r="BK845" s="55" t="str">
        <f t="shared" si="167"/>
        <v/>
      </c>
    </row>
    <row r="846" spans="22:63">
      <c r="V846" s="55">
        <f t="shared" ca="1" si="156"/>
        <v>1</v>
      </c>
      <c r="W846" s="64"/>
      <c r="X846" s="65"/>
      <c r="Y846" s="65"/>
      <c r="Z846" s="65"/>
      <c r="AA846" s="64"/>
      <c r="AB846" s="65"/>
      <c r="AC846" s="64"/>
      <c r="AD846" s="65"/>
      <c r="AE846" s="64"/>
      <c r="AF846" s="65"/>
      <c r="AG846" s="65"/>
      <c r="AH846" s="66" t="str">
        <f t="shared" si="157"/>
        <v/>
      </c>
      <c r="AI846" s="64"/>
      <c r="AJ846" s="65"/>
      <c r="AK846" s="64"/>
      <c r="AL846" s="65"/>
      <c r="BB846" s="55" t="str">
        <f t="shared" si="158"/>
        <v/>
      </c>
      <c r="BC846" s="55" t="str">
        <f t="shared" si="159"/>
        <v/>
      </c>
      <c r="BD846" s="55" t="str">
        <f t="shared" si="160"/>
        <v/>
      </c>
      <c r="BE846" s="55" t="str">
        <f t="shared" si="161"/>
        <v/>
      </c>
      <c r="BF846" s="55" t="str">
        <f t="shared" si="162"/>
        <v/>
      </c>
      <c r="BG846" s="55" t="str">
        <f t="shared" si="163"/>
        <v/>
      </c>
      <c r="BH846" s="55" t="str">
        <f t="shared" si="164"/>
        <v/>
      </c>
      <c r="BI846" s="55" t="str">
        <f t="shared" si="165"/>
        <v/>
      </c>
      <c r="BJ846" s="55" t="str">
        <f t="shared" si="166"/>
        <v/>
      </c>
      <c r="BK846" s="55" t="str">
        <f t="shared" si="167"/>
        <v/>
      </c>
    </row>
    <row r="847" spans="22:63">
      <c r="V847" s="55">
        <f t="shared" ca="1" si="156"/>
        <v>1</v>
      </c>
      <c r="W847" s="64"/>
      <c r="X847" s="65"/>
      <c r="Y847" s="65"/>
      <c r="Z847" s="65"/>
      <c r="AA847" s="64"/>
      <c r="AB847" s="65"/>
      <c r="AC847" s="64"/>
      <c r="AD847" s="65"/>
      <c r="AE847" s="64"/>
      <c r="AF847" s="65"/>
      <c r="AG847" s="65"/>
      <c r="AH847" s="66" t="str">
        <f t="shared" si="157"/>
        <v/>
      </c>
      <c r="AI847" s="64"/>
      <c r="AJ847" s="65"/>
      <c r="AK847" s="64"/>
      <c r="AL847" s="65"/>
      <c r="BB847" s="55" t="str">
        <f t="shared" si="158"/>
        <v/>
      </c>
      <c r="BC847" s="55" t="str">
        <f t="shared" si="159"/>
        <v/>
      </c>
      <c r="BD847" s="55" t="str">
        <f t="shared" si="160"/>
        <v/>
      </c>
      <c r="BE847" s="55" t="str">
        <f t="shared" si="161"/>
        <v/>
      </c>
      <c r="BF847" s="55" t="str">
        <f t="shared" si="162"/>
        <v/>
      </c>
      <c r="BG847" s="55" t="str">
        <f t="shared" si="163"/>
        <v/>
      </c>
      <c r="BH847" s="55" t="str">
        <f t="shared" si="164"/>
        <v/>
      </c>
      <c r="BI847" s="55" t="str">
        <f t="shared" si="165"/>
        <v/>
      </c>
      <c r="BJ847" s="55" t="str">
        <f t="shared" si="166"/>
        <v/>
      </c>
      <c r="BK847" s="55" t="str">
        <f t="shared" si="167"/>
        <v/>
      </c>
    </row>
    <row r="848" spans="22:63">
      <c r="V848" s="55">
        <f t="shared" ca="1" si="156"/>
        <v>1</v>
      </c>
      <c r="W848" s="64"/>
      <c r="X848" s="65"/>
      <c r="Y848" s="65"/>
      <c r="Z848" s="65"/>
      <c r="AA848" s="64"/>
      <c r="AB848" s="65"/>
      <c r="AC848" s="64"/>
      <c r="AD848" s="65"/>
      <c r="AE848" s="64"/>
      <c r="AF848" s="65"/>
      <c r="AG848" s="65"/>
      <c r="AH848" s="66" t="str">
        <f t="shared" si="157"/>
        <v/>
      </c>
      <c r="AI848" s="64"/>
      <c r="AJ848" s="65"/>
      <c r="AK848" s="64"/>
      <c r="AL848" s="65"/>
      <c r="BB848" s="55" t="str">
        <f t="shared" si="158"/>
        <v/>
      </c>
      <c r="BC848" s="55" t="str">
        <f t="shared" si="159"/>
        <v/>
      </c>
      <c r="BD848" s="55" t="str">
        <f t="shared" si="160"/>
        <v/>
      </c>
      <c r="BE848" s="55" t="str">
        <f t="shared" si="161"/>
        <v/>
      </c>
      <c r="BF848" s="55" t="str">
        <f t="shared" si="162"/>
        <v/>
      </c>
      <c r="BG848" s="55" t="str">
        <f t="shared" si="163"/>
        <v/>
      </c>
      <c r="BH848" s="55" t="str">
        <f t="shared" si="164"/>
        <v/>
      </c>
      <c r="BI848" s="55" t="str">
        <f t="shared" si="165"/>
        <v/>
      </c>
      <c r="BJ848" s="55" t="str">
        <f t="shared" si="166"/>
        <v/>
      </c>
      <c r="BK848" s="55" t="str">
        <f t="shared" si="167"/>
        <v/>
      </c>
    </row>
    <row r="849" spans="22:63">
      <c r="V849" s="55">
        <f t="shared" ca="1" si="156"/>
        <v>1</v>
      </c>
      <c r="W849" s="64"/>
      <c r="X849" s="65"/>
      <c r="Y849" s="65"/>
      <c r="Z849" s="65"/>
      <c r="AA849" s="64"/>
      <c r="AB849" s="65"/>
      <c r="AC849" s="64"/>
      <c r="AD849" s="65"/>
      <c r="AE849" s="64"/>
      <c r="AF849" s="65"/>
      <c r="AG849" s="65"/>
      <c r="AH849" s="66" t="str">
        <f t="shared" si="157"/>
        <v/>
      </c>
      <c r="AI849" s="64"/>
      <c r="AJ849" s="65"/>
      <c r="AK849" s="64"/>
      <c r="AL849" s="65"/>
      <c r="BB849" s="55" t="str">
        <f t="shared" si="158"/>
        <v/>
      </c>
      <c r="BC849" s="55" t="str">
        <f t="shared" si="159"/>
        <v/>
      </c>
      <c r="BD849" s="55" t="str">
        <f t="shared" si="160"/>
        <v/>
      </c>
      <c r="BE849" s="55" t="str">
        <f t="shared" si="161"/>
        <v/>
      </c>
      <c r="BF849" s="55" t="str">
        <f t="shared" si="162"/>
        <v/>
      </c>
      <c r="BG849" s="55" t="str">
        <f t="shared" si="163"/>
        <v/>
      </c>
      <c r="BH849" s="55" t="str">
        <f t="shared" si="164"/>
        <v/>
      </c>
      <c r="BI849" s="55" t="str">
        <f t="shared" si="165"/>
        <v/>
      </c>
      <c r="BJ849" s="55" t="str">
        <f t="shared" si="166"/>
        <v/>
      </c>
      <c r="BK849" s="55" t="str">
        <f t="shared" si="167"/>
        <v/>
      </c>
    </row>
    <row r="850" spans="22:63">
      <c r="V850" s="55">
        <f t="shared" ca="1" si="156"/>
        <v>1</v>
      </c>
      <c r="W850" s="64"/>
      <c r="X850" s="65"/>
      <c r="Y850" s="65"/>
      <c r="Z850" s="65"/>
      <c r="AA850" s="64"/>
      <c r="AB850" s="65"/>
      <c r="AC850" s="64"/>
      <c r="AD850" s="65"/>
      <c r="AE850" s="64"/>
      <c r="AF850" s="65"/>
      <c r="AG850" s="65"/>
      <c r="AH850" s="66" t="str">
        <f t="shared" si="157"/>
        <v/>
      </c>
      <c r="AI850" s="64"/>
      <c r="AJ850" s="65"/>
      <c r="AK850" s="64"/>
      <c r="AL850" s="65"/>
      <c r="BB850" s="55" t="str">
        <f t="shared" si="158"/>
        <v/>
      </c>
      <c r="BC850" s="55" t="str">
        <f t="shared" si="159"/>
        <v/>
      </c>
      <c r="BD850" s="55" t="str">
        <f t="shared" si="160"/>
        <v/>
      </c>
      <c r="BE850" s="55" t="str">
        <f t="shared" si="161"/>
        <v/>
      </c>
      <c r="BF850" s="55" t="str">
        <f t="shared" si="162"/>
        <v/>
      </c>
      <c r="BG850" s="55" t="str">
        <f t="shared" si="163"/>
        <v/>
      </c>
      <c r="BH850" s="55" t="str">
        <f t="shared" si="164"/>
        <v/>
      </c>
      <c r="BI850" s="55" t="str">
        <f t="shared" si="165"/>
        <v/>
      </c>
      <c r="BJ850" s="55" t="str">
        <f t="shared" si="166"/>
        <v/>
      </c>
      <c r="BK850" s="55" t="str">
        <f t="shared" si="167"/>
        <v/>
      </c>
    </row>
    <row r="851" spans="22:63">
      <c r="V851" s="55">
        <f t="shared" ca="1" si="156"/>
        <v>1</v>
      </c>
      <c r="W851" s="64"/>
      <c r="X851" s="65"/>
      <c r="Y851" s="65"/>
      <c r="Z851" s="65"/>
      <c r="AA851" s="64"/>
      <c r="AB851" s="65"/>
      <c r="AC851" s="64"/>
      <c r="AD851" s="65"/>
      <c r="AE851" s="64"/>
      <c r="AF851" s="65"/>
      <c r="AG851" s="65"/>
      <c r="AH851" s="66" t="str">
        <f t="shared" si="157"/>
        <v/>
      </c>
      <c r="AI851" s="64"/>
      <c r="AJ851" s="65"/>
      <c r="AK851" s="64"/>
      <c r="AL851" s="65"/>
      <c r="BB851" s="55" t="str">
        <f t="shared" si="158"/>
        <v/>
      </c>
      <c r="BC851" s="55" t="str">
        <f t="shared" si="159"/>
        <v/>
      </c>
      <c r="BD851" s="55" t="str">
        <f t="shared" si="160"/>
        <v/>
      </c>
      <c r="BE851" s="55" t="str">
        <f t="shared" si="161"/>
        <v/>
      </c>
      <c r="BF851" s="55" t="str">
        <f t="shared" si="162"/>
        <v/>
      </c>
      <c r="BG851" s="55" t="str">
        <f t="shared" si="163"/>
        <v/>
      </c>
      <c r="BH851" s="55" t="str">
        <f t="shared" si="164"/>
        <v/>
      </c>
      <c r="BI851" s="55" t="str">
        <f t="shared" si="165"/>
        <v/>
      </c>
      <c r="BJ851" s="55" t="str">
        <f t="shared" si="166"/>
        <v/>
      </c>
      <c r="BK851" s="55" t="str">
        <f t="shared" si="167"/>
        <v/>
      </c>
    </row>
    <row r="852" spans="22:63">
      <c r="V852" s="55">
        <f t="shared" ca="1" si="156"/>
        <v>1</v>
      </c>
      <c r="W852" s="64"/>
      <c r="X852" s="65"/>
      <c r="Y852" s="65"/>
      <c r="Z852" s="65"/>
      <c r="AA852" s="64"/>
      <c r="AB852" s="65"/>
      <c r="AC852" s="64"/>
      <c r="AD852" s="65"/>
      <c r="AE852" s="64"/>
      <c r="AF852" s="65"/>
      <c r="AG852" s="65"/>
      <c r="AH852" s="66" t="str">
        <f t="shared" si="157"/>
        <v/>
      </c>
      <c r="AI852" s="64"/>
      <c r="AJ852" s="65"/>
      <c r="AK852" s="64"/>
      <c r="AL852" s="65"/>
      <c r="BB852" s="55" t="str">
        <f t="shared" si="158"/>
        <v/>
      </c>
      <c r="BC852" s="55" t="str">
        <f t="shared" si="159"/>
        <v/>
      </c>
      <c r="BD852" s="55" t="str">
        <f t="shared" si="160"/>
        <v/>
      </c>
      <c r="BE852" s="55" t="str">
        <f t="shared" si="161"/>
        <v/>
      </c>
      <c r="BF852" s="55" t="str">
        <f t="shared" si="162"/>
        <v/>
      </c>
      <c r="BG852" s="55" t="str">
        <f t="shared" si="163"/>
        <v/>
      </c>
      <c r="BH852" s="55" t="str">
        <f t="shared" si="164"/>
        <v/>
      </c>
      <c r="BI852" s="55" t="str">
        <f t="shared" si="165"/>
        <v/>
      </c>
      <c r="BJ852" s="55" t="str">
        <f t="shared" si="166"/>
        <v/>
      </c>
      <c r="BK852" s="55" t="str">
        <f t="shared" si="167"/>
        <v/>
      </c>
    </row>
    <row r="853" spans="22:63">
      <c r="V853" s="55">
        <f t="shared" ca="1" si="156"/>
        <v>1</v>
      </c>
      <c r="W853" s="64"/>
      <c r="X853" s="65"/>
      <c r="Y853" s="65"/>
      <c r="Z853" s="65"/>
      <c r="AA853" s="64"/>
      <c r="AB853" s="65"/>
      <c r="AC853" s="64"/>
      <c r="AD853" s="65"/>
      <c r="AE853" s="64"/>
      <c r="AF853" s="65"/>
      <c r="AG853" s="65"/>
      <c r="AH853" s="66" t="str">
        <f t="shared" si="157"/>
        <v/>
      </c>
      <c r="AI853" s="64"/>
      <c r="AJ853" s="65"/>
      <c r="AK853" s="64"/>
      <c r="AL853" s="65"/>
      <c r="BB853" s="55" t="str">
        <f t="shared" si="158"/>
        <v/>
      </c>
      <c r="BC853" s="55" t="str">
        <f t="shared" si="159"/>
        <v/>
      </c>
      <c r="BD853" s="55" t="str">
        <f t="shared" si="160"/>
        <v/>
      </c>
      <c r="BE853" s="55" t="str">
        <f t="shared" si="161"/>
        <v/>
      </c>
      <c r="BF853" s="55" t="str">
        <f t="shared" si="162"/>
        <v/>
      </c>
      <c r="BG853" s="55" t="str">
        <f t="shared" si="163"/>
        <v/>
      </c>
      <c r="BH853" s="55" t="str">
        <f t="shared" si="164"/>
        <v/>
      </c>
      <c r="BI853" s="55" t="str">
        <f t="shared" si="165"/>
        <v/>
      </c>
      <c r="BJ853" s="55" t="str">
        <f t="shared" si="166"/>
        <v/>
      </c>
      <c r="BK853" s="55" t="str">
        <f t="shared" si="167"/>
        <v/>
      </c>
    </row>
    <row r="854" spans="22:63">
      <c r="V854" s="55">
        <f t="shared" ca="1" si="156"/>
        <v>1</v>
      </c>
      <c r="W854" s="64"/>
      <c r="X854" s="65"/>
      <c r="Y854" s="65"/>
      <c r="Z854" s="65"/>
      <c r="AA854" s="64"/>
      <c r="AB854" s="65"/>
      <c r="AC854" s="64"/>
      <c r="AD854" s="65"/>
      <c r="AE854" s="64"/>
      <c r="AF854" s="65"/>
      <c r="AG854" s="65"/>
      <c r="AH854" s="66" t="str">
        <f t="shared" si="157"/>
        <v/>
      </c>
      <c r="AI854" s="64"/>
      <c r="AJ854" s="65"/>
      <c r="AK854" s="64"/>
      <c r="AL854" s="65"/>
      <c r="BB854" s="55" t="str">
        <f t="shared" si="158"/>
        <v/>
      </c>
      <c r="BC854" s="55" t="str">
        <f t="shared" si="159"/>
        <v/>
      </c>
      <c r="BD854" s="55" t="str">
        <f t="shared" si="160"/>
        <v/>
      </c>
      <c r="BE854" s="55" t="str">
        <f t="shared" si="161"/>
        <v/>
      </c>
      <c r="BF854" s="55" t="str">
        <f t="shared" si="162"/>
        <v/>
      </c>
      <c r="BG854" s="55" t="str">
        <f t="shared" si="163"/>
        <v/>
      </c>
      <c r="BH854" s="55" t="str">
        <f t="shared" si="164"/>
        <v/>
      </c>
      <c r="BI854" s="55" t="str">
        <f t="shared" si="165"/>
        <v/>
      </c>
      <c r="BJ854" s="55" t="str">
        <f t="shared" si="166"/>
        <v/>
      </c>
      <c r="BK854" s="55" t="str">
        <f t="shared" si="167"/>
        <v/>
      </c>
    </row>
    <row r="855" spans="22:63">
      <c r="V855" s="55">
        <f t="shared" ca="1" si="156"/>
        <v>1</v>
      </c>
      <c r="W855" s="64"/>
      <c r="X855" s="65"/>
      <c r="Y855" s="65"/>
      <c r="Z855" s="65"/>
      <c r="AA855" s="64"/>
      <c r="AB855" s="65"/>
      <c r="AC855" s="64"/>
      <c r="AD855" s="65"/>
      <c r="AE855" s="64"/>
      <c r="AF855" s="65"/>
      <c r="AG855" s="65"/>
      <c r="AH855" s="66" t="str">
        <f t="shared" si="157"/>
        <v/>
      </c>
      <c r="AI855" s="64"/>
      <c r="AJ855" s="65"/>
      <c r="AK855" s="64"/>
      <c r="AL855" s="65"/>
      <c r="BB855" s="55" t="str">
        <f t="shared" si="158"/>
        <v/>
      </c>
      <c r="BC855" s="55" t="str">
        <f t="shared" si="159"/>
        <v/>
      </c>
      <c r="BD855" s="55" t="str">
        <f t="shared" si="160"/>
        <v/>
      </c>
      <c r="BE855" s="55" t="str">
        <f t="shared" si="161"/>
        <v/>
      </c>
      <c r="BF855" s="55" t="str">
        <f t="shared" si="162"/>
        <v/>
      </c>
      <c r="BG855" s="55" t="str">
        <f t="shared" si="163"/>
        <v/>
      </c>
      <c r="BH855" s="55" t="str">
        <f t="shared" si="164"/>
        <v/>
      </c>
      <c r="BI855" s="55" t="str">
        <f t="shared" si="165"/>
        <v/>
      </c>
      <c r="BJ855" s="55" t="str">
        <f t="shared" si="166"/>
        <v/>
      </c>
      <c r="BK855" s="55" t="str">
        <f t="shared" si="167"/>
        <v/>
      </c>
    </row>
    <row r="856" spans="22:63">
      <c r="V856" s="55">
        <f t="shared" ca="1" si="156"/>
        <v>1</v>
      </c>
      <c r="W856" s="64"/>
      <c r="X856" s="65"/>
      <c r="Y856" s="65"/>
      <c r="Z856" s="65"/>
      <c r="AA856" s="64"/>
      <c r="AB856" s="65"/>
      <c r="AC856" s="64"/>
      <c r="AD856" s="65"/>
      <c r="AE856" s="64"/>
      <c r="AF856" s="65"/>
      <c r="AG856" s="65"/>
      <c r="AH856" s="66" t="str">
        <f t="shared" si="157"/>
        <v/>
      </c>
      <c r="AI856" s="64"/>
      <c r="AJ856" s="65"/>
      <c r="AK856" s="64"/>
      <c r="AL856" s="65"/>
      <c r="BB856" s="55" t="str">
        <f t="shared" si="158"/>
        <v/>
      </c>
      <c r="BC856" s="55" t="str">
        <f t="shared" si="159"/>
        <v/>
      </c>
      <c r="BD856" s="55" t="str">
        <f t="shared" si="160"/>
        <v/>
      </c>
      <c r="BE856" s="55" t="str">
        <f t="shared" si="161"/>
        <v/>
      </c>
      <c r="BF856" s="55" t="str">
        <f t="shared" si="162"/>
        <v/>
      </c>
      <c r="BG856" s="55" t="str">
        <f t="shared" si="163"/>
        <v/>
      </c>
      <c r="BH856" s="55" t="str">
        <f t="shared" si="164"/>
        <v/>
      </c>
      <c r="BI856" s="55" t="str">
        <f t="shared" si="165"/>
        <v/>
      </c>
      <c r="BJ856" s="55" t="str">
        <f t="shared" si="166"/>
        <v/>
      </c>
      <c r="BK856" s="55" t="str">
        <f t="shared" si="167"/>
        <v/>
      </c>
    </row>
    <row r="857" spans="22:63">
      <c r="V857" s="55">
        <f t="shared" ca="1" si="156"/>
        <v>1</v>
      </c>
      <c r="W857" s="64"/>
      <c r="X857" s="65"/>
      <c r="Y857" s="65"/>
      <c r="Z857" s="65"/>
      <c r="AA857" s="64"/>
      <c r="AB857" s="65"/>
      <c r="AC857" s="64"/>
      <c r="AD857" s="65"/>
      <c r="AE857" s="64"/>
      <c r="AF857" s="65"/>
      <c r="AG857" s="65"/>
      <c r="AH857" s="66" t="str">
        <f t="shared" si="157"/>
        <v/>
      </c>
      <c r="AI857" s="64"/>
      <c r="AJ857" s="65"/>
      <c r="AK857" s="64"/>
      <c r="AL857" s="65"/>
      <c r="BB857" s="55" t="str">
        <f t="shared" si="158"/>
        <v/>
      </c>
      <c r="BC857" s="55" t="str">
        <f t="shared" si="159"/>
        <v/>
      </c>
      <c r="BD857" s="55" t="str">
        <f t="shared" si="160"/>
        <v/>
      </c>
      <c r="BE857" s="55" t="str">
        <f t="shared" si="161"/>
        <v/>
      </c>
      <c r="BF857" s="55" t="str">
        <f t="shared" si="162"/>
        <v/>
      </c>
      <c r="BG857" s="55" t="str">
        <f t="shared" si="163"/>
        <v/>
      </c>
      <c r="BH857" s="55" t="str">
        <f t="shared" si="164"/>
        <v/>
      </c>
      <c r="BI857" s="55" t="str">
        <f t="shared" si="165"/>
        <v/>
      </c>
      <c r="BJ857" s="55" t="str">
        <f t="shared" si="166"/>
        <v/>
      </c>
      <c r="BK857" s="55" t="str">
        <f t="shared" si="167"/>
        <v/>
      </c>
    </row>
    <row r="858" spans="22:63">
      <c r="V858" s="55">
        <f t="shared" ca="1" si="156"/>
        <v>1</v>
      </c>
      <c r="W858" s="64"/>
      <c r="X858" s="65"/>
      <c r="Y858" s="65"/>
      <c r="Z858" s="65"/>
      <c r="AA858" s="64"/>
      <c r="AB858" s="65"/>
      <c r="AC858" s="64"/>
      <c r="AD858" s="65"/>
      <c r="AE858" s="64"/>
      <c r="AF858" s="65"/>
      <c r="AG858" s="65"/>
      <c r="AH858" s="66" t="str">
        <f t="shared" si="157"/>
        <v/>
      </c>
      <c r="AI858" s="64"/>
      <c r="AJ858" s="65"/>
      <c r="AK858" s="64"/>
      <c r="AL858" s="65"/>
      <c r="BB858" s="55" t="str">
        <f t="shared" si="158"/>
        <v/>
      </c>
      <c r="BC858" s="55" t="str">
        <f t="shared" si="159"/>
        <v/>
      </c>
      <c r="BD858" s="55" t="str">
        <f t="shared" si="160"/>
        <v/>
      </c>
      <c r="BE858" s="55" t="str">
        <f t="shared" si="161"/>
        <v/>
      </c>
      <c r="BF858" s="55" t="str">
        <f t="shared" si="162"/>
        <v/>
      </c>
      <c r="BG858" s="55" t="str">
        <f t="shared" si="163"/>
        <v/>
      </c>
      <c r="BH858" s="55" t="str">
        <f t="shared" si="164"/>
        <v/>
      </c>
      <c r="BI858" s="55" t="str">
        <f t="shared" si="165"/>
        <v/>
      </c>
      <c r="BJ858" s="55" t="str">
        <f t="shared" si="166"/>
        <v/>
      </c>
      <c r="BK858" s="55" t="str">
        <f t="shared" si="167"/>
        <v/>
      </c>
    </row>
    <row r="859" spans="22:63">
      <c r="V859" s="55">
        <f t="shared" ca="1" si="156"/>
        <v>1</v>
      </c>
      <c r="W859" s="64"/>
      <c r="X859" s="65"/>
      <c r="Y859" s="65"/>
      <c r="Z859" s="65"/>
      <c r="AA859" s="64"/>
      <c r="AB859" s="65"/>
      <c r="AC859" s="64"/>
      <c r="AD859" s="65"/>
      <c r="AE859" s="64"/>
      <c r="AF859" s="65"/>
      <c r="AG859" s="65"/>
      <c r="AH859" s="66" t="str">
        <f t="shared" si="157"/>
        <v/>
      </c>
      <c r="AI859" s="64"/>
      <c r="AJ859" s="65"/>
      <c r="AK859" s="64"/>
      <c r="AL859" s="65"/>
      <c r="BB859" s="55" t="str">
        <f t="shared" si="158"/>
        <v/>
      </c>
      <c r="BC859" s="55" t="str">
        <f t="shared" si="159"/>
        <v/>
      </c>
      <c r="BD859" s="55" t="str">
        <f t="shared" si="160"/>
        <v/>
      </c>
      <c r="BE859" s="55" t="str">
        <f t="shared" si="161"/>
        <v/>
      </c>
      <c r="BF859" s="55" t="str">
        <f t="shared" si="162"/>
        <v/>
      </c>
      <c r="BG859" s="55" t="str">
        <f t="shared" si="163"/>
        <v/>
      </c>
      <c r="BH859" s="55" t="str">
        <f t="shared" si="164"/>
        <v/>
      </c>
      <c r="BI859" s="55" t="str">
        <f t="shared" si="165"/>
        <v/>
      </c>
      <c r="BJ859" s="55" t="str">
        <f t="shared" si="166"/>
        <v/>
      </c>
      <c r="BK859" s="55" t="str">
        <f t="shared" si="167"/>
        <v/>
      </c>
    </row>
    <row r="860" spans="22:63">
      <c r="V860" s="55">
        <f t="shared" ca="1" si="156"/>
        <v>1</v>
      </c>
      <c r="W860" s="64"/>
      <c r="X860" s="65"/>
      <c r="Y860" s="65"/>
      <c r="Z860" s="65"/>
      <c r="AA860" s="64"/>
      <c r="AB860" s="65"/>
      <c r="AC860" s="64"/>
      <c r="AD860" s="65"/>
      <c r="AE860" s="64"/>
      <c r="AF860" s="65"/>
      <c r="AG860" s="65"/>
      <c r="AH860" s="66" t="str">
        <f t="shared" si="157"/>
        <v/>
      </c>
      <c r="AI860" s="64"/>
      <c r="AJ860" s="65"/>
      <c r="AK860" s="64"/>
      <c r="AL860" s="65"/>
      <c r="BB860" s="55" t="str">
        <f t="shared" si="158"/>
        <v/>
      </c>
      <c r="BC860" s="55" t="str">
        <f t="shared" si="159"/>
        <v/>
      </c>
      <c r="BD860" s="55" t="str">
        <f t="shared" si="160"/>
        <v/>
      </c>
      <c r="BE860" s="55" t="str">
        <f t="shared" si="161"/>
        <v/>
      </c>
      <c r="BF860" s="55" t="str">
        <f t="shared" si="162"/>
        <v/>
      </c>
      <c r="BG860" s="55" t="str">
        <f t="shared" si="163"/>
        <v/>
      </c>
      <c r="BH860" s="55" t="str">
        <f t="shared" si="164"/>
        <v/>
      </c>
      <c r="BI860" s="55" t="str">
        <f t="shared" si="165"/>
        <v/>
      </c>
      <c r="BJ860" s="55" t="str">
        <f t="shared" si="166"/>
        <v/>
      </c>
      <c r="BK860" s="55" t="str">
        <f t="shared" si="167"/>
        <v/>
      </c>
    </row>
    <row r="861" spans="22:63">
      <c r="V861" s="55">
        <f t="shared" ca="1" si="156"/>
        <v>1</v>
      </c>
      <c r="W861" s="64"/>
      <c r="X861" s="65"/>
      <c r="Y861" s="65"/>
      <c r="Z861" s="65"/>
      <c r="AA861" s="64"/>
      <c r="AB861" s="65"/>
      <c r="AC861" s="64"/>
      <c r="AD861" s="65"/>
      <c r="AE861" s="64"/>
      <c r="AF861" s="65"/>
      <c r="AG861" s="65"/>
      <c r="AH861" s="66" t="str">
        <f t="shared" si="157"/>
        <v/>
      </c>
      <c r="AI861" s="64"/>
      <c r="AJ861" s="65"/>
      <c r="AK861" s="64"/>
      <c r="AL861" s="65"/>
      <c r="BB861" s="55" t="str">
        <f t="shared" si="158"/>
        <v/>
      </c>
      <c r="BC861" s="55" t="str">
        <f t="shared" si="159"/>
        <v/>
      </c>
      <c r="BD861" s="55" t="str">
        <f t="shared" si="160"/>
        <v/>
      </c>
      <c r="BE861" s="55" t="str">
        <f t="shared" si="161"/>
        <v/>
      </c>
      <c r="BF861" s="55" t="str">
        <f t="shared" si="162"/>
        <v/>
      </c>
      <c r="BG861" s="55" t="str">
        <f t="shared" si="163"/>
        <v/>
      </c>
      <c r="BH861" s="55" t="str">
        <f t="shared" si="164"/>
        <v/>
      </c>
      <c r="BI861" s="55" t="str">
        <f t="shared" si="165"/>
        <v/>
      </c>
      <c r="BJ861" s="55" t="str">
        <f t="shared" si="166"/>
        <v/>
      </c>
      <c r="BK861" s="55" t="str">
        <f t="shared" si="167"/>
        <v/>
      </c>
    </row>
    <row r="862" spans="22:63">
      <c r="V862" s="55">
        <f t="shared" ca="1" si="156"/>
        <v>1</v>
      </c>
      <c r="W862" s="64"/>
      <c r="X862" s="65"/>
      <c r="Y862" s="65"/>
      <c r="Z862" s="65"/>
      <c r="AA862" s="64"/>
      <c r="AB862" s="65"/>
      <c r="AC862" s="64"/>
      <c r="AD862" s="65"/>
      <c r="AE862" s="64"/>
      <c r="AF862" s="65"/>
      <c r="AG862" s="65"/>
      <c r="AH862" s="66" t="str">
        <f t="shared" si="157"/>
        <v/>
      </c>
      <c r="AI862" s="64"/>
      <c r="AJ862" s="65"/>
      <c r="AK862" s="64"/>
      <c r="AL862" s="65"/>
      <c r="BB862" s="55" t="str">
        <f t="shared" si="158"/>
        <v/>
      </c>
      <c r="BC862" s="55" t="str">
        <f t="shared" si="159"/>
        <v/>
      </c>
      <c r="BD862" s="55" t="str">
        <f t="shared" si="160"/>
        <v/>
      </c>
      <c r="BE862" s="55" t="str">
        <f t="shared" si="161"/>
        <v/>
      </c>
      <c r="BF862" s="55" t="str">
        <f t="shared" si="162"/>
        <v/>
      </c>
      <c r="BG862" s="55" t="str">
        <f t="shared" si="163"/>
        <v/>
      </c>
      <c r="BH862" s="55" t="str">
        <f t="shared" si="164"/>
        <v/>
      </c>
      <c r="BI862" s="55" t="str">
        <f t="shared" si="165"/>
        <v/>
      </c>
      <c r="BJ862" s="55" t="str">
        <f t="shared" si="166"/>
        <v/>
      </c>
      <c r="BK862" s="55" t="str">
        <f t="shared" si="167"/>
        <v/>
      </c>
    </row>
    <row r="863" spans="22:63">
      <c r="V863" s="55">
        <f t="shared" ca="1" si="156"/>
        <v>1</v>
      </c>
      <c r="W863" s="64"/>
      <c r="X863" s="65"/>
      <c r="Y863" s="65"/>
      <c r="Z863" s="65"/>
      <c r="AA863" s="64"/>
      <c r="AB863" s="65"/>
      <c r="AC863" s="64"/>
      <c r="AD863" s="65"/>
      <c r="AE863" s="64"/>
      <c r="AF863" s="65"/>
      <c r="AG863" s="65"/>
      <c r="AH863" s="66" t="str">
        <f t="shared" si="157"/>
        <v/>
      </c>
      <c r="AI863" s="64"/>
      <c r="AJ863" s="65"/>
      <c r="AK863" s="64"/>
      <c r="AL863" s="65"/>
      <c r="BB863" s="55" t="str">
        <f t="shared" si="158"/>
        <v/>
      </c>
      <c r="BC863" s="55" t="str">
        <f t="shared" si="159"/>
        <v/>
      </c>
      <c r="BD863" s="55" t="str">
        <f t="shared" si="160"/>
        <v/>
      </c>
      <c r="BE863" s="55" t="str">
        <f t="shared" si="161"/>
        <v/>
      </c>
      <c r="BF863" s="55" t="str">
        <f t="shared" si="162"/>
        <v/>
      </c>
      <c r="BG863" s="55" t="str">
        <f t="shared" si="163"/>
        <v/>
      </c>
      <c r="BH863" s="55" t="str">
        <f t="shared" si="164"/>
        <v/>
      </c>
      <c r="BI863" s="55" t="str">
        <f t="shared" si="165"/>
        <v/>
      </c>
      <c r="BJ863" s="55" t="str">
        <f t="shared" si="166"/>
        <v/>
      </c>
      <c r="BK863" s="55" t="str">
        <f t="shared" si="167"/>
        <v/>
      </c>
    </row>
    <row r="864" spans="22:63">
      <c r="V864" s="55">
        <f t="shared" ca="1" si="156"/>
        <v>1</v>
      </c>
      <c r="W864" s="64"/>
      <c r="X864" s="65"/>
      <c r="Y864" s="65"/>
      <c r="Z864" s="65"/>
      <c r="AA864" s="64"/>
      <c r="AB864" s="65"/>
      <c r="AC864" s="64"/>
      <c r="AD864" s="65"/>
      <c r="AE864" s="64"/>
      <c r="AF864" s="65"/>
      <c r="AG864" s="65"/>
      <c r="AH864" s="66" t="str">
        <f t="shared" si="157"/>
        <v/>
      </c>
      <c r="AI864" s="64"/>
      <c r="AJ864" s="65"/>
      <c r="AK864" s="64"/>
      <c r="AL864" s="65"/>
      <c r="BB864" s="55" t="str">
        <f t="shared" si="158"/>
        <v/>
      </c>
      <c r="BC864" s="55" t="str">
        <f t="shared" si="159"/>
        <v/>
      </c>
      <c r="BD864" s="55" t="str">
        <f t="shared" si="160"/>
        <v/>
      </c>
      <c r="BE864" s="55" t="str">
        <f t="shared" si="161"/>
        <v/>
      </c>
      <c r="BF864" s="55" t="str">
        <f t="shared" si="162"/>
        <v/>
      </c>
      <c r="BG864" s="55" t="str">
        <f t="shared" si="163"/>
        <v/>
      </c>
      <c r="BH864" s="55" t="str">
        <f t="shared" si="164"/>
        <v/>
      </c>
      <c r="BI864" s="55" t="str">
        <f t="shared" si="165"/>
        <v/>
      </c>
      <c r="BJ864" s="55" t="str">
        <f t="shared" si="166"/>
        <v/>
      </c>
      <c r="BK864" s="55" t="str">
        <f t="shared" si="167"/>
        <v/>
      </c>
    </row>
    <row r="865" spans="22:63">
      <c r="V865" s="55">
        <f t="shared" ca="1" si="156"/>
        <v>1</v>
      </c>
      <c r="W865" s="64"/>
      <c r="X865" s="65"/>
      <c r="Y865" s="65"/>
      <c r="Z865" s="65"/>
      <c r="AA865" s="64"/>
      <c r="AB865" s="65"/>
      <c r="AC865" s="64"/>
      <c r="AD865" s="65"/>
      <c r="AE865" s="64"/>
      <c r="AF865" s="65"/>
      <c r="AG865" s="65"/>
      <c r="AH865" s="66" t="str">
        <f t="shared" si="157"/>
        <v/>
      </c>
      <c r="AI865" s="64"/>
      <c r="AJ865" s="65"/>
      <c r="AK865" s="64"/>
      <c r="AL865" s="65"/>
      <c r="BB865" s="55" t="str">
        <f t="shared" si="158"/>
        <v/>
      </c>
      <c r="BC865" s="55" t="str">
        <f t="shared" si="159"/>
        <v/>
      </c>
      <c r="BD865" s="55" t="str">
        <f t="shared" si="160"/>
        <v/>
      </c>
      <c r="BE865" s="55" t="str">
        <f t="shared" si="161"/>
        <v/>
      </c>
      <c r="BF865" s="55" t="str">
        <f t="shared" si="162"/>
        <v/>
      </c>
      <c r="BG865" s="55" t="str">
        <f t="shared" si="163"/>
        <v/>
      </c>
      <c r="BH865" s="55" t="str">
        <f t="shared" si="164"/>
        <v/>
      </c>
      <c r="BI865" s="55" t="str">
        <f t="shared" si="165"/>
        <v/>
      </c>
      <c r="BJ865" s="55" t="str">
        <f t="shared" si="166"/>
        <v/>
      </c>
      <c r="BK865" s="55" t="str">
        <f t="shared" si="167"/>
        <v/>
      </c>
    </row>
    <row r="866" spans="22:63">
      <c r="V866" s="55">
        <f t="shared" ca="1" si="156"/>
        <v>1</v>
      </c>
      <c r="W866" s="64"/>
      <c r="X866" s="65"/>
      <c r="Y866" s="65"/>
      <c r="Z866" s="65"/>
      <c r="AA866" s="64"/>
      <c r="AB866" s="65"/>
      <c r="AC866" s="64"/>
      <c r="AD866" s="65"/>
      <c r="AE866" s="64"/>
      <c r="AF866" s="65"/>
      <c r="AG866" s="65"/>
      <c r="AH866" s="66" t="str">
        <f t="shared" si="157"/>
        <v/>
      </c>
      <c r="AI866" s="64"/>
      <c r="AJ866" s="65"/>
      <c r="AK866" s="64"/>
      <c r="AL866" s="65"/>
      <c r="BB866" s="55" t="str">
        <f t="shared" si="158"/>
        <v/>
      </c>
      <c r="BC866" s="55" t="str">
        <f t="shared" si="159"/>
        <v/>
      </c>
      <c r="BD866" s="55" t="str">
        <f t="shared" si="160"/>
        <v/>
      </c>
      <c r="BE866" s="55" t="str">
        <f t="shared" si="161"/>
        <v/>
      </c>
      <c r="BF866" s="55" t="str">
        <f t="shared" si="162"/>
        <v/>
      </c>
      <c r="BG866" s="55" t="str">
        <f t="shared" si="163"/>
        <v/>
      </c>
      <c r="BH866" s="55" t="str">
        <f t="shared" si="164"/>
        <v/>
      </c>
      <c r="BI866" s="55" t="str">
        <f t="shared" si="165"/>
        <v/>
      </c>
      <c r="BJ866" s="55" t="str">
        <f t="shared" si="166"/>
        <v/>
      </c>
      <c r="BK866" s="55" t="str">
        <f t="shared" si="167"/>
        <v/>
      </c>
    </row>
    <row r="867" spans="22:63">
      <c r="V867" s="55">
        <f t="shared" ca="1" si="156"/>
        <v>1</v>
      </c>
      <c r="W867" s="64"/>
      <c r="X867" s="65"/>
      <c r="Y867" s="65"/>
      <c r="Z867" s="65"/>
      <c r="AA867" s="64"/>
      <c r="AB867" s="65"/>
      <c r="AC867" s="64"/>
      <c r="AD867" s="65"/>
      <c r="AE867" s="64"/>
      <c r="AF867" s="65"/>
      <c r="AG867" s="65"/>
      <c r="AH867" s="66" t="str">
        <f t="shared" si="157"/>
        <v/>
      </c>
      <c r="AI867" s="64"/>
      <c r="AJ867" s="65"/>
      <c r="AK867" s="64"/>
      <c r="AL867" s="65"/>
      <c r="BB867" s="55" t="str">
        <f t="shared" si="158"/>
        <v/>
      </c>
      <c r="BC867" s="55" t="str">
        <f t="shared" si="159"/>
        <v/>
      </c>
      <c r="BD867" s="55" t="str">
        <f t="shared" si="160"/>
        <v/>
      </c>
      <c r="BE867" s="55" t="str">
        <f t="shared" si="161"/>
        <v/>
      </c>
      <c r="BF867" s="55" t="str">
        <f t="shared" si="162"/>
        <v/>
      </c>
      <c r="BG867" s="55" t="str">
        <f t="shared" si="163"/>
        <v/>
      </c>
      <c r="BH867" s="55" t="str">
        <f t="shared" si="164"/>
        <v/>
      </c>
      <c r="BI867" s="55" t="str">
        <f t="shared" si="165"/>
        <v/>
      </c>
      <c r="BJ867" s="55" t="str">
        <f t="shared" si="166"/>
        <v/>
      </c>
      <c r="BK867" s="55" t="str">
        <f t="shared" si="167"/>
        <v/>
      </c>
    </row>
    <row r="868" spans="22:63">
      <c r="V868" s="55">
        <f t="shared" ca="1" si="156"/>
        <v>1</v>
      </c>
      <c r="W868" s="64"/>
      <c r="X868" s="65"/>
      <c r="Y868" s="65"/>
      <c r="Z868" s="65"/>
      <c r="AA868" s="64"/>
      <c r="AB868" s="65"/>
      <c r="AC868" s="64"/>
      <c r="AD868" s="65"/>
      <c r="AE868" s="64"/>
      <c r="AF868" s="65"/>
      <c r="AG868" s="65"/>
      <c r="AH868" s="66" t="str">
        <f t="shared" si="157"/>
        <v/>
      </c>
      <c r="AI868" s="64"/>
      <c r="AJ868" s="65"/>
      <c r="AK868" s="64"/>
      <c r="AL868" s="65"/>
      <c r="BB868" s="55" t="str">
        <f t="shared" si="158"/>
        <v/>
      </c>
      <c r="BC868" s="55" t="str">
        <f t="shared" si="159"/>
        <v/>
      </c>
      <c r="BD868" s="55" t="str">
        <f t="shared" si="160"/>
        <v/>
      </c>
      <c r="BE868" s="55" t="str">
        <f t="shared" si="161"/>
        <v/>
      </c>
      <c r="BF868" s="55" t="str">
        <f t="shared" si="162"/>
        <v/>
      </c>
      <c r="BG868" s="55" t="str">
        <f t="shared" si="163"/>
        <v/>
      </c>
      <c r="BH868" s="55" t="str">
        <f t="shared" si="164"/>
        <v/>
      </c>
      <c r="BI868" s="55" t="str">
        <f t="shared" si="165"/>
        <v/>
      </c>
      <c r="BJ868" s="55" t="str">
        <f t="shared" si="166"/>
        <v/>
      </c>
      <c r="BK868" s="55" t="str">
        <f t="shared" si="167"/>
        <v/>
      </c>
    </row>
    <row r="869" spans="22:63">
      <c r="V869" s="55">
        <f t="shared" ca="1" si="156"/>
        <v>1</v>
      </c>
      <c r="W869" s="64"/>
      <c r="X869" s="65"/>
      <c r="Y869" s="65"/>
      <c r="Z869" s="65"/>
      <c r="AA869" s="64"/>
      <c r="AB869" s="65"/>
      <c r="AC869" s="64"/>
      <c r="AD869" s="65"/>
      <c r="AE869" s="64"/>
      <c r="AF869" s="65"/>
      <c r="AG869" s="65"/>
      <c r="AH869" s="66" t="str">
        <f t="shared" si="157"/>
        <v/>
      </c>
      <c r="AI869" s="64"/>
      <c r="AJ869" s="65"/>
      <c r="AK869" s="64"/>
      <c r="AL869" s="65"/>
      <c r="BB869" s="55" t="str">
        <f t="shared" si="158"/>
        <v/>
      </c>
      <c r="BC869" s="55" t="str">
        <f t="shared" si="159"/>
        <v/>
      </c>
      <c r="BD869" s="55" t="str">
        <f t="shared" si="160"/>
        <v/>
      </c>
      <c r="BE869" s="55" t="str">
        <f t="shared" si="161"/>
        <v/>
      </c>
      <c r="BF869" s="55" t="str">
        <f t="shared" si="162"/>
        <v/>
      </c>
      <c r="BG869" s="55" t="str">
        <f t="shared" si="163"/>
        <v/>
      </c>
      <c r="BH869" s="55" t="str">
        <f t="shared" si="164"/>
        <v/>
      </c>
      <c r="BI869" s="55" t="str">
        <f t="shared" si="165"/>
        <v/>
      </c>
      <c r="BJ869" s="55" t="str">
        <f t="shared" si="166"/>
        <v/>
      </c>
      <c r="BK869" s="55" t="str">
        <f t="shared" si="167"/>
        <v/>
      </c>
    </row>
    <row r="870" spans="22:63">
      <c r="V870" s="55">
        <f t="shared" ca="1" si="156"/>
        <v>1</v>
      </c>
      <c r="W870" s="64"/>
      <c r="X870" s="65"/>
      <c r="Y870" s="65"/>
      <c r="Z870" s="65"/>
      <c r="AA870" s="64"/>
      <c r="AB870" s="65"/>
      <c r="AC870" s="64"/>
      <c r="AD870" s="65"/>
      <c r="AE870" s="64"/>
      <c r="AF870" s="65"/>
      <c r="AG870" s="65"/>
      <c r="AH870" s="66" t="str">
        <f t="shared" si="157"/>
        <v/>
      </c>
      <c r="AI870" s="64"/>
      <c r="AJ870" s="65"/>
      <c r="AK870" s="64"/>
      <c r="AL870" s="65"/>
      <c r="BB870" s="55" t="str">
        <f t="shared" si="158"/>
        <v/>
      </c>
      <c r="BC870" s="55" t="str">
        <f t="shared" si="159"/>
        <v/>
      </c>
      <c r="BD870" s="55" t="str">
        <f t="shared" si="160"/>
        <v/>
      </c>
      <c r="BE870" s="55" t="str">
        <f t="shared" si="161"/>
        <v/>
      </c>
      <c r="BF870" s="55" t="str">
        <f t="shared" si="162"/>
        <v/>
      </c>
      <c r="BG870" s="55" t="str">
        <f t="shared" si="163"/>
        <v/>
      </c>
      <c r="BH870" s="55" t="str">
        <f t="shared" si="164"/>
        <v/>
      </c>
      <c r="BI870" s="55" t="str">
        <f t="shared" si="165"/>
        <v/>
      </c>
      <c r="BJ870" s="55" t="str">
        <f t="shared" si="166"/>
        <v/>
      </c>
      <c r="BK870" s="55" t="str">
        <f t="shared" si="167"/>
        <v/>
      </c>
    </row>
    <row r="871" spans="22:63">
      <c r="V871" s="55">
        <f t="shared" ca="1" si="156"/>
        <v>1</v>
      </c>
      <c r="W871" s="64"/>
      <c r="X871" s="65"/>
      <c r="Y871" s="65"/>
      <c r="Z871" s="65"/>
      <c r="AA871" s="64"/>
      <c r="AB871" s="65"/>
      <c r="AC871" s="64"/>
      <c r="AD871" s="65"/>
      <c r="AE871" s="64"/>
      <c r="AF871" s="65"/>
      <c r="AG871" s="65"/>
      <c r="AH871" s="66" t="str">
        <f t="shared" si="157"/>
        <v/>
      </c>
      <c r="AI871" s="64"/>
      <c r="AJ871" s="65"/>
      <c r="AK871" s="64"/>
      <c r="AL871" s="65"/>
      <c r="BB871" s="55" t="str">
        <f t="shared" si="158"/>
        <v/>
      </c>
      <c r="BC871" s="55" t="str">
        <f t="shared" si="159"/>
        <v/>
      </c>
      <c r="BD871" s="55" t="str">
        <f t="shared" si="160"/>
        <v/>
      </c>
      <c r="BE871" s="55" t="str">
        <f t="shared" si="161"/>
        <v/>
      </c>
      <c r="BF871" s="55" t="str">
        <f t="shared" si="162"/>
        <v/>
      </c>
      <c r="BG871" s="55" t="str">
        <f t="shared" si="163"/>
        <v/>
      </c>
      <c r="BH871" s="55" t="str">
        <f t="shared" si="164"/>
        <v/>
      </c>
      <c r="BI871" s="55" t="str">
        <f t="shared" si="165"/>
        <v/>
      </c>
      <c r="BJ871" s="55" t="str">
        <f t="shared" si="166"/>
        <v/>
      </c>
      <c r="BK871" s="55" t="str">
        <f t="shared" si="167"/>
        <v/>
      </c>
    </row>
    <row r="872" spans="22:63">
      <c r="V872" s="55">
        <f t="shared" ca="1" si="156"/>
        <v>1</v>
      </c>
      <c r="W872" s="64"/>
      <c r="X872" s="65"/>
      <c r="Y872" s="65"/>
      <c r="Z872" s="65"/>
      <c r="AA872" s="64"/>
      <c r="AB872" s="65"/>
      <c r="AC872" s="64"/>
      <c r="AD872" s="65"/>
      <c r="AE872" s="64"/>
      <c r="AF872" s="65"/>
      <c r="AG872" s="65"/>
      <c r="AH872" s="66" t="str">
        <f t="shared" si="157"/>
        <v/>
      </c>
      <c r="AI872" s="64"/>
      <c r="AJ872" s="65"/>
      <c r="AK872" s="64"/>
      <c r="AL872" s="65"/>
      <c r="BB872" s="55" t="str">
        <f t="shared" si="158"/>
        <v/>
      </c>
      <c r="BC872" s="55" t="str">
        <f t="shared" si="159"/>
        <v/>
      </c>
      <c r="BD872" s="55" t="str">
        <f t="shared" si="160"/>
        <v/>
      </c>
      <c r="BE872" s="55" t="str">
        <f t="shared" si="161"/>
        <v/>
      </c>
      <c r="BF872" s="55" t="str">
        <f t="shared" si="162"/>
        <v/>
      </c>
      <c r="BG872" s="55" t="str">
        <f t="shared" si="163"/>
        <v/>
      </c>
      <c r="BH872" s="55" t="str">
        <f t="shared" si="164"/>
        <v/>
      </c>
      <c r="BI872" s="55" t="str">
        <f t="shared" si="165"/>
        <v/>
      </c>
      <c r="BJ872" s="55" t="str">
        <f t="shared" si="166"/>
        <v/>
      </c>
      <c r="BK872" s="55" t="str">
        <f t="shared" si="167"/>
        <v/>
      </c>
    </row>
    <row r="873" spans="22:63">
      <c r="V873" s="55">
        <f t="shared" ca="1" si="156"/>
        <v>1</v>
      </c>
      <c r="W873" s="64"/>
      <c r="X873" s="65"/>
      <c r="Y873" s="65"/>
      <c r="Z873" s="65"/>
      <c r="AA873" s="64"/>
      <c r="AB873" s="65"/>
      <c r="AC873" s="64"/>
      <c r="AD873" s="65"/>
      <c r="AE873" s="64"/>
      <c r="AF873" s="65"/>
      <c r="AG873" s="65"/>
      <c r="AH873" s="66" t="str">
        <f t="shared" si="157"/>
        <v/>
      </c>
      <c r="AI873" s="64"/>
      <c r="AJ873" s="65"/>
      <c r="AK873" s="64"/>
      <c r="AL873" s="65"/>
      <c r="BB873" s="55" t="str">
        <f t="shared" si="158"/>
        <v/>
      </c>
      <c r="BC873" s="55" t="str">
        <f t="shared" si="159"/>
        <v/>
      </c>
      <c r="BD873" s="55" t="str">
        <f t="shared" si="160"/>
        <v/>
      </c>
      <c r="BE873" s="55" t="str">
        <f t="shared" si="161"/>
        <v/>
      </c>
      <c r="BF873" s="55" t="str">
        <f t="shared" si="162"/>
        <v/>
      </c>
      <c r="BG873" s="55" t="str">
        <f t="shared" si="163"/>
        <v/>
      </c>
      <c r="BH873" s="55" t="str">
        <f t="shared" si="164"/>
        <v/>
      </c>
      <c r="BI873" s="55" t="str">
        <f t="shared" si="165"/>
        <v/>
      </c>
      <c r="BJ873" s="55" t="str">
        <f t="shared" si="166"/>
        <v/>
      </c>
      <c r="BK873" s="55" t="str">
        <f t="shared" si="167"/>
        <v/>
      </c>
    </row>
    <row r="874" spans="22:63">
      <c r="V874" s="55">
        <f t="shared" ca="1" si="156"/>
        <v>1</v>
      </c>
      <c r="W874" s="64"/>
      <c r="X874" s="65"/>
      <c r="Y874" s="65"/>
      <c r="Z874" s="65"/>
      <c r="AA874" s="64"/>
      <c r="AB874" s="65"/>
      <c r="AC874" s="64"/>
      <c r="AD874" s="65"/>
      <c r="AE874" s="64"/>
      <c r="AF874" s="65"/>
      <c r="AG874" s="65"/>
      <c r="AH874" s="66" t="str">
        <f t="shared" si="157"/>
        <v/>
      </c>
      <c r="AI874" s="64"/>
      <c r="AJ874" s="65"/>
      <c r="AK874" s="64"/>
      <c r="AL874" s="65"/>
      <c r="BB874" s="55" t="str">
        <f t="shared" si="158"/>
        <v/>
      </c>
      <c r="BC874" s="55" t="str">
        <f t="shared" si="159"/>
        <v/>
      </c>
      <c r="BD874" s="55" t="str">
        <f t="shared" si="160"/>
        <v/>
      </c>
      <c r="BE874" s="55" t="str">
        <f t="shared" si="161"/>
        <v/>
      </c>
      <c r="BF874" s="55" t="str">
        <f t="shared" si="162"/>
        <v/>
      </c>
      <c r="BG874" s="55" t="str">
        <f t="shared" si="163"/>
        <v/>
      </c>
      <c r="BH874" s="55" t="str">
        <f t="shared" si="164"/>
        <v/>
      </c>
      <c r="BI874" s="55" t="str">
        <f t="shared" si="165"/>
        <v/>
      </c>
      <c r="BJ874" s="55" t="str">
        <f t="shared" si="166"/>
        <v/>
      </c>
      <c r="BK874" s="55" t="str">
        <f t="shared" si="167"/>
        <v/>
      </c>
    </row>
    <row r="875" spans="22:63">
      <c r="V875" s="55">
        <f t="shared" ca="1" si="156"/>
        <v>1</v>
      </c>
      <c r="W875" s="64"/>
      <c r="X875" s="65"/>
      <c r="Y875" s="65"/>
      <c r="Z875" s="65"/>
      <c r="AA875" s="64"/>
      <c r="AB875" s="65"/>
      <c r="AC875" s="64"/>
      <c r="AD875" s="65"/>
      <c r="AE875" s="64"/>
      <c r="AF875" s="65"/>
      <c r="AG875" s="65"/>
      <c r="AH875" s="66" t="str">
        <f t="shared" si="157"/>
        <v/>
      </c>
      <c r="AI875" s="64"/>
      <c r="AJ875" s="65"/>
      <c r="AK875" s="64"/>
      <c r="AL875" s="65"/>
      <c r="BB875" s="55" t="str">
        <f t="shared" si="158"/>
        <v/>
      </c>
      <c r="BC875" s="55" t="str">
        <f t="shared" si="159"/>
        <v/>
      </c>
      <c r="BD875" s="55" t="str">
        <f t="shared" si="160"/>
        <v/>
      </c>
      <c r="BE875" s="55" t="str">
        <f t="shared" si="161"/>
        <v/>
      </c>
      <c r="BF875" s="55" t="str">
        <f t="shared" si="162"/>
        <v/>
      </c>
      <c r="BG875" s="55" t="str">
        <f t="shared" si="163"/>
        <v/>
      </c>
      <c r="BH875" s="55" t="str">
        <f t="shared" si="164"/>
        <v/>
      </c>
      <c r="BI875" s="55" t="str">
        <f t="shared" si="165"/>
        <v/>
      </c>
      <c r="BJ875" s="55" t="str">
        <f t="shared" si="166"/>
        <v/>
      </c>
      <c r="BK875" s="55" t="str">
        <f t="shared" si="167"/>
        <v/>
      </c>
    </row>
    <row r="876" spans="22:63">
      <c r="V876" s="55">
        <f t="shared" ca="1" si="156"/>
        <v>1</v>
      </c>
      <c r="W876" s="64"/>
      <c r="X876" s="65"/>
      <c r="Y876" s="65"/>
      <c r="Z876" s="65"/>
      <c r="AA876" s="64"/>
      <c r="AB876" s="65"/>
      <c r="AC876" s="64"/>
      <c r="AD876" s="65"/>
      <c r="AE876" s="64"/>
      <c r="AF876" s="65"/>
      <c r="AG876" s="65"/>
      <c r="AH876" s="66" t="str">
        <f t="shared" si="157"/>
        <v/>
      </c>
      <c r="AI876" s="64"/>
      <c r="AJ876" s="65"/>
      <c r="AK876" s="64"/>
      <c r="AL876" s="65"/>
      <c r="BB876" s="55" t="str">
        <f t="shared" si="158"/>
        <v/>
      </c>
      <c r="BC876" s="55" t="str">
        <f t="shared" si="159"/>
        <v/>
      </c>
      <c r="BD876" s="55" t="str">
        <f t="shared" si="160"/>
        <v/>
      </c>
      <c r="BE876" s="55" t="str">
        <f t="shared" si="161"/>
        <v/>
      </c>
      <c r="BF876" s="55" t="str">
        <f t="shared" si="162"/>
        <v/>
      </c>
      <c r="BG876" s="55" t="str">
        <f t="shared" si="163"/>
        <v/>
      </c>
      <c r="BH876" s="55" t="str">
        <f t="shared" si="164"/>
        <v/>
      </c>
      <c r="BI876" s="55" t="str">
        <f t="shared" si="165"/>
        <v/>
      </c>
      <c r="BJ876" s="55" t="str">
        <f t="shared" si="166"/>
        <v/>
      </c>
      <c r="BK876" s="55" t="str">
        <f t="shared" si="167"/>
        <v/>
      </c>
    </row>
    <row r="877" spans="22:63">
      <c r="V877" s="55">
        <f t="shared" ca="1" si="156"/>
        <v>1</v>
      </c>
      <c r="W877" s="64"/>
      <c r="X877" s="65"/>
      <c r="Y877" s="65"/>
      <c r="Z877" s="65"/>
      <c r="AA877" s="64"/>
      <c r="AB877" s="65"/>
      <c r="AC877" s="64"/>
      <c r="AD877" s="65"/>
      <c r="AE877" s="64"/>
      <c r="AF877" s="65"/>
      <c r="AG877" s="65"/>
      <c r="AH877" s="66" t="str">
        <f t="shared" si="157"/>
        <v/>
      </c>
      <c r="AI877" s="64"/>
      <c r="AJ877" s="65"/>
      <c r="AK877" s="64"/>
      <c r="AL877" s="65"/>
      <c r="BB877" s="55" t="str">
        <f t="shared" si="158"/>
        <v/>
      </c>
      <c r="BC877" s="55" t="str">
        <f t="shared" si="159"/>
        <v/>
      </c>
      <c r="BD877" s="55" t="str">
        <f t="shared" si="160"/>
        <v/>
      </c>
      <c r="BE877" s="55" t="str">
        <f t="shared" si="161"/>
        <v/>
      </c>
      <c r="BF877" s="55" t="str">
        <f t="shared" si="162"/>
        <v/>
      </c>
      <c r="BG877" s="55" t="str">
        <f t="shared" si="163"/>
        <v/>
      </c>
      <c r="BH877" s="55" t="str">
        <f t="shared" si="164"/>
        <v/>
      </c>
      <c r="BI877" s="55" t="str">
        <f t="shared" si="165"/>
        <v/>
      </c>
      <c r="BJ877" s="55" t="str">
        <f t="shared" si="166"/>
        <v/>
      </c>
      <c r="BK877" s="55" t="str">
        <f t="shared" si="167"/>
        <v/>
      </c>
    </row>
    <row r="878" spans="22:63">
      <c r="V878" s="55">
        <f t="shared" ca="1" si="156"/>
        <v>1</v>
      </c>
      <c r="W878" s="64"/>
      <c r="X878" s="65"/>
      <c r="Y878" s="65"/>
      <c r="Z878" s="65"/>
      <c r="AA878" s="64"/>
      <c r="AB878" s="65"/>
      <c r="AC878" s="64"/>
      <c r="AD878" s="65"/>
      <c r="AE878" s="64"/>
      <c r="AF878" s="65"/>
      <c r="AG878" s="65"/>
      <c r="AH878" s="66" t="str">
        <f t="shared" si="157"/>
        <v/>
      </c>
      <c r="AI878" s="64"/>
      <c r="AJ878" s="65"/>
      <c r="AK878" s="64"/>
      <c r="AL878" s="65"/>
      <c r="BB878" s="55" t="str">
        <f t="shared" si="158"/>
        <v/>
      </c>
      <c r="BC878" s="55" t="str">
        <f t="shared" si="159"/>
        <v/>
      </c>
      <c r="BD878" s="55" t="str">
        <f t="shared" si="160"/>
        <v/>
      </c>
      <c r="BE878" s="55" t="str">
        <f t="shared" si="161"/>
        <v/>
      </c>
      <c r="BF878" s="55" t="str">
        <f t="shared" si="162"/>
        <v/>
      </c>
      <c r="BG878" s="55" t="str">
        <f t="shared" si="163"/>
        <v/>
      </c>
      <c r="BH878" s="55" t="str">
        <f t="shared" si="164"/>
        <v/>
      </c>
      <c r="BI878" s="55" t="str">
        <f t="shared" si="165"/>
        <v/>
      </c>
      <c r="BJ878" s="55" t="str">
        <f t="shared" si="166"/>
        <v/>
      </c>
      <c r="BK878" s="55" t="str">
        <f t="shared" si="167"/>
        <v/>
      </c>
    </row>
    <row r="879" spans="22:63">
      <c r="V879" s="55">
        <f t="shared" ca="1" si="156"/>
        <v>1</v>
      </c>
      <c r="W879" s="64"/>
      <c r="X879" s="65"/>
      <c r="Y879" s="65"/>
      <c r="Z879" s="65"/>
      <c r="AA879" s="64"/>
      <c r="AB879" s="65"/>
      <c r="AC879" s="64"/>
      <c r="AD879" s="65"/>
      <c r="AE879" s="64"/>
      <c r="AF879" s="65"/>
      <c r="AG879" s="65"/>
      <c r="AH879" s="66" t="str">
        <f t="shared" si="157"/>
        <v/>
      </c>
      <c r="AI879" s="64"/>
      <c r="AJ879" s="65"/>
      <c r="AK879" s="64"/>
      <c r="AL879" s="65"/>
      <c r="BB879" s="55" t="str">
        <f t="shared" si="158"/>
        <v/>
      </c>
      <c r="BC879" s="55" t="str">
        <f t="shared" si="159"/>
        <v/>
      </c>
      <c r="BD879" s="55" t="str">
        <f t="shared" si="160"/>
        <v/>
      </c>
      <c r="BE879" s="55" t="str">
        <f t="shared" si="161"/>
        <v/>
      </c>
      <c r="BF879" s="55" t="str">
        <f t="shared" si="162"/>
        <v/>
      </c>
      <c r="BG879" s="55" t="str">
        <f t="shared" si="163"/>
        <v/>
      </c>
      <c r="BH879" s="55" t="str">
        <f t="shared" si="164"/>
        <v/>
      </c>
      <c r="BI879" s="55" t="str">
        <f t="shared" si="165"/>
        <v/>
      </c>
      <c r="BJ879" s="55" t="str">
        <f t="shared" si="166"/>
        <v/>
      </c>
      <c r="BK879" s="55" t="str">
        <f t="shared" si="167"/>
        <v/>
      </c>
    </row>
    <row r="880" spans="22:63">
      <c r="V880" s="55">
        <f t="shared" ca="1" si="156"/>
        <v>1</v>
      </c>
      <c r="W880" s="64"/>
      <c r="X880" s="65"/>
      <c r="Y880" s="65"/>
      <c r="Z880" s="65"/>
      <c r="AA880" s="64"/>
      <c r="AB880" s="65"/>
      <c r="AC880" s="64"/>
      <c r="AD880" s="65"/>
      <c r="AE880" s="64"/>
      <c r="AF880" s="65"/>
      <c r="AG880" s="65"/>
      <c r="AH880" s="66" t="str">
        <f t="shared" si="157"/>
        <v/>
      </c>
      <c r="AI880" s="64"/>
      <c r="AJ880" s="65"/>
      <c r="AK880" s="64"/>
      <c r="AL880" s="65"/>
      <c r="BB880" s="55" t="str">
        <f t="shared" si="158"/>
        <v/>
      </c>
      <c r="BC880" s="55" t="str">
        <f t="shared" si="159"/>
        <v/>
      </c>
      <c r="BD880" s="55" t="str">
        <f t="shared" si="160"/>
        <v/>
      </c>
      <c r="BE880" s="55" t="str">
        <f t="shared" si="161"/>
        <v/>
      </c>
      <c r="BF880" s="55" t="str">
        <f t="shared" si="162"/>
        <v/>
      </c>
      <c r="BG880" s="55" t="str">
        <f t="shared" si="163"/>
        <v/>
      </c>
      <c r="BH880" s="55" t="str">
        <f t="shared" si="164"/>
        <v/>
      </c>
      <c r="BI880" s="55" t="str">
        <f t="shared" si="165"/>
        <v/>
      </c>
      <c r="BJ880" s="55" t="str">
        <f t="shared" si="166"/>
        <v/>
      </c>
      <c r="BK880" s="55" t="str">
        <f t="shared" si="167"/>
        <v/>
      </c>
    </row>
    <row r="881" spans="22:63">
      <c r="V881" s="55">
        <f t="shared" ca="1" si="156"/>
        <v>1</v>
      </c>
      <c r="W881" s="64"/>
      <c r="X881" s="65"/>
      <c r="Y881" s="65"/>
      <c r="Z881" s="65"/>
      <c r="AA881" s="64"/>
      <c r="AB881" s="65"/>
      <c r="AC881" s="64"/>
      <c r="AD881" s="65"/>
      <c r="AE881" s="64"/>
      <c r="AF881" s="65"/>
      <c r="AG881" s="65"/>
      <c r="AH881" s="66" t="str">
        <f t="shared" si="157"/>
        <v/>
      </c>
      <c r="AI881" s="64"/>
      <c r="AJ881" s="65"/>
      <c r="AK881" s="64"/>
      <c r="AL881" s="65"/>
      <c r="BB881" s="55" t="str">
        <f t="shared" si="158"/>
        <v/>
      </c>
      <c r="BC881" s="55" t="str">
        <f t="shared" si="159"/>
        <v/>
      </c>
      <c r="BD881" s="55" t="str">
        <f t="shared" si="160"/>
        <v/>
      </c>
      <c r="BE881" s="55" t="str">
        <f t="shared" si="161"/>
        <v/>
      </c>
      <c r="BF881" s="55" t="str">
        <f t="shared" si="162"/>
        <v/>
      </c>
      <c r="BG881" s="55" t="str">
        <f t="shared" si="163"/>
        <v/>
      </c>
      <c r="BH881" s="55" t="str">
        <f t="shared" si="164"/>
        <v/>
      </c>
      <c r="BI881" s="55" t="str">
        <f t="shared" si="165"/>
        <v/>
      </c>
      <c r="BJ881" s="55" t="str">
        <f t="shared" si="166"/>
        <v/>
      </c>
      <c r="BK881" s="55" t="str">
        <f t="shared" si="167"/>
        <v/>
      </c>
    </row>
    <row r="882" spans="22:63">
      <c r="V882" s="55">
        <f t="shared" ca="1" si="156"/>
        <v>1</v>
      </c>
      <c r="W882" s="64"/>
      <c r="X882" s="65"/>
      <c r="Y882" s="65"/>
      <c r="Z882" s="65"/>
      <c r="AA882" s="64"/>
      <c r="AB882" s="65"/>
      <c r="AC882" s="64"/>
      <c r="AD882" s="65"/>
      <c r="AE882" s="64"/>
      <c r="AF882" s="65"/>
      <c r="AG882" s="65"/>
      <c r="AH882" s="66" t="str">
        <f t="shared" si="157"/>
        <v/>
      </c>
      <c r="AI882" s="64"/>
      <c r="AJ882" s="65"/>
      <c r="AK882" s="64"/>
      <c r="AL882" s="65"/>
      <c r="BB882" s="55" t="str">
        <f t="shared" si="158"/>
        <v/>
      </c>
      <c r="BC882" s="55" t="str">
        <f t="shared" si="159"/>
        <v/>
      </c>
      <c r="BD882" s="55" t="str">
        <f t="shared" si="160"/>
        <v/>
      </c>
      <c r="BE882" s="55" t="str">
        <f t="shared" si="161"/>
        <v/>
      </c>
      <c r="BF882" s="55" t="str">
        <f t="shared" si="162"/>
        <v/>
      </c>
      <c r="BG882" s="55" t="str">
        <f t="shared" si="163"/>
        <v/>
      </c>
      <c r="BH882" s="55" t="str">
        <f t="shared" si="164"/>
        <v/>
      </c>
      <c r="BI882" s="55" t="str">
        <f t="shared" si="165"/>
        <v/>
      </c>
      <c r="BJ882" s="55" t="str">
        <f t="shared" si="166"/>
        <v/>
      </c>
      <c r="BK882" s="55" t="str">
        <f t="shared" si="167"/>
        <v/>
      </c>
    </row>
    <row r="883" spans="22:63">
      <c r="V883" s="55">
        <f t="shared" ca="1" si="156"/>
        <v>1</v>
      </c>
      <c r="W883" s="64"/>
      <c r="X883" s="65"/>
      <c r="Y883" s="65"/>
      <c r="Z883" s="65"/>
      <c r="AA883" s="64"/>
      <c r="AB883" s="65"/>
      <c r="AC883" s="64"/>
      <c r="AD883" s="65"/>
      <c r="AE883" s="64"/>
      <c r="AF883" s="65"/>
      <c r="AG883" s="65"/>
      <c r="AH883" s="66" t="str">
        <f t="shared" si="157"/>
        <v/>
      </c>
      <c r="AI883" s="64"/>
      <c r="AJ883" s="65"/>
      <c r="AK883" s="64"/>
      <c r="AL883" s="65"/>
      <c r="BB883" s="55" t="str">
        <f t="shared" si="158"/>
        <v/>
      </c>
      <c r="BC883" s="55" t="str">
        <f t="shared" si="159"/>
        <v/>
      </c>
      <c r="BD883" s="55" t="str">
        <f t="shared" si="160"/>
        <v/>
      </c>
      <c r="BE883" s="55" t="str">
        <f t="shared" si="161"/>
        <v/>
      </c>
      <c r="BF883" s="55" t="str">
        <f t="shared" si="162"/>
        <v/>
      </c>
      <c r="BG883" s="55" t="str">
        <f t="shared" si="163"/>
        <v/>
      </c>
      <c r="BH883" s="55" t="str">
        <f t="shared" si="164"/>
        <v/>
      </c>
      <c r="BI883" s="55" t="str">
        <f t="shared" si="165"/>
        <v/>
      </c>
      <c r="BJ883" s="55" t="str">
        <f t="shared" si="166"/>
        <v/>
      </c>
      <c r="BK883" s="55" t="str">
        <f t="shared" si="167"/>
        <v/>
      </c>
    </row>
    <row r="884" spans="22:63">
      <c r="V884" s="55">
        <f t="shared" ca="1" si="156"/>
        <v>1</v>
      </c>
      <c r="W884" s="64"/>
      <c r="X884" s="65"/>
      <c r="Y884" s="65"/>
      <c r="Z884" s="65"/>
      <c r="AA884" s="64"/>
      <c r="AB884" s="65"/>
      <c r="AC884" s="64"/>
      <c r="AD884" s="65"/>
      <c r="AE884" s="64"/>
      <c r="AF884" s="65"/>
      <c r="AG884" s="65"/>
      <c r="AH884" s="66" t="str">
        <f t="shared" si="157"/>
        <v/>
      </c>
      <c r="AI884" s="64"/>
      <c r="AJ884" s="65"/>
      <c r="AK884" s="64"/>
      <c r="AL884" s="65"/>
      <c r="BB884" s="55" t="str">
        <f t="shared" si="158"/>
        <v/>
      </c>
      <c r="BC884" s="55" t="str">
        <f t="shared" si="159"/>
        <v/>
      </c>
      <c r="BD884" s="55" t="str">
        <f t="shared" si="160"/>
        <v/>
      </c>
      <c r="BE884" s="55" t="str">
        <f t="shared" si="161"/>
        <v/>
      </c>
      <c r="BF884" s="55" t="str">
        <f t="shared" si="162"/>
        <v/>
      </c>
      <c r="BG884" s="55" t="str">
        <f t="shared" si="163"/>
        <v/>
      </c>
      <c r="BH884" s="55" t="str">
        <f t="shared" si="164"/>
        <v/>
      </c>
      <c r="BI884" s="55" t="str">
        <f t="shared" si="165"/>
        <v/>
      </c>
      <c r="BJ884" s="55" t="str">
        <f t="shared" si="166"/>
        <v/>
      </c>
      <c r="BK884" s="55" t="str">
        <f t="shared" si="167"/>
        <v/>
      </c>
    </row>
    <row r="885" spans="22:63">
      <c r="V885" s="55">
        <f t="shared" ca="1" si="156"/>
        <v>1</v>
      </c>
      <c r="W885" s="64"/>
      <c r="X885" s="65"/>
      <c r="Y885" s="65"/>
      <c r="Z885" s="65"/>
      <c r="AA885" s="64"/>
      <c r="AB885" s="65"/>
      <c r="AC885" s="64"/>
      <c r="AD885" s="65"/>
      <c r="AE885" s="64"/>
      <c r="AF885" s="65"/>
      <c r="AG885" s="65"/>
      <c r="AH885" s="66" t="str">
        <f t="shared" si="157"/>
        <v/>
      </c>
      <c r="AI885" s="64"/>
      <c r="AJ885" s="65"/>
      <c r="AK885" s="64"/>
      <c r="AL885" s="65"/>
      <c r="BB885" s="55" t="str">
        <f t="shared" si="158"/>
        <v/>
      </c>
      <c r="BC885" s="55" t="str">
        <f t="shared" si="159"/>
        <v/>
      </c>
      <c r="BD885" s="55" t="str">
        <f t="shared" si="160"/>
        <v/>
      </c>
      <c r="BE885" s="55" t="str">
        <f t="shared" si="161"/>
        <v/>
      </c>
      <c r="BF885" s="55" t="str">
        <f t="shared" si="162"/>
        <v/>
      </c>
      <c r="BG885" s="55" t="str">
        <f t="shared" si="163"/>
        <v/>
      </c>
      <c r="BH885" s="55" t="str">
        <f t="shared" si="164"/>
        <v/>
      </c>
      <c r="BI885" s="55" t="str">
        <f t="shared" si="165"/>
        <v/>
      </c>
      <c r="BJ885" s="55" t="str">
        <f t="shared" si="166"/>
        <v/>
      </c>
      <c r="BK885" s="55" t="str">
        <f t="shared" si="167"/>
        <v/>
      </c>
    </row>
    <row r="886" spans="22:63">
      <c r="V886" s="55">
        <f t="shared" ca="1" si="156"/>
        <v>1</v>
      </c>
      <c r="W886" s="64"/>
      <c r="X886" s="65"/>
      <c r="Y886" s="65"/>
      <c r="Z886" s="65"/>
      <c r="AA886" s="64"/>
      <c r="AB886" s="65"/>
      <c r="AC886" s="64"/>
      <c r="AD886" s="65"/>
      <c r="AE886" s="64"/>
      <c r="AF886" s="65"/>
      <c r="AG886" s="65"/>
      <c r="AH886" s="66" t="str">
        <f t="shared" si="157"/>
        <v/>
      </c>
      <c r="AI886" s="64"/>
      <c r="AJ886" s="65"/>
      <c r="AK886" s="64"/>
      <c r="AL886" s="65"/>
      <c r="BB886" s="55" t="str">
        <f t="shared" si="158"/>
        <v/>
      </c>
      <c r="BC886" s="55" t="str">
        <f t="shared" si="159"/>
        <v/>
      </c>
      <c r="BD886" s="55" t="str">
        <f t="shared" si="160"/>
        <v/>
      </c>
      <c r="BE886" s="55" t="str">
        <f t="shared" si="161"/>
        <v/>
      </c>
      <c r="BF886" s="55" t="str">
        <f t="shared" si="162"/>
        <v/>
      </c>
      <c r="BG886" s="55" t="str">
        <f t="shared" si="163"/>
        <v/>
      </c>
      <c r="BH886" s="55" t="str">
        <f t="shared" si="164"/>
        <v/>
      </c>
      <c r="BI886" s="55" t="str">
        <f t="shared" si="165"/>
        <v/>
      </c>
      <c r="BJ886" s="55" t="str">
        <f t="shared" si="166"/>
        <v/>
      </c>
      <c r="BK886" s="55" t="str">
        <f t="shared" si="167"/>
        <v/>
      </c>
    </row>
    <row r="887" spans="22:63">
      <c r="V887" s="55">
        <f t="shared" ca="1" si="156"/>
        <v>1</v>
      </c>
      <c r="W887" s="64"/>
      <c r="X887" s="65"/>
      <c r="Y887" s="65"/>
      <c r="Z887" s="65"/>
      <c r="AA887" s="64"/>
      <c r="AB887" s="65"/>
      <c r="AC887" s="64"/>
      <c r="AD887" s="65"/>
      <c r="AE887" s="64"/>
      <c r="AF887" s="65"/>
      <c r="AG887" s="65"/>
      <c r="AH887" s="66" t="str">
        <f t="shared" si="157"/>
        <v/>
      </c>
      <c r="AI887" s="64"/>
      <c r="AJ887" s="65"/>
      <c r="AK887" s="64"/>
      <c r="AL887" s="65"/>
      <c r="BB887" s="55" t="str">
        <f t="shared" si="158"/>
        <v/>
      </c>
      <c r="BC887" s="55" t="str">
        <f t="shared" si="159"/>
        <v/>
      </c>
      <c r="BD887" s="55" t="str">
        <f t="shared" si="160"/>
        <v/>
      </c>
      <c r="BE887" s="55" t="str">
        <f t="shared" si="161"/>
        <v/>
      </c>
      <c r="BF887" s="55" t="str">
        <f t="shared" si="162"/>
        <v/>
      </c>
      <c r="BG887" s="55" t="str">
        <f t="shared" si="163"/>
        <v/>
      </c>
      <c r="BH887" s="55" t="str">
        <f t="shared" si="164"/>
        <v/>
      </c>
      <c r="BI887" s="55" t="str">
        <f t="shared" si="165"/>
        <v/>
      </c>
      <c r="BJ887" s="55" t="str">
        <f t="shared" si="166"/>
        <v/>
      </c>
      <c r="BK887" s="55" t="str">
        <f t="shared" si="167"/>
        <v/>
      </c>
    </row>
    <row r="888" spans="22:63">
      <c r="V888" s="55">
        <f t="shared" ca="1" si="156"/>
        <v>1</v>
      </c>
      <c r="W888" s="64"/>
      <c r="X888" s="65"/>
      <c r="Y888" s="65"/>
      <c r="Z888" s="65"/>
      <c r="AA888" s="64"/>
      <c r="AB888" s="65"/>
      <c r="AC888" s="64"/>
      <c r="AD888" s="65"/>
      <c r="AE888" s="64"/>
      <c r="AF888" s="65"/>
      <c r="AG888" s="65"/>
      <c r="AH888" s="66" t="str">
        <f t="shared" si="157"/>
        <v/>
      </c>
      <c r="AI888" s="64"/>
      <c r="AJ888" s="65"/>
      <c r="AK888" s="64"/>
      <c r="AL888" s="65"/>
      <c r="BB888" s="55" t="str">
        <f t="shared" si="158"/>
        <v/>
      </c>
      <c r="BC888" s="55" t="str">
        <f t="shared" si="159"/>
        <v/>
      </c>
      <c r="BD888" s="55" t="str">
        <f t="shared" si="160"/>
        <v/>
      </c>
      <c r="BE888" s="55" t="str">
        <f t="shared" si="161"/>
        <v/>
      </c>
      <c r="BF888" s="55" t="str">
        <f t="shared" si="162"/>
        <v/>
      </c>
      <c r="BG888" s="55" t="str">
        <f t="shared" si="163"/>
        <v/>
      </c>
      <c r="BH888" s="55" t="str">
        <f t="shared" si="164"/>
        <v/>
      </c>
      <c r="BI888" s="55" t="str">
        <f t="shared" si="165"/>
        <v/>
      </c>
      <c r="BJ888" s="55" t="str">
        <f t="shared" si="166"/>
        <v/>
      </c>
      <c r="BK888" s="55" t="str">
        <f t="shared" si="167"/>
        <v/>
      </c>
    </row>
    <row r="889" spans="22:63">
      <c r="V889" s="55">
        <f t="shared" ca="1" si="156"/>
        <v>1</v>
      </c>
      <c r="W889" s="64"/>
      <c r="X889" s="65"/>
      <c r="Y889" s="65"/>
      <c r="Z889" s="65"/>
      <c r="AA889" s="64"/>
      <c r="AB889" s="65"/>
      <c r="AC889" s="64"/>
      <c r="AD889" s="65"/>
      <c r="AE889" s="64"/>
      <c r="AF889" s="65"/>
      <c r="AG889" s="65"/>
      <c r="AH889" s="66" t="str">
        <f t="shared" si="157"/>
        <v/>
      </c>
      <c r="AI889" s="64"/>
      <c r="AJ889" s="65"/>
      <c r="AK889" s="64"/>
      <c r="AL889" s="65"/>
      <c r="BB889" s="55" t="str">
        <f t="shared" si="158"/>
        <v/>
      </c>
      <c r="BC889" s="55" t="str">
        <f t="shared" si="159"/>
        <v/>
      </c>
      <c r="BD889" s="55" t="str">
        <f t="shared" si="160"/>
        <v/>
      </c>
      <c r="BE889" s="55" t="str">
        <f t="shared" si="161"/>
        <v/>
      </c>
      <c r="BF889" s="55" t="str">
        <f t="shared" si="162"/>
        <v/>
      </c>
      <c r="BG889" s="55" t="str">
        <f t="shared" si="163"/>
        <v/>
      </c>
      <c r="BH889" s="55" t="str">
        <f t="shared" si="164"/>
        <v/>
      </c>
      <c r="BI889" s="55" t="str">
        <f t="shared" si="165"/>
        <v/>
      </c>
      <c r="BJ889" s="55" t="str">
        <f t="shared" si="166"/>
        <v/>
      </c>
      <c r="BK889" s="55" t="str">
        <f t="shared" si="167"/>
        <v/>
      </c>
    </row>
    <row r="890" spans="22:63">
      <c r="V890" s="55">
        <f t="shared" ca="1" si="156"/>
        <v>1</v>
      </c>
      <c r="W890" s="64"/>
      <c r="X890" s="65"/>
      <c r="Y890" s="65"/>
      <c r="Z890" s="65"/>
      <c r="AA890" s="64"/>
      <c r="AB890" s="65"/>
      <c r="AC890" s="64"/>
      <c r="AD890" s="65"/>
      <c r="AE890" s="64"/>
      <c r="AF890" s="65"/>
      <c r="AG890" s="65"/>
      <c r="AH890" s="66" t="str">
        <f t="shared" si="157"/>
        <v/>
      </c>
      <c r="AI890" s="64"/>
      <c r="AJ890" s="65"/>
      <c r="AK890" s="64"/>
      <c r="AL890" s="65"/>
      <c r="BB890" s="55" t="str">
        <f t="shared" si="158"/>
        <v/>
      </c>
      <c r="BC890" s="55" t="str">
        <f t="shared" si="159"/>
        <v/>
      </c>
      <c r="BD890" s="55" t="str">
        <f t="shared" si="160"/>
        <v/>
      </c>
      <c r="BE890" s="55" t="str">
        <f t="shared" si="161"/>
        <v/>
      </c>
      <c r="BF890" s="55" t="str">
        <f t="shared" si="162"/>
        <v/>
      </c>
      <c r="BG890" s="55" t="str">
        <f t="shared" si="163"/>
        <v/>
      </c>
      <c r="BH890" s="55" t="str">
        <f t="shared" si="164"/>
        <v/>
      </c>
      <c r="BI890" s="55" t="str">
        <f t="shared" si="165"/>
        <v/>
      </c>
      <c r="BJ890" s="55" t="str">
        <f t="shared" si="166"/>
        <v/>
      </c>
      <c r="BK890" s="55" t="str">
        <f t="shared" si="167"/>
        <v/>
      </c>
    </row>
    <row r="891" spans="22:63">
      <c r="V891" s="55">
        <f t="shared" ca="1" si="156"/>
        <v>1</v>
      </c>
      <c r="W891" s="64"/>
      <c r="X891" s="65"/>
      <c r="Y891" s="65"/>
      <c r="Z891" s="65"/>
      <c r="AA891" s="64"/>
      <c r="AB891" s="65"/>
      <c r="AC891" s="64"/>
      <c r="AD891" s="65"/>
      <c r="AE891" s="64"/>
      <c r="AF891" s="65"/>
      <c r="AG891" s="65"/>
      <c r="AH891" s="66" t="str">
        <f t="shared" si="157"/>
        <v/>
      </c>
      <c r="AI891" s="64"/>
      <c r="AJ891" s="65"/>
      <c r="AK891" s="64"/>
      <c r="AL891" s="65"/>
      <c r="BB891" s="55" t="str">
        <f t="shared" si="158"/>
        <v/>
      </c>
      <c r="BC891" s="55" t="str">
        <f t="shared" si="159"/>
        <v/>
      </c>
      <c r="BD891" s="55" t="str">
        <f t="shared" si="160"/>
        <v/>
      </c>
      <c r="BE891" s="55" t="str">
        <f t="shared" si="161"/>
        <v/>
      </c>
      <c r="BF891" s="55" t="str">
        <f t="shared" si="162"/>
        <v/>
      </c>
      <c r="BG891" s="55" t="str">
        <f t="shared" si="163"/>
        <v/>
      </c>
      <c r="BH891" s="55" t="str">
        <f t="shared" si="164"/>
        <v/>
      </c>
      <c r="BI891" s="55" t="str">
        <f t="shared" si="165"/>
        <v/>
      </c>
      <c r="BJ891" s="55" t="str">
        <f t="shared" si="166"/>
        <v/>
      </c>
      <c r="BK891" s="55" t="str">
        <f t="shared" si="167"/>
        <v/>
      </c>
    </row>
    <row r="892" spans="22:63">
      <c r="V892" s="55">
        <f t="shared" ca="1" si="156"/>
        <v>1</v>
      </c>
      <c r="W892" s="64"/>
      <c r="X892" s="65"/>
      <c r="Y892" s="65"/>
      <c r="Z892" s="65"/>
      <c r="AA892" s="64"/>
      <c r="AB892" s="65"/>
      <c r="AC892" s="64"/>
      <c r="AD892" s="65"/>
      <c r="AE892" s="64"/>
      <c r="AF892" s="65"/>
      <c r="AG892" s="65"/>
      <c r="AH892" s="66" t="str">
        <f t="shared" si="157"/>
        <v/>
      </c>
      <c r="AI892" s="64"/>
      <c r="AJ892" s="65"/>
      <c r="AK892" s="64"/>
      <c r="AL892" s="65"/>
      <c r="BB892" s="55" t="str">
        <f t="shared" si="158"/>
        <v/>
      </c>
      <c r="BC892" s="55" t="str">
        <f t="shared" si="159"/>
        <v/>
      </c>
      <c r="BD892" s="55" t="str">
        <f t="shared" si="160"/>
        <v/>
      </c>
      <c r="BE892" s="55" t="str">
        <f t="shared" si="161"/>
        <v/>
      </c>
      <c r="BF892" s="55" t="str">
        <f t="shared" si="162"/>
        <v/>
      </c>
      <c r="BG892" s="55" t="str">
        <f t="shared" si="163"/>
        <v/>
      </c>
      <c r="BH892" s="55" t="str">
        <f t="shared" si="164"/>
        <v/>
      </c>
      <c r="BI892" s="55" t="str">
        <f t="shared" si="165"/>
        <v/>
      </c>
      <c r="BJ892" s="55" t="str">
        <f t="shared" si="166"/>
        <v/>
      </c>
      <c r="BK892" s="55" t="str">
        <f t="shared" si="167"/>
        <v/>
      </c>
    </row>
    <row r="893" spans="22:63">
      <c r="V893" s="55">
        <f t="shared" ca="1" si="156"/>
        <v>1</v>
      </c>
      <c r="W893" s="64"/>
      <c r="X893" s="65"/>
      <c r="Y893" s="65"/>
      <c r="Z893" s="65"/>
      <c r="AA893" s="64"/>
      <c r="AB893" s="65"/>
      <c r="AC893" s="64"/>
      <c r="AD893" s="65"/>
      <c r="AE893" s="64"/>
      <c r="AF893" s="65"/>
      <c r="AG893" s="65"/>
      <c r="AH893" s="66" t="str">
        <f t="shared" si="157"/>
        <v/>
      </c>
      <c r="AI893" s="64"/>
      <c r="AJ893" s="65"/>
      <c r="AK893" s="64"/>
      <c r="AL893" s="65"/>
      <c r="BB893" s="55" t="str">
        <f t="shared" si="158"/>
        <v/>
      </c>
      <c r="BC893" s="55" t="str">
        <f t="shared" si="159"/>
        <v/>
      </c>
      <c r="BD893" s="55" t="str">
        <f t="shared" si="160"/>
        <v/>
      </c>
      <c r="BE893" s="55" t="str">
        <f t="shared" si="161"/>
        <v/>
      </c>
      <c r="BF893" s="55" t="str">
        <f t="shared" si="162"/>
        <v/>
      </c>
      <c r="BG893" s="55" t="str">
        <f t="shared" si="163"/>
        <v/>
      </c>
      <c r="BH893" s="55" t="str">
        <f t="shared" si="164"/>
        <v/>
      </c>
      <c r="BI893" s="55" t="str">
        <f t="shared" si="165"/>
        <v/>
      </c>
      <c r="BJ893" s="55" t="str">
        <f t="shared" si="166"/>
        <v/>
      </c>
      <c r="BK893" s="55" t="str">
        <f t="shared" si="167"/>
        <v/>
      </c>
    </row>
    <row r="894" spans="22:63">
      <c r="V894" s="55">
        <f t="shared" ca="1" si="156"/>
        <v>1</v>
      </c>
      <c r="W894" s="64"/>
      <c r="X894" s="65"/>
      <c r="Y894" s="65"/>
      <c r="Z894" s="65"/>
      <c r="AA894" s="64"/>
      <c r="AB894" s="65"/>
      <c r="AC894" s="64"/>
      <c r="AD894" s="65"/>
      <c r="AE894" s="64"/>
      <c r="AF894" s="65"/>
      <c r="AG894" s="65"/>
      <c r="AH894" s="66" t="str">
        <f t="shared" si="157"/>
        <v/>
      </c>
      <c r="AI894" s="64"/>
      <c r="AJ894" s="65"/>
      <c r="AK894" s="64"/>
      <c r="AL894" s="65"/>
      <c r="BB894" s="55" t="str">
        <f t="shared" si="158"/>
        <v/>
      </c>
      <c r="BC894" s="55" t="str">
        <f t="shared" si="159"/>
        <v/>
      </c>
      <c r="BD894" s="55" t="str">
        <f t="shared" si="160"/>
        <v/>
      </c>
      <c r="BE894" s="55" t="str">
        <f t="shared" si="161"/>
        <v/>
      </c>
      <c r="BF894" s="55" t="str">
        <f t="shared" si="162"/>
        <v/>
      </c>
      <c r="BG894" s="55" t="str">
        <f t="shared" si="163"/>
        <v/>
      </c>
      <c r="BH894" s="55" t="str">
        <f t="shared" si="164"/>
        <v/>
      </c>
      <c r="BI894" s="55" t="str">
        <f t="shared" si="165"/>
        <v/>
      </c>
      <c r="BJ894" s="55" t="str">
        <f t="shared" si="166"/>
        <v/>
      </c>
      <c r="BK894" s="55" t="str">
        <f t="shared" si="167"/>
        <v/>
      </c>
    </row>
    <row r="895" spans="22:63">
      <c r="V895" s="55">
        <f t="shared" ca="1" si="156"/>
        <v>1</v>
      </c>
      <c r="W895" s="64"/>
      <c r="X895" s="65"/>
      <c r="Y895" s="65"/>
      <c r="Z895" s="65"/>
      <c r="AA895" s="64"/>
      <c r="AB895" s="65"/>
      <c r="AC895" s="64"/>
      <c r="AD895" s="65"/>
      <c r="AE895" s="64"/>
      <c r="AF895" s="65"/>
      <c r="AG895" s="65"/>
      <c r="AH895" s="66" t="str">
        <f t="shared" si="157"/>
        <v/>
      </c>
      <c r="AI895" s="64"/>
      <c r="AJ895" s="65"/>
      <c r="AK895" s="64"/>
      <c r="AL895" s="65"/>
      <c r="BB895" s="55" t="str">
        <f t="shared" si="158"/>
        <v/>
      </c>
      <c r="BC895" s="55" t="str">
        <f t="shared" si="159"/>
        <v/>
      </c>
      <c r="BD895" s="55" t="str">
        <f t="shared" si="160"/>
        <v/>
      </c>
      <c r="BE895" s="55" t="str">
        <f t="shared" si="161"/>
        <v/>
      </c>
      <c r="BF895" s="55" t="str">
        <f t="shared" si="162"/>
        <v/>
      </c>
      <c r="BG895" s="55" t="str">
        <f t="shared" si="163"/>
        <v/>
      </c>
      <c r="BH895" s="55" t="str">
        <f t="shared" si="164"/>
        <v/>
      </c>
      <c r="BI895" s="55" t="str">
        <f t="shared" si="165"/>
        <v/>
      </c>
      <c r="BJ895" s="55" t="str">
        <f t="shared" si="166"/>
        <v/>
      </c>
      <c r="BK895" s="55" t="str">
        <f t="shared" si="167"/>
        <v/>
      </c>
    </row>
    <row r="896" spans="22:63">
      <c r="V896" s="55">
        <f t="shared" ca="1" si="156"/>
        <v>1</v>
      </c>
      <c r="W896" s="64"/>
      <c r="X896" s="65"/>
      <c r="Y896" s="65"/>
      <c r="Z896" s="65"/>
      <c r="AA896" s="64"/>
      <c r="AB896" s="65"/>
      <c r="AC896" s="64"/>
      <c r="AD896" s="65"/>
      <c r="AE896" s="64"/>
      <c r="AF896" s="65"/>
      <c r="AG896" s="65"/>
      <c r="AH896" s="66" t="str">
        <f t="shared" si="157"/>
        <v/>
      </c>
      <c r="AI896" s="64"/>
      <c r="AJ896" s="65"/>
      <c r="AK896" s="64"/>
      <c r="AL896" s="65"/>
      <c r="BB896" s="55" t="str">
        <f t="shared" si="158"/>
        <v/>
      </c>
      <c r="BC896" s="55" t="str">
        <f t="shared" si="159"/>
        <v/>
      </c>
      <c r="BD896" s="55" t="str">
        <f t="shared" si="160"/>
        <v/>
      </c>
      <c r="BE896" s="55" t="str">
        <f t="shared" si="161"/>
        <v/>
      </c>
      <c r="BF896" s="55" t="str">
        <f t="shared" si="162"/>
        <v/>
      </c>
      <c r="BG896" s="55" t="str">
        <f t="shared" si="163"/>
        <v/>
      </c>
      <c r="BH896" s="55" t="str">
        <f t="shared" si="164"/>
        <v/>
      </c>
      <c r="BI896" s="55" t="str">
        <f t="shared" si="165"/>
        <v/>
      </c>
      <c r="BJ896" s="55" t="str">
        <f t="shared" si="166"/>
        <v/>
      </c>
      <c r="BK896" s="55" t="str">
        <f t="shared" si="167"/>
        <v/>
      </c>
    </row>
    <row r="897" spans="22:63">
      <c r="V897" s="55">
        <f t="shared" ca="1" si="156"/>
        <v>1</v>
      </c>
      <c r="W897" s="64"/>
      <c r="X897" s="65"/>
      <c r="Y897" s="65"/>
      <c r="Z897" s="65"/>
      <c r="AA897" s="64"/>
      <c r="AB897" s="65"/>
      <c r="AC897" s="64"/>
      <c r="AD897" s="65"/>
      <c r="AE897" s="64"/>
      <c r="AF897" s="65"/>
      <c r="AG897" s="65"/>
      <c r="AH897" s="66" t="str">
        <f t="shared" si="157"/>
        <v/>
      </c>
      <c r="AI897" s="64"/>
      <c r="AJ897" s="65"/>
      <c r="AK897" s="64"/>
      <c r="AL897" s="65"/>
      <c r="BB897" s="55" t="str">
        <f t="shared" si="158"/>
        <v/>
      </c>
      <c r="BC897" s="55" t="str">
        <f t="shared" si="159"/>
        <v/>
      </c>
      <c r="BD897" s="55" t="str">
        <f t="shared" si="160"/>
        <v/>
      </c>
      <c r="BE897" s="55" t="str">
        <f t="shared" si="161"/>
        <v/>
      </c>
      <c r="BF897" s="55" t="str">
        <f t="shared" si="162"/>
        <v/>
      </c>
      <c r="BG897" s="55" t="str">
        <f t="shared" si="163"/>
        <v/>
      </c>
      <c r="BH897" s="55" t="str">
        <f t="shared" si="164"/>
        <v/>
      </c>
      <c r="BI897" s="55" t="str">
        <f t="shared" si="165"/>
        <v/>
      </c>
      <c r="BJ897" s="55" t="str">
        <f t="shared" si="166"/>
        <v/>
      </c>
      <c r="BK897" s="55" t="str">
        <f t="shared" si="167"/>
        <v/>
      </c>
    </row>
    <row r="898" spans="22:63">
      <c r="V898" s="55">
        <f t="shared" ca="1" si="156"/>
        <v>1</v>
      </c>
      <c r="W898" s="64"/>
      <c r="X898" s="65"/>
      <c r="Y898" s="65"/>
      <c r="Z898" s="65"/>
      <c r="AA898" s="64"/>
      <c r="AB898" s="65"/>
      <c r="AC898" s="64"/>
      <c r="AD898" s="65"/>
      <c r="AE898" s="64"/>
      <c r="AF898" s="65"/>
      <c r="AG898" s="65"/>
      <c r="AH898" s="66" t="str">
        <f t="shared" si="157"/>
        <v/>
      </c>
      <c r="AI898" s="64"/>
      <c r="AJ898" s="65"/>
      <c r="AK898" s="64"/>
      <c r="AL898" s="65"/>
      <c r="BB898" s="55" t="str">
        <f t="shared" si="158"/>
        <v/>
      </c>
      <c r="BC898" s="55" t="str">
        <f t="shared" si="159"/>
        <v/>
      </c>
      <c r="BD898" s="55" t="str">
        <f t="shared" si="160"/>
        <v/>
      </c>
      <c r="BE898" s="55" t="str">
        <f t="shared" si="161"/>
        <v/>
      </c>
      <c r="BF898" s="55" t="str">
        <f t="shared" si="162"/>
        <v/>
      </c>
      <c r="BG898" s="55" t="str">
        <f t="shared" si="163"/>
        <v/>
      </c>
      <c r="BH898" s="55" t="str">
        <f t="shared" si="164"/>
        <v/>
      </c>
      <c r="BI898" s="55" t="str">
        <f t="shared" si="165"/>
        <v/>
      </c>
      <c r="BJ898" s="55" t="str">
        <f t="shared" si="166"/>
        <v/>
      </c>
      <c r="BK898" s="55" t="str">
        <f t="shared" si="167"/>
        <v/>
      </c>
    </row>
    <row r="899" spans="22:63">
      <c r="V899" s="55">
        <f t="shared" ca="1" si="156"/>
        <v>1</v>
      </c>
      <c r="W899" s="64"/>
      <c r="X899" s="65"/>
      <c r="Y899" s="65"/>
      <c r="Z899" s="65"/>
      <c r="AA899" s="64"/>
      <c r="AB899" s="65"/>
      <c r="AC899" s="64"/>
      <c r="AD899" s="65"/>
      <c r="AE899" s="64"/>
      <c r="AF899" s="65"/>
      <c r="AG899" s="65"/>
      <c r="AH899" s="66" t="str">
        <f t="shared" si="157"/>
        <v/>
      </c>
      <c r="AI899" s="64"/>
      <c r="AJ899" s="65"/>
      <c r="AK899" s="64"/>
      <c r="AL899" s="65"/>
      <c r="BB899" s="55" t="str">
        <f t="shared" si="158"/>
        <v/>
      </c>
      <c r="BC899" s="55" t="str">
        <f t="shared" si="159"/>
        <v/>
      </c>
      <c r="BD899" s="55" t="str">
        <f t="shared" si="160"/>
        <v/>
      </c>
      <c r="BE899" s="55" t="str">
        <f t="shared" si="161"/>
        <v/>
      </c>
      <c r="BF899" s="55" t="str">
        <f t="shared" si="162"/>
        <v/>
      </c>
      <c r="BG899" s="55" t="str">
        <f t="shared" si="163"/>
        <v/>
      </c>
      <c r="BH899" s="55" t="str">
        <f t="shared" si="164"/>
        <v/>
      </c>
      <c r="BI899" s="55" t="str">
        <f t="shared" si="165"/>
        <v/>
      </c>
      <c r="BJ899" s="55" t="str">
        <f t="shared" si="166"/>
        <v/>
      </c>
      <c r="BK899" s="55" t="str">
        <f t="shared" si="167"/>
        <v/>
      </c>
    </row>
    <row r="900" spans="22:63">
      <c r="V900" s="55">
        <f t="shared" ca="1" si="156"/>
        <v>1</v>
      </c>
      <c r="W900" s="64"/>
      <c r="X900" s="65"/>
      <c r="Y900" s="65"/>
      <c r="Z900" s="65"/>
      <c r="AA900" s="64"/>
      <c r="AB900" s="65"/>
      <c r="AC900" s="64"/>
      <c r="AD900" s="65"/>
      <c r="AE900" s="64"/>
      <c r="AF900" s="65"/>
      <c r="AG900" s="65"/>
      <c r="AH900" s="66" t="str">
        <f t="shared" si="157"/>
        <v/>
      </c>
      <c r="AI900" s="64"/>
      <c r="AJ900" s="65"/>
      <c r="AK900" s="64"/>
      <c r="AL900" s="65"/>
      <c r="BB900" s="55" t="str">
        <f t="shared" si="158"/>
        <v/>
      </c>
      <c r="BC900" s="55" t="str">
        <f t="shared" si="159"/>
        <v/>
      </c>
      <c r="BD900" s="55" t="str">
        <f t="shared" si="160"/>
        <v/>
      </c>
      <c r="BE900" s="55" t="str">
        <f t="shared" si="161"/>
        <v/>
      </c>
      <c r="BF900" s="55" t="str">
        <f t="shared" si="162"/>
        <v/>
      </c>
      <c r="BG900" s="55" t="str">
        <f t="shared" si="163"/>
        <v/>
      </c>
      <c r="BH900" s="55" t="str">
        <f t="shared" si="164"/>
        <v/>
      </c>
      <c r="BI900" s="55" t="str">
        <f t="shared" si="165"/>
        <v/>
      </c>
      <c r="BJ900" s="55" t="str">
        <f t="shared" si="166"/>
        <v/>
      </c>
      <c r="BK900" s="55" t="str">
        <f t="shared" si="167"/>
        <v/>
      </c>
    </row>
    <row r="901" spans="22:63">
      <c r="V901" s="55">
        <f t="shared" ca="1" si="156"/>
        <v>1</v>
      </c>
      <c r="W901" s="64"/>
      <c r="X901" s="65"/>
      <c r="Y901" s="65"/>
      <c r="Z901" s="65"/>
      <c r="AA901" s="64"/>
      <c r="AB901" s="65"/>
      <c r="AC901" s="64"/>
      <c r="AD901" s="65"/>
      <c r="AE901" s="64"/>
      <c r="AF901" s="65"/>
      <c r="AG901" s="65"/>
      <c r="AH901" s="66" t="str">
        <f t="shared" si="157"/>
        <v/>
      </c>
      <c r="AI901" s="64"/>
      <c r="AJ901" s="65"/>
      <c r="AK901" s="64"/>
      <c r="AL901" s="65"/>
      <c r="BB901" s="55" t="str">
        <f t="shared" si="158"/>
        <v/>
      </c>
      <c r="BC901" s="55" t="str">
        <f t="shared" si="159"/>
        <v/>
      </c>
      <c r="BD901" s="55" t="str">
        <f t="shared" si="160"/>
        <v/>
      </c>
      <c r="BE901" s="55" t="str">
        <f t="shared" si="161"/>
        <v/>
      </c>
      <c r="BF901" s="55" t="str">
        <f t="shared" si="162"/>
        <v/>
      </c>
      <c r="BG901" s="55" t="str">
        <f t="shared" si="163"/>
        <v/>
      </c>
      <c r="BH901" s="55" t="str">
        <f t="shared" si="164"/>
        <v/>
      </c>
      <c r="BI901" s="55" t="str">
        <f t="shared" si="165"/>
        <v/>
      </c>
      <c r="BJ901" s="55" t="str">
        <f t="shared" si="166"/>
        <v/>
      </c>
      <c r="BK901" s="55" t="str">
        <f t="shared" si="167"/>
        <v/>
      </c>
    </row>
    <row r="902" spans="22:63">
      <c r="V902" s="55">
        <f t="shared" ca="1" si="156"/>
        <v>1</v>
      </c>
      <c r="W902" s="64"/>
      <c r="X902" s="65"/>
      <c r="Y902" s="65"/>
      <c r="Z902" s="65"/>
      <c r="AA902" s="64"/>
      <c r="AB902" s="65"/>
      <c r="AC902" s="64"/>
      <c r="AD902" s="65"/>
      <c r="AE902" s="64"/>
      <c r="AF902" s="65"/>
      <c r="AG902" s="65"/>
      <c r="AH902" s="66" t="str">
        <f t="shared" si="157"/>
        <v/>
      </c>
      <c r="AI902" s="64"/>
      <c r="AJ902" s="65"/>
      <c r="AK902" s="64"/>
      <c r="AL902" s="65"/>
      <c r="BB902" s="55" t="str">
        <f t="shared" si="158"/>
        <v/>
      </c>
      <c r="BC902" s="55" t="str">
        <f t="shared" si="159"/>
        <v/>
      </c>
      <c r="BD902" s="55" t="str">
        <f t="shared" si="160"/>
        <v/>
      </c>
      <c r="BE902" s="55" t="str">
        <f t="shared" si="161"/>
        <v/>
      </c>
      <c r="BF902" s="55" t="str">
        <f t="shared" si="162"/>
        <v/>
      </c>
      <c r="BG902" s="55" t="str">
        <f t="shared" si="163"/>
        <v/>
      </c>
      <c r="BH902" s="55" t="str">
        <f t="shared" si="164"/>
        <v/>
      </c>
      <c r="BI902" s="55" t="str">
        <f t="shared" si="165"/>
        <v/>
      </c>
      <c r="BJ902" s="55" t="str">
        <f t="shared" si="166"/>
        <v/>
      </c>
      <c r="BK902" s="55" t="str">
        <f t="shared" si="167"/>
        <v/>
      </c>
    </row>
    <row r="903" spans="22:63">
      <c r="V903" s="55">
        <f t="shared" ca="1" si="156"/>
        <v>1</v>
      </c>
      <c r="W903" s="64"/>
      <c r="X903" s="65"/>
      <c r="Y903" s="65"/>
      <c r="Z903" s="65"/>
      <c r="AA903" s="64"/>
      <c r="AB903" s="65"/>
      <c r="AC903" s="64"/>
      <c r="AD903" s="65"/>
      <c r="AE903" s="64"/>
      <c r="AF903" s="65"/>
      <c r="AG903" s="65"/>
      <c r="AH903" s="66" t="str">
        <f t="shared" si="157"/>
        <v/>
      </c>
      <c r="AI903" s="64"/>
      <c r="AJ903" s="65"/>
      <c r="AK903" s="64"/>
      <c r="AL903" s="65"/>
      <c r="BB903" s="55" t="str">
        <f t="shared" si="158"/>
        <v/>
      </c>
      <c r="BC903" s="55" t="str">
        <f t="shared" si="159"/>
        <v/>
      </c>
      <c r="BD903" s="55" t="str">
        <f t="shared" si="160"/>
        <v/>
      </c>
      <c r="BE903" s="55" t="str">
        <f t="shared" si="161"/>
        <v/>
      </c>
      <c r="BF903" s="55" t="str">
        <f t="shared" si="162"/>
        <v/>
      </c>
      <c r="BG903" s="55" t="str">
        <f t="shared" si="163"/>
        <v/>
      </c>
      <c r="BH903" s="55" t="str">
        <f t="shared" si="164"/>
        <v/>
      </c>
      <c r="BI903" s="55" t="str">
        <f t="shared" si="165"/>
        <v/>
      </c>
      <c r="BJ903" s="55" t="str">
        <f t="shared" si="166"/>
        <v/>
      </c>
      <c r="BK903" s="55" t="str">
        <f t="shared" si="167"/>
        <v/>
      </c>
    </row>
    <row r="904" spans="22:63">
      <c r="V904" s="55">
        <f t="shared" ca="1" si="156"/>
        <v>1</v>
      </c>
      <c r="W904" s="64"/>
      <c r="X904" s="65"/>
      <c r="Y904" s="65"/>
      <c r="Z904" s="65"/>
      <c r="AA904" s="64"/>
      <c r="AB904" s="65"/>
      <c r="AC904" s="64"/>
      <c r="AD904" s="65"/>
      <c r="AE904" s="64"/>
      <c r="AF904" s="65"/>
      <c r="AG904" s="65"/>
      <c r="AH904" s="66" t="str">
        <f t="shared" si="157"/>
        <v/>
      </c>
      <c r="AI904" s="64"/>
      <c r="AJ904" s="65"/>
      <c r="AK904" s="64"/>
      <c r="AL904" s="65"/>
      <c r="BB904" s="55" t="str">
        <f t="shared" si="158"/>
        <v/>
      </c>
      <c r="BC904" s="55" t="str">
        <f t="shared" si="159"/>
        <v/>
      </c>
      <c r="BD904" s="55" t="str">
        <f t="shared" si="160"/>
        <v/>
      </c>
      <c r="BE904" s="55" t="str">
        <f t="shared" si="161"/>
        <v/>
      </c>
      <c r="BF904" s="55" t="str">
        <f t="shared" si="162"/>
        <v/>
      </c>
      <c r="BG904" s="55" t="str">
        <f t="shared" si="163"/>
        <v/>
      </c>
      <c r="BH904" s="55" t="str">
        <f t="shared" si="164"/>
        <v/>
      </c>
      <c r="BI904" s="55" t="str">
        <f t="shared" si="165"/>
        <v/>
      </c>
      <c r="BJ904" s="55" t="str">
        <f t="shared" si="166"/>
        <v/>
      </c>
      <c r="BK904" s="55" t="str">
        <f t="shared" si="167"/>
        <v/>
      </c>
    </row>
    <row r="905" spans="22:63">
      <c r="V905" s="55">
        <f t="shared" ca="1" si="156"/>
        <v>1</v>
      </c>
      <c r="W905" s="64"/>
      <c r="X905" s="65"/>
      <c r="Y905" s="65"/>
      <c r="Z905" s="65"/>
      <c r="AA905" s="64"/>
      <c r="AB905" s="65"/>
      <c r="AC905" s="64"/>
      <c r="AD905" s="65"/>
      <c r="AE905" s="64"/>
      <c r="AF905" s="65"/>
      <c r="AG905" s="65"/>
      <c r="AH905" s="66" t="str">
        <f t="shared" si="157"/>
        <v/>
      </c>
      <c r="AI905" s="64"/>
      <c r="AJ905" s="65"/>
      <c r="AK905" s="64"/>
      <c r="AL905" s="65"/>
      <c r="BB905" s="55" t="str">
        <f t="shared" si="158"/>
        <v/>
      </c>
      <c r="BC905" s="55" t="str">
        <f t="shared" si="159"/>
        <v/>
      </c>
      <c r="BD905" s="55" t="str">
        <f t="shared" si="160"/>
        <v/>
      </c>
      <c r="BE905" s="55" t="str">
        <f t="shared" si="161"/>
        <v/>
      </c>
      <c r="BF905" s="55" t="str">
        <f t="shared" si="162"/>
        <v/>
      </c>
      <c r="BG905" s="55" t="str">
        <f t="shared" si="163"/>
        <v/>
      </c>
      <c r="BH905" s="55" t="str">
        <f t="shared" si="164"/>
        <v/>
      </c>
      <c r="BI905" s="55" t="str">
        <f t="shared" si="165"/>
        <v/>
      </c>
      <c r="BJ905" s="55" t="str">
        <f t="shared" si="166"/>
        <v/>
      </c>
      <c r="BK905" s="55" t="str">
        <f t="shared" si="167"/>
        <v/>
      </c>
    </row>
    <row r="906" spans="22:63">
      <c r="V906" s="55">
        <f t="shared" ca="1" si="156"/>
        <v>1</v>
      </c>
      <c r="W906" s="64"/>
      <c r="X906" s="65"/>
      <c r="Y906" s="65"/>
      <c r="Z906" s="65"/>
      <c r="AA906" s="64"/>
      <c r="AB906" s="65"/>
      <c r="AC906" s="64"/>
      <c r="AD906" s="65"/>
      <c r="AE906" s="64"/>
      <c r="AF906" s="65"/>
      <c r="AG906" s="65"/>
      <c r="AH906" s="66" t="str">
        <f t="shared" si="157"/>
        <v/>
      </c>
      <c r="AI906" s="64"/>
      <c r="AJ906" s="65"/>
      <c r="AK906" s="64"/>
      <c r="AL906" s="65"/>
      <c r="BB906" s="55" t="str">
        <f t="shared" si="158"/>
        <v/>
      </c>
      <c r="BC906" s="55" t="str">
        <f t="shared" si="159"/>
        <v/>
      </c>
      <c r="BD906" s="55" t="str">
        <f t="shared" si="160"/>
        <v/>
      </c>
      <c r="BE906" s="55" t="str">
        <f t="shared" si="161"/>
        <v/>
      </c>
      <c r="BF906" s="55" t="str">
        <f t="shared" si="162"/>
        <v/>
      </c>
      <c r="BG906" s="55" t="str">
        <f t="shared" si="163"/>
        <v/>
      </c>
      <c r="BH906" s="55" t="str">
        <f t="shared" si="164"/>
        <v/>
      </c>
      <c r="BI906" s="55" t="str">
        <f t="shared" si="165"/>
        <v/>
      </c>
      <c r="BJ906" s="55" t="str">
        <f t="shared" si="166"/>
        <v/>
      </c>
      <c r="BK906" s="55" t="str">
        <f t="shared" si="167"/>
        <v/>
      </c>
    </row>
    <row r="907" spans="22:63">
      <c r="V907" s="55">
        <f t="shared" ref="V907:V970" ca="1" si="168">IF(ISBLANK($W907),IF(ISNUMBER(INDIRECT("S"&amp;ROW($V907)-1)),INDIRECT("S"&amp;ROW($V907)-1),1),$W907)</f>
        <v>1</v>
      </c>
      <c r="W907" s="64"/>
      <c r="X907" s="65"/>
      <c r="Y907" s="65"/>
      <c r="Z907" s="65"/>
      <c r="AA907" s="64"/>
      <c r="AB907" s="65"/>
      <c r="AC907" s="64"/>
      <c r="AD907" s="65"/>
      <c r="AE907" s="64"/>
      <c r="AF907" s="65"/>
      <c r="AG907" s="65"/>
      <c r="AH907" s="66" t="str">
        <f t="shared" ref="AH907:AH970" si="169">IF(ISNUMBER($BI907), $BH907&amp;" - "&amp;$BJ907,"")</f>
        <v/>
      </c>
      <c r="AI907" s="64"/>
      <c r="AJ907" s="65"/>
      <c r="AK907" s="64"/>
      <c r="AL907" s="65"/>
      <c r="BB907" s="55" t="str">
        <f t="shared" ref="BB907:BB970" si="170">IF(ISBLANK($Z907),"",VLOOKUP($Z907,$A$11:$B$1010,2,FALSE))</f>
        <v/>
      </c>
      <c r="BC907" s="55" t="str">
        <f t="shared" ref="BC907:BC970" si="171">IF(ISBLANK($AA907),"",VLOOKUP($AA907,$D$11:$E$1010,2,FALSE))</f>
        <v/>
      </c>
      <c r="BD907" s="55" t="str">
        <f t="shared" ref="BD907:BD970" si="172">IF(ISBLANK($AC907),"",VLOOKUP($AC907,$H$11:$I$1010,2,FALSE))</f>
        <v/>
      </c>
      <c r="BE907" s="55" t="str">
        <f t="shared" ref="BE907:BE970" si="173">IF(ISBLANK($AF907),"",VLOOKUP($AF907,$L$11:$M$1010,2,FALSE))</f>
        <v/>
      </c>
      <c r="BF907" s="55" t="str">
        <f t="shared" ref="BF907:BF970" si="174">IF(ISNUMBER($BC907),VLOOKUP($BC907,$E$11:$F$1010,2,FALSE),"")</f>
        <v/>
      </c>
      <c r="BG907" s="55" t="str">
        <f t="shared" ref="BG907:BG970" si="175">IF(ISNUMBER($BD907),VLOOKUP($BD907,$I$11:$J$1010,2,FALSE),"")</f>
        <v/>
      </c>
      <c r="BH907" s="55" t="str">
        <f t="shared" ref="BH907:BH970" si="176">IF(AND(ISNUMBER($BF907),ISNUMBER($BG907)),$BF907*$BG907,"")</f>
        <v/>
      </c>
      <c r="BI907" s="55" t="str">
        <f t="shared" ref="BI907:BI970" si="177">IF(ISNUMBER($BH907),LOOKUP($BH907,lower_limit_level_risiko,id_level_risiko),"")</f>
        <v/>
      </c>
      <c r="BJ907" s="55" t="str">
        <f t="shared" ref="BJ907:BJ970" si="178">IF(ISNUMBER($BH907),LOOKUP($BH907,lower_limit_level_risiko,description_level_risiko),"")</f>
        <v/>
      </c>
      <c r="BK907" s="55" t="str">
        <f t="shared" ref="BK907:BK970" si="179">IF(ISBLANK($X907),"",VLOOKUP($X907,$T$11:$U$1010,2,FALSE))</f>
        <v/>
      </c>
    </row>
    <row r="908" spans="22:63">
      <c r="V908" s="55">
        <f t="shared" ca="1" si="168"/>
        <v>1</v>
      </c>
      <c r="W908" s="64"/>
      <c r="X908" s="65"/>
      <c r="Y908" s="65"/>
      <c r="Z908" s="65"/>
      <c r="AA908" s="64"/>
      <c r="AB908" s="65"/>
      <c r="AC908" s="64"/>
      <c r="AD908" s="65"/>
      <c r="AE908" s="64"/>
      <c r="AF908" s="65"/>
      <c r="AG908" s="65"/>
      <c r="AH908" s="66" t="str">
        <f t="shared" si="169"/>
        <v/>
      </c>
      <c r="AI908" s="64"/>
      <c r="AJ908" s="65"/>
      <c r="AK908" s="64"/>
      <c r="AL908" s="65"/>
      <c r="BB908" s="55" t="str">
        <f t="shared" si="170"/>
        <v/>
      </c>
      <c r="BC908" s="55" t="str">
        <f t="shared" si="171"/>
        <v/>
      </c>
      <c r="BD908" s="55" t="str">
        <f t="shared" si="172"/>
        <v/>
      </c>
      <c r="BE908" s="55" t="str">
        <f t="shared" si="173"/>
        <v/>
      </c>
      <c r="BF908" s="55" t="str">
        <f t="shared" si="174"/>
        <v/>
      </c>
      <c r="BG908" s="55" t="str">
        <f t="shared" si="175"/>
        <v/>
      </c>
      <c r="BH908" s="55" t="str">
        <f t="shared" si="176"/>
        <v/>
      </c>
      <c r="BI908" s="55" t="str">
        <f t="shared" si="177"/>
        <v/>
      </c>
      <c r="BJ908" s="55" t="str">
        <f t="shared" si="178"/>
        <v/>
      </c>
      <c r="BK908" s="55" t="str">
        <f t="shared" si="179"/>
        <v/>
      </c>
    </row>
    <row r="909" spans="22:63">
      <c r="V909" s="55">
        <f t="shared" ca="1" si="168"/>
        <v>1</v>
      </c>
      <c r="W909" s="64"/>
      <c r="X909" s="65"/>
      <c r="Y909" s="65"/>
      <c r="Z909" s="65"/>
      <c r="AA909" s="64"/>
      <c r="AB909" s="65"/>
      <c r="AC909" s="64"/>
      <c r="AD909" s="65"/>
      <c r="AE909" s="64"/>
      <c r="AF909" s="65"/>
      <c r="AG909" s="65"/>
      <c r="AH909" s="66" t="str">
        <f t="shared" si="169"/>
        <v/>
      </c>
      <c r="AI909" s="64"/>
      <c r="AJ909" s="65"/>
      <c r="AK909" s="64"/>
      <c r="AL909" s="65"/>
      <c r="BB909" s="55" t="str">
        <f t="shared" si="170"/>
        <v/>
      </c>
      <c r="BC909" s="55" t="str">
        <f t="shared" si="171"/>
        <v/>
      </c>
      <c r="BD909" s="55" t="str">
        <f t="shared" si="172"/>
        <v/>
      </c>
      <c r="BE909" s="55" t="str">
        <f t="shared" si="173"/>
        <v/>
      </c>
      <c r="BF909" s="55" t="str">
        <f t="shared" si="174"/>
        <v/>
      </c>
      <c r="BG909" s="55" t="str">
        <f t="shared" si="175"/>
        <v/>
      </c>
      <c r="BH909" s="55" t="str">
        <f t="shared" si="176"/>
        <v/>
      </c>
      <c r="BI909" s="55" t="str">
        <f t="shared" si="177"/>
        <v/>
      </c>
      <c r="BJ909" s="55" t="str">
        <f t="shared" si="178"/>
        <v/>
      </c>
      <c r="BK909" s="55" t="str">
        <f t="shared" si="179"/>
        <v/>
      </c>
    </row>
    <row r="910" spans="22:63">
      <c r="V910" s="55">
        <f t="shared" ca="1" si="168"/>
        <v>1</v>
      </c>
      <c r="W910" s="64"/>
      <c r="X910" s="65"/>
      <c r="Y910" s="65"/>
      <c r="Z910" s="65"/>
      <c r="AA910" s="64"/>
      <c r="AB910" s="65"/>
      <c r="AC910" s="64"/>
      <c r="AD910" s="65"/>
      <c r="AE910" s="64"/>
      <c r="AF910" s="65"/>
      <c r="AG910" s="65"/>
      <c r="AH910" s="66" t="str">
        <f t="shared" si="169"/>
        <v/>
      </c>
      <c r="AI910" s="64"/>
      <c r="AJ910" s="65"/>
      <c r="AK910" s="64"/>
      <c r="AL910" s="65"/>
      <c r="BB910" s="55" t="str">
        <f t="shared" si="170"/>
        <v/>
      </c>
      <c r="BC910" s="55" t="str">
        <f t="shared" si="171"/>
        <v/>
      </c>
      <c r="BD910" s="55" t="str">
        <f t="shared" si="172"/>
        <v/>
      </c>
      <c r="BE910" s="55" t="str">
        <f t="shared" si="173"/>
        <v/>
      </c>
      <c r="BF910" s="55" t="str">
        <f t="shared" si="174"/>
        <v/>
      </c>
      <c r="BG910" s="55" t="str">
        <f t="shared" si="175"/>
        <v/>
      </c>
      <c r="BH910" s="55" t="str">
        <f t="shared" si="176"/>
        <v/>
      </c>
      <c r="BI910" s="55" t="str">
        <f t="shared" si="177"/>
        <v/>
      </c>
      <c r="BJ910" s="55" t="str">
        <f t="shared" si="178"/>
        <v/>
      </c>
      <c r="BK910" s="55" t="str">
        <f t="shared" si="179"/>
        <v/>
      </c>
    </row>
    <row r="911" spans="22:63">
      <c r="V911" s="55">
        <f t="shared" ca="1" si="168"/>
        <v>1</v>
      </c>
      <c r="W911" s="64"/>
      <c r="X911" s="65"/>
      <c r="Y911" s="65"/>
      <c r="Z911" s="65"/>
      <c r="AA911" s="64"/>
      <c r="AB911" s="65"/>
      <c r="AC911" s="64"/>
      <c r="AD911" s="65"/>
      <c r="AE911" s="64"/>
      <c r="AF911" s="65"/>
      <c r="AG911" s="65"/>
      <c r="AH911" s="66" t="str">
        <f t="shared" si="169"/>
        <v/>
      </c>
      <c r="AI911" s="64"/>
      <c r="AJ911" s="65"/>
      <c r="AK911" s="64"/>
      <c r="AL911" s="65"/>
      <c r="BB911" s="55" t="str">
        <f t="shared" si="170"/>
        <v/>
      </c>
      <c r="BC911" s="55" t="str">
        <f t="shared" si="171"/>
        <v/>
      </c>
      <c r="BD911" s="55" t="str">
        <f t="shared" si="172"/>
        <v/>
      </c>
      <c r="BE911" s="55" t="str">
        <f t="shared" si="173"/>
        <v/>
      </c>
      <c r="BF911" s="55" t="str">
        <f t="shared" si="174"/>
        <v/>
      </c>
      <c r="BG911" s="55" t="str">
        <f t="shared" si="175"/>
        <v/>
      </c>
      <c r="BH911" s="55" t="str">
        <f t="shared" si="176"/>
        <v/>
      </c>
      <c r="BI911" s="55" t="str">
        <f t="shared" si="177"/>
        <v/>
      </c>
      <c r="BJ911" s="55" t="str">
        <f t="shared" si="178"/>
        <v/>
      </c>
      <c r="BK911" s="55" t="str">
        <f t="shared" si="179"/>
        <v/>
      </c>
    </row>
    <row r="912" spans="22:63">
      <c r="V912" s="55">
        <f t="shared" ca="1" si="168"/>
        <v>1</v>
      </c>
      <c r="W912" s="64"/>
      <c r="X912" s="65"/>
      <c r="Y912" s="65"/>
      <c r="Z912" s="65"/>
      <c r="AA912" s="64"/>
      <c r="AB912" s="65"/>
      <c r="AC912" s="64"/>
      <c r="AD912" s="65"/>
      <c r="AE912" s="64"/>
      <c r="AF912" s="65"/>
      <c r="AG912" s="65"/>
      <c r="AH912" s="66" t="str">
        <f t="shared" si="169"/>
        <v/>
      </c>
      <c r="AI912" s="64"/>
      <c r="AJ912" s="65"/>
      <c r="AK912" s="64"/>
      <c r="AL912" s="65"/>
      <c r="BB912" s="55" t="str">
        <f t="shared" si="170"/>
        <v/>
      </c>
      <c r="BC912" s="55" t="str">
        <f t="shared" si="171"/>
        <v/>
      </c>
      <c r="BD912" s="55" t="str">
        <f t="shared" si="172"/>
        <v/>
      </c>
      <c r="BE912" s="55" t="str">
        <f t="shared" si="173"/>
        <v/>
      </c>
      <c r="BF912" s="55" t="str">
        <f t="shared" si="174"/>
        <v/>
      </c>
      <c r="BG912" s="55" t="str">
        <f t="shared" si="175"/>
        <v/>
      </c>
      <c r="BH912" s="55" t="str">
        <f t="shared" si="176"/>
        <v/>
      </c>
      <c r="BI912" s="55" t="str">
        <f t="shared" si="177"/>
        <v/>
      </c>
      <c r="BJ912" s="55" t="str">
        <f t="shared" si="178"/>
        <v/>
      </c>
      <c r="BK912" s="55" t="str">
        <f t="shared" si="179"/>
        <v/>
      </c>
    </row>
    <row r="913" spans="22:63">
      <c r="V913" s="55">
        <f t="shared" ca="1" si="168"/>
        <v>1</v>
      </c>
      <c r="W913" s="64"/>
      <c r="X913" s="65"/>
      <c r="Y913" s="65"/>
      <c r="Z913" s="65"/>
      <c r="AA913" s="64"/>
      <c r="AB913" s="65"/>
      <c r="AC913" s="64"/>
      <c r="AD913" s="65"/>
      <c r="AE913" s="64"/>
      <c r="AF913" s="65"/>
      <c r="AG913" s="65"/>
      <c r="AH913" s="66" t="str">
        <f t="shared" si="169"/>
        <v/>
      </c>
      <c r="AI913" s="64"/>
      <c r="AJ913" s="65"/>
      <c r="AK913" s="64"/>
      <c r="AL913" s="65"/>
      <c r="BB913" s="55" t="str">
        <f t="shared" si="170"/>
        <v/>
      </c>
      <c r="BC913" s="55" t="str">
        <f t="shared" si="171"/>
        <v/>
      </c>
      <c r="BD913" s="55" t="str">
        <f t="shared" si="172"/>
        <v/>
      </c>
      <c r="BE913" s="55" t="str">
        <f t="shared" si="173"/>
        <v/>
      </c>
      <c r="BF913" s="55" t="str">
        <f t="shared" si="174"/>
        <v/>
      </c>
      <c r="BG913" s="55" t="str">
        <f t="shared" si="175"/>
        <v/>
      </c>
      <c r="BH913" s="55" t="str">
        <f t="shared" si="176"/>
        <v/>
      </c>
      <c r="BI913" s="55" t="str">
        <f t="shared" si="177"/>
        <v/>
      </c>
      <c r="BJ913" s="55" t="str">
        <f t="shared" si="178"/>
        <v/>
      </c>
      <c r="BK913" s="55" t="str">
        <f t="shared" si="179"/>
        <v/>
      </c>
    </row>
    <row r="914" spans="22:63">
      <c r="V914" s="55">
        <f t="shared" ca="1" si="168"/>
        <v>1</v>
      </c>
      <c r="W914" s="64"/>
      <c r="X914" s="65"/>
      <c r="Y914" s="65"/>
      <c r="Z914" s="65"/>
      <c r="AA914" s="64"/>
      <c r="AB914" s="65"/>
      <c r="AC914" s="64"/>
      <c r="AD914" s="65"/>
      <c r="AE914" s="64"/>
      <c r="AF914" s="65"/>
      <c r="AG914" s="65"/>
      <c r="AH914" s="66" t="str">
        <f t="shared" si="169"/>
        <v/>
      </c>
      <c r="AI914" s="64"/>
      <c r="AJ914" s="65"/>
      <c r="AK914" s="64"/>
      <c r="AL914" s="65"/>
      <c r="BB914" s="55" t="str">
        <f t="shared" si="170"/>
        <v/>
      </c>
      <c r="BC914" s="55" t="str">
        <f t="shared" si="171"/>
        <v/>
      </c>
      <c r="BD914" s="55" t="str">
        <f t="shared" si="172"/>
        <v/>
      </c>
      <c r="BE914" s="55" t="str">
        <f t="shared" si="173"/>
        <v/>
      </c>
      <c r="BF914" s="55" t="str">
        <f t="shared" si="174"/>
        <v/>
      </c>
      <c r="BG914" s="55" t="str">
        <f t="shared" si="175"/>
        <v/>
      </c>
      <c r="BH914" s="55" t="str">
        <f t="shared" si="176"/>
        <v/>
      </c>
      <c r="BI914" s="55" t="str">
        <f t="shared" si="177"/>
        <v/>
      </c>
      <c r="BJ914" s="55" t="str">
        <f t="shared" si="178"/>
        <v/>
      </c>
      <c r="BK914" s="55" t="str">
        <f t="shared" si="179"/>
        <v/>
      </c>
    </row>
    <row r="915" spans="22:63">
      <c r="V915" s="55">
        <f t="shared" ca="1" si="168"/>
        <v>1</v>
      </c>
      <c r="W915" s="64"/>
      <c r="X915" s="65"/>
      <c r="Y915" s="65"/>
      <c r="Z915" s="65"/>
      <c r="AA915" s="64"/>
      <c r="AB915" s="65"/>
      <c r="AC915" s="64"/>
      <c r="AD915" s="65"/>
      <c r="AE915" s="64"/>
      <c r="AF915" s="65"/>
      <c r="AG915" s="65"/>
      <c r="AH915" s="66" t="str">
        <f t="shared" si="169"/>
        <v/>
      </c>
      <c r="AI915" s="64"/>
      <c r="AJ915" s="65"/>
      <c r="AK915" s="64"/>
      <c r="AL915" s="65"/>
      <c r="BB915" s="55" t="str">
        <f t="shared" si="170"/>
        <v/>
      </c>
      <c r="BC915" s="55" t="str">
        <f t="shared" si="171"/>
        <v/>
      </c>
      <c r="BD915" s="55" t="str">
        <f t="shared" si="172"/>
        <v/>
      </c>
      <c r="BE915" s="55" t="str">
        <f t="shared" si="173"/>
        <v/>
      </c>
      <c r="BF915" s="55" t="str">
        <f t="shared" si="174"/>
        <v/>
      </c>
      <c r="BG915" s="55" t="str">
        <f t="shared" si="175"/>
        <v/>
      </c>
      <c r="BH915" s="55" t="str">
        <f t="shared" si="176"/>
        <v/>
      </c>
      <c r="BI915" s="55" t="str">
        <f t="shared" si="177"/>
        <v/>
      </c>
      <c r="BJ915" s="55" t="str">
        <f t="shared" si="178"/>
        <v/>
      </c>
      <c r="BK915" s="55" t="str">
        <f t="shared" si="179"/>
        <v/>
      </c>
    </row>
    <row r="916" spans="22:63">
      <c r="V916" s="55">
        <f t="shared" ca="1" si="168"/>
        <v>1</v>
      </c>
      <c r="W916" s="64"/>
      <c r="X916" s="65"/>
      <c r="Y916" s="65"/>
      <c r="Z916" s="65"/>
      <c r="AA916" s="64"/>
      <c r="AB916" s="65"/>
      <c r="AC916" s="64"/>
      <c r="AD916" s="65"/>
      <c r="AE916" s="64"/>
      <c r="AF916" s="65"/>
      <c r="AG916" s="65"/>
      <c r="AH916" s="66" t="str">
        <f t="shared" si="169"/>
        <v/>
      </c>
      <c r="AI916" s="64"/>
      <c r="AJ916" s="65"/>
      <c r="AK916" s="64"/>
      <c r="AL916" s="65"/>
      <c r="BB916" s="55" t="str">
        <f t="shared" si="170"/>
        <v/>
      </c>
      <c r="BC916" s="55" t="str">
        <f t="shared" si="171"/>
        <v/>
      </c>
      <c r="BD916" s="55" t="str">
        <f t="shared" si="172"/>
        <v/>
      </c>
      <c r="BE916" s="55" t="str">
        <f t="shared" si="173"/>
        <v/>
      </c>
      <c r="BF916" s="55" t="str">
        <f t="shared" si="174"/>
        <v/>
      </c>
      <c r="BG916" s="55" t="str">
        <f t="shared" si="175"/>
        <v/>
      </c>
      <c r="BH916" s="55" t="str">
        <f t="shared" si="176"/>
        <v/>
      </c>
      <c r="BI916" s="55" t="str">
        <f t="shared" si="177"/>
        <v/>
      </c>
      <c r="BJ916" s="55" t="str">
        <f t="shared" si="178"/>
        <v/>
      </c>
      <c r="BK916" s="55" t="str">
        <f t="shared" si="179"/>
        <v/>
      </c>
    </row>
    <row r="917" spans="22:63">
      <c r="V917" s="55">
        <f t="shared" ca="1" si="168"/>
        <v>1</v>
      </c>
      <c r="W917" s="64"/>
      <c r="X917" s="65"/>
      <c r="Y917" s="65"/>
      <c r="Z917" s="65"/>
      <c r="AA917" s="64"/>
      <c r="AB917" s="65"/>
      <c r="AC917" s="64"/>
      <c r="AD917" s="65"/>
      <c r="AE917" s="64"/>
      <c r="AF917" s="65"/>
      <c r="AG917" s="65"/>
      <c r="AH917" s="66" t="str">
        <f t="shared" si="169"/>
        <v/>
      </c>
      <c r="AI917" s="64"/>
      <c r="AJ917" s="65"/>
      <c r="AK917" s="64"/>
      <c r="AL917" s="65"/>
      <c r="BB917" s="55" t="str">
        <f t="shared" si="170"/>
        <v/>
      </c>
      <c r="BC917" s="55" t="str">
        <f t="shared" si="171"/>
        <v/>
      </c>
      <c r="BD917" s="55" t="str">
        <f t="shared" si="172"/>
        <v/>
      </c>
      <c r="BE917" s="55" t="str">
        <f t="shared" si="173"/>
        <v/>
      </c>
      <c r="BF917" s="55" t="str">
        <f t="shared" si="174"/>
        <v/>
      </c>
      <c r="BG917" s="55" t="str">
        <f t="shared" si="175"/>
        <v/>
      </c>
      <c r="BH917" s="55" t="str">
        <f t="shared" si="176"/>
        <v/>
      </c>
      <c r="BI917" s="55" t="str">
        <f t="shared" si="177"/>
        <v/>
      </c>
      <c r="BJ917" s="55" t="str">
        <f t="shared" si="178"/>
        <v/>
      </c>
      <c r="BK917" s="55" t="str">
        <f t="shared" si="179"/>
        <v/>
      </c>
    </row>
    <row r="918" spans="22:63">
      <c r="V918" s="55">
        <f t="shared" ca="1" si="168"/>
        <v>1</v>
      </c>
      <c r="W918" s="64"/>
      <c r="X918" s="65"/>
      <c r="Y918" s="65"/>
      <c r="Z918" s="65"/>
      <c r="AA918" s="64"/>
      <c r="AB918" s="65"/>
      <c r="AC918" s="64"/>
      <c r="AD918" s="65"/>
      <c r="AE918" s="64"/>
      <c r="AF918" s="65"/>
      <c r="AG918" s="65"/>
      <c r="AH918" s="66" t="str">
        <f t="shared" si="169"/>
        <v/>
      </c>
      <c r="AI918" s="64"/>
      <c r="AJ918" s="65"/>
      <c r="AK918" s="64"/>
      <c r="AL918" s="65"/>
      <c r="BB918" s="55" t="str">
        <f t="shared" si="170"/>
        <v/>
      </c>
      <c r="BC918" s="55" t="str">
        <f t="shared" si="171"/>
        <v/>
      </c>
      <c r="BD918" s="55" t="str">
        <f t="shared" si="172"/>
        <v/>
      </c>
      <c r="BE918" s="55" t="str">
        <f t="shared" si="173"/>
        <v/>
      </c>
      <c r="BF918" s="55" t="str">
        <f t="shared" si="174"/>
        <v/>
      </c>
      <c r="BG918" s="55" t="str">
        <f t="shared" si="175"/>
        <v/>
      </c>
      <c r="BH918" s="55" t="str">
        <f t="shared" si="176"/>
        <v/>
      </c>
      <c r="BI918" s="55" t="str">
        <f t="shared" si="177"/>
        <v/>
      </c>
      <c r="BJ918" s="55" t="str">
        <f t="shared" si="178"/>
        <v/>
      </c>
      <c r="BK918" s="55" t="str">
        <f t="shared" si="179"/>
        <v/>
      </c>
    </row>
    <row r="919" spans="22:63">
      <c r="V919" s="55">
        <f t="shared" ca="1" si="168"/>
        <v>1</v>
      </c>
      <c r="W919" s="64"/>
      <c r="X919" s="65"/>
      <c r="Y919" s="65"/>
      <c r="Z919" s="65"/>
      <c r="AA919" s="64"/>
      <c r="AB919" s="65"/>
      <c r="AC919" s="64"/>
      <c r="AD919" s="65"/>
      <c r="AE919" s="64"/>
      <c r="AF919" s="65"/>
      <c r="AG919" s="65"/>
      <c r="AH919" s="66" t="str">
        <f t="shared" si="169"/>
        <v/>
      </c>
      <c r="AI919" s="64"/>
      <c r="AJ919" s="65"/>
      <c r="AK919" s="64"/>
      <c r="AL919" s="65"/>
      <c r="BB919" s="55" t="str">
        <f t="shared" si="170"/>
        <v/>
      </c>
      <c r="BC919" s="55" t="str">
        <f t="shared" si="171"/>
        <v/>
      </c>
      <c r="BD919" s="55" t="str">
        <f t="shared" si="172"/>
        <v/>
      </c>
      <c r="BE919" s="55" t="str">
        <f t="shared" si="173"/>
        <v/>
      </c>
      <c r="BF919" s="55" t="str">
        <f t="shared" si="174"/>
        <v/>
      </c>
      <c r="BG919" s="55" t="str">
        <f t="shared" si="175"/>
        <v/>
      </c>
      <c r="BH919" s="55" t="str">
        <f t="shared" si="176"/>
        <v/>
      </c>
      <c r="BI919" s="55" t="str">
        <f t="shared" si="177"/>
        <v/>
      </c>
      <c r="BJ919" s="55" t="str">
        <f t="shared" si="178"/>
        <v/>
      </c>
      <c r="BK919" s="55" t="str">
        <f t="shared" si="179"/>
        <v/>
      </c>
    </row>
    <row r="920" spans="22:63">
      <c r="V920" s="55">
        <f t="shared" ca="1" si="168"/>
        <v>1</v>
      </c>
      <c r="W920" s="64"/>
      <c r="X920" s="65"/>
      <c r="Y920" s="65"/>
      <c r="Z920" s="65"/>
      <c r="AA920" s="64"/>
      <c r="AB920" s="65"/>
      <c r="AC920" s="64"/>
      <c r="AD920" s="65"/>
      <c r="AE920" s="64"/>
      <c r="AF920" s="65"/>
      <c r="AG920" s="65"/>
      <c r="AH920" s="66" t="str">
        <f t="shared" si="169"/>
        <v/>
      </c>
      <c r="AI920" s="64"/>
      <c r="AJ920" s="65"/>
      <c r="AK920" s="64"/>
      <c r="AL920" s="65"/>
      <c r="BB920" s="55" t="str">
        <f t="shared" si="170"/>
        <v/>
      </c>
      <c r="BC920" s="55" t="str">
        <f t="shared" si="171"/>
        <v/>
      </c>
      <c r="BD920" s="55" t="str">
        <f t="shared" si="172"/>
        <v/>
      </c>
      <c r="BE920" s="55" t="str">
        <f t="shared" si="173"/>
        <v/>
      </c>
      <c r="BF920" s="55" t="str">
        <f t="shared" si="174"/>
        <v/>
      </c>
      <c r="BG920" s="55" t="str">
        <f t="shared" si="175"/>
        <v/>
      </c>
      <c r="BH920" s="55" t="str">
        <f t="shared" si="176"/>
        <v/>
      </c>
      <c r="BI920" s="55" t="str">
        <f t="shared" si="177"/>
        <v/>
      </c>
      <c r="BJ920" s="55" t="str">
        <f t="shared" si="178"/>
        <v/>
      </c>
      <c r="BK920" s="55" t="str">
        <f t="shared" si="179"/>
        <v/>
      </c>
    </row>
    <row r="921" spans="22:63">
      <c r="V921" s="55">
        <f t="shared" ca="1" si="168"/>
        <v>1</v>
      </c>
      <c r="W921" s="64"/>
      <c r="X921" s="65"/>
      <c r="Y921" s="65"/>
      <c r="Z921" s="65"/>
      <c r="AA921" s="64"/>
      <c r="AB921" s="65"/>
      <c r="AC921" s="64"/>
      <c r="AD921" s="65"/>
      <c r="AE921" s="64"/>
      <c r="AF921" s="65"/>
      <c r="AG921" s="65"/>
      <c r="AH921" s="66" t="str">
        <f t="shared" si="169"/>
        <v/>
      </c>
      <c r="AI921" s="64"/>
      <c r="AJ921" s="65"/>
      <c r="AK921" s="64"/>
      <c r="AL921" s="65"/>
      <c r="BB921" s="55" t="str">
        <f t="shared" si="170"/>
        <v/>
      </c>
      <c r="BC921" s="55" t="str">
        <f t="shared" si="171"/>
        <v/>
      </c>
      <c r="BD921" s="55" t="str">
        <f t="shared" si="172"/>
        <v/>
      </c>
      <c r="BE921" s="55" t="str">
        <f t="shared" si="173"/>
        <v/>
      </c>
      <c r="BF921" s="55" t="str">
        <f t="shared" si="174"/>
        <v/>
      </c>
      <c r="BG921" s="55" t="str">
        <f t="shared" si="175"/>
        <v/>
      </c>
      <c r="BH921" s="55" t="str">
        <f t="shared" si="176"/>
        <v/>
      </c>
      <c r="BI921" s="55" t="str">
        <f t="shared" si="177"/>
        <v/>
      </c>
      <c r="BJ921" s="55" t="str">
        <f t="shared" si="178"/>
        <v/>
      </c>
      <c r="BK921" s="55" t="str">
        <f t="shared" si="179"/>
        <v/>
      </c>
    </row>
    <row r="922" spans="22:63">
      <c r="V922" s="55">
        <f t="shared" ca="1" si="168"/>
        <v>1</v>
      </c>
      <c r="W922" s="64"/>
      <c r="X922" s="65"/>
      <c r="Y922" s="65"/>
      <c r="Z922" s="65"/>
      <c r="AA922" s="64"/>
      <c r="AB922" s="65"/>
      <c r="AC922" s="64"/>
      <c r="AD922" s="65"/>
      <c r="AE922" s="64"/>
      <c r="AF922" s="65"/>
      <c r="AG922" s="65"/>
      <c r="AH922" s="66" t="str">
        <f t="shared" si="169"/>
        <v/>
      </c>
      <c r="AI922" s="64"/>
      <c r="AJ922" s="65"/>
      <c r="AK922" s="64"/>
      <c r="AL922" s="65"/>
      <c r="BB922" s="55" t="str">
        <f t="shared" si="170"/>
        <v/>
      </c>
      <c r="BC922" s="55" t="str">
        <f t="shared" si="171"/>
        <v/>
      </c>
      <c r="BD922" s="55" t="str">
        <f t="shared" si="172"/>
        <v/>
      </c>
      <c r="BE922" s="55" t="str">
        <f t="shared" si="173"/>
        <v/>
      </c>
      <c r="BF922" s="55" t="str">
        <f t="shared" si="174"/>
        <v/>
      </c>
      <c r="BG922" s="55" t="str">
        <f t="shared" si="175"/>
        <v/>
      </c>
      <c r="BH922" s="55" t="str">
        <f t="shared" si="176"/>
        <v/>
      </c>
      <c r="BI922" s="55" t="str">
        <f t="shared" si="177"/>
        <v/>
      </c>
      <c r="BJ922" s="55" t="str">
        <f t="shared" si="178"/>
        <v/>
      </c>
      <c r="BK922" s="55" t="str">
        <f t="shared" si="179"/>
        <v/>
      </c>
    </row>
    <row r="923" spans="22:63">
      <c r="V923" s="55">
        <f t="shared" ca="1" si="168"/>
        <v>1</v>
      </c>
      <c r="W923" s="64"/>
      <c r="X923" s="65"/>
      <c r="Y923" s="65"/>
      <c r="Z923" s="65"/>
      <c r="AA923" s="64"/>
      <c r="AB923" s="65"/>
      <c r="AC923" s="64"/>
      <c r="AD923" s="65"/>
      <c r="AE923" s="64"/>
      <c r="AF923" s="65"/>
      <c r="AG923" s="65"/>
      <c r="AH923" s="66" t="str">
        <f t="shared" si="169"/>
        <v/>
      </c>
      <c r="AI923" s="64"/>
      <c r="AJ923" s="65"/>
      <c r="AK923" s="64"/>
      <c r="AL923" s="65"/>
      <c r="BB923" s="55" t="str">
        <f t="shared" si="170"/>
        <v/>
      </c>
      <c r="BC923" s="55" t="str">
        <f t="shared" si="171"/>
        <v/>
      </c>
      <c r="BD923" s="55" t="str">
        <f t="shared" si="172"/>
        <v/>
      </c>
      <c r="BE923" s="55" t="str">
        <f t="shared" si="173"/>
        <v/>
      </c>
      <c r="BF923" s="55" t="str">
        <f t="shared" si="174"/>
        <v/>
      </c>
      <c r="BG923" s="55" t="str">
        <f t="shared" si="175"/>
        <v/>
      </c>
      <c r="BH923" s="55" t="str">
        <f t="shared" si="176"/>
        <v/>
      </c>
      <c r="BI923" s="55" t="str">
        <f t="shared" si="177"/>
        <v/>
      </c>
      <c r="BJ923" s="55" t="str">
        <f t="shared" si="178"/>
        <v/>
      </c>
      <c r="BK923" s="55" t="str">
        <f t="shared" si="179"/>
        <v/>
      </c>
    </row>
    <row r="924" spans="22:63">
      <c r="V924" s="55">
        <f t="shared" ca="1" si="168"/>
        <v>1</v>
      </c>
      <c r="W924" s="64"/>
      <c r="X924" s="65"/>
      <c r="Y924" s="65"/>
      <c r="Z924" s="65"/>
      <c r="AA924" s="64"/>
      <c r="AB924" s="65"/>
      <c r="AC924" s="64"/>
      <c r="AD924" s="65"/>
      <c r="AE924" s="64"/>
      <c r="AF924" s="65"/>
      <c r="AG924" s="65"/>
      <c r="AH924" s="66" t="str">
        <f t="shared" si="169"/>
        <v/>
      </c>
      <c r="AI924" s="64"/>
      <c r="AJ924" s="65"/>
      <c r="AK924" s="64"/>
      <c r="AL924" s="65"/>
      <c r="BB924" s="55" t="str">
        <f t="shared" si="170"/>
        <v/>
      </c>
      <c r="BC924" s="55" t="str">
        <f t="shared" si="171"/>
        <v/>
      </c>
      <c r="BD924" s="55" t="str">
        <f t="shared" si="172"/>
        <v/>
      </c>
      <c r="BE924" s="55" t="str">
        <f t="shared" si="173"/>
        <v/>
      </c>
      <c r="BF924" s="55" t="str">
        <f t="shared" si="174"/>
        <v/>
      </c>
      <c r="BG924" s="55" t="str">
        <f t="shared" si="175"/>
        <v/>
      </c>
      <c r="BH924" s="55" t="str">
        <f t="shared" si="176"/>
        <v/>
      </c>
      <c r="BI924" s="55" t="str">
        <f t="shared" si="177"/>
        <v/>
      </c>
      <c r="BJ924" s="55" t="str">
        <f t="shared" si="178"/>
        <v/>
      </c>
      <c r="BK924" s="55" t="str">
        <f t="shared" si="179"/>
        <v/>
      </c>
    </row>
    <row r="925" spans="22:63">
      <c r="V925" s="55">
        <f t="shared" ca="1" si="168"/>
        <v>1</v>
      </c>
      <c r="W925" s="64"/>
      <c r="X925" s="65"/>
      <c r="Y925" s="65"/>
      <c r="Z925" s="65"/>
      <c r="AA925" s="64"/>
      <c r="AB925" s="65"/>
      <c r="AC925" s="64"/>
      <c r="AD925" s="65"/>
      <c r="AE925" s="64"/>
      <c r="AF925" s="65"/>
      <c r="AG925" s="65"/>
      <c r="AH925" s="66" t="str">
        <f t="shared" si="169"/>
        <v/>
      </c>
      <c r="AI925" s="64"/>
      <c r="AJ925" s="65"/>
      <c r="AK925" s="64"/>
      <c r="AL925" s="65"/>
      <c r="BB925" s="55" t="str">
        <f t="shared" si="170"/>
        <v/>
      </c>
      <c r="BC925" s="55" t="str">
        <f t="shared" si="171"/>
        <v/>
      </c>
      <c r="BD925" s="55" t="str">
        <f t="shared" si="172"/>
        <v/>
      </c>
      <c r="BE925" s="55" t="str">
        <f t="shared" si="173"/>
        <v/>
      </c>
      <c r="BF925" s="55" t="str">
        <f t="shared" si="174"/>
        <v/>
      </c>
      <c r="BG925" s="55" t="str">
        <f t="shared" si="175"/>
        <v/>
      </c>
      <c r="BH925" s="55" t="str">
        <f t="shared" si="176"/>
        <v/>
      </c>
      <c r="BI925" s="55" t="str">
        <f t="shared" si="177"/>
        <v/>
      </c>
      <c r="BJ925" s="55" t="str">
        <f t="shared" si="178"/>
        <v/>
      </c>
      <c r="BK925" s="55" t="str">
        <f t="shared" si="179"/>
        <v/>
      </c>
    </row>
    <row r="926" spans="22:63">
      <c r="V926" s="55">
        <f t="shared" ca="1" si="168"/>
        <v>1</v>
      </c>
      <c r="W926" s="64"/>
      <c r="X926" s="65"/>
      <c r="Y926" s="65"/>
      <c r="Z926" s="65"/>
      <c r="AA926" s="64"/>
      <c r="AB926" s="65"/>
      <c r="AC926" s="64"/>
      <c r="AD926" s="65"/>
      <c r="AE926" s="64"/>
      <c r="AF926" s="65"/>
      <c r="AG926" s="65"/>
      <c r="AH926" s="66" t="str">
        <f t="shared" si="169"/>
        <v/>
      </c>
      <c r="AI926" s="64"/>
      <c r="AJ926" s="65"/>
      <c r="AK926" s="64"/>
      <c r="AL926" s="65"/>
      <c r="BB926" s="55" t="str">
        <f t="shared" si="170"/>
        <v/>
      </c>
      <c r="BC926" s="55" t="str">
        <f t="shared" si="171"/>
        <v/>
      </c>
      <c r="BD926" s="55" t="str">
        <f t="shared" si="172"/>
        <v/>
      </c>
      <c r="BE926" s="55" t="str">
        <f t="shared" si="173"/>
        <v/>
      </c>
      <c r="BF926" s="55" t="str">
        <f t="shared" si="174"/>
        <v/>
      </c>
      <c r="BG926" s="55" t="str">
        <f t="shared" si="175"/>
        <v/>
      </c>
      <c r="BH926" s="55" t="str">
        <f t="shared" si="176"/>
        <v/>
      </c>
      <c r="BI926" s="55" t="str">
        <f t="shared" si="177"/>
        <v/>
      </c>
      <c r="BJ926" s="55" t="str">
        <f t="shared" si="178"/>
        <v/>
      </c>
      <c r="BK926" s="55" t="str">
        <f t="shared" si="179"/>
        <v/>
      </c>
    </row>
    <row r="927" spans="22:63">
      <c r="V927" s="55">
        <f t="shared" ca="1" si="168"/>
        <v>1</v>
      </c>
      <c r="W927" s="64"/>
      <c r="X927" s="65"/>
      <c r="Y927" s="65"/>
      <c r="Z927" s="65"/>
      <c r="AA927" s="64"/>
      <c r="AB927" s="65"/>
      <c r="AC927" s="64"/>
      <c r="AD927" s="65"/>
      <c r="AE927" s="64"/>
      <c r="AF927" s="65"/>
      <c r="AG927" s="65"/>
      <c r="AH927" s="66" t="str">
        <f t="shared" si="169"/>
        <v/>
      </c>
      <c r="AI927" s="64"/>
      <c r="AJ927" s="65"/>
      <c r="AK927" s="64"/>
      <c r="AL927" s="65"/>
      <c r="BB927" s="55" t="str">
        <f t="shared" si="170"/>
        <v/>
      </c>
      <c r="BC927" s="55" t="str">
        <f t="shared" si="171"/>
        <v/>
      </c>
      <c r="BD927" s="55" t="str">
        <f t="shared" si="172"/>
        <v/>
      </c>
      <c r="BE927" s="55" t="str">
        <f t="shared" si="173"/>
        <v/>
      </c>
      <c r="BF927" s="55" t="str">
        <f t="shared" si="174"/>
        <v/>
      </c>
      <c r="BG927" s="55" t="str">
        <f t="shared" si="175"/>
        <v/>
      </c>
      <c r="BH927" s="55" t="str">
        <f t="shared" si="176"/>
        <v/>
      </c>
      <c r="BI927" s="55" t="str">
        <f t="shared" si="177"/>
        <v/>
      </c>
      <c r="BJ927" s="55" t="str">
        <f t="shared" si="178"/>
        <v/>
      </c>
      <c r="BK927" s="55" t="str">
        <f t="shared" si="179"/>
        <v/>
      </c>
    </row>
    <row r="928" spans="22:63">
      <c r="V928" s="55">
        <f t="shared" ca="1" si="168"/>
        <v>1</v>
      </c>
      <c r="W928" s="64"/>
      <c r="X928" s="65"/>
      <c r="Y928" s="65"/>
      <c r="Z928" s="65"/>
      <c r="AA928" s="64"/>
      <c r="AB928" s="65"/>
      <c r="AC928" s="64"/>
      <c r="AD928" s="65"/>
      <c r="AE928" s="64"/>
      <c r="AF928" s="65"/>
      <c r="AG928" s="65"/>
      <c r="AH928" s="66" t="str">
        <f t="shared" si="169"/>
        <v/>
      </c>
      <c r="AI928" s="64"/>
      <c r="AJ928" s="65"/>
      <c r="AK928" s="64"/>
      <c r="AL928" s="65"/>
      <c r="BB928" s="55" t="str">
        <f t="shared" si="170"/>
        <v/>
      </c>
      <c r="BC928" s="55" t="str">
        <f t="shared" si="171"/>
        <v/>
      </c>
      <c r="BD928" s="55" t="str">
        <f t="shared" si="172"/>
        <v/>
      </c>
      <c r="BE928" s="55" t="str">
        <f t="shared" si="173"/>
        <v/>
      </c>
      <c r="BF928" s="55" t="str">
        <f t="shared" si="174"/>
        <v/>
      </c>
      <c r="BG928" s="55" t="str">
        <f t="shared" si="175"/>
        <v/>
      </c>
      <c r="BH928" s="55" t="str">
        <f t="shared" si="176"/>
        <v/>
      </c>
      <c r="BI928" s="55" t="str">
        <f t="shared" si="177"/>
        <v/>
      </c>
      <c r="BJ928" s="55" t="str">
        <f t="shared" si="178"/>
        <v/>
      </c>
      <c r="BK928" s="55" t="str">
        <f t="shared" si="179"/>
        <v/>
      </c>
    </row>
    <row r="929" spans="22:63">
      <c r="V929" s="55">
        <f t="shared" ca="1" si="168"/>
        <v>1</v>
      </c>
      <c r="W929" s="64"/>
      <c r="X929" s="65"/>
      <c r="Y929" s="65"/>
      <c r="Z929" s="65"/>
      <c r="AA929" s="64"/>
      <c r="AB929" s="65"/>
      <c r="AC929" s="64"/>
      <c r="AD929" s="65"/>
      <c r="AE929" s="64"/>
      <c r="AF929" s="65"/>
      <c r="AG929" s="65"/>
      <c r="AH929" s="66" t="str">
        <f t="shared" si="169"/>
        <v/>
      </c>
      <c r="AI929" s="64"/>
      <c r="AJ929" s="65"/>
      <c r="AK929" s="64"/>
      <c r="AL929" s="65"/>
      <c r="BB929" s="55" t="str">
        <f t="shared" si="170"/>
        <v/>
      </c>
      <c r="BC929" s="55" t="str">
        <f t="shared" si="171"/>
        <v/>
      </c>
      <c r="BD929" s="55" t="str">
        <f t="shared" si="172"/>
        <v/>
      </c>
      <c r="BE929" s="55" t="str">
        <f t="shared" si="173"/>
        <v/>
      </c>
      <c r="BF929" s="55" t="str">
        <f t="shared" si="174"/>
        <v/>
      </c>
      <c r="BG929" s="55" t="str">
        <f t="shared" si="175"/>
        <v/>
      </c>
      <c r="BH929" s="55" t="str">
        <f t="shared" si="176"/>
        <v/>
      </c>
      <c r="BI929" s="55" t="str">
        <f t="shared" si="177"/>
        <v/>
      </c>
      <c r="BJ929" s="55" t="str">
        <f t="shared" si="178"/>
        <v/>
      </c>
      <c r="BK929" s="55" t="str">
        <f t="shared" si="179"/>
        <v/>
      </c>
    </row>
    <row r="930" spans="22:63">
      <c r="V930" s="55">
        <f t="shared" ca="1" si="168"/>
        <v>1</v>
      </c>
      <c r="W930" s="64"/>
      <c r="X930" s="65"/>
      <c r="Y930" s="65"/>
      <c r="Z930" s="65"/>
      <c r="AA930" s="64"/>
      <c r="AB930" s="65"/>
      <c r="AC930" s="64"/>
      <c r="AD930" s="65"/>
      <c r="AE930" s="64"/>
      <c r="AF930" s="65"/>
      <c r="AG930" s="65"/>
      <c r="AH930" s="66" t="str">
        <f t="shared" si="169"/>
        <v/>
      </c>
      <c r="AI930" s="64"/>
      <c r="AJ930" s="65"/>
      <c r="AK930" s="64"/>
      <c r="AL930" s="65"/>
      <c r="BB930" s="55" t="str">
        <f t="shared" si="170"/>
        <v/>
      </c>
      <c r="BC930" s="55" t="str">
        <f t="shared" si="171"/>
        <v/>
      </c>
      <c r="BD930" s="55" t="str">
        <f t="shared" si="172"/>
        <v/>
      </c>
      <c r="BE930" s="55" t="str">
        <f t="shared" si="173"/>
        <v/>
      </c>
      <c r="BF930" s="55" t="str">
        <f t="shared" si="174"/>
        <v/>
      </c>
      <c r="BG930" s="55" t="str">
        <f t="shared" si="175"/>
        <v/>
      </c>
      <c r="BH930" s="55" t="str">
        <f t="shared" si="176"/>
        <v/>
      </c>
      <c r="BI930" s="55" t="str">
        <f t="shared" si="177"/>
        <v/>
      </c>
      <c r="BJ930" s="55" t="str">
        <f t="shared" si="178"/>
        <v/>
      </c>
      <c r="BK930" s="55" t="str">
        <f t="shared" si="179"/>
        <v/>
      </c>
    </row>
    <row r="931" spans="22:63">
      <c r="V931" s="55">
        <f t="shared" ca="1" si="168"/>
        <v>1</v>
      </c>
      <c r="W931" s="64"/>
      <c r="X931" s="65"/>
      <c r="Y931" s="65"/>
      <c r="Z931" s="65"/>
      <c r="AA931" s="64"/>
      <c r="AB931" s="65"/>
      <c r="AC931" s="64"/>
      <c r="AD931" s="65"/>
      <c r="AE931" s="64"/>
      <c r="AF931" s="65"/>
      <c r="AG931" s="65"/>
      <c r="AH931" s="66" t="str">
        <f t="shared" si="169"/>
        <v/>
      </c>
      <c r="AI931" s="64"/>
      <c r="AJ931" s="65"/>
      <c r="AK931" s="64"/>
      <c r="AL931" s="65"/>
      <c r="BB931" s="55" t="str">
        <f t="shared" si="170"/>
        <v/>
      </c>
      <c r="BC931" s="55" t="str">
        <f t="shared" si="171"/>
        <v/>
      </c>
      <c r="BD931" s="55" t="str">
        <f t="shared" si="172"/>
        <v/>
      </c>
      <c r="BE931" s="55" t="str">
        <f t="shared" si="173"/>
        <v/>
      </c>
      <c r="BF931" s="55" t="str">
        <f t="shared" si="174"/>
        <v/>
      </c>
      <c r="BG931" s="55" t="str">
        <f t="shared" si="175"/>
        <v/>
      </c>
      <c r="BH931" s="55" t="str">
        <f t="shared" si="176"/>
        <v/>
      </c>
      <c r="BI931" s="55" t="str">
        <f t="shared" si="177"/>
        <v/>
      </c>
      <c r="BJ931" s="55" t="str">
        <f t="shared" si="178"/>
        <v/>
      </c>
      <c r="BK931" s="55" t="str">
        <f t="shared" si="179"/>
        <v/>
      </c>
    </row>
    <row r="932" spans="22:63">
      <c r="V932" s="55">
        <f t="shared" ca="1" si="168"/>
        <v>1</v>
      </c>
      <c r="W932" s="64"/>
      <c r="X932" s="65"/>
      <c r="Y932" s="65"/>
      <c r="Z932" s="65"/>
      <c r="AA932" s="64"/>
      <c r="AB932" s="65"/>
      <c r="AC932" s="64"/>
      <c r="AD932" s="65"/>
      <c r="AE932" s="64"/>
      <c r="AF932" s="65"/>
      <c r="AG932" s="65"/>
      <c r="AH932" s="66" t="str">
        <f t="shared" si="169"/>
        <v/>
      </c>
      <c r="AI932" s="64"/>
      <c r="AJ932" s="65"/>
      <c r="AK932" s="64"/>
      <c r="AL932" s="65"/>
      <c r="BB932" s="55" t="str">
        <f t="shared" si="170"/>
        <v/>
      </c>
      <c r="BC932" s="55" t="str">
        <f t="shared" si="171"/>
        <v/>
      </c>
      <c r="BD932" s="55" t="str">
        <f t="shared" si="172"/>
        <v/>
      </c>
      <c r="BE932" s="55" t="str">
        <f t="shared" si="173"/>
        <v/>
      </c>
      <c r="BF932" s="55" t="str">
        <f t="shared" si="174"/>
        <v/>
      </c>
      <c r="BG932" s="55" t="str">
        <f t="shared" si="175"/>
        <v/>
      </c>
      <c r="BH932" s="55" t="str">
        <f t="shared" si="176"/>
        <v/>
      </c>
      <c r="BI932" s="55" t="str">
        <f t="shared" si="177"/>
        <v/>
      </c>
      <c r="BJ932" s="55" t="str">
        <f t="shared" si="178"/>
        <v/>
      </c>
      <c r="BK932" s="55" t="str">
        <f t="shared" si="179"/>
        <v/>
      </c>
    </row>
    <row r="933" spans="22:63">
      <c r="V933" s="55">
        <f t="shared" ca="1" si="168"/>
        <v>1</v>
      </c>
      <c r="W933" s="64"/>
      <c r="X933" s="65"/>
      <c r="Y933" s="65"/>
      <c r="Z933" s="65"/>
      <c r="AA933" s="64"/>
      <c r="AB933" s="65"/>
      <c r="AC933" s="64"/>
      <c r="AD933" s="65"/>
      <c r="AE933" s="64"/>
      <c r="AF933" s="65"/>
      <c r="AG933" s="65"/>
      <c r="AH933" s="66" t="str">
        <f t="shared" si="169"/>
        <v/>
      </c>
      <c r="AI933" s="64"/>
      <c r="AJ933" s="65"/>
      <c r="AK933" s="64"/>
      <c r="AL933" s="65"/>
      <c r="BB933" s="55" t="str">
        <f t="shared" si="170"/>
        <v/>
      </c>
      <c r="BC933" s="55" t="str">
        <f t="shared" si="171"/>
        <v/>
      </c>
      <c r="BD933" s="55" t="str">
        <f t="shared" si="172"/>
        <v/>
      </c>
      <c r="BE933" s="55" t="str">
        <f t="shared" si="173"/>
        <v/>
      </c>
      <c r="BF933" s="55" t="str">
        <f t="shared" si="174"/>
        <v/>
      </c>
      <c r="BG933" s="55" t="str">
        <f t="shared" si="175"/>
        <v/>
      </c>
      <c r="BH933" s="55" t="str">
        <f t="shared" si="176"/>
        <v/>
      </c>
      <c r="BI933" s="55" t="str">
        <f t="shared" si="177"/>
        <v/>
      </c>
      <c r="BJ933" s="55" t="str">
        <f t="shared" si="178"/>
        <v/>
      </c>
      <c r="BK933" s="55" t="str">
        <f t="shared" si="179"/>
        <v/>
      </c>
    </row>
    <row r="934" spans="22:63">
      <c r="V934" s="55">
        <f t="shared" ca="1" si="168"/>
        <v>1</v>
      </c>
      <c r="W934" s="64"/>
      <c r="X934" s="65"/>
      <c r="Y934" s="65"/>
      <c r="Z934" s="65"/>
      <c r="AA934" s="64"/>
      <c r="AB934" s="65"/>
      <c r="AC934" s="64"/>
      <c r="AD934" s="65"/>
      <c r="AE934" s="64"/>
      <c r="AF934" s="65"/>
      <c r="AG934" s="65"/>
      <c r="AH934" s="66" t="str">
        <f t="shared" si="169"/>
        <v/>
      </c>
      <c r="AI934" s="64"/>
      <c r="AJ934" s="65"/>
      <c r="AK934" s="64"/>
      <c r="AL934" s="65"/>
      <c r="BB934" s="55" t="str">
        <f t="shared" si="170"/>
        <v/>
      </c>
      <c r="BC934" s="55" t="str">
        <f t="shared" si="171"/>
        <v/>
      </c>
      <c r="BD934" s="55" t="str">
        <f t="shared" si="172"/>
        <v/>
      </c>
      <c r="BE934" s="55" t="str">
        <f t="shared" si="173"/>
        <v/>
      </c>
      <c r="BF934" s="55" t="str">
        <f t="shared" si="174"/>
        <v/>
      </c>
      <c r="BG934" s="55" t="str">
        <f t="shared" si="175"/>
        <v/>
      </c>
      <c r="BH934" s="55" t="str">
        <f t="shared" si="176"/>
        <v/>
      </c>
      <c r="BI934" s="55" t="str">
        <f t="shared" si="177"/>
        <v/>
      </c>
      <c r="BJ934" s="55" t="str">
        <f t="shared" si="178"/>
        <v/>
      </c>
      <c r="BK934" s="55" t="str">
        <f t="shared" si="179"/>
        <v/>
      </c>
    </row>
    <row r="935" spans="22:63">
      <c r="V935" s="55">
        <f t="shared" ca="1" si="168"/>
        <v>1</v>
      </c>
      <c r="W935" s="64"/>
      <c r="X935" s="65"/>
      <c r="Y935" s="65"/>
      <c r="Z935" s="65"/>
      <c r="AA935" s="64"/>
      <c r="AB935" s="65"/>
      <c r="AC935" s="64"/>
      <c r="AD935" s="65"/>
      <c r="AE935" s="64"/>
      <c r="AF935" s="65"/>
      <c r="AG935" s="65"/>
      <c r="AH935" s="66" t="str">
        <f t="shared" si="169"/>
        <v/>
      </c>
      <c r="AI935" s="64"/>
      <c r="AJ935" s="65"/>
      <c r="AK935" s="64"/>
      <c r="AL935" s="65"/>
      <c r="BB935" s="55" t="str">
        <f t="shared" si="170"/>
        <v/>
      </c>
      <c r="BC935" s="55" t="str">
        <f t="shared" si="171"/>
        <v/>
      </c>
      <c r="BD935" s="55" t="str">
        <f t="shared" si="172"/>
        <v/>
      </c>
      <c r="BE935" s="55" t="str">
        <f t="shared" si="173"/>
        <v/>
      </c>
      <c r="BF935" s="55" t="str">
        <f t="shared" si="174"/>
        <v/>
      </c>
      <c r="BG935" s="55" t="str">
        <f t="shared" si="175"/>
        <v/>
      </c>
      <c r="BH935" s="55" t="str">
        <f t="shared" si="176"/>
        <v/>
      </c>
      <c r="BI935" s="55" t="str">
        <f t="shared" si="177"/>
        <v/>
      </c>
      <c r="BJ935" s="55" t="str">
        <f t="shared" si="178"/>
        <v/>
      </c>
      <c r="BK935" s="55" t="str">
        <f t="shared" si="179"/>
        <v/>
      </c>
    </row>
    <row r="936" spans="22:63">
      <c r="V936" s="55">
        <f t="shared" ca="1" si="168"/>
        <v>1</v>
      </c>
      <c r="W936" s="64"/>
      <c r="X936" s="65"/>
      <c r="Y936" s="65"/>
      <c r="Z936" s="65"/>
      <c r="AA936" s="64"/>
      <c r="AB936" s="65"/>
      <c r="AC936" s="64"/>
      <c r="AD936" s="65"/>
      <c r="AE936" s="64"/>
      <c r="AF936" s="65"/>
      <c r="AG936" s="65"/>
      <c r="AH936" s="66" t="str">
        <f t="shared" si="169"/>
        <v/>
      </c>
      <c r="AI936" s="64"/>
      <c r="AJ936" s="65"/>
      <c r="AK936" s="64"/>
      <c r="AL936" s="65"/>
      <c r="BB936" s="55" t="str">
        <f t="shared" si="170"/>
        <v/>
      </c>
      <c r="BC936" s="55" t="str">
        <f t="shared" si="171"/>
        <v/>
      </c>
      <c r="BD936" s="55" t="str">
        <f t="shared" si="172"/>
        <v/>
      </c>
      <c r="BE936" s="55" t="str">
        <f t="shared" si="173"/>
        <v/>
      </c>
      <c r="BF936" s="55" t="str">
        <f t="shared" si="174"/>
        <v/>
      </c>
      <c r="BG936" s="55" t="str">
        <f t="shared" si="175"/>
        <v/>
      </c>
      <c r="BH936" s="55" t="str">
        <f t="shared" si="176"/>
        <v/>
      </c>
      <c r="BI936" s="55" t="str">
        <f t="shared" si="177"/>
        <v/>
      </c>
      <c r="BJ936" s="55" t="str">
        <f t="shared" si="178"/>
        <v/>
      </c>
      <c r="BK936" s="55" t="str">
        <f t="shared" si="179"/>
        <v/>
      </c>
    </row>
    <row r="937" spans="22:63">
      <c r="V937" s="55">
        <f t="shared" ca="1" si="168"/>
        <v>1</v>
      </c>
      <c r="W937" s="64"/>
      <c r="X937" s="65"/>
      <c r="Y937" s="65"/>
      <c r="Z937" s="65"/>
      <c r="AA937" s="64"/>
      <c r="AB937" s="65"/>
      <c r="AC937" s="64"/>
      <c r="AD937" s="65"/>
      <c r="AE937" s="64"/>
      <c r="AF937" s="65"/>
      <c r="AG937" s="65"/>
      <c r="AH937" s="66" t="str">
        <f t="shared" si="169"/>
        <v/>
      </c>
      <c r="AI937" s="64"/>
      <c r="AJ937" s="65"/>
      <c r="AK937" s="64"/>
      <c r="AL937" s="65"/>
      <c r="BB937" s="55" t="str">
        <f t="shared" si="170"/>
        <v/>
      </c>
      <c r="BC937" s="55" t="str">
        <f t="shared" si="171"/>
        <v/>
      </c>
      <c r="BD937" s="55" t="str">
        <f t="shared" si="172"/>
        <v/>
      </c>
      <c r="BE937" s="55" t="str">
        <f t="shared" si="173"/>
        <v/>
      </c>
      <c r="BF937" s="55" t="str">
        <f t="shared" si="174"/>
        <v/>
      </c>
      <c r="BG937" s="55" t="str">
        <f t="shared" si="175"/>
        <v/>
      </c>
      <c r="BH937" s="55" t="str">
        <f t="shared" si="176"/>
        <v/>
      </c>
      <c r="BI937" s="55" t="str">
        <f t="shared" si="177"/>
        <v/>
      </c>
      <c r="BJ937" s="55" t="str">
        <f t="shared" si="178"/>
        <v/>
      </c>
      <c r="BK937" s="55" t="str">
        <f t="shared" si="179"/>
        <v/>
      </c>
    </row>
    <row r="938" spans="22:63">
      <c r="V938" s="55">
        <f t="shared" ca="1" si="168"/>
        <v>1</v>
      </c>
      <c r="W938" s="64"/>
      <c r="X938" s="65"/>
      <c r="Y938" s="65"/>
      <c r="Z938" s="65"/>
      <c r="AA938" s="64"/>
      <c r="AB938" s="65"/>
      <c r="AC938" s="64"/>
      <c r="AD938" s="65"/>
      <c r="AE938" s="64"/>
      <c r="AF938" s="65"/>
      <c r="AG938" s="65"/>
      <c r="AH938" s="66" t="str">
        <f t="shared" si="169"/>
        <v/>
      </c>
      <c r="AI938" s="64"/>
      <c r="AJ938" s="65"/>
      <c r="AK938" s="64"/>
      <c r="AL938" s="65"/>
      <c r="BB938" s="55" t="str">
        <f t="shared" si="170"/>
        <v/>
      </c>
      <c r="BC938" s="55" t="str">
        <f t="shared" si="171"/>
        <v/>
      </c>
      <c r="BD938" s="55" t="str">
        <f t="shared" si="172"/>
        <v/>
      </c>
      <c r="BE938" s="55" t="str">
        <f t="shared" si="173"/>
        <v/>
      </c>
      <c r="BF938" s="55" t="str">
        <f t="shared" si="174"/>
        <v/>
      </c>
      <c r="BG938" s="55" t="str">
        <f t="shared" si="175"/>
        <v/>
      </c>
      <c r="BH938" s="55" t="str">
        <f t="shared" si="176"/>
        <v/>
      </c>
      <c r="BI938" s="55" t="str">
        <f t="shared" si="177"/>
        <v/>
      </c>
      <c r="BJ938" s="55" t="str">
        <f t="shared" si="178"/>
        <v/>
      </c>
      <c r="BK938" s="55" t="str">
        <f t="shared" si="179"/>
        <v/>
      </c>
    </row>
    <row r="939" spans="22:63">
      <c r="V939" s="55">
        <f t="shared" ca="1" si="168"/>
        <v>1</v>
      </c>
      <c r="W939" s="64"/>
      <c r="X939" s="65"/>
      <c r="Y939" s="65"/>
      <c r="Z939" s="65"/>
      <c r="AA939" s="64"/>
      <c r="AB939" s="65"/>
      <c r="AC939" s="64"/>
      <c r="AD939" s="65"/>
      <c r="AE939" s="64"/>
      <c r="AF939" s="65"/>
      <c r="AG939" s="65"/>
      <c r="AH939" s="66" t="str">
        <f t="shared" si="169"/>
        <v/>
      </c>
      <c r="AI939" s="64"/>
      <c r="AJ939" s="65"/>
      <c r="AK939" s="64"/>
      <c r="AL939" s="65"/>
      <c r="BB939" s="55" t="str">
        <f t="shared" si="170"/>
        <v/>
      </c>
      <c r="BC939" s="55" t="str">
        <f t="shared" si="171"/>
        <v/>
      </c>
      <c r="BD939" s="55" t="str">
        <f t="shared" si="172"/>
        <v/>
      </c>
      <c r="BE939" s="55" t="str">
        <f t="shared" si="173"/>
        <v/>
      </c>
      <c r="BF939" s="55" t="str">
        <f t="shared" si="174"/>
        <v/>
      </c>
      <c r="BG939" s="55" t="str">
        <f t="shared" si="175"/>
        <v/>
      </c>
      <c r="BH939" s="55" t="str">
        <f t="shared" si="176"/>
        <v/>
      </c>
      <c r="BI939" s="55" t="str">
        <f t="shared" si="177"/>
        <v/>
      </c>
      <c r="BJ939" s="55" t="str">
        <f t="shared" si="178"/>
        <v/>
      </c>
      <c r="BK939" s="55" t="str">
        <f t="shared" si="179"/>
        <v/>
      </c>
    </row>
    <row r="940" spans="22:63">
      <c r="V940" s="55">
        <f t="shared" ca="1" si="168"/>
        <v>1</v>
      </c>
      <c r="W940" s="64"/>
      <c r="X940" s="65"/>
      <c r="Y940" s="65"/>
      <c r="Z940" s="65"/>
      <c r="AA940" s="64"/>
      <c r="AB940" s="65"/>
      <c r="AC940" s="64"/>
      <c r="AD940" s="65"/>
      <c r="AE940" s="64"/>
      <c r="AF940" s="65"/>
      <c r="AG940" s="65"/>
      <c r="AH940" s="66" t="str">
        <f t="shared" si="169"/>
        <v/>
      </c>
      <c r="AI940" s="64"/>
      <c r="AJ940" s="65"/>
      <c r="AK940" s="64"/>
      <c r="AL940" s="65"/>
      <c r="BB940" s="55" t="str">
        <f t="shared" si="170"/>
        <v/>
      </c>
      <c r="BC940" s="55" t="str">
        <f t="shared" si="171"/>
        <v/>
      </c>
      <c r="BD940" s="55" t="str">
        <f t="shared" si="172"/>
        <v/>
      </c>
      <c r="BE940" s="55" t="str">
        <f t="shared" si="173"/>
        <v/>
      </c>
      <c r="BF940" s="55" t="str">
        <f t="shared" si="174"/>
        <v/>
      </c>
      <c r="BG940" s="55" t="str">
        <f t="shared" si="175"/>
        <v/>
      </c>
      <c r="BH940" s="55" t="str">
        <f t="shared" si="176"/>
        <v/>
      </c>
      <c r="BI940" s="55" t="str">
        <f t="shared" si="177"/>
        <v/>
      </c>
      <c r="BJ940" s="55" t="str">
        <f t="shared" si="178"/>
        <v/>
      </c>
      <c r="BK940" s="55" t="str">
        <f t="shared" si="179"/>
        <v/>
      </c>
    </row>
    <row r="941" spans="22:63">
      <c r="V941" s="55">
        <f t="shared" ca="1" si="168"/>
        <v>1</v>
      </c>
      <c r="W941" s="64"/>
      <c r="X941" s="65"/>
      <c r="Y941" s="65"/>
      <c r="Z941" s="65"/>
      <c r="AA941" s="64"/>
      <c r="AB941" s="65"/>
      <c r="AC941" s="64"/>
      <c r="AD941" s="65"/>
      <c r="AE941" s="64"/>
      <c r="AF941" s="65"/>
      <c r="AG941" s="65"/>
      <c r="AH941" s="66" t="str">
        <f t="shared" si="169"/>
        <v/>
      </c>
      <c r="AI941" s="64"/>
      <c r="AJ941" s="65"/>
      <c r="AK941" s="64"/>
      <c r="AL941" s="65"/>
      <c r="BB941" s="55" t="str">
        <f t="shared" si="170"/>
        <v/>
      </c>
      <c r="BC941" s="55" t="str">
        <f t="shared" si="171"/>
        <v/>
      </c>
      <c r="BD941" s="55" t="str">
        <f t="shared" si="172"/>
        <v/>
      </c>
      <c r="BE941" s="55" t="str">
        <f t="shared" si="173"/>
        <v/>
      </c>
      <c r="BF941" s="55" t="str">
        <f t="shared" si="174"/>
        <v/>
      </c>
      <c r="BG941" s="55" t="str">
        <f t="shared" si="175"/>
        <v/>
      </c>
      <c r="BH941" s="55" t="str">
        <f t="shared" si="176"/>
        <v/>
      </c>
      <c r="BI941" s="55" t="str">
        <f t="shared" si="177"/>
        <v/>
      </c>
      <c r="BJ941" s="55" t="str">
        <f t="shared" si="178"/>
        <v/>
      </c>
      <c r="BK941" s="55" t="str">
        <f t="shared" si="179"/>
        <v/>
      </c>
    </row>
    <row r="942" spans="22:63">
      <c r="V942" s="55">
        <f t="shared" ca="1" si="168"/>
        <v>1</v>
      </c>
      <c r="W942" s="64"/>
      <c r="X942" s="65"/>
      <c r="Y942" s="65"/>
      <c r="Z942" s="65"/>
      <c r="AA942" s="64"/>
      <c r="AB942" s="65"/>
      <c r="AC942" s="64"/>
      <c r="AD942" s="65"/>
      <c r="AE942" s="64"/>
      <c r="AF942" s="65"/>
      <c r="AG942" s="65"/>
      <c r="AH942" s="66" t="str">
        <f t="shared" si="169"/>
        <v/>
      </c>
      <c r="AI942" s="64"/>
      <c r="AJ942" s="65"/>
      <c r="AK942" s="64"/>
      <c r="AL942" s="65"/>
      <c r="BB942" s="55" t="str">
        <f t="shared" si="170"/>
        <v/>
      </c>
      <c r="BC942" s="55" t="str">
        <f t="shared" si="171"/>
        <v/>
      </c>
      <c r="BD942" s="55" t="str">
        <f t="shared" si="172"/>
        <v/>
      </c>
      <c r="BE942" s="55" t="str">
        <f t="shared" si="173"/>
        <v/>
      </c>
      <c r="BF942" s="55" t="str">
        <f t="shared" si="174"/>
        <v/>
      </c>
      <c r="BG942" s="55" t="str">
        <f t="shared" si="175"/>
        <v/>
      </c>
      <c r="BH942" s="55" t="str">
        <f t="shared" si="176"/>
        <v/>
      </c>
      <c r="BI942" s="55" t="str">
        <f t="shared" si="177"/>
        <v/>
      </c>
      <c r="BJ942" s="55" t="str">
        <f t="shared" si="178"/>
        <v/>
      </c>
      <c r="BK942" s="55" t="str">
        <f t="shared" si="179"/>
        <v/>
      </c>
    </row>
    <row r="943" spans="22:63">
      <c r="V943" s="55">
        <f t="shared" ca="1" si="168"/>
        <v>1</v>
      </c>
      <c r="W943" s="64"/>
      <c r="X943" s="65"/>
      <c r="Y943" s="65"/>
      <c r="Z943" s="65"/>
      <c r="AA943" s="64"/>
      <c r="AB943" s="65"/>
      <c r="AC943" s="64"/>
      <c r="AD943" s="65"/>
      <c r="AE943" s="64"/>
      <c r="AF943" s="65"/>
      <c r="AG943" s="65"/>
      <c r="AH943" s="66" t="str">
        <f t="shared" si="169"/>
        <v/>
      </c>
      <c r="AI943" s="64"/>
      <c r="AJ943" s="65"/>
      <c r="AK943" s="64"/>
      <c r="AL943" s="65"/>
      <c r="BB943" s="55" t="str">
        <f t="shared" si="170"/>
        <v/>
      </c>
      <c r="BC943" s="55" t="str">
        <f t="shared" si="171"/>
        <v/>
      </c>
      <c r="BD943" s="55" t="str">
        <f t="shared" si="172"/>
        <v/>
      </c>
      <c r="BE943" s="55" t="str">
        <f t="shared" si="173"/>
        <v/>
      </c>
      <c r="BF943" s="55" t="str">
        <f t="shared" si="174"/>
        <v/>
      </c>
      <c r="BG943" s="55" t="str">
        <f t="shared" si="175"/>
        <v/>
      </c>
      <c r="BH943" s="55" t="str">
        <f t="shared" si="176"/>
        <v/>
      </c>
      <c r="BI943" s="55" t="str">
        <f t="shared" si="177"/>
        <v/>
      </c>
      <c r="BJ943" s="55" t="str">
        <f t="shared" si="178"/>
        <v/>
      </c>
      <c r="BK943" s="55" t="str">
        <f t="shared" si="179"/>
        <v/>
      </c>
    </row>
    <row r="944" spans="22:63">
      <c r="V944" s="55">
        <f t="shared" ca="1" si="168"/>
        <v>1</v>
      </c>
      <c r="W944" s="64"/>
      <c r="X944" s="65"/>
      <c r="Y944" s="65"/>
      <c r="Z944" s="65"/>
      <c r="AA944" s="64"/>
      <c r="AB944" s="65"/>
      <c r="AC944" s="64"/>
      <c r="AD944" s="65"/>
      <c r="AE944" s="64"/>
      <c r="AF944" s="65"/>
      <c r="AG944" s="65"/>
      <c r="AH944" s="66" t="str">
        <f t="shared" si="169"/>
        <v/>
      </c>
      <c r="AI944" s="64"/>
      <c r="AJ944" s="65"/>
      <c r="AK944" s="64"/>
      <c r="AL944" s="65"/>
      <c r="BB944" s="55" t="str">
        <f t="shared" si="170"/>
        <v/>
      </c>
      <c r="BC944" s="55" t="str">
        <f t="shared" si="171"/>
        <v/>
      </c>
      <c r="BD944" s="55" t="str">
        <f t="shared" si="172"/>
        <v/>
      </c>
      <c r="BE944" s="55" t="str">
        <f t="shared" si="173"/>
        <v/>
      </c>
      <c r="BF944" s="55" t="str">
        <f t="shared" si="174"/>
        <v/>
      </c>
      <c r="BG944" s="55" t="str">
        <f t="shared" si="175"/>
        <v/>
      </c>
      <c r="BH944" s="55" t="str">
        <f t="shared" si="176"/>
        <v/>
      </c>
      <c r="BI944" s="55" t="str">
        <f t="shared" si="177"/>
        <v/>
      </c>
      <c r="BJ944" s="55" t="str">
        <f t="shared" si="178"/>
        <v/>
      </c>
      <c r="BK944" s="55" t="str">
        <f t="shared" si="179"/>
        <v/>
      </c>
    </row>
    <row r="945" spans="22:63">
      <c r="V945" s="55">
        <f t="shared" ca="1" si="168"/>
        <v>1</v>
      </c>
      <c r="W945" s="64"/>
      <c r="X945" s="65"/>
      <c r="Y945" s="65"/>
      <c r="Z945" s="65"/>
      <c r="AA945" s="64"/>
      <c r="AB945" s="65"/>
      <c r="AC945" s="64"/>
      <c r="AD945" s="65"/>
      <c r="AE945" s="64"/>
      <c r="AF945" s="65"/>
      <c r="AG945" s="65"/>
      <c r="AH945" s="66" t="str">
        <f t="shared" si="169"/>
        <v/>
      </c>
      <c r="AI945" s="64"/>
      <c r="AJ945" s="65"/>
      <c r="AK945" s="64"/>
      <c r="AL945" s="65"/>
      <c r="BB945" s="55" t="str">
        <f t="shared" si="170"/>
        <v/>
      </c>
      <c r="BC945" s="55" t="str">
        <f t="shared" si="171"/>
        <v/>
      </c>
      <c r="BD945" s="55" t="str">
        <f t="shared" si="172"/>
        <v/>
      </c>
      <c r="BE945" s="55" t="str">
        <f t="shared" si="173"/>
        <v/>
      </c>
      <c r="BF945" s="55" t="str">
        <f t="shared" si="174"/>
        <v/>
      </c>
      <c r="BG945" s="55" t="str">
        <f t="shared" si="175"/>
        <v/>
      </c>
      <c r="BH945" s="55" t="str">
        <f t="shared" si="176"/>
        <v/>
      </c>
      <c r="BI945" s="55" t="str">
        <f t="shared" si="177"/>
        <v/>
      </c>
      <c r="BJ945" s="55" t="str">
        <f t="shared" si="178"/>
        <v/>
      </c>
      <c r="BK945" s="55" t="str">
        <f t="shared" si="179"/>
        <v/>
      </c>
    </row>
    <row r="946" spans="22:63">
      <c r="V946" s="55">
        <f t="shared" ca="1" si="168"/>
        <v>1</v>
      </c>
      <c r="W946" s="64"/>
      <c r="X946" s="65"/>
      <c r="Y946" s="65"/>
      <c r="Z946" s="65"/>
      <c r="AA946" s="64"/>
      <c r="AB946" s="65"/>
      <c r="AC946" s="64"/>
      <c r="AD946" s="65"/>
      <c r="AE946" s="64"/>
      <c r="AF946" s="65"/>
      <c r="AG946" s="65"/>
      <c r="AH946" s="66" t="str">
        <f t="shared" si="169"/>
        <v/>
      </c>
      <c r="AI946" s="64"/>
      <c r="AJ946" s="65"/>
      <c r="AK946" s="64"/>
      <c r="AL946" s="65"/>
      <c r="BB946" s="55" t="str">
        <f t="shared" si="170"/>
        <v/>
      </c>
      <c r="BC946" s="55" t="str">
        <f t="shared" si="171"/>
        <v/>
      </c>
      <c r="BD946" s="55" t="str">
        <f t="shared" si="172"/>
        <v/>
      </c>
      <c r="BE946" s="55" t="str">
        <f t="shared" si="173"/>
        <v/>
      </c>
      <c r="BF946" s="55" t="str">
        <f t="shared" si="174"/>
        <v/>
      </c>
      <c r="BG946" s="55" t="str">
        <f t="shared" si="175"/>
        <v/>
      </c>
      <c r="BH946" s="55" t="str">
        <f t="shared" si="176"/>
        <v/>
      </c>
      <c r="BI946" s="55" t="str">
        <f t="shared" si="177"/>
        <v/>
      </c>
      <c r="BJ946" s="55" t="str">
        <f t="shared" si="178"/>
        <v/>
      </c>
      <c r="BK946" s="55" t="str">
        <f t="shared" si="179"/>
        <v/>
      </c>
    </row>
    <row r="947" spans="22:63">
      <c r="V947" s="55">
        <f t="shared" ca="1" si="168"/>
        <v>1</v>
      </c>
      <c r="W947" s="64"/>
      <c r="X947" s="65"/>
      <c r="Y947" s="65"/>
      <c r="Z947" s="65"/>
      <c r="AA947" s="64"/>
      <c r="AB947" s="65"/>
      <c r="AC947" s="64"/>
      <c r="AD947" s="65"/>
      <c r="AE947" s="64"/>
      <c r="AF947" s="65"/>
      <c r="AG947" s="65"/>
      <c r="AH947" s="66" t="str">
        <f t="shared" si="169"/>
        <v/>
      </c>
      <c r="AI947" s="64"/>
      <c r="AJ947" s="65"/>
      <c r="AK947" s="64"/>
      <c r="AL947" s="65"/>
      <c r="BB947" s="55" t="str">
        <f t="shared" si="170"/>
        <v/>
      </c>
      <c r="BC947" s="55" t="str">
        <f t="shared" si="171"/>
        <v/>
      </c>
      <c r="BD947" s="55" t="str">
        <f t="shared" si="172"/>
        <v/>
      </c>
      <c r="BE947" s="55" t="str">
        <f t="shared" si="173"/>
        <v/>
      </c>
      <c r="BF947" s="55" t="str">
        <f t="shared" si="174"/>
        <v/>
      </c>
      <c r="BG947" s="55" t="str">
        <f t="shared" si="175"/>
        <v/>
      </c>
      <c r="BH947" s="55" t="str">
        <f t="shared" si="176"/>
        <v/>
      </c>
      <c r="BI947" s="55" t="str">
        <f t="shared" si="177"/>
        <v/>
      </c>
      <c r="BJ947" s="55" t="str">
        <f t="shared" si="178"/>
        <v/>
      </c>
      <c r="BK947" s="55" t="str">
        <f t="shared" si="179"/>
        <v/>
      </c>
    </row>
    <row r="948" spans="22:63">
      <c r="V948" s="55">
        <f t="shared" ca="1" si="168"/>
        <v>1</v>
      </c>
      <c r="W948" s="64"/>
      <c r="X948" s="65"/>
      <c r="Y948" s="65"/>
      <c r="Z948" s="65"/>
      <c r="AA948" s="64"/>
      <c r="AB948" s="65"/>
      <c r="AC948" s="64"/>
      <c r="AD948" s="65"/>
      <c r="AE948" s="64"/>
      <c r="AF948" s="65"/>
      <c r="AG948" s="65"/>
      <c r="AH948" s="66" t="str">
        <f t="shared" si="169"/>
        <v/>
      </c>
      <c r="AI948" s="64"/>
      <c r="AJ948" s="65"/>
      <c r="AK948" s="64"/>
      <c r="AL948" s="65"/>
      <c r="BB948" s="55" t="str">
        <f t="shared" si="170"/>
        <v/>
      </c>
      <c r="BC948" s="55" t="str">
        <f t="shared" si="171"/>
        <v/>
      </c>
      <c r="BD948" s="55" t="str">
        <f t="shared" si="172"/>
        <v/>
      </c>
      <c r="BE948" s="55" t="str">
        <f t="shared" si="173"/>
        <v/>
      </c>
      <c r="BF948" s="55" t="str">
        <f t="shared" si="174"/>
        <v/>
      </c>
      <c r="BG948" s="55" t="str">
        <f t="shared" si="175"/>
        <v/>
      </c>
      <c r="BH948" s="55" t="str">
        <f t="shared" si="176"/>
        <v/>
      </c>
      <c r="BI948" s="55" t="str">
        <f t="shared" si="177"/>
        <v/>
      </c>
      <c r="BJ948" s="55" t="str">
        <f t="shared" si="178"/>
        <v/>
      </c>
      <c r="BK948" s="55" t="str">
        <f t="shared" si="179"/>
        <v/>
      </c>
    </row>
    <row r="949" spans="22:63">
      <c r="V949" s="55">
        <f t="shared" ca="1" si="168"/>
        <v>1</v>
      </c>
      <c r="W949" s="64"/>
      <c r="X949" s="65"/>
      <c r="Y949" s="65"/>
      <c r="Z949" s="65"/>
      <c r="AA949" s="64"/>
      <c r="AB949" s="65"/>
      <c r="AC949" s="64"/>
      <c r="AD949" s="65"/>
      <c r="AE949" s="64"/>
      <c r="AF949" s="65"/>
      <c r="AG949" s="65"/>
      <c r="AH949" s="66" t="str">
        <f t="shared" si="169"/>
        <v/>
      </c>
      <c r="AI949" s="64"/>
      <c r="AJ949" s="65"/>
      <c r="AK949" s="64"/>
      <c r="AL949" s="65"/>
      <c r="BB949" s="55" t="str">
        <f t="shared" si="170"/>
        <v/>
      </c>
      <c r="BC949" s="55" t="str">
        <f t="shared" si="171"/>
        <v/>
      </c>
      <c r="BD949" s="55" t="str">
        <f t="shared" si="172"/>
        <v/>
      </c>
      <c r="BE949" s="55" t="str">
        <f t="shared" si="173"/>
        <v/>
      </c>
      <c r="BF949" s="55" t="str">
        <f t="shared" si="174"/>
        <v/>
      </c>
      <c r="BG949" s="55" t="str">
        <f t="shared" si="175"/>
        <v/>
      </c>
      <c r="BH949" s="55" t="str">
        <f t="shared" si="176"/>
        <v/>
      </c>
      <c r="BI949" s="55" t="str">
        <f t="shared" si="177"/>
        <v/>
      </c>
      <c r="BJ949" s="55" t="str">
        <f t="shared" si="178"/>
        <v/>
      </c>
      <c r="BK949" s="55" t="str">
        <f t="shared" si="179"/>
        <v/>
      </c>
    </row>
    <row r="950" spans="22:63">
      <c r="V950" s="55">
        <f t="shared" ca="1" si="168"/>
        <v>1</v>
      </c>
      <c r="W950" s="64"/>
      <c r="X950" s="65"/>
      <c r="Y950" s="65"/>
      <c r="Z950" s="65"/>
      <c r="AA950" s="64"/>
      <c r="AB950" s="65"/>
      <c r="AC950" s="64"/>
      <c r="AD950" s="65"/>
      <c r="AE950" s="64"/>
      <c r="AF950" s="65"/>
      <c r="AG950" s="65"/>
      <c r="AH950" s="66" t="str">
        <f t="shared" si="169"/>
        <v/>
      </c>
      <c r="AI950" s="64"/>
      <c r="AJ950" s="65"/>
      <c r="AK950" s="64"/>
      <c r="AL950" s="65"/>
      <c r="BB950" s="55" t="str">
        <f t="shared" si="170"/>
        <v/>
      </c>
      <c r="BC950" s="55" t="str">
        <f t="shared" si="171"/>
        <v/>
      </c>
      <c r="BD950" s="55" t="str">
        <f t="shared" si="172"/>
        <v/>
      </c>
      <c r="BE950" s="55" t="str">
        <f t="shared" si="173"/>
        <v/>
      </c>
      <c r="BF950" s="55" t="str">
        <f t="shared" si="174"/>
        <v/>
      </c>
      <c r="BG950" s="55" t="str">
        <f t="shared" si="175"/>
        <v/>
      </c>
      <c r="BH950" s="55" t="str">
        <f t="shared" si="176"/>
        <v/>
      </c>
      <c r="BI950" s="55" t="str">
        <f t="shared" si="177"/>
        <v/>
      </c>
      <c r="BJ950" s="55" t="str">
        <f t="shared" si="178"/>
        <v/>
      </c>
      <c r="BK950" s="55" t="str">
        <f t="shared" si="179"/>
        <v/>
      </c>
    </row>
    <row r="951" spans="22:63">
      <c r="V951" s="55">
        <f t="shared" ca="1" si="168"/>
        <v>1</v>
      </c>
      <c r="W951" s="64"/>
      <c r="X951" s="65"/>
      <c r="Y951" s="65"/>
      <c r="Z951" s="65"/>
      <c r="AA951" s="64"/>
      <c r="AB951" s="65"/>
      <c r="AC951" s="64"/>
      <c r="AD951" s="65"/>
      <c r="AE951" s="64"/>
      <c r="AF951" s="65"/>
      <c r="AG951" s="65"/>
      <c r="AH951" s="66" t="str">
        <f t="shared" si="169"/>
        <v/>
      </c>
      <c r="AI951" s="64"/>
      <c r="AJ951" s="65"/>
      <c r="AK951" s="64"/>
      <c r="AL951" s="65"/>
      <c r="BB951" s="55" t="str">
        <f t="shared" si="170"/>
        <v/>
      </c>
      <c r="BC951" s="55" t="str">
        <f t="shared" si="171"/>
        <v/>
      </c>
      <c r="BD951" s="55" t="str">
        <f t="shared" si="172"/>
        <v/>
      </c>
      <c r="BE951" s="55" t="str">
        <f t="shared" si="173"/>
        <v/>
      </c>
      <c r="BF951" s="55" t="str">
        <f t="shared" si="174"/>
        <v/>
      </c>
      <c r="BG951" s="55" t="str">
        <f t="shared" si="175"/>
        <v/>
      </c>
      <c r="BH951" s="55" t="str">
        <f t="shared" si="176"/>
        <v/>
      </c>
      <c r="BI951" s="55" t="str">
        <f t="shared" si="177"/>
        <v/>
      </c>
      <c r="BJ951" s="55" t="str">
        <f t="shared" si="178"/>
        <v/>
      </c>
      <c r="BK951" s="55" t="str">
        <f t="shared" si="179"/>
        <v/>
      </c>
    </row>
    <row r="952" spans="22:63">
      <c r="V952" s="55">
        <f t="shared" ca="1" si="168"/>
        <v>1</v>
      </c>
      <c r="W952" s="64"/>
      <c r="X952" s="65"/>
      <c r="Y952" s="65"/>
      <c r="Z952" s="65"/>
      <c r="AA952" s="64"/>
      <c r="AB952" s="65"/>
      <c r="AC952" s="64"/>
      <c r="AD952" s="65"/>
      <c r="AE952" s="64"/>
      <c r="AF952" s="65"/>
      <c r="AG952" s="65"/>
      <c r="AH952" s="66" t="str">
        <f t="shared" si="169"/>
        <v/>
      </c>
      <c r="AI952" s="64"/>
      <c r="AJ952" s="65"/>
      <c r="AK952" s="64"/>
      <c r="AL952" s="65"/>
      <c r="BB952" s="55" t="str">
        <f t="shared" si="170"/>
        <v/>
      </c>
      <c r="BC952" s="55" t="str">
        <f t="shared" si="171"/>
        <v/>
      </c>
      <c r="BD952" s="55" t="str">
        <f t="shared" si="172"/>
        <v/>
      </c>
      <c r="BE952" s="55" t="str">
        <f t="shared" si="173"/>
        <v/>
      </c>
      <c r="BF952" s="55" t="str">
        <f t="shared" si="174"/>
        <v/>
      </c>
      <c r="BG952" s="55" t="str">
        <f t="shared" si="175"/>
        <v/>
      </c>
      <c r="BH952" s="55" t="str">
        <f t="shared" si="176"/>
        <v/>
      </c>
      <c r="BI952" s="55" t="str">
        <f t="shared" si="177"/>
        <v/>
      </c>
      <c r="BJ952" s="55" t="str">
        <f t="shared" si="178"/>
        <v/>
      </c>
      <c r="BK952" s="55" t="str">
        <f t="shared" si="179"/>
        <v/>
      </c>
    </row>
    <row r="953" spans="22:63">
      <c r="V953" s="55">
        <f t="shared" ca="1" si="168"/>
        <v>1</v>
      </c>
      <c r="W953" s="64"/>
      <c r="X953" s="65"/>
      <c r="Y953" s="65"/>
      <c r="Z953" s="65"/>
      <c r="AA953" s="64"/>
      <c r="AB953" s="65"/>
      <c r="AC953" s="64"/>
      <c r="AD953" s="65"/>
      <c r="AE953" s="64"/>
      <c r="AF953" s="65"/>
      <c r="AG953" s="65"/>
      <c r="AH953" s="66" t="str">
        <f t="shared" si="169"/>
        <v/>
      </c>
      <c r="AI953" s="64"/>
      <c r="AJ953" s="65"/>
      <c r="AK953" s="64"/>
      <c r="AL953" s="65"/>
      <c r="BB953" s="55" t="str">
        <f t="shared" si="170"/>
        <v/>
      </c>
      <c r="BC953" s="55" t="str">
        <f t="shared" si="171"/>
        <v/>
      </c>
      <c r="BD953" s="55" t="str">
        <f t="shared" si="172"/>
        <v/>
      </c>
      <c r="BE953" s="55" t="str">
        <f t="shared" si="173"/>
        <v/>
      </c>
      <c r="BF953" s="55" t="str">
        <f t="shared" si="174"/>
        <v/>
      </c>
      <c r="BG953" s="55" t="str">
        <f t="shared" si="175"/>
        <v/>
      </c>
      <c r="BH953" s="55" t="str">
        <f t="shared" si="176"/>
        <v/>
      </c>
      <c r="BI953" s="55" t="str">
        <f t="shared" si="177"/>
        <v/>
      </c>
      <c r="BJ953" s="55" t="str">
        <f t="shared" si="178"/>
        <v/>
      </c>
      <c r="BK953" s="55" t="str">
        <f t="shared" si="179"/>
        <v/>
      </c>
    </row>
    <row r="954" spans="22:63">
      <c r="V954" s="55">
        <f t="shared" ca="1" si="168"/>
        <v>1</v>
      </c>
      <c r="W954" s="64"/>
      <c r="X954" s="65"/>
      <c r="Y954" s="65"/>
      <c r="Z954" s="65"/>
      <c r="AA954" s="64"/>
      <c r="AB954" s="65"/>
      <c r="AC954" s="64"/>
      <c r="AD954" s="65"/>
      <c r="AE954" s="64"/>
      <c r="AF954" s="65"/>
      <c r="AG954" s="65"/>
      <c r="AH954" s="66" t="str">
        <f t="shared" si="169"/>
        <v/>
      </c>
      <c r="AI954" s="64"/>
      <c r="AJ954" s="65"/>
      <c r="AK954" s="64"/>
      <c r="AL954" s="65"/>
      <c r="BB954" s="55" t="str">
        <f t="shared" si="170"/>
        <v/>
      </c>
      <c r="BC954" s="55" t="str">
        <f t="shared" si="171"/>
        <v/>
      </c>
      <c r="BD954" s="55" t="str">
        <f t="shared" si="172"/>
        <v/>
      </c>
      <c r="BE954" s="55" t="str">
        <f t="shared" si="173"/>
        <v/>
      </c>
      <c r="BF954" s="55" t="str">
        <f t="shared" si="174"/>
        <v/>
      </c>
      <c r="BG954" s="55" t="str">
        <f t="shared" si="175"/>
        <v/>
      </c>
      <c r="BH954" s="55" t="str">
        <f t="shared" si="176"/>
        <v/>
      </c>
      <c r="BI954" s="55" t="str">
        <f t="shared" si="177"/>
        <v/>
      </c>
      <c r="BJ954" s="55" t="str">
        <f t="shared" si="178"/>
        <v/>
      </c>
      <c r="BK954" s="55" t="str">
        <f t="shared" si="179"/>
        <v/>
      </c>
    </row>
    <row r="955" spans="22:63">
      <c r="V955" s="55">
        <f t="shared" ca="1" si="168"/>
        <v>1</v>
      </c>
      <c r="W955" s="64"/>
      <c r="X955" s="65"/>
      <c r="Y955" s="65"/>
      <c r="Z955" s="65"/>
      <c r="AA955" s="64"/>
      <c r="AB955" s="65"/>
      <c r="AC955" s="64"/>
      <c r="AD955" s="65"/>
      <c r="AE955" s="64"/>
      <c r="AF955" s="65"/>
      <c r="AG955" s="65"/>
      <c r="AH955" s="66" t="str">
        <f t="shared" si="169"/>
        <v/>
      </c>
      <c r="AI955" s="64"/>
      <c r="AJ955" s="65"/>
      <c r="AK955" s="64"/>
      <c r="AL955" s="65"/>
      <c r="BB955" s="55" t="str">
        <f t="shared" si="170"/>
        <v/>
      </c>
      <c r="BC955" s="55" t="str">
        <f t="shared" si="171"/>
        <v/>
      </c>
      <c r="BD955" s="55" t="str">
        <f t="shared" si="172"/>
        <v/>
      </c>
      <c r="BE955" s="55" t="str">
        <f t="shared" si="173"/>
        <v/>
      </c>
      <c r="BF955" s="55" t="str">
        <f t="shared" si="174"/>
        <v/>
      </c>
      <c r="BG955" s="55" t="str">
        <f t="shared" si="175"/>
        <v/>
      </c>
      <c r="BH955" s="55" t="str">
        <f t="shared" si="176"/>
        <v/>
      </c>
      <c r="BI955" s="55" t="str">
        <f t="shared" si="177"/>
        <v/>
      </c>
      <c r="BJ955" s="55" t="str">
        <f t="shared" si="178"/>
        <v/>
      </c>
      <c r="BK955" s="55" t="str">
        <f t="shared" si="179"/>
        <v/>
      </c>
    </row>
    <row r="956" spans="22:63">
      <c r="V956" s="55">
        <f t="shared" ca="1" si="168"/>
        <v>1</v>
      </c>
      <c r="W956" s="64"/>
      <c r="X956" s="65"/>
      <c r="Y956" s="65"/>
      <c r="Z956" s="65"/>
      <c r="AA956" s="64"/>
      <c r="AB956" s="65"/>
      <c r="AC956" s="64"/>
      <c r="AD956" s="65"/>
      <c r="AE956" s="64"/>
      <c r="AF956" s="65"/>
      <c r="AG956" s="65"/>
      <c r="AH956" s="66" t="str">
        <f t="shared" si="169"/>
        <v/>
      </c>
      <c r="AI956" s="64"/>
      <c r="AJ956" s="65"/>
      <c r="AK956" s="64"/>
      <c r="AL956" s="65"/>
      <c r="BB956" s="55" t="str">
        <f t="shared" si="170"/>
        <v/>
      </c>
      <c r="BC956" s="55" t="str">
        <f t="shared" si="171"/>
        <v/>
      </c>
      <c r="BD956" s="55" t="str">
        <f t="shared" si="172"/>
        <v/>
      </c>
      <c r="BE956" s="55" t="str">
        <f t="shared" si="173"/>
        <v/>
      </c>
      <c r="BF956" s="55" t="str">
        <f t="shared" si="174"/>
        <v/>
      </c>
      <c r="BG956" s="55" t="str">
        <f t="shared" si="175"/>
        <v/>
      </c>
      <c r="BH956" s="55" t="str">
        <f t="shared" si="176"/>
        <v/>
      </c>
      <c r="BI956" s="55" t="str">
        <f t="shared" si="177"/>
        <v/>
      </c>
      <c r="BJ956" s="55" t="str">
        <f t="shared" si="178"/>
        <v/>
      </c>
      <c r="BK956" s="55" t="str">
        <f t="shared" si="179"/>
        <v/>
      </c>
    </row>
    <row r="957" spans="22:63">
      <c r="V957" s="55">
        <f t="shared" ca="1" si="168"/>
        <v>1</v>
      </c>
      <c r="W957" s="64"/>
      <c r="X957" s="65"/>
      <c r="Y957" s="65"/>
      <c r="Z957" s="65"/>
      <c r="AA957" s="64"/>
      <c r="AB957" s="65"/>
      <c r="AC957" s="64"/>
      <c r="AD957" s="65"/>
      <c r="AE957" s="64"/>
      <c r="AF957" s="65"/>
      <c r="AG957" s="65"/>
      <c r="AH957" s="66" t="str">
        <f t="shared" si="169"/>
        <v/>
      </c>
      <c r="AI957" s="64"/>
      <c r="AJ957" s="65"/>
      <c r="AK957" s="64"/>
      <c r="AL957" s="65"/>
      <c r="BB957" s="55" t="str">
        <f t="shared" si="170"/>
        <v/>
      </c>
      <c r="BC957" s="55" t="str">
        <f t="shared" si="171"/>
        <v/>
      </c>
      <c r="BD957" s="55" t="str">
        <f t="shared" si="172"/>
        <v/>
      </c>
      <c r="BE957" s="55" t="str">
        <f t="shared" si="173"/>
        <v/>
      </c>
      <c r="BF957" s="55" t="str">
        <f t="shared" si="174"/>
        <v/>
      </c>
      <c r="BG957" s="55" t="str">
        <f t="shared" si="175"/>
        <v/>
      </c>
      <c r="BH957" s="55" t="str">
        <f t="shared" si="176"/>
        <v/>
      </c>
      <c r="BI957" s="55" t="str">
        <f t="shared" si="177"/>
        <v/>
      </c>
      <c r="BJ957" s="55" t="str">
        <f t="shared" si="178"/>
        <v/>
      </c>
      <c r="BK957" s="55" t="str">
        <f t="shared" si="179"/>
        <v/>
      </c>
    </row>
    <row r="958" spans="22:63">
      <c r="V958" s="55">
        <f t="shared" ca="1" si="168"/>
        <v>1</v>
      </c>
      <c r="W958" s="64"/>
      <c r="X958" s="65"/>
      <c r="Y958" s="65"/>
      <c r="Z958" s="65"/>
      <c r="AA958" s="64"/>
      <c r="AB958" s="65"/>
      <c r="AC958" s="64"/>
      <c r="AD958" s="65"/>
      <c r="AE958" s="64"/>
      <c r="AF958" s="65"/>
      <c r="AG958" s="65"/>
      <c r="AH958" s="66" t="str">
        <f t="shared" si="169"/>
        <v/>
      </c>
      <c r="AI958" s="64"/>
      <c r="AJ958" s="65"/>
      <c r="AK958" s="64"/>
      <c r="AL958" s="65"/>
      <c r="BB958" s="55" t="str">
        <f t="shared" si="170"/>
        <v/>
      </c>
      <c r="BC958" s="55" t="str">
        <f t="shared" si="171"/>
        <v/>
      </c>
      <c r="BD958" s="55" t="str">
        <f t="shared" si="172"/>
        <v/>
      </c>
      <c r="BE958" s="55" t="str">
        <f t="shared" si="173"/>
        <v/>
      </c>
      <c r="BF958" s="55" t="str">
        <f t="shared" si="174"/>
        <v/>
      </c>
      <c r="BG958" s="55" t="str">
        <f t="shared" si="175"/>
        <v/>
      </c>
      <c r="BH958" s="55" t="str">
        <f t="shared" si="176"/>
        <v/>
      </c>
      <c r="BI958" s="55" t="str">
        <f t="shared" si="177"/>
        <v/>
      </c>
      <c r="BJ958" s="55" t="str">
        <f t="shared" si="178"/>
        <v/>
      </c>
      <c r="BK958" s="55" t="str">
        <f t="shared" si="179"/>
        <v/>
      </c>
    </row>
    <row r="959" spans="22:63">
      <c r="V959" s="55">
        <f t="shared" ca="1" si="168"/>
        <v>1</v>
      </c>
      <c r="W959" s="64"/>
      <c r="X959" s="65"/>
      <c r="Y959" s="65"/>
      <c r="Z959" s="65"/>
      <c r="AA959" s="64"/>
      <c r="AB959" s="65"/>
      <c r="AC959" s="64"/>
      <c r="AD959" s="65"/>
      <c r="AE959" s="64"/>
      <c r="AF959" s="65"/>
      <c r="AG959" s="65"/>
      <c r="AH959" s="66" t="str">
        <f t="shared" si="169"/>
        <v/>
      </c>
      <c r="AI959" s="64"/>
      <c r="AJ959" s="65"/>
      <c r="AK959" s="64"/>
      <c r="AL959" s="65"/>
      <c r="BB959" s="55" t="str">
        <f t="shared" si="170"/>
        <v/>
      </c>
      <c r="BC959" s="55" t="str">
        <f t="shared" si="171"/>
        <v/>
      </c>
      <c r="BD959" s="55" t="str">
        <f t="shared" si="172"/>
        <v/>
      </c>
      <c r="BE959" s="55" t="str">
        <f t="shared" si="173"/>
        <v/>
      </c>
      <c r="BF959" s="55" t="str">
        <f t="shared" si="174"/>
        <v/>
      </c>
      <c r="BG959" s="55" t="str">
        <f t="shared" si="175"/>
        <v/>
      </c>
      <c r="BH959" s="55" t="str">
        <f t="shared" si="176"/>
        <v/>
      </c>
      <c r="BI959" s="55" t="str">
        <f t="shared" si="177"/>
        <v/>
      </c>
      <c r="BJ959" s="55" t="str">
        <f t="shared" si="178"/>
        <v/>
      </c>
      <c r="BK959" s="55" t="str">
        <f t="shared" si="179"/>
        <v/>
      </c>
    </row>
    <row r="960" spans="22:63">
      <c r="V960" s="55">
        <f t="shared" ca="1" si="168"/>
        <v>1</v>
      </c>
      <c r="W960" s="64"/>
      <c r="X960" s="65"/>
      <c r="Y960" s="65"/>
      <c r="Z960" s="65"/>
      <c r="AA960" s="64"/>
      <c r="AB960" s="65"/>
      <c r="AC960" s="64"/>
      <c r="AD960" s="65"/>
      <c r="AE960" s="64"/>
      <c r="AF960" s="65"/>
      <c r="AG960" s="65"/>
      <c r="AH960" s="66" t="str">
        <f t="shared" si="169"/>
        <v/>
      </c>
      <c r="AI960" s="64"/>
      <c r="AJ960" s="65"/>
      <c r="AK960" s="64"/>
      <c r="AL960" s="65"/>
      <c r="BB960" s="55" t="str">
        <f t="shared" si="170"/>
        <v/>
      </c>
      <c r="BC960" s="55" t="str">
        <f t="shared" si="171"/>
        <v/>
      </c>
      <c r="BD960" s="55" t="str">
        <f t="shared" si="172"/>
        <v/>
      </c>
      <c r="BE960" s="55" t="str">
        <f t="shared" si="173"/>
        <v/>
      </c>
      <c r="BF960" s="55" t="str">
        <f t="shared" si="174"/>
        <v/>
      </c>
      <c r="BG960" s="55" t="str">
        <f t="shared" si="175"/>
        <v/>
      </c>
      <c r="BH960" s="55" t="str">
        <f t="shared" si="176"/>
        <v/>
      </c>
      <c r="BI960" s="55" t="str">
        <f t="shared" si="177"/>
        <v/>
      </c>
      <c r="BJ960" s="55" t="str">
        <f t="shared" si="178"/>
        <v/>
      </c>
      <c r="BK960" s="55" t="str">
        <f t="shared" si="179"/>
        <v/>
      </c>
    </row>
    <row r="961" spans="22:63">
      <c r="V961" s="55">
        <f t="shared" ca="1" si="168"/>
        <v>1</v>
      </c>
      <c r="W961" s="64"/>
      <c r="X961" s="65"/>
      <c r="Y961" s="65"/>
      <c r="Z961" s="65"/>
      <c r="AA961" s="64"/>
      <c r="AB961" s="65"/>
      <c r="AC961" s="64"/>
      <c r="AD961" s="65"/>
      <c r="AE961" s="64"/>
      <c r="AF961" s="65"/>
      <c r="AG961" s="65"/>
      <c r="AH961" s="66" t="str">
        <f t="shared" si="169"/>
        <v/>
      </c>
      <c r="AI961" s="64"/>
      <c r="AJ961" s="65"/>
      <c r="AK961" s="64"/>
      <c r="AL961" s="65"/>
      <c r="BB961" s="55" t="str">
        <f t="shared" si="170"/>
        <v/>
      </c>
      <c r="BC961" s="55" t="str">
        <f t="shared" si="171"/>
        <v/>
      </c>
      <c r="BD961" s="55" t="str">
        <f t="shared" si="172"/>
        <v/>
      </c>
      <c r="BE961" s="55" t="str">
        <f t="shared" si="173"/>
        <v/>
      </c>
      <c r="BF961" s="55" t="str">
        <f t="shared" si="174"/>
        <v/>
      </c>
      <c r="BG961" s="55" t="str">
        <f t="shared" si="175"/>
        <v/>
      </c>
      <c r="BH961" s="55" t="str">
        <f t="shared" si="176"/>
        <v/>
      </c>
      <c r="BI961" s="55" t="str">
        <f t="shared" si="177"/>
        <v/>
      </c>
      <c r="BJ961" s="55" t="str">
        <f t="shared" si="178"/>
        <v/>
      </c>
      <c r="BK961" s="55" t="str">
        <f t="shared" si="179"/>
        <v/>
      </c>
    </row>
    <row r="962" spans="22:63">
      <c r="V962" s="55">
        <f t="shared" ca="1" si="168"/>
        <v>1</v>
      </c>
      <c r="W962" s="64"/>
      <c r="X962" s="65"/>
      <c r="Y962" s="65"/>
      <c r="Z962" s="65"/>
      <c r="AA962" s="64"/>
      <c r="AB962" s="65"/>
      <c r="AC962" s="64"/>
      <c r="AD962" s="65"/>
      <c r="AE962" s="64"/>
      <c r="AF962" s="65"/>
      <c r="AG962" s="65"/>
      <c r="AH962" s="66" t="str">
        <f t="shared" si="169"/>
        <v/>
      </c>
      <c r="AI962" s="64"/>
      <c r="AJ962" s="65"/>
      <c r="AK962" s="64"/>
      <c r="AL962" s="65"/>
      <c r="BB962" s="55" t="str">
        <f t="shared" si="170"/>
        <v/>
      </c>
      <c r="BC962" s="55" t="str">
        <f t="shared" si="171"/>
        <v/>
      </c>
      <c r="BD962" s="55" t="str">
        <f t="shared" si="172"/>
        <v/>
      </c>
      <c r="BE962" s="55" t="str">
        <f t="shared" si="173"/>
        <v/>
      </c>
      <c r="BF962" s="55" t="str">
        <f t="shared" si="174"/>
        <v/>
      </c>
      <c r="BG962" s="55" t="str">
        <f t="shared" si="175"/>
        <v/>
      </c>
      <c r="BH962" s="55" t="str">
        <f t="shared" si="176"/>
        <v/>
      </c>
      <c r="BI962" s="55" t="str">
        <f t="shared" si="177"/>
        <v/>
      </c>
      <c r="BJ962" s="55" t="str">
        <f t="shared" si="178"/>
        <v/>
      </c>
      <c r="BK962" s="55" t="str">
        <f t="shared" si="179"/>
        <v/>
      </c>
    </row>
    <row r="963" spans="22:63">
      <c r="V963" s="55">
        <f t="shared" ca="1" si="168"/>
        <v>1</v>
      </c>
      <c r="W963" s="64"/>
      <c r="X963" s="65"/>
      <c r="Y963" s="65"/>
      <c r="Z963" s="65"/>
      <c r="AA963" s="64"/>
      <c r="AB963" s="65"/>
      <c r="AC963" s="64"/>
      <c r="AD963" s="65"/>
      <c r="AE963" s="64"/>
      <c r="AF963" s="65"/>
      <c r="AG963" s="65"/>
      <c r="AH963" s="66" t="str">
        <f t="shared" si="169"/>
        <v/>
      </c>
      <c r="AI963" s="64"/>
      <c r="AJ963" s="65"/>
      <c r="AK963" s="64"/>
      <c r="AL963" s="65"/>
      <c r="BB963" s="55" t="str">
        <f t="shared" si="170"/>
        <v/>
      </c>
      <c r="BC963" s="55" t="str">
        <f t="shared" si="171"/>
        <v/>
      </c>
      <c r="BD963" s="55" t="str">
        <f t="shared" si="172"/>
        <v/>
      </c>
      <c r="BE963" s="55" t="str">
        <f t="shared" si="173"/>
        <v/>
      </c>
      <c r="BF963" s="55" t="str">
        <f t="shared" si="174"/>
        <v/>
      </c>
      <c r="BG963" s="55" t="str">
        <f t="shared" si="175"/>
        <v/>
      </c>
      <c r="BH963" s="55" t="str">
        <f t="shared" si="176"/>
        <v/>
      </c>
      <c r="BI963" s="55" t="str">
        <f t="shared" si="177"/>
        <v/>
      </c>
      <c r="BJ963" s="55" t="str">
        <f t="shared" si="178"/>
        <v/>
      </c>
      <c r="BK963" s="55" t="str">
        <f t="shared" si="179"/>
        <v/>
      </c>
    </row>
    <row r="964" spans="22:63">
      <c r="V964" s="55">
        <f t="shared" ca="1" si="168"/>
        <v>1</v>
      </c>
      <c r="W964" s="64"/>
      <c r="X964" s="65"/>
      <c r="Y964" s="65"/>
      <c r="Z964" s="65"/>
      <c r="AA964" s="64"/>
      <c r="AB964" s="65"/>
      <c r="AC964" s="64"/>
      <c r="AD964" s="65"/>
      <c r="AE964" s="64"/>
      <c r="AF964" s="65"/>
      <c r="AG964" s="65"/>
      <c r="AH964" s="66" t="str">
        <f t="shared" si="169"/>
        <v/>
      </c>
      <c r="AI964" s="64"/>
      <c r="AJ964" s="65"/>
      <c r="AK964" s="64"/>
      <c r="AL964" s="65"/>
      <c r="BB964" s="55" t="str">
        <f t="shared" si="170"/>
        <v/>
      </c>
      <c r="BC964" s="55" t="str">
        <f t="shared" si="171"/>
        <v/>
      </c>
      <c r="BD964" s="55" t="str">
        <f t="shared" si="172"/>
        <v/>
      </c>
      <c r="BE964" s="55" t="str">
        <f t="shared" si="173"/>
        <v/>
      </c>
      <c r="BF964" s="55" t="str">
        <f t="shared" si="174"/>
        <v/>
      </c>
      <c r="BG964" s="55" t="str">
        <f t="shared" si="175"/>
        <v/>
      </c>
      <c r="BH964" s="55" t="str">
        <f t="shared" si="176"/>
        <v/>
      </c>
      <c r="BI964" s="55" t="str">
        <f t="shared" si="177"/>
        <v/>
      </c>
      <c r="BJ964" s="55" t="str">
        <f t="shared" si="178"/>
        <v/>
      </c>
      <c r="BK964" s="55" t="str">
        <f t="shared" si="179"/>
        <v/>
      </c>
    </row>
    <row r="965" spans="22:63">
      <c r="V965" s="55">
        <f t="shared" ca="1" si="168"/>
        <v>1</v>
      </c>
      <c r="W965" s="64"/>
      <c r="X965" s="65"/>
      <c r="Y965" s="65"/>
      <c r="Z965" s="65"/>
      <c r="AA965" s="64"/>
      <c r="AB965" s="65"/>
      <c r="AC965" s="64"/>
      <c r="AD965" s="65"/>
      <c r="AE965" s="64"/>
      <c r="AF965" s="65"/>
      <c r="AG965" s="65"/>
      <c r="AH965" s="66" t="str">
        <f t="shared" si="169"/>
        <v/>
      </c>
      <c r="AI965" s="64"/>
      <c r="AJ965" s="65"/>
      <c r="AK965" s="64"/>
      <c r="AL965" s="65"/>
      <c r="BB965" s="55" t="str">
        <f t="shared" si="170"/>
        <v/>
      </c>
      <c r="BC965" s="55" t="str">
        <f t="shared" si="171"/>
        <v/>
      </c>
      <c r="BD965" s="55" t="str">
        <f t="shared" si="172"/>
        <v/>
      </c>
      <c r="BE965" s="55" t="str">
        <f t="shared" si="173"/>
        <v/>
      </c>
      <c r="BF965" s="55" t="str">
        <f t="shared" si="174"/>
        <v/>
      </c>
      <c r="BG965" s="55" t="str">
        <f t="shared" si="175"/>
        <v/>
      </c>
      <c r="BH965" s="55" t="str">
        <f t="shared" si="176"/>
        <v/>
      </c>
      <c r="BI965" s="55" t="str">
        <f t="shared" si="177"/>
        <v/>
      </c>
      <c r="BJ965" s="55" t="str">
        <f t="shared" si="178"/>
        <v/>
      </c>
      <c r="BK965" s="55" t="str">
        <f t="shared" si="179"/>
        <v/>
      </c>
    </row>
    <row r="966" spans="22:63">
      <c r="V966" s="55">
        <f t="shared" ca="1" si="168"/>
        <v>1</v>
      </c>
      <c r="W966" s="64"/>
      <c r="X966" s="65"/>
      <c r="Y966" s="65"/>
      <c r="Z966" s="65"/>
      <c r="AA966" s="64"/>
      <c r="AB966" s="65"/>
      <c r="AC966" s="64"/>
      <c r="AD966" s="65"/>
      <c r="AE966" s="64"/>
      <c r="AF966" s="65"/>
      <c r="AG966" s="65"/>
      <c r="AH966" s="66" t="str">
        <f t="shared" si="169"/>
        <v/>
      </c>
      <c r="AI966" s="64"/>
      <c r="AJ966" s="65"/>
      <c r="AK966" s="64"/>
      <c r="AL966" s="65"/>
      <c r="BB966" s="55" t="str">
        <f t="shared" si="170"/>
        <v/>
      </c>
      <c r="BC966" s="55" t="str">
        <f t="shared" si="171"/>
        <v/>
      </c>
      <c r="BD966" s="55" t="str">
        <f t="shared" si="172"/>
        <v/>
      </c>
      <c r="BE966" s="55" t="str">
        <f t="shared" si="173"/>
        <v/>
      </c>
      <c r="BF966" s="55" t="str">
        <f t="shared" si="174"/>
        <v/>
      </c>
      <c r="BG966" s="55" t="str">
        <f t="shared" si="175"/>
        <v/>
      </c>
      <c r="BH966" s="55" t="str">
        <f t="shared" si="176"/>
        <v/>
      </c>
      <c r="BI966" s="55" t="str">
        <f t="shared" si="177"/>
        <v/>
      </c>
      <c r="BJ966" s="55" t="str">
        <f t="shared" si="178"/>
        <v/>
      </c>
      <c r="BK966" s="55" t="str">
        <f t="shared" si="179"/>
        <v/>
      </c>
    </row>
    <row r="967" spans="22:63">
      <c r="V967" s="55">
        <f t="shared" ca="1" si="168"/>
        <v>1</v>
      </c>
      <c r="W967" s="64"/>
      <c r="X967" s="65"/>
      <c r="Y967" s="65"/>
      <c r="Z967" s="65"/>
      <c r="AA967" s="64"/>
      <c r="AB967" s="65"/>
      <c r="AC967" s="64"/>
      <c r="AD967" s="65"/>
      <c r="AE967" s="64"/>
      <c r="AF967" s="65"/>
      <c r="AG967" s="65"/>
      <c r="AH967" s="66" t="str">
        <f t="shared" si="169"/>
        <v/>
      </c>
      <c r="AI967" s="64"/>
      <c r="AJ967" s="65"/>
      <c r="AK967" s="64"/>
      <c r="AL967" s="65"/>
      <c r="BB967" s="55" t="str">
        <f t="shared" si="170"/>
        <v/>
      </c>
      <c r="BC967" s="55" t="str">
        <f t="shared" si="171"/>
        <v/>
      </c>
      <c r="BD967" s="55" t="str">
        <f t="shared" si="172"/>
        <v/>
      </c>
      <c r="BE967" s="55" t="str">
        <f t="shared" si="173"/>
        <v/>
      </c>
      <c r="BF967" s="55" t="str">
        <f t="shared" si="174"/>
        <v/>
      </c>
      <c r="BG967" s="55" t="str">
        <f t="shared" si="175"/>
        <v/>
      </c>
      <c r="BH967" s="55" t="str">
        <f t="shared" si="176"/>
        <v/>
      </c>
      <c r="BI967" s="55" t="str">
        <f t="shared" si="177"/>
        <v/>
      </c>
      <c r="BJ967" s="55" t="str">
        <f t="shared" si="178"/>
        <v/>
      </c>
      <c r="BK967" s="55" t="str">
        <f t="shared" si="179"/>
        <v/>
      </c>
    </row>
    <row r="968" spans="22:63">
      <c r="V968" s="55">
        <f t="shared" ca="1" si="168"/>
        <v>1</v>
      </c>
      <c r="W968" s="64"/>
      <c r="X968" s="65"/>
      <c r="Y968" s="65"/>
      <c r="Z968" s="65"/>
      <c r="AA968" s="64"/>
      <c r="AB968" s="65"/>
      <c r="AC968" s="64"/>
      <c r="AD968" s="65"/>
      <c r="AE968" s="64"/>
      <c r="AF968" s="65"/>
      <c r="AG968" s="65"/>
      <c r="AH968" s="66" t="str">
        <f t="shared" si="169"/>
        <v/>
      </c>
      <c r="AI968" s="64"/>
      <c r="AJ968" s="65"/>
      <c r="AK968" s="64"/>
      <c r="AL968" s="65"/>
      <c r="BB968" s="55" t="str">
        <f t="shared" si="170"/>
        <v/>
      </c>
      <c r="BC968" s="55" t="str">
        <f t="shared" si="171"/>
        <v/>
      </c>
      <c r="BD968" s="55" t="str">
        <f t="shared" si="172"/>
        <v/>
      </c>
      <c r="BE968" s="55" t="str">
        <f t="shared" si="173"/>
        <v/>
      </c>
      <c r="BF968" s="55" t="str">
        <f t="shared" si="174"/>
        <v/>
      </c>
      <c r="BG968" s="55" t="str">
        <f t="shared" si="175"/>
        <v/>
      </c>
      <c r="BH968" s="55" t="str">
        <f t="shared" si="176"/>
        <v/>
      </c>
      <c r="BI968" s="55" t="str">
        <f t="shared" si="177"/>
        <v/>
      </c>
      <c r="BJ968" s="55" t="str">
        <f t="shared" si="178"/>
        <v/>
      </c>
      <c r="BK968" s="55" t="str">
        <f t="shared" si="179"/>
        <v/>
      </c>
    </row>
    <row r="969" spans="22:63">
      <c r="V969" s="55">
        <f t="shared" ca="1" si="168"/>
        <v>1</v>
      </c>
      <c r="W969" s="64"/>
      <c r="X969" s="65"/>
      <c r="Y969" s="65"/>
      <c r="Z969" s="65"/>
      <c r="AA969" s="64"/>
      <c r="AB969" s="65"/>
      <c r="AC969" s="64"/>
      <c r="AD969" s="65"/>
      <c r="AE969" s="64"/>
      <c r="AF969" s="65"/>
      <c r="AG969" s="65"/>
      <c r="AH969" s="66" t="str">
        <f t="shared" si="169"/>
        <v/>
      </c>
      <c r="AI969" s="64"/>
      <c r="AJ969" s="65"/>
      <c r="AK969" s="64"/>
      <c r="AL969" s="65"/>
      <c r="BB969" s="55" t="str">
        <f t="shared" si="170"/>
        <v/>
      </c>
      <c r="BC969" s="55" t="str">
        <f t="shared" si="171"/>
        <v/>
      </c>
      <c r="BD969" s="55" t="str">
        <f t="shared" si="172"/>
        <v/>
      </c>
      <c r="BE969" s="55" t="str">
        <f t="shared" si="173"/>
        <v/>
      </c>
      <c r="BF969" s="55" t="str">
        <f t="shared" si="174"/>
        <v/>
      </c>
      <c r="BG969" s="55" t="str">
        <f t="shared" si="175"/>
        <v/>
      </c>
      <c r="BH969" s="55" t="str">
        <f t="shared" si="176"/>
        <v/>
      </c>
      <c r="BI969" s="55" t="str">
        <f t="shared" si="177"/>
        <v/>
      </c>
      <c r="BJ969" s="55" t="str">
        <f t="shared" si="178"/>
        <v/>
      </c>
      <c r="BK969" s="55" t="str">
        <f t="shared" si="179"/>
        <v/>
      </c>
    </row>
    <row r="970" spans="22:63">
      <c r="V970" s="55">
        <f t="shared" ca="1" si="168"/>
        <v>1</v>
      </c>
      <c r="W970" s="64"/>
      <c r="X970" s="65"/>
      <c r="Y970" s="65"/>
      <c r="Z970" s="65"/>
      <c r="AA970" s="64"/>
      <c r="AB970" s="65"/>
      <c r="AC970" s="64"/>
      <c r="AD970" s="65"/>
      <c r="AE970" s="64"/>
      <c r="AF970" s="65"/>
      <c r="AG970" s="65"/>
      <c r="AH970" s="66" t="str">
        <f t="shared" si="169"/>
        <v/>
      </c>
      <c r="AI970" s="64"/>
      <c r="AJ970" s="65"/>
      <c r="AK970" s="64"/>
      <c r="AL970" s="65"/>
      <c r="BB970" s="55" t="str">
        <f t="shared" si="170"/>
        <v/>
      </c>
      <c r="BC970" s="55" t="str">
        <f t="shared" si="171"/>
        <v/>
      </c>
      <c r="BD970" s="55" t="str">
        <f t="shared" si="172"/>
        <v/>
      </c>
      <c r="BE970" s="55" t="str">
        <f t="shared" si="173"/>
        <v/>
      </c>
      <c r="BF970" s="55" t="str">
        <f t="shared" si="174"/>
        <v/>
      </c>
      <c r="BG970" s="55" t="str">
        <f t="shared" si="175"/>
        <v/>
      </c>
      <c r="BH970" s="55" t="str">
        <f t="shared" si="176"/>
        <v/>
      </c>
      <c r="BI970" s="55" t="str">
        <f t="shared" si="177"/>
        <v/>
      </c>
      <c r="BJ970" s="55" t="str">
        <f t="shared" si="178"/>
        <v/>
      </c>
      <c r="BK970" s="55" t="str">
        <f t="shared" si="179"/>
        <v/>
      </c>
    </row>
    <row r="971" spans="22:63">
      <c r="V971" s="55">
        <f t="shared" ref="V971:V1010" ca="1" si="180">IF(ISBLANK($W971),IF(ISNUMBER(INDIRECT("S"&amp;ROW($V971)-1)),INDIRECT("S"&amp;ROW($V971)-1),1),$W971)</f>
        <v>1</v>
      </c>
      <c r="W971" s="64"/>
      <c r="X971" s="65"/>
      <c r="Y971" s="65"/>
      <c r="Z971" s="65"/>
      <c r="AA971" s="64"/>
      <c r="AB971" s="65"/>
      <c r="AC971" s="64"/>
      <c r="AD971" s="65"/>
      <c r="AE971" s="64"/>
      <c r="AF971" s="65"/>
      <c r="AG971" s="65"/>
      <c r="AH971" s="66" t="str">
        <f t="shared" ref="AH971:AH1010" si="181">IF(ISNUMBER($BI971), $BH971&amp;" - "&amp;$BJ971,"")</f>
        <v/>
      </c>
      <c r="AI971" s="64"/>
      <c r="AJ971" s="65"/>
      <c r="AK971" s="64"/>
      <c r="AL971" s="65"/>
      <c r="BB971" s="55" t="str">
        <f t="shared" ref="BB971:BB1010" si="182">IF(ISBLANK($Z971),"",VLOOKUP($Z971,$A$11:$B$1010,2,FALSE))</f>
        <v/>
      </c>
      <c r="BC971" s="55" t="str">
        <f t="shared" ref="BC971:BC1010" si="183">IF(ISBLANK($AA971),"",VLOOKUP($AA971,$D$11:$E$1010,2,FALSE))</f>
        <v/>
      </c>
      <c r="BD971" s="55" t="str">
        <f t="shared" ref="BD971:BD1010" si="184">IF(ISBLANK($AC971),"",VLOOKUP($AC971,$H$11:$I$1010,2,FALSE))</f>
        <v/>
      </c>
      <c r="BE971" s="55" t="str">
        <f t="shared" ref="BE971:BE1010" si="185">IF(ISBLANK($AF971),"",VLOOKUP($AF971,$L$11:$M$1010,2,FALSE))</f>
        <v/>
      </c>
      <c r="BF971" s="55" t="str">
        <f t="shared" ref="BF971:BF1010" si="186">IF(ISNUMBER($BC971),VLOOKUP($BC971,$E$11:$F$1010,2,FALSE),"")</f>
        <v/>
      </c>
      <c r="BG971" s="55" t="str">
        <f t="shared" ref="BG971:BG1010" si="187">IF(ISNUMBER($BD971),VLOOKUP($BD971,$I$11:$J$1010,2,FALSE),"")</f>
        <v/>
      </c>
      <c r="BH971" s="55" t="str">
        <f t="shared" ref="BH971:BH1010" si="188">IF(AND(ISNUMBER($BF971),ISNUMBER($BG971)),$BF971*$BG971,"")</f>
        <v/>
      </c>
      <c r="BI971" s="55" t="str">
        <f t="shared" ref="BI971:BI1010" si="189">IF(ISNUMBER($BH971),LOOKUP($BH971,lower_limit_level_risiko,id_level_risiko),"")</f>
        <v/>
      </c>
      <c r="BJ971" s="55" t="str">
        <f t="shared" ref="BJ971:BJ1010" si="190">IF(ISNUMBER($BH971),LOOKUP($BH971,lower_limit_level_risiko,description_level_risiko),"")</f>
        <v/>
      </c>
      <c r="BK971" s="55" t="str">
        <f t="shared" ref="BK971:BK1010" si="191">IF(ISBLANK($X971),"",VLOOKUP($X971,$T$11:$U$1010,2,FALSE))</f>
        <v/>
      </c>
    </row>
    <row r="972" spans="22:63">
      <c r="V972" s="55">
        <f t="shared" ca="1" si="180"/>
        <v>1</v>
      </c>
      <c r="W972" s="64"/>
      <c r="X972" s="65"/>
      <c r="Y972" s="65"/>
      <c r="Z972" s="65"/>
      <c r="AA972" s="64"/>
      <c r="AB972" s="65"/>
      <c r="AC972" s="64"/>
      <c r="AD972" s="65"/>
      <c r="AE972" s="64"/>
      <c r="AF972" s="65"/>
      <c r="AG972" s="65"/>
      <c r="AH972" s="66" t="str">
        <f t="shared" si="181"/>
        <v/>
      </c>
      <c r="AI972" s="64"/>
      <c r="AJ972" s="65"/>
      <c r="AK972" s="64"/>
      <c r="AL972" s="65"/>
      <c r="BB972" s="55" t="str">
        <f t="shared" si="182"/>
        <v/>
      </c>
      <c r="BC972" s="55" t="str">
        <f t="shared" si="183"/>
        <v/>
      </c>
      <c r="BD972" s="55" t="str">
        <f t="shared" si="184"/>
        <v/>
      </c>
      <c r="BE972" s="55" t="str">
        <f t="shared" si="185"/>
        <v/>
      </c>
      <c r="BF972" s="55" t="str">
        <f t="shared" si="186"/>
        <v/>
      </c>
      <c r="BG972" s="55" t="str">
        <f t="shared" si="187"/>
        <v/>
      </c>
      <c r="BH972" s="55" t="str">
        <f t="shared" si="188"/>
        <v/>
      </c>
      <c r="BI972" s="55" t="str">
        <f t="shared" si="189"/>
        <v/>
      </c>
      <c r="BJ972" s="55" t="str">
        <f t="shared" si="190"/>
        <v/>
      </c>
      <c r="BK972" s="55" t="str">
        <f t="shared" si="191"/>
        <v/>
      </c>
    </row>
    <row r="973" spans="22:63">
      <c r="V973" s="55">
        <f t="shared" ca="1" si="180"/>
        <v>1</v>
      </c>
      <c r="W973" s="64"/>
      <c r="X973" s="65"/>
      <c r="Y973" s="65"/>
      <c r="Z973" s="65"/>
      <c r="AA973" s="64"/>
      <c r="AB973" s="65"/>
      <c r="AC973" s="64"/>
      <c r="AD973" s="65"/>
      <c r="AE973" s="64"/>
      <c r="AF973" s="65"/>
      <c r="AG973" s="65"/>
      <c r="AH973" s="66" t="str">
        <f t="shared" si="181"/>
        <v/>
      </c>
      <c r="AI973" s="64"/>
      <c r="AJ973" s="65"/>
      <c r="AK973" s="64"/>
      <c r="AL973" s="65"/>
      <c r="BB973" s="55" t="str">
        <f t="shared" si="182"/>
        <v/>
      </c>
      <c r="BC973" s="55" t="str">
        <f t="shared" si="183"/>
        <v/>
      </c>
      <c r="BD973" s="55" t="str">
        <f t="shared" si="184"/>
        <v/>
      </c>
      <c r="BE973" s="55" t="str">
        <f t="shared" si="185"/>
        <v/>
      </c>
      <c r="BF973" s="55" t="str">
        <f t="shared" si="186"/>
        <v/>
      </c>
      <c r="BG973" s="55" t="str">
        <f t="shared" si="187"/>
        <v/>
      </c>
      <c r="BH973" s="55" t="str">
        <f t="shared" si="188"/>
        <v/>
      </c>
      <c r="BI973" s="55" t="str">
        <f t="shared" si="189"/>
        <v/>
      </c>
      <c r="BJ973" s="55" t="str">
        <f t="shared" si="190"/>
        <v/>
      </c>
      <c r="BK973" s="55" t="str">
        <f t="shared" si="191"/>
        <v/>
      </c>
    </row>
    <row r="974" spans="22:63">
      <c r="V974" s="55">
        <f t="shared" ca="1" si="180"/>
        <v>1</v>
      </c>
      <c r="W974" s="64"/>
      <c r="X974" s="65"/>
      <c r="Y974" s="65"/>
      <c r="Z974" s="65"/>
      <c r="AA974" s="64"/>
      <c r="AB974" s="65"/>
      <c r="AC974" s="64"/>
      <c r="AD974" s="65"/>
      <c r="AE974" s="64"/>
      <c r="AF974" s="65"/>
      <c r="AG974" s="65"/>
      <c r="AH974" s="66" t="str">
        <f t="shared" si="181"/>
        <v/>
      </c>
      <c r="AI974" s="64"/>
      <c r="AJ974" s="65"/>
      <c r="AK974" s="64"/>
      <c r="AL974" s="65"/>
      <c r="BB974" s="55" t="str">
        <f t="shared" si="182"/>
        <v/>
      </c>
      <c r="BC974" s="55" t="str">
        <f t="shared" si="183"/>
        <v/>
      </c>
      <c r="BD974" s="55" t="str">
        <f t="shared" si="184"/>
        <v/>
      </c>
      <c r="BE974" s="55" t="str">
        <f t="shared" si="185"/>
        <v/>
      </c>
      <c r="BF974" s="55" t="str">
        <f t="shared" si="186"/>
        <v/>
      </c>
      <c r="BG974" s="55" t="str">
        <f t="shared" si="187"/>
        <v/>
      </c>
      <c r="BH974" s="55" t="str">
        <f t="shared" si="188"/>
        <v/>
      </c>
      <c r="BI974" s="55" t="str">
        <f t="shared" si="189"/>
        <v/>
      </c>
      <c r="BJ974" s="55" t="str">
        <f t="shared" si="190"/>
        <v/>
      </c>
      <c r="BK974" s="55" t="str">
        <f t="shared" si="191"/>
        <v/>
      </c>
    </row>
    <row r="975" spans="22:63">
      <c r="V975" s="55">
        <f t="shared" ca="1" si="180"/>
        <v>1</v>
      </c>
      <c r="W975" s="64"/>
      <c r="X975" s="65"/>
      <c r="Y975" s="65"/>
      <c r="Z975" s="65"/>
      <c r="AA975" s="64"/>
      <c r="AB975" s="65"/>
      <c r="AC975" s="64"/>
      <c r="AD975" s="65"/>
      <c r="AE975" s="64"/>
      <c r="AF975" s="65"/>
      <c r="AG975" s="65"/>
      <c r="AH975" s="66" t="str">
        <f t="shared" si="181"/>
        <v/>
      </c>
      <c r="AI975" s="64"/>
      <c r="AJ975" s="65"/>
      <c r="AK975" s="64"/>
      <c r="AL975" s="65"/>
      <c r="BB975" s="55" t="str">
        <f t="shared" si="182"/>
        <v/>
      </c>
      <c r="BC975" s="55" t="str">
        <f t="shared" si="183"/>
        <v/>
      </c>
      <c r="BD975" s="55" t="str">
        <f t="shared" si="184"/>
        <v/>
      </c>
      <c r="BE975" s="55" t="str">
        <f t="shared" si="185"/>
        <v/>
      </c>
      <c r="BF975" s="55" t="str">
        <f t="shared" si="186"/>
        <v/>
      </c>
      <c r="BG975" s="55" t="str">
        <f t="shared" si="187"/>
        <v/>
      </c>
      <c r="BH975" s="55" t="str">
        <f t="shared" si="188"/>
        <v/>
      </c>
      <c r="BI975" s="55" t="str">
        <f t="shared" si="189"/>
        <v/>
      </c>
      <c r="BJ975" s="55" t="str">
        <f t="shared" si="190"/>
        <v/>
      </c>
      <c r="BK975" s="55" t="str">
        <f t="shared" si="191"/>
        <v/>
      </c>
    </row>
    <row r="976" spans="22:63">
      <c r="V976" s="55">
        <f t="shared" ca="1" si="180"/>
        <v>1</v>
      </c>
      <c r="W976" s="64"/>
      <c r="X976" s="65"/>
      <c r="Y976" s="65"/>
      <c r="Z976" s="65"/>
      <c r="AA976" s="64"/>
      <c r="AB976" s="65"/>
      <c r="AC976" s="64"/>
      <c r="AD976" s="65"/>
      <c r="AE976" s="64"/>
      <c r="AF976" s="65"/>
      <c r="AG976" s="65"/>
      <c r="AH976" s="66" t="str">
        <f t="shared" si="181"/>
        <v/>
      </c>
      <c r="AI976" s="64"/>
      <c r="AJ976" s="65"/>
      <c r="AK976" s="64"/>
      <c r="AL976" s="65"/>
      <c r="BB976" s="55" t="str">
        <f t="shared" si="182"/>
        <v/>
      </c>
      <c r="BC976" s="55" t="str">
        <f t="shared" si="183"/>
        <v/>
      </c>
      <c r="BD976" s="55" t="str">
        <f t="shared" si="184"/>
        <v/>
      </c>
      <c r="BE976" s="55" t="str">
        <f t="shared" si="185"/>
        <v/>
      </c>
      <c r="BF976" s="55" t="str">
        <f t="shared" si="186"/>
        <v/>
      </c>
      <c r="BG976" s="55" t="str">
        <f t="shared" si="187"/>
        <v/>
      </c>
      <c r="BH976" s="55" t="str">
        <f t="shared" si="188"/>
        <v/>
      </c>
      <c r="BI976" s="55" t="str">
        <f t="shared" si="189"/>
        <v/>
      </c>
      <c r="BJ976" s="55" t="str">
        <f t="shared" si="190"/>
        <v/>
      </c>
      <c r="BK976" s="55" t="str">
        <f t="shared" si="191"/>
        <v/>
      </c>
    </row>
    <row r="977" spans="22:63">
      <c r="V977" s="55">
        <f t="shared" ca="1" si="180"/>
        <v>1</v>
      </c>
      <c r="W977" s="64"/>
      <c r="X977" s="65"/>
      <c r="Y977" s="65"/>
      <c r="Z977" s="65"/>
      <c r="AA977" s="64"/>
      <c r="AB977" s="65"/>
      <c r="AC977" s="64"/>
      <c r="AD977" s="65"/>
      <c r="AE977" s="64"/>
      <c r="AF977" s="65"/>
      <c r="AG977" s="65"/>
      <c r="AH977" s="66" t="str">
        <f t="shared" si="181"/>
        <v/>
      </c>
      <c r="AI977" s="64"/>
      <c r="AJ977" s="65"/>
      <c r="AK977" s="64"/>
      <c r="AL977" s="65"/>
      <c r="BB977" s="55" t="str">
        <f t="shared" si="182"/>
        <v/>
      </c>
      <c r="BC977" s="55" t="str">
        <f t="shared" si="183"/>
        <v/>
      </c>
      <c r="BD977" s="55" t="str">
        <f t="shared" si="184"/>
        <v/>
      </c>
      <c r="BE977" s="55" t="str">
        <f t="shared" si="185"/>
        <v/>
      </c>
      <c r="BF977" s="55" t="str">
        <f t="shared" si="186"/>
        <v/>
      </c>
      <c r="BG977" s="55" t="str">
        <f t="shared" si="187"/>
        <v/>
      </c>
      <c r="BH977" s="55" t="str">
        <f t="shared" si="188"/>
        <v/>
      </c>
      <c r="BI977" s="55" t="str">
        <f t="shared" si="189"/>
        <v/>
      </c>
      <c r="BJ977" s="55" t="str">
        <f t="shared" si="190"/>
        <v/>
      </c>
      <c r="BK977" s="55" t="str">
        <f t="shared" si="191"/>
        <v/>
      </c>
    </row>
    <row r="978" spans="22:63">
      <c r="V978" s="55">
        <f t="shared" ca="1" si="180"/>
        <v>1</v>
      </c>
      <c r="W978" s="64"/>
      <c r="X978" s="65"/>
      <c r="Y978" s="65"/>
      <c r="Z978" s="65"/>
      <c r="AA978" s="64"/>
      <c r="AB978" s="65"/>
      <c r="AC978" s="64"/>
      <c r="AD978" s="65"/>
      <c r="AE978" s="64"/>
      <c r="AF978" s="65"/>
      <c r="AG978" s="65"/>
      <c r="AH978" s="66" t="str">
        <f t="shared" si="181"/>
        <v/>
      </c>
      <c r="AI978" s="64"/>
      <c r="AJ978" s="65"/>
      <c r="AK978" s="64"/>
      <c r="AL978" s="65"/>
      <c r="BB978" s="55" t="str">
        <f t="shared" si="182"/>
        <v/>
      </c>
      <c r="BC978" s="55" t="str">
        <f t="shared" si="183"/>
        <v/>
      </c>
      <c r="BD978" s="55" t="str">
        <f t="shared" si="184"/>
        <v/>
      </c>
      <c r="BE978" s="55" t="str">
        <f t="shared" si="185"/>
        <v/>
      </c>
      <c r="BF978" s="55" t="str">
        <f t="shared" si="186"/>
        <v/>
      </c>
      <c r="BG978" s="55" t="str">
        <f t="shared" si="187"/>
        <v/>
      </c>
      <c r="BH978" s="55" t="str">
        <f t="shared" si="188"/>
        <v/>
      </c>
      <c r="BI978" s="55" t="str">
        <f t="shared" si="189"/>
        <v/>
      </c>
      <c r="BJ978" s="55" t="str">
        <f t="shared" si="190"/>
        <v/>
      </c>
      <c r="BK978" s="55" t="str">
        <f t="shared" si="191"/>
        <v/>
      </c>
    </row>
    <row r="979" spans="22:63">
      <c r="V979" s="55">
        <f t="shared" ca="1" si="180"/>
        <v>1</v>
      </c>
      <c r="W979" s="64"/>
      <c r="X979" s="65"/>
      <c r="Y979" s="65"/>
      <c r="Z979" s="65"/>
      <c r="AA979" s="64"/>
      <c r="AB979" s="65"/>
      <c r="AC979" s="64"/>
      <c r="AD979" s="65"/>
      <c r="AE979" s="64"/>
      <c r="AF979" s="65"/>
      <c r="AG979" s="65"/>
      <c r="AH979" s="66" t="str">
        <f t="shared" si="181"/>
        <v/>
      </c>
      <c r="AI979" s="64"/>
      <c r="AJ979" s="65"/>
      <c r="AK979" s="64"/>
      <c r="AL979" s="65"/>
      <c r="BB979" s="55" t="str">
        <f t="shared" si="182"/>
        <v/>
      </c>
      <c r="BC979" s="55" t="str">
        <f t="shared" si="183"/>
        <v/>
      </c>
      <c r="BD979" s="55" t="str">
        <f t="shared" si="184"/>
        <v/>
      </c>
      <c r="BE979" s="55" t="str">
        <f t="shared" si="185"/>
        <v/>
      </c>
      <c r="BF979" s="55" t="str">
        <f t="shared" si="186"/>
        <v/>
      </c>
      <c r="BG979" s="55" t="str">
        <f t="shared" si="187"/>
        <v/>
      </c>
      <c r="BH979" s="55" t="str">
        <f t="shared" si="188"/>
        <v/>
      </c>
      <c r="BI979" s="55" t="str">
        <f t="shared" si="189"/>
        <v/>
      </c>
      <c r="BJ979" s="55" t="str">
        <f t="shared" si="190"/>
        <v/>
      </c>
      <c r="BK979" s="55" t="str">
        <f t="shared" si="191"/>
        <v/>
      </c>
    </row>
    <row r="980" spans="22:63">
      <c r="V980" s="55">
        <f t="shared" ca="1" si="180"/>
        <v>1</v>
      </c>
      <c r="W980" s="64"/>
      <c r="X980" s="65"/>
      <c r="Y980" s="65"/>
      <c r="Z980" s="65"/>
      <c r="AA980" s="64"/>
      <c r="AB980" s="65"/>
      <c r="AC980" s="64"/>
      <c r="AD980" s="65"/>
      <c r="AE980" s="64"/>
      <c r="AF980" s="65"/>
      <c r="AG980" s="65"/>
      <c r="AH980" s="66" t="str">
        <f t="shared" si="181"/>
        <v/>
      </c>
      <c r="AI980" s="64"/>
      <c r="AJ980" s="65"/>
      <c r="AK980" s="64"/>
      <c r="AL980" s="65"/>
      <c r="BB980" s="55" t="str">
        <f t="shared" si="182"/>
        <v/>
      </c>
      <c r="BC980" s="55" t="str">
        <f t="shared" si="183"/>
        <v/>
      </c>
      <c r="BD980" s="55" t="str">
        <f t="shared" si="184"/>
        <v/>
      </c>
      <c r="BE980" s="55" t="str">
        <f t="shared" si="185"/>
        <v/>
      </c>
      <c r="BF980" s="55" t="str">
        <f t="shared" si="186"/>
        <v/>
      </c>
      <c r="BG980" s="55" t="str">
        <f t="shared" si="187"/>
        <v/>
      </c>
      <c r="BH980" s="55" t="str">
        <f t="shared" si="188"/>
        <v/>
      </c>
      <c r="BI980" s="55" t="str">
        <f t="shared" si="189"/>
        <v/>
      </c>
      <c r="BJ980" s="55" t="str">
        <f t="shared" si="190"/>
        <v/>
      </c>
      <c r="BK980" s="55" t="str">
        <f t="shared" si="191"/>
        <v/>
      </c>
    </row>
    <row r="981" spans="22:63">
      <c r="V981" s="55">
        <f t="shared" ca="1" si="180"/>
        <v>1</v>
      </c>
      <c r="W981" s="64"/>
      <c r="X981" s="65"/>
      <c r="Y981" s="65"/>
      <c r="Z981" s="65"/>
      <c r="AA981" s="64"/>
      <c r="AB981" s="65"/>
      <c r="AC981" s="64"/>
      <c r="AD981" s="65"/>
      <c r="AE981" s="64"/>
      <c r="AF981" s="65"/>
      <c r="AG981" s="65"/>
      <c r="AH981" s="66" t="str">
        <f t="shared" si="181"/>
        <v/>
      </c>
      <c r="AI981" s="64"/>
      <c r="AJ981" s="65"/>
      <c r="AK981" s="64"/>
      <c r="AL981" s="65"/>
      <c r="BB981" s="55" t="str">
        <f t="shared" si="182"/>
        <v/>
      </c>
      <c r="BC981" s="55" t="str">
        <f t="shared" si="183"/>
        <v/>
      </c>
      <c r="BD981" s="55" t="str">
        <f t="shared" si="184"/>
        <v/>
      </c>
      <c r="BE981" s="55" t="str">
        <f t="shared" si="185"/>
        <v/>
      </c>
      <c r="BF981" s="55" t="str">
        <f t="shared" si="186"/>
        <v/>
      </c>
      <c r="BG981" s="55" t="str">
        <f t="shared" si="187"/>
        <v/>
      </c>
      <c r="BH981" s="55" t="str">
        <f t="shared" si="188"/>
        <v/>
      </c>
      <c r="BI981" s="55" t="str">
        <f t="shared" si="189"/>
        <v/>
      </c>
      <c r="BJ981" s="55" t="str">
        <f t="shared" si="190"/>
        <v/>
      </c>
      <c r="BK981" s="55" t="str">
        <f t="shared" si="191"/>
        <v/>
      </c>
    </row>
    <row r="982" spans="22:63">
      <c r="V982" s="55">
        <f t="shared" ca="1" si="180"/>
        <v>1</v>
      </c>
      <c r="W982" s="64"/>
      <c r="X982" s="65"/>
      <c r="Y982" s="65"/>
      <c r="Z982" s="65"/>
      <c r="AA982" s="64"/>
      <c r="AB982" s="65"/>
      <c r="AC982" s="64"/>
      <c r="AD982" s="65"/>
      <c r="AE982" s="64"/>
      <c r="AF982" s="65"/>
      <c r="AG982" s="65"/>
      <c r="AH982" s="66" t="str">
        <f t="shared" si="181"/>
        <v/>
      </c>
      <c r="AI982" s="64"/>
      <c r="AJ982" s="65"/>
      <c r="AK982" s="64"/>
      <c r="AL982" s="65"/>
      <c r="BB982" s="55" t="str">
        <f t="shared" si="182"/>
        <v/>
      </c>
      <c r="BC982" s="55" t="str">
        <f t="shared" si="183"/>
        <v/>
      </c>
      <c r="BD982" s="55" t="str">
        <f t="shared" si="184"/>
        <v/>
      </c>
      <c r="BE982" s="55" t="str">
        <f t="shared" si="185"/>
        <v/>
      </c>
      <c r="BF982" s="55" t="str">
        <f t="shared" si="186"/>
        <v/>
      </c>
      <c r="BG982" s="55" t="str">
        <f t="shared" si="187"/>
        <v/>
      </c>
      <c r="BH982" s="55" t="str">
        <f t="shared" si="188"/>
        <v/>
      </c>
      <c r="BI982" s="55" t="str">
        <f t="shared" si="189"/>
        <v/>
      </c>
      <c r="BJ982" s="55" t="str">
        <f t="shared" si="190"/>
        <v/>
      </c>
      <c r="BK982" s="55" t="str">
        <f t="shared" si="191"/>
        <v/>
      </c>
    </row>
    <row r="983" spans="22:63">
      <c r="V983" s="55">
        <f t="shared" ca="1" si="180"/>
        <v>1</v>
      </c>
      <c r="W983" s="64"/>
      <c r="X983" s="65"/>
      <c r="Y983" s="65"/>
      <c r="Z983" s="65"/>
      <c r="AA983" s="64"/>
      <c r="AB983" s="65"/>
      <c r="AC983" s="64"/>
      <c r="AD983" s="65"/>
      <c r="AE983" s="64"/>
      <c r="AF983" s="65"/>
      <c r="AG983" s="65"/>
      <c r="AH983" s="66" t="str">
        <f t="shared" si="181"/>
        <v/>
      </c>
      <c r="AI983" s="64"/>
      <c r="AJ983" s="65"/>
      <c r="AK983" s="64"/>
      <c r="AL983" s="65"/>
      <c r="BB983" s="55" t="str">
        <f t="shared" si="182"/>
        <v/>
      </c>
      <c r="BC983" s="55" t="str">
        <f t="shared" si="183"/>
        <v/>
      </c>
      <c r="BD983" s="55" t="str">
        <f t="shared" si="184"/>
        <v/>
      </c>
      <c r="BE983" s="55" t="str">
        <f t="shared" si="185"/>
        <v/>
      </c>
      <c r="BF983" s="55" t="str">
        <f t="shared" si="186"/>
        <v/>
      </c>
      <c r="BG983" s="55" t="str">
        <f t="shared" si="187"/>
        <v/>
      </c>
      <c r="BH983" s="55" t="str">
        <f t="shared" si="188"/>
        <v/>
      </c>
      <c r="BI983" s="55" t="str">
        <f t="shared" si="189"/>
        <v/>
      </c>
      <c r="BJ983" s="55" t="str">
        <f t="shared" si="190"/>
        <v/>
      </c>
      <c r="BK983" s="55" t="str">
        <f t="shared" si="191"/>
        <v/>
      </c>
    </row>
    <row r="984" spans="22:63">
      <c r="V984" s="55">
        <f t="shared" ca="1" si="180"/>
        <v>1</v>
      </c>
      <c r="W984" s="64"/>
      <c r="X984" s="65"/>
      <c r="Y984" s="65"/>
      <c r="Z984" s="65"/>
      <c r="AA984" s="64"/>
      <c r="AB984" s="65"/>
      <c r="AC984" s="64"/>
      <c r="AD984" s="65"/>
      <c r="AE984" s="64"/>
      <c r="AF984" s="65"/>
      <c r="AG984" s="65"/>
      <c r="AH984" s="66" t="str">
        <f t="shared" si="181"/>
        <v/>
      </c>
      <c r="AI984" s="64"/>
      <c r="AJ984" s="65"/>
      <c r="AK984" s="64"/>
      <c r="AL984" s="65"/>
      <c r="BB984" s="55" t="str">
        <f t="shared" si="182"/>
        <v/>
      </c>
      <c r="BC984" s="55" t="str">
        <f t="shared" si="183"/>
        <v/>
      </c>
      <c r="BD984" s="55" t="str">
        <f t="shared" si="184"/>
        <v/>
      </c>
      <c r="BE984" s="55" t="str">
        <f t="shared" si="185"/>
        <v/>
      </c>
      <c r="BF984" s="55" t="str">
        <f t="shared" si="186"/>
        <v/>
      </c>
      <c r="BG984" s="55" t="str">
        <f t="shared" si="187"/>
        <v/>
      </c>
      <c r="BH984" s="55" t="str">
        <f t="shared" si="188"/>
        <v/>
      </c>
      <c r="BI984" s="55" t="str">
        <f t="shared" si="189"/>
        <v/>
      </c>
      <c r="BJ984" s="55" t="str">
        <f t="shared" si="190"/>
        <v/>
      </c>
      <c r="BK984" s="55" t="str">
        <f t="shared" si="191"/>
        <v/>
      </c>
    </row>
    <row r="985" spans="22:63">
      <c r="V985" s="55">
        <f t="shared" ca="1" si="180"/>
        <v>1</v>
      </c>
      <c r="W985" s="64"/>
      <c r="X985" s="65"/>
      <c r="Y985" s="65"/>
      <c r="Z985" s="65"/>
      <c r="AA985" s="64"/>
      <c r="AB985" s="65"/>
      <c r="AC985" s="64"/>
      <c r="AD985" s="65"/>
      <c r="AE985" s="64"/>
      <c r="AF985" s="65"/>
      <c r="AG985" s="65"/>
      <c r="AH985" s="66" t="str">
        <f t="shared" si="181"/>
        <v/>
      </c>
      <c r="AI985" s="64"/>
      <c r="AJ985" s="65"/>
      <c r="AK985" s="64"/>
      <c r="AL985" s="65"/>
      <c r="BB985" s="55" t="str">
        <f t="shared" si="182"/>
        <v/>
      </c>
      <c r="BC985" s="55" t="str">
        <f t="shared" si="183"/>
        <v/>
      </c>
      <c r="BD985" s="55" t="str">
        <f t="shared" si="184"/>
        <v/>
      </c>
      <c r="BE985" s="55" t="str">
        <f t="shared" si="185"/>
        <v/>
      </c>
      <c r="BF985" s="55" t="str">
        <f t="shared" si="186"/>
        <v/>
      </c>
      <c r="BG985" s="55" t="str">
        <f t="shared" si="187"/>
        <v/>
      </c>
      <c r="BH985" s="55" t="str">
        <f t="shared" si="188"/>
        <v/>
      </c>
      <c r="BI985" s="55" t="str">
        <f t="shared" si="189"/>
        <v/>
      </c>
      <c r="BJ985" s="55" t="str">
        <f t="shared" si="190"/>
        <v/>
      </c>
      <c r="BK985" s="55" t="str">
        <f t="shared" si="191"/>
        <v/>
      </c>
    </row>
    <row r="986" spans="22:63">
      <c r="V986" s="55">
        <f t="shared" ca="1" si="180"/>
        <v>1</v>
      </c>
      <c r="W986" s="64"/>
      <c r="X986" s="65"/>
      <c r="Y986" s="65"/>
      <c r="Z986" s="65"/>
      <c r="AA986" s="64"/>
      <c r="AB986" s="65"/>
      <c r="AC986" s="64"/>
      <c r="AD986" s="65"/>
      <c r="AE986" s="64"/>
      <c r="AF986" s="65"/>
      <c r="AG986" s="65"/>
      <c r="AH986" s="66" t="str">
        <f t="shared" si="181"/>
        <v/>
      </c>
      <c r="AI986" s="64"/>
      <c r="AJ986" s="65"/>
      <c r="AK986" s="64"/>
      <c r="AL986" s="65"/>
      <c r="BB986" s="55" t="str">
        <f t="shared" si="182"/>
        <v/>
      </c>
      <c r="BC986" s="55" t="str">
        <f t="shared" si="183"/>
        <v/>
      </c>
      <c r="BD986" s="55" t="str">
        <f t="shared" si="184"/>
        <v/>
      </c>
      <c r="BE986" s="55" t="str">
        <f t="shared" si="185"/>
        <v/>
      </c>
      <c r="BF986" s="55" t="str">
        <f t="shared" si="186"/>
        <v/>
      </c>
      <c r="BG986" s="55" t="str">
        <f t="shared" si="187"/>
        <v/>
      </c>
      <c r="BH986" s="55" t="str">
        <f t="shared" si="188"/>
        <v/>
      </c>
      <c r="BI986" s="55" t="str">
        <f t="shared" si="189"/>
        <v/>
      </c>
      <c r="BJ986" s="55" t="str">
        <f t="shared" si="190"/>
        <v/>
      </c>
      <c r="BK986" s="55" t="str">
        <f t="shared" si="191"/>
        <v/>
      </c>
    </row>
    <row r="987" spans="22:63">
      <c r="V987" s="55">
        <f t="shared" ca="1" si="180"/>
        <v>1</v>
      </c>
      <c r="W987" s="64"/>
      <c r="X987" s="65"/>
      <c r="Y987" s="65"/>
      <c r="Z987" s="65"/>
      <c r="AA987" s="64"/>
      <c r="AB987" s="65"/>
      <c r="AC987" s="64"/>
      <c r="AD987" s="65"/>
      <c r="AE987" s="64"/>
      <c r="AF987" s="65"/>
      <c r="AG987" s="65"/>
      <c r="AH987" s="66" t="str">
        <f t="shared" si="181"/>
        <v/>
      </c>
      <c r="AI987" s="64"/>
      <c r="AJ987" s="65"/>
      <c r="AK987" s="64"/>
      <c r="AL987" s="65"/>
      <c r="BB987" s="55" t="str">
        <f t="shared" si="182"/>
        <v/>
      </c>
      <c r="BC987" s="55" t="str">
        <f t="shared" si="183"/>
        <v/>
      </c>
      <c r="BD987" s="55" t="str">
        <f t="shared" si="184"/>
        <v/>
      </c>
      <c r="BE987" s="55" t="str">
        <f t="shared" si="185"/>
        <v/>
      </c>
      <c r="BF987" s="55" t="str">
        <f t="shared" si="186"/>
        <v/>
      </c>
      <c r="BG987" s="55" t="str">
        <f t="shared" si="187"/>
        <v/>
      </c>
      <c r="BH987" s="55" t="str">
        <f t="shared" si="188"/>
        <v/>
      </c>
      <c r="BI987" s="55" t="str">
        <f t="shared" si="189"/>
        <v/>
      </c>
      <c r="BJ987" s="55" t="str">
        <f t="shared" si="190"/>
        <v/>
      </c>
      <c r="BK987" s="55" t="str">
        <f t="shared" si="191"/>
        <v/>
      </c>
    </row>
    <row r="988" spans="22:63">
      <c r="V988" s="55">
        <f t="shared" ca="1" si="180"/>
        <v>1</v>
      </c>
      <c r="W988" s="64"/>
      <c r="X988" s="65"/>
      <c r="Y988" s="65"/>
      <c r="Z988" s="65"/>
      <c r="AA988" s="64"/>
      <c r="AB988" s="65"/>
      <c r="AC988" s="64"/>
      <c r="AD988" s="65"/>
      <c r="AE988" s="64"/>
      <c r="AF988" s="65"/>
      <c r="AG988" s="65"/>
      <c r="AH988" s="66" t="str">
        <f t="shared" si="181"/>
        <v/>
      </c>
      <c r="AI988" s="64"/>
      <c r="AJ988" s="65"/>
      <c r="AK988" s="64"/>
      <c r="AL988" s="65"/>
      <c r="BB988" s="55" t="str">
        <f t="shared" si="182"/>
        <v/>
      </c>
      <c r="BC988" s="55" t="str">
        <f t="shared" si="183"/>
        <v/>
      </c>
      <c r="BD988" s="55" t="str">
        <f t="shared" si="184"/>
        <v/>
      </c>
      <c r="BE988" s="55" t="str">
        <f t="shared" si="185"/>
        <v/>
      </c>
      <c r="BF988" s="55" t="str">
        <f t="shared" si="186"/>
        <v/>
      </c>
      <c r="BG988" s="55" t="str">
        <f t="shared" si="187"/>
        <v/>
      </c>
      <c r="BH988" s="55" t="str">
        <f t="shared" si="188"/>
        <v/>
      </c>
      <c r="BI988" s="55" t="str">
        <f t="shared" si="189"/>
        <v/>
      </c>
      <c r="BJ988" s="55" t="str">
        <f t="shared" si="190"/>
        <v/>
      </c>
      <c r="BK988" s="55" t="str">
        <f t="shared" si="191"/>
        <v/>
      </c>
    </row>
    <row r="989" spans="22:63">
      <c r="V989" s="55">
        <f t="shared" ca="1" si="180"/>
        <v>1</v>
      </c>
      <c r="W989" s="64"/>
      <c r="X989" s="65"/>
      <c r="Y989" s="65"/>
      <c r="Z989" s="65"/>
      <c r="AA989" s="64"/>
      <c r="AB989" s="65"/>
      <c r="AC989" s="64"/>
      <c r="AD989" s="65"/>
      <c r="AE989" s="64"/>
      <c r="AF989" s="65"/>
      <c r="AG989" s="65"/>
      <c r="AH989" s="66" t="str">
        <f t="shared" si="181"/>
        <v/>
      </c>
      <c r="AI989" s="64"/>
      <c r="AJ989" s="65"/>
      <c r="AK989" s="64"/>
      <c r="AL989" s="65"/>
      <c r="BB989" s="55" t="str">
        <f t="shared" si="182"/>
        <v/>
      </c>
      <c r="BC989" s="55" t="str">
        <f t="shared" si="183"/>
        <v/>
      </c>
      <c r="BD989" s="55" t="str">
        <f t="shared" si="184"/>
        <v/>
      </c>
      <c r="BE989" s="55" t="str">
        <f t="shared" si="185"/>
        <v/>
      </c>
      <c r="BF989" s="55" t="str">
        <f t="shared" si="186"/>
        <v/>
      </c>
      <c r="BG989" s="55" t="str">
        <f t="shared" si="187"/>
        <v/>
      </c>
      <c r="BH989" s="55" t="str">
        <f t="shared" si="188"/>
        <v/>
      </c>
      <c r="BI989" s="55" t="str">
        <f t="shared" si="189"/>
        <v/>
      </c>
      <c r="BJ989" s="55" t="str">
        <f t="shared" si="190"/>
        <v/>
      </c>
      <c r="BK989" s="55" t="str">
        <f t="shared" si="191"/>
        <v/>
      </c>
    </row>
    <row r="990" spans="22:63">
      <c r="V990" s="55">
        <f t="shared" ca="1" si="180"/>
        <v>1</v>
      </c>
      <c r="W990" s="64"/>
      <c r="X990" s="65"/>
      <c r="Y990" s="65"/>
      <c r="Z990" s="65"/>
      <c r="AA990" s="64"/>
      <c r="AB990" s="65"/>
      <c r="AC990" s="64"/>
      <c r="AD990" s="65"/>
      <c r="AE990" s="64"/>
      <c r="AF990" s="65"/>
      <c r="AG990" s="65"/>
      <c r="AH990" s="66" t="str">
        <f t="shared" si="181"/>
        <v/>
      </c>
      <c r="AI990" s="64"/>
      <c r="AJ990" s="65"/>
      <c r="AK990" s="64"/>
      <c r="AL990" s="65"/>
      <c r="BB990" s="55" t="str">
        <f t="shared" si="182"/>
        <v/>
      </c>
      <c r="BC990" s="55" t="str">
        <f t="shared" si="183"/>
        <v/>
      </c>
      <c r="BD990" s="55" t="str">
        <f t="shared" si="184"/>
        <v/>
      </c>
      <c r="BE990" s="55" t="str">
        <f t="shared" si="185"/>
        <v/>
      </c>
      <c r="BF990" s="55" t="str">
        <f t="shared" si="186"/>
        <v/>
      </c>
      <c r="BG990" s="55" t="str">
        <f t="shared" si="187"/>
        <v/>
      </c>
      <c r="BH990" s="55" t="str">
        <f t="shared" si="188"/>
        <v/>
      </c>
      <c r="BI990" s="55" t="str">
        <f t="shared" si="189"/>
        <v/>
      </c>
      <c r="BJ990" s="55" t="str">
        <f t="shared" si="190"/>
        <v/>
      </c>
      <c r="BK990" s="55" t="str">
        <f t="shared" si="191"/>
        <v/>
      </c>
    </row>
    <row r="991" spans="22:63">
      <c r="V991" s="55">
        <f t="shared" ca="1" si="180"/>
        <v>1</v>
      </c>
      <c r="W991" s="64"/>
      <c r="X991" s="65"/>
      <c r="Y991" s="65"/>
      <c r="Z991" s="65"/>
      <c r="AA991" s="64"/>
      <c r="AB991" s="65"/>
      <c r="AC991" s="64"/>
      <c r="AD991" s="65"/>
      <c r="AE991" s="64"/>
      <c r="AF991" s="65"/>
      <c r="AG991" s="65"/>
      <c r="AH991" s="66" t="str">
        <f t="shared" si="181"/>
        <v/>
      </c>
      <c r="AI991" s="64"/>
      <c r="AJ991" s="65"/>
      <c r="AK991" s="64"/>
      <c r="AL991" s="65"/>
      <c r="BB991" s="55" t="str">
        <f t="shared" si="182"/>
        <v/>
      </c>
      <c r="BC991" s="55" t="str">
        <f t="shared" si="183"/>
        <v/>
      </c>
      <c r="BD991" s="55" t="str">
        <f t="shared" si="184"/>
        <v/>
      </c>
      <c r="BE991" s="55" t="str">
        <f t="shared" si="185"/>
        <v/>
      </c>
      <c r="BF991" s="55" t="str">
        <f t="shared" si="186"/>
        <v/>
      </c>
      <c r="BG991" s="55" t="str">
        <f t="shared" si="187"/>
        <v/>
      </c>
      <c r="BH991" s="55" t="str">
        <f t="shared" si="188"/>
        <v/>
      </c>
      <c r="BI991" s="55" t="str">
        <f t="shared" si="189"/>
        <v/>
      </c>
      <c r="BJ991" s="55" t="str">
        <f t="shared" si="190"/>
        <v/>
      </c>
      <c r="BK991" s="55" t="str">
        <f t="shared" si="191"/>
        <v/>
      </c>
    </row>
    <row r="992" spans="22:63">
      <c r="V992" s="55">
        <f t="shared" ca="1" si="180"/>
        <v>1</v>
      </c>
      <c r="W992" s="64"/>
      <c r="X992" s="65"/>
      <c r="Y992" s="65"/>
      <c r="Z992" s="65"/>
      <c r="AA992" s="64"/>
      <c r="AB992" s="65"/>
      <c r="AC992" s="64"/>
      <c r="AD992" s="65"/>
      <c r="AE992" s="64"/>
      <c r="AF992" s="65"/>
      <c r="AG992" s="65"/>
      <c r="AH992" s="66" t="str">
        <f t="shared" si="181"/>
        <v/>
      </c>
      <c r="AI992" s="64"/>
      <c r="AJ992" s="65"/>
      <c r="AK992" s="64"/>
      <c r="AL992" s="65"/>
      <c r="BB992" s="55" t="str">
        <f t="shared" si="182"/>
        <v/>
      </c>
      <c r="BC992" s="55" t="str">
        <f t="shared" si="183"/>
        <v/>
      </c>
      <c r="BD992" s="55" t="str">
        <f t="shared" si="184"/>
        <v/>
      </c>
      <c r="BE992" s="55" t="str">
        <f t="shared" si="185"/>
        <v/>
      </c>
      <c r="BF992" s="55" t="str">
        <f t="shared" si="186"/>
        <v/>
      </c>
      <c r="BG992" s="55" t="str">
        <f t="shared" si="187"/>
        <v/>
      </c>
      <c r="BH992" s="55" t="str">
        <f t="shared" si="188"/>
        <v/>
      </c>
      <c r="BI992" s="55" t="str">
        <f t="shared" si="189"/>
        <v/>
      </c>
      <c r="BJ992" s="55" t="str">
        <f t="shared" si="190"/>
        <v/>
      </c>
      <c r="BK992" s="55" t="str">
        <f t="shared" si="191"/>
        <v/>
      </c>
    </row>
    <row r="993" spans="22:63">
      <c r="V993" s="55">
        <f t="shared" ca="1" si="180"/>
        <v>1</v>
      </c>
      <c r="W993" s="64"/>
      <c r="X993" s="65"/>
      <c r="Y993" s="65"/>
      <c r="Z993" s="65"/>
      <c r="AA993" s="64"/>
      <c r="AB993" s="65"/>
      <c r="AC993" s="64"/>
      <c r="AD993" s="65"/>
      <c r="AE993" s="64"/>
      <c r="AF993" s="65"/>
      <c r="AG993" s="65"/>
      <c r="AH993" s="66" t="str">
        <f t="shared" si="181"/>
        <v/>
      </c>
      <c r="AI993" s="64"/>
      <c r="AJ993" s="65"/>
      <c r="AK993" s="64"/>
      <c r="AL993" s="65"/>
      <c r="BB993" s="55" t="str">
        <f t="shared" si="182"/>
        <v/>
      </c>
      <c r="BC993" s="55" t="str">
        <f t="shared" si="183"/>
        <v/>
      </c>
      <c r="BD993" s="55" t="str">
        <f t="shared" si="184"/>
        <v/>
      </c>
      <c r="BE993" s="55" t="str">
        <f t="shared" si="185"/>
        <v/>
      </c>
      <c r="BF993" s="55" t="str">
        <f t="shared" si="186"/>
        <v/>
      </c>
      <c r="BG993" s="55" t="str">
        <f t="shared" si="187"/>
        <v/>
      </c>
      <c r="BH993" s="55" t="str">
        <f t="shared" si="188"/>
        <v/>
      </c>
      <c r="BI993" s="55" t="str">
        <f t="shared" si="189"/>
        <v/>
      </c>
      <c r="BJ993" s="55" t="str">
        <f t="shared" si="190"/>
        <v/>
      </c>
      <c r="BK993" s="55" t="str">
        <f t="shared" si="191"/>
        <v/>
      </c>
    </row>
    <row r="994" spans="22:63">
      <c r="V994" s="55">
        <f t="shared" ca="1" si="180"/>
        <v>1</v>
      </c>
      <c r="W994" s="64"/>
      <c r="X994" s="65"/>
      <c r="Y994" s="65"/>
      <c r="Z994" s="65"/>
      <c r="AA994" s="64"/>
      <c r="AB994" s="65"/>
      <c r="AC994" s="64"/>
      <c r="AD994" s="65"/>
      <c r="AE994" s="64"/>
      <c r="AF994" s="65"/>
      <c r="AG994" s="65"/>
      <c r="AH994" s="66" t="str">
        <f t="shared" si="181"/>
        <v/>
      </c>
      <c r="AI994" s="64"/>
      <c r="AJ994" s="65"/>
      <c r="AK994" s="64"/>
      <c r="AL994" s="65"/>
      <c r="BB994" s="55" t="str">
        <f t="shared" si="182"/>
        <v/>
      </c>
      <c r="BC994" s="55" t="str">
        <f t="shared" si="183"/>
        <v/>
      </c>
      <c r="BD994" s="55" t="str">
        <f t="shared" si="184"/>
        <v/>
      </c>
      <c r="BE994" s="55" t="str">
        <f t="shared" si="185"/>
        <v/>
      </c>
      <c r="BF994" s="55" t="str">
        <f t="shared" si="186"/>
        <v/>
      </c>
      <c r="BG994" s="55" t="str">
        <f t="shared" si="187"/>
        <v/>
      </c>
      <c r="BH994" s="55" t="str">
        <f t="shared" si="188"/>
        <v/>
      </c>
      <c r="BI994" s="55" t="str">
        <f t="shared" si="189"/>
        <v/>
      </c>
      <c r="BJ994" s="55" t="str">
        <f t="shared" si="190"/>
        <v/>
      </c>
      <c r="BK994" s="55" t="str">
        <f t="shared" si="191"/>
        <v/>
      </c>
    </row>
    <row r="995" spans="22:63">
      <c r="V995" s="55">
        <f t="shared" ca="1" si="180"/>
        <v>1</v>
      </c>
      <c r="W995" s="64"/>
      <c r="X995" s="65"/>
      <c r="Y995" s="65"/>
      <c r="Z995" s="65"/>
      <c r="AA995" s="64"/>
      <c r="AB995" s="65"/>
      <c r="AC995" s="64"/>
      <c r="AD995" s="65"/>
      <c r="AE995" s="64"/>
      <c r="AF995" s="65"/>
      <c r="AG995" s="65"/>
      <c r="AH995" s="66" t="str">
        <f t="shared" si="181"/>
        <v/>
      </c>
      <c r="AI995" s="64"/>
      <c r="AJ995" s="65"/>
      <c r="AK995" s="64"/>
      <c r="AL995" s="65"/>
      <c r="BB995" s="55" t="str">
        <f t="shared" si="182"/>
        <v/>
      </c>
      <c r="BC995" s="55" t="str">
        <f t="shared" si="183"/>
        <v/>
      </c>
      <c r="BD995" s="55" t="str">
        <f t="shared" si="184"/>
        <v/>
      </c>
      <c r="BE995" s="55" t="str">
        <f t="shared" si="185"/>
        <v/>
      </c>
      <c r="BF995" s="55" t="str">
        <f t="shared" si="186"/>
        <v/>
      </c>
      <c r="BG995" s="55" t="str">
        <f t="shared" si="187"/>
        <v/>
      </c>
      <c r="BH995" s="55" t="str">
        <f t="shared" si="188"/>
        <v/>
      </c>
      <c r="BI995" s="55" t="str">
        <f t="shared" si="189"/>
        <v/>
      </c>
      <c r="BJ995" s="55" t="str">
        <f t="shared" si="190"/>
        <v/>
      </c>
      <c r="BK995" s="55" t="str">
        <f t="shared" si="191"/>
        <v/>
      </c>
    </row>
    <row r="996" spans="22:63">
      <c r="V996" s="55">
        <f t="shared" ca="1" si="180"/>
        <v>1</v>
      </c>
      <c r="W996" s="64"/>
      <c r="X996" s="65"/>
      <c r="Y996" s="65"/>
      <c r="Z996" s="65"/>
      <c r="AA996" s="64"/>
      <c r="AB996" s="65"/>
      <c r="AC996" s="64"/>
      <c r="AD996" s="65"/>
      <c r="AE996" s="64"/>
      <c r="AF996" s="65"/>
      <c r="AG996" s="65"/>
      <c r="AH996" s="66" t="str">
        <f t="shared" si="181"/>
        <v/>
      </c>
      <c r="AI996" s="64"/>
      <c r="AJ996" s="65"/>
      <c r="AK996" s="64"/>
      <c r="AL996" s="65"/>
      <c r="BB996" s="55" t="str">
        <f t="shared" si="182"/>
        <v/>
      </c>
      <c r="BC996" s="55" t="str">
        <f t="shared" si="183"/>
        <v/>
      </c>
      <c r="BD996" s="55" t="str">
        <f t="shared" si="184"/>
        <v/>
      </c>
      <c r="BE996" s="55" t="str">
        <f t="shared" si="185"/>
        <v/>
      </c>
      <c r="BF996" s="55" t="str">
        <f t="shared" si="186"/>
        <v/>
      </c>
      <c r="BG996" s="55" t="str">
        <f t="shared" si="187"/>
        <v/>
      </c>
      <c r="BH996" s="55" t="str">
        <f t="shared" si="188"/>
        <v/>
      </c>
      <c r="BI996" s="55" t="str">
        <f t="shared" si="189"/>
        <v/>
      </c>
      <c r="BJ996" s="55" t="str">
        <f t="shared" si="190"/>
        <v/>
      </c>
      <c r="BK996" s="55" t="str">
        <f t="shared" si="191"/>
        <v/>
      </c>
    </row>
    <row r="997" spans="22:63">
      <c r="V997" s="55">
        <f t="shared" ca="1" si="180"/>
        <v>1</v>
      </c>
      <c r="W997" s="64"/>
      <c r="X997" s="65"/>
      <c r="Y997" s="65"/>
      <c r="Z997" s="65"/>
      <c r="AA997" s="64"/>
      <c r="AB997" s="65"/>
      <c r="AC997" s="64"/>
      <c r="AD997" s="65"/>
      <c r="AE997" s="64"/>
      <c r="AF997" s="65"/>
      <c r="AG997" s="65"/>
      <c r="AH997" s="66" t="str">
        <f t="shared" si="181"/>
        <v/>
      </c>
      <c r="AI997" s="64"/>
      <c r="AJ997" s="65"/>
      <c r="AK997" s="64"/>
      <c r="AL997" s="65"/>
      <c r="BB997" s="55" t="str">
        <f t="shared" si="182"/>
        <v/>
      </c>
      <c r="BC997" s="55" t="str">
        <f t="shared" si="183"/>
        <v/>
      </c>
      <c r="BD997" s="55" t="str">
        <f t="shared" si="184"/>
        <v/>
      </c>
      <c r="BE997" s="55" t="str">
        <f t="shared" si="185"/>
        <v/>
      </c>
      <c r="BF997" s="55" t="str">
        <f t="shared" si="186"/>
        <v/>
      </c>
      <c r="BG997" s="55" t="str">
        <f t="shared" si="187"/>
        <v/>
      </c>
      <c r="BH997" s="55" t="str">
        <f t="shared" si="188"/>
        <v/>
      </c>
      <c r="BI997" s="55" t="str">
        <f t="shared" si="189"/>
        <v/>
      </c>
      <c r="BJ997" s="55" t="str">
        <f t="shared" si="190"/>
        <v/>
      </c>
      <c r="BK997" s="55" t="str">
        <f t="shared" si="191"/>
        <v/>
      </c>
    </row>
    <row r="998" spans="22:63">
      <c r="V998" s="55">
        <f t="shared" ca="1" si="180"/>
        <v>1</v>
      </c>
      <c r="W998" s="64"/>
      <c r="X998" s="65"/>
      <c r="Y998" s="65"/>
      <c r="Z998" s="65"/>
      <c r="AA998" s="64"/>
      <c r="AB998" s="65"/>
      <c r="AC998" s="64"/>
      <c r="AD998" s="65"/>
      <c r="AE998" s="64"/>
      <c r="AF998" s="65"/>
      <c r="AG998" s="65"/>
      <c r="AH998" s="66" t="str">
        <f t="shared" si="181"/>
        <v/>
      </c>
      <c r="AI998" s="64"/>
      <c r="AJ998" s="65"/>
      <c r="AK998" s="64"/>
      <c r="AL998" s="65"/>
      <c r="BB998" s="55" t="str">
        <f t="shared" si="182"/>
        <v/>
      </c>
      <c r="BC998" s="55" t="str">
        <f t="shared" si="183"/>
        <v/>
      </c>
      <c r="BD998" s="55" t="str">
        <f t="shared" si="184"/>
        <v/>
      </c>
      <c r="BE998" s="55" t="str">
        <f t="shared" si="185"/>
        <v/>
      </c>
      <c r="BF998" s="55" t="str">
        <f t="shared" si="186"/>
        <v/>
      </c>
      <c r="BG998" s="55" t="str">
        <f t="shared" si="187"/>
        <v/>
      </c>
      <c r="BH998" s="55" t="str">
        <f t="shared" si="188"/>
        <v/>
      </c>
      <c r="BI998" s="55" t="str">
        <f t="shared" si="189"/>
        <v/>
      </c>
      <c r="BJ998" s="55" t="str">
        <f t="shared" si="190"/>
        <v/>
      </c>
      <c r="BK998" s="55" t="str">
        <f t="shared" si="191"/>
        <v/>
      </c>
    </row>
    <row r="999" spans="22:63">
      <c r="V999" s="55">
        <f t="shared" ca="1" si="180"/>
        <v>1</v>
      </c>
      <c r="W999" s="64"/>
      <c r="X999" s="65"/>
      <c r="Y999" s="65"/>
      <c r="Z999" s="65"/>
      <c r="AA999" s="64"/>
      <c r="AB999" s="65"/>
      <c r="AC999" s="64"/>
      <c r="AD999" s="65"/>
      <c r="AE999" s="64"/>
      <c r="AF999" s="65"/>
      <c r="AG999" s="65"/>
      <c r="AH999" s="66" t="str">
        <f t="shared" si="181"/>
        <v/>
      </c>
      <c r="AI999" s="64"/>
      <c r="AJ999" s="65"/>
      <c r="AK999" s="64"/>
      <c r="AL999" s="65"/>
      <c r="BB999" s="55" t="str">
        <f t="shared" si="182"/>
        <v/>
      </c>
      <c r="BC999" s="55" t="str">
        <f t="shared" si="183"/>
        <v/>
      </c>
      <c r="BD999" s="55" t="str">
        <f t="shared" si="184"/>
        <v/>
      </c>
      <c r="BE999" s="55" t="str">
        <f t="shared" si="185"/>
        <v/>
      </c>
      <c r="BF999" s="55" t="str">
        <f t="shared" si="186"/>
        <v/>
      </c>
      <c r="BG999" s="55" t="str">
        <f t="shared" si="187"/>
        <v/>
      </c>
      <c r="BH999" s="55" t="str">
        <f t="shared" si="188"/>
        <v/>
      </c>
      <c r="BI999" s="55" t="str">
        <f t="shared" si="189"/>
        <v/>
      </c>
      <c r="BJ999" s="55" t="str">
        <f t="shared" si="190"/>
        <v/>
      </c>
      <c r="BK999" s="55" t="str">
        <f t="shared" si="191"/>
        <v/>
      </c>
    </row>
    <row r="1000" spans="22:63">
      <c r="V1000" s="55">
        <f t="shared" ca="1" si="180"/>
        <v>1</v>
      </c>
      <c r="W1000" s="64"/>
      <c r="X1000" s="65"/>
      <c r="Y1000" s="65"/>
      <c r="Z1000" s="65"/>
      <c r="AA1000" s="64"/>
      <c r="AB1000" s="65"/>
      <c r="AC1000" s="64"/>
      <c r="AD1000" s="65"/>
      <c r="AE1000" s="64"/>
      <c r="AF1000" s="65"/>
      <c r="AG1000" s="65"/>
      <c r="AH1000" s="66" t="str">
        <f t="shared" si="181"/>
        <v/>
      </c>
      <c r="AI1000" s="64"/>
      <c r="AJ1000" s="65"/>
      <c r="AK1000" s="64"/>
      <c r="AL1000" s="65"/>
      <c r="BB1000" s="55" t="str">
        <f t="shared" si="182"/>
        <v/>
      </c>
      <c r="BC1000" s="55" t="str">
        <f t="shared" si="183"/>
        <v/>
      </c>
      <c r="BD1000" s="55" t="str">
        <f t="shared" si="184"/>
        <v/>
      </c>
      <c r="BE1000" s="55" t="str">
        <f t="shared" si="185"/>
        <v/>
      </c>
      <c r="BF1000" s="55" t="str">
        <f t="shared" si="186"/>
        <v/>
      </c>
      <c r="BG1000" s="55" t="str">
        <f t="shared" si="187"/>
        <v/>
      </c>
      <c r="BH1000" s="55" t="str">
        <f t="shared" si="188"/>
        <v/>
      </c>
      <c r="BI1000" s="55" t="str">
        <f t="shared" si="189"/>
        <v/>
      </c>
      <c r="BJ1000" s="55" t="str">
        <f t="shared" si="190"/>
        <v/>
      </c>
      <c r="BK1000" s="55" t="str">
        <f t="shared" si="191"/>
        <v/>
      </c>
    </row>
    <row r="1001" spans="22:63">
      <c r="V1001" s="55">
        <f t="shared" ca="1" si="180"/>
        <v>1</v>
      </c>
      <c r="W1001" s="64"/>
      <c r="X1001" s="65"/>
      <c r="Y1001" s="65"/>
      <c r="Z1001" s="65"/>
      <c r="AA1001" s="64"/>
      <c r="AB1001" s="65"/>
      <c r="AC1001" s="64"/>
      <c r="AD1001" s="65"/>
      <c r="AE1001" s="64"/>
      <c r="AF1001" s="65"/>
      <c r="AG1001" s="65"/>
      <c r="AH1001" s="66" t="str">
        <f t="shared" si="181"/>
        <v/>
      </c>
      <c r="AI1001" s="64"/>
      <c r="AJ1001" s="65"/>
      <c r="AK1001" s="64"/>
      <c r="AL1001" s="65"/>
      <c r="BB1001" s="55" t="str">
        <f t="shared" si="182"/>
        <v/>
      </c>
      <c r="BC1001" s="55" t="str">
        <f t="shared" si="183"/>
        <v/>
      </c>
      <c r="BD1001" s="55" t="str">
        <f t="shared" si="184"/>
        <v/>
      </c>
      <c r="BE1001" s="55" t="str">
        <f t="shared" si="185"/>
        <v/>
      </c>
      <c r="BF1001" s="55" t="str">
        <f t="shared" si="186"/>
        <v/>
      </c>
      <c r="BG1001" s="55" t="str">
        <f t="shared" si="187"/>
        <v/>
      </c>
      <c r="BH1001" s="55" t="str">
        <f t="shared" si="188"/>
        <v/>
      </c>
      <c r="BI1001" s="55" t="str">
        <f t="shared" si="189"/>
        <v/>
      </c>
      <c r="BJ1001" s="55" t="str">
        <f t="shared" si="190"/>
        <v/>
      </c>
      <c r="BK1001" s="55" t="str">
        <f t="shared" si="191"/>
        <v/>
      </c>
    </row>
    <row r="1002" spans="22:63">
      <c r="V1002" s="55">
        <f t="shared" ca="1" si="180"/>
        <v>1</v>
      </c>
      <c r="W1002" s="64"/>
      <c r="X1002" s="65"/>
      <c r="Y1002" s="65"/>
      <c r="Z1002" s="65"/>
      <c r="AA1002" s="64"/>
      <c r="AB1002" s="65"/>
      <c r="AC1002" s="64"/>
      <c r="AD1002" s="65"/>
      <c r="AE1002" s="64"/>
      <c r="AF1002" s="65"/>
      <c r="AG1002" s="65"/>
      <c r="AH1002" s="66" t="str">
        <f t="shared" si="181"/>
        <v/>
      </c>
      <c r="AI1002" s="64"/>
      <c r="AJ1002" s="65"/>
      <c r="AK1002" s="64"/>
      <c r="AL1002" s="65"/>
      <c r="BB1002" s="55" t="str">
        <f t="shared" si="182"/>
        <v/>
      </c>
      <c r="BC1002" s="55" t="str">
        <f t="shared" si="183"/>
        <v/>
      </c>
      <c r="BD1002" s="55" t="str">
        <f t="shared" si="184"/>
        <v/>
      </c>
      <c r="BE1002" s="55" t="str">
        <f t="shared" si="185"/>
        <v/>
      </c>
      <c r="BF1002" s="55" t="str">
        <f t="shared" si="186"/>
        <v/>
      </c>
      <c r="BG1002" s="55" t="str">
        <f t="shared" si="187"/>
        <v/>
      </c>
      <c r="BH1002" s="55" t="str">
        <f t="shared" si="188"/>
        <v/>
      </c>
      <c r="BI1002" s="55" t="str">
        <f t="shared" si="189"/>
        <v/>
      </c>
      <c r="BJ1002" s="55" t="str">
        <f t="shared" si="190"/>
        <v/>
      </c>
      <c r="BK1002" s="55" t="str">
        <f t="shared" si="191"/>
        <v/>
      </c>
    </row>
    <row r="1003" spans="22:63">
      <c r="V1003" s="55">
        <f t="shared" ca="1" si="180"/>
        <v>1</v>
      </c>
      <c r="W1003" s="64"/>
      <c r="X1003" s="65"/>
      <c r="Y1003" s="65"/>
      <c r="Z1003" s="65"/>
      <c r="AA1003" s="64"/>
      <c r="AB1003" s="65"/>
      <c r="AC1003" s="64"/>
      <c r="AD1003" s="65"/>
      <c r="AE1003" s="64"/>
      <c r="AF1003" s="65"/>
      <c r="AG1003" s="65"/>
      <c r="AH1003" s="66" t="str">
        <f t="shared" si="181"/>
        <v/>
      </c>
      <c r="AI1003" s="64"/>
      <c r="AJ1003" s="65"/>
      <c r="AK1003" s="64"/>
      <c r="AL1003" s="65"/>
      <c r="BB1003" s="55" t="str">
        <f t="shared" si="182"/>
        <v/>
      </c>
      <c r="BC1003" s="55" t="str">
        <f t="shared" si="183"/>
        <v/>
      </c>
      <c r="BD1003" s="55" t="str">
        <f t="shared" si="184"/>
        <v/>
      </c>
      <c r="BE1003" s="55" t="str">
        <f t="shared" si="185"/>
        <v/>
      </c>
      <c r="BF1003" s="55" t="str">
        <f t="shared" si="186"/>
        <v/>
      </c>
      <c r="BG1003" s="55" t="str">
        <f t="shared" si="187"/>
        <v/>
      </c>
      <c r="BH1003" s="55" t="str">
        <f t="shared" si="188"/>
        <v/>
      </c>
      <c r="BI1003" s="55" t="str">
        <f t="shared" si="189"/>
        <v/>
      </c>
      <c r="BJ1003" s="55" t="str">
        <f t="shared" si="190"/>
        <v/>
      </c>
      <c r="BK1003" s="55" t="str">
        <f t="shared" si="191"/>
        <v/>
      </c>
    </row>
    <row r="1004" spans="22:63">
      <c r="V1004" s="55">
        <f t="shared" ca="1" si="180"/>
        <v>1</v>
      </c>
      <c r="W1004" s="64"/>
      <c r="X1004" s="65"/>
      <c r="Y1004" s="65"/>
      <c r="Z1004" s="65"/>
      <c r="AA1004" s="64"/>
      <c r="AB1004" s="65"/>
      <c r="AC1004" s="64"/>
      <c r="AD1004" s="65"/>
      <c r="AE1004" s="64"/>
      <c r="AF1004" s="65"/>
      <c r="AG1004" s="65"/>
      <c r="AH1004" s="66" t="str">
        <f t="shared" si="181"/>
        <v/>
      </c>
      <c r="AI1004" s="64"/>
      <c r="AJ1004" s="65"/>
      <c r="AK1004" s="64"/>
      <c r="AL1004" s="65"/>
      <c r="BB1004" s="55" t="str">
        <f t="shared" si="182"/>
        <v/>
      </c>
      <c r="BC1004" s="55" t="str">
        <f t="shared" si="183"/>
        <v/>
      </c>
      <c r="BD1004" s="55" t="str">
        <f t="shared" si="184"/>
        <v/>
      </c>
      <c r="BE1004" s="55" t="str">
        <f t="shared" si="185"/>
        <v/>
      </c>
      <c r="BF1004" s="55" t="str">
        <f t="shared" si="186"/>
        <v/>
      </c>
      <c r="BG1004" s="55" t="str">
        <f t="shared" si="187"/>
        <v/>
      </c>
      <c r="BH1004" s="55" t="str">
        <f t="shared" si="188"/>
        <v/>
      </c>
      <c r="BI1004" s="55" t="str">
        <f t="shared" si="189"/>
        <v/>
      </c>
      <c r="BJ1004" s="55" t="str">
        <f t="shared" si="190"/>
        <v/>
      </c>
      <c r="BK1004" s="55" t="str">
        <f t="shared" si="191"/>
        <v/>
      </c>
    </row>
    <row r="1005" spans="22:63">
      <c r="V1005" s="55">
        <f t="shared" ca="1" si="180"/>
        <v>1</v>
      </c>
      <c r="W1005" s="64"/>
      <c r="X1005" s="65"/>
      <c r="Y1005" s="65"/>
      <c r="Z1005" s="65"/>
      <c r="AA1005" s="64"/>
      <c r="AB1005" s="65"/>
      <c r="AC1005" s="64"/>
      <c r="AD1005" s="65"/>
      <c r="AE1005" s="64"/>
      <c r="AF1005" s="65"/>
      <c r="AG1005" s="65"/>
      <c r="AH1005" s="66" t="str">
        <f t="shared" si="181"/>
        <v/>
      </c>
      <c r="AI1005" s="64"/>
      <c r="AJ1005" s="65"/>
      <c r="AK1005" s="64"/>
      <c r="AL1005" s="65"/>
      <c r="BB1005" s="55" t="str">
        <f t="shared" si="182"/>
        <v/>
      </c>
      <c r="BC1005" s="55" t="str">
        <f t="shared" si="183"/>
        <v/>
      </c>
      <c r="BD1005" s="55" t="str">
        <f t="shared" si="184"/>
        <v/>
      </c>
      <c r="BE1005" s="55" t="str">
        <f t="shared" si="185"/>
        <v/>
      </c>
      <c r="BF1005" s="55" t="str">
        <f t="shared" si="186"/>
        <v/>
      </c>
      <c r="BG1005" s="55" t="str">
        <f t="shared" si="187"/>
        <v/>
      </c>
      <c r="BH1005" s="55" t="str">
        <f t="shared" si="188"/>
        <v/>
      </c>
      <c r="BI1005" s="55" t="str">
        <f t="shared" si="189"/>
        <v/>
      </c>
      <c r="BJ1005" s="55" t="str">
        <f t="shared" si="190"/>
        <v/>
      </c>
      <c r="BK1005" s="55" t="str">
        <f t="shared" si="191"/>
        <v/>
      </c>
    </row>
    <row r="1006" spans="22:63">
      <c r="V1006" s="55">
        <f t="shared" ca="1" si="180"/>
        <v>1</v>
      </c>
      <c r="W1006" s="64"/>
      <c r="X1006" s="65"/>
      <c r="Y1006" s="65"/>
      <c r="Z1006" s="65"/>
      <c r="AA1006" s="64"/>
      <c r="AB1006" s="65"/>
      <c r="AC1006" s="64"/>
      <c r="AD1006" s="65"/>
      <c r="AE1006" s="64"/>
      <c r="AF1006" s="65"/>
      <c r="AG1006" s="65"/>
      <c r="AH1006" s="66" t="str">
        <f t="shared" si="181"/>
        <v/>
      </c>
      <c r="AI1006" s="64"/>
      <c r="AJ1006" s="65"/>
      <c r="AK1006" s="64"/>
      <c r="AL1006" s="65"/>
      <c r="BB1006" s="55" t="str">
        <f t="shared" si="182"/>
        <v/>
      </c>
      <c r="BC1006" s="55" t="str">
        <f t="shared" si="183"/>
        <v/>
      </c>
      <c r="BD1006" s="55" t="str">
        <f t="shared" si="184"/>
        <v/>
      </c>
      <c r="BE1006" s="55" t="str">
        <f t="shared" si="185"/>
        <v/>
      </c>
      <c r="BF1006" s="55" t="str">
        <f t="shared" si="186"/>
        <v/>
      </c>
      <c r="BG1006" s="55" t="str">
        <f t="shared" si="187"/>
        <v/>
      </c>
      <c r="BH1006" s="55" t="str">
        <f t="shared" si="188"/>
        <v/>
      </c>
      <c r="BI1006" s="55" t="str">
        <f t="shared" si="189"/>
        <v/>
      </c>
      <c r="BJ1006" s="55" t="str">
        <f t="shared" si="190"/>
        <v/>
      </c>
      <c r="BK1006" s="55" t="str">
        <f t="shared" si="191"/>
        <v/>
      </c>
    </row>
    <row r="1007" spans="22:63">
      <c r="V1007" s="55">
        <f t="shared" ca="1" si="180"/>
        <v>1</v>
      </c>
      <c r="W1007" s="64"/>
      <c r="X1007" s="65"/>
      <c r="Y1007" s="65"/>
      <c r="Z1007" s="65"/>
      <c r="AA1007" s="64"/>
      <c r="AB1007" s="65"/>
      <c r="AC1007" s="64"/>
      <c r="AD1007" s="65"/>
      <c r="AE1007" s="64"/>
      <c r="AF1007" s="65"/>
      <c r="AG1007" s="65"/>
      <c r="AH1007" s="66" t="str">
        <f t="shared" si="181"/>
        <v/>
      </c>
      <c r="AI1007" s="64"/>
      <c r="AJ1007" s="65"/>
      <c r="AK1007" s="64"/>
      <c r="AL1007" s="65"/>
      <c r="BB1007" s="55" t="str">
        <f t="shared" si="182"/>
        <v/>
      </c>
      <c r="BC1007" s="55" t="str">
        <f t="shared" si="183"/>
        <v/>
      </c>
      <c r="BD1007" s="55" t="str">
        <f t="shared" si="184"/>
        <v/>
      </c>
      <c r="BE1007" s="55" t="str">
        <f t="shared" si="185"/>
        <v/>
      </c>
      <c r="BF1007" s="55" t="str">
        <f t="shared" si="186"/>
        <v/>
      </c>
      <c r="BG1007" s="55" t="str">
        <f t="shared" si="187"/>
        <v/>
      </c>
      <c r="BH1007" s="55" t="str">
        <f t="shared" si="188"/>
        <v/>
      </c>
      <c r="BI1007" s="55" t="str">
        <f t="shared" si="189"/>
        <v/>
      </c>
      <c r="BJ1007" s="55" t="str">
        <f t="shared" si="190"/>
        <v/>
      </c>
      <c r="BK1007" s="55" t="str">
        <f t="shared" si="191"/>
        <v/>
      </c>
    </row>
    <row r="1008" spans="22:63">
      <c r="V1008" s="55">
        <f t="shared" ca="1" si="180"/>
        <v>1</v>
      </c>
      <c r="W1008" s="64"/>
      <c r="X1008" s="65"/>
      <c r="Y1008" s="65"/>
      <c r="Z1008" s="65"/>
      <c r="AA1008" s="64"/>
      <c r="AB1008" s="65"/>
      <c r="AC1008" s="64"/>
      <c r="AD1008" s="65"/>
      <c r="AE1008" s="64"/>
      <c r="AF1008" s="65"/>
      <c r="AG1008" s="65"/>
      <c r="AH1008" s="66" t="str">
        <f t="shared" si="181"/>
        <v/>
      </c>
      <c r="AI1008" s="64"/>
      <c r="AJ1008" s="65"/>
      <c r="AK1008" s="64"/>
      <c r="AL1008" s="65"/>
      <c r="BB1008" s="55" t="str">
        <f t="shared" si="182"/>
        <v/>
      </c>
      <c r="BC1008" s="55" t="str">
        <f t="shared" si="183"/>
        <v/>
      </c>
      <c r="BD1008" s="55" t="str">
        <f t="shared" si="184"/>
        <v/>
      </c>
      <c r="BE1008" s="55" t="str">
        <f t="shared" si="185"/>
        <v/>
      </c>
      <c r="BF1008" s="55" t="str">
        <f t="shared" si="186"/>
        <v/>
      </c>
      <c r="BG1008" s="55" t="str">
        <f t="shared" si="187"/>
        <v/>
      </c>
      <c r="BH1008" s="55" t="str">
        <f t="shared" si="188"/>
        <v/>
      </c>
      <c r="BI1008" s="55" t="str">
        <f t="shared" si="189"/>
        <v/>
      </c>
      <c r="BJ1008" s="55" t="str">
        <f t="shared" si="190"/>
        <v/>
      </c>
      <c r="BK1008" s="55" t="str">
        <f t="shared" si="191"/>
        <v/>
      </c>
    </row>
    <row r="1009" spans="22:63">
      <c r="V1009" s="55">
        <f t="shared" ca="1" si="180"/>
        <v>1</v>
      </c>
      <c r="W1009" s="64"/>
      <c r="X1009" s="65"/>
      <c r="Y1009" s="65"/>
      <c r="Z1009" s="65"/>
      <c r="AA1009" s="64"/>
      <c r="AB1009" s="65"/>
      <c r="AC1009" s="64"/>
      <c r="AD1009" s="65"/>
      <c r="AE1009" s="64"/>
      <c r="AF1009" s="65"/>
      <c r="AG1009" s="65"/>
      <c r="AH1009" s="66" t="str">
        <f t="shared" si="181"/>
        <v/>
      </c>
      <c r="AI1009" s="64"/>
      <c r="AJ1009" s="65"/>
      <c r="AK1009" s="64"/>
      <c r="AL1009" s="65"/>
      <c r="BB1009" s="55" t="str">
        <f t="shared" si="182"/>
        <v/>
      </c>
      <c r="BC1009" s="55" t="str">
        <f t="shared" si="183"/>
        <v/>
      </c>
      <c r="BD1009" s="55" t="str">
        <f t="shared" si="184"/>
        <v/>
      </c>
      <c r="BE1009" s="55" t="str">
        <f t="shared" si="185"/>
        <v/>
      </c>
      <c r="BF1009" s="55" t="str">
        <f t="shared" si="186"/>
        <v/>
      </c>
      <c r="BG1009" s="55" t="str">
        <f t="shared" si="187"/>
        <v/>
      </c>
      <c r="BH1009" s="55" t="str">
        <f t="shared" si="188"/>
        <v/>
      </c>
      <c r="BI1009" s="55" t="str">
        <f t="shared" si="189"/>
        <v/>
      </c>
      <c r="BJ1009" s="55" t="str">
        <f t="shared" si="190"/>
        <v/>
      </c>
      <c r="BK1009" s="55" t="str">
        <f t="shared" si="191"/>
        <v/>
      </c>
    </row>
    <row r="1010" spans="22:63">
      <c r="V1010" s="55">
        <f t="shared" ca="1" si="180"/>
        <v>1</v>
      </c>
      <c r="W1010" s="64"/>
      <c r="X1010" s="65"/>
      <c r="Y1010" s="65"/>
      <c r="Z1010" s="65"/>
      <c r="AA1010" s="64"/>
      <c r="AB1010" s="65"/>
      <c r="AC1010" s="64"/>
      <c r="AD1010" s="65"/>
      <c r="AE1010" s="64"/>
      <c r="AF1010" s="65"/>
      <c r="AG1010" s="65"/>
      <c r="AH1010" s="66" t="str">
        <f t="shared" si="181"/>
        <v/>
      </c>
      <c r="AI1010" s="64"/>
      <c r="AJ1010" s="65"/>
      <c r="AK1010" s="64"/>
      <c r="AL1010" s="65"/>
      <c r="BB1010" s="55" t="str">
        <f t="shared" si="182"/>
        <v/>
      </c>
      <c r="BC1010" s="55" t="str">
        <f t="shared" si="183"/>
        <v/>
      </c>
      <c r="BD1010" s="55" t="str">
        <f t="shared" si="184"/>
        <v/>
      </c>
      <c r="BE1010" s="55" t="str">
        <f t="shared" si="185"/>
        <v/>
      </c>
      <c r="BF1010" s="55" t="str">
        <f t="shared" si="186"/>
        <v/>
      </c>
      <c r="BG1010" s="55" t="str">
        <f t="shared" si="187"/>
        <v/>
      </c>
      <c r="BH1010" s="55" t="str">
        <f t="shared" si="188"/>
        <v/>
      </c>
      <c r="BI1010" s="55" t="str">
        <f t="shared" si="189"/>
        <v/>
      </c>
      <c r="BJ1010" s="55" t="str">
        <f t="shared" si="190"/>
        <v/>
      </c>
      <c r="BK1010" s="55" t="str">
        <f t="shared" si="191"/>
        <v/>
      </c>
    </row>
  </sheetData>
  <sheetProtection password="DC56" sheet="1"/>
  <mergeCells count="19">
    <mergeCell ref="A9:B9"/>
    <mergeCell ref="D9:E9"/>
    <mergeCell ref="H9:I9"/>
    <mergeCell ref="L9:M9"/>
    <mergeCell ref="W9:W10"/>
    <mergeCell ref="W1:Y1"/>
    <mergeCell ref="X3:Y3"/>
    <mergeCell ref="X4:Y4"/>
    <mergeCell ref="X5:Y5"/>
    <mergeCell ref="W7:X7"/>
    <mergeCell ref="AH9:AH10"/>
    <mergeCell ref="AI9:AJ9"/>
    <mergeCell ref="AK9:AL9"/>
    <mergeCell ref="X9:X10"/>
    <mergeCell ref="Y9:Y10"/>
    <mergeCell ref="Z9:Z10"/>
    <mergeCell ref="AA9:AB9"/>
    <mergeCell ref="AC9:AD9"/>
    <mergeCell ref="AE9:AG9"/>
  </mergeCells>
  <conditionalFormatting sqref="W11:AL1010">
    <cfRule type="expression" dxfId="24" priority="1">
      <formula>ISODD($V11)</formula>
    </cfRule>
    <cfRule type="expression" dxfId="23" priority="2">
      <formula>ISEVEN($V11)</formula>
    </cfRule>
  </conditionalFormatting>
  <conditionalFormatting sqref="AB11">
    <cfRule type="expression" dxfId="22" priority="3">
      <formula>ISODD($V12)</formula>
    </cfRule>
    <cfRule type="expression" dxfId="21" priority="4">
      <formula>ISEVEN($V12)</formula>
    </cfRule>
  </conditionalFormatting>
  <dataValidations count="15">
    <dataValidation type="list" allowBlank="1" showInputMessage="1" showErrorMessage="1" errorTitle="Error" error="Silahkan lakukan pengisian sesuai dengan pilihan yang tersedia." promptTitle="Keterangan" prompt="Klasifikasi Risiko (Wajib diisi pada setiap item Identifikasi Risiko)" sqref="Z11:Z1010" xr:uid="{0E08C93F-3C1B-4BD3-8801-DCB7E7B1F420}">
      <formula1>OFFSET(  INDIRECT("$A$11:$A$1010"),  0,  0,  COUNTA($A$11:$A$1010),  1 )</formula1>
    </dataValidation>
    <dataValidation showInputMessage="1" showErrorMessage="1" errorTitle="Error" error="Isi 1x pada setiap 1 item Identifikasi Risiko" promptTitle="Keterangan" prompt="Sebutkan aktivitas yang berpotensi terjadinya gratifikasi/suap berdasarkan pada jenis kegiatan (Wajib diisi pada setiap item Identifikasi Risiko)" sqref="Y11:Y1010" xr:uid="{60ECF526-DBDD-4E9F-9BD0-5BE470B74B56}"/>
    <dataValidation type="list" allowBlank="1" showInputMessage="1" showErrorMessage="1" errorTitle="Error" error="Isi 1x pada setiap 1 item Identifikasi Risiko" promptTitle="Keterangan" prompt="Isi Unit Kerja yang memiliki risiko gratifikasi (Wajib diisi pada setiap item Identifikasi Risiko)" sqref="X11:X1010" xr:uid="{13616C0C-BEE9-479E-95EA-131B04822307}">
      <formula1>OFFSET(  INDIRECT("$T$11:$T$1010"),  0,  0,  COUNTA($T$11:$T$1010),  1 )</formula1>
    </dataValidation>
    <dataValidation type="whole" operator="greaterThanOrEqual" allowBlank="1" showInputMessage="1" showErrorMessage="1" errorTitle="Error" error="Nomor urut tidak valid!" promptTitle="Keterangan" prompt="Nomor urut item Identifikasi Risiko (Inputkan nomor secara berurutan)" sqref="W11:W1010" xr:uid="{0111BD70-C44F-4D69-9A57-3F343C5C6EE7}">
      <formula1>1</formula1>
    </dataValidation>
    <dataValidation allowBlank="1" showInputMessage="1" showErrorMessage="1" promptTitle="Keterangan" prompt="Keterangan Rencana Mitigasi/Perbaikan" sqref="AL11:AL1010" xr:uid="{CDD98291-4E15-49BB-AC7F-F4C2A96B9C99}"/>
    <dataValidation type="whole" operator="greaterThanOrEqual" allowBlank="1" showInputMessage="1" showErrorMessage="1" errorTitle="Error" error="Nomor urut tidak valid!" promptTitle="Keterangan" prompt="Nomor Urut Rencana Mitigasi/Perbaikan (Inputkan nomor secara berurutan)" sqref="AK11:AK1010" xr:uid="{D7968D85-9CCA-4E63-91D9-5706E74FBEE7}">
      <formula1>1</formula1>
    </dataValidation>
    <dataValidation allowBlank="1" showInputMessage="1" showErrorMessage="1" promptTitle="Keterangan" prompt="Keterangan Sistem Pengendalian dan Pengawasan yang ada" sqref="AJ11:AJ1010" xr:uid="{3A501FDC-DCF8-4B71-81D5-767803A9811B}"/>
    <dataValidation type="whole" operator="greaterThanOrEqual" allowBlank="1" showInputMessage="1" showErrorMessage="1" errorTitle="Error" error="Nomor urut tidak valid!" promptTitle="Keterangan" prompt="Nomor Urut Sistem Pengendalian dan Pengawasan yang ada (Inputkan nomor secara berurutan)" sqref="AI11:AI1010" xr:uid="{338F0A2D-409E-4A9A-90C6-2B89FB5CEE2E}">
      <formula1>1</formula1>
    </dataValidation>
    <dataValidation allowBlank="1" showInputMessage="1" showErrorMessage="1" promptTitle="Keterangan" prompt="Keterangan Faktor Penyebab" sqref="AG11:AG1010" xr:uid="{8FF455F6-06BC-4EFF-AA15-F1660C8E1497}"/>
    <dataValidation type="list" allowBlank="1" showInputMessage="1" showErrorMessage="1" errorTitle="Error" error="Silahkan lakukan pengisian sesuai dengan pilihan yang tersedia" promptTitle="Keterangan" prompt="Klasifikasi Faktor Penyebab" sqref="AF11:AF1010" xr:uid="{6A3E203E-6173-44D8-A2E5-35165D0EDF39}">
      <formula1>OFFSET(  INDIRECT("$L$11:$L$1010"),  0,  0,  COUNTA($L$11:$L$1010),  1 )</formula1>
    </dataValidation>
    <dataValidation type="whole" operator="greaterThanOrEqual" allowBlank="1" showInputMessage="1" showErrorMessage="1" errorTitle="Error" error="Nomor Urut tidak valid!" promptTitle="Keterangan" prompt="Nomor Urut Klasifikasi Penyebab (Inputkan nomor secara berurutan)" sqref="AE11:AE1010" xr:uid="{5130A5FC-F1CF-48B6-BD1C-89B87D5304F1}">
      <formula1>1</formula1>
    </dataValidation>
    <dataValidation allowBlank="1" showInputMessage="1" showErrorMessage="1" promptTitle="Keterangan" prompt="Catatan Dampak Risiko (Wajib diisi pada setiap item Identifikasi Risiko)" sqref="AD11:AD1010" xr:uid="{E11F10FA-70F1-4A02-A256-480107C804E9}"/>
    <dataValidation type="list" allowBlank="1" showInputMessage="1" showErrorMessage="1" errorTitle="Error" error="Silahkan lakukan pengisian sesuai dengan pilihan yang tersedia" promptTitle="Keterangan" prompt="Level Dampak Risiko (Wajib diisi pada setiap item Identifikasi Risiko)" sqref="AC11:AC1010" xr:uid="{B9996BBC-1EC4-4BF7-9D72-E2BA14BB6DC3}">
      <formula1>OFFSET(  INDIRECT("$H$11:$H$1010"),  0,  0,  COUNTA($H$11:$H$1010),  1 )</formula1>
    </dataValidation>
    <dataValidation allowBlank="1" showInputMessage="1" showErrorMessage="1" promptTitle="Keterangan" prompt="Catatan Probabilitas Risiko (Wajib diisi pada setiap item Identifikasi Risiko)" sqref="AB11:AB1010" xr:uid="{6C1123DA-0263-4139-A99E-3CD99812A571}"/>
    <dataValidation type="list" allowBlank="1" showInputMessage="1" showErrorMessage="1" errorTitle="Error" error="Silahkan lakukan pengisian sesuai dengan pilihan yang tersedia" promptTitle="Keterangan" prompt="Level Probabilitas Risiko (Wajib diisi pada setiap item Identifikasi Risiko)" sqref="AA11:AA1010" xr:uid="{AE3D111C-F353-4D23-8976-CD142E7CE15C}">
      <formula1>OFFSET(  INDIRECT("$D$11:$D$1010"),  0,  0,  COUNTA($D$11:$D$1010),  1 )</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383E-DB8F-4605-BF90-FA771B10ED97}">
  <sheetPr>
    <tabColor rgb="FFFFC000"/>
    <pageSetUpPr fitToPage="1"/>
  </sheetPr>
  <dimension ref="A1:AV55"/>
  <sheetViews>
    <sheetView showGridLines="0" zoomScale="117" zoomScaleNormal="100" workbookViewId="0">
      <selection activeCell="C7" sqref="C7"/>
    </sheetView>
  </sheetViews>
  <sheetFormatPr defaultColWidth="9.109375" defaultRowHeight="14.4" outlineLevelCol="1"/>
  <cols>
    <col min="1" max="1" width="13.5546875" style="88" customWidth="1"/>
    <col min="2" max="2" width="29.6640625" style="88" customWidth="1"/>
    <col min="3" max="3" width="42.6640625" style="88" customWidth="1"/>
    <col min="4" max="4" width="24.109375" style="88" customWidth="1"/>
    <col min="5" max="5" width="20.33203125" style="88" customWidth="1"/>
    <col min="6" max="6" width="29.6640625" style="88" customWidth="1"/>
    <col min="7" max="7" width="20.33203125" style="88" customWidth="1"/>
    <col min="8" max="8" width="29.6640625" style="88" customWidth="1"/>
    <col min="9" max="9" width="9.33203125" style="88" customWidth="1"/>
    <col min="10" max="10" width="20.33203125" style="88" customWidth="1"/>
    <col min="11" max="11" width="29.6640625" style="88" customWidth="1"/>
    <col min="12" max="12" width="20.33203125" style="88" customWidth="1"/>
    <col min="13" max="13" width="9.33203125" style="88" customWidth="1"/>
    <col min="14" max="14" width="43.33203125" style="88" customWidth="1"/>
    <col min="15" max="15" width="9.33203125" style="88" customWidth="1"/>
    <col min="16" max="16" width="44.5546875" style="88" customWidth="1"/>
    <col min="17" max="17" width="16.6640625" style="68" customWidth="1" outlineLevel="1"/>
    <col min="18" max="18" width="20.109375" style="68" customWidth="1" outlineLevel="1"/>
    <col min="19" max="19" width="19.33203125" style="68" customWidth="1" outlineLevel="1"/>
    <col min="20" max="20" width="19.88671875" style="68" customWidth="1" outlineLevel="1"/>
    <col min="21" max="24" width="16.6640625" style="68" customWidth="1" outlineLevel="1"/>
    <col min="25" max="25" width="30" style="68" customWidth="1" outlineLevel="1"/>
    <col min="26" max="26" width="9.109375" customWidth="1"/>
    <col min="27" max="27" width="13.6640625" customWidth="1"/>
    <col min="28" max="28" width="44" customWidth="1"/>
    <col min="29" max="29" width="8.6640625" customWidth="1"/>
    <col min="31" max="31" width="36.88671875" customWidth="1"/>
    <col min="32" max="32" width="3" customWidth="1"/>
    <col min="33" max="33" width="9.109375" customWidth="1"/>
    <col min="34" max="34" width="26.44140625" customWidth="1"/>
    <col min="35" max="35" width="2.6640625" customWidth="1"/>
    <col min="36" max="36" width="5.44140625" customWidth="1"/>
    <col min="37" max="37" width="9.109375" customWidth="1"/>
    <col min="38" max="38" width="23.33203125" customWidth="1"/>
    <col min="39" max="39" width="2.6640625" customWidth="1"/>
    <col min="40" max="40" width="5.44140625" customWidth="1"/>
    <col min="41" max="41" width="9.109375" customWidth="1"/>
    <col min="42" max="42" width="16.33203125" customWidth="1"/>
    <col min="43" max="43" width="2.6640625" customWidth="1"/>
    <col min="44" max="44" width="9.109375" customWidth="1"/>
    <col min="45" max="46" width="11.33203125" customWidth="1"/>
    <col min="47" max="47" width="24.33203125" customWidth="1"/>
    <col min="48" max="48" width="2.6640625" customWidth="1"/>
    <col min="1981" max="1981" width="2.5546875" customWidth="1"/>
    <col min="1986" max="1986" width="2.5546875" customWidth="1"/>
    <col min="2000" max="2000" width="2.5546875" customWidth="1"/>
  </cols>
  <sheetData>
    <row r="1" spans="1:48" ht="27.75" customHeight="1">
      <c r="A1" s="185" t="s">
        <v>454</v>
      </c>
      <c r="B1" s="185"/>
      <c r="C1" s="185"/>
      <c r="D1" s="185"/>
      <c r="E1" s="185"/>
      <c r="F1" s="185"/>
      <c r="G1" s="185"/>
      <c r="H1" s="185"/>
      <c r="I1" s="185"/>
      <c r="J1" s="185"/>
      <c r="K1" s="185"/>
      <c r="L1" s="185"/>
      <c r="M1" s="185"/>
      <c r="N1" s="185"/>
      <c r="O1" s="185"/>
      <c r="P1" s="185"/>
      <c r="Q1" s="185"/>
      <c r="R1" s="185"/>
      <c r="S1" s="185"/>
      <c r="T1" s="185"/>
      <c r="U1" s="185"/>
      <c r="V1" s="185"/>
      <c r="W1" s="185"/>
      <c r="X1" s="185"/>
      <c r="Y1" s="185"/>
      <c r="AH1" s="164"/>
      <c r="AI1" s="164"/>
      <c r="AJ1" s="164"/>
      <c r="AK1" s="164"/>
      <c r="AL1" s="164"/>
    </row>
    <row r="2" spans="1:48">
      <c r="A2" s="32" t="s">
        <v>199</v>
      </c>
      <c r="B2" s="54" t="s">
        <v>200</v>
      </c>
      <c r="C2"/>
      <c r="D2" s="32" t="s">
        <v>201</v>
      </c>
      <c r="E2" s="54">
        <v>3</v>
      </c>
      <c r="F2" s="32" t="s">
        <v>202</v>
      </c>
      <c r="G2" s="54">
        <v>2026</v>
      </c>
      <c r="H2"/>
      <c r="I2"/>
      <c r="J2"/>
      <c r="K2"/>
      <c r="L2"/>
      <c r="M2"/>
      <c r="N2"/>
      <c r="O2"/>
      <c r="P2"/>
      <c r="Q2"/>
      <c r="R2"/>
      <c r="S2"/>
      <c r="T2"/>
      <c r="U2"/>
      <c r="V2"/>
      <c r="W2"/>
      <c r="X2"/>
      <c r="Y2"/>
    </row>
    <row r="3" spans="1:48">
      <c r="A3" s="53" t="s">
        <v>455</v>
      </c>
      <c r="B3"/>
      <c r="C3"/>
      <c r="D3"/>
      <c r="E3"/>
      <c r="F3"/>
      <c r="G3"/>
      <c r="H3"/>
      <c r="I3"/>
      <c r="J3"/>
      <c r="K3"/>
      <c r="L3"/>
      <c r="M3"/>
      <c r="N3"/>
      <c r="O3"/>
      <c r="P3"/>
      <c r="Q3"/>
      <c r="R3"/>
      <c r="S3"/>
      <c r="T3"/>
      <c r="U3"/>
      <c r="V3"/>
      <c r="W3"/>
      <c r="X3"/>
      <c r="Y3"/>
    </row>
    <row r="4" spans="1:48" ht="30" customHeight="1">
      <c r="A4" s="184" t="s">
        <v>231</v>
      </c>
      <c r="B4" s="184" t="s">
        <v>456</v>
      </c>
      <c r="C4" s="184" t="s">
        <v>457</v>
      </c>
      <c r="D4" s="184" t="s">
        <v>204</v>
      </c>
      <c r="E4" s="184" t="s">
        <v>458</v>
      </c>
      <c r="F4" s="184"/>
      <c r="G4" s="184" t="s">
        <v>459</v>
      </c>
      <c r="H4" s="184"/>
      <c r="I4" s="184" t="s">
        <v>216</v>
      </c>
      <c r="J4" s="184"/>
      <c r="K4" s="184"/>
      <c r="L4" s="187" t="s">
        <v>208</v>
      </c>
      <c r="M4" s="184" t="s">
        <v>217</v>
      </c>
      <c r="N4" s="184"/>
      <c r="O4" s="184" t="s">
        <v>218</v>
      </c>
      <c r="P4" s="184"/>
      <c r="Q4" s="186" t="s">
        <v>247</v>
      </c>
      <c r="R4" s="186" t="s">
        <v>248</v>
      </c>
      <c r="S4" s="186" t="s">
        <v>249</v>
      </c>
      <c r="T4" s="186" t="s">
        <v>250</v>
      </c>
      <c r="U4" s="186" t="s">
        <v>251</v>
      </c>
      <c r="V4" s="186" t="s">
        <v>252</v>
      </c>
      <c r="W4" s="186" t="s">
        <v>253</v>
      </c>
      <c r="X4" s="186" t="s">
        <v>254</v>
      </c>
      <c r="Y4" s="186" t="s">
        <v>255</v>
      </c>
      <c r="AA4" s="150" t="s">
        <v>460</v>
      </c>
      <c r="AB4" s="151" t="s">
        <v>461</v>
      </c>
      <c r="AC4" s="90" t="s">
        <v>462</v>
      </c>
      <c r="AE4" s="152" t="s">
        <v>204</v>
      </c>
      <c r="AH4" s="152" t="s">
        <v>205</v>
      </c>
      <c r="AL4" s="152" t="s">
        <v>206</v>
      </c>
      <c r="AP4" s="152" t="s">
        <v>207</v>
      </c>
      <c r="AS4" s="152" t="s">
        <v>208</v>
      </c>
    </row>
    <row r="5" spans="1:48" ht="22.2" customHeight="1">
      <c r="A5" s="184"/>
      <c r="B5" s="184"/>
      <c r="C5" s="184"/>
      <c r="D5" s="184"/>
      <c r="E5" s="166" t="s">
        <v>205</v>
      </c>
      <c r="F5" s="166" t="s">
        <v>233</v>
      </c>
      <c r="G5" s="166" t="s">
        <v>206</v>
      </c>
      <c r="H5" s="166" t="s">
        <v>233</v>
      </c>
      <c r="I5" s="166" t="s">
        <v>231</v>
      </c>
      <c r="J5" s="166" t="s">
        <v>232</v>
      </c>
      <c r="K5" s="166" t="s">
        <v>233</v>
      </c>
      <c r="L5" s="187"/>
      <c r="M5" s="166" t="s">
        <v>231</v>
      </c>
      <c r="N5" s="166" t="s">
        <v>233</v>
      </c>
      <c r="O5" s="166" t="s">
        <v>231</v>
      </c>
      <c r="P5" s="166" t="s">
        <v>233</v>
      </c>
      <c r="Q5" s="186"/>
      <c r="R5" s="186"/>
      <c r="S5" s="186"/>
      <c r="T5" s="186"/>
      <c r="U5" s="186"/>
      <c r="V5" s="186"/>
      <c r="W5" s="186"/>
      <c r="X5" s="186"/>
      <c r="Y5" s="186"/>
      <c r="AA5" s="163">
        <v>2024</v>
      </c>
      <c r="AB5" s="163" t="s">
        <v>463</v>
      </c>
      <c r="AC5" s="163">
        <v>5</v>
      </c>
      <c r="AE5" s="32" t="s">
        <v>219</v>
      </c>
      <c r="AF5" s="32" t="s">
        <v>220</v>
      </c>
      <c r="AH5" s="32" t="s">
        <v>219</v>
      </c>
      <c r="AI5" s="32" t="s">
        <v>220</v>
      </c>
      <c r="AJ5" s="32" t="s">
        <v>51</v>
      </c>
      <c r="AL5" s="32" t="s">
        <v>219</v>
      </c>
      <c r="AM5" s="32" t="s">
        <v>220</v>
      </c>
      <c r="AN5" s="32" t="s">
        <v>51</v>
      </c>
      <c r="AP5" s="32" t="s">
        <v>219</v>
      </c>
      <c r="AQ5" s="32" t="s">
        <v>220</v>
      </c>
      <c r="AS5" s="32" t="s">
        <v>464</v>
      </c>
      <c r="AT5" s="32" t="s">
        <v>465</v>
      </c>
      <c r="AU5" s="32" t="s">
        <v>466</v>
      </c>
      <c r="AV5" s="32" t="s">
        <v>220</v>
      </c>
    </row>
    <row r="6" spans="1:48" ht="83.4" hidden="1" customHeight="1">
      <c r="A6" s="153">
        <f>ROW()-5</f>
        <v>1</v>
      </c>
      <c r="B6" s="86" t="s">
        <v>463</v>
      </c>
      <c r="C6" s="86" t="s">
        <v>467</v>
      </c>
      <c r="D6" s="86" t="s">
        <v>263</v>
      </c>
      <c r="E6" s="86" t="s">
        <v>264</v>
      </c>
      <c r="F6" s="86" t="s">
        <v>468</v>
      </c>
      <c r="G6" s="86" t="s">
        <v>272</v>
      </c>
      <c r="H6" s="86" t="s">
        <v>469</v>
      </c>
      <c r="I6" s="86"/>
      <c r="J6" s="86" t="s">
        <v>290</v>
      </c>
      <c r="K6" s="86" t="s">
        <v>470</v>
      </c>
      <c r="L6" s="154" t="str">
        <f>IF(ISNUMBER(X6),W6&amp;" - "&amp;Y6,"")</f>
        <v>2 - Level Risiko Sangat Rendah</v>
      </c>
      <c r="M6" s="86"/>
      <c r="N6" s="86" t="s">
        <v>471</v>
      </c>
      <c r="O6" s="86"/>
      <c r="P6" s="86" t="s">
        <v>468</v>
      </c>
      <c r="Q6" s="155">
        <f t="shared" ref="Q6:Q34" si="0">IF(ISBLANK(D6),"",VLOOKUP(D6,$AE$6:$AF$9,2,FALSE))</f>
        <v>7</v>
      </c>
      <c r="R6" s="155">
        <f t="shared" ref="R6:R14" si="1">IF(ISBLANK(E6),"",VLOOKUP(E6,$AH$6:$AI$9,2,FALSE))</f>
        <v>1</v>
      </c>
      <c r="S6" s="155">
        <f t="shared" ref="S6:S14" si="2">IF(ISBLANK(G6),"",VLOOKUP(G6,$AL$6:$AM$9,2,FALSE))</f>
        <v>2</v>
      </c>
      <c r="T6" s="155" t="e">
        <f t="shared" ref="T6:T34" si="3">IF(ISBLANK(J6),"",VLOOKUP(J6,$AP$6:$AQ$9,2,FALSE))</f>
        <v>#N/A</v>
      </c>
      <c r="U6" s="155">
        <f t="shared" ref="U6:U14" si="4">IF(ISNUMBER(R6),VLOOKUP(R6,$AI$6:$AJ$9,2,FALSE),"")</f>
        <v>1</v>
      </c>
      <c r="V6" s="155">
        <f t="shared" ref="V6:V14" si="5">IF(ISNUMBER(S6),VLOOKUP(S6,$AM$6:$AN$9,2,FALSE),"")</f>
        <v>2</v>
      </c>
      <c r="W6" s="155">
        <f>IF(AND(ISNUMBER(U6),ISNUMBER(V6)),U6*V6,"")</f>
        <v>2</v>
      </c>
      <c r="X6" s="155">
        <f t="shared" ref="X6:X34" si="6">IF(ISNUMBER(W6),LOOKUP(W6,$AS$6:$AS$9,$AV$6:$AV$9),"")</f>
        <v>2</v>
      </c>
      <c r="Y6" s="155" t="str">
        <f t="shared" ref="Y6:Y34" si="7">IF(ISNUMBER(W6),LOOKUP(W6,$AS$6:$AS$9,$AU$6:$AU$9),"")</f>
        <v>Level Risiko Sangat Rendah</v>
      </c>
      <c r="AA6" s="163">
        <v>2024</v>
      </c>
      <c r="AB6" s="163" t="s">
        <v>472</v>
      </c>
      <c r="AC6" s="163">
        <v>4</v>
      </c>
      <c r="AE6" t="s">
        <v>263</v>
      </c>
      <c r="AF6">
        <v>7</v>
      </c>
      <c r="AH6" t="s">
        <v>264</v>
      </c>
      <c r="AI6">
        <v>1</v>
      </c>
      <c r="AJ6">
        <v>1</v>
      </c>
      <c r="AL6" t="s">
        <v>265</v>
      </c>
      <c r="AM6">
        <v>1</v>
      </c>
      <c r="AN6">
        <v>1</v>
      </c>
      <c r="AP6" t="s">
        <v>266</v>
      </c>
      <c r="AQ6">
        <v>1</v>
      </c>
      <c r="AS6">
        <v>1</v>
      </c>
      <c r="AT6">
        <v>5</v>
      </c>
      <c r="AU6" t="s">
        <v>267</v>
      </c>
      <c r="AV6">
        <v>2</v>
      </c>
    </row>
    <row r="7" spans="1:48" ht="83.4" customHeight="1">
      <c r="A7" s="153">
        <v>1</v>
      </c>
      <c r="B7" s="86" t="s">
        <v>463</v>
      </c>
      <c r="C7" s="86" t="s">
        <v>473</v>
      </c>
      <c r="D7" s="86" t="s">
        <v>270</v>
      </c>
      <c r="E7" s="86" t="s">
        <v>271</v>
      </c>
      <c r="F7" s="86"/>
      <c r="G7" s="86" t="s">
        <v>277</v>
      </c>
      <c r="H7" s="86" t="s">
        <v>469</v>
      </c>
      <c r="I7" s="86"/>
      <c r="J7" s="86" t="s">
        <v>284</v>
      </c>
      <c r="K7" s="86" t="s">
        <v>474</v>
      </c>
      <c r="L7" s="154" t="str">
        <f>IF(ISNUMBER(X7),W7&amp;" - "&amp;Y7,"")</f>
        <v>6 - Level Risiko Rendah</v>
      </c>
      <c r="M7" s="86"/>
      <c r="N7" s="86" t="s">
        <v>475</v>
      </c>
      <c r="O7" s="86"/>
      <c r="P7" s="86"/>
      <c r="Q7" s="156">
        <f t="shared" si="0"/>
        <v>8</v>
      </c>
      <c r="R7" s="156">
        <f t="shared" si="1"/>
        <v>2</v>
      </c>
      <c r="S7" s="156">
        <f t="shared" si="2"/>
        <v>3</v>
      </c>
      <c r="T7" s="156" t="e">
        <f t="shared" si="3"/>
        <v>#N/A</v>
      </c>
      <c r="U7" s="156">
        <f t="shared" si="4"/>
        <v>2</v>
      </c>
      <c r="V7" s="156">
        <f t="shared" si="5"/>
        <v>3</v>
      </c>
      <c r="W7" s="156">
        <f>IF(AND(ISNUMBER(U7),ISNUMBER(V7)),U7*V7,"")</f>
        <v>6</v>
      </c>
      <c r="X7" s="156">
        <f t="shared" si="6"/>
        <v>3</v>
      </c>
      <c r="Y7" s="156" t="str">
        <f t="shared" si="7"/>
        <v>Level Risiko Rendah</v>
      </c>
      <c r="AA7" s="163"/>
      <c r="AB7" s="163"/>
      <c r="AC7" s="163"/>
    </row>
    <row r="8" spans="1:48" ht="61.5" customHeight="1">
      <c r="A8" s="153">
        <f>A7+1</f>
        <v>2</v>
      </c>
      <c r="B8" s="86"/>
      <c r="C8" s="97" t="s">
        <v>476</v>
      </c>
      <c r="D8" s="86" t="s">
        <v>270</v>
      </c>
      <c r="E8" s="86" t="s">
        <v>276</v>
      </c>
      <c r="F8" s="86"/>
      <c r="G8" s="86" t="s">
        <v>277</v>
      </c>
      <c r="H8" s="86" t="s">
        <v>469</v>
      </c>
      <c r="I8" s="86"/>
      <c r="J8" s="86" t="s">
        <v>284</v>
      </c>
      <c r="K8" s="86" t="s">
        <v>474</v>
      </c>
      <c r="L8" s="154" t="str">
        <f>IF(ISNUMBER(X8),W8&amp;" - "&amp;Y8,"")</f>
        <v>9 - Level Risiko Rendah</v>
      </c>
      <c r="M8" s="86"/>
      <c r="N8" s="86" t="s">
        <v>475</v>
      </c>
      <c r="O8" s="86"/>
      <c r="P8" s="86"/>
      <c r="Q8" s="156">
        <f t="shared" si="0"/>
        <v>8</v>
      </c>
      <c r="R8" s="156">
        <f t="shared" si="1"/>
        <v>3</v>
      </c>
      <c r="S8" s="156">
        <f t="shared" si="2"/>
        <v>3</v>
      </c>
      <c r="T8" s="156" t="e">
        <f t="shared" si="3"/>
        <v>#N/A</v>
      </c>
      <c r="U8" s="156">
        <f t="shared" si="4"/>
        <v>3</v>
      </c>
      <c r="V8" s="156">
        <f t="shared" si="5"/>
        <v>3</v>
      </c>
      <c r="W8" s="156">
        <f t="shared" ref="W8:W11" si="8">IF(AND(ISNUMBER(U8),ISNUMBER(V8)),U8*V8,"")</f>
        <v>9</v>
      </c>
      <c r="X8" s="156">
        <f t="shared" si="6"/>
        <v>3</v>
      </c>
      <c r="Y8" s="156" t="str">
        <f t="shared" si="7"/>
        <v>Level Risiko Rendah</v>
      </c>
      <c r="AA8" s="163">
        <v>2024</v>
      </c>
      <c r="AB8" s="163" t="s">
        <v>477</v>
      </c>
      <c r="AC8" s="163">
        <v>3</v>
      </c>
      <c r="AE8" t="s">
        <v>270</v>
      </c>
      <c r="AF8">
        <v>8</v>
      </c>
      <c r="AH8" t="s">
        <v>271</v>
      </c>
      <c r="AI8">
        <v>2</v>
      </c>
      <c r="AJ8">
        <v>2</v>
      </c>
      <c r="AL8" t="s">
        <v>272</v>
      </c>
      <c r="AM8">
        <v>2</v>
      </c>
      <c r="AN8">
        <v>2</v>
      </c>
      <c r="AP8" t="s">
        <v>273</v>
      </c>
      <c r="AQ8">
        <v>2</v>
      </c>
      <c r="AS8">
        <v>6</v>
      </c>
      <c r="AT8">
        <v>11</v>
      </c>
      <c r="AU8" t="s">
        <v>279</v>
      </c>
      <c r="AV8">
        <v>3</v>
      </c>
    </row>
    <row r="9" spans="1:48" ht="71.25" customHeight="1">
      <c r="A9" s="153">
        <f t="shared" ref="A9:A19" si="9">A8+1</f>
        <v>3</v>
      </c>
      <c r="B9" s="86"/>
      <c r="C9" s="86" t="s">
        <v>478</v>
      </c>
      <c r="D9" s="86" t="s">
        <v>270</v>
      </c>
      <c r="E9" s="86" t="s">
        <v>271</v>
      </c>
      <c r="F9" s="86"/>
      <c r="G9" s="86" t="s">
        <v>265</v>
      </c>
      <c r="H9" s="86" t="s">
        <v>469</v>
      </c>
      <c r="I9" s="86"/>
      <c r="J9" s="86" t="s">
        <v>284</v>
      </c>
      <c r="K9" s="86" t="s">
        <v>474</v>
      </c>
      <c r="L9" s="154" t="str">
        <f t="shared" ref="L9:L11" si="10">IF(ISNUMBER(X9),W9&amp;" - "&amp;Y9,"")</f>
        <v>2 - Level Risiko Sangat Rendah</v>
      </c>
      <c r="M9" s="86"/>
      <c r="N9" s="86" t="s">
        <v>475</v>
      </c>
      <c r="O9" s="86"/>
      <c r="P9" s="86"/>
      <c r="Q9" s="155">
        <f t="shared" si="0"/>
        <v>8</v>
      </c>
      <c r="R9" s="155">
        <f t="shared" si="1"/>
        <v>2</v>
      </c>
      <c r="S9" s="155">
        <f t="shared" si="2"/>
        <v>1</v>
      </c>
      <c r="T9" s="155" t="e">
        <f t="shared" si="3"/>
        <v>#N/A</v>
      </c>
      <c r="U9" s="155">
        <f t="shared" si="4"/>
        <v>2</v>
      </c>
      <c r="V9" s="155">
        <f t="shared" si="5"/>
        <v>1</v>
      </c>
      <c r="W9" s="155">
        <f t="shared" si="8"/>
        <v>2</v>
      </c>
      <c r="X9" s="155">
        <f t="shared" si="6"/>
        <v>2</v>
      </c>
      <c r="Y9" s="155" t="str">
        <f t="shared" si="7"/>
        <v>Level Risiko Sangat Rendah</v>
      </c>
      <c r="AA9" s="163">
        <v>2024</v>
      </c>
      <c r="AB9" s="163" t="s">
        <v>479</v>
      </c>
      <c r="AC9" s="163">
        <v>2</v>
      </c>
      <c r="AE9" t="s">
        <v>275</v>
      </c>
      <c r="AF9">
        <v>9</v>
      </c>
      <c r="AH9" t="s">
        <v>276</v>
      </c>
      <c r="AI9">
        <v>3</v>
      </c>
      <c r="AJ9">
        <v>3</v>
      </c>
      <c r="AL9" t="s">
        <v>277</v>
      </c>
      <c r="AM9">
        <v>3</v>
      </c>
      <c r="AN9">
        <v>3</v>
      </c>
      <c r="AP9" t="s">
        <v>278</v>
      </c>
      <c r="AQ9">
        <v>3</v>
      </c>
      <c r="AS9">
        <v>12</v>
      </c>
      <c r="AT9">
        <v>15</v>
      </c>
      <c r="AU9" t="s">
        <v>285</v>
      </c>
      <c r="AV9">
        <v>4</v>
      </c>
    </row>
    <row r="10" spans="1:48" ht="115.2">
      <c r="A10" s="153">
        <f t="shared" si="9"/>
        <v>4</v>
      </c>
      <c r="B10" s="86" t="s">
        <v>480</v>
      </c>
      <c r="C10" s="86" t="s">
        <v>481</v>
      </c>
      <c r="D10" s="86" t="s">
        <v>263</v>
      </c>
      <c r="E10" s="86" t="s">
        <v>264</v>
      </c>
      <c r="F10" s="86"/>
      <c r="G10" s="86" t="s">
        <v>272</v>
      </c>
      <c r="H10" s="86" t="s">
        <v>469</v>
      </c>
      <c r="I10" s="86"/>
      <c r="J10" s="86" t="s">
        <v>290</v>
      </c>
      <c r="K10" s="86" t="s">
        <v>482</v>
      </c>
      <c r="L10" s="154" t="str">
        <f>IF(ISNUMBER(X10),W10&amp;" - "&amp;Y10,"")</f>
        <v>2 - Level Risiko Sangat Rendah</v>
      </c>
      <c r="M10" s="86"/>
      <c r="N10" s="86" t="s">
        <v>483</v>
      </c>
      <c r="O10" s="86"/>
      <c r="P10" s="86"/>
      <c r="Q10" s="155">
        <f t="shared" si="0"/>
        <v>7</v>
      </c>
      <c r="R10" s="155">
        <f t="shared" si="1"/>
        <v>1</v>
      </c>
      <c r="S10" s="155">
        <f t="shared" si="2"/>
        <v>2</v>
      </c>
      <c r="T10" s="155" t="e">
        <f t="shared" si="3"/>
        <v>#N/A</v>
      </c>
      <c r="U10" s="155">
        <f t="shared" si="4"/>
        <v>1</v>
      </c>
      <c r="V10" s="155">
        <f t="shared" si="5"/>
        <v>2</v>
      </c>
      <c r="W10" s="155">
        <f t="shared" si="8"/>
        <v>2</v>
      </c>
      <c r="X10" s="155">
        <f t="shared" si="6"/>
        <v>2</v>
      </c>
      <c r="Y10" s="155" t="str">
        <f t="shared" si="7"/>
        <v>Level Risiko Sangat Rendah</v>
      </c>
      <c r="AA10" s="163">
        <v>2024</v>
      </c>
      <c r="AB10" s="163" t="s">
        <v>484</v>
      </c>
      <c r="AC10" s="163">
        <v>1</v>
      </c>
      <c r="AE10" t="s">
        <v>281</v>
      </c>
      <c r="AF10">
        <v>10</v>
      </c>
      <c r="AH10" t="s">
        <v>282</v>
      </c>
      <c r="AI10">
        <v>4</v>
      </c>
      <c r="AJ10">
        <v>4</v>
      </c>
      <c r="AL10" t="s">
        <v>283</v>
      </c>
      <c r="AM10">
        <v>4</v>
      </c>
      <c r="AN10">
        <v>4</v>
      </c>
      <c r="AP10" t="s">
        <v>284</v>
      </c>
      <c r="AQ10">
        <v>4</v>
      </c>
      <c r="AS10">
        <v>16</v>
      </c>
      <c r="AT10">
        <v>19</v>
      </c>
      <c r="AU10" t="s">
        <v>291</v>
      </c>
      <c r="AV10">
        <v>6</v>
      </c>
    </row>
    <row r="11" spans="1:48" ht="129.6">
      <c r="A11" s="153">
        <f t="shared" si="9"/>
        <v>5</v>
      </c>
      <c r="B11" s="86"/>
      <c r="C11" s="97" t="s">
        <v>485</v>
      </c>
      <c r="D11" s="86" t="s">
        <v>263</v>
      </c>
      <c r="E11" s="86" t="s">
        <v>271</v>
      </c>
      <c r="F11" s="86"/>
      <c r="G11" s="86" t="s">
        <v>272</v>
      </c>
      <c r="H11" s="86" t="s">
        <v>486</v>
      </c>
      <c r="I11" s="86"/>
      <c r="J11" s="86" t="s">
        <v>290</v>
      </c>
      <c r="K11" s="86" t="s">
        <v>482</v>
      </c>
      <c r="L11" s="154" t="str">
        <f t="shared" si="10"/>
        <v>4 - Level Risiko Sangat Rendah</v>
      </c>
      <c r="M11" s="86"/>
      <c r="N11" s="86" t="s">
        <v>487</v>
      </c>
      <c r="O11" s="86"/>
      <c r="P11" s="86"/>
      <c r="Q11" s="156">
        <f t="shared" si="0"/>
        <v>7</v>
      </c>
      <c r="R11" s="156">
        <f t="shared" si="1"/>
        <v>2</v>
      </c>
      <c r="S11" s="156">
        <f t="shared" si="2"/>
        <v>2</v>
      </c>
      <c r="T11" s="156" t="e">
        <f t="shared" si="3"/>
        <v>#N/A</v>
      </c>
      <c r="U11" s="156">
        <f t="shared" si="4"/>
        <v>2</v>
      </c>
      <c r="V11" s="156">
        <f t="shared" si="5"/>
        <v>2</v>
      </c>
      <c r="W11" s="156">
        <f t="shared" si="8"/>
        <v>4</v>
      </c>
      <c r="X11" s="156">
        <f t="shared" si="6"/>
        <v>2</v>
      </c>
      <c r="Y11" s="156" t="str">
        <f t="shared" si="7"/>
        <v>Level Risiko Sangat Rendah</v>
      </c>
      <c r="AA11" s="163">
        <v>2024</v>
      </c>
      <c r="AB11" s="163" t="s">
        <v>488</v>
      </c>
      <c r="AC11" s="163">
        <v>5</v>
      </c>
      <c r="AE11" s="51" t="s">
        <v>287</v>
      </c>
      <c r="AF11">
        <v>11</v>
      </c>
      <c r="AH11" t="s">
        <v>288</v>
      </c>
      <c r="AI11">
        <v>5</v>
      </c>
      <c r="AJ11">
        <v>5</v>
      </c>
      <c r="AL11" t="s">
        <v>289</v>
      </c>
      <c r="AM11">
        <v>5</v>
      </c>
      <c r="AN11">
        <v>5</v>
      </c>
      <c r="AP11" t="s">
        <v>290</v>
      </c>
      <c r="AQ11">
        <v>5</v>
      </c>
      <c r="AS11">
        <v>20</v>
      </c>
      <c r="AT11">
        <v>25</v>
      </c>
      <c r="AU11" t="s">
        <v>294</v>
      </c>
      <c r="AV11">
        <v>5</v>
      </c>
    </row>
    <row r="12" spans="1:48" ht="230.4">
      <c r="A12" s="153">
        <f t="shared" si="9"/>
        <v>6</v>
      </c>
      <c r="B12" s="86"/>
      <c r="C12" s="86" t="s">
        <v>489</v>
      </c>
      <c r="D12" s="86" t="s">
        <v>270</v>
      </c>
      <c r="E12" s="86" t="s">
        <v>276</v>
      </c>
      <c r="F12" s="86"/>
      <c r="G12" s="86" t="s">
        <v>272</v>
      </c>
      <c r="H12" s="86" t="s">
        <v>490</v>
      </c>
      <c r="I12" s="86"/>
      <c r="J12" s="86" t="s">
        <v>284</v>
      </c>
      <c r="K12" s="86" t="s">
        <v>491</v>
      </c>
      <c r="L12" s="154" t="str">
        <f>IF(ISNUMBER(X12),W12&amp;" - "&amp;Y12,"")</f>
        <v>6 - Level Risiko Rendah</v>
      </c>
      <c r="M12" s="86"/>
      <c r="N12" s="86" t="s">
        <v>492</v>
      </c>
      <c r="O12" s="86"/>
      <c r="P12" s="86"/>
      <c r="Q12" s="156">
        <f t="shared" si="0"/>
        <v>8</v>
      </c>
      <c r="R12" s="156">
        <f t="shared" si="1"/>
        <v>3</v>
      </c>
      <c r="S12" s="156">
        <f t="shared" si="2"/>
        <v>2</v>
      </c>
      <c r="T12" s="156" t="e">
        <f t="shared" si="3"/>
        <v>#N/A</v>
      </c>
      <c r="U12" s="156">
        <f t="shared" si="4"/>
        <v>3</v>
      </c>
      <c r="V12" s="156">
        <f t="shared" si="5"/>
        <v>2</v>
      </c>
      <c r="W12" s="156">
        <f t="shared" ref="W12:W34" si="11">IF(AND(ISNUMBER(U12),ISNUMBER(V12)),U12*V12,"")</f>
        <v>6</v>
      </c>
      <c r="X12" s="156">
        <f t="shared" si="6"/>
        <v>3</v>
      </c>
      <c r="Y12" s="156" t="str">
        <f t="shared" si="7"/>
        <v>Level Risiko Rendah</v>
      </c>
      <c r="AA12" s="163">
        <v>2024</v>
      </c>
      <c r="AB12" s="163" t="s">
        <v>493</v>
      </c>
      <c r="AC12" s="163">
        <v>4</v>
      </c>
      <c r="AE12" t="s">
        <v>494</v>
      </c>
      <c r="AF12">
        <v>12</v>
      </c>
    </row>
    <row r="13" spans="1:48" ht="86.4">
      <c r="A13" s="153">
        <f t="shared" si="9"/>
        <v>7</v>
      </c>
      <c r="B13" s="86"/>
      <c r="C13" s="97" t="s">
        <v>495</v>
      </c>
      <c r="D13" s="86" t="s">
        <v>275</v>
      </c>
      <c r="E13" s="86" t="s">
        <v>264</v>
      </c>
      <c r="F13" s="86"/>
      <c r="G13" s="86" t="s">
        <v>277</v>
      </c>
      <c r="H13" s="86" t="s">
        <v>496</v>
      </c>
      <c r="I13" s="86"/>
      <c r="J13" s="86" t="s">
        <v>290</v>
      </c>
      <c r="K13" s="86" t="s">
        <v>497</v>
      </c>
      <c r="L13" s="154" t="str">
        <f t="shared" ref="L13" si="12">IF(ISNUMBER(X13),W13&amp;" - "&amp;Y13,"")</f>
        <v>3 - Level Risiko Sangat Rendah</v>
      </c>
      <c r="M13" s="86"/>
      <c r="N13" s="86" t="s">
        <v>498</v>
      </c>
      <c r="O13" s="86"/>
      <c r="P13" s="86"/>
      <c r="Q13" s="156">
        <f t="shared" si="0"/>
        <v>9</v>
      </c>
      <c r="R13" s="156">
        <f t="shared" si="1"/>
        <v>1</v>
      </c>
      <c r="S13" s="156">
        <f t="shared" si="2"/>
        <v>3</v>
      </c>
      <c r="T13" s="156" t="e">
        <f t="shared" si="3"/>
        <v>#N/A</v>
      </c>
      <c r="U13" s="156">
        <f t="shared" si="4"/>
        <v>1</v>
      </c>
      <c r="V13" s="156">
        <f t="shared" si="5"/>
        <v>3</v>
      </c>
      <c r="W13" s="156">
        <f t="shared" si="11"/>
        <v>3</v>
      </c>
      <c r="X13" s="156">
        <f t="shared" si="6"/>
        <v>2</v>
      </c>
      <c r="Y13" s="156" t="str">
        <f t="shared" si="7"/>
        <v>Level Risiko Sangat Rendah</v>
      </c>
      <c r="AA13" s="163">
        <v>2024</v>
      </c>
      <c r="AB13" s="163" t="s">
        <v>499</v>
      </c>
      <c r="AC13" s="163">
        <v>3</v>
      </c>
    </row>
    <row r="14" spans="1:48" ht="72">
      <c r="A14" s="153">
        <f t="shared" si="9"/>
        <v>8</v>
      </c>
      <c r="B14" s="86"/>
      <c r="C14" s="97" t="s">
        <v>500</v>
      </c>
      <c r="D14" s="86" t="s">
        <v>275</v>
      </c>
      <c r="E14" s="86" t="s">
        <v>271</v>
      </c>
      <c r="F14" s="86"/>
      <c r="G14" s="86" t="s">
        <v>265</v>
      </c>
      <c r="H14" s="86" t="s">
        <v>501</v>
      </c>
      <c r="I14" s="86"/>
      <c r="J14" s="86" t="s">
        <v>284</v>
      </c>
      <c r="K14" s="86" t="s">
        <v>502</v>
      </c>
      <c r="L14" s="154" t="str">
        <f t="shared" ref="L14:L23" si="13">IF(ISNUMBER(X14),W14&amp;" - "&amp;Y14,"")</f>
        <v>2 - Level Risiko Sangat Rendah</v>
      </c>
      <c r="M14" s="86"/>
      <c r="N14" s="86" t="s">
        <v>503</v>
      </c>
      <c r="O14" s="86"/>
      <c r="P14" s="86"/>
      <c r="Q14" s="156">
        <f t="shared" si="0"/>
        <v>9</v>
      </c>
      <c r="R14" s="156">
        <f t="shared" si="1"/>
        <v>2</v>
      </c>
      <c r="S14" s="156">
        <f t="shared" si="2"/>
        <v>1</v>
      </c>
      <c r="T14" s="156" t="e">
        <f t="shared" si="3"/>
        <v>#N/A</v>
      </c>
      <c r="U14" s="156">
        <f t="shared" si="4"/>
        <v>2</v>
      </c>
      <c r="V14" s="156">
        <f t="shared" si="5"/>
        <v>1</v>
      </c>
      <c r="W14" s="156">
        <f t="shared" si="11"/>
        <v>2</v>
      </c>
      <c r="X14" s="156">
        <f t="shared" si="6"/>
        <v>2</v>
      </c>
      <c r="Y14" s="156" t="str">
        <f t="shared" si="7"/>
        <v>Level Risiko Sangat Rendah</v>
      </c>
      <c r="AA14" s="163">
        <v>2025</v>
      </c>
      <c r="AB14" s="163" t="s">
        <v>504</v>
      </c>
      <c r="AC14" s="163">
        <v>2</v>
      </c>
    </row>
    <row r="15" spans="1:48" ht="158.4">
      <c r="A15" s="153">
        <f t="shared" si="9"/>
        <v>9</v>
      </c>
      <c r="B15" s="86" t="s">
        <v>472</v>
      </c>
      <c r="C15" s="97" t="s">
        <v>505</v>
      </c>
      <c r="D15" s="86" t="s">
        <v>263</v>
      </c>
      <c r="E15" s="86" t="s">
        <v>282</v>
      </c>
      <c r="F15" s="86"/>
      <c r="G15" s="86" t="s">
        <v>283</v>
      </c>
      <c r="H15" s="86" t="s">
        <v>486</v>
      </c>
      <c r="I15" s="86"/>
      <c r="J15" s="86" t="s">
        <v>273</v>
      </c>
      <c r="K15" s="86" t="s">
        <v>506</v>
      </c>
      <c r="L15" s="154" t="str">
        <f t="shared" si="13"/>
        <v>16 - Level Risiko Sedang</v>
      </c>
      <c r="M15" s="86"/>
      <c r="N15" s="86" t="s">
        <v>507</v>
      </c>
      <c r="O15" s="86"/>
      <c r="P15" s="86"/>
      <c r="Q15" s="156">
        <f t="shared" si="0"/>
        <v>7</v>
      </c>
      <c r="R15" s="156">
        <f>IF(ISBLANK(E15),"",VLOOKUP(E15,$AH$4:$AI$11,2,FALSE))</f>
        <v>4</v>
      </c>
      <c r="S15" s="156">
        <f>IF(ISBLANK(G15),"",VLOOKUP(G15,$AL$4:$AM$11,2,FALSE))</f>
        <v>4</v>
      </c>
      <c r="T15" s="156">
        <f t="shared" si="3"/>
        <v>2</v>
      </c>
      <c r="U15" s="156">
        <f>IF(ISNUMBER(R15),VLOOKUP(R15,$AI$7:$AJ$11,2,FALSE),"")</f>
        <v>4</v>
      </c>
      <c r="V15" s="156">
        <f t="shared" ref="V15:V32" si="14">IF(ISNUMBER(S15),VLOOKUP(S15,$AM$6:$AN$11,2,FALSE),"")</f>
        <v>4</v>
      </c>
      <c r="W15" s="156">
        <f t="shared" si="11"/>
        <v>16</v>
      </c>
      <c r="X15" s="156">
        <f t="shared" si="6"/>
        <v>4</v>
      </c>
      <c r="Y15" s="156" t="str">
        <f t="shared" si="7"/>
        <v>Level Risiko Sedang</v>
      </c>
      <c r="AA15" s="163">
        <v>2025</v>
      </c>
      <c r="AB15" s="163" t="s">
        <v>508</v>
      </c>
      <c r="AC15" s="163">
        <v>1</v>
      </c>
    </row>
    <row r="16" spans="1:48" ht="129.6">
      <c r="A16" s="153">
        <f t="shared" si="9"/>
        <v>10</v>
      </c>
      <c r="B16" s="87" t="s">
        <v>472</v>
      </c>
      <c r="C16" s="89" t="s">
        <v>509</v>
      </c>
      <c r="D16" s="87" t="s">
        <v>263</v>
      </c>
      <c r="E16" s="87" t="s">
        <v>276</v>
      </c>
      <c r="F16" s="87"/>
      <c r="G16" s="87" t="s">
        <v>277</v>
      </c>
      <c r="H16" s="87" t="s">
        <v>486</v>
      </c>
      <c r="I16" s="87"/>
      <c r="J16" s="87" t="s">
        <v>273</v>
      </c>
      <c r="K16" s="87" t="s">
        <v>510</v>
      </c>
      <c r="L16" s="154" t="str">
        <f t="shared" si="13"/>
        <v>9 - Level Risiko Rendah</v>
      </c>
      <c r="M16" s="87"/>
      <c r="N16" s="87" t="s">
        <v>511</v>
      </c>
      <c r="O16" s="87"/>
      <c r="P16" s="87"/>
      <c r="Q16" s="156">
        <f t="shared" si="0"/>
        <v>7</v>
      </c>
      <c r="R16" s="156">
        <f t="shared" ref="R16:R34" si="15">IF(ISBLANK(E16),"",VLOOKUP(E16,$AH$6:$AI$9,2,FALSE))</f>
        <v>3</v>
      </c>
      <c r="S16" s="156">
        <f>IF(ISBLANK(G16),"",VLOOKUP(G16,$AL$6:$AM$9,2,FALSE))</f>
        <v>3</v>
      </c>
      <c r="T16" s="156">
        <f t="shared" si="3"/>
        <v>2</v>
      </c>
      <c r="U16" s="156">
        <f t="shared" ref="U16:U34" si="16">IF(ISNUMBER(R16),VLOOKUP(R16,$AI$6:$AJ$9,2,FALSE),"")</f>
        <v>3</v>
      </c>
      <c r="V16" s="156">
        <f t="shared" si="14"/>
        <v>3</v>
      </c>
      <c r="W16" s="156">
        <f t="shared" si="11"/>
        <v>9</v>
      </c>
      <c r="X16" s="156">
        <f t="shared" si="6"/>
        <v>3</v>
      </c>
      <c r="Y16" s="156" t="str">
        <f t="shared" si="7"/>
        <v>Level Risiko Rendah</v>
      </c>
      <c r="AA16" s="163">
        <v>2025</v>
      </c>
      <c r="AB16" s="163" t="s">
        <v>480</v>
      </c>
      <c r="AC16" s="163">
        <v>5</v>
      </c>
    </row>
    <row r="17" spans="1:29" ht="100.8">
      <c r="A17" s="153">
        <f t="shared" si="9"/>
        <v>11</v>
      </c>
      <c r="B17" s="86" t="s">
        <v>472</v>
      </c>
      <c r="C17" s="86" t="s">
        <v>512</v>
      </c>
      <c r="D17" s="86" t="s">
        <v>287</v>
      </c>
      <c r="E17" s="86" t="s">
        <v>276</v>
      </c>
      <c r="F17" s="86"/>
      <c r="G17" s="86" t="s">
        <v>277</v>
      </c>
      <c r="H17" s="86" t="s">
        <v>486</v>
      </c>
      <c r="I17" s="86"/>
      <c r="J17" s="86" t="s">
        <v>273</v>
      </c>
      <c r="K17" s="86" t="s">
        <v>510</v>
      </c>
      <c r="L17" s="154" t="str">
        <f t="shared" si="13"/>
        <v>9 - Level Risiko Rendah</v>
      </c>
      <c r="M17" s="86"/>
      <c r="N17" s="86" t="s">
        <v>513</v>
      </c>
      <c r="O17" s="86"/>
      <c r="P17" s="86"/>
      <c r="Q17" s="156" t="e">
        <f t="shared" si="0"/>
        <v>#N/A</v>
      </c>
      <c r="R17" s="156">
        <f t="shared" si="15"/>
        <v>3</v>
      </c>
      <c r="S17" s="156">
        <f>IF(ISBLANK(G17),"",VLOOKUP(G17,$AL$6:$AM$9,2,FALSE))</f>
        <v>3</v>
      </c>
      <c r="T17" s="156">
        <f t="shared" si="3"/>
        <v>2</v>
      </c>
      <c r="U17" s="156">
        <f t="shared" si="16"/>
        <v>3</v>
      </c>
      <c r="V17" s="156">
        <f t="shared" si="14"/>
        <v>3</v>
      </c>
      <c r="W17" s="156">
        <f t="shared" si="11"/>
        <v>9</v>
      </c>
      <c r="X17" s="156">
        <f t="shared" si="6"/>
        <v>3</v>
      </c>
      <c r="Y17" s="156" t="str">
        <f t="shared" si="7"/>
        <v>Level Risiko Rendah</v>
      </c>
      <c r="AA17" s="163">
        <v>2025</v>
      </c>
      <c r="AB17" s="163" t="s">
        <v>514</v>
      </c>
      <c r="AC17" s="163">
        <v>4</v>
      </c>
    </row>
    <row r="18" spans="1:29" ht="158.4">
      <c r="A18" s="153">
        <f t="shared" si="9"/>
        <v>12</v>
      </c>
      <c r="B18" s="87" t="s">
        <v>472</v>
      </c>
      <c r="C18" s="87" t="s">
        <v>515</v>
      </c>
      <c r="D18" s="87" t="s">
        <v>275</v>
      </c>
      <c r="E18" s="87" t="s">
        <v>276</v>
      </c>
      <c r="F18" s="87"/>
      <c r="G18" s="87" t="s">
        <v>283</v>
      </c>
      <c r="H18" s="87" t="s">
        <v>516</v>
      </c>
      <c r="I18" s="87"/>
      <c r="J18" s="87" t="s">
        <v>273</v>
      </c>
      <c r="K18" s="87" t="s">
        <v>517</v>
      </c>
      <c r="L18" s="154" t="str">
        <f t="shared" si="13"/>
        <v>12 - Level Risiko Sedang</v>
      </c>
      <c r="M18" s="87"/>
      <c r="N18" s="87" t="s">
        <v>518</v>
      </c>
      <c r="O18" s="87"/>
      <c r="P18" s="87"/>
      <c r="Q18" s="156">
        <f t="shared" si="0"/>
        <v>9</v>
      </c>
      <c r="R18" s="156">
        <f t="shared" si="15"/>
        <v>3</v>
      </c>
      <c r="S18" s="156">
        <f>IF(ISBLANK(G18),"",VLOOKUP(G18,$AL$6:$AM$11,2,FALSE))</f>
        <v>4</v>
      </c>
      <c r="T18" s="156">
        <f t="shared" si="3"/>
        <v>2</v>
      </c>
      <c r="U18" s="156">
        <f t="shared" si="16"/>
        <v>3</v>
      </c>
      <c r="V18" s="156">
        <f t="shared" si="14"/>
        <v>4</v>
      </c>
      <c r="W18" s="156">
        <f t="shared" si="11"/>
        <v>12</v>
      </c>
      <c r="X18" s="156">
        <f t="shared" si="6"/>
        <v>4</v>
      </c>
      <c r="Y18" s="156" t="str">
        <f t="shared" si="7"/>
        <v>Level Risiko Sedang</v>
      </c>
      <c r="AA18" s="163">
        <v>2025</v>
      </c>
      <c r="AB18" s="163" t="s">
        <v>519</v>
      </c>
      <c r="AC18" s="163">
        <v>3</v>
      </c>
    </row>
    <row r="19" spans="1:29" ht="172.8">
      <c r="A19" s="153">
        <f t="shared" si="9"/>
        <v>13</v>
      </c>
      <c r="B19" s="86" t="s">
        <v>472</v>
      </c>
      <c r="C19" s="86" t="s">
        <v>520</v>
      </c>
      <c r="D19" s="86" t="s">
        <v>263</v>
      </c>
      <c r="E19" s="86" t="s">
        <v>276</v>
      </c>
      <c r="F19" s="86"/>
      <c r="G19" s="86" t="s">
        <v>283</v>
      </c>
      <c r="H19" s="86" t="s">
        <v>521</v>
      </c>
      <c r="I19" s="86"/>
      <c r="J19" s="86" t="s">
        <v>290</v>
      </c>
      <c r="K19" s="86" t="s">
        <v>522</v>
      </c>
      <c r="L19" s="154" t="str">
        <f t="shared" si="13"/>
        <v>12 - Level Risiko Sedang</v>
      </c>
      <c r="M19" s="86"/>
      <c r="N19" s="86" t="s">
        <v>523</v>
      </c>
      <c r="O19" s="86"/>
      <c r="P19" s="86"/>
      <c r="Q19" s="156">
        <f t="shared" si="0"/>
        <v>7</v>
      </c>
      <c r="R19" s="156">
        <f t="shared" si="15"/>
        <v>3</v>
      </c>
      <c r="S19" s="156">
        <f>IF(ISBLANK(G19),"",VLOOKUP(G19,$AL$6:$AM$11,2,FALSE))</f>
        <v>4</v>
      </c>
      <c r="T19" s="156" t="e">
        <f t="shared" si="3"/>
        <v>#N/A</v>
      </c>
      <c r="U19" s="156">
        <f t="shared" si="16"/>
        <v>3</v>
      </c>
      <c r="V19" s="156">
        <f t="shared" si="14"/>
        <v>4</v>
      </c>
      <c r="W19" s="156">
        <f t="shared" si="11"/>
        <v>12</v>
      </c>
      <c r="X19" s="156">
        <f t="shared" si="6"/>
        <v>4</v>
      </c>
      <c r="Y19" s="156" t="str">
        <f t="shared" si="7"/>
        <v>Level Risiko Sedang</v>
      </c>
      <c r="AA19" s="163">
        <v>2025</v>
      </c>
      <c r="AB19" s="163" t="s">
        <v>524</v>
      </c>
      <c r="AC19" s="163">
        <v>2</v>
      </c>
    </row>
    <row r="20" spans="1:29" ht="57.6">
      <c r="A20" s="153">
        <f t="shared" ref="A20:A34" si="17">A19+1</f>
        <v>14</v>
      </c>
      <c r="B20" s="86" t="s">
        <v>525</v>
      </c>
      <c r="C20" s="91" t="s">
        <v>526</v>
      </c>
      <c r="D20" s="86" t="s">
        <v>263</v>
      </c>
      <c r="E20" s="86" t="s">
        <v>271</v>
      </c>
      <c r="F20" s="91"/>
      <c r="G20" s="86" t="s">
        <v>272</v>
      </c>
      <c r="H20" s="91" t="s">
        <v>527</v>
      </c>
      <c r="I20" s="86"/>
      <c r="J20" s="86" t="s">
        <v>278</v>
      </c>
      <c r="K20" s="91" t="s">
        <v>528</v>
      </c>
      <c r="L20" s="154" t="str">
        <f t="shared" si="13"/>
        <v>4 - Level Risiko Sangat Rendah</v>
      </c>
      <c r="M20" s="86"/>
      <c r="N20" s="91" t="s">
        <v>529</v>
      </c>
      <c r="O20" s="86"/>
      <c r="P20" s="91"/>
      <c r="Q20" s="156">
        <f t="shared" si="0"/>
        <v>7</v>
      </c>
      <c r="R20" s="156">
        <f t="shared" si="15"/>
        <v>2</v>
      </c>
      <c r="S20" s="156">
        <f t="shared" ref="S20:S34" si="18">IF(ISBLANK(G20),"",VLOOKUP(G20,$AL$6:$AM$9,2,FALSE))</f>
        <v>2</v>
      </c>
      <c r="T20" s="156">
        <f t="shared" si="3"/>
        <v>3</v>
      </c>
      <c r="U20" s="156">
        <f t="shared" si="16"/>
        <v>2</v>
      </c>
      <c r="V20" s="156">
        <f t="shared" si="14"/>
        <v>2</v>
      </c>
      <c r="W20" s="156">
        <f t="shared" si="11"/>
        <v>4</v>
      </c>
      <c r="X20" s="156">
        <f t="shared" si="6"/>
        <v>2</v>
      </c>
      <c r="Y20" s="156" t="str">
        <f t="shared" si="7"/>
        <v>Level Risiko Sangat Rendah</v>
      </c>
      <c r="AA20" s="163">
        <v>2025</v>
      </c>
      <c r="AB20" s="163" t="s">
        <v>530</v>
      </c>
      <c r="AC20" s="163">
        <v>1</v>
      </c>
    </row>
    <row r="21" spans="1:29" ht="72">
      <c r="A21" s="153">
        <f t="shared" si="17"/>
        <v>15</v>
      </c>
      <c r="B21" s="86" t="s">
        <v>525</v>
      </c>
      <c r="C21" s="91" t="s">
        <v>531</v>
      </c>
      <c r="D21" s="86" t="s">
        <v>263</v>
      </c>
      <c r="E21" s="86" t="s">
        <v>271</v>
      </c>
      <c r="F21" s="91"/>
      <c r="G21" s="86" t="s">
        <v>272</v>
      </c>
      <c r="H21" s="87" t="s">
        <v>532</v>
      </c>
      <c r="I21" s="86"/>
      <c r="J21" s="86" t="s">
        <v>273</v>
      </c>
      <c r="K21" s="98" t="s">
        <v>533</v>
      </c>
      <c r="L21" s="154" t="str">
        <f t="shared" si="13"/>
        <v>4 - Level Risiko Sangat Rendah</v>
      </c>
      <c r="M21" s="86"/>
      <c r="N21" s="91" t="s">
        <v>534</v>
      </c>
      <c r="O21" s="86"/>
      <c r="P21" s="91"/>
      <c r="Q21" s="156">
        <f t="shared" si="0"/>
        <v>7</v>
      </c>
      <c r="R21" s="156">
        <f t="shared" si="15"/>
        <v>2</v>
      </c>
      <c r="S21" s="156">
        <f t="shared" si="18"/>
        <v>2</v>
      </c>
      <c r="T21" s="156">
        <f t="shared" si="3"/>
        <v>2</v>
      </c>
      <c r="U21" s="156">
        <f t="shared" si="16"/>
        <v>2</v>
      </c>
      <c r="V21" s="156">
        <f t="shared" si="14"/>
        <v>2</v>
      </c>
      <c r="W21" s="156">
        <f t="shared" si="11"/>
        <v>4</v>
      </c>
      <c r="X21" s="156">
        <f t="shared" si="6"/>
        <v>2</v>
      </c>
      <c r="Y21" s="156" t="str">
        <f t="shared" si="7"/>
        <v>Level Risiko Sangat Rendah</v>
      </c>
      <c r="AA21" s="163">
        <v>2025</v>
      </c>
      <c r="AB21" s="163" t="s">
        <v>535</v>
      </c>
      <c r="AC21" s="163">
        <v>5</v>
      </c>
    </row>
    <row r="22" spans="1:29" ht="100.8">
      <c r="A22" s="153">
        <f t="shared" si="17"/>
        <v>16</v>
      </c>
      <c r="B22" s="87" t="s">
        <v>525</v>
      </c>
      <c r="C22" s="89" t="s">
        <v>536</v>
      </c>
      <c r="D22" s="87" t="s">
        <v>263</v>
      </c>
      <c r="E22" s="87" t="s">
        <v>271</v>
      </c>
      <c r="F22" s="87"/>
      <c r="G22" s="87" t="s">
        <v>277</v>
      </c>
      <c r="H22" s="99" t="s">
        <v>537</v>
      </c>
      <c r="I22" s="87"/>
      <c r="J22" s="87" t="s">
        <v>273</v>
      </c>
      <c r="K22" s="87" t="s">
        <v>538</v>
      </c>
      <c r="L22" s="154" t="str">
        <f t="shared" si="13"/>
        <v>6 - Level Risiko Rendah</v>
      </c>
      <c r="M22" s="87"/>
      <c r="N22" s="87" t="s">
        <v>539</v>
      </c>
      <c r="O22" s="87"/>
      <c r="P22" s="87"/>
      <c r="Q22" s="156">
        <f t="shared" si="0"/>
        <v>7</v>
      </c>
      <c r="R22" s="156">
        <f t="shared" si="15"/>
        <v>2</v>
      </c>
      <c r="S22" s="156">
        <f t="shared" si="18"/>
        <v>3</v>
      </c>
      <c r="T22" s="156">
        <f t="shared" si="3"/>
        <v>2</v>
      </c>
      <c r="U22" s="156">
        <f t="shared" si="16"/>
        <v>2</v>
      </c>
      <c r="V22" s="156">
        <f t="shared" si="14"/>
        <v>3</v>
      </c>
      <c r="W22" s="156">
        <f t="shared" si="11"/>
        <v>6</v>
      </c>
      <c r="X22" s="156">
        <f t="shared" si="6"/>
        <v>3</v>
      </c>
      <c r="Y22" s="156" t="str">
        <f t="shared" si="7"/>
        <v>Level Risiko Rendah</v>
      </c>
      <c r="AA22" s="163">
        <v>2025</v>
      </c>
      <c r="AB22" s="163" t="s">
        <v>540</v>
      </c>
      <c r="AC22" s="163">
        <v>4</v>
      </c>
    </row>
    <row r="23" spans="1:29" ht="100.8">
      <c r="A23" s="153">
        <f t="shared" si="17"/>
        <v>17</v>
      </c>
      <c r="B23" s="86" t="s">
        <v>525</v>
      </c>
      <c r="C23" s="86" t="s">
        <v>541</v>
      </c>
      <c r="D23" s="87" t="s">
        <v>263</v>
      </c>
      <c r="E23" s="87" t="s">
        <v>271</v>
      </c>
      <c r="F23" s="87"/>
      <c r="G23" s="87" t="s">
        <v>277</v>
      </c>
      <c r="H23" s="99" t="s">
        <v>542</v>
      </c>
      <c r="I23" s="86"/>
      <c r="J23" s="86" t="s">
        <v>273</v>
      </c>
      <c r="K23" s="100" t="s">
        <v>543</v>
      </c>
      <c r="L23" s="154" t="str">
        <f t="shared" si="13"/>
        <v>6 - Level Risiko Rendah</v>
      </c>
      <c r="M23" s="86"/>
      <c r="N23" s="86" t="s">
        <v>544</v>
      </c>
      <c r="O23" s="86"/>
      <c r="P23" s="86"/>
      <c r="Q23" s="156">
        <f t="shared" si="0"/>
        <v>7</v>
      </c>
      <c r="R23" s="156">
        <f t="shared" si="15"/>
        <v>2</v>
      </c>
      <c r="S23" s="156">
        <f t="shared" si="18"/>
        <v>3</v>
      </c>
      <c r="T23" s="156">
        <f t="shared" si="3"/>
        <v>2</v>
      </c>
      <c r="U23" s="156">
        <f t="shared" si="16"/>
        <v>2</v>
      </c>
      <c r="V23" s="156">
        <f t="shared" si="14"/>
        <v>3</v>
      </c>
      <c r="W23" s="156">
        <f t="shared" si="11"/>
        <v>6</v>
      </c>
      <c r="X23" s="156">
        <f t="shared" si="6"/>
        <v>3</v>
      </c>
      <c r="Y23" s="156" t="str">
        <f t="shared" si="7"/>
        <v>Level Risiko Rendah</v>
      </c>
      <c r="AA23" s="163">
        <v>2025</v>
      </c>
      <c r="AB23" s="163" t="s">
        <v>545</v>
      </c>
      <c r="AC23" s="163">
        <v>3</v>
      </c>
    </row>
    <row r="24" spans="1:29" ht="187.2">
      <c r="A24" s="153">
        <f t="shared" si="17"/>
        <v>18</v>
      </c>
      <c r="B24" s="86" t="s">
        <v>479</v>
      </c>
      <c r="C24" s="86" t="s">
        <v>546</v>
      </c>
      <c r="D24" s="87" t="s">
        <v>263</v>
      </c>
      <c r="E24" s="87" t="s">
        <v>276</v>
      </c>
      <c r="F24" s="87" t="s">
        <v>547</v>
      </c>
      <c r="G24" s="87" t="s">
        <v>283</v>
      </c>
      <c r="H24" s="99" t="s">
        <v>548</v>
      </c>
      <c r="I24" s="86" t="s">
        <v>549</v>
      </c>
      <c r="J24" s="86" t="s">
        <v>290</v>
      </c>
      <c r="K24" s="100" t="s">
        <v>550</v>
      </c>
      <c r="L24" s="154" t="s">
        <v>551</v>
      </c>
      <c r="M24" s="86" t="s">
        <v>549</v>
      </c>
      <c r="N24" s="86" t="s">
        <v>552</v>
      </c>
      <c r="O24" s="86" t="s">
        <v>549</v>
      </c>
      <c r="P24" s="86" t="s">
        <v>553</v>
      </c>
      <c r="Q24" s="156">
        <f t="shared" si="0"/>
        <v>7</v>
      </c>
      <c r="R24" s="156">
        <f t="shared" si="15"/>
        <v>3</v>
      </c>
      <c r="S24" s="156" t="e">
        <f t="shared" si="18"/>
        <v>#N/A</v>
      </c>
      <c r="T24" s="156" t="e">
        <f t="shared" si="3"/>
        <v>#N/A</v>
      </c>
      <c r="U24" s="156">
        <f t="shared" si="16"/>
        <v>3</v>
      </c>
      <c r="V24" s="156" t="str">
        <f t="shared" si="14"/>
        <v/>
      </c>
      <c r="W24" s="156" t="str">
        <f t="shared" si="11"/>
        <v/>
      </c>
      <c r="X24" s="156" t="str">
        <f t="shared" si="6"/>
        <v/>
      </c>
      <c r="Y24" s="156" t="str">
        <f t="shared" si="7"/>
        <v/>
      </c>
      <c r="AA24" s="163">
        <v>2025</v>
      </c>
      <c r="AB24" s="163" t="s">
        <v>554</v>
      </c>
      <c r="AC24" s="163">
        <v>2</v>
      </c>
    </row>
    <row r="25" spans="1:29" ht="158.4">
      <c r="A25" s="153">
        <f t="shared" si="17"/>
        <v>19</v>
      </c>
      <c r="B25" s="86" t="s">
        <v>479</v>
      </c>
      <c r="C25" s="86" t="s">
        <v>555</v>
      </c>
      <c r="D25" s="87" t="s">
        <v>263</v>
      </c>
      <c r="E25" s="87" t="s">
        <v>276</v>
      </c>
      <c r="F25" s="87" t="s">
        <v>556</v>
      </c>
      <c r="G25" s="87" t="s">
        <v>283</v>
      </c>
      <c r="H25" s="99" t="s">
        <v>557</v>
      </c>
      <c r="I25" s="86" t="s">
        <v>549</v>
      </c>
      <c r="J25" s="86" t="s">
        <v>290</v>
      </c>
      <c r="K25" s="100" t="s">
        <v>558</v>
      </c>
      <c r="L25" s="154" t="s">
        <v>551</v>
      </c>
      <c r="M25" s="86" t="s">
        <v>549</v>
      </c>
      <c r="N25" s="86" t="s">
        <v>559</v>
      </c>
      <c r="O25" s="86" t="s">
        <v>549</v>
      </c>
      <c r="P25" s="86" t="s">
        <v>560</v>
      </c>
      <c r="Q25" s="156">
        <f t="shared" si="0"/>
        <v>7</v>
      </c>
      <c r="R25" s="156">
        <f t="shared" si="15"/>
        <v>3</v>
      </c>
      <c r="S25" s="156" t="e">
        <f t="shared" si="18"/>
        <v>#N/A</v>
      </c>
      <c r="T25" s="156" t="e">
        <f t="shared" si="3"/>
        <v>#N/A</v>
      </c>
      <c r="U25" s="156">
        <f t="shared" si="16"/>
        <v>3</v>
      </c>
      <c r="V25" s="156" t="str">
        <f t="shared" si="14"/>
        <v/>
      </c>
      <c r="W25" s="156" t="str">
        <f t="shared" si="11"/>
        <v/>
      </c>
      <c r="X25" s="156" t="str">
        <f t="shared" si="6"/>
        <v/>
      </c>
      <c r="Y25" s="156" t="str">
        <f t="shared" si="7"/>
        <v/>
      </c>
      <c r="AA25" s="163">
        <v>2025</v>
      </c>
      <c r="AB25" s="163" t="s">
        <v>561</v>
      </c>
      <c r="AC25" s="163">
        <v>1</v>
      </c>
    </row>
    <row r="26" spans="1:29" ht="115.2">
      <c r="A26" s="153">
        <f t="shared" si="17"/>
        <v>20</v>
      </c>
      <c r="B26" s="86" t="s">
        <v>479</v>
      </c>
      <c r="C26" s="86" t="s">
        <v>562</v>
      </c>
      <c r="D26" s="87" t="s">
        <v>263</v>
      </c>
      <c r="E26" s="87" t="s">
        <v>276</v>
      </c>
      <c r="F26" s="87" t="s">
        <v>563</v>
      </c>
      <c r="G26" s="87" t="s">
        <v>277</v>
      </c>
      <c r="H26" s="99" t="s">
        <v>564</v>
      </c>
      <c r="I26" s="86" t="s">
        <v>549</v>
      </c>
      <c r="J26" s="86" t="s">
        <v>284</v>
      </c>
      <c r="K26" s="100" t="s">
        <v>565</v>
      </c>
      <c r="L26" s="154" t="s">
        <v>566</v>
      </c>
      <c r="M26" s="86" t="s">
        <v>549</v>
      </c>
      <c r="N26" s="86" t="s">
        <v>567</v>
      </c>
      <c r="O26" s="86" t="s">
        <v>549</v>
      </c>
      <c r="P26" s="86" t="s">
        <v>568</v>
      </c>
      <c r="Q26" s="156">
        <f t="shared" si="0"/>
        <v>7</v>
      </c>
      <c r="R26" s="156">
        <f t="shared" si="15"/>
        <v>3</v>
      </c>
      <c r="S26" s="156">
        <f t="shared" si="18"/>
        <v>3</v>
      </c>
      <c r="T26" s="156" t="e">
        <f t="shared" si="3"/>
        <v>#N/A</v>
      </c>
      <c r="U26" s="156">
        <f t="shared" si="16"/>
        <v>3</v>
      </c>
      <c r="V26" s="156">
        <f t="shared" si="14"/>
        <v>3</v>
      </c>
      <c r="W26" s="156">
        <f t="shared" si="11"/>
        <v>9</v>
      </c>
      <c r="X26" s="156">
        <f t="shared" si="6"/>
        <v>3</v>
      </c>
      <c r="Y26" s="156" t="str">
        <f t="shared" si="7"/>
        <v>Level Risiko Rendah</v>
      </c>
      <c r="AA26" s="163">
        <v>2025</v>
      </c>
      <c r="AB26" s="163" t="s">
        <v>569</v>
      </c>
      <c r="AC26" s="163">
        <v>5</v>
      </c>
    </row>
    <row r="27" spans="1:29" ht="100.8">
      <c r="A27" s="153">
        <f t="shared" si="17"/>
        <v>21</v>
      </c>
      <c r="B27" s="86" t="s">
        <v>479</v>
      </c>
      <c r="C27" s="86" t="s">
        <v>570</v>
      </c>
      <c r="D27" s="87" t="s">
        <v>263</v>
      </c>
      <c r="E27" s="87" t="s">
        <v>282</v>
      </c>
      <c r="F27" s="87" t="s">
        <v>571</v>
      </c>
      <c r="G27" s="87" t="s">
        <v>277</v>
      </c>
      <c r="H27" s="99" t="s">
        <v>572</v>
      </c>
      <c r="I27" s="86" t="s">
        <v>549</v>
      </c>
      <c r="J27" s="86" t="s">
        <v>284</v>
      </c>
      <c r="K27" s="100" t="s">
        <v>573</v>
      </c>
      <c r="L27" s="154" t="s">
        <v>551</v>
      </c>
      <c r="M27" s="86" t="s">
        <v>549</v>
      </c>
      <c r="N27" s="86" t="s">
        <v>574</v>
      </c>
      <c r="O27" s="86" t="s">
        <v>549</v>
      </c>
      <c r="P27" s="86" t="s">
        <v>575</v>
      </c>
      <c r="Q27" s="156">
        <f t="shared" si="0"/>
        <v>7</v>
      </c>
      <c r="R27" s="156" t="e">
        <f t="shared" si="15"/>
        <v>#N/A</v>
      </c>
      <c r="S27" s="156">
        <f t="shared" si="18"/>
        <v>3</v>
      </c>
      <c r="T27" s="156" t="e">
        <f t="shared" si="3"/>
        <v>#N/A</v>
      </c>
      <c r="U27" s="156" t="str">
        <f t="shared" si="16"/>
        <v/>
      </c>
      <c r="V27" s="156">
        <f t="shared" si="14"/>
        <v>3</v>
      </c>
      <c r="W27" s="156" t="str">
        <f t="shared" si="11"/>
        <v/>
      </c>
      <c r="X27" s="156" t="str">
        <f t="shared" si="6"/>
        <v/>
      </c>
      <c r="Y27" s="156" t="str">
        <f t="shared" si="7"/>
        <v/>
      </c>
      <c r="AA27" s="163">
        <v>2025</v>
      </c>
      <c r="AB27" s="163" t="s">
        <v>576</v>
      </c>
      <c r="AC27" s="163">
        <v>4</v>
      </c>
    </row>
    <row r="28" spans="1:29" ht="100.8">
      <c r="A28" s="153">
        <f t="shared" si="17"/>
        <v>22</v>
      </c>
      <c r="B28" s="86" t="s">
        <v>479</v>
      </c>
      <c r="C28" s="86" t="s">
        <v>577</v>
      </c>
      <c r="D28" s="87" t="s">
        <v>263</v>
      </c>
      <c r="E28" s="87" t="s">
        <v>276</v>
      </c>
      <c r="F28" s="87" t="s">
        <v>578</v>
      </c>
      <c r="G28" s="87" t="s">
        <v>283</v>
      </c>
      <c r="H28" s="99" t="s">
        <v>579</v>
      </c>
      <c r="I28" s="86" t="s">
        <v>549</v>
      </c>
      <c r="J28" s="86" t="s">
        <v>284</v>
      </c>
      <c r="K28" s="100" t="s">
        <v>580</v>
      </c>
      <c r="L28" s="154" t="s">
        <v>551</v>
      </c>
      <c r="M28" s="86" t="s">
        <v>549</v>
      </c>
      <c r="N28" s="86" t="s">
        <v>581</v>
      </c>
      <c r="O28" s="86" t="s">
        <v>549</v>
      </c>
      <c r="P28" s="86" t="s">
        <v>582</v>
      </c>
      <c r="Q28" s="156">
        <f t="shared" si="0"/>
        <v>7</v>
      </c>
      <c r="R28" s="156">
        <f t="shared" si="15"/>
        <v>3</v>
      </c>
      <c r="S28" s="156" t="e">
        <f t="shared" si="18"/>
        <v>#N/A</v>
      </c>
      <c r="T28" s="156" t="e">
        <f t="shared" si="3"/>
        <v>#N/A</v>
      </c>
      <c r="U28" s="156">
        <f t="shared" si="16"/>
        <v>3</v>
      </c>
      <c r="V28" s="156" t="str">
        <f t="shared" si="14"/>
        <v/>
      </c>
      <c r="W28" s="156" t="str">
        <f t="shared" si="11"/>
        <v/>
      </c>
      <c r="X28" s="156" t="str">
        <f t="shared" si="6"/>
        <v/>
      </c>
      <c r="Y28" s="156" t="str">
        <f t="shared" si="7"/>
        <v/>
      </c>
      <c r="AA28" s="163">
        <v>2025</v>
      </c>
      <c r="AB28" s="163" t="s">
        <v>583</v>
      </c>
      <c r="AC28" s="163">
        <v>3</v>
      </c>
    </row>
    <row r="29" spans="1:29" ht="86.4">
      <c r="A29" s="153">
        <f t="shared" si="17"/>
        <v>23</v>
      </c>
      <c r="B29" s="86" t="s">
        <v>479</v>
      </c>
      <c r="C29" s="86" t="s">
        <v>584</v>
      </c>
      <c r="D29" s="87" t="s">
        <v>263</v>
      </c>
      <c r="E29" s="87" t="s">
        <v>276</v>
      </c>
      <c r="F29" s="87" t="s">
        <v>585</v>
      </c>
      <c r="G29" s="87" t="s">
        <v>277</v>
      </c>
      <c r="H29" s="99" t="s">
        <v>586</v>
      </c>
      <c r="I29" s="86" t="s">
        <v>549</v>
      </c>
      <c r="J29" s="86" t="s">
        <v>284</v>
      </c>
      <c r="K29" s="100" t="s">
        <v>587</v>
      </c>
      <c r="L29" s="154" t="s">
        <v>566</v>
      </c>
      <c r="M29" s="86" t="s">
        <v>549</v>
      </c>
      <c r="N29" s="86" t="s">
        <v>588</v>
      </c>
      <c r="O29" s="86" t="s">
        <v>549</v>
      </c>
      <c r="P29" s="86" t="s">
        <v>589</v>
      </c>
      <c r="Q29" s="156">
        <f t="shared" si="0"/>
        <v>7</v>
      </c>
      <c r="R29" s="156">
        <f t="shared" si="15"/>
        <v>3</v>
      </c>
      <c r="S29" s="156">
        <f t="shared" si="18"/>
        <v>3</v>
      </c>
      <c r="T29" s="156" t="e">
        <f t="shared" si="3"/>
        <v>#N/A</v>
      </c>
      <c r="U29" s="156">
        <f t="shared" si="16"/>
        <v>3</v>
      </c>
      <c r="V29" s="156">
        <f t="shared" si="14"/>
        <v>3</v>
      </c>
      <c r="W29" s="156">
        <f t="shared" si="11"/>
        <v>9</v>
      </c>
      <c r="X29" s="156">
        <f t="shared" si="6"/>
        <v>3</v>
      </c>
      <c r="Y29" s="156" t="str">
        <f t="shared" si="7"/>
        <v>Level Risiko Rendah</v>
      </c>
      <c r="AA29" s="163">
        <v>2025</v>
      </c>
      <c r="AB29" s="163" t="s">
        <v>590</v>
      </c>
      <c r="AC29" s="163">
        <v>2</v>
      </c>
    </row>
    <row r="30" spans="1:29" ht="100.8">
      <c r="A30" s="153">
        <f t="shared" si="17"/>
        <v>24</v>
      </c>
      <c r="B30" s="86" t="s">
        <v>479</v>
      </c>
      <c r="C30" s="86" t="s">
        <v>591</v>
      </c>
      <c r="D30" s="87" t="s">
        <v>270</v>
      </c>
      <c r="E30" s="87" t="s">
        <v>276</v>
      </c>
      <c r="F30" s="87" t="s">
        <v>592</v>
      </c>
      <c r="G30" s="87" t="s">
        <v>277</v>
      </c>
      <c r="H30" s="99" t="s">
        <v>593</v>
      </c>
      <c r="I30" s="86" t="s">
        <v>549</v>
      </c>
      <c r="J30" s="86" t="s">
        <v>284</v>
      </c>
      <c r="K30" s="100" t="s">
        <v>594</v>
      </c>
      <c r="L30" s="154" t="s">
        <v>566</v>
      </c>
      <c r="M30" s="86" t="s">
        <v>549</v>
      </c>
      <c r="N30" s="86" t="s">
        <v>595</v>
      </c>
      <c r="O30" s="86" t="s">
        <v>549</v>
      </c>
      <c r="P30" s="86" t="s">
        <v>596</v>
      </c>
      <c r="Q30" s="156">
        <f t="shared" si="0"/>
        <v>8</v>
      </c>
      <c r="R30" s="156">
        <f t="shared" si="15"/>
        <v>3</v>
      </c>
      <c r="S30" s="156">
        <f t="shared" si="18"/>
        <v>3</v>
      </c>
      <c r="T30" s="156" t="e">
        <f t="shared" si="3"/>
        <v>#N/A</v>
      </c>
      <c r="U30" s="156">
        <f t="shared" si="16"/>
        <v>3</v>
      </c>
      <c r="V30" s="156">
        <f t="shared" si="14"/>
        <v>3</v>
      </c>
      <c r="W30" s="156">
        <f t="shared" si="11"/>
        <v>9</v>
      </c>
      <c r="X30" s="156">
        <f t="shared" si="6"/>
        <v>3</v>
      </c>
      <c r="Y30" s="156" t="str">
        <f t="shared" si="7"/>
        <v>Level Risiko Rendah</v>
      </c>
      <c r="AA30" s="163">
        <v>2025</v>
      </c>
      <c r="AB30" s="163" t="s">
        <v>597</v>
      </c>
      <c r="AC30" s="163">
        <v>1</v>
      </c>
    </row>
    <row r="31" spans="1:29" ht="100.8">
      <c r="A31" s="153">
        <f t="shared" si="17"/>
        <v>25</v>
      </c>
      <c r="B31" s="86" t="s">
        <v>479</v>
      </c>
      <c r="C31" s="86" t="s">
        <v>598</v>
      </c>
      <c r="D31" s="87" t="s">
        <v>270</v>
      </c>
      <c r="E31" s="87" t="s">
        <v>276</v>
      </c>
      <c r="F31" s="87" t="s">
        <v>599</v>
      </c>
      <c r="G31" s="87" t="s">
        <v>277</v>
      </c>
      <c r="H31" s="99" t="s">
        <v>600</v>
      </c>
      <c r="I31" s="86" t="s">
        <v>549</v>
      </c>
      <c r="J31" s="86" t="s">
        <v>284</v>
      </c>
      <c r="K31" s="100" t="s">
        <v>601</v>
      </c>
      <c r="L31" s="154" t="s">
        <v>566</v>
      </c>
      <c r="M31" s="86" t="s">
        <v>549</v>
      </c>
      <c r="N31" s="86" t="s">
        <v>602</v>
      </c>
      <c r="O31" s="86" t="s">
        <v>549</v>
      </c>
      <c r="P31" s="86" t="s">
        <v>603</v>
      </c>
      <c r="Q31" s="156">
        <f t="shared" si="0"/>
        <v>8</v>
      </c>
      <c r="R31" s="156">
        <f t="shared" si="15"/>
        <v>3</v>
      </c>
      <c r="S31" s="156">
        <f t="shared" si="18"/>
        <v>3</v>
      </c>
      <c r="T31" s="156" t="e">
        <f t="shared" si="3"/>
        <v>#N/A</v>
      </c>
      <c r="U31" s="156">
        <f t="shared" si="16"/>
        <v>3</v>
      </c>
      <c r="V31" s="156">
        <f t="shared" si="14"/>
        <v>3</v>
      </c>
      <c r="W31" s="156">
        <f t="shared" si="11"/>
        <v>9</v>
      </c>
      <c r="X31" s="156">
        <f t="shared" si="6"/>
        <v>3</v>
      </c>
      <c r="Y31" s="156" t="str">
        <f t="shared" si="7"/>
        <v>Level Risiko Rendah</v>
      </c>
      <c r="AA31" s="163">
        <v>2025</v>
      </c>
      <c r="AB31" s="163" t="s">
        <v>604</v>
      </c>
      <c r="AC31" s="163">
        <v>5</v>
      </c>
    </row>
    <row r="32" spans="1:29" ht="115.2">
      <c r="A32" s="153">
        <f t="shared" si="17"/>
        <v>26</v>
      </c>
      <c r="B32" s="86" t="s">
        <v>479</v>
      </c>
      <c r="C32" s="86" t="s">
        <v>605</v>
      </c>
      <c r="D32" s="87" t="s">
        <v>270</v>
      </c>
      <c r="E32" s="87" t="s">
        <v>276</v>
      </c>
      <c r="F32" s="87" t="s">
        <v>606</v>
      </c>
      <c r="G32" s="87" t="s">
        <v>277</v>
      </c>
      <c r="H32" s="99" t="s">
        <v>607</v>
      </c>
      <c r="I32" s="86" t="s">
        <v>549</v>
      </c>
      <c r="J32" s="86" t="s">
        <v>284</v>
      </c>
      <c r="K32" s="100" t="s">
        <v>608</v>
      </c>
      <c r="L32" s="154" t="s">
        <v>566</v>
      </c>
      <c r="M32" s="86" t="s">
        <v>549</v>
      </c>
      <c r="N32" s="86" t="s">
        <v>609</v>
      </c>
      <c r="O32" s="86" t="s">
        <v>549</v>
      </c>
      <c r="P32" s="86" t="s">
        <v>610</v>
      </c>
      <c r="Q32" s="156">
        <f t="shared" si="0"/>
        <v>8</v>
      </c>
      <c r="R32" s="156">
        <f t="shared" si="15"/>
        <v>3</v>
      </c>
      <c r="S32" s="156">
        <f t="shared" si="18"/>
        <v>3</v>
      </c>
      <c r="T32" s="156" t="e">
        <f t="shared" si="3"/>
        <v>#N/A</v>
      </c>
      <c r="U32" s="156">
        <f t="shared" si="16"/>
        <v>3</v>
      </c>
      <c r="V32" s="156">
        <f t="shared" si="14"/>
        <v>3</v>
      </c>
      <c r="W32" s="156">
        <f t="shared" si="11"/>
        <v>9</v>
      </c>
      <c r="X32" s="156">
        <f t="shared" si="6"/>
        <v>3</v>
      </c>
      <c r="Y32" s="156" t="str">
        <f t="shared" si="7"/>
        <v>Level Risiko Rendah</v>
      </c>
      <c r="AA32" s="163">
        <v>2025</v>
      </c>
      <c r="AB32" s="163" t="s">
        <v>611</v>
      </c>
      <c r="AC32" s="163">
        <v>4</v>
      </c>
    </row>
    <row r="33" spans="1:29" ht="129.6">
      <c r="A33" s="153">
        <f t="shared" si="17"/>
        <v>27</v>
      </c>
      <c r="B33" s="86" t="s">
        <v>479</v>
      </c>
      <c r="C33" s="86" t="s">
        <v>612</v>
      </c>
      <c r="D33" s="87" t="s">
        <v>275</v>
      </c>
      <c r="E33" s="87" t="s">
        <v>276</v>
      </c>
      <c r="F33" s="87" t="s">
        <v>613</v>
      </c>
      <c r="G33" s="87" t="s">
        <v>277</v>
      </c>
      <c r="H33" s="99" t="s">
        <v>614</v>
      </c>
      <c r="I33" s="86" t="s">
        <v>549</v>
      </c>
      <c r="J33" s="86" t="s">
        <v>290</v>
      </c>
      <c r="K33" s="100" t="s">
        <v>615</v>
      </c>
      <c r="L33" s="154" t="s">
        <v>566</v>
      </c>
      <c r="M33" s="86" t="s">
        <v>549</v>
      </c>
      <c r="N33" s="86" t="s">
        <v>616</v>
      </c>
      <c r="O33" s="86" t="s">
        <v>549</v>
      </c>
      <c r="P33" s="86" t="s">
        <v>617</v>
      </c>
      <c r="Q33" s="156">
        <f t="shared" si="0"/>
        <v>9</v>
      </c>
      <c r="R33" s="156">
        <f t="shared" si="15"/>
        <v>3</v>
      </c>
      <c r="S33" s="156">
        <f t="shared" si="18"/>
        <v>3</v>
      </c>
      <c r="T33" s="156" t="e">
        <f t="shared" si="3"/>
        <v>#N/A</v>
      </c>
      <c r="U33" s="156">
        <f t="shared" si="16"/>
        <v>3</v>
      </c>
      <c r="V33" s="156">
        <f>IF(ISNUMBER(S33),VLOOKUP(S33,$AM$6:$AN$9,2,FALSE),"")</f>
        <v>3</v>
      </c>
      <c r="W33" s="156">
        <f t="shared" si="11"/>
        <v>9</v>
      </c>
      <c r="X33" s="156">
        <f t="shared" si="6"/>
        <v>3</v>
      </c>
      <c r="Y33" s="156" t="str">
        <f t="shared" si="7"/>
        <v>Level Risiko Rendah</v>
      </c>
      <c r="AA33" s="163">
        <v>2025</v>
      </c>
      <c r="AB33" s="163" t="s">
        <v>525</v>
      </c>
      <c r="AC33" s="163">
        <v>3</v>
      </c>
    </row>
    <row r="34" spans="1:29" ht="144">
      <c r="A34" s="153">
        <f t="shared" si="17"/>
        <v>28</v>
      </c>
      <c r="B34" s="86" t="s">
        <v>479</v>
      </c>
      <c r="C34" s="86" t="s">
        <v>618</v>
      </c>
      <c r="D34" s="87" t="s">
        <v>275</v>
      </c>
      <c r="E34" s="87" t="s">
        <v>276</v>
      </c>
      <c r="F34" s="87" t="s">
        <v>619</v>
      </c>
      <c r="G34" s="87" t="s">
        <v>277</v>
      </c>
      <c r="H34" s="99" t="s">
        <v>620</v>
      </c>
      <c r="I34" s="86" t="s">
        <v>549</v>
      </c>
      <c r="J34" s="86" t="s">
        <v>290</v>
      </c>
      <c r="K34" s="100" t="s">
        <v>621</v>
      </c>
      <c r="L34" s="154" t="s">
        <v>566</v>
      </c>
      <c r="M34" s="86" t="s">
        <v>549</v>
      </c>
      <c r="N34" s="86" t="s">
        <v>622</v>
      </c>
      <c r="O34" s="86" t="s">
        <v>549</v>
      </c>
      <c r="P34" s="86" t="s">
        <v>623</v>
      </c>
      <c r="Q34" s="156">
        <f t="shared" si="0"/>
        <v>9</v>
      </c>
      <c r="R34" s="156">
        <f t="shared" si="15"/>
        <v>3</v>
      </c>
      <c r="S34" s="156">
        <f t="shared" si="18"/>
        <v>3</v>
      </c>
      <c r="T34" s="156" t="e">
        <f t="shared" si="3"/>
        <v>#N/A</v>
      </c>
      <c r="U34" s="156">
        <f t="shared" si="16"/>
        <v>3</v>
      </c>
      <c r="V34" s="156">
        <f>IF(ISNUMBER(S34),VLOOKUP(S34,$AM$6:$AN$9,2,FALSE),"")</f>
        <v>3</v>
      </c>
      <c r="W34" s="156">
        <f t="shared" si="11"/>
        <v>9</v>
      </c>
      <c r="X34" s="156">
        <f t="shared" si="6"/>
        <v>3</v>
      </c>
      <c r="Y34" s="156" t="str">
        <f t="shared" si="7"/>
        <v>Level Risiko Rendah</v>
      </c>
      <c r="AA34" s="163">
        <v>2025</v>
      </c>
      <c r="AB34" s="163" t="s">
        <v>624</v>
      </c>
      <c r="AC34" s="163">
        <v>2</v>
      </c>
    </row>
    <row r="35" spans="1:29">
      <c r="Q35" s="88"/>
      <c r="R35" s="88"/>
      <c r="S35" s="88"/>
      <c r="T35" s="88"/>
      <c r="U35" s="88"/>
      <c r="V35" s="88"/>
      <c r="W35" s="88"/>
      <c r="X35" s="88"/>
      <c r="Y35" s="88"/>
      <c r="AA35" s="163">
        <v>2025</v>
      </c>
      <c r="AB35" s="163" t="s">
        <v>625</v>
      </c>
      <c r="AC35" s="163">
        <v>1</v>
      </c>
    </row>
    <row r="36" spans="1:29">
      <c r="Q36" s="88"/>
      <c r="R36" s="88"/>
      <c r="S36" s="88"/>
      <c r="T36" s="88"/>
      <c r="U36" s="88"/>
      <c r="V36" s="88"/>
      <c r="W36" s="88"/>
      <c r="X36" s="88"/>
      <c r="Y36" s="88"/>
    </row>
    <row r="37" spans="1:29">
      <c r="Q37" s="88"/>
      <c r="R37" s="88"/>
      <c r="S37" s="88"/>
      <c r="T37" s="88"/>
      <c r="U37" s="88"/>
      <c r="V37" s="88"/>
      <c r="W37" s="88"/>
      <c r="X37" s="88"/>
      <c r="Y37" s="88"/>
    </row>
    <row r="38" spans="1:29">
      <c r="Q38" s="88"/>
      <c r="R38" s="88"/>
      <c r="S38" s="88"/>
      <c r="T38" s="88"/>
      <c r="U38" s="88"/>
      <c r="V38" s="88"/>
      <c r="W38" s="88"/>
      <c r="X38" s="88"/>
      <c r="Y38" s="88"/>
    </row>
    <row r="39" spans="1:29">
      <c r="Q39" s="88"/>
      <c r="R39" s="88"/>
      <c r="S39" s="88"/>
      <c r="T39" s="88"/>
      <c r="U39" s="88"/>
      <c r="V39" s="88"/>
      <c r="W39" s="88"/>
      <c r="X39" s="88"/>
      <c r="Y39" s="88"/>
    </row>
    <row r="40" spans="1:29">
      <c r="Q40" s="88"/>
      <c r="R40" s="88"/>
      <c r="S40" s="88"/>
      <c r="T40" s="88"/>
      <c r="U40" s="88"/>
      <c r="V40" s="88"/>
      <c r="W40" s="88"/>
      <c r="X40" s="88"/>
      <c r="Y40" s="88"/>
    </row>
    <row r="41" spans="1:29">
      <c r="Q41" s="88"/>
      <c r="R41" s="88"/>
      <c r="S41" s="88"/>
      <c r="T41" s="88"/>
      <c r="U41" s="88"/>
      <c r="V41" s="88"/>
      <c r="W41" s="88"/>
      <c r="X41" s="88"/>
      <c r="Y41" s="88"/>
    </row>
    <row r="42" spans="1:29">
      <c r="Q42" s="88"/>
      <c r="R42" s="88"/>
      <c r="S42" s="88"/>
      <c r="T42" s="88"/>
      <c r="U42" s="88"/>
      <c r="V42" s="88"/>
      <c r="W42" s="88"/>
      <c r="X42" s="88"/>
      <c r="Y42" s="88"/>
    </row>
    <row r="43" spans="1:29">
      <c r="Q43" s="88"/>
      <c r="R43" s="88"/>
      <c r="S43" s="88"/>
      <c r="T43" s="88"/>
      <c r="U43" s="88"/>
      <c r="V43" s="88"/>
      <c r="W43" s="88"/>
      <c r="X43" s="88"/>
      <c r="Y43" s="88"/>
    </row>
    <row r="44" spans="1:29">
      <c r="Q44" s="88"/>
      <c r="R44" s="88"/>
      <c r="S44" s="88"/>
      <c r="T44" s="88"/>
      <c r="U44" s="88"/>
      <c r="V44" s="88"/>
      <c r="W44" s="88"/>
      <c r="X44" s="88"/>
      <c r="Y44" s="88"/>
    </row>
    <row r="45" spans="1:29">
      <c r="Q45" s="88"/>
      <c r="R45" s="88"/>
      <c r="S45" s="88"/>
      <c r="T45" s="88"/>
      <c r="U45" s="88"/>
      <c r="V45" s="88"/>
      <c r="W45" s="88"/>
      <c r="X45" s="88"/>
      <c r="Y45" s="88"/>
    </row>
    <row r="46" spans="1:29">
      <c r="Q46" s="88"/>
      <c r="R46" s="88"/>
      <c r="S46" s="88"/>
      <c r="T46" s="88"/>
      <c r="U46" s="88"/>
      <c r="V46" s="88"/>
      <c r="W46" s="88"/>
      <c r="X46" s="88"/>
      <c r="Y46" s="88"/>
    </row>
    <row r="47" spans="1:29">
      <c r="Q47" s="88"/>
      <c r="R47" s="88"/>
      <c r="S47" s="88"/>
      <c r="T47" s="88"/>
      <c r="U47" s="88"/>
      <c r="V47" s="88"/>
      <c r="W47" s="88"/>
      <c r="X47" s="88"/>
      <c r="Y47" s="88"/>
    </row>
    <row r="48" spans="1:29">
      <c r="Q48" s="88"/>
      <c r="R48" s="88"/>
      <c r="S48" s="88"/>
      <c r="T48" s="88"/>
      <c r="U48" s="88"/>
      <c r="V48" s="88"/>
      <c r="W48" s="88"/>
      <c r="X48" s="88"/>
      <c r="Y48" s="88"/>
    </row>
    <row r="49" spans="17:25">
      <c r="Q49" s="88"/>
      <c r="R49" s="88"/>
      <c r="S49" s="88"/>
      <c r="T49" s="88"/>
      <c r="U49" s="88"/>
      <c r="V49" s="88"/>
      <c r="W49" s="88"/>
      <c r="X49" s="88"/>
      <c r="Y49" s="88"/>
    </row>
    <row r="50" spans="17:25">
      <c r="Q50" s="88"/>
      <c r="R50" s="88"/>
      <c r="S50" s="88"/>
      <c r="T50" s="88"/>
      <c r="U50" s="88"/>
      <c r="V50" s="88"/>
      <c r="W50" s="88"/>
      <c r="X50" s="88"/>
      <c r="Y50" s="88"/>
    </row>
    <row r="51" spans="17:25">
      <c r="Q51" s="88"/>
      <c r="R51" s="88"/>
      <c r="S51" s="88"/>
      <c r="T51" s="88"/>
      <c r="U51" s="88"/>
      <c r="V51" s="88"/>
      <c r="W51" s="88"/>
      <c r="X51" s="88"/>
      <c r="Y51" s="88"/>
    </row>
    <row r="52" spans="17:25">
      <c r="Q52" s="88"/>
      <c r="R52" s="88"/>
      <c r="S52" s="88"/>
      <c r="T52" s="88"/>
      <c r="U52" s="88"/>
      <c r="V52" s="88"/>
      <c r="W52" s="88"/>
      <c r="X52" s="88"/>
      <c r="Y52" s="88"/>
    </row>
    <row r="53" spans="17:25">
      <c r="Q53" s="88"/>
      <c r="R53" s="88"/>
      <c r="S53" s="88"/>
      <c r="T53" s="88"/>
      <c r="U53" s="88"/>
      <c r="V53" s="88"/>
      <c r="W53" s="88"/>
      <c r="X53" s="88"/>
      <c r="Y53" s="88"/>
    </row>
    <row r="54" spans="17:25">
      <c r="Q54" s="88"/>
      <c r="R54" s="88"/>
      <c r="S54" s="88"/>
      <c r="T54" s="88"/>
      <c r="U54" s="88"/>
      <c r="V54" s="88"/>
      <c r="W54" s="88"/>
      <c r="X54" s="88"/>
      <c r="Y54" s="88"/>
    </row>
    <row r="55" spans="17:25">
      <c r="Q55" s="88"/>
      <c r="R55" s="88"/>
      <c r="S55" s="88"/>
      <c r="T55" s="88"/>
      <c r="U55" s="88"/>
      <c r="V55" s="88"/>
      <c r="W55" s="88"/>
      <c r="X55" s="88"/>
      <c r="Y55" s="88"/>
    </row>
  </sheetData>
  <mergeCells count="20">
    <mergeCell ref="C4:C5"/>
    <mergeCell ref="D4:D5"/>
    <mergeCell ref="L4:L5"/>
    <mergeCell ref="E4:F4"/>
    <mergeCell ref="G4:H4"/>
    <mergeCell ref="I4:K4"/>
    <mergeCell ref="M4:N4"/>
    <mergeCell ref="O4:P4"/>
    <mergeCell ref="A1:Y1"/>
    <mergeCell ref="X4:X5"/>
    <mergeCell ref="Y4:Y5"/>
    <mergeCell ref="S4:S5"/>
    <mergeCell ref="T4:T5"/>
    <mergeCell ref="U4:U5"/>
    <mergeCell ref="V4:V5"/>
    <mergeCell ref="W4:W5"/>
    <mergeCell ref="Q4:Q5"/>
    <mergeCell ref="R4:R5"/>
    <mergeCell ref="A4:A5"/>
    <mergeCell ref="B4:B5"/>
  </mergeCells>
  <dataValidations count="15">
    <dataValidation type="list" allowBlank="1" errorTitle="Input Tidak Valid" error="Nilai harus antara 1-5" sqref="O47:P997" xr:uid="{0B44F7AA-C219-4A65-97B7-AE871E49D25D}">
      <formula1>"1,2,3,4,5"</formula1>
      <formula2>0</formula2>
    </dataValidation>
    <dataValidation type="list" allowBlank="1" sqref="F259:F997" xr:uid="{A1F8C32D-505A-445E-9C06-B9C6A499BD65}">
      <formula1>"Risiko Reputasi,Risiko Kepatuhan,Risiko Legal,Risiko Fraud,Risiko Operasional,Risiko Kebijakan,Risiko Keuangan,Risiko SPBE,Risiko Layanan Publik,Risiko SDM"</formula1>
      <formula2>0</formula2>
    </dataValidation>
    <dataValidation type="list" allowBlank="1" showInputMessage="1" showErrorMessage="1" sqref="B6:B14" xr:uid="{A7A0BF68-E02D-4CF5-A39F-0627E9915E5A}">
      <formula1>$AB$5:$AB$30</formula1>
    </dataValidation>
    <dataValidation type="list" allowBlank="1" showInputMessage="1" showErrorMessage="1" sqref="G6:G14" xr:uid="{55443FB2-E2A8-41CD-B084-F79EA342E6DB}">
      <formula1>$AL$6:$AL$9</formula1>
    </dataValidation>
    <dataValidation type="list" allowBlank="1" showInputMessage="1" showErrorMessage="1" sqref="D6:D14" xr:uid="{A1660D78-A565-44B7-B52E-78EFE74DEBBE}">
      <formula1>$AE$6:$AE$9</formula1>
    </dataValidation>
    <dataValidation type="list" allowBlank="1" showInputMessage="1" showErrorMessage="1" sqref="J6:J14 J20:J23" xr:uid="{658A9FBC-ADDA-4FA0-9B93-8D3ECF46EC7E}">
      <formula1>$AP$6:$AP$11</formula1>
    </dataValidation>
    <dataValidation type="list" allowBlank="1" showInputMessage="1" showErrorMessage="1" sqref="E6:E14 E20:E23" xr:uid="{F06CE5E4-0CB4-4A2F-92D2-FE17977E7083}">
      <formula1>$AH$6:$AH$11</formula1>
    </dataValidation>
    <dataValidation type="list" allowBlank="1" showInputMessage="1" showErrorMessage="1" sqref="B15:B19" xr:uid="{E3C266EF-21C7-42A7-B808-EBFFA8ED5D7B}">
      <formula1>$AB$5:$AB$34</formula1>
    </dataValidation>
    <dataValidation type="list" allowBlank="1" showInputMessage="1" showErrorMessage="1" sqref="E15:E19" xr:uid="{A7EBEA9B-117F-4298-8FCD-D8212EE13C44}">
      <formula1>$AH$6:$AH$10</formula1>
    </dataValidation>
    <dataValidation type="list" allowBlank="1" showInputMessage="1" showErrorMessage="1" sqref="G15:G19" xr:uid="{ADDC8448-F82D-40B4-BB29-508288A8D6F0}">
      <formula1>$AL$6:$AL$10</formula1>
    </dataValidation>
    <dataValidation type="list" allowBlank="1" showInputMessage="1" showErrorMessage="1" sqref="J15:J19" xr:uid="{81A87C3C-88BC-452A-9514-66CCE3FD4792}">
      <formula1>$AP$6:$AP$10</formula1>
    </dataValidation>
    <dataValidation type="list" allowBlank="1" showInputMessage="1" showErrorMessage="1" sqref="D15:D19" xr:uid="{CD2DAE8A-708E-45E0-BA5F-18B6CA9D3E7C}">
      <formula1>$AE$6:$AE$11</formula1>
    </dataValidation>
    <dataValidation type="list" allowBlank="1" showInputMessage="1" showErrorMessage="1" sqref="D20:D23" xr:uid="{4C36BB38-4C9B-4B82-BE72-7E21E1F1C387}">
      <formula1>$AE$6:$AE$12</formula1>
    </dataValidation>
    <dataValidation type="list" allowBlank="1" showInputMessage="1" showErrorMessage="1" sqref="G20:G23" xr:uid="{82207CA0-75D5-45A7-9007-A84C3E8AAB7D}">
      <formula1>$AL$6:$AL$11</formula1>
    </dataValidation>
    <dataValidation type="list" allowBlank="1" showInputMessage="1" showErrorMessage="1" sqref="B20:B23" xr:uid="{073DE1DD-1565-4EE5-937D-7C865B7E085C}">
      <formula1>$AB$5:$AB$35</formula1>
    </dataValidation>
  </dataValidations>
  <pageMargins left="0.75" right="0.75" top="0.84722222222222199" bottom="0.84722222222222199" header="0.511811023622047" footer="0.511811023622047"/>
  <pageSetup scale="33" fitToHeight="0" orientation="landscape"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xr:uid="{3250174B-338D-41BF-9B57-158012E223C9}">
          <x14:formula1>
            <xm:f>'Kategori Risiko'!$B$5:$B$11</xm:f>
          </x14:formula1>
          <xm:sqref>F47:F258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1AF1-50D7-4C7C-AC39-444241B1FDFC}">
  <sheetPr>
    <tabColor rgb="FF00B0F0"/>
  </sheetPr>
  <dimension ref="A1:AV66"/>
  <sheetViews>
    <sheetView topLeftCell="A9" zoomScaleNormal="100" workbookViewId="0">
      <selection activeCell="L6" sqref="L6"/>
    </sheetView>
  </sheetViews>
  <sheetFormatPr defaultRowHeight="14.4" outlineLevelCol="1"/>
  <cols>
    <col min="1" max="1" width="13.5546875" style="88" customWidth="1"/>
    <col min="2" max="3" width="29.6640625" style="88" customWidth="1"/>
    <col min="4" max="4" width="24.109375" style="88" customWidth="1"/>
    <col min="5" max="5" width="20.33203125" style="88" customWidth="1"/>
    <col min="6" max="6" width="29.6640625" style="88" customWidth="1"/>
    <col min="7" max="7" width="20.33203125" style="88" customWidth="1"/>
    <col min="8" max="8" width="29.6640625" style="88" customWidth="1"/>
    <col min="9" max="9" width="9.33203125" style="88" customWidth="1"/>
    <col min="10" max="10" width="20.33203125" style="88" customWidth="1"/>
    <col min="11" max="11" width="29.6640625" style="88" customWidth="1"/>
    <col min="12" max="12" width="20.33203125" style="88" customWidth="1"/>
    <col min="13" max="13" width="9.33203125" style="88" customWidth="1"/>
    <col min="14" max="14" width="29.6640625" style="88" customWidth="1"/>
    <col min="15" max="15" width="9.33203125" style="88" customWidth="1"/>
    <col min="16" max="16" width="29.6640625" style="88" customWidth="1"/>
    <col min="17" max="25" width="0" style="68" hidden="1" customWidth="1" outlineLevel="1"/>
    <col min="26" max="26" width="9.109375" bestFit="1" customWidth="1" collapsed="1"/>
    <col min="27" max="27" width="13.6640625" customWidth="1"/>
    <col min="28" max="28" width="44" customWidth="1"/>
    <col min="29" max="29" width="8.6640625" customWidth="1"/>
    <col min="30" max="30" width="9.109375" bestFit="1" customWidth="1"/>
    <col min="31" max="31" width="36.88671875" customWidth="1"/>
    <col min="32" max="32" width="3" customWidth="1"/>
    <col min="33" max="33" width="9.109375" customWidth="1"/>
    <col min="34" max="34" width="26.44140625" customWidth="1"/>
    <col min="35" max="35" width="2.6640625" customWidth="1"/>
    <col min="36" max="36" width="5.44140625" customWidth="1"/>
    <col min="37" max="37" width="9.109375" customWidth="1"/>
    <col min="38" max="38" width="23.33203125" customWidth="1"/>
    <col min="39" max="39" width="2.6640625" customWidth="1"/>
    <col min="40" max="40" width="5.44140625" customWidth="1"/>
    <col min="41" max="41" width="9.109375" customWidth="1"/>
    <col min="42" max="42" width="16.33203125" customWidth="1"/>
    <col min="43" max="43" width="2.6640625" customWidth="1"/>
    <col min="44" max="44" width="9.109375" customWidth="1"/>
    <col min="45" max="46" width="11.33203125" customWidth="1"/>
    <col min="47" max="47" width="24.33203125" customWidth="1"/>
    <col min="48" max="48" width="2.6640625" customWidth="1"/>
    <col min="49" max="1980" width="9.109375" bestFit="1" customWidth="1"/>
    <col min="1981" max="1981" width="2.5546875" customWidth="1"/>
    <col min="1982" max="1985" width="9.109375" bestFit="1" customWidth="1"/>
    <col min="1986" max="1986" width="2.5546875" customWidth="1"/>
  </cols>
  <sheetData>
    <row r="1" spans="1:48" ht="18.75" customHeight="1">
      <c r="A1" s="185" t="s">
        <v>454</v>
      </c>
      <c r="B1" s="185"/>
      <c r="C1" s="185"/>
      <c r="D1" s="185"/>
      <c r="E1" s="185"/>
      <c r="F1" s="185"/>
      <c r="G1" s="185"/>
      <c r="H1" s="185"/>
      <c r="I1" s="185"/>
      <c r="J1" s="185"/>
      <c r="K1" s="185"/>
      <c r="L1" s="185"/>
      <c r="M1" s="185"/>
      <c r="N1" s="185"/>
      <c r="O1" s="185"/>
      <c r="P1" s="185"/>
      <c r="Q1" s="185"/>
      <c r="R1" s="185"/>
      <c r="S1" s="185"/>
      <c r="T1" s="185"/>
      <c r="U1" s="185"/>
      <c r="V1" s="185"/>
      <c r="W1" s="185"/>
      <c r="X1" s="185"/>
      <c r="Y1" s="185"/>
      <c r="AH1" s="164"/>
      <c r="AI1" s="164"/>
      <c r="AJ1" s="164"/>
      <c r="AK1" s="164"/>
      <c r="AL1" s="164"/>
    </row>
    <row r="2" spans="1:48">
      <c r="A2" s="32" t="s">
        <v>199</v>
      </c>
      <c r="B2" s="54" t="s">
        <v>200</v>
      </c>
      <c r="C2"/>
      <c r="D2" s="32" t="s">
        <v>201</v>
      </c>
      <c r="E2" s="54">
        <v>3</v>
      </c>
      <c r="F2" s="32" t="s">
        <v>202</v>
      </c>
      <c r="G2" s="54">
        <v>2026</v>
      </c>
      <c r="H2"/>
      <c r="I2"/>
      <c r="J2"/>
      <c r="K2"/>
      <c r="L2"/>
      <c r="M2"/>
      <c r="N2"/>
      <c r="O2"/>
      <c r="P2"/>
      <c r="Q2"/>
      <c r="R2"/>
      <c r="S2"/>
      <c r="T2"/>
      <c r="U2"/>
      <c r="V2"/>
      <c r="W2"/>
      <c r="X2"/>
      <c r="Y2"/>
    </row>
    <row r="3" spans="1:48">
      <c r="A3" s="53" t="s">
        <v>455</v>
      </c>
      <c r="B3"/>
      <c r="C3"/>
      <c r="D3"/>
      <c r="E3"/>
      <c r="F3"/>
      <c r="G3"/>
      <c r="H3"/>
      <c r="I3"/>
      <c r="J3"/>
      <c r="K3"/>
      <c r="L3"/>
      <c r="M3"/>
      <c r="N3"/>
      <c r="O3"/>
      <c r="P3"/>
      <c r="Q3"/>
      <c r="R3"/>
      <c r="S3"/>
      <c r="T3"/>
      <c r="U3"/>
      <c r="V3"/>
      <c r="W3"/>
      <c r="X3"/>
      <c r="Y3"/>
    </row>
    <row r="4" spans="1:48" ht="15" customHeight="1">
      <c r="A4" s="184" t="s">
        <v>231</v>
      </c>
      <c r="B4" s="184" t="s">
        <v>456</v>
      </c>
      <c r="C4" s="184" t="s">
        <v>457</v>
      </c>
      <c r="D4" s="184" t="s">
        <v>204</v>
      </c>
      <c r="E4" s="184" t="s">
        <v>458</v>
      </c>
      <c r="F4" s="184"/>
      <c r="G4" s="184" t="s">
        <v>459</v>
      </c>
      <c r="H4" s="184"/>
      <c r="I4" s="184" t="s">
        <v>216</v>
      </c>
      <c r="J4" s="184"/>
      <c r="K4" s="184"/>
      <c r="L4" s="187" t="s">
        <v>208</v>
      </c>
      <c r="M4" s="184" t="s">
        <v>217</v>
      </c>
      <c r="N4" s="184"/>
      <c r="O4" s="184" t="s">
        <v>218</v>
      </c>
      <c r="P4" s="184"/>
      <c r="Q4" s="186" t="s">
        <v>247</v>
      </c>
      <c r="R4" s="186" t="s">
        <v>248</v>
      </c>
      <c r="S4" s="186" t="s">
        <v>249</v>
      </c>
      <c r="T4" s="186" t="s">
        <v>250</v>
      </c>
      <c r="U4" s="186" t="s">
        <v>251</v>
      </c>
      <c r="V4" s="186" t="s">
        <v>252</v>
      </c>
      <c r="W4" s="186" t="s">
        <v>253</v>
      </c>
      <c r="X4" s="186" t="s">
        <v>254</v>
      </c>
      <c r="Y4" s="186" t="s">
        <v>255</v>
      </c>
      <c r="AA4" s="150" t="s">
        <v>460</v>
      </c>
      <c r="AB4" s="151" t="s">
        <v>461</v>
      </c>
      <c r="AC4" s="90" t="s">
        <v>462</v>
      </c>
      <c r="AE4" s="152" t="s">
        <v>204</v>
      </c>
      <c r="AH4" s="152" t="s">
        <v>205</v>
      </c>
      <c r="AL4" s="152" t="s">
        <v>206</v>
      </c>
      <c r="AP4" s="152" t="s">
        <v>207</v>
      </c>
      <c r="AS4" s="152" t="s">
        <v>208</v>
      </c>
    </row>
    <row r="5" spans="1:48" ht="15" customHeight="1">
      <c r="A5" s="184"/>
      <c r="B5" s="184"/>
      <c r="C5" s="184"/>
      <c r="D5" s="184"/>
      <c r="E5" s="166" t="s">
        <v>205</v>
      </c>
      <c r="F5" s="166" t="s">
        <v>233</v>
      </c>
      <c r="G5" s="166" t="s">
        <v>206</v>
      </c>
      <c r="H5" s="166" t="s">
        <v>233</v>
      </c>
      <c r="I5" s="166" t="s">
        <v>231</v>
      </c>
      <c r="J5" s="166" t="s">
        <v>232</v>
      </c>
      <c r="K5" s="166" t="s">
        <v>233</v>
      </c>
      <c r="L5" s="187"/>
      <c r="M5" s="166" t="s">
        <v>231</v>
      </c>
      <c r="N5" s="166" t="s">
        <v>233</v>
      </c>
      <c r="O5" s="166" t="s">
        <v>231</v>
      </c>
      <c r="P5" s="166" t="s">
        <v>233</v>
      </c>
      <c r="Q5" s="186"/>
      <c r="R5" s="186"/>
      <c r="S5" s="186"/>
      <c r="T5" s="186"/>
      <c r="U5" s="186"/>
      <c r="V5" s="186"/>
      <c r="W5" s="186"/>
      <c r="X5" s="186"/>
      <c r="Y5" s="186"/>
      <c r="AA5" s="163">
        <v>2024</v>
      </c>
      <c r="AB5" s="163" t="s">
        <v>463</v>
      </c>
      <c r="AC5" s="163">
        <v>5</v>
      </c>
      <c r="AE5" s="32" t="s">
        <v>219</v>
      </c>
      <c r="AF5" s="32" t="s">
        <v>220</v>
      </c>
      <c r="AH5" s="32" t="s">
        <v>219</v>
      </c>
      <c r="AI5" s="32" t="s">
        <v>220</v>
      </c>
      <c r="AJ5" s="32" t="s">
        <v>51</v>
      </c>
      <c r="AL5" s="32" t="s">
        <v>219</v>
      </c>
      <c r="AM5" s="32" t="s">
        <v>220</v>
      </c>
      <c r="AN5" s="32" t="s">
        <v>51</v>
      </c>
      <c r="AP5" s="32" t="s">
        <v>219</v>
      </c>
      <c r="AQ5" s="32" t="s">
        <v>220</v>
      </c>
      <c r="AS5" s="32" t="s">
        <v>464</v>
      </c>
      <c r="AT5" s="32" t="s">
        <v>465</v>
      </c>
      <c r="AU5" s="32" t="s">
        <v>466</v>
      </c>
      <c r="AV5" s="32" t="s">
        <v>220</v>
      </c>
    </row>
    <row r="6" spans="1:48" ht="15" customHeight="1">
      <c r="A6" s="153">
        <f t="shared" ref="A6:A37" si="0">ROW()-5</f>
        <v>1</v>
      </c>
      <c r="B6" s="86" t="s">
        <v>472</v>
      </c>
      <c r="C6" s="97" t="s">
        <v>505</v>
      </c>
      <c r="D6" s="86" t="s">
        <v>263</v>
      </c>
      <c r="E6" s="86" t="s">
        <v>282</v>
      </c>
      <c r="F6" s="86"/>
      <c r="G6" s="86" t="s">
        <v>283</v>
      </c>
      <c r="H6" s="86" t="s">
        <v>626</v>
      </c>
      <c r="I6" s="86"/>
      <c r="J6" s="86" t="s">
        <v>273</v>
      </c>
      <c r="K6" s="86" t="s">
        <v>506</v>
      </c>
      <c r="L6" s="154" t="str">
        <f t="shared" ref="L6:L14" si="1">IF(ISNUMBER(X6),W6&amp;" - "&amp;Y6,"")</f>
        <v>16 - Level Risiko Tinggi</v>
      </c>
      <c r="M6" s="86"/>
      <c r="N6" s="86" t="s">
        <v>507</v>
      </c>
      <c r="O6" s="86"/>
      <c r="P6" s="86"/>
      <c r="Q6" s="155">
        <f t="shared" ref="Q6:Q15" si="2">IF(ISBLANK(D6),"",VLOOKUP(D6,$AE$6:$AF$10,2,FALSE))</f>
        <v>7</v>
      </c>
      <c r="R6" s="155">
        <f t="shared" ref="R6:R15" si="3">IF(ISBLANK(E6),"",VLOOKUP(E6,$AH$6:$AI$10,2,FALSE))</f>
        <v>4</v>
      </c>
      <c r="S6" s="155">
        <f t="shared" ref="S6:S15" si="4">IF(ISBLANK(G6),"",VLOOKUP(G6,$AL$6:$AM$10,2,FALSE))</f>
        <v>4</v>
      </c>
      <c r="T6" s="155">
        <f t="shared" ref="T6:T15" si="5">IF(ISBLANK(J6),"",VLOOKUP(J6,$AP$6:$AQ$10,2,FALSE))</f>
        <v>2</v>
      </c>
      <c r="U6" s="155">
        <f t="shared" ref="U6:U15" si="6">IF(ISNUMBER(R6),VLOOKUP(R6,$AI$6:$AJ$10,2,FALSE),"")</f>
        <v>4</v>
      </c>
      <c r="V6" s="155">
        <f t="shared" ref="V6:V15" si="7">IF(ISNUMBER(S6),VLOOKUP(S6,$AM$6:$AN$10,2,FALSE),"")</f>
        <v>4</v>
      </c>
      <c r="W6" s="155">
        <f t="shared" ref="W6:W15" si="8">IF(AND(ISNUMBER(U6),ISNUMBER(V6)),U6*V6,"")</f>
        <v>16</v>
      </c>
      <c r="X6" s="155">
        <f t="shared" ref="X6:X15" si="9">IF(ISNUMBER(W6),LOOKUP(W6,$AS$6:$AS$10,$AV$6:$AV$10),"")</f>
        <v>6</v>
      </c>
      <c r="Y6" s="155" t="str">
        <f t="shared" ref="Y6:Y15" si="10">IF(ISNUMBER(W6),LOOKUP(W6,$AS$6:$AS$10,$AU$6:$AU$10),"")</f>
        <v>Level Risiko Tinggi</v>
      </c>
      <c r="AA6" s="163">
        <v>2024</v>
      </c>
      <c r="AB6" s="163" t="s">
        <v>472</v>
      </c>
      <c r="AC6" s="163">
        <v>4</v>
      </c>
      <c r="AE6" t="s">
        <v>263</v>
      </c>
      <c r="AF6">
        <v>7</v>
      </c>
      <c r="AH6" t="s">
        <v>264</v>
      </c>
      <c r="AI6">
        <v>1</v>
      </c>
      <c r="AJ6">
        <v>1</v>
      </c>
      <c r="AL6" t="s">
        <v>265</v>
      </c>
      <c r="AM6">
        <v>1</v>
      </c>
      <c r="AN6">
        <v>1</v>
      </c>
      <c r="AP6" t="s">
        <v>266</v>
      </c>
      <c r="AQ6">
        <v>1</v>
      </c>
      <c r="AS6">
        <v>1</v>
      </c>
      <c r="AT6">
        <v>5</v>
      </c>
      <c r="AU6" t="s">
        <v>267</v>
      </c>
      <c r="AV6">
        <v>2</v>
      </c>
    </row>
    <row r="7" spans="1:48" ht="15" customHeight="1">
      <c r="A7" s="157">
        <f t="shared" si="0"/>
        <v>2</v>
      </c>
      <c r="B7" s="87" t="s">
        <v>472</v>
      </c>
      <c r="C7" s="89" t="s">
        <v>509</v>
      </c>
      <c r="D7" s="87" t="s">
        <v>263</v>
      </c>
      <c r="E7" s="87" t="s">
        <v>276</v>
      </c>
      <c r="F7" s="87"/>
      <c r="G7" s="87" t="s">
        <v>277</v>
      </c>
      <c r="H7" s="87" t="s">
        <v>626</v>
      </c>
      <c r="I7" s="87"/>
      <c r="J7" s="87" t="s">
        <v>273</v>
      </c>
      <c r="K7" s="87" t="s">
        <v>627</v>
      </c>
      <c r="L7" s="154" t="str">
        <f t="shared" si="1"/>
        <v>9 - Level Risiko Rendah</v>
      </c>
      <c r="M7" s="87"/>
      <c r="N7" s="87" t="s">
        <v>511</v>
      </c>
      <c r="O7" s="87"/>
      <c r="P7" s="87"/>
      <c r="Q7" s="156">
        <f t="shared" si="2"/>
        <v>7</v>
      </c>
      <c r="R7" s="156">
        <f t="shared" si="3"/>
        <v>3</v>
      </c>
      <c r="S7" s="156">
        <f t="shared" si="4"/>
        <v>3</v>
      </c>
      <c r="T7" s="156">
        <f t="shared" si="5"/>
        <v>2</v>
      </c>
      <c r="U7" s="156">
        <f t="shared" si="6"/>
        <v>3</v>
      </c>
      <c r="V7" s="156">
        <f t="shared" si="7"/>
        <v>3</v>
      </c>
      <c r="W7" s="156">
        <f t="shared" si="8"/>
        <v>9</v>
      </c>
      <c r="X7" s="156">
        <f t="shared" si="9"/>
        <v>3</v>
      </c>
      <c r="Y7" s="156" t="str">
        <f t="shared" si="10"/>
        <v>Level Risiko Rendah</v>
      </c>
      <c r="AA7" s="163">
        <v>2024</v>
      </c>
      <c r="AB7" s="163" t="s">
        <v>477</v>
      </c>
      <c r="AC7" s="163">
        <v>3</v>
      </c>
      <c r="AE7" t="s">
        <v>270</v>
      </c>
      <c r="AF7">
        <v>8</v>
      </c>
      <c r="AH7" t="s">
        <v>271</v>
      </c>
      <c r="AI7">
        <v>2</v>
      </c>
      <c r="AJ7">
        <v>2</v>
      </c>
      <c r="AL7" t="s">
        <v>272</v>
      </c>
      <c r="AM7">
        <v>2</v>
      </c>
      <c r="AN7">
        <v>2</v>
      </c>
      <c r="AP7" t="s">
        <v>273</v>
      </c>
      <c r="AQ7">
        <v>2</v>
      </c>
      <c r="AS7">
        <v>6</v>
      </c>
      <c r="AT7">
        <v>11</v>
      </c>
      <c r="AU7" t="s">
        <v>279</v>
      </c>
      <c r="AV7">
        <v>3</v>
      </c>
    </row>
    <row r="8" spans="1:48" ht="45.75" customHeight="1">
      <c r="A8" s="153">
        <f t="shared" si="0"/>
        <v>3</v>
      </c>
      <c r="B8" s="86" t="s">
        <v>472</v>
      </c>
      <c r="C8" s="86" t="s">
        <v>512</v>
      </c>
      <c r="D8" s="86" t="s">
        <v>287</v>
      </c>
      <c r="E8" s="86" t="s">
        <v>276</v>
      </c>
      <c r="F8" s="86"/>
      <c r="G8" s="86" t="s">
        <v>277</v>
      </c>
      <c r="H8" s="86" t="s">
        <v>486</v>
      </c>
      <c r="I8" s="86"/>
      <c r="J8" s="86" t="s">
        <v>273</v>
      </c>
      <c r="K8" s="86" t="s">
        <v>510</v>
      </c>
      <c r="L8" s="154" t="str">
        <f t="shared" si="1"/>
        <v>9 - Level Risiko Rendah</v>
      </c>
      <c r="M8" s="86"/>
      <c r="N8" s="86" t="s">
        <v>513</v>
      </c>
      <c r="O8" s="86"/>
      <c r="P8" s="86"/>
      <c r="Q8" s="155">
        <f t="shared" si="2"/>
        <v>11</v>
      </c>
      <c r="R8" s="155">
        <f t="shared" si="3"/>
        <v>3</v>
      </c>
      <c r="S8" s="155">
        <f t="shared" si="4"/>
        <v>3</v>
      </c>
      <c r="T8" s="155">
        <f t="shared" si="5"/>
        <v>2</v>
      </c>
      <c r="U8" s="155">
        <f t="shared" si="6"/>
        <v>3</v>
      </c>
      <c r="V8" s="155">
        <f t="shared" si="7"/>
        <v>3</v>
      </c>
      <c r="W8" s="155">
        <f t="shared" si="8"/>
        <v>9</v>
      </c>
      <c r="X8" s="155">
        <f t="shared" si="9"/>
        <v>3</v>
      </c>
      <c r="Y8" s="155" t="str">
        <f t="shared" si="10"/>
        <v>Level Risiko Rendah</v>
      </c>
      <c r="AA8" s="163">
        <v>2024</v>
      </c>
      <c r="AB8" s="163" t="s">
        <v>479</v>
      </c>
      <c r="AC8" s="163">
        <v>2</v>
      </c>
      <c r="AE8" t="s">
        <v>275</v>
      </c>
      <c r="AF8">
        <v>9</v>
      </c>
      <c r="AH8" t="s">
        <v>276</v>
      </c>
      <c r="AI8">
        <v>3</v>
      </c>
      <c r="AJ8">
        <v>3</v>
      </c>
      <c r="AL8" t="s">
        <v>277</v>
      </c>
      <c r="AM8">
        <v>3</v>
      </c>
      <c r="AN8">
        <v>3</v>
      </c>
      <c r="AP8" t="s">
        <v>278</v>
      </c>
      <c r="AQ8">
        <v>3</v>
      </c>
      <c r="AS8">
        <v>12</v>
      </c>
      <c r="AT8">
        <v>15</v>
      </c>
      <c r="AU8" t="s">
        <v>285</v>
      </c>
      <c r="AV8">
        <v>4</v>
      </c>
    </row>
    <row r="9" spans="1:48" ht="182.25" customHeight="1">
      <c r="A9" s="157">
        <f t="shared" si="0"/>
        <v>4</v>
      </c>
      <c r="B9" s="87" t="s">
        <v>472</v>
      </c>
      <c r="C9" s="87" t="s">
        <v>515</v>
      </c>
      <c r="D9" s="87" t="s">
        <v>275</v>
      </c>
      <c r="E9" s="87" t="s">
        <v>276</v>
      </c>
      <c r="F9" s="87"/>
      <c r="G9" s="87" t="s">
        <v>283</v>
      </c>
      <c r="H9" s="87" t="s">
        <v>516</v>
      </c>
      <c r="I9" s="87"/>
      <c r="J9" s="87" t="s">
        <v>273</v>
      </c>
      <c r="K9" s="87" t="s">
        <v>517</v>
      </c>
      <c r="L9" s="154" t="str">
        <f t="shared" si="1"/>
        <v>12 - Level Risiko Sedang</v>
      </c>
      <c r="M9" s="87"/>
      <c r="N9" s="87" t="s">
        <v>518</v>
      </c>
      <c r="O9" s="87"/>
      <c r="P9" s="87"/>
      <c r="Q9" s="156">
        <f t="shared" si="2"/>
        <v>9</v>
      </c>
      <c r="R9" s="156">
        <f t="shared" si="3"/>
        <v>3</v>
      </c>
      <c r="S9" s="156">
        <f t="shared" si="4"/>
        <v>4</v>
      </c>
      <c r="T9" s="156">
        <f t="shared" si="5"/>
        <v>2</v>
      </c>
      <c r="U9" s="156">
        <f t="shared" si="6"/>
        <v>3</v>
      </c>
      <c r="V9" s="156">
        <f t="shared" si="7"/>
        <v>4</v>
      </c>
      <c r="W9" s="156">
        <f t="shared" si="8"/>
        <v>12</v>
      </c>
      <c r="X9" s="156">
        <f t="shared" si="9"/>
        <v>4</v>
      </c>
      <c r="Y9" s="156" t="str">
        <f t="shared" si="10"/>
        <v>Level Risiko Sedang</v>
      </c>
      <c r="AA9" s="163">
        <v>2024</v>
      </c>
      <c r="AB9" s="163" t="s">
        <v>484</v>
      </c>
      <c r="AC9" s="163">
        <v>1</v>
      </c>
      <c r="AE9" t="s">
        <v>281</v>
      </c>
      <c r="AF9">
        <v>10</v>
      </c>
      <c r="AH9" t="s">
        <v>282</v>
      </c>
      <c r="AI9">
        <v>4</v>
      </c>
      <c r="AJ9">
        <v>4</v>
      </c>
      <c r="AL9" t="s">
        <v>283</v>
      </c>
      <c r="AM9">
        <v>4</v>
      </c>
      <c r="AN9">
        <v>4</v>
      </c>
      <c r="AP9" t="s">
        <v>284</v>
      </c>
      <c r="AQ9">
        <v>4</v>
      </c>
      <c r="AS9">
        <v>16</v>
      </c>
      <c r="AT9">
        <v>19</v>
      </c>
      <c r="AU9" t="s">
        <v>291</v>
      </c>
      <c r="AV9">
        <v>6</v>
      </c>
    </row>
    <row r="10" spans="1:48" ht="95.25" customHeight="1">
      <c r="A10" s="153">
        <f t="shared" si="0"/>
        <v>5</v>
      </c>
      <c r="B10" s="86" t="s">
        <v>472</v>
      </c>
      <c r="C10" s="86" t="s">
        <v>520</v>
      </c>
      <c r="D10" s="86" t="s">
        <v>263</v>
      </c>
      <c r="E10" s="86" t="s">
        <v>276</v>
      </c>
      <c r="F10" s="86"/>
      <c r="G10" s="86" t="s">
        <v>283</v>
      </c>
      <c r="H10" s="86" t="s">
        <v>521</v>
      </c>
      <c r="I10" s="86"/>
      <c r="J10" s="86" t="s">
        <v>290</v>
      </c>
      <c r="K10" s="86" t="s">
        <v>522</v>
      </c>
      <c r="L10" s="154" t="str">
        <f t="shared" si="1"/>
        <v>12 - Level Risiko Sedang</v>
      </c>
      <c r="M10" s="86"/>
      <c r="N10" s="86" t="s">
        <v>523</v>
      </c>
      <c r="O10" s="86"/>
      <c r="P10" s="86"/>
      <c r="Q10" s="155">
        <f t="shared" si="2"/>
        <v>7</v>
      </c>
      <c r="R10" s="155">
        <f t="shared" si="3"/>
        <v>3</v>
      </c>
      <c r="S10" s="155">
        <f t="shared" si="4"/>
        <v>4</v>
      </c>
      <c r="T10" s="155">
        <f t="shared" si="5"/>
        <v>5</v>
      </c>
      <c r="U10" s="155">
        <f t="shared" si="6"/>
        <v>3</v>
      </c>
      <c r="V10" s="155">
        <f t="shared" si="7"/>
        <v>4</v>
      </c>
      <c r="W10" s="155">
        <f t="shared" si="8"/>
        <v>12</v>
      </c>
      <c r="X10" s="155">
        <f t="shared" si="9"/>
        <v>4</v>
      </c>
      <c r="Y10" s="155" t="str">
        <f t="shared" si="10"/>
        <v>Level Risiko Sedang</v>
      </c>
      <c r="AA10" s="163">
        <v>2024</v>
      </c>
      <c r="AB10" s="163" t="s">
        <v>488</v>
      </c>
      <c r="AC10" s="163">
        <v>5</v>
      </c>
      <c r="AE10" t="s">
        <v>287</v>
      </c>
      <c r="AF10">
        <v>11</v>
      </c>
      <c r="AH10" t="s">
        <v>288</v>
      </c>
      <c r="AI10">
        <v>5</v>
      </c>
      <c r="AJ10">
        <v>5</v>
      </c>
      <c r="AL10" t="s">
        <v>289</v>
      </c>
      <c r="AM10">
        <v>5</v>
      </c>
      <c r="AN10">
        <v>5</v>
      </c>
      <c r="AP10" t="s">
        <v>290</v>
      </c>
      <c r="AQ10">
        <v>5</v>
      </c>
      <c r="AS10">
        <v>20</v>
      </c>
      <c r="AT10">
        <v>25</v>
      </c>
      <c r="AU10" t="s">
        <v>294</v>
      </c>
      <c r="AV10">
        <v>5</v>
      </c>
    </row>
    <row r="11" spans="1:48" ht="51.75" customHeight="1">
      <c r="A11" s="157">
        <f t="shared" si="0"/>
        <v>6</v>
      </c>
      <c r="B11" s="87" t="s">
        <v>472</v>
      </c>
      <c r="C11" s="87" t="s">
        <v>628</v>
      </c>
      <c r="D11" s="87"/>
      <c r="E11" s="87"/>
      <c r="F11" s="87"/>
      <c r="G11" s="87"/>
      <c r="H11" s="87"/>
      <c r="I11" s="87"/>
      <c r="J11" s="87"/>
      <c r="K11" s="87"/>
      <c r="L11" s="154" t="str">
        <f t="shared" si="1"/>
        <v/>
      </c>
      <c r="M11" s="87"/>
      <c r="N11" s="87"/>
      <c r="O11" s="87"/>
      <c r="P11" s="87"/>
      <c r="Q11" s="156" t="str">
        <f t="shared" si="2"/>
        <v/>
      </c>
      <c r="R11" s="156" t="str">
        <f t="shared" si="3"/>
        <v/>
      </c>
      <c r="S11" s="156" t="str">
        <f t="shared" si="4"/>
        <v/>
      </c>
      <c r="T11" s="156" t="str">
        <f t="shared" si="5"/>
        <v/>
      </c>
      <c r="U11" s="156" t="str">
        <f t="shared" si="6"/>
        <v/>
      </c>
      <c r="V11" s="156" t="str">
        <f t="shared" si="7"/>
        <v/>
      </c>
      <c r="W11" s="156" t="str">
        <f t="shared" si="8"/>
        <v/>
      </c>
      <c r="X11" s="156" t="str">
        <f t="shared" si="9"/>
        <v/>
      </c>
      <c r="Y11" s="156" t="str">
        <f t="shared" si="10"/>
        <v/>
      </c>
      <c r="AA11" s="163">
        <v>2024</v>
      </c>
      <c r="AB11" s="163" t="s">
        <v>493</v>
      </c>
      <c r="AC11" s="163">
        <v>4</v>
      </c>
      <c r="AE11" t="s">
        <v>494</v>
      </c>
      <c r="AF11">
        <v>12</v>
      </c>
    </row>
    <row r="12" spans="1:48" ht="15" customHeight="1">
      <c r="A12" s="153">
        <f t="shared" si="0"/>
        <v>7</v>
      </c>
      <c r="B12" s="86" t="s">
        <v>463</v>
      </c>
      <c r="C12" s="86"/>
      <c r="D12" s="86"/>
      <c r="E12" s="86"/>
      <c r="F12" s="86"/>
      <c r="G12" s="86"/>
      <c r="H12" s="86"/>
      <c r="I12" s="86"/>
      <c r="J12" s="86"/>
      <c r="K12" s="86"/>
      <c r="L12" s="154" t="str">
        <f t="shared" si="1"/>
        <v/>
      </c>
      <c r="M12" s="86"/>
      <c r="N12" s="86"/>
      <c r="O12" s="86"/>
      <c r="P12" s="86"/>
      <c r="Q12" s="155" t="str">
        <f t="shared" si="2"/>
        <v/>
      </c>
      <c r="R12" s="155" t="str">
        <f t="shared" si="3"/>
        <v/>
      </c>
      <c r="S12" s="155" t="str">
        <f t="shared" si="4"/>
        <v/>
      </c>
      <c r="T12" s="155" t="str">
        <f t="shared" si="5"/>
        <v/>
      </c>
      <c r="U12" s="155" t="str">
        <f t="shared" si="6"/>
        <v/>
      </c>
      <c r="V12" s="155" t="str">
        <f t="shared" si="7"/>
        <v/>
      </c>
      <c r="W12" s="155" t="str">
        <f t="shared" si="8"/>
        <v/>
      </c>
      <c r="X12" s="155" t="str">
        <f t="shared" si="9"/>
        <v/>
      </c>
      <c r="Y12" s="155" t="str">
        <f t="shared" si="10"/>
        <v/>
      </c>
      <c r="AA12" s="163">
        <v>2024</v>
      </c>
      <c r="AB12" s="163" t="s">
        <v>499</v>
      </c>
      <c r="AC12" s="163">
        <v>3</v>
      </c>
    </row>
    <row r="13" spans="1:48">
      <c r="A13" s="157">
        <f t="shared" si="0"/>
        <v>8</v>
      </c>
      <c r="B13" s="87"/>
      <c r="C13" s="87"/>
      <c r="D13" s="87"/>
      <c r="E13" s="87"/>
      <c r="F13" s="87"/>
      <c r="G13" s="87"/>
      <c r="H13" s="87"/>
      <c r="I13" s="87"/>
      <c r="J13" s="87"/>
      <c r="K13" s="87"/>
      <c r="L13" s="154" t="str">
        <f t="shared" si="1"/>
        <v/>
      </c>
      <c r="M13" s="87"/>
      <c r="N13" s="87"/>
      <c r="O13" s="87"/>
      <c r="P13" s="87"/>
      <c r="Q13" s="156" t="str">
        <f t="shared" si="2"/>
        <v/>
      </c>
      <c r="R13" s="156" t="str">
        <f t="shared" si="3"/>
        <v/>
      </c>
      <c r="S13" s="156" t="str">
        <f t="shared" si="4"/>
        <v/>
      </c>
      <c r="T13" s="156" t="str">
        <f t="shared" si="5"/>
        <v/>
      </c>
      <c r="U13" s="156" t="str">
        <f t="shared" si="6"/>
        <v/>
      </c>
      <c r="V13" s="156" t="str">
        <f t="shared" si="7"/>
        <v/>
      </c>
      <c r="W13" s="156" t="str">
        <f t="shared" si="8"/>
        <v/>
      </c>
      <c r="X13" s="156" t="str">
        <f t="shared" si="9"/>
        <v/>
      </c>
      <c r="Y13" s="156" t="str">
        <f t="shared" si="10"/>
        <v/>
      </c>
      <c r="AA13" s="163">
        <v>2025</v>
      </c>
      <c r="AB13" s="163" t="s">
        <v>504</v>
      </c>
      <c r="AC13" s="163">
        <v>2</v>
      </c>
    </row>
    <row r="14" spans="1:48">
      <c r="A14" s="153">
        <f t="shared" si="0"/>
        <v>9</v>
      </c>
      <c r="B14" s="86"/>
      <c r="C14" s="86"/>
      <c r="D14" s="86"/>
      <c r="E14" s="86"/>
      <c r="F14" s="86"/>
      <c r="G14" s="86"/>
      <c r="H14" s="86"/>
      <c r="I14" s="86"/>
      <c r="J14" s="86"/>
      <c r="K14" s="86"/>
      <c r="L14" s="154" t="str">
        <f t="shared" si="1"/>
        <v/>
      </c>
      <c r="M14" s="86"/>
      <c r="N14" s="86"/>
      <c r="O14" s="86"/>
      <c r="P14" s="86"/>
      <c r="Q14" s="155" t="str">
        <f t="shared" si="2"/>
        <v/>
      </c>
      <c r="R14" s="155" t="str">
        <f t="shared" si="3"/>
        <v/>
      </c>
      <c r="S14" s="155" t="str">
        <f t="shared" si="4"/>
        <v/>
      </c>
      <c r="T14" s="155" t="str">
        <f t="shared" si="5"/>
        <v/>
      </c>
      <c r="U14" s="155" t="str">
        <f t="shared" si="6"/>
        <v/>
      </c>
      <c r="V14" s="155" t="str">
        <f t="shared" si="7"/>
        <v/>
      </c>
      <c r="W14" s="155" t="str">
        <f t="shared" si="8"/>
        <v/>
      </c>
      <c r="X14" s="155" t="str">
        <f t="shared" si="9"/>
        <v/>
      </c>
      <c r="Y14" s="155" t="str">
        <f t="shared" si="10"/>
        <v/>
      </c>
      <c r="AA14" s="163">
        <v>2025</v>
      </c>
      <c r="AB14" s="163" t="s">
        <v>508</v>
      </c>
      <c r="AC14" s="163">
        <v>1</v>
      </c>
    </row>
    <row r="15" spans="1:48">
      <c r="A15" s="157">
        <f t="shared" si="0"/>
        <v>10</v>
      </c>
      <c r="B15" s="87"/>
      <c r="C15" s="89"/>
      <c r="D15" s="87"/>
      <c r="E15" s="87"/>
      <c r="F15" s="87"/>
      <c r="G15" s="87"/>
      <c r="H15" s="87"/>
      <c r="I15" s="87"/>
      <c r="J15" s="87"/>
      <c r="K15" s="87"/>
      <c r="L15" s="154"/>
      <c r="M15" s="87"/>
      <c r="N15" s="87"/>
      <c r="O15" s="87"/>
      <c r="P15" s="87"/>
      <c r="Q15" s="156" t="str">
        <f t="shared" si="2"/>
        <v/>
      </c>
      <c r="R15" s="156" t="str">
        <f t="shared" si="3"/>
        <v/>
      </c>
      <c r="S15" s="156" t="str">
        <f t="shared" si="4"/>
        <v/>
      </c>
      <c r="T15" s="156" t="str">
        <f t="shared" si="5"/>
        <v/>
      </c>
      <c r="U15" s="156" t="str">
        <f t="shared" si="6"/>
        <v/>
      </c>
      <c r="V15" s="156" t="str">
        <f t="shared" si="7"/>
        <v/>
      </c>
      <c r="W15" s="156" t="str">
        <f t="shared" si="8"/>
        <v/>
      </c>
      <c r="X15" s="156" t="str">
        <f t="shared" si="9"/>
        <v/>
      </c>
      <c r="Y15" s="156" t="str">
        <f t="shared" si="10"/>
        <v/>
      </c>
      <c r="AA15" s="163">
        <v>2025</v>
      </c>
      <c r="AB15" s="163" t="s">
        <v>480</v>
      </c>
      <c r="AC15" s="163">
        <v>5</v>
      </c>
    </row>
    <row r="16" spans="1:48">
      <c r="A16" s="153">
        <f t="shared" si="0"/>
        <v>11</v>
      </c>
      <c r="B16" s="86"/>
      <c r="C16" s="86"/>
      <c r="D16" s="86"/>
      <c r="E16" s="86"/>
      <c r="F16" s="86"/>
      <c r="G16" s="86"/>
      <c r="H16" s="86"/>
      <c r="I16" s="86"/>
      <c r="J16" s="86"/>
      <c r="K16" s="86"/>
      <c r="L16" s="154" t="str">
        <f>IF(ISNUMBER(X16),W16&amp;" - "&amp;Y16,"")</f>
        <v/>
      </c>
      <c r="M16" s="86"/>
      <c r="N16" s="86"/>
      <c r="O16" s="86"/>
      <c r="P16" s="86"/>
      <c r="AA16" s="163">
        <v>2025</v>
      </c>
      <c r="AB16" s="163" t="s">
        <v>514</v>
      </c>
      <c r="AC16" s="163">
        <v>4</v>
      </c>
    </row>
    <row r="17" spans="1:29">
      <c r="A17" s="157">
        <f t="shared" si="0"/>
        <v>12</v>
      </c>
      <c r="B17" s="87"/>
      <c r="C17" s="89"/>
      <c r="D17" s="87"/>
      <c r="E17" s="87"/>
      <c r="F17" s="87"/>
      <c r="G17" s="87"/>
      <c r="H17" s="87"/>
      <c r="I17" s="87"/>
      <c r="J17" s="87"/>
      <c r="K17" s="87"/>
      <c r="L17" s="154"/>
      <c r="M17" s="87"/>
      <c r="N17" s="87"/>
      <c r="O17" s="87"/>
      <c r="P17" s="87"/>
      <c r="AA17" s="163">
        <v>2025</v>
      </c>
      <c r="AB17" s="163" t="s">
        <v>519</v>
      </c>
      <c r="AC17" s="163">
        <v>3</v>
      </c>
    </row>
    <row r="18" spans="1:29">
      <c r="A18" s="153">
        <f t="shared" si="0"/>
        <v>13</v>
      </c>
      <c r="B18" s="86"/>
      <c r="C18" s="86"/>
      <c r="D18" s="86"/>
      <c r="E18" s="86"/>
      <c r="F18" s="86"/>
      <c r="G18" s="86"/>
      <c r="H18" s="86"/>
      <c r="I18" s="86"/>
      <c r="J18" s="86"/>
      <c r="K18" s="86"/>
      <c r="L18" s="154" t="str">
        <f>IF(ISNUMBER(X18),W18&amp;" - "&amp;Y18,"")</f>
        <v/>
      </c>
      <c r="M18" s="86"/>
      <c r="N18" s="86"/>
      <c r="O18" s="86"/>
      <c r="P18" s="86"/>
      <c r="AA18" s="163">
        <v>2025</v>
      </c>
      <c r="AB18" s="163" t="s">
        <v>524</v>
      </c>
      <c r="AC18" s="163">
        <v>2</v>
      </c>
    </row>
    <row r="19" spans="1:29">
      <c r="A19" s="157">
        <f t="shared" si="0"/>
        <v>14</v>
      </c>
      <c r="B19" s="87"/>
      <c r="C19" s="89"/>
      <c r="D19" s="87"/>
      <c r="E19" s="87"/>
      <c r="F19" s="87"/>
      <c r="G19" s="87"/>
      <c r="H19" s="87"/>
      <c r="I19" s="87"/>
      <c r="J19" s="87"/>
      <c r="K19" s="87"/>
      <c r="L19" s="154"/>
      <c r="M19" s="87"/>
      <c r="N19" s="87"/>
      <c r="O19" s="87"/>
      <c r="P19" s="87"/>
      <c r="AA19" s="163">
        <v>2025</v>
      </c>
      <c r="AB19" s="163" t="s">
        <v>530</v>
      </c>
      <c r="AC19" s="163">
        <v>1</v>
      </c>
    </row>
    <row r="20" spans="1:29">
      <c r="A20" s="153">
        <f t="shared" si="0"/>
        <v>15</v>
      </c>
      <c r="B20" s="86"/>
      <c r="C20" s="86"/>
      <c r="D20" s="86"/>
      <c r="E20" s="86"/>
      <c r="F20" s="86"/>
      <c r="G20" s="86"/>
      <c r="H20" s="86"/>
      <c r="I20" s="86"/>
      <c r="J20" s="86"/>
      <c r="K20" s="86"/>
      <c r="L20" s="154" t="str">
        <f>IF(ISNUMBER(X20),W20&amp;" - "&amp;Y20,"")</f>
        <v/>
      </c>
      <c r="M20" s="86"/>
      <c r="N20" s="86"/>
      <c r="O20" s="86"/>
      <c r="P20" s="86"/>
      <c r="AA20" s="163">
        <v>2025</v>
      </c>
      <c r="AB20" s="163" t="s">
        <v>535</v>
      </c>
      <c r="AC20" s="163">
        <v>5</v>
      </c>
    </row>
    <row r="21" spans="1:29">
      <c r="A21" s="157">
        <f t="shared" si="0"/>
        <v>16</v>
      </c>
      <c r="B21" s="87"/>
      <c r="C21" s="89"/>
      <c r="D21" s="87"/>
      <c r="E21" s="87"/>
      <c r="F21" s="87"/>
      <c r="G21" s="87"/>
      <c r="H21" s="87"/>
      <c r="I21" s="87"/>
      <c r="J21" s="87"/>
      <c r="K21" s="87"/>
      <c r="L21" s="154"/>
      <c r="M21" s="87"/>
      <c r="N21" s="87"/>
      <c r="O21" s="87"/>
      <c r="P21" s="87"/>
      <c r="AA21" s="163">
        <v>2025</v>
      </c>
      <c r="AB21" s="163" t="s">
        <v>540</v>
      </c>
      <c r="AC21" s="163">
        <v>4</v>
      </c>
    </row>
    <row r="22" spans="1:29">
      <c r="A22" s="153">
        <f t="shared" si="0"/>
        <v>17</v>
      </c>
      <c r="B22" s="86"/>
      <c r="C22" s="86"/>
      <c r="D22" s="86"/>
      <c r="E22" s="86"/>
      <c r="F22" s="86"/>
      <c r="G22" s="86"/>
      <c r="H22" s="86"/>
      <c r="I22" s="86"/>
      <c r="J22" s="86"/>
      <c r="K22" s="86"/>
      <c r="L22" s="154" t="str">
        <f>IF(ISNUMBER(X22),W22&amp;" - "&amp;Y22,"")</f>
        <v/>
      </c>
      <c r="M22" s="86"/>
      <c r="N22" s="86"/>
      <c r="O22" s="86"/>
      <c r="P22" s="86"/>
      <c r="AA22" s="163">
        <v>2025</v>
      </c>
      <c r="AB22" s="163" t="s">
        <v>545</v>
      </c>
      <c r="AC22" s="163">
        <v>3</v>
      </c>
    </row>
    <row r="23" spans="1:29">
      <c r="A23" s="157">
        <f t="shared" si="0"/>
        <v>18</v>
      </c>
      <c r="B23" s="87"/>
      <c r="C23" s="89"/>
      <c r="D23" s="87"/>
      <c r="E23" s="87"/>
      <c r="F23" s="87"/>
      <c r="G23" s="87"/>
      <c r="H23" s="87"/>
      <c r="I23" s="87"/>
      <c r="J23" s="87"/>
      <c r="K23" s="87"/>
      <c r="L23" s="154"/>
      <c r="M23" s="87"/>
      <c r="N23" s="87"/>
      <c r="O23" s="87"/>
      <c r="P23" s="87"/>
      <c r="AA23" s="163">
        <v>2025</v>
      </c>
      <c r="AB23" s="163" t="s">
        <v>554</v>
      </c>
      <c r="AC23" s="163">
        <v>2</v>
      </c>
    </row>
    <row r="24" spans="1:29">
      <c r="A24" s="153">
        <f t="shared" si="0"/>
        <v>19</v>
      </c>
      <c r="B24" s="86"/>
      <c r="C24" s="86"/>
      <c r="D24" s="86"/>
      <c r="E24" s="86"/>
      <c r="F24" s="86"/>
      <c r="G24" s="86"/>
      <c r="H24" s="86"/>
      <c r="I24" s="86"/>
      <c r="J24" s="86"/>
      <c r="K24" s="86"/>
      <c r="L24" s="154" t="str">
        <f>IF(ISNUMBER(X24),W24&amp;" - "&amp;Y24,"")</f>
        <v/>
      </c>
      <c r="M24" s="86"/>
      <c r="N24" s="86"/>
      <c r="O24" s="86"/>
      <c r="P24" s="86"/>
      <c r="AA24" s="163">
        <v>2025</v>
      </c>
      <c r="AB24" s="163" t="s">
        <v>561</v>
      </c>
      <c r="AC24" s="163">
        <v>1</v>
      </c>
    </row>
    <row r="25" spans="1:29">
      <c r="A25" s="157">
        <f t="shared" si="0"/>
        <v>20</v>
      </c>
      <c r="B25" s="87"/>
      <c r="C25" s="89"/>
      <c r="D25" s="87"/>
      <c r="E25" s="87"/>
      <c r="F25" s="87"/>
      <c r="G25" s="87"/>
      <c r="H25" s="87"/>
      <c r="I25" s="87"/>
      <c r="J25" s="87"/>
      <c r="K25" s="87"/>
      <c r="L25" s="154"/>
      <c r="M25" s="87"/>
      <c r="N25" s="87"/>
      <c r="O25" s="87"/>
      <c r="P25" s="87"/>
      <c r="AA25" s="163">
        <v>2025</v>
      </c>
      <c r="AB25" s="163" t="s">
        <v>569</v>
      </c>
      <c r="AC25" s="163">
        <v>5</v>
      </c>
    </row>
    <row r="26" spans="1:29">
      <c r="A26" s="153">
        <f t="shared" si="0"/>
        <v>21</v>
      </c>
      <c r="B26" s="86"/>
      <c r="C26" s="86"/>
      <c r="D26" s="86"/>
      <c r="E26" s="86"/>
      <c r="F26" s="86"/>
      <c r="G26" s="86"/>
      <c r="H26" s="86"/>
      <c r="I26" s="86"/>
      <c r="J26" s="86"/>
      <c r="K26" s="86"/>
      <c r="L26" s="154" t="str">
        <f>IF(ISNUMBER(X26),W26&amp;" - "&amp;Y26,"")</f>
        <v/>
      </c>
      <c r="M26" s="86"/>
      <c r="N26" s="86"/>
      <c r="O26" s="86"/>
      <c r="P26" s="86"/>
      <c r="AA26" s="163">
        <v>2025</v>
      </c>
      <c r="AB26" s="163" t="s">
        <v>576</v>
      </c>
      <c r="AC26" s="163">
        <v>4</v>
      </c>
    </row>
    <row r="27" spans="1:29">
      <c r="A27" s="157">
        <f t="shared" si="0"/>
        <v>22</v>
      </c>
      <c r="B27" s="87"/>
      <c r="C27" s="89"/>
      <c r="D27" s="87"/>
      <c r="E27" s="87"/>
      <c r="F27" s="87"/>
      <c r="G27" s="87"/>
      <c r="H27" s="87"/>
      <c r="I27" s="87"/>
      <c r="J27" s="87"/>
      <c r="K27" s="87"/>
      <c r="L27" s="154"/>
      <c r="M27" s="87"/>
      <c r="N27" s="87"/>
      <c r="O27" s="87"/>
      <c r="P27" s="87"/>
      <c r="AA27" s="163">
        <v>2025</v>
      </c>
      <c r="AB27" s="163" t="s">
        <v>583</v>
      </c>
      <c r="AC27" s="163">
        <v>3</v>
      </c>
    </row>
    <row r="28" spans="1:29">
      <c r="A28" s="153">
        <f t="shared" si="0"/>
        <v>23</v>
      </c>
      <c r="B28" s="86"/>
      <c r="C28" s="86"/>
      <c r="D28" s="86"/>
      <c r="E28" s="86"/>
      <c r="F28" s="86"/>
      <c r="G28" s="86"/>
      <c r="H28" s="86"/>
      <c r="I28" s="86"/>
      <c r="J28" s="86"/>
      <c r="K28" s="86"/>
      <c r="L28" s="154" t="str">
        <f>IF(ISNUMBER(X28),W28&amp;" - "&amp;Y28,"")</f>
        <v/>
      </c>
      <c r="M28" s="86"/>
      <c r="N28" s="86"/>
      <c r="O28" s="86"/>
      <c r="P28" s="86"/>
      <c r="AA28" s="163">
        <v>2025</v>
      </c>
      <c r="AB28" s="163" t="s">
        <v>590</v>
      </c>
      <c r="AC28" s="163">
        <v>2</v>
      </c>
    </row>
    <row r="29" spans="1:29">
      <c r="A29" s="157">
        <f t="shared" si="0"/>
        <v>24</v>
      </c>
      <c r="B29" s="87"/>
      <c r="C29" s="89"/>
      <c r="D29" s="87"/>
      <c r="E29" s="87"/>
      <c r="F29" s="87"/>
      <c r="G29" s="87"/>
      <c r="H29" s="87"/>
      <c r="I29" s="87"/>
      <c r="J29" s="87"/>
      <c r="K29" s="87"/>
      <c r="L29" s="154"/>
      <c r="M29" s="87"/>
      <c r="N29" s="87"/>
      <c r="O29" s="87"/>
      <c r="P29" s="87"/>
      <c r="AA29" s="163">
        <v>2025</v>
      </c>
      <c r="AB29" s="163" t="s">
        <v>597</v>
      </c>
      <c r="AC29" s="163">
        <v>1</v>
      </c>
    </row>
    <row r="30" spans="1:29">
      <c r="A30" s="153">
        <f t="shared" si="0"/>
        <v>25</v>
      </c>
      <c r="B30" s="86"/>
      <c r="C30" s="86"/>
      <c r="D30" s="86"/>
      <c r="E30" s="86"/>
      <c r="F30" s="86"/>
      <c r="G30" s="86"/>
      <c r="H30" s="86"/>
      <c r="I30" s="86"/>
      <c r="J30" s="86"/>
      <c r="K30" s="86"/>
      <c r="L30" s="154" t="str">
        <f>IF(ISNUMBER(X30),W30&amp;" - "&amp;Y30,"")</f>
        <v/>
      </c>
      <c r="M30" s="86"/>
      <c r="N30" s="86"/>
      <c r="O30" s="86"/>
      <c r="P30" s="86"/>
      <c r="AA30" s="163">
        <v>2025</v>
      </c>
      <c r="AB30" s="163" t="s">
        <v>604</v>
      </c>
      <c r="AC30" s="163">
        <v>5</v>
      </c>
    </row>
    <row r="31" spans="1:29">
      <c r="A31" s="157">
        <f t="shared" si="0"/>
        <v>26</v>
      </c>
      <c r="B31" s="87"/>
      <c r="C31" s="89"/>
      <c r="D31" s="87"/>
      <c r="E31" s="87"/>
      <c r="F31" s="87"/>
      <c r="G31" s="87"/>
      <c r="H31" s="87"/>
      <c r="I31" s="87"/>
      <c r="J31" s="87"/>
      <c r="K31" s="87"/>
      <c r="L31" s="154"/>
      <c r="M31" s="87"/>
      <c r="N31" s="87"/>
      <c r="O31" s="87"/>
      <c r="P31" s="87"/>
      <c r="AA31" s="163">
        <v>2025</v>
      </c>
      <c r="AB31" s="163" t="s">
        <v>611</v>
      </c>
      <c r="AC31" s="163">
        <v>4</v>
      </c>
    </row>
    <row r="32" spans="1:29">
      <c r="A32" s="153">
        <f t="shared" si="0"/>
        <v>27</v>
      </c>
      <c r="B32" s="86"/>
      <c r="C32" s="86"/>
      <c r="D32" s="86"/>
      <c r="E32" s="86"/>
      <c r="F32" s="86"/>
      <c r="G32" s="86"/>
      <c r="H32" s="86"/>
      <c r="I32" s="86"/>
      <c r="J32" s="86"/>
      <c r="K32" s="86"/>
      <c r="L32" s="154" t="str">
        <f>IF(ISNUMBER(X32),W32&amp;" - "&amp;Y32,"")</f>
        <v/>
      </c>
      <c r="M32" s="86"/>
      <c r="N32" s="86"/>
      <c r="O32" s="86"/>
      <c r="P32" s="86"/>
      <c r="AA32" s="163">
        <v>2025</v>
      </c>
      <c r="AB32" s="163" t="s">
        <v>525</v>
      </c>
      <c r="AC32" s="163">
        <v>3</v>
      </c>
    </row>
    <row r="33" spans="1:29">
      <c r="A33" s="157">
        <f t="shared" si="0"/>
        <v>28</v>
      </c>
      <c r="B33" s="87"/>
      <c r="C33" s="89"/>
      <c r="D33" s="87"/>
      <c r="E33" s="87"/>
      <c r="F33" s="87"/>
      <c r="G33" s="87"/>
      <c r="H33" s="87"/>
      <c r="I33" s="87"/>
      <c r="J33" s="87"/>
      <c r="K33" s="87"/>
      <c r="L33" s="154"/>
      <c r="M33" s="87"/>
      <c r="N33" s="87"/>
      <c r="O33" s="87"/>
      <c r="P33" s="87"/>
      <c r="AA33" s="163">
        <v>2025</v>
      </c>
      <c r="AB33" s="163" t="s">
        <v>624</v>
      </c>
      <c r="AC33" s="163">
        <v>2</v>
      </c>
    </row>
    <row r="34" spans="1:29">
      <c r="A34" s="153">
        <f t="shared" si="0"/>
        <v>29</v>
      </c>
      <c r="B34" s="86"/>
      <c r="C34" s="86"/>
      <c r="D34" s="86"/>
      <c r="E34" s="86"/>
      <c r="F34" s="86"/>
      <c r="G34" s="86"/>
      <c r="H34" s="86"/>
      <c r="I34" s="86"/>
      <c r="J34" s="86"/>
      <c r="K34" s="86"/>
      <c r="L34" s="154" t="str">
        <f>IF(ISNUMBER(X34),W34&amp;" - "&amp;Y34,"")</f>
        <v/>
      </c>
      <c r="M34" s="86"/>
      <c r="N34" s="86"/>
      <c r="O34" s="86"/>
      <c r="P34" s="86"/>
      <c r="AA34" s="163">
        <v>2025</v>
      </c>
      <c r="AB34" s="163" t="s">
        <v>625</v>
      </c>
      <c r="AC34" s="163">
        <v>1</v>
      </c>
    </row>
    <row r="35" spans="1:29">
      <c r="A35" s="157">
        <f t="shared" si="0"/>
        <v>30</v>
      </c>
      <c r="B35" s="87"/>
      <c r="C35" s="89"/>
      <c r="D35" s="87"/>
      <c r="E35" s="87"/>
      <c r="F35" s="87"/>
      <c r="G35" s="87"/>
      <c r="H35" s="87"/>
      <c r="I35" s="87"/>
      <c r="J35" s="87"/>
      <c r="K35" s="87"/>
      <c r="L35" s="154"/>
      <c r="M35" s="87"/>
      <c r="N35" s="87"/>
      <c r="O35" s="87"/>
      <c r="P35" s="87"/>
    </row>
    <row r="36" spans="1:29">
      <c r="A36" s="153">
        <f t="shared" si="0"/>
        <v>31</v>
      </c>
      <c r="B36" s="86"/>
      <c r="C36" s="86"/>
      <c r="D36" s="86"/>
      <c r="E36" s="86"/>
      <c r="F36" s="86"/>
      <c r="G36" s="86"/>
      <c r="H36" s="86"/>
      <c r="I36" s="86"/>
      <c r="J36" s="86"/>
      <c r="K36" s="86"/>
      <c r="L36" s="154" t="str">
        <f>IF(ISNUMBER(X36),W36&amp;" - "&amp;Y36,"")</f>
        <v/>
      </c>
      <c r="M36" s="86"/>
      <c r="N36" s="86"/>
      <c r="O36" s="86"/>
      <c r="P36" s="86"/>
    </row>
    <row r="37" spans="1:29">
      <c r="A37" s="157">
        <f t="shared" si="0"/>
        <v>32</v>
      </c>
      <c r="B37" s="87"/>
      <c r="C37" s="89"/>
      <c r="D37" s="87"/>
      <c r="E37" s="87"/>
      <c r="F37" s="87"/>
      <c r="G37" s="87"/>
      <c r="H37" s="87"/>
      <c r="I37" s="87"/>
      <c r="J37" s="87"/>
      <c r="K37" s="87"/>
      <c r="L37" s="154"/>
      <c r="M37" s="87"/>
      <c r="N37" s="87"/>
      <c r="O37" s="87"/>
      <c r="P37" s="87"/>
    </row>
    <row r="38" spans="1:29">
      <c r="A38" s="153">
        <f t="shared" ref="A38:A66" si="11">ROW()-5</f>
        <v>33</v>
      </c>
      <c r="B38" s="86"/>
      <c r="C38" s="86"/>
      <c r="D38" s="86"/>
      <c r="E38" s="86"/>
      <c r="F38" s="86"/>
      <c r="G38" s="86"/>
      <c r="H38" s="86"/>
      <c r="I38" s="86"/>
      <c r="J38" s="86"/>
      <c r="K38" s="86"/>
      <c r="L38" s="154" t="str">
        <f>IF(ISNUMBER(X38),W38&amp;" - "&amp;Y38,"")</f>
        <v/>
      </c>
      <c r="M38" s="86"/>
      <c r="N38" s="86"/>
      <c r="O38" s="86"/>
      <c r="P38" s="86"/>
    </row>
    <row r="39" spans="1:29">
      <c r="A39" s="157">
        <f t="shared" si="11"/>
        <v>34</v>
      </c>
      <c r="B39" s="87"/>
      <c r="C39" s="89"/>
      <c r="D39" s="87"/>
      <c r="E39" s="87"/>
      <c r="F39" s="87"/>
      <c r="G39" s="87"/>
      <c r="H39" s="87"/>
      <c r="I39" s="87"/>
      <c r="J39" s="87"/>
      <c r="K39" s="87"/>
      <c r="L39" s="154"/>
      <c r="M39" s="87"/>
      <c r="N39" s="87"/>
      <c r="O39" s="87"/>
      <c r="P39" s="87"/>
    </row>
    <row r="40" spans="1:29">
      <c r="A40" s="153">
        <f t="shared" si="11"/>
        <v>35</v>
      </c>
      <c r="B40" s="86"/>
      <c r="C40" s="86"/>
      <c r="D40" s="86"/>
      <c r="E40" s="86"/>
      <c r="F40" s="86"/>
      <c r="G40" s="86"/>
      <c r="H40" s="86"/>
      <c r="I40" s="86"/>
      <c r="J40" s="86"/>
      <c r="K40" s="86"/>
      <c r="L40" s="154" t="str">
        <f>IF(ISNUMBER(X40),W40&amp;" - "&amp;Y40,"")</f>
        <v/>
      </c>
      <c r="M40" s="86"/>
      <c r="N40" s="86"/>
      <c r="O40" s="86"/>
      <c r="P40" s="86"/>
    </row>
    <row r="41" spans="1:29">
      <c r="A41" s="157">
        <f t="shared" si="11"/>
        <v>36</v>
      </c>
      <c r="B41" s="87"/>
      <c r="C41" s="89"/>
      <c r="D41" s="87"/>
      <c r="E41" s="87"/>
      <c r="F41" s="87"/>
      <c r="G41" s="87"/>
      <c r="H41" s="87"/>
      <c r="I41" s="87"/>
      <c r="J41" s="87"/>
      <c r="K41" s="87"/>
      <c r="L41" s="154"/>
      <c r="M41" s="87"/>
      <c r="N41" s="87"/>
      <c r="O41" s="87"/>
      <c r="P41" s="87"/>
    </row>
    <row r="42" spans="1:29">
      <c r="A42" s="153">
        <f t="shared" si="11"/>
        <v>37</v>
      </c>
      <c r="B42" s="86"/>
      <c r="C42" s="86"/>
      <c r="D42" s="86"/>
      <c r="E42" s="86"/>
      <c r="F42" s="86"/>
      <c r="G42" s="86"/>
      <c r="H42" s="86"/>
      <c r="I42" s="86"/>
      <c r="J42" s="86"/>
      <c r="K42" s="86"/>
      <c r="L42" s="154" t="str">
        <f>IF(ISNUMBER(X42),W42&amp;" - "&amp;Y42,"")</f>
        <v/>
      </c>
      <c r="M42" s="86"/>
      <c r="N42" s="86"/>
      <c r="O42" s="86"/>
      <c r="P42" s="86"/>
    </row>
    <row r="43" spans="1:29">
      <c r="A43" s="157">
        <f t="shared" si="11"/>
        <v>38</v>
      </c>
      <c r="B43" s="87"/>
      <c r="C43" s="89"/>
      <c r="D43" s="87"/>
      <c r="E43" s="87"/>
      <c r="F43" s="87"/>
      <c r="G43" s="87"/>
      <c r="H43" s="87"/>
      <c r="I43" s="87"/>
      <c r="J43" s="87"/>
      <c r="K43" s="87"/>
      <c r="L43" s="154"/>
      <c r="M43" s="87"/>
      <c r="N43" s="87"/>
      <c r="O43" s="87"/>
      <c r="P43" s="87"/>
    </row>
    <row r="44" spans="1:29">
      <c r="A44" s="153">
        <f t="shared" si="11"/>
        <v>39</v>
      </c>
      <c r="B44" s="86"/>
      <c r="C44" s="86"/>
      <c r="D44" s="86"/>
      <c r="E44" s="86"/>
      <c r="F44" s="86"/>
      <c r="G44" s="86"/>
      <c r="H44" s="86"/>
      <c r="I44" s="86"/>
      <c r="J44" s="86"/>
      <c r="K44" s="86"/>
      <c r="L44" s="154" t="str">
        <f>IF(ISNUMBER(X44),W44&amp;" - "&amp;Y44,"")</f>
        <v/>
      </c>
      <c r="M44" s="86"/>
      <c r="N44" s="86"/>
      <c r="O44" s="86"/>
      <c r="P44" s="86"/>
    </row>
    <row r="45" spans="1:29">
      <c r="A45" s="157">
        <f t="shared" si="11"/>
        <v>40</v>
      </c>
      <c r="B45" s="87"/>
      <c r="C45" s="89"/>
      <c r="D45" s="87"/>
      <c r="E45" s="87"/>
      <c r="F45" s="87"/>
      <c r="G45" s="87"/>
      <c r="H45" s="87"/>
      <c r="I45" s="87"/>
      <c r="J45" s="87"/>
      <c r="K45" s="87"/>
      <c r="L45" s="154"/>
      <c r="M45" s="87"/>
      <c r="N45" s="87"/>
      <c r="O45" s="87"/>
      <c r="P45" s="87"/>
    </row>
    <row r="46" spans="1:29">
      <c r="A46" s="153">
        <f t="shared" si="11"/>
        <v>41</v>
      </c>
      <c r="B46" s="86"/>
      <c r="C46" s="86"/>
      <c r="D46" s="86"/>
      <c r="E46" s="86"/>
      <c r="F46" s="86"/>
      <c r="G46" s="86"/>
      <c r="H46" s="86"/>
      <c r="I46" s="86"/>
      <c r="J46" s="86"/>
      <c r="K46" s="86"/>
      <c r="L46" s="154" t="str">
        <f>IF(ISNUMBER(X46),W46&amp;" - "&amp;Y46,"")</f>
        <v/>
      </c>
      <c r="M46" s="86"/>
      <c r="N46" s="86"/>
      <c r="O46" s="86"/>
      <c r="P46" s="86"/>
    </row>
    <row r="47" spans="1:29">
      <c r="A47" s="157">
        <f t="shared" si="11"/>
        <v>42</v>
      </c>
      <c r="B47" s="87"/>
      <c r="C47" s="89"/>
      <c r="D47" s="87"/>
      <c r="E47" s="87"/>
      <c r="F47" s="87"/>
      <c r="G47" s="87"/>
      <c r="H47" s="87"/>
      <c r="I47" s="87"/>
      <c r="J47" s="87"/>
      <c r="K47" s="87"/>
      <c r="L47" s="154"/>
      <c r="M47" s="87"/>
      <c r="N47" s="87"/>
      <c r="O47" s="87"/>
      <c r="P47" s="87"/>
    </row>
    <row r="48" spans="1:29">
      <c r="A48" s="153">
        <f t="shared" si="11"/>
        <v>43</v>
      </c>
      <c r="B48" s="86"/>
      <c r="C48" s="86"/>
      <c r="D48" s="86"/>
      <c r="E48" s="86"/>
      <c r="F48" s="86"/>
      <c r="G48" s="86"/>
      <c r="H48" s="86"/>
      <c r="I48" s="86"/>
      <c r="J48" s="86"/>
      <c r="K48" s="86"/>
      <c r="L48" s="154" t="str">
        <f>IF(ISNUMBER(X48),W48&amp;" - "&amp;Y48,"")</f>
        <v/>
      </c>
      <c r="M48" s="86"/>
      <c r="N48" s="86"/>
      <c r="O48" s="86"/>
      <c r="P48" s="86"/>
    </row>
    <row r="49" spans="1:16">
      <c r="A49" s="157">
        <f t="shared" si="11"/>
        <v>44</v>
      </c>
      <c r="B49" s="87"/>
      <c r="C49" s="89"/>
      <c r="D49" s="87"/>
      <c r="E49" s="87"/>
      <c r="F49" s="87"/>
      <c r="G49" s="87"/>
      <c r="H49" s="87"/>
      <c r="I49" s="87"/>
      <c r="J49" s="87"/>
      <c r="K49" s="87"/>
      <c r="L49" s="154"/>
      <c r="M49" s="87"/>
      <c r="N49" s="87"/>
      <c r="O49" s="87"/>
      <c r="P49" s="87"/>
    </row>
    <row r="50" spans="1:16">
      <c r="A50" s="153">
        <f t="shared" si="11"/>
        <v>45</v>
      </c>
      <c r="B50" s="86"/>
      <c r="C50" s="86"/>
      <c r="D50" s="86"/>
      <c r="E50" s="86"/>
      <c r="F50" s="86"/>
      <c r="G50" s="86"/>
      <c r="H50" s="86"/>
      <c r="I50" s="86"/>
      <c r="J50" s="86"/>
      <c r="K50" s="86"/>
      <c r="L50" s="154" t="str">
        <f>IF(ISNUMBER(X50),W50&amp;" - "&amp;Y50,"")</f>
        <v/>
      </c>
      <c r="M50" s="86"/>
      <c r="N50" s="86"/>
      <c r="O50" s="86"/>
      <c r="P50" s="86"/>
    </row>
    <row r="51" spans="1:16">
      <c r="A51" s="157">
        <f t="shared" si="11"/>
        <v>46</v>
      </c>
      <c r="B51" s="87"/>
      <c r="C51" s="89"/>
      <c r="D51" s="87"/>
      <c r="E51" s="87"/>
      <c r="F51" s="87"/>
      <c r="G51" s="87"/>
      <c r="H51" s="87"/>
      <c r="I51" s="87"/>
      <c r="J51" s="87"/>
      <c r="K51" s="87"/>
      <c r="L51" s="154"/>
      <c r="M51" s="87"/>
      <c r="N51" s="87"/>
      <c r="O51" s="87"/>
      <c r="P51" s="87"/>
    </row>
    <row r="52" spans="1:16">
      <c r="A52" s="153">
        <f t="shared" si="11"/>
        <v>47</v>
      </c>
      <c r="B52" s="86"/>
      <c r="C52" s="86"/>
      <c r="D52" s="86"/>
      <c r="E52" s="86"/>
      <c r="F52" s="86"/>
      <c r="G52" s="86"/>
      <c r="H52" s="86"/>
      <c r="I52" s="86"/>
      <c r="J52" s="86"/>
      <c r="K52" s="86"/>
      <c r="L52" s="154" t="str">
        <f>IF(ISNUMBER(X52),W52&amp;" - "&amp;Y52,"")</f>
        <v/>
      </c>
      <c r="M52" s="86"/>
      <c r="N52" s="86"/>
      <c r="O52" s="86"/>
      <c r="P52" s="86"/>
    </row>
    <row r="53" spans="1:16">
      <c r="A53" s="157">
        <f t="shared" si="11"/>
        <v>48</v>
      </c>
      <c r="B53" s="87"/>
      <c r="C53" s="89"/>
      <c r="D53" s="87"/>
      <c r="E53" s="87"/>
      <c r="F53" s="87"/>
      <c r="G53" s="87"/>
      <c r="H53" s="87"/>
      <c r="I53" s="87"/>
      <c r="J53" s="87"/>
      <c r="K53" s="87"/>
      <c r="L53" s="154"/>
      <c r="M53" s="87"/>
      <c r="N53" s="87"/>
      <c r="O53" s="87"/>
      <c r="P53" s="87"/>
    </row>
    <row r="54" spans="1:16">
      <c r="A54" s="153">
        <f t="shared" si="11"/>
        <v>49</v>
      </c>
      <c r="B54" s="86"/>
      <c r="C54" s="86"/>
      <c r="D54" s="86"/>
      <c r="E54" s="86"/>
      <c r="F54" s="86"/>
      <c r="G54" s="86"/>
      <c r="H54" s="86"/>
      <c r="I54" s="86"/>
      <c r="J54" s="86"/>
      <c r="K54" s="86"/>
      <c r="L54" s="154" t="str">
        <f>IF(ISNUMBER(X54),W54&amp;" - "&amp;Y54,"")</f>
        <v/>
      </c>
      <c r="M54" s="86"/>
      <c r="N54" s="86"/>
      <c r="O54" s="86"/>
      <c r="P54" s="86"/>
    </row>
    <row r="55" spans="1:16">
      <c r="A55" s="157">
        <f t="shared" si="11"/>
        <v>50</v>
      </c>
      <c r="B55" s="87"/>
      <c r="C55" s="89"/>
      <c r="D55" s="87"/>
      <c r="E55" s="87"/>
      <c r="F55" s="87"/>
      <c r="G55" s="87"/>
      <c r="H55" s="87"/>
      <c r="I55" s="87"/>
      <c r="J55" s="87"/>
      <c r="K55" s="87"/>
      <c r="L55" s="154"/>
      <c r="M55" s="87"/>
      <c r="N55" s="87"/>
      <c r="O55" s="87"/>
      <c r="P55" s="87"/>
    </row>
    <row r="56" spans="1:16">
      <c r="A56" s="153">
        <f t="shared" si="11"/>
        <v>51</v>
      </c>
      <c r="B56" s="86"/>
      <c r="C56" s="86"/>
      <c r="D56" s="86"/>
      <c r="E56" s="86"/>
      <c r="F56" s="86"/>
      <c r="G56" s="86"/>
      <c r="H56" s="86"/>
      <c r="I56" s="86"/>
      <c r="J56" s="86"/>
      <c r="K56" s="86"/>
      <c r="L56" s="154" t="str">
        <f>IF(ISNUMBER(X56),W56&amp;" - "&amp;Y56,"")</f>
        <v/>
      </c>
      <c r="M56" s="86"/>
      <c r="N56" s="86"/>
      <c r="O56" s="86"/>
      <c r="P56" s="86"/>
    </row>
    <row r="57" spans="1:16">
      <c r="A57" s="157">
        <f t="shared" si="11"/>
        <v>52</v>
      </c>
      <c r="B57" s="87"/>
      <c r="C57" s="89"/>
      <c r="D57" s="87"/>
      <c r="E57" s="87"/>
      <c r="F57" s="87"/>
      <c r="G57" s="87"/>
      <c r="H57" s="87"/>
      <c r="I57" s="87"/>
      <c r="J57" s="87"/>
      <c r="K57" s="87"/>
      <c r="L57" s="154"/>
      <c r="M57" s="87"/>
      <c r="N57" s="87"/>
      <c r="O57" s="87"/>
      <c r="P57" s="87"/>
    </row>
    <row r="58" spans="1:16">
      <c r="A58" s="153">
        <f t="shared" si="11"/>
        <v>53</v>
      </c>
      <c r="B58" s="86"/>
      <c r="C58" s="86"/>
      <c r="D58" s="86"/>
      <c r="E58" s="86"/>
      <c r="F58" s="86"/>
      <c r="G58" s="86"/>
      <c r="H58" s="86"/>
      <c r="I58" s="86"/>
      <c r="J58" s="86"/>
      <c r="K58" s="86"/>
      <c r="L58" s="154" t="str">
        <f>IF(ISNUMBER(X58),W58&amp;" - "&amp;Y58,"")</f>
        <v/>
      </c>
      <c r="M58" s="86"/>
      <c r="N58" s="86"/>
      <c r="O58" s="86"/>
      <c r="P58" s="86"/>
    </row>
    <row r="59" spans="1:16">
      <c r="A59" s="157">
        <f t="shared" si="11"/>
        <v>54</v>
      </c>
      <c r="B59" s="87"/>
      <c r="C59" s="89"/>
      <c r="D59" s="87"/>
      <c r="E59" s="87"/>
      <c r="F59" s="87"/>
      <c r="G59" s="87"/>
      <c r="H59" s="87"/>
      <c r="I59" s="87"/>
      <c r="J59" s="87"/>
      <c r="K59" s="87"/>
      <c r="L59" s="154"/>
      <c r="M59" s="87"/>
      <c r="N59" s="87"/>
      <c r="O59" s="87"/>
      <c r="P59" s="87"/>
    </row>
    <row r="60" spans="1:16">
      <c r="A60" s="153">
        <f t="shared" si="11"/>
        <v>55</v>
      </c>
      <c r="B60" s="86"/>
      <c r="C60" s="86"/>
      <c r="D60" s="86"/>
      <c r="E60" s="86"/>
      <c r="F60" s="86"/>
      <c r="G60" s="86"/>
      <c r="H60" s="86"/>
      <c r="I60" s="86"/>
      <c r="J60" s="86"/>
      <c r="K60" s="86"/>
      <c r="L60" s="154" t="str">
        <f>IF(ISNUMBER(X60),W60&amp;" - "&amp;Y60,"")</f>
        <v/>
      </c>
      <c r="M60" s="86"/>
      <c r="N60" s="86"/>
      <c r="O60" s="86"/>
      <c r="P60" s="86"/>
    </row>
    <row r="61" spans="1:16">
      <c r="A61" s="157">
        <f t="shared" si="11"/>
        <v>56</v>
      </c>
      <c r="B61" s="87"/>
      <c r="C61" s="89"/>
      <c r="D61" s="87"/>
      <c r="E61" s="87"/>
      <c r="F61" s="87"/>
      <c r="G61" s="87"/>
      <c r="H61" s="87"/>
      <c r="I61" s="87"/>
      <c r="J61" s="87"/>
      <c r="K61" s="87"/>
      <c r="L61" s="154"/>
      <c r="M61" s="87"/>
      <c r="N61" s="87"/>
      <c r="O61" s="87"/>
      <c r="P61" s="87"/>
    </row>
    <row r="62" spans="1:16">
      <c r="A62" s="153">
        <f t="shared" si="11"/>
        <v>57</v>
      </c>
      <c r="B62" s="86"/>
      <c r="C62" s="86"/>
      <c r="D62" s="86"/>
      <c r="E62" s="86"/>
      <c r="F62" s="86"/>
      <c r="G62" s="86"/>
      <c r="H62" s="86"/>
      <c r="I62" s="86"/>
      <c r="J62" s="86"/>
      <c r="K62" s="86"/>
      <c r="L62" s="154" t="str">
        <f>IF(ISNUMBER(X62),W62&amp;" - "&amp;Y62,"")</f>
        <v/>
      </c>
      <c r="M62" s="86"/>
      <c r="N62" s="86"/>
      <c r="O62" s="86"/>
      <c r="P62" s="86"/>
    </row>
    <row r="63" spans="1:16">
      <c r="A63" s="157">
        <f t="shared" si="11"/>
        <v>58</v>
      </c>
      <c r="B63" s="87"/>
      <c r="C63" s="89"/>
      <c r="D63" s="87"/>
      <c r="E63" s="87"/>
      <c r="F63" s="87"/>
      <c r="G63" s="87"/>
      <c r="H63" s="87"/>
      <c r="I63" s="87"/>
      <c r="J63" s="87"/>
      <c r="K63" s="87"/>
      <c r="L63" s="154"/>
      <c r="M63" s="87"/>
      <c r="N63" s="87"/>
      <c r="O63" s="87"/>
      <c r="P63" s="87"/>
    </row>
    <row r="64" spans="1:16">
      <c r="A64" s="153">
        <f t="shared" si="11"/>
        <v>59</v>
      </c>
      <c r="B64" s="86"/>
      <c r="C64" s="86"/>
      <c r="D64" s="86"/>
      <c r="E64" s="86"/>
      <c r="F64" s="86"/>
      <c r="G64" s="86"/>
      <c r="H64" s="86"/>
      <c r="I64" s="86"/>
      <c r="J64" s="86"/>
      <c r="K64" s="86"/>
      <c r="L64" s="154" t="str">
        <f>IF(ISNUMBER(X64),W64&amp;" - "&amp;Y64,"")</f>
        <v/>
      </c>
      <c r="M64" s="86"/>
      <c r="N64" s="86"/>
      <c r="O64" s="86"/>
      <c r="P64" s="86"/>
    </row>
    <row r="65" spans="1:16">
      <c r="A65" s="157">
        <f t="shared" si="11"/>
        <v>60</v>
      </c>
      <c r="B65" s="87"/>
      <c r="C65" s="89"/>
      <c r="D65" s="87"/>
      <c r="E65" s="87"/>
      <c r="F65" s="87"/>
      <c r="G65" s="87"/>
      <c r="H65" s="87"/>
      <c r="I65" s="87"/>
      <c r="J65" s="87"/>
      <c r="K65" s="87"/>
      <c r="L65" s="154"/>
      <c r="M65" s="87"/>
      <c r="N65" s="87"/>
      <c r="O65" s="87"/>
      <c r="P65" s="87"/>
    </row>
    <row r="66" spans="1:16">
      <c r="A66" s="153">
        <f t="shared" si="11"/>
        <v>61</v>
      </c>
      <c r="B66" s="86"/>
      <c r="C66" s="86"/>
      <c r="D66" s="86"/>
      <c r="E66" s="86"/>
      <c r="F66" s="86"/>
      <c r="G66" s="86"/>
      <c r="H66" s="86"/>
      <c r="I66" s="86"/>
      <c r="J66" s="86"/>
      <c r="K66" s="86"/>
      <c r="L66" s="154" t="str">
        <f>IF(ISNUMBER(X66),W66&amp;" - "&amp;Y66,"")</f>
        <v/>
      </c>
      <c r="M66" s="86"/>
      <c r="N66" s="86"/>
      <c r="O66" s="86"/>
      <c r="P66" s="86"/>
    </row>
  </sheetData>
  <mergeCells count="20">
    <mergeCell ref="X4:X5"/>
    <mergeCell ref="Y4:Y5"/>
    <mergeCell ref="O4:P4"/>
    <mergeCell ref="Q4:Q5"/>
    <mergeCell ref="R4:R5"/>
    <mergeCell ref="S4:S5"/>
    <mergeCell ref="T4:T5"/>
    <mergeCell ref="U4:U5"/>
    <mergeCell ref="A1:Y1"/>
    <mergeCell ref="A4:A5"/>
    <mergeCell ref="B4:B5"/>
    <mergeCell ref="C4:C5"/>
    <mergeCell ref="D4:D5"/>
    <mergeCell ref="E4:F4"/>
    <mergeCell ref="G4:H4"/>
    <mergeCell ref="I4:K4"/>
    <mergeCell ref="L4:L5"/>
    <mergeCell ref="M4:N4"/>
    <mergeCell ref="V4:V5"/>
    <mergeCell ref="W4:W5"/>
  </mergeCells>
  <dataValidations count="7">
    <dataValidation type="list" allowBlank="1" sqref="F263:F1001" xr:uid="{98EBCC6C-854B-49D1-AD1F-5114323D3B3B}">
      <formula1>"Risiko Reputasi,Risiko Kepatuhan,Risiko Legal,Risiko Fraud,Risiko Operasional,Risiko Kebijakan,Risiko Keuangan,Risiko SPBE,Risiko Layanan Publik,Risiko SDM"</formula1>
      <formula2>0</formula2>
    </dataValidation>
    <dataValidation type="list" allowBlank="1" errorTitle="Input Tidak Valid" error="Nilai harus antara 1-5" sqref="O67:P1001" xr:uid="{907EA5D7-9DE0-4B56-8991-6CBCC5454A16}">
      <formula1>"1,2,3,4,5"</formula1>
      <formula2>0</formula2>
    </dataValidation>
    <dataValidation type="list" allowBlank="1" showInputMessage="1" showErrorMessage="1" sqref="D6:D66" xr:uid="{F9B715E1-8696-4685-B7AC-5137827A1530}">
      <formula1>$AE$6:$AE$11</formula1>
    </dataValidation>
    <dataValidation type="list" allowBlank="1" showInputMessage="1" showErrorMessage="1" sqref="J6:J66" xr:uid="{E19F05C6-7986-43FB-8B0F-F850FEDBB347}">
      <formula1>$AP$6:$AP$10</formula1>
    </dataValidation>
    <dataValidation type="list" allowBlank="1" showInputMessage="1" showErrorMessage="1" sqref="G6:G66" xr:uid="{81906675-6FEC-4B93-9F05-FECE612F83F5}">
      <formula1>$AL$6:$AL$10</formula1>
    </dataValidation>
    <dataValidation type="list" allowBlank="1" showInputMessage="1" showErrorMessage="1" sqref="E6:E66" xr:uid="{B56E99D0-81DD-469B-9D9D-E165880AC852}">
      <formula1>$AH$6:$AH$10</formula1>
    </dataValidation>
    <dataValidation type="list" allowBlank="1" showInputMessage="1" showErrorMessage="1" sqref="B6:B66" xr:uid="{658A54FD-A123-4AA1-89C0-B16003EB0B51}">
      <formula1>$AB$5:$AB$34</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xr:uid="{F5918689-0402-49AA-9B1E-EC6C77080AAB}">
          <x14:formula1>
            <xm:f>'Kategori Risiko'!$B$5:$B$11</xm:f>
          </x14:formula1>
          <xm:sqref>F67:F262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B8B8-4537-4D6C-92CE-67598FA1B3C4}">
  <sheetPr>
    <tabColor rgb="FF00B0F0"/>
    <pageSetUpPr fitToPage="1"/>
  </sheetPr>
  <dimension ref="A1:AZ35"/>
  <sheetViews>
    <sheetView showGridLines="0" topLeftCell="J1" zoomScale="91" zoomScaleNormal="100" workbookViewId="0">
      <selection activeCell="N7" sqref="N7"/>
    </sheetView>
  </sheetViews>
  <sheetFormatPr defaultColWidth="9.109375" defaultRowHeight="14.4" outlineLevelCol="1"/>
  <cols>
    <col min="1" max="1" width="13.5546875" style="88" customWidth="1"/>
    <col min="2" max="3" width="29.6640625" style="88" customWidth="1"/>
    <col min="4" max="4" width="24.109375" style="88" customWidth="1"/>
    <col min="5" max="5" width="20.33203125" style="88" customWidth="1"/>
    <col min="6" max="6" width="29.6640625" style="88" customWidth="1"/>
    <col min="7" max="7" width="20.33203125" style="88" customWidth="1"/>
    <col min="8" max="8" width="29.6640625" style="88" customWidth="1"/>
    <col min="9" max="9" width="9.33203125" style="88" customWidth="1"/>
    <col min="10" max="10" width="20.33203125" style="88" customWidth="1"/>
    <col min="11" max="11" width="29.6640625" style="88" customWidth="1"/>
    <col min="12" max="12" width="20.33203125" style="88" customWidth="1"/>
    <col min="13" max="13" width="9.33203125" style="88" customWidth="1"/>
    <col min="14" max="14" width="42" style="88" customWidth="1"/>
    <col min="15" max="15" width="9.33203125" style="88" customWidth="1"/>
    <col min="16" max="16" width="29.6640625" style="88" customWidth="1"/>
    <col min="17" max="25" width="16.6640625" style="68" hidden="1" customWidth="1" outlineLevel="1"/>
    <col min="26" max="26" width="9.109375" bestFit="1" customWidth="1" collapsed="1"/>
    <col min="27" max="27" width="13.6640625" customWidth="1"/>
    <col min="28" max="28" width="44" customWidth="1"/>
    <col min="29" max="29" width="8.6640625" customWidth="1"/>
    <col min="30" max="30" width="9.109375" bestFit="1" customWidth="1"/>
    <col min="31" max="31" width="36.88671875" customWidth="1"/>
    <col min="32" max="32" width="3" customWidth="1"/>
    <col min="33" max="33" width="9.109375" customWidth="1"/>
    <col min="34" max="34" width="26.44140625" customWidth="1"/>
    <col min="35" max="35" width="2.6640625" customWidth="1"/>
    <col min="36" max="36" width="5.44140625" customWidth="1"/>
    <col min="37" max="37" width="9.109375" customWidth="1"/>
    <col min="38" max="38" width="23.33203125" customWidth="1"/>
    <col min="39" max="39" width="2.6640625" customWidth="1"/>
    <col min="40" max="40" width="5.44140625" customWidth="1"/>
    <col min="41" max="41" width="9.109375" customWidth="1"/>
    <col min="42" max="42" width="16.33203125" customWidth="1"/>
    <col min="43" max="43" width="2.6640625" customWidth="1"/>
    <col min="44" max="44" width="9.109375" customWidth="1"/>
    <col min="45" max="46" width="11.33203125" customWidth="1"/>
    <col min="47" max="47" width="24.33203125" customWidth="1"/>
    <col min="48" max="48" width="2.6640625" customWidth="1"/>
    <col min="49" max="49" width="9.109375" bestFit="1" customWidth="1"/>
    <col min="50" max="50" width="42" bestFit="1" customWidth="1"/>
    <col min="51" max="51" width="8.109375" bestFit="1" customWidth="1"/>
    <col min="52" max="52" width="112.109375" bestFit="1" customWidth="1"/>
    <col min="53" max="1979" width="9.109375" bestFit="1" customWidth="1"/>
    <col min="1980" max="1980" width="2.5546875" customWidth="1"/>
    <col min="1981" max="1984" width="9.109375" bestFit="1" customWidth="1"/>
    <col min="1985" max="1985" width="2.5546875" customWidth="1"/>
    <col min="1986" max="1986" width="9.109375" bestFit="1" customWidth="1"/>
  </cols>
  <sheetData>
    <row r="1" spans="1:52" ht="27.75" customHeight="1">
      <c r="A1" s="185" t="s">
        <v>454</v>
      </c>
      <c r="B1" s="185"/>
      <c r="C1" s="185"/>
      <c r="D1" s="185"/>
      <c r="E1" s="185"/>
      <c r="F1" s="185"/>
      <c r="G1" s="185"/>
      <c r="H1" s="185"/>
      <c r="I1" s="185"/>
      <c r="J1" s="185"/>
      <c r="K1" s="185"/>
      <c r="L1" s="185"/>
      <c r="M1" s="185"/>
      <c r="N1" s="185"/>
      <c r="O1" s="185"/>
      <c r="P1" s="185"/>
      <c r="Q1" s="185"/>
      <c r="R1" s="185"/>
      <c r="S1" s="185"/>
      <c r="T1" s="185"/>
      <c r="U1" s="185"/>
      <c r="V1" s="185"/>
      <c r="W1" s="185"/>
      <c r="X1" s="185"/>
      <c r="Y1" s="185"/>
      <c r="AH1" s="164"/>
      <c r="AI1" s="164"/>
      <c r="AJ1" s="164"/>
      <c r="AK1" s="164"/>
      <c r="AL1" s="164"/>
    </row>
    <row r="2" spans="1:52">
      <c r="A2" s="32" t="s">
        <v>199</v>
      </c>
      <c r="B2" s="54" t="s">
        <v>200</v>
      </c>
      <c r="C2"/>
      <c r="D2" s="32" t="s">
        <v>201</v>
      </c>
      <c r="E2" s="54">
        <v>3</v>
      </c>
      <c r="F2" s="32" t="s">
        <v>202</v>
      </c>
      <c r="G2" s="54">
        <v>2026</v>
      </c>
      <c r="H2"/>
      <c r="I2"/>
      <c r="J2"/>
      <c r="K2"/>
      <c r="L2"/>
      <c r="M2"/>
      <c r="N2"/>
      <c r="O2"/>
      <c r="P2"/>
      <c r="Q2"/>
      <c r="R2"/>
      <c r="S2"/>
      <c r="T2"/>
      <c r="U2"/>
      <c r="V2"/>
      <c r="W2"/>
      <c r="X2"/>
      <c r="Y2"/>
    </row>
    <row r="3" spans="1:52">
      <c r="A3" s="53" t="s">
        <v>455</v>
      </c>
      <c r="B3"/>
      <c r="C3"/>
      <c r="D3"/>
      <c r="E3"/>
      <c r="F3"/>
      <c r="G3"/>
      <c r="H3"/>
      <c r="I3"/>
      <c r="J3"/>
      <c r="K3"/>
      <c r="L3"/>
      <c r="M3"/>
      <c r="N3"/>
      <c r="O3"/>
      <c r="P3"/>
      <c r="Q3"/>
      <c r="R3"/>
      <c r="S3"/>
      <c r="T3"/>
      <c r="U3"/>
      <c r="V3"/>
      <c r="W3"/>
      <c r="X3"/>
      <c r="Y3"/>
    </row>
    <row r="4" spans="1:52" ht="30" customHeight="1">
      <c r="A4" s="184" t="s">
        <v>231</v>
      </c>
      <c r="B4" s="184" t="s">
        <v>456</v>
      </c>
      <c r="C4" s="184" t="s">
        <v>457</v>
      </c>
      <c r="D4" s="184" t="s">
        <v>204</v>
      </c>
      <c r="E4" s="184" t="s">
        <v>458</v>
      </c>
      <c r="F4" s="184"/>
      <c r="G4" s="184" t="s">
        <v>459</v>
      </c>
      <c r="H4" s="184"/>
      <c r="I4" s="184" t="s">
        <v>216</v>
      </c>
      <c r="J4" s="184"/>
      <c r="K4" s="184"/>
      <c r="L4" s="187" t="s">
        <v>208</v>
      </c>
      <c r="M4" s="184" t="s">
        <v>217</v>
      </c>
      <c r="N4" s="184"/>
      <c r="O4" s="184" t="s">
        <v>218</v>
      </c>
      <c r="P4" s="184"/>
      <c r="Q4" s="186" t="s">
        <v>247</v>
      </c>
      <c r="R4" s="186" t="s">
        <v>248</v>
      </c>
      <c r="S4" s="186" t="s">
        <v>249</v>
      </c>
      <c r="T4" s="186" t="s">
        <v>250</v>
      </c>
      <c r="U4" s="186" t="s">
        <v>251</v>
      </c>
      <c r="V4" s="186" t="s">
        <v>252</v>
      </c>
      <c r="W4" s="186" t="s">
        <v>253</v>
      </c>
      <c r="X4" s="186" t="s">
        <v>254</v>
      </c>
      <c r="Y4" s="186" t="s">
        <v>255</v>
      </c>
      <c r="AA4" s="150" t="s">
        <v>460</v>
      </c>
      <c r="AB4" s="151" t="s">
        <v>461</v>
      </c>
      <c r="AC4" s="90" t="s">
        <v>462</v>
      </c>
      <c r="AE4" s="152" t="s">
        <v>204</v>
      </c>
      <c r="AH4" s="152" t="s">
        <v>205</v>
      </c>
      <c r="AL4" s="152" t="s">
        <v>206</v>
      </c>
      <c r="AP4" s="152" t="s">
        <v>207</v>
      </c>
      <c r="AS4" s="152" t="s">
        <v>208</v>
      </c>
      <c r="AX4" s="92" t="s">
        <v>629</v>
      </c>
      <c r="AY4" s="93" t="s">
        <v>202</v>
      </c>
      <c r="AZ4" s="93" t="s">
        <v>630</v>
      </c>
    </row>
    <row r="5" spans="1:52" ht="22.2" customHeight="1">
      <c r="A5" s="184"/>
      <c r="B5" s="184"/>
      <c r="C5" s="184"/>
      <c r="D5" s="184"/>
      <c r="E5" s="166" t="s">
        <v>205</v>
      </c>
      <c r="F5" s="166" t="s">
        <v>233</v>
      </c>
      <c r="G5" s="166" t="s">
        <v>206</v>
      </c>
      <c r="H5" s="166" t="s">
        <v>233</v>
      </c>
      <c r="I5" s="166" t="s">
        <v>231</v>
      </c>
      <c r="J5" s="166" t="s">
        <v>232</v>
      </c>
      <c r="K5" s="166" t="s">
        <v>233</v>
      </c>
      <c r="L5" s="187"/>
      <c r="M5" s="166" t="s">
        <v>231</v>
      </c>
      <c r="N5" s="166" t="s">
        <v>233</v>
      </c>
      <c r="O5" s="166" t="s">
        <v>231</v>
      </c>
      <c r="P5" s="166" t="s">
        <v>233</v>
      </c>
      <c r="Q5" s="186"/>
      <c r="R5" s="186"/>
      <c r="S5" s="186"/>
      <c r="T5" s="186"/>
      <c r="U5" s="186"/>
      <c r="V5" s="186"/>
      <c r="W5" s="186"/>
      <c r="X5" s="186"/>
      <c r="Y5" s="186"/>
      <c r="AA5" s="163">
        <v>2024</v>
      </c>
      <c r="AB5" s="163" t="s">
        <v>463</v>
      </c>
      <c r="AC5" s="163">
        <v>5</v>
      </c>
      <c r="AE5" s="32" t="s">
        <v>219</v>
      </c>
      <c r="AF5" s="32" t="s">
        <v>220</v>
      </c>
      <c r="AH5" s="32" t="s">
        <v>219</v>
      </c>
      <c r="AI5" s="32" t="s">
        <v>220</v>
      </c>
      <c r="AJ5" s="32" t="s">
        <v>51</v>
      </c>
      <c r="AL5" s="32" t="s">
        <v>219</v>
      </c>
      <c r="AM5" s="32" t="s">
        <v>220</v>
      </c>
      <c r="AN5" s="32" t="s">
        <v>51</v>
      </c>
      <c r="AP5" s="32" t="s">
        <v>219</v>
      </c>
      <c r="AQ5" s="32" t="s">
        <v>220</v>
      </c>
      <c r="AS5" s="32" t="s">
        <v>464</v>
      </c>
      <c r="AT5" s="32" t="s">
        <v>465</v>
      </c>
      <c r="AU5" s="32" t="s">
        <v>466</v>
      </c>
      <c r="AV5" s="32" t="s">
        <v>220</v>
      </c>
      <c r="AX5" s="96" t="s">
        <v>631</v>
      </c>
      <c r="AY5" s="94">
        <v>2024</v>
      </c>
      <c r="AZ5" s="95" t="s">
        <v>632</v>
      </c>
    </row>
    <row r="6" spans="1:52" ht="86.4">
      <c r="A6" s="153">
        <f>ROW()-5</f>
        <v>1</v>
      </c>
      <c r="B6" s="86" t="s">
        <v>525</v>
      </c>
      <c r="C6" s="91" t="s">
        <v>526</v>
      </c>
      <c r="D6" s="86" t="s">
        <v>263</v>
      </c>
      <c r="E6" s="86" t="s">
        <v>271</v>
      </c>
      <c r="F6" s="91"/>
      <c r="G6" s="86" t="s">
        <v>272</v>
      </c>
      <c r="H6" s="91" t="s">
        <v>527</v>
      </c>
      <c r="I6" s="86"/>
      <c r="J6" s="86" t="s">
        <v>278</v>
      </c>
      <c r="K6" s="91" t="s">
        <v>528</v>
      </c>
      <c r="L6" s="154" t="str">
        <f t="shared" ref="L6:L15" si="0">IF(ISNUMBER(X6),W6&amp;" - "&amp;Y6,"")</f>
        <v>4 - Level Risiko Sangat Rendah</v>
      </c>
      <c r="M6" s="86"/>
      <c r="N6" s="91" t="s">
        <v>529</v>
      </c>
      <c r="O6" s="86"/>
      <c r="P6" s="91"/>
      <c r="Q6" s="155">
        <f>IF(ISBLANK(D6),"",VLOOKUP(D6,$AE$6:$AF$11,2,FALSE))</f>
        <v>7</v>
      </c>
      <c r="R6" s="155">
        <f>IF(ISBLANK(E6),"",VLOOKUP(E6,$AH$6:$AI$11,2,FALSE))</f>
        <v>2</v>
      </c>
      <c r="S6" s="155">
        <f>IF(ISBLANK(G6),"",VLOOKUP(G6,$AL$6:$AM$11,2,FALSE))</f>
        <v>2</v>
      </c>
      <c r="T6" s="155">
        <f>IF(ISBLANK(J6),"",VLOOKUP(J6,$AP$6:$AQ$11,2,FALSE))</f>
        <v>3</v>
      </c>
      <c r="U6" s="155">
        <f>IF(ISNUMBER(R6),VLOOKUP(R6,$AI$6:$AJ$11,2,FALSE),"")</f>
        <v>2</v>
      </c>
      <c r="V6" s="155">
        <f>IF(ISNUMBER(S6),VLOOKUP(S6,$AM$6:$AN$11,2,FALSE),"")</f>
        <v>2</v>
      </c>
      <c r="W6" s="155">
        <f>IF(AND(ISNUMBER(U6),ISNUMBER(V6)),U6*V6,"")</f>
        <v>4</v>
      </c>
      <c r="X6" s="155">
        <f>IF(ISNUMBER(W6),LOOKUP(W6,$AS$6:$AS$11,$AV$6:$AV$11),"")</f>
        <v>2</v>
      </c>
      <c r="Y6" s="155" t="str">
        <f>IF(ISNUMBER(W6),LOOKUP(W6,$AS$6:$AS$11,$AU$6:$AU$11),"")</f>
        <v>Level Risiko Sangat Rendah</v>
      </c>
      <c r="AA6" s="163">
        <v>2024</v>
      </c>
      <c r="AB6" s="163" t="s">
        <v>472</v>
      </c>
      <c r="AC6" s="163">
        <v>4</v>
      </c>
      <c r="AE6" t="s">
        <v>263</v>
      </c>
      <c r="AF6">
        <v>7</v>
      </c>
      <c r="AH6" t="s">
        <v>264</v>
      </c>
      <c r="AI6">
        <v>1</v>
      </c>
      <c r="AJ6">
        <v>1</v>
      </c>
      <c r="AL6" t="s">
        <v>265</v>
      </c>
      <c r="AM6">
        <v>1</v>
      </c>
      <c r="AN6">
        <v>1</v>
      </c>
      <c r="AP6" t="s">
        <v>266</v>
      </c>
      <c r="AQ6">
        <v>1</v>
      </c>
      <c r="AS6">
        <v>1</v>
      </c>
      <c r="AT6">
        <v>5</v>
      </c>
      <c r="AU6" t="s">
        <v>267</v>
      </c>
      <c r="AV6">
        <v>2</v>
      </c>
      <c r="AX6" s="96" t="s">
        <v>631</v>
      </c>
      <c r="AY6" s="94">
        <v>2024</v>
      </c>
      <c r="AZ6" s="95" t="s">
        <v>633</v>
      </c>
    </row>
    <row r="7" spans="1:52" ht="83.4" customHeight="1">
      <c r="A7" s="153"/>
      <c r="B7" s="86" t="s">
        <v>525</v>
      </c>
      <c r="C7" s="91" t="s">
        <v>531</v>
      </c>
      <c r="D7" s="86" t="s">
        <v>263</v>
      </c>
      <c r="E7" s="86" t="s">
        <v>271</v>
      </c>
      <c r="F7" s="91"/>
      <c r="G7" s="86" t="s">
        <v>272</v>
      </c>
      <c r="H7" s="87" t="s">
        <v>532</v>
      </c>
      <c r="I7" s="86"/>
      <c r="J7" s="86" t="s">
        <v>273</v>
      </c>
      <c r="K7" s="98" t="s">
        <v>533</v>
      </c>
      <c r="L7" s="154" t="str">
        <f t="shared" si="0"/>
        <v/>
      </c>
      <c r="M7" s="86"/>
      <c r="N7" s="91" t="s">
        <v>534</v>
      </c>
      <c r="O7" s="86"/>
      <c r="P7" s="91"/>
      <c r="Q7" s="155"/>
      <c r="R7" s="155"/>
      <c r="S7" s="155"/>
      <c r="T7" s="155"/>
      <c r="U7" s="155"/>
      <c r="V7" s="155"/>
      <c r="W7" s="155"/>
      <c r="X7" s="155"/>
      <c r="Y7" s="155"/>
      <c r="AA7" s="163"/>
      <c r="AB7" s="163"/>
      <c r="AC7" s="163"/>
      <c r="AX7" s="96" t="s">
        <v>634</v>
      </c>
      <c r="AY7" s="94">
        <v>2024</v>
      </c>
      <c r="AZ7" s="95" t="s">
        <v>635</v>
      </c>
    </row>
    <row r="8" spans="1:52" ht="61.5" customHeight="1">
      <c r="A8" s="157">
        <f t="shared" ref="A8:A26" si="1">ROW()-5</f>
        <v>3</v>
      </c>
      <c r="B8" s="87" t="s">
        <v>525</v>
      </c>
      <c r="C8" s="89" t="s">
        <v>536</v>
      </c>
      <c r="D8" s="87" t="s">
        <v>263</v>
      </c>
      <c r="E8" s="87" t="s">
        <v>271</v>
      </c>
      <c r="F8" s="87"/>
      <c r="G8" s="87" t="s">
        <v>277</v>
      </c>
      <c r="H8" s="99" t="s">
        <v>537</v>
      </c>
      <c r="I8" s="87"/>
      <c r="J8" s="87" t="s">
        <v>273</v>
      </c>
      <c r="K8" s="87" t="s">
        <v>538</v>
      </c>
      <c r="L8" s="154" t="str">
        <f t="shared" si="0"/>
        <v>6 - Level Risiko Rendah</v>
      </c>
      <c r="M8" s="87"/>
      <c r="N8" s="87" t="s">
        <v>539</v>
      </c>
      <c r="O8" s="87"/>
      <c r="P8" s="87"/>
      <c r="Q8" s="156">
        <f t="shared" ref="Q8:Q16" si="2">IF(ISBLANK(D8),"",VLOOKUP(D8,$AE$6:$AF$11,2,FALSE))</f>
        <v>7</v>
      </c>
      <c r="R8" s="156">
        <f t="shared" ref="R8:R16" si="3">IF(ISBLANK(E8),"",VLOOKUP(E8,$AH$6:$AI$11,2,FALSE))</f>
        <v>2</v>
      </c>
      <c r="S8" s="156">
        <f t="shared" ref="S8:S16" si="4">IF(ISBLANK(G8),"",VLOOKUP(G8,$AL$6:$AM$11,2,FALSE))</f>
        <v>3</v>
      </c>
      <c r="T8" s="156">
        <f t="shared" ref="T8:T16" si="5">IF(ISBLANK(J8),"",VLOOKUP(J8,$AP$6:$AQ$11,2,FALSE))</f>
        <v>2</v>
      </c>
      <c r="U8" s="156">
        <f t="shared" ref="U8:U16" si="6">IF(ISNUMBER(R8),VLOOKUP(R8,$AI$6:$AJ$11,2,FALSE),"")</f>
        <v>2</v>
      </c>
      <c r="V8" s="156">
        <f t="shared" ref="V8:V16" si="7">IF(ISNUMBER(S8),VLOOKUP(S8,$AM$6:$AN$11,2,FALSE),"")</f>
        <v>3</v>
      </c>
      <c r="W8" s="156">
        <f t="shared" ref="W8:W16" si="8">IF(AND(ISNUMBER(U8),ISNUMBER(V8)),U8*V8,"")</f>
        <v>6</v>
      </c>
      <c r="X8" s="156">
        <f t="shared" ref="X8:X16" si="9">IF(ISNUMBER(W8),LOOKUP(W8,$AS$6:$AS$11,$AV$6:$AV$11),"")</f>
        <v>3</v>
      </c>
      <c r="Y8" s="156" t="str">
        <f t="shared" ref="Y8:Y16" si="10">IF(ISNUMBER(W8),LOOKUP(W8,$AS$6:$AS$11,$AU$6:$AU$11),"")</f>
        <v>Level Risiko Rendah</v>
      </c>
      <c r="AA8" s="163">
        <v>2024</v>
      </c>
      <c r="AB8" s="163" t="s">
        <v>477</v>
      </c>
      <c r="AC8" s="163">
        <v>3</v>
      </c>
      <c r="AE8" t="s">
        <v>270</v>
      </c>
      <c r="AF8">
        <v>8</v>
      </c>
      <c r="AH8" t="s">
        <v>271</v>
      </c>
      <c r="AI8">
        <v>2</v>
      </c>
      <c r="AJ8">
        <v>2</v>
      </c>
      <c r="AL8" t="s">
        <v>272</v>
      </c>
      <c r="AM8">
        <v>2</v>
      </c>
      <c r="AN8">
        <v>2</v>
      </c>
      <c r="AP8" t="s">
        <v>273</v>
      </c>
      <c r="AQ8">
        <v>2</v>
      </c>
      <c r="AS8">
        <v>6</v>
      </c>
      <c r="AT8">
        <v>11</v>
      </c>
      <c r="AU8" t="s">
        <v>279</v>
      </c>
      <c r="AV8">
        <v>3</v>
      </c>
      <c r="AX8" s="96" t="s">
        <v>636</v>
      </c>
      <c r="AY8" s="94">
        <v>2025</v>
      </c>
      <c r="AZ8" s="95" t="s">
        <v>637</v>
      </c>
    </row>
    <row r="9" spans="1:52" ht="21.75" customHeight="1">
      <c r="A9" s="153">
        <f t="shared" si="1"/>
        <v>4</v>
      </c>
      <c r="B9" s="86" t="s">
        <v>525</v>
      </c>
      <c r="C9" s="86" t="s">
        <v>541</v>
      </c>
      <c r="D9" s="87" t="s">
        <v>263</v>
      </c>
      <c r="E9" s="87" t="s">
        <v>271</v>
      </c>
      <c r="F9" s="87"/>
      <c r="G9" s="87" t="s">
        <v>277</v>
      </c>
      <c r="H9" s="99" t="s">
        <v>542</v>
      </c>
      <c r="I9" s="86"/>
      <c r="J9" s="86" t="s">
        <v>273</v>
      </c>
      <c r="K9" s="100" t="s">
        <v>543</v>
      </c>
      <c r="L9" s="154" t="str">
        <f t="shared" si="0"/>
        <v>6 - Level Risiko Rendah</v>
      </c>
      <c r="M9" s="86"/>
      <c r="N9" s="86" t="s">
        <v>544</v>
      </c>
      <c r="O9" s="86"/>
      <c r="P9" s="86"/>
      <c r="Q9" s="155">
        <f t="shared" si="2"/>
        <v>7</v>
      </c>
      <c r="R9" s="155">
        <f t="shared" si="3"/>
        <v>2</v>
      </c>
      <c r="S9" s="155">
        <f t="shared" si="4"/>
        <v>3</v>
      </c>
      <c r="T9" s="155">
        <f t="shared" si="5"/>
        <v>2</v>
      </c>
      <c r="U9" s="155">
        <f t="shared" si="6"/>
        <v>2</v>
      </c>
      <c r="V9" s="155">
        <f t="shared" si="7"/>
        <v>3</v>
      </c>
      <c r="W9" s="155">
        <f t="shared" si="8"/>
        <v>6</v>
      </c>
      <c r="X9" s="155">
        <f t="shared" si="9"/>
        <v>3</v>
      </c>
      <c r="Y9" s="155" t="str">
        <f t="shared" si="10"/>
        <v>Level Risiko Rendah</v>
      </c>
      <c r="AA9" s="163">
        <v>2024</v>
      </c>
      <c r="AB9" s="163" t="s">
        <v>479</v>
      </c>
      <c r="AC9" s="163">
        <v>2</v>
      </c>
      <c r="AE9" t="s">
        <v>275</v>
      </c>
      <c r="AF9">
        <v>9</v>
      </c>
      <c r="AH9" t="s">
        <v>276</v>
      </c>
      <c r="AI9">
        <v>3</v>
      </c>
      <c r="AJ9">
        <v>3</v>
      </c>
      <c r="AL9" t="s">
        <v>277</v>
      </c>
      <c r="AM9">
        <v>3</v>
      </c>
      <c r="AN9">
        <v>3</v>
      </c>
      <c r="AP9" t="s">
        <v>278</v>
      </c>
      <c r="AQ9">
        <v>3</v>
      </c>
      <c r="AS9">
        <v>12</v>
      </c>
      <c r="AT9">
        <v>15</v>
      </c>
      <c r="AU9" t="s">
        <v>285</v>
      </c>
      <c r="AV9">
        <v>4</v>
      </c>
      <c r="AX9" s="96" t="s">
        <v>638</v>
      </c>
      <c r="AY9" s="94">
        <v>2025</v>
      </c>
      <c r="AZ9" s="95" t="s">
        <v>639</v>
      </c>
    </row>
    <row r="10" spans="1:52" ht="21.75" customHeight="1">
      <c r="A10" s="157">
        <f t="shared" si="1"/>
        <v>5</v>
      </c>
      <c r="B10" s="87" t="s">
        <v>477</v>
      </c>
      <c r="C10" s="87" t="s">
        <v>640</v>
      </c>
      <c r="D10" s="87" t="s">
        <v>263</v>
      </c>
      <c r="E10" s="87" t="s">
        <v>271</v>
      </c>
      <c r="F10" s="87"/>
      <c r="G10" s="87" t="s">
        <v>289</v>
      </c>
      <c r="H10" s="87" t="s">
        <v>641</v>
      </c>
      <c r="I10" s="87"/>
      <c r="J10" s="87" t="s">
        <v>290</v>
      </c>
      <c r="K10" s="87" t="s">
        <v>642</v>
      </c>
      <c r="L10" s="154" t="str">
        <f t="shared" si="0"/>
        <v>10 - Level Risiko Rendah</v>
      </c>
      <c r="M10" s="87"/>
      <c r="N10" s="87" t="s">
        <v>643</v>
      </c>
      <c r="O10" s="87"/>
      <c r="P10" s="87"/>
      <c r="Q10" s="156">
        <f t="shared" si="2"/>
        <v>7</v>
      </c>
      <c r="R10" s="156">
        <f t="shared" si="3"/>
        <v>2</v>
      </c>
      <c r="S10" s="156">
        <f t="shared" si="4"/>
        <v>5</v>
      </c>
      <c r="T10" s="156">
        <f t="shared" si="5"/>
        <v>5</v>
      </c>
      <c r="U10" s="156">
        <f t="shared" si="6"/>
        <v>2</v>
      </c>
      <c r="V10" s="156">
        <f t="shared" si="7"/>
        <v>5</v>
      </c>
      <c r="W10" s="156">
        <f t="shared" si="8"/>
        <v>10</v>
      </c>
      <c r="X10" s="156">
        <f t="shared" si="9"/>
        <v>3</v>
      </c>
      <c r="Y10" s="156" t="str">
        <f t="shared" si="10"/>
        <v>Level Risiko Rendah</v>
      </c>
      <c r="AA10" s="163">
        <v>2024</v>
      </c>
      <c r="AB10" s="163" t="s">
        <v>484</v>
      </c>
      <c r="AC10" s="163">
        <v>1</v>
      </c>
      <c r="AE10" t="s">
        <v>281</v>
      </c>
      <c r="AF10">
        <v>10</v>
      </c>
      <c r="AH10" t="s">
        <v>282</v>
      </c>
      <c r="AI10">
        <v>4</v>
      </c>
      <c r="AJ10">
        <v>4</v>
      </c>
      <c r="AL10" t="s">
        <v>283</v>
      </c>
      <c r="AM10">
        <v>4</v>
      </c>
      <c r="AN10">
        <v>4</v>
      </c>
      <c r="AP10" t="s">
        <v>284</v>
      </c>
      <c r="AQ10">
        <v>4</v>
      </c>
      <c r="AS10">
        <v>16</v>
      </c>
      <c r="AT10">
        <v>19</v>
      </c>
      <c r="AU10" t="s">
        <v>291</v>
      </c>
      <c r="AV10">
        <v>6</v>
      </c>
      <c r="AX10" s="96" t="s">
        <v>638</v>
      </c>
      <c r="AY10" s="94">
        <v>2025</v>
      </c>
      <c r="AZ10" s="95" t="s">
        <v>644</v>
      </c>
    </row>
    <row r="11" spans="1:52" ht="21.75" customHeight="1">
      <c r="A11" s="153">
        <f t="shared" si="1"/>
        <v>6</v>
      </c>
      <c r="B11" s="86" t="s">
        <v>477</v>
      </c>
      <c r="C11" s="86" t="s">
        <v>645</v>
      </c>
      <c r="D11" s="87" t="s">
        <v>263</v>
      </c>
      <c r="E11" s="87" t="s">
        <v>271</v>
      </c>
      <c r="F11" s="87"/>
      <c r="G11" s="87" t="s">
        <v>283</v>
      </c>
      <c r="H11" s="87" t="s">
        <v>641</v>
      </c>
      <c r="I11" s="86"/>
      <c r="J11" s="86" t="s">
        <v>290</v>
      </c>
      <c r="K11" s="86" t="s">
        <v>646</v>
      </c>
      <c r="L11" s="154" t="str">
        <f t="shared" si="0"/>
        <v>8 - Level Risiko Rendah</v>
      </c>
      <c r="M11" s="86"/>
      <c r="N11" s="86" t="s">
        <v>647</v>
      </c>
      <c r="O11" s="86"/>
      <c r="P11" s="86"/>
      <c r="Q11" s="155">
        <f t="shared" si="2"/>
        <v>7</v>
      </c>
      <c r="R11" s="155">
        <f t="shared" si="3"/>
        <v>2</v>
      </c>
      <c r="S11" s="155">
        <f t="shared" si="4"/>
        <v>4</v>
      </c>
      <c r="T11" s="155">
        <f t="shared" si="5"/>
        <v>5</v>
      </c>
      <c r="U11" s="155">
        <f t="shared" si="6"/>
        <v>2</v>
      </c>
      <c r="V11" s="155">
        <f t="shared" si="7"/>
        <v>4</v>
      </c>
      <c r="W11" s="155">
        <f t="shared" si="8"/>
        <v>8</v>
      </c>
      <c r="X11" s="155">
        <f t="shared" si="9"/>
        <v>3</v>
      </c>
      <c r="Y11" s="155" t="str">
        <f t="shared" si="10"/>
        <v>Level Risiko Rendah</v>
      </c>
      <c r="AA11" s="163">
        <v>2024</v>
      </c>
      <c r="AB11" s="163" t="s">
        <v>488</v>
      </c>
      <c r="AC11" s="163">
        <v>5</v>
      </c>
      <c r="AE11" t="s">
        <v>287</v>
      </c>
      <c r="AF11">
        <v>11</v>
      </c>
      <c r="AH11" t="s">
        <v>288</v>
      </c>
      <c r="AI11">
        <v>5</v>
      </c>
      <c r="AJ11">
        <v>5</v>
      </c>
      <c r="AL11" t="s">
        <v>289</v>
      </c>
      <c r="AM11">
        <v>5</v>
      </c>
      <c r="AN11">
        <v>5</v>
      </c>
      <c r="AP11" t="s">
        <v>290</v>
      </c>
      <c r="AQ11">
        <v>5</v>
      </c>
      <c r="AS11">
        <v>20</v>
      </c>
      <c r="AT11">
        <v>25</v>
      </c>
      <c r="AU11" t="s">
        <v>294</v>
      </c>
      <c r="AV11">
        <v>5</v>
      </c>
      <c r="AX11" s="96" t="s">
        <v>638</v>
      </c>
      <c r="AY11" s="94">
        <v>2025</v>
      </c>
      <c r="AZ11" s="95" t="s">
        <v>648</v>
      </c>
    </row>
    <row r="12" spans="1:52" ht="21.75" customHeight="1">
      <c r="A12" s="157">
        <f t="shared" si="1"/>
        <v>7</v>
      </c>
      <c r="B12" s="87" t="s">
        <v>477</v>
      </c>
      <c r="C12" s="87" t="s">
        <v>649</v>
      </c>
      <c r="D12" s="87" t="s">
        <v>263</v>
      </c>
      <c r="E12" s="87" t="s">
        <v>271</v>
      </c>
      <c r="F12" s="87"/>
      <c r="G12" s="87" t="s">
        <v>277</v>
      </c>
      <c r="H12" s="87" t="s">
        <v>469</v>
      </c>
      <c r="I12" s="87"/>
      <c r="J12" s="87" t="s">
        <v>290</v>
      </c>
      <c r="K12" s="87" t="s">
        <v>650</v>
      </c>
      <c r="L12" s="154" t="str">
        <f t="shared" si="0"/>
        <v>6 - Level Risiko Rendah</v>
      </c>
      <c r="M12" s="87"/>
      <c r="N12" s="87" t="s">
        <v>651</v>
      </c>
      <c r="O12" s="87"/>
      <c r="P12" s="87"/>
      <c r="Q12" s="156">
        <f t="shared" si="2"/>
        <v>7</v>
      </c>
      <c r="R12" s="156">
        <f t="shared" si="3"/>
        <v>2</v>
      </c>
      <c r="S12" s="156">
        <f t="shared" si="4"/>
        <v>3</v>
      </c>
      <c r="T12" s="156">
        <f t="shared" si="5"/>
        <v>5</v>
      </c>
      <c r="U12" s="156">
        <f t="shared" si="6"/>
        <v>2</v>
      </c>
      <c r="V12" s="156">
        <f t="shared" si="7"/>
        <v>3</v>
      </c>
      <c r="W12" s="156">
        <f t="shared" si="8"/>
        <v>6</v>
      </c>
      <c r="X12" s="156">
        <f t="shared" si="9"/>
        <v>3</v>
      </c>
      <c r="Y12" s="156" t="str">
        <f t="shared" si="10"/>
        <v>Level Risiko Rendah</v>
      </c>
      <c r="AA12" s="163">
        <v>2024</v>
      </c>
      <c r="AB12" s="163" t="s">
        <v>493</v>
      </c>
      <c r="AC12" s="163">
        <v>4</v>
      </c>
      <c r="AE12" t="s">
        <v>494</v>
      </c>
      <c r="AF12">
        <v>12</v>
      </c>
      <c r="AX12" s="96" t="s">
        <v>634</v>
      </c>
      <c r="AY12" s="94">
        <v>2025</v>
      </c>
      <c r="AZ12" s="95" t="s">
        <v>652</v>
      </c>
    </row>
    <row r="13" spans="1:52" ht="26.25" customHeight="1">
      <c r="A13" s="153">
        <f t="shared" si="1"/>
        <v>8</v>
      </c>
      <c r="B13" s="86" t="s">
        <v>477</v>
      </c>
      <c r="C13" s="86" t="s">
        <v>653</v>
      </c>
      <c r="D13" s="86" t="s">
        <v>263</v>
      </c>
      <c r="E13" s="86" t="s">
        <v>271</v>
      </c>
      <c r="F13" s="86"/>
      <c r="G13" s="86" t="s">
        <v>289</v>
      </c>
      <c r="H13" s="86" t="s">
        <v>469</v>
      </c>
      <c r="I13" s="86"/>
      <c r="J13" s="86" t="s">
        <v>290</v>
      </c>
      <c r="K13" s="86" t="s">
        <v>654</v>
      </c>
      <c r="L13" s="154" t="str">
        <f t="shared" si="0"/>
        <v>10 - Level Risiko Rendah</v>
      </c>
      <c r="M13" s="86"/>
      <c r="N13" s="86" t="s">
        <v>655</v>
      </c>
      <c r="O13" s="86"/>
      <c r="P13" s="86"/>
      <c r="Q13" s="155">
        <f t="shared" si="2"/>
        <v>7</v>
      </c>
      <c r="R13" s="155">
        <f t="shared" si="3"/>
        <v>2</v>
      </c>
      <c r="S13" s="155">
        <f t="shared" si="4"/>
        <v>5</v>
      </c>
      <c r="T13" s="155">
        <f t="shared" si="5"/>
        <v>5</v>
      </c>
      <c r="U13" s="155">
        <f t="shared" si="6"/>
        <v>2</v>
      </c>
      <c r="V13" s="155">
        <f t="shared" si="7"/>
        <v>5</v>
      </c>
      <c r="W13" s="155">
        <f t="shared" si="8"/>
        <v>10</v>
      </c>
      <c r="X13" s="155">
        <f t="shared" si="9"/>
        <v>3</v>
      </c>
      <c r="Y13" s="155" t="str">
        <f t="shared" si="10"/>
        <v>Level Risiko Rendah</v>
      </c>
      <c r="AA13" s="163">
        <v>2024</v>
      </c>
      <c r="AB13" s="163" t="s">
        <v>499</v>
      </c>
      <c r="AC13" s="163">
        <v>3</v>
      </c>
      <c r="AX13" s="96" t="s">
        <v>656</v>
      </c>
      <c r="AY13" s="94">
        <v>2025</v>
      </c>
      <c r="AZ13" s="95" t="s">
        <v>657</v>
      </c>
    </row>
    <row r="14" spans="1:52" ht="172.8">
      <c r="A14" s="157">
        <f t="shared" si="1"/>
        <v>9</v>
      </c>
      <c r="B14" s="87" t="s">
        <v>477</v>
      </c>
      <c r="C14" s="87" t="s">
        <v>658</v>
      </c>
      <c r="D14" s="87" t="s">
        <v>263</v>
      </c>
      <c r="E14" s="87" t="s">
        <v>271</v>
      </c>
      <c r="F14" s="87"/>
      <c r="G14" s="87" t="s">
        <v>277</v>
      </c>
      <c r="H14" s="87" t="s">
        <v>469</v>
      </c>
      <c r="I14" s="87"/>
      <c r="J14" s="87" t="s">
        <v>290</v>
      </c>
      <c r="K14" s="87" t="s">
        <v>659</v>
      </c>
      <c r="L14" s="154" t="str">
        <f t="shared" si="0"/>
        <v>6 - Level Risiko Rendah</v>
      </c>
      <c r="M14" s="87"/>
      <c r="N14" s="87" t="s">
        <v>651</v>
      </c>
      <c r="O14" s="87"/>
      <c r="P14" s="87"/>
      <c r="Q14" s="156">
        <f t="shared" si="2"/>
        <v>7</v>
      </c>
      <c r="R14" s="156">
        <f t="shared" si="3"/>
        <v>2</v>
      </c>
      <c r="S14" s="156">
        <f t="shared" si="4"/>
        <v>3</v>
      </c>
      <c r="T14" s="156">
        <f t="shared" si="5"/>
        <v>5</v>
      </c>
      <c r="U14" s="156">
        <f t="shared" si="6"/>
        <v>2</v>
      </c>
      <c r="V14" s="156">
        <f t="shared" si="7"/>
        <v>3</v>
      </c>
      <c r="W14" s="156">
        <f t="shared" si="8"/>
        <v>6</v>
      </c>
      <c r="X14" s="156">
        <f t="shared" si="9"/>
        <v>3</v>
      </c>
      <c r="Y14" s="156" t="str">
        <f t="shared" si="10"/>
        <v>Level Risiko Rendah</v>
      </c>
      <c r="AA14" s="163">
        <v>2025</v>
      </c>
      <c r="AB14" s="163" t="s">
        <v>504</v>
      </c>
      <c r="AC14" s="163">
        <v>2</v>
      </c>
      <c r="AX14" s="96" t="s">
        <v>660</v>
      </c>
      <c r="AY14" s="94">
        <v>2025</v>
      </c>
      <c r="AZ14" s="95" t="s">
        <v>661</v>
      </c>
    </row>
    <row r="15" spans="1:52" ht="288">
      <c r="A15" s="153">
        <f t="shared" si="1"/>
        <v>10</v>
      </c>
      <c r="B15" s="86" t="s">
        <v>477</v>
      </c>
      <c r="C15" s="86" t="s">
        <v>662</v>
      </c>
      <c r="D15" s="86" t="s">
        <v>263</v>
      </c>
      <c r="E15" s="86" t="s">
        <v>271</v>
      </c>
      <c r="F15" s="86"/>
      <c r="G15" s="86" t="s">
        <v>283</v>
      </c>
      <c r="H15" s="86" t="s">
        <v>469</v>
      </c>
      <c r="I15" s="86"/>
      <c r="J15" s="86" t="s">
        <v>290</v>
      </c>
      <c r="K15" s="86" t="s">
        <v>663</v>
      </c>
      <c r="L15" s="154" t="str">
        <f t="shared" si="0"/>
        <v>8 - Level Risiko Rendah</v>
      </c>
      <c r="M15" s="86"/>
      <c r="N15" s="86" t="s">
        <v>664</v>
      </c>
      <c r="O15" s="86"/>
      <c r="P15" s="86"/>
      <c r="Q15" s="155">
        <f t="shared" si="2"/>
        <v>7</v>
      </c>
      <c r="R15" s="155">
        <f t="shared" si="3"/>
        <v>2</v>
      </c>
      <c r="S15" s="155">
        <f t="shared" si="4"/>
        <v>4</v>
      </c>
      <c r="T15" s="155">
        <f t="shared" si="5"/>
        <v>5</v>
      </c>
      <c r="U15" s="155">
        <f t="shared" si="6"/>
        <v>2</v>
      </c>
      <c r="V15" s="155">
        <f t="shared" si="7"/>
        <v>4</v>
      </c>
      <c r="W15" s="155">
        <f t="shared" si="8"/>
        <v>8</v>
      </c>
      <c r="X15" s="155">
        <f t="shared" si="9"/>
        <v>3</v>
      </c>
      <c r="Y15" s="155" t="str">
        <f t="shared" si="10"/>
        <v>Level Risiko Rendah</v>
      </c>
      <c r="AA15" s="163">
        <v>2025</v>
      </c>
      <c r="AB15" s="163" t="s">
        <v>508</v>
      </c>
      <c r="AC15" s="163">
        <v>1</v>
      </c>
    </row>
    <row r="16" spans="1:52" ht="72">
      <c r="A16" s="157">
        <f t="shared" si="1"/>
        <v>11</v>
      </c>
      <c r="B16" s="87" t="s">
        <v>519</v>
      </c>
      <c r="C16" s="89" t="s">
        <v>665</v>
      </c>
      <c r="D16" s="87" t="s">
        <v>263</v>
      </c>
      <c r="E16" s="87" t="s">
        <v>271</v>
      </c>
      <c r="F16" s="87"/>
      <c r="G16" s="87" t="s">
        <v>283</v>
      </c>
      <c r="H16" s="87" t="s">
        <v>666</v>
      </c>
      <c r="I16" s="87"/>
      <c r="J16" s="87"/>
      <c r="K16" s="87"/>
      <c r="L16" s="154"/>
      <c r="M16" s="87"/>
      <c r="N16" s="87"/>
      <c r="O16" s="87"/>
      <c r="P16" s="87"/>
      <c r="Q16" s="156">
        <f t="shared" si="2"/>
        <v>7</v>
      </c>
      <c r="R16" s="156">
        <f t="shared" si="3"/>
        <v>2</v>
      </c>
      <c r="S16" s="156">
        <f t="shared" si="4"/>
        <v>4</v>
      </c>
      <c r="T16" s="156" t="str">
        <f t="shared" si="5"/>
        <v/>
      </c>
      <c r="U16" s="156">
        <f t="shared" si="6"/>
        <v>2</v>
      </c>
      <c r="V16" s="156">
        <f t="shared" si="7"/>
        <v>4</v>
      </c>
      <c r="W16" s="156">
        <f t="shared" si="8"/>
        <v>8</v>
      </c>
      <c r="X16" s="156">
        <f t="shared" si="9"/>
        <v>3</v>
      </c>
      <c r="Y16" s="156" t="str">
        <f t="shared" si="10"/>
        <v>Level Risiko Rendah</v>
      </c>
      <c r="AA16" s="163">
        <v>2025</v>
      </c>
      <c r="AB16" s="163" t="s">
        <v>480</v>
      </c>
      <c r="AC16" s="163">
        <v>5</v>
      </c>
    </row>
    <row r="17" spans="1:29">
      <c r="A17" s="157">
        <f t="shared" si="1"/>
        <v>12</v>
      </c>
      <c r="B17" s="87" t="s">
        <v>519</v>
      </c>
      <c r="C17" s="91"/>
      <c r="D17" s="86"/>
      <c r="E17" s="86"/>
      <c r="F17" s="91"/>
      <c r="G17" s="86"/>
      <c r="H17" s="91"/>
      <c r="I17" s="86"/>
      <c r="J17" s="86"/>
      <c r="K17" s="91"/>
      <c r="L17" s="154"/>
      <c r="M17" s="86"/>
      <c r="N17" s="91"/>
      <c r="O17" s="86"/>
      <c r="P17" s="91"/>
      <c r="AA17" s="163">
        <v>2025</v>
      </c>
      <c r="AB17" s="163" t="s">
        <v>514</v>
      </c>
      <c r="AC17" s="163">
        <v>4</v>
      </c>
    </row>
    <row r="18" spans="1:29">
      <c r="A18" s="153">
        <f t="shared" si="1"/>
        <v>13</v>
      </c>
      <c r="B18" s="87" t="s">
        <v>519</v>
      </c>
      <c r="C18" s="91"/>
      <c r="D18" s="86"/>
      <c r="E18" s="86"/>
      <c r="F18" s="91"/>
      <c r="G18" s="86"/>
      <c r="H18" s="87"/>
      <c r="I18" s="86"/>
      <c r="J18" s="86"/>
      <c r="K18" s="98"/>
      <c r="L18" s="154"/>
      <c r="M18" s="86"/>
      <c r="N18" s="91"/>
      <c r="O18" s="86"/>
      <c r="P18" s="91"/>
      <c r="AA18" s="163">
        <v>2025</v>
      </c>
      <c r="AB18" s="163" t="s">
        <v>519</v>
      </c>
      <c r="AC18" s="163">
        <v>3</v>
      </c>
    </row>
    <row r="19" spans="1:29">
      <c r="A19" s="157">
        <f t="shared" si="1"/>
        <v>14</v>
      </c>
      <c r="B19" s="87" t="s">
        <v>519</v>
      </c>
      <c r="C19" s="89"/>
      <c r="D19" s="87"/>
      <c r="E19" s="87"/>
      <c r="F19" s="87"/>
      <c r="G19" s="87"/>
      <c r="H19" s="99"/>
      <c r="I19" s="87"/>
      <c r="J19" s="87"/>
      <c r="K19" s="87"/>
      <c r="L19" s="154"/>
      <c r="M19" s="87"/>
      <c r="N19" s="87"/>
      <c r="O19" s="87"/>
      <c r="P19" s="87"/>
      <c r="AA19" s="163">
        <v>2025</v>
      </c>
      <c r="AB19" s="163" t="s">
        <v>524</v>
      </c>
      <c r="AC19" s="163">
        <v>2</v>
      </c>
    </row>
    <row r="20" spans="1:29">
      <c r="A20" s="153">
        <f t="shared" si="1"/>
        <v>15</v>
      </c>
      <c r="B20" s="87" t="s">
        <v>519</v>
      </c>
      <c r="C20" s="86"/>
      <c r="D20" s="87"/>
      <c r="E20" s="87"/>
      <c r="F20" s="87"/>
      <c r="G20" s="87"/>
      <c r="H20" s="99"/>
      <c r="I20" s="86"/>
      <c r="J20" s="86"/>
      <c r="K20" s="100"/>
      <c r="L20" s="154"/>
      <c r="M20" s="86"/>
      <c r="N20" s="86"/>
      <c r="O20" s="86"/>
      <c r="P20" s="86"/>
      <c r="AA20" s="163">
        <v>2025</v>
      </c>
      <c r="AB20" s="163" t="s">
        <v>530</v>
      </c>
      <c r="AC20" s="163">
        <v>1</v>
      </c>
    </row>
    <row r="21" spans="1:29">
      <c r="A21" s="157">
        <f t="shared" si="1"/>
        <v>16</v>
      </c>
      <c r="B21" s="87" t="s">
        <v>519</v>
      </c>
      <c r="C21" s="87"/>
      <c r="D21" s="87"/>
      <c r="E21" s="87"/>
      <c r="F21" s="87"/>
      <c r="G21" s="87"/>
      <c r="H21" s="87"/>
      <c r="I21" s="87"/>
      <c r="J21" s="87"/>
      <c r="K21" s="87"/>
      <c r="L21" s="154"/>
      <c r="M21" s="87"/>
      <c r="N21" s="87"/>
      <c r="O21" s="87"/>
      <c r="P21" s="87"/>
      <c r="AA21" s="163">
        <v>2025</v>
      </c>
      <c r="AB21" s="163" t="s">
        <v>535</v>
      </c>
      <c r="AC21" s="163">
        <v>5</v>
      </c>
    </row>
    <row r="22" spans="1:29">
      <c r="A22" s="157">
        <f t="shared" si="1"/>
        <v>17</v>
      </c>
      <c r="B22" s="87" t="s">
        <v>519</v>
      </c>
      <c r="C22" s="86"/>
      <c r="D22" s="87"/>
      <c r="E22" s="87"/>
      <c r="F22" s="87"/>
      <c r="G22" s="87"/>
      <c r="H22" s="87"/>
      <c r="I22" s="86"/>
      <c r="J22" s="86"/>
      <c r="K22" s="86"/>
      <c r="L22" s="154"/>
      <c r="M22" s="86"/>
      <c r="N22" s="86"/>
      <c r="O22" s="86"/>
      <c r="P22" s="86"/>
      <c r="AA22" s="163">
        <v>2025</v>
      </c>
      <c r="AB22" s="163" t="s">
        <v>540</v>
      </c>
      <c r="AC22" s="163">
        <v>4</v>
      </c>
    </row>
    <row r="23" spans="1:29">
      <c r="A23" s="153">
        <f t="shared" si="1"/>
        <v>18</v>
      </c>
      <c r="B23" s="87" t="s">
        <v>519</v>
      </c>
      <c r="C23" s="87"/>
      <c r="D23" s="87"/>
      <c r="E23" s="87"/>
      <c r="F23" s="87"/>
      <c r="G23" s="87"/>
      <c r="H23" s="87"/>
      <c r="I23" s="87"/>
      <c r="J23" s="87"/>
      <c r="K23" s="87"/>
      <c r="L23" s="154"/>
      <c r="M23" s="87"/>
      <c r="N23" s="87"/>
      <c r="O23" s="87"/>
      <c r="P23" s="87"/>
      <c r="AA23" s="163">
        <v>2025</v>
      </c>
      <c r="AB23" s="163" t="s">
        <v>545</v>
      </c>
      <c r="AC23" s="163">
        <v>3</v>
      </c>
    </row>
    <row r="24" spans="1:29">
      <c r="A24" s="157">
        <f t="shared" si="1"/>
        <v>19</v>
      </c>
      <c r="B24" s="87" t="s">
        <v>519</v>
      </c>
      <c r="C24" s="86"/>
      <c r="D24" s="86"/>
      <c r="E24" s="86"/>
      <c r="F24" s="86"/>
      <c r="G24" s="86"/>
      <c r="H24" s="86"/>
      <c r="I24" s="86"/>
      <c r="J24" s="86"/>
      <c r="K24" s="86"/>
      <c r="L24" s="154"/>
      <c r="M24" s="86"/>
      <c r="N24" s="86"/>
      <c r="O24" s="86"/>
      <c r="P24" s="86"/>
      <c r="AA24" s="163">
        <v>2025</v>
      </c>
      <c r="AB24" s="163" t="s">
        <v>554</v>
      </c>
      <c r="AC24" s="163">
        <v>2</v>
      </c>
    </row>
    <row r="25" spans="1:29">
      <c r="A25" s="153">
        <f t="shared" si="1"/>
        <v>20</v>
      </c>
      <c r="B25" s="87" t="s">
        <v>519</v>
      </c>
      <c r="C25" s="87"/>
      <c r="D25" s="87"/>
      <c r="E25" s="87"/>
      <c r="F25" s="87"/>
      <c r="G25" s="87"/>
      <c r="H25" s="87"/>
      <c r="I25" s="87"/>
      <c r="J25" s="87"/>
      <c r="K25" s="87"/>
      <c r="L25" s="154"/>
      <c r="M25" s="87"/>
      <c r="N25" s="87"/>
      <c r="O25" s="87"/>
      <c r="P25" s="87"/>
      <c r="AA25" s="163">
        <v>2025</v>
      </c>
      <c r="AB25" s="163" t="s">
        <v>561</v>
      </c>
      <c r="AC25" s="163">
        <v>1</v>
      </c>
    </row>
    <row r="26" spans="1:29">
      <c r="A26" s="157">
        <f t="shared" si="1"/>
        <v>21</v>
      </c>
      <c r="B26" s="86"/>
      <c r="C26" s="86"/>
      <c r="D26" s="86"/>
      <c r="E26" s="86"/>
      <c r="F26" s="86"/>
      <c r="G26" s="86"/>
      <c r="H26" s="86"/>
      <c r="I26" s="86"/>
      <c r="J26" s="86"/>
      <c r="K26" s="86"/>
      <c r="L26" s="154"/>
      <c r="M26" s="86"/>
      <c r="N26" s="86"/>
      <c r="O26" s="86"/>
      <c r="P26" s="86"/>
      <c r="AA26" s="163">
        <v>2025</v>
      </c>
      <c r="AB26" s="163" t="s">
        <v>569</v>
      </c>
      <c r="AC26" s="163">
        <v>5</v>
      </c>
    </row>
    <row r="27" spans="1:29">
      <c r="AA27" s="163">
        <v>2025</v>
      </c>
      <c r="AB27" s="163" t="s">
        <v>576</v>
      </c>
      <c r="AC27" s="163">
        <v>4</v>
      </c>
    </row>
    <row r="28" spans="1:29">
      <c r="AA28" s="163">
        <v>2025</v>
      </c>
      <c r="AB28" s="163" t="s">
        <v>583</v>
      </c>
      <c r="AC28" s="163">
        <v>3</v>
      </c>
    </row>
    <row r="29" spans="1:29">
      <c r="AA29" s="163">
        <v>2025</v>
      </c>
      <c r="AB29" s="163" t="s">
        <v>590</v>
      </c>
      <c r="AC29" s="163">
        <v>2</v>
      </c>
    </row>
    <row r="30" spans="1:29">
      <c r="AA30" s="163">
        <v>2025</v>
      </c>
      <c r="AB30" s="163" t="s">
        <v>597</v>
      </c>
      <c r="AC30" s="163">
        <v>1</v>
      </c>
    </row>
    <row r="31" spans="1:29">
      <c r="AA31" s="163">
        <v>2025</v>
      </c>
      <c r="AB31" s="163" t="s">
        <v>604</v>
      </c>
      <c r="AC31" s="163">
        <v>5</v>
      </c>
    </row>
    <row r="32" spans="1:29">
      <c r="AA32" s="163">
        <v>2025</v>
      </c>
      <c r="AB32" s="163" t="s">
        <v>611</v>
      </c>
      <c r="AC32" s="163">
        <v>4</v>
      </c>
    </row>
    <row r="33" spans="27:29">
      <c r="AA33" s="163">
        <v>2025</v>
      </c>
      <c r="AB33" s="163" t="s">
        <v>525</v>
      </c>
      <c r="AC33" s="163">
        <v>3</v>
      </c>
    </row>
    <row r="34" spans="27:29">
      <c r="AA34" s="163">
        <v>2025</v>
      </c>
      <c r="AB34" s="163" t="s">
        <v>624</v>
      </c>
      <c r="AC34" s="163">
        <v>2</v>
      </c>
    </row>
    <row r="35" spans="27:29">
      <c r="AA35" s="163">
        <v>2025</v>
      </c>
      <c r="AB35" s="163" t="s">
        <v>625</v>
      </c>
      <c r="AC35" s="163">
        <v>1</v>
      </c>
    </row>
  </sheetData>
  <mergeCells count="20">
    <mergeCell ref="X4:X5"/>
    <mergeCell ref="Y4:Y5"/>
    <mergeCell ref="O4:P4"/>
    <mergeCell ref="Q4:Q5"/>
    <mergeCell ref="R4:R5"/>
    <mergeCell ref="S4:S5"/>
    <mergeCell ref="T4:T5"/>
    <mergeCell ref="U4:U5"/>
    <mergeCell ref="A1:Y1"/>
    <mergeCell ref="A4:A5"/>
    <mergeCell ref="B4:B5"/>
    <mergeCell ref="C4:C5"/>
    <mergeCell ref="D4:D5"/>
    <mergeCell ref="E4:F4"/>
    <mergeCell ref="G4:H4"/>
    <mergeCell ref="I4:K4"/>
    <mergeCell ref="L4:L5"/>
    <mergeCell ref="M4:N4"/>
    <mergeCell ref="V4:V5"/>
    <mergeCell ref="W4:W5"/>
  </mergeCells>
  <dataValidations count="7">
    <dataValidation type="list" allowBlank="1" errorTitle="Input Tidak Valid" error="Nilai harus antara 1-5" sqref="O52:P1002" xr:uid="{04C1E0CC-7738-4F2B-9773-8AB7AD5A64EF}">
      <formula1>"1,2,3,4,5"</formula1>
      <formula2>0</formula2>
    </dataValidation>
    <dataValidation type="list" allowBlank="1" sqref="F264:F1002" xr:uid="{4AB68E02-7B76-4325-A417-4897E279B0AD}">
      <formula1>"Risiko Reputasi,Risiko Kepatuhan,Risiko Legal,Risiko Fraud,Risiko Operasional,Risiko Kebijakan,Risiko Keuangan,Risiko SPBE,Risiko Layanan Publik,Risiko SDM"</formula1>
      <formula2>0</formula2>
    </dataValidation>
    <dataValidation type="list" allowBlank="1" showInputMessage="1" showErrorMessage="1" sqref="B6:B26" xr:uid="{A1827AD8-BC6C-4228-BCEC-B5E03512862F}">
      <formula1>$AB$5:$AB$35</formula1>
    </dataValidation>
    <dataValidation type="list" allowBlank="1" showInputMessage="1" showErrorMessage="1" sqref="E6:E26" xr:uid="{D80F5DE5-6952-4176-BEFF-D0DE9CC0734D}">
      <formula1>$AH$6:$AH$11</formula1>
    </dataValidation>
    <dataValidation type="list" allowBlank="1" showInputMessage="1" showErrorMessage="1" sqref="G6:G26" xr:uid="{74332A1D-B2B1-458A-97A6-DA92E58972DA}">
      <formula1>$AL$6:$AL$11</formula1>
    </dataValidation>
    <dataValidation type="list" allowBlank="1" showInputMessage="1" showErrorMessage="1" sqref="J6:J26" xr:uid="{46F17ABE-ACC7-4ECF-997D-BC9616AEB8E2}">
      <formula1>$AP$6:$AP$11</formula1>
    </dataValidation>
    <dataValidation type="list" allowBlank="1" showInputMessage="1" showErrorMessage="1" sqref="D6:D26" xr:uid="{798A3462-98E9-4C35-A6AE-84DA0C209D70}">
      <formula1>$AE$6:$AE$12</formula1>
    </dataValidation>
  </dataValidations>
  <hyperlinks>
    <hyperlink ref="AZ5" r:id="rId1" xr:uid="{B08284E3-8520-4F95-81D0-7340657CDC1A}"/>
    <hyperlink ref="AZ6" r:id="rId2" xr:uid="{D90C0352-2164-41DA-A012-37882EF8C082}"/>
    <hyperlink ref="AZ7" r:id="rId3" xr:uid="{D73CD0AD-76B6-4700-AE0A-49513EC7D49B}"/>
    <hyperlink ref="AZ8" r:id="rId4" xr:uid="{A290ED71-197D-4EF4-AA7F-CBF76309E953}"/>
    <hyperlink ref="AZ9" r:id="rId5" xr:uid="{786FA1E2-B71B-4533-A3F3-FB628FC18F13}"/>
    <hyperlink ref="AZ10" r:id="rId6" xr:uid="{704AACA3-AFEC-474D-8BFF-51BEAD15F46C}"/>
    <hyperlink ref="AZ11" r:id="rId7" xr:uid="{0289D896-DD12-47BD-9BD9-BAED962A768E}"/>
    <hyperlink ref="AZ12" r:id="rId8" xr:uid="{EC98FECA-2939-412C-A8B8-F02494E7E184}"/>
    <hyperlink ref="AZ13" r:id="rId9" xr:uid="{D911A190-95C8-4649-B15C-A19ED05E1EFA}"/>
    <hyperlink ref="AZ14" r:id="rId10" xr:uid="{616BD745-C01A-4750-94C8-0DA492BC7F50}"/>
  </hyperlinks>
  <pageMargins left="0.75" right="0.75" top="0.84722222222222199" bottom="0.84722222222222199" header="0.511811023622047" footer="0.511811023622047"/>
  <pageSetup scale="33" fitToHeight="0" orientation="landscape" horizontalDpi="300" verticalDpi="300"/>
  <legacyDrawing r:id="rId11"/>
  <extLst>
    <ext xmlns:x14="http://schemas.microsoft.com/office/spreadsheetml/2009/9/main" uri="{CCE6A557-97BC-4b89-ADB6-D9C93CAAB3DF}">
      <x14:dataValidations xmlns:xm="http://schemas.microsoft.com/office/excel/2006/main" count="1">
        <x14:dataValidation type="list" allowBlank="1" xr:uid="{2412A366-6656-4A47-9761-B10535BC7057}">
          <x14:formula1>
            <xm:f>'Kategori Risiko'!$B$5:$B$11</xm:f>
          </x14:formula1>
          <xm:sqref>F52:F263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160C9-EE1A-4F3E-A83B-BA964BBFC91D}">
  <sheetPr>
    <tabColor rgb="FF00B0F0"/>
    <pageSetUpPr fitToPage="1"/>
  </sheetPr>
  <dimension ref="A1:AZ35"/>
  <sheetViews>
    <sheetView showGridLines="0" topLeftCell="A4" zoomScale="84" zoomScaleNormal="100" workbookViewId="0">
      <pane xSplit="1" ySplit="2" topLeftCell="J15" activePane="bottomRight" state="frozen"/>
      <selection pane="topRight"/>
      <selection pane="bottomLeft"/>
      <selection pane="bottomRight" activeCell="P6" sqref="P6"/>
    </sheetView>
  </sheetViews>
  <sheetFormatPr defaultColWidth="9.109375" defaultRowHeight="14.4" outlineLevelCol="1"/>
  <cols>
    <col min="1" max="1" width="13.5546875" style="88" customWidth="1"/>
    <col min="2" max="3" width="29.6640625" style="88" customWidth="1"/>
    <col min="4" max="4" width="24.109375" style="88" customWidth="1"/>
    <col min="5" max="5" width="20.33203125" style="88" customWidth="1"/>
    <col min="6" max="6" width="29.6640625" style="88" customWidth="1"/>
    <col min="7" max="7" width="20.33203125" style="88" customWidth="1"/>
    <col min="8" max="8" width="29.6640625" style="88" customWidth="1"/>
    <col min="9" max="9" width="9.33203125" style="88" customWidth="1"/>
    <col min="10" max="10" width="20.33203125" style="88" customWidth="1"/>
    <col min="11" max="11" width="29.6640625" style="88" customWidth="1"/>
    <col min="12" max="12" width="20.33203125" style="88" customWidth="1"/>
    <col min="13" max="13" width="9.33203125" style="88" customWidth="1"/>
    <col min="14" max="14" width="33.33203125" style="88" customWidth="1"/>
    <col min="15" max="15" width="9.33203125" style="88" customWidth="1"/>
    <col min="16" max="16" width="29.6640625" style="88" customWidth="1"/>
    <col min="17" max="25" width="16.6640625" style="68" hidden="1" customWidth="1" outlineLevel="1"/>
    <col min="26" max="26" width="9.109375" bestFit="1" customWidth="1" collapsed="1"/>
    <col min="27" max="27" width="13.6640625" customWidth="1"/>
    <col min="28" max="28" width="44" customWidth="1"/>
    <col min="29" max="29" width="8.6640625" customWidth="1"/>
    <col min="30" max="30" width="9.109375" bestFit="1" customWidth="1"/>
    <col min="31" max="31" width="36.88671875" customWidth="1"/>
    <col min="32" max="32" width="3" customWidth="1"/>
    <col min="33" max="33" width="9.109375" customWidth="1"/>
    <col min="34" max="34" width="26.44140625" customWidth="1"/>
    <col min="35" max="35" width="2.6640625" customWidth="1"/>
    <col min="36" max="36" width="5.44140625" customWidth="1"/>
    <col min="37" max="37" width="9.109375" customWidth="1"/>
    <col min="38" max="38" width="23.33203125" customWidth="1"/>
    <col min="39" max="39" width="2.6640625" customWidth="1"/>
    <col min="40" max="40" width="5.44140625" customWidth="1"/>
    <col min="41" max="41" width="9.109375" customWidth="1"/>
    <col min="42" max="42" width="16.33203125" customWidth="1"/>
    <col min="43" max="43" width="2.6640625" customWidth="1"/>
    <col min="44" max="44" width="9.109375" customWidth="1"/>
    <col min="45" max="46" width="11.33203125" customWidth="1"/>
    <col min="47" max="47" width="24.33203125" customWidth="1"/>
    <col min="48" max="48" width="2.6640625" customWidth="1"/>
    <col min="49" max="49" width="9.109375" bestFit="1" customWidth="1"/>
    <col min="50" max="50" width="42" bestFit="1" customWidth="1"/>
    <col min="51" max="51" width="8.109375" bestFit="1" customWidth="1"/>
    <col min="52" max="52" width="112.109375" bestFit="1" customWidth="1"/>
    <col min="53" max="1979" width="9.109375" bestFit="1" customWidth="1"/>
    <col min="1980" max="1980" width="2.5546875" customWidth="1"/>
    <col min="1981" max="1984" width="9.109375" bestFit="1" customWidth="1"/>
    <col min="1985" max="1985" width="2.5546875" customWidth="1"/>
  </cols>
  <sheetData>
    <row r="1" spans="1:52" ht="27.75" customHeight="1">
      <c r="A1" s="185" t="s">
        <v>454</v>
      </c>
      <c r="B1" s="185"/>
      <c r="C1" s="185"/>
      <c r="D1" s="185"/>
      <c r="E1" s="185"/>
      <c r="F1" s="185"/>
      <c r="G1" s="185"/>
      <c r="H1" s="185"/>
      <c r="I1" s="185"/>
      <c r="J1" s="185"/>
      <c r="K1" s="185"/>
      <c r="L1" s="185"/>
      <c r="M1" s="185"/>
      <c r="N1" s="185"/>
      <c r="O1" s="185"/>
      <c r="P1" s="185"/>
      <c r="Q1" s="185"/>
      <c r="R1" s="185"/>
      <c r="S1" s="185"/>
      <c r="T1" s="185"/>
      <c r="U1" s="185"/>
      <c r="V1" s="185"/>
      <c r="W1" s="185"/>
      <c r="X1" s="185"/>
      <c r="Y1" s="185"/>
      <c r="AH1" s="164"/>
      <c r="AI1" s="164"/>
      <c r="AJ1" s="164"/>
      <c r="AK1" s="164"/>
      <c r="AL1" s="164"/>
    </row>
    <row r="2" spans="1:52">
      <c r="A2" s="32" t="s">
        <v>199</v>
      </c>
      <c r="B2" s="54" t="s">
        <v>200</v>
      </c>
      <c r="C2"/>
      <c r="D2" s="32" t="s">
        <v>201</v>
      </c>
      <c r="E2" s="54">
        <v>3</v>
      </c>
      <c r="F2" s="32" t="s">
        <v>202</v>
      </c>
      <c r="G2" s="54">
        <v>2026</v>
      </c>
      <c r="H2"/>
      <c r="I2"/>
      <c r="J2"/>
      <c r="K2"/>
      <c r="L2"/>
      <c r="M2"/>
      <c r="N2"/>
      <c r="O2"/>
      <c r="P2"/>
      <c r="Q2"/>
      <c r="R2"/>
      <c r="S2"/>
      <c r="T2"/>
      <c r="U2"/>
      <c r="V2"/>
      <c r="W2"/>
      <c r="X2"/>
      <c r="Y2"/>
    </row>
    <row r="3" spans="1:52">
      <c r="A3" s="53" t="s">
        <v>455</v>
      </c>
      <c r="B3"/>
      <c r="C3"/>
      <c r="D3"/>
      <c r="E3"/>
      <c r="F3"/>
      <c r="G3"/>
      <c r="H3"/>
      <c r="I3"/>
      <c r="J3"/>
      <c r="K3"/>
      <c r="L3"/>
      <c r="M3"/>
      <c r="N3"/>
      <c r="O3"/>
      <c r="P3"/>
      <c r="Q3"/>
      <c r="R3"/>
      <c r="S3"/>
      <c r="T3"/>
      <c r="U3"/>
      <c r="V3"/>
      <c r="W3"/>
      <c r="X3"/>
      <c r="Y3"/>
    </row>
    <row r="4" spans="1:52" ht="30" customHeight="1">
      <c r="A4" s="184" t="s">
        <v>231</v>
      </c>
      <c r="B4" s="184" t="s">
        <v>456</v>
      </c>
      <c r="C4" s="184" t="s">
        <v>457</v>
      </c>
      <c r="D4" s="184" t="s">
        <v>204</v>
      </c>
      <c r="E4" s="184" t="s">
        <v>458</v>
      </c>
      <c r="F4" s="184"/>
      <c r="G4" s="184" t="s">
        <v>459</v>
      </c>
      <c r="H4" s="184"/>
      <c r="I4" s="184" t="s">
        <v>216</v>
      </c>
      <c r="J4" s="184"/>
      <c r="K4" s="184"/>
      <c r="L4" s="187" t="s">
        <v>208</v>
      </c>
      <c r="M4" s="184" t="s">
        <v>217</v>
      </c>
      <c r="N4" s="184"/>
      <c r="O4" s="184" t="s">
        <v>218</v>
      </c>
      <c r="P4" s="184"/>
      <c r="Q4" s="186" t="s">
        <v>247</v>
      </c>
      <c r="R4" s="186" t="s">
        <v>248</v>
      </c>
      <c r="S4" s="186" t="s">
        <v>249</v>
      </c>
      <c r="T4" s="186" t="s">
        <v>250</v>
      </c>
      <c r="U4" s="186" t="s">
        <v>251</v>
      </c>
      <c r="V4" s="186" t="s">
        <v>252</v>
      </c>
      <c r="W4" s="186" t="s">
        <v>253</v>
      </c>
      <c r="X4" s="186" t="s">
        <v>254</v>
      </c>
      <c r="Y4" s="186" t="s">
        <v>255</v>
      </c>
      <c r="AA4" s="150" t="s">
        <v>460</v>
      </c>
      <c r="AB4" s="151" t="s">
        <v>461</v>
      </c>
      <c r="AC4" s="90" t="s">
        <v>462</v>
      </c>
      <c r="AE4" s="152" t="s">
        <v>204</v>
      </c>
      <c r="AH4" s="152" t="s">
        <v>205</v>
      </c>
      <c r="AL4" s="152" t="s">
        <v>206</v>
      </c>
      <c r="AP4" s="152" t="s">
        <v>207</v>
      </c>
      <c r="AS4" s="152" t="s">
        <v>208</v>
      </c>
      <c r="AX4" s="92" t="s">
        <v>629</v>
      </c>
      <c r="AY4" s="93" t="s">
        <v>202</v>
      </c>
      <c r="AZ4" s="93" t="s">
        <v>630</v>
      </c>
    </row>
    <row r="5" spans="1:52" ht="22.2" customHeight="1">
      <c r="A5" s="184"/>
      <c r="B5" s="184"/>
      <c r="C5" s="184"/>
      <c r="D5" s="184"/>
      <c r="E5" s="166" t="s">
        <v>205</v>
      </c>
      <c r="F5" s="166" t="s">
        <v>233</v>
      </c>
      <c r="G5" s="166" t="s">
        <v>206</v>
      </c>
      <c r="H5" s="166" t="s">
        <v>233</v>
      </c>
      <c r="I5" s="166" t="s">
        <v>231</v>
      </c>
      <c r="J5" s="166" t="s">
        <v>232</v>
      </c>
      <c r="K5" s="166" t="s">
        <v>233</v>
      </c>
      <c r="L5" s="187"/>
      <c r="M5" s="166" t="s">
        <v>231</v>
      </c>
      <c r="N5" s="166" t="s">
        <v>233</v>
      </c>
      <c r="O5" s="166" t="s">
        <v>231</v>
      </c>
      <c r="P5" s="166" t="s">
        <v>233</v>
      </c>
      <c r="Q5" s="186"/>
      <c r="R5" s="186"/>
      <c r="S5" s="186"/>
      <c r="T5" s="186"/>
      <c r="U5" s="186"/>
      <c r="V5" s="186"/>
      <c r="W5" s="186"/>
      <c r="X5" s="186"/>
      <c r="Y5" s="186"/>
      <c r="AA5" s="163">
        <v>2024</v>
      </c>
      <c r="AB5" s="163" t="s">
        <v>463</v>
      </c>
      <c r="AC5" s="163">
        <v>5</v>
      </c>
      <c r="AE5" s="32" t="s">
        <v>219</v>
      </c>
      <c r="AF5" s="32" t="s">
        <v>220</v>
      </c>
      <c r="AH5" s="32" t="s">
        <v>219</v>
      </c>
      <c r="AI5" s="32" t="s">
        <v>220</v>
      </c>
      <c r="AJ5" s="32" t="s">
        <v>51</v>
      </c>
      <c r="AL5" s="32" t="s">
        <v>219</v>
      </c>
      <c r="AM5" s="32" t="s">
        <v>220</v>
      </c>
      <c r="AN5" s="32" t="s">
        <v>51</v>
      </c>
      <c r="AP5" s="32" t="s">
        <v>219</v>
      </c>
      <c r="AQ5" s="32" t="s">
        <v>220</v>
      </c>
      <c r="AS5" s="32" t="s">
        <v>464</v>
      </c>
      <c r="AT5" s="32" t="s">
        <v>465</v>
      </c>
      <c r="AU5" s="32" t="s">
        <v>466</v>
      </c>
      <c r="AV5" s="32" t="s">
        <v>220</v>
      </c>
      <c r="AX5" s="96" t="s">
        <v>631</v>
      </c>
      <c r="AY5" s="94">
        <v>2024</v>
      </c>
      <c r="AZ5" s="95" t="s">
        <v>632</v>
      </c>
    </row>
    <row r="6" spans="1:52" ht="83.4" customHeight="1">
      <c r="A6" s="153">
        <f>ROW()-5</f>
        <v>1</v>
      </c>
      <c r="B6" s="86" t="s">
        <v>484</v>
      </c>
      <c r="C6" s="91" t="s">
        <v>667</v>
      </c>
      <c r="D6" s="86" t="s">
        <v>263</v>
      </c>
      <c r="E6" s="86" t="s">
        <v>282</v>
      </c>
      <c r="F6" s="91" t="s">
        <v>468</v>
      </c>
      <c r="G6" s="86" t="s">
        <v>277</v>
      </c>
      <c r="H6" s="91" t="s">
        <v>469</v>
      </c>
      <c r="I6" s="86"/>
      <c r="J6" s="86" t="s">
        <v>284</v>
      </c>
      <c r="K6" s="98" t="s">
        <v>668</v>
      </c>
      <c r="L6" s="154" t="str">
        <f>IF(ISNUMBER(X6),W6&amp;" - "&amp;Y6,"")</f>
        <v>12 - Level Risiko Sedang</v>
      </c>
      <c r="M6" s="86"/>
      <c r="N6" s="98" t="s">
        <v>669</v>
      </c>
      <c r="O6" s="86"/>
      <c r="P6" s="91" t="s">
        <v>468</v>
      </c>
      <c r="Q6" s="155">
        <f>IF(ISBLANK(D6),"",VLOOKUP(D6,$AE$6:$AF$11,2,FALSE))</f>
        <v>7</v>
      </c>
      <c r="R6" s="155">
        <f>IF(ISBLANK(E6),"",VLOOKUP(E6,$AH$6:$AI$11,2,FALSE))</f>
        <v>4</v>
      </c>
      <c r="S6" s="155">
        <f>IF(ISBLANK(G6),"",VLOOKUP(G6,$AL$6:$AM$11,2,FALSE))</f>
        <v>3</v>
      </c>
      <c r="T6" s="155">
        <f>IF(ISBLANK(J6),"",VLOOKUP(J6,$AP$6:$AQ$11,2,FALSE))</f>
        <v>4</v>
      </c>
      <c r="U6" s="155">
        <f>IF(ISNUMBER(R6),VLOOKUP(R6,$AI$6:$AJ$11,2,FALSE),"")</f>
        <v>4</v>
      </c>
      <c r="V6" s="155">
        <f>IF(ISNUMBER(S6),VLOOKUP(S6,$AM$6:$AN$11,2,FALSE),"")</f>
        <v>3</v>
      </c>
      <c r="W6" s="155">
        <f>IF(AND(ISNUMBER(U6),ISNUMBER(V6)),U6*V6,"")</f>
        <v>12</v>
      </c>
      <c r="X6" s="155">
        <f>IF(ISNUMBER(W6),LOOKUP(W6,$AS$6:$AS$11,$AV$6:$AV$11),"")</f>
        <v>4</v>
      </c>
      <c r="Y6" s="155" t="str">
        <f>IF(ISNUMBER(W6),LOOKUP(W6,$AS$6:$AS$11,$AU$6:$AU$11),"")</f>
        <v>Level Risiko Sedang</v>
      </c>
      <c r="AA6" s="163">
        <v>2024</v>
      </c>
      <c r="AB6" s="163" t="s">
        <v>472</v>
      </c>
      <c r="AC6" s="163">
        <v>4</v>
      </c>
      <c r="AE6" t="s">
        <v>263</v>
      </c>
      <c r="AF6">
        <v>7</v>
      </c>
      <c r="AH6" t="s">
        <v>264</v>
      </c>
      <c r="AI6">
        <v>1</v>
      </c>
      <c r="AJ6">
        <v>1</v>
      </c>
      <c r="AL6" t="s">
        <v>265</v>
      </c>
      <c r="AM6">
        <v>1</v>
      </c>
      <c r="AN6">
        <v>1</v>
      </c>
      <c r="AP6" t="s">
        <v>266</v>
      </c>
      <c r="AQ6">
        <v>1</v>
      </c>
      <c r="AS6">
        <v>1</v>
      </c>
      <c r="AT6">
        <v>5</v>
      </c>
      <c r="AU6" t="s">
        <v>267</v>
      </c>
      <c r="AV6">
        <v>2</v>
      </c>
      <c r="AX6" s="96" t="s">
        <v>631</v>
      </c>
      <c r="AY6" s="94">
        <v>2024</v>
      </c>
      <c r="AZ6" s="95" t="s">
        <v>633</v>
      </c>
    </row>
    <row r="7" spans="1:52" ht="83.4" customHeight="1">
      <c r="A7" s="153">
        <v>2</v>
      </c>
      <c r="B7" s="86" t="s">
        <v>484</v>
      </c>
      <c r="C7" s="91" t="s">
        <v>670</v>
      </c>
      <c r="D7" s="86" t="s">
        <v>263</v>
      </c>
      <c r="E7" s="86" t="s">
        <v>282</v>
      </c>
      <c r="F7" s="91"/>
      <c r="G7" s="86" t="s">
        <v>277</v>
      </c>
      <c r="H7" s="91" t="s">
        <v>469</v>
      </c>
      <c r="I7" s="86"/>
      <c r="J7" s="86" t="s">
        <v>284</v>
      </c>
      <c r="K7" s="98" t="s">
        <v>671</v>
      </c>
      <c r="L7" s="154" t="str">
        <f>IF(ISNUMBER(X7),W7&amp;" - "&amp;Y7,"")</f>
        <v/>
      </c>
      <c r="M7" s="86"/>
      <c r="N7" s="98" t="s">
        <v>672</v>
      </c>
      <c r="O7" s="86"/>
      <c r="P7" s="91"/>
      <c r="Q7" s="155"/>
      <c r="R7" s="155"/>
      <c r="S7" s="155"/>
      <c r="T7" s="155"/>
      <c r="U7" s="155"/>
      <c r="V7" s="155"/>
      <c r="W7" s="155"/>
      <c r="X7" s="155"/>
      <c r="Y7" s="155"/>
      <c r="AA7" s="163"/>
      <c r="AB7" s="163"/>
      <c r="AC7" s="163"/>
      <c r="AX7" s="96" t="s">
        <v>634</v>
      </c>
      <c r="AY7" s="94">
        <v>2024</v>
      </c>
      <c r="AZ7" s="95" t="s">
        <v>635</v>
      </c>
    </row>
    <row r="8" spans="1:52" ht="61.5" customHeight="1">
      <c r="A8" s="157">
        <f t="shared" ref="A8:A16" si="0">ROW()-5</f>
        <v>3</v>
      </c>
      <c r="B8" s="86" t="s">
        <v>484</v>
      </c>
      <c r="C8" s="89" t="s">
        <v>673</v>
      </c>
      <c r="D8" s="87" t="s">
        <v>263</v>
      </c>
      <c r="E8" s="87" t="s">
        <v>282</v>
      </c>
      <c r="F8" s="87"/>
      <c r="G8" s="87" t="s">
        <v>277</v>
      </c>
      <c r="H8" s="87" t="s">
        <v>674</v>
      </c>
      <c r="I8" s="87"/>
      <c r="J8" s="87" t="s">
        <v>284</v>
      </c>
      <c r="K8" s="98" t="s">
        <v>675</v>
      </c>
      <c r="L8" s="154"/>
      <c r="M8" s="87"/>
      <c r="N8" s="99" t="s">
        <v>676</v>
      </c>
      <c r="O8" s="87"/>
      <c r="P8" s="87"/>
      <c r="Q8" s="156">
        <f t="shared" ref="Q8:Q16" si="1">IF(ISBLANK(D8),"",VLOOKUP(D8,$AE$6:$AF$11,2,FALSE))</f>
        <v>7</v>
      </c>
      <c r="R8" s="156">
        <f t="shared" ref="R8:R16" si="2">IF(ISBLANK(E8),"",VLOOKUP(E8,$AH$6:$AI$11,2,FALSE))</f>
        <v>4</v>
      </c>
      <c r="S8" s="156">
        <f t="shared" ref="S8:S16" si="3">IF(ISBLANK(G8),"",VLOOKUP(G8,$AL$6:$AM$11,2,FALSE))</f>
        <v>3</v>
      </c>
      <c r="T8" s="156">
        <f t="shared" ref="T8:T16" si="4">IF(ISBLANK(J8),"",VLOOKUP(J8,$AP$6:$AQ$11,2,FALSE))</f>
        <v>4</v>
      </c>
      <c r="U8" s="156">
        <f t="shared" ref="U8:U16" si="5">IF(ISNUMBER(R8),VLOOKUP(R8,$AI$6:$AJ$11,2,FALSE),"")</f>
        <v>4</v>
      </c>
      <c r="V8" s="156">
        <f t="shared" ref="V8:V16" si="6">IF(ISNUMBER(S8),VLOOKUP(S8,$AM$6:$AN$11,2,FALSE),"")</f>
        <v>3</v>
      </c>
      <c r="W8" s="156">
        <f t="shared" ref="W8:W16" si="7">IF(AND(ISNUMBER(U8),ISNUMBER(V8)),U8*V8,"")</f>
        <v>12</v>
      </c>
      <c r="X8" s="156">
        <f t="shared" ref="X8:X16" si="8">IF(ISNUMBER(W8),LOOKUP(W8,$AS$6:$AS$11,$AV$6:$AV$11),"")</f>
        <v>4</v>
      </c>
      <c r="Y8" s="156" t="str">
        <f t="shared" ref="Y8:Y16" si="9">IF(ISNUMBER(W8),LOOKUP(W8,$AS$6:$AS$11,$AU$6:$AU$11),"")</f>
        <v>Level Risiko Sedang</v>
      </c>
      <c r="AA8" s="163">
        <v>2024</v>
      </c>
      <c r="AB8" s="163" t="s">
        <v>477</v>
      </c>
      <c r="AC8" s="163">
        <v>3</v>
      </c>
      <c r="AE8" t="s">
        <v>270</v>
      </c>
      <c r="AF8">
        <v>8</v>
      </c>
      <c r="AH8" t="s">
        <v>271</v>
      </c>
      <c r="AI8">
        <v>2</v>
      </c>
      <c r="AJ8">
        <v>2</v>
      </c>
      <c r="AL8" t="s">
        <v>272</v>
      </c>
      <c r="AM8">
        <v>2</v>
      </c>
      <c r="AN8">
        <v>2</v>
      </c>
      <c r="AP8" t="s">
        <v>273</v>
      </c>
      <c r="AQ8">
        <v>2</v>
      </c>
      <c r="AS8">
        <v>6</v>
      </c>
      <c r="AT8">
        <v>11</v>
      </c>
      <c r="AU8" t="s">
        <v>279</v>
      </c>
      <c r="AV8">
        <v>3</v>
      </c>
      <c r="AX8" s="96" t="s">
        <v>636</v>
      </c>
      <c r="AY8" s="94">
        <v>2025</v>
      </c>
      <c r="AZ8" s="95" t="s">
        <v>637</v>
      </c>
    </row>
    <row r="9" spans="1:52" ht="45.75" customHeight="1">
      <c r="A9" s="153">
        <f t="shared" si="0"/>
        <v>4</v>
      </c>
      <c r="B9" s="86" t="s">
        <v>484</v>
      </c>
      <c r="C9" s="86" t="s">
        <v>677</v>
      </c>
      <c r="D9" s="87" t="s">
        <v>263</v>
      </c>
      <c r="E9" s="87" t="s">
        <v>282</v>
      </c>
      <c r="F9" s="87"/>
      <c r="G9" s="87" t="s">
        <v>277</v>
      </c>
      <c r="H9" s="87" t="s">
        <v>678</v>
      </c>
      <c r="I9" s="86"/>
      <c r="J9" s="86" t="s">
        <v>284</v>
      </c>
      <c r="K9" s="100" t="s">
        <v>679</v>
      </c>
      <c r="L9" s="154"/>
      <c r="M9" s="86"/>
      <c r="N9" s="100" t="s">
        <v>680</v>
      </c>
      <c r="O9" s="86"/>
      <c r="P9" s="86"/>
      <c r="Q9" s="155">
        <f t="shared" si="1"/>
        <v>7</v>
      </c>
      <c r="R9" s="155">
        <f t="shared" si="2"/>
        <v>4</v>
      </c>
      <c r="S9" s="155">
        <f t="shared" si="3"/>
        <v>3</v>
      </c>
      <c r="T9" s="155">
        <f t="shared" si="4"/>
        <v>4</v>
      </c>
      <c r="U9" s="155">
        <f t="shared" si="5"/>
        <v>4</v>
      </c>
      <c r="V9" s="155">
        <f t="shared" si="6"/>
        <v>3</v>
      </c>
      <c r="W9" s="155">
        <f t="shared" si="7"/>
        <v>12</v>
      </c>
      <c r="X9" s="155">
        <f t="shared" si="8"/>
        <v>4</v>
      </c>
      <c r="Y9" s="155" t="str">
        <f t="shared" si="9"/>
        <v>Level Risiko Sedang</v>
      </c>
      <c r="AA9" s="163">
        <v>2024</v>
      </c>
      <c r="AB9" s="163" t="s">
        <v>479</v>
      </c>
      <c r="AC9" s="163">
        <v>2</v>
      </c>
      <c r="AE9" t="s">
        <v>275</v>
      </c>
      <c r="AF9">
        <v>9</v>
      </c>
      <c r="AH9" t="s">
        <v>276</v>
      </c>
      <c r="AI9">
        <v>3</v>
      </c>
      <c r="AJ9">
        <v>3</v>
      </c>
      <c r="AL9" t="s">
        <v>277</v>
      </c>
      <c r="AM9">
        <v>3</v>
      </c>
      <c r="AN9">
        <v>3</v>
      </c>
      <c r="AP9" t="s">
        <v>278</v>
      </c>
      <c r="AQ9">
        <v>3</v>
      </c>
      <c r="AS9">
        <v>12</v>
      </c>
      <c r="AT9">
        <v>15</v>
      </c>
      <c r="AU9" t="s">
        <v>285</v>
      </c>
      <c r="AV9">
        <v>4</v>
      </c>
      <c r="AX9" s="96" t="s">
        <v>638</v>
      </c>
      <c r="AY9" s="94">
        <v>2025</v>
      </c>
      <c r="AZ9" s="95" t="s">
        <v>639</v>
      </c>
    </row>
    <row r="10" spans="1:52" s="101" customFormat="1" ht="84.75" customHeight="1">
      <c r="A10" s="157">
        <f t="shared" si="0"/>
        <v>5</v>
      </c>
      <c r="B10" s="86" t="s">
        <v>484</v>
      </c>
      <c r="C10" s="87" t="s">
        <v>681</v>
      </c>
      <c r="D10" s="87" t="s">
        <v>263</v>
      </c>
      <c r="E10" s="87" t="s">
        <v>276</v>
      </c>
      <c r="F10" s="87"/>
      <c r="G10" s="87" t="s">
        <v>277</v>
      </c>
      <c r="H10" s="87" t="s">
        <v>678</v>
      </c>
      <c r="I10" s="87"/>
      <c r="J10" s="87" t="s">
        <v>284</v>
      </c>
      <c r="K10" s="99" t="s">
        <v>682</v>
      </c>
      <c r="L10" s="154"/>
      <c r="M10" s="87"/>
      <c r="N10" s="99" t="s">
        <v>683</v>
      </c>
      <c r="O10" s="87"/>
      <c r="P10" s="87"/>
      <c r="Q10" s="158">
        <f t="shared" si="1"/>
        <v>7</v>
      </c>
      <c r="R10" s="158">
        <f t="shared" si="2"/>
        <v>3</v>
      </c>
      <c r="S10" s="158">
        <f t="shared" si="3"/>
        <v>3</v>
      </c>
      <c r="T10" s="158">
        <f t="shared" si="4"/>
        <v>4</v>
      </c>
      <c r="U10" s="158">
        <f t="shared" si="5"/>
        <v>3</v>
      </c>
      <c r="V10" s="158">
        <f t="shared" si="6"/>
        <v>3</v>
      </c>
      <c r="W10" s="158">
        <f t="shared" si="7"/>
        <v>9</v>
      </c>
      <c r="X10" s="158">
        <f t="shared" si="8"/>
        <v>3</v>
      </c>
      <c r="Y10" s="158" t="str">
        <f t="shared" si="9"/>
        <v>Level Risiko Rendah</v>
      </c>
      <c r="AA10" s="102">
        <v>2024</v>
      </c>
      <c r="AB10" s="102" t="s">
        <v>484</v>
      </c>
      <c r="AC10" s="102">
        <v>1</v>
      </c>
      <c r="AE10" s="101" t="s">
        <v>281</v>
      </c>
      <c r="AF10" s="101">
        <v>10</v>
      </c>
      <c r="AH10" s="101" t="s">
        <v>282</v>
      </c>
      <c r="AI10" s="101">
        <v>4</v>
      </c>
      <c r="AJ10" s="101">
        <v>4</v>
      </c>
      <c r="AL10" s="101" t="s">
        <v>283</v>
      </c>
      <c r="AM10" s="101">
        <v>4</v>
      </c>
      <c r="AN10" s="101">
        <v>4</v>
      </c>
      <c r="AP10" s="101" t="s">
        <v>284</v>
      </c>
      <c r="AQ10" s="101">
        <v>4</v>
      </c>
      <c r="AS10" s="101">
        <v>16</v>
      </c>
      <c r="AT10" s="101">
        <v>19</v>
      </c>
      <c r="AU10" s="101" t="s">
        <v>291</v>
      </c>
      <c r="AV10" s="101">
        <v>6</v>
      </c>
      <c r="AX10" s="103" t="s">
        <v>638</v>
      </c>
      <c r="AY10" s="104">
        <v>2025</v>
      </c>
      <c r="AZ10" s="105" t="s">
        <v>644</v>
      </c>
    </row>
    <row r="11" spans="1:52" ht="87" customHeight="1">
      <c r="A11" s="153">
        <f t="shared" si="0"/>
        <v>6</v>
      </c>
      <c r="B11" s="86" t="s">
        <v>484</v>
      </c>
      <c r="C11" s="87" t="s">
        <v>684</v>
      </c>
      <c r="D11" s="87" t="s">
        <v>263</v>
      </c>
      <c r="E11" s="87" t="s">
        <v>276</v>
      </c>
      <c r="F11" s="87"/>
      <c r="G11" s="87" t="s">
        <v>283</v>
      </c>
      <c r="H11" s="87" t="s">
        <v>674</v>
      </c>
      <c r="I11" s="86"/>
      <c r="J11" s="86" t="s">
        <v>284</v>
      </c>
      <c r="K11" s="100" t="s">
        <v>685</v>
      </c>
      <c r="L11" s="154"/>
      <c r="M11" s="86"/>
      <c r="N11" s="86" t="s">
        <v>686</v>
      </c>
      <c r="O11" s="86"/>
      <c r="P11" s="86"/>
      <c r="Q11" s="155">
        <f t="shared" si="1"/>
        <v>7</v>
      </c>
      <c r="R11" s="155">
        <f t="shared" si="2"/>
        <v>3</v>
      </c>
      <c r="S11" s="155">
        <f t="shared" si="3"/>
        <v>4</v>
      </c>
      <c r="T11" s="155">
        <f t="shared" si="4"/>
        <v>4</v>
      </c>
      <c r="U11" s="155">
        <f t="shared" si="5"/>
        <v>3</v>
      </c>
      <c r="V11" s="155">
        <f t="shared" si="6"/>
        <v>4</v>
      </c>
      <c r="W11" s="155">
        <f t="shared" si="7"/>
        <v>12</v>
      </c>
      <c r="X11" s="155">
        <f t="shared" si="8"/>
        <v>4</v>
      </c>
      <c r="Y11" s="155" t="str">
        <f t="shared" si="9"/>
        <v>Level Risiko Sedang</v>
      </c>
      <c r="AA11" s="163">
        <v>2024</v>
      </c>
      <c r="AB11" s="163" t="s">
        <v>488</v>
      </c>
      <c r="AC11" s="163">
        <v>5</v>
      </c>
      <c r="AE11" t="s">
        <v>287</v>
      </c>
      <c r="AF11">
        <v>11</v>
      </c>
      <c r="AH11" t="s">
        <v>288</v>
      </c>
      <c r="AI11">
        <v>5</v>
      </c>
      <c r="AJ11">
        <v>5</v>
      </c>
      <c r="AL11" t="s">
        <v>289</v>
      </c>
      <c r="AM11">
        <v>5</v>
      </c>
      <c r="AN11">
        <v>5</v>
      </c>
      <c r="AP11" t="s">
        <v>290</v>
      </c>
      <c r="AQ11">
        <v>5</v>
      </c>
      <c r="AS11">
        <v>20</v>
      </c>
      <c r="AT11">
        <v>25</v>
      </c>
      <c r="AU11" t="s">
        <v>294</v>
      </c>
      <c r="AV11">
        <v>5</v>
      </c>
      <c r="AX11" s="96" t="s">
        <v>638</v>
      </c>
      <c r="AY11" s="94">
        <v>2025</v>
      </c>
      <c r="AZ11" s="95" t="s">
        <v>648</v>
      </c>
    </row>
    <row r="12" spans="1:52" ht="66.75" customHeight="1">
      <c r="A12" s="157">
        <f t="shared" si="0"/>
        <v>7</v>
      </c>
      <c r="B12" s="86" t="s">
        <v>484</v>
      </c>
      <c r="C12" s="86" t="s">
        <v>687</v>
      </c>
      <c r="D12" s="87" t="s">
        <v>263</v>
      </c>
      <c r="E12" s="87" t="s">
        <v>276</v>
      </c>
      <c r="F12" s="87"/>
      <c r="G12" s="87" t="s">
        <v>283</v>
      </c>
      <c r="H12" s="91" t="s">
        <v>469</v>
      </c>
      <c r="I12" s="87"/>
      <c r="J12" s="87" t="s">
        <v>284</v>
      </c>
      <c r="K12" s="87" t="s">
        <v>688</v>
      </c>
      <c r="L12" s="154"/>
      <c r="M12" s="87"/>
      <c r="N12" s="99" t="s">
        <v>672</v>
      </c>
      <c r="O12" s="87"/>
      <c r="P12" s="87"/>
      <c r="Q12" s="156">
        <f t="shared" si="1"/>
        <v>7</v>
      </c>
      <c r="R12" s="156">
        <f t="shared" si="2"/>
        <v>3</v>
      </c>
      <c r="S12" s="156">
        <f t="shared" si="3"/>
        <v>4</v>
      </c>
      <c r="T12" s="156">
        <f t="shared" si="4"/>
        <v>4</v>
      </c>
      <c r="U12" s="156">
        <f t="shared" si="5"/>
        <v>3</v>
      </c>
      <c r="V12" s="156">
        <f t="shared" si="6"/>
        <v>4</v>
      </c>
      <c r="W12" s="156">
        <f t="shared" si="7"/>
        <v>12</v>
      </c>
      <c r="X12" s="156">
        <f t="shared" si="8"/>
        <v>4</v>
      </c>
      <c r="Y12" s="156" t="str">
        <f t="shared" si="9"/>
        <v>Level Risiko Sedang</v>
      </c>
      <c r="AA12" s="163">
        <v>2024</v>
      </c>
      <c r="AB12" s="163" t="s">
        <v>493</v>
      </c>
      <c r="AC12" s="163">
        <v>4</v>
      </c>
      <c r="AE12" t="s">
        <v>494</v>
      </c>
      <c r="AF12">
        <v>12</v>
      </c>
      <c r="AX12" s="96" t="s">
        <v>634</v>
      </c>
      <c r="AY12" s="94">
        <v>2025</v>
      </c>
      <c r="AZ12" s="95" t="s">
        <v>652</v>
      </c>
    </row>
    <row r="13" spans="1:52" ht="64.5" customHeight="1">
      <c r="A13" s="153">
        <f t="shared" si="0"/>
        <v>8</v>
      </c>
      <c r="B13" s="86" t="s">
        <v>484</v>
      </c>
      <c r="C13" s="87" t="s">
        <v>689</v>
      </c>
      <c r="D13" s="87" t="s">
        <v>263</v>
      </c>
      <c r="E13" s="87" t="s">
        <v>271</v>
      </c>
      <c r="F13" s="86"/>
      <c r="G13" s="86" t="s">
        <v>277</v>
      </c>
      <c r="H13" s="87" t="s">
        <v>674</v>
      </c>
      <c r="I13" s="86"/>
      <c r="J13" s="86" t="s">
        <v>284</v>
      </c>
      <c r="K13" s="100" t="s">
        <v>690</v>
      </c>
      <c r="L13" s="154"/>
      <c r="M13" s="86"/>
      <c r="N13" s="100" t="s">
        <v>691</v>
      </c>
      <c r="O13" s="86"/>
      <c r="P13" s="86"/>
      <c r="Q13" s="155">
        <f t="shared" si="1"/>
        <v>7</v>
      </c>
      <c r="R13" s="155">
        <f t="shared" si="2"/>
        <v>2</v>
      </c>
      <c r="S13" s="155">
        <f t="shared" si="3"/>
        <v>3</v>
      </c>
      <c r="T13" s="155">
        <f t="shared" si="4"/>
        <v>4</v>
      </c>
      <c r="U13" s="155">
        <f t="shared" si="5"/>
        <v>2</v>
      </c>
      <c r="V13" s="155">
        <f t="shared" si="6"/>
        <v>3</v>
      </c>
      <c r="W13" s="155">
        <f t="shared" si="7"/>
        <v>6</v>
      </c>
      <c r="X13" s="155">
        <f t="shared" si="8"/>
        <v>3</v>
      </c>
      <c r="Y13" s="155" t="str">
        <f t="shared" si="9"/>
        <v>Level Risiko Rendah</v>
      </c>
      <c r="AA13" s="163">
        <v>2024</v>
      </c>
      <c r="AB13" s="163" t="s">
        <v>499</v>
      </c>
      <c r="AC13" s="163">
        <v>3</v>
      </c>
      <c r="AX13" s="96" t="s">
        <v>656</v>
      </c>
      <c r="AY13" s="94">
        <v>2025</v>
      </c>
      <c r="AZ13" s="95" t="s">
        <v>657</v>
      </c>
    </row>
    <row r="14" spans="1:52" ht="115.2">
      <c r="A14" s="157">
        <f t="shared" si="0"/>
        <v>9</v>
      </c>
      <c r="B14" s="86" t="s">
        <v>484</v>
      </c>
      <c r="C14" s="86" t="s">
        <v>692</v>
      </c>
      <c r="D14" s="87" t="s">
        <v>263</v>
      </c>
      <c r="E14" s="86" t="s">
        <v>271</v>
      </c>
      <c r="F14" s="87"/>
      <c r="G14" s="87" t="s">
        <v>272</v>
      </c>
      <c r="H14" s="87" t="s">
        <v>678</v>
      </c>
      <c r="I14" s="87"/>
      <c r="J14" s="87" t="s">
        <v>284</v>
      </c>
      <c r="K14" s="99" t="s">
        <v>693</v>
      </c>
      <c r="L14" s="154"/>
      <c r="M14" s="87"/>
      <c r="N14" s="99" t="s">
        <v>694</v>
      </c>
      <c r="O14" s="87"/>
      <c r="P14" s="87"/>
      <c r="Q14" s="156">
        <f t="shared" si="1"/>
        <v>7</v>
      </c>
      <c r="R14" s="156">
        <f t="shared" si="2"/>
        <v>2</v>
      </c>
      <c r="S14" s="156">
        <f t="shared" si="3"/>
        <v>2</v>
      </c>
      <c r="T14" s="156">
        <f t="shared" si="4"/>
        <v>4</v>
      </c>
      <c r="U14" s="156">
        <f t="shared" si="5"/>
        <v>2</v>
      </c>
      <c r="V14" s="156">
        <f t="shared" si="6"/>
        <v>2</v>
      </c>
      <c r="W14" s="156">
        <f t="shared" si="7"/>
        <v>4</v>
      </c>
      <c r="X14" s="156">
        <f t="shared" si="8"/>
        <v>2</v>
      </c>
      <c r="Y14" s="156" t="str">
        <f t="shared" si="9"/>
        <v>Level Risiko Sangat Rendah</v>
      </c>
      <c r="AA14" s="163">
        <v>2025</v>
      </c>
      <c r="AB14" s="163" t="s">
        <v>504</v>
      </c>
      <c r="AC14" s="163">
        <v>2</v>
      </c>
      <c r="AX14" s="96" t="s">
        <v>660</v>
      </c>
      <c r="AY14" s="94">
        <v>2025</v>
      </c>
      <c r="AZ14" s="95" t="s">
        <v>661</v>
      </c>
    </row>
    <row r="15" spans="1:52" ht="129.6">
      <c r="A15" s="153">
        <f t="shared" si="0"/>
        <v>10</v>
      </c>
      <c r="B15" s="86" t="s">
        <v>484</v>
      </c>
      <c r="C15" s="87" t="s">
        <v>695</v>
      </c>
      <c r="D15" s="87" t="s">
        <v>263</v>
      </c>
      <c r="E15" s="87" t="s">
        <v>271</v>
      </c>
      <c r="F15" s="86"/>
      <c r="G15" s="86" t="s">
        <v>277</v>
      </c>
      <c r="H15" s="87" t="s">
        <v>678</v>
      </c>
      <c r="I15" s="86"/>
      <c r="J15" s="86" t="s">
        <v>284</v>
      </c>
      <c r="K15" s="100" t="s">
        <v>696</v>
      </c>
      <c r="L15" s="154"/>
      <c r="M15" s="86"/>
      <c r="N15" s="100" t="s">
        <v>697</v>
      </c>
      <c r="O15" s="86"/>
      <c r="P15" s="86"/>
      <c r="Q15" s="155">
        <f t="shared" si="1"/>
        <v>7</v>
      </c>
      <c r="R15" s="155">
        <f t="shared" si="2"/>
        <v>2</v>
      </c>
      <c r="S15" s="155">
        <f t="shared" si="3"/>
        <v>3</v>
      </c>
      <c r="T15" s="155">
        <f t="shared" si="4"/>
        <v>4</v>
      </c>
      <c r="U15" s="155">
        <f t="shared" si="5"/>
        <v>2</v>
      </c>
      <c r="V15" s="155">
        <f t="shared" si="6"/>
        <v>3</v>
      </c>
      <c r="W15" s="155">
        <f t="shared" si="7"/>
        <v>6</v>
      </c>
      <c r="X15" s="155">
        <f t="shared" si="8"/>
        <v>3</v>
      </c>
      <c r="Y15" s="155" t="str">
        <f t="shared" si="9"/>
        <v>Level Risiko Rendah</v>
      </c>
      <c r="AA15" s="163">
        <v>2025</v>
      </c>
      <c r="AB15" s="163" t="s">
        <v>508</v>
      </c>
      <c r="AC15" s="163">
        <v>1</v>
      </c>
    </row>
    <row r="16" spans="1:52" ht="115.2">
      <c r="A16" s="157">
        <f t="shared" si="0"/>
        <v>11</v>
      </c>
      <c r="B16" s="86" t="s">
        <v>484</v>
      </c>
      <c r="C16" s="86" t="s">
        <v>698</v>
      </c>
      <c r="D16" s="87" t="s">
        <v>263</v>
      </c>
      <c r="E16" s="86" t="s">
        <v>276</v>
      </c>
      <c r="F16" s="87"/>
      <c r="G16" s="87" t="s">
        <v>289</v>
      </c>
      <c r="H16" s="91" t="s">
        <v>469</v>
      </c>
      <c r="I16" s="87"/>
      <c r="J16" s="87" t="s">
        <v>284</v>
      </c>
      <c r="K16" s="99" t="s">
        <v>699</v>
      </c>
      <c r="L16" s="154"/>
      <c r="M16" s="87"/>
      <c r="N16" s="99" t="s">
        <v>700</v>
      </c>
      <c r="O16" s="87"/>
      <c r="P16" s="87"/>
      <c r="Q16" s="156">
        <f t="shared" si="1"/>
        <v>7</v>
      </c>
      <c r="R16" s="156">
        <f t="shared" si="2"/>
        <v>3</v>
      </c>
      <c r="S16" s="156">
        <f t="shared" si="3"/>
        <v>5</v>
      </c>
      <c r="T16" s="156">
        <f t="shared" si="4"/>
        <v>4</v>
      </c>
      <c r="U16" s="156">
        <f t="shared" si="5"/>
        <v>3</v>
      </c>
      <c r="V16" s="156">
        <f t="shared" si="6"/>
        <v>5</v>
      </c>
      <c r="W16" s="156">
        <f t="shared" si="7"/>
        <v>15</v>
      </c>
      <c r="X16" s="156">
        <f t="shared" si="8"/>
        <v>4</v>
      </c>
      <c r="Y16" s="156" t="str">
        <f t="shared" si="9"/>
        <v>Level Risiko Sedang</v>
      </c>
      <c r="AA16" s="163">
        <v>2025</v>
      </c>
      <c r="AB16" s="163" t="s">
        <v>480</v>
      </c>
      <c r="AC16" s="163">
        <v>5</v>
      </c>
    </row>
    <row r="17" spans="1:29">
      <c r="A17"/>
      <c r="B17" s="87"/>
      <c r="C17" s="89"/>
      <c r="D17" s="87"/>
      <c r="E17" s="87"/>
      <c r="F17"/>
      <c r="G17"/>
      <c r="H17"/>
      <c r="I17"/>
      <c r="J17"/>
      <c r="K17"/>
      <c r="L17"/>
      <c r="M17"/>
      <c r="N17"/>
      <c r="O17"/>
      <c r="P17"/>
      <c r="Q17"/>
      <c r="R17"/>
      <c r="S17"/>
      <c r="T17"/>
      <c r="U17"/>
      <c r="V17"/>
      <c r="W17"/>
      <c r="X17"/>
      <c r="Y17"/>
      <c r="AA17" s="163">
        <v>2025</v>
      </c>
      <c r="AB17" s="163" t="s">
        <v>514</v>
      </c>
      <c r="AC17" s="163">
        <v>4</v>
      </c>
    </row>
    <row r="18" spans="1:29">
      <c r="A18"/>
      <c r="B18"/>
      <c r="C18"/>
      <c r="D18"/>
      <c r="E18"/>
      <c r="F18"/>
      <c r="G18"/>
      <c r="H18"/>
      <c r="I18"/>
      <c r="J18"/>
      <c r="K18"/>
      <c r="L18"/>
      <c r="M18"/>
      <c r="N18"/>
      <c r="O18"/>
      <c r="P18"/>
      <c r="Q18"/>
      <c r="R18"/>
      <c r="S18"/>
      <c r="T18"/>
      <c r="U18"/>
      <c r="V18"/>
      <c r="W18"/>
      <c r="X18"/>
      <c r="Y18"/>
      <c r="AA18" s="163">
        <v>2025</v>
      </c>
      <c r="AB18" s="163" t="s">
        <v>519</v>
      </c>
      <c r="AC18" s="163">
        <v>3</v>
      </c>
    </row>
    <row r="19" spans="1:29">
      <c r="A19"/>
      <c r="B19"/>
      <c r="C19"/>
      <c r="D19"/>
      <c r="E19"/>
      <c r="F19"/>
      <c r="G19"/>
      <c r="H19"/>
      <c r="I19"/>
      <c r="J19"/>
      <c r="K19"/>
      <c r="L19"/>
      <c r="M19"/>
      <c r="N19"/>
      <c r="O19"/>
      <c r="P19"/>
      <c r="Q19"/>
      <c r="R19"/>
      <c r="S19"/>
      <c r="T19"/>
      <c r="U19"/>
      <c r="V19"/>
      <c r="W19"/>
      <c r="X19"/>
      <c r="Y19"/>
      <c r="AA19" s="163">
        <v>2025</v>
      </c>
      <c r="AB19" s="163" t="s">
        <v>524</v>
      </c>
      <c r="AC19" s="163">
        <v>2</v>
      </c>
    </row>
    <row r="20" spans="1:29">
      <c r="A20"/>
      <c r="B20"/>
      <c r="C20"/>
      <c r="D20"/>
      <c r="E20"/>
      <c r="F20"/>
      <c r="G20"/>
      <c r="H20"/>
      <c r="I20"/>
      <c r="J20"/>
      <c r="K20"/>
      <c r="L20"/>
      <c r="M20"/>
      <c r="N20"/>
      <c r="O20"/>
      <c r="P20"/>
      <c r="Q20"/>
      <c r="R20"/>
      <c r="S20"/>
      <c r="T20"/>
      <c r="U20"/>
      <c r="V20"/>
      <c r="W20"/>
      <c r="X20"/>
      <c r="Y20"/>
      <c r="AA20" s="163">
        <v>2025</v>
      </c>
      <c r="AB20" s="163" t="s">
        <v>530</v>
      </c>
      <c r="AC20" s="163">
        <v>1</v>
      </c>
    </row>
    <row r="21" spans="1:29">
      <c r="A21"/>
      <c r="B21"/>
      <c r="C21"/>
      <c r="D21"/>
      <c r="E21"/>
      <c r="F21"/>
      <c r="G21"/>
      <c r="H21"/>
      <c r="I21"/>
      <c r="J21"/>
      <c r="K21"/>
      <c r="L21"/>
      <c r="M21"/>
      <c r="N21"/>
      <c r="O21"/>
      <c r="P21"/>
      <c r="Q21"/>
      <c r="R21"/>
      <c r="S21"/>
      <c r="T21"/>
      <c r="U21"/>
      <c r="V21"/>
      <c r="W21"/>
      <c r="X21"/>
      <c r="Y21"/>
      <c r="AA21" s="163">
        <v>2025</v>
      </c>
      <c r="AB21" s="163" t="s">
        <v>535</v>
      </c>
      <c r="AC21" s="163">
        <v>5</v>
      </c>
    </row>
    <row r="22" spans="1:29">
      <c r="A22"/>
      <c r="B22"/>
      <c r="C22"/>
      <c r="D22"/>
      <c r="E22"/>
      <c r="F22"/>
      <c r="G22"/>
      <c r="H22"/>
      <c r="I22"/>
      <c r="J22"/>
      <c r="K22"/>
      <c r="L22"/>
      <c r="M22"/>
      <c r="N22"/>
      <c r="O22"/>
      <c r="P22"/>
      <c r="Q22"/>
      <c r="R22"/>
      <c r="S22"/>
      <c r="T22"/>
      <c r="U22"/>
      <c r="V22"/>
      <c r="W22"/>
      <c r="X22"/>
      <c r="Y22"/>
      <c r="AA22" s="163">
        <v>2025</v>
      </c>
      <c r="AB22" s="163" t="s">
        <v>540</v>
      </c>
      <c r="AC22" s="163">
        <v>4</v>
      </c>
    </row>
    <row r="23" spans="1:29">
      <c r="A23"/>
      <c r="B23"/>
      <c r="C23"/>
      <c r="D23"/>
      <c r="E23"/>
      <c r="F23"/>
      <c r="G23"/>
      <c r="H23"/>
      <c r="I23"/>
      <c r="J23"/>
      <c r="K23"/>
      <c r="L23"/>
      <c r="M23"/>
      <c r="N23"/>
      <c r="O23"/>
      <c r="P23"/>
      <c r="Q23"/>
      <c r="R23"/>
      <c r="S23"/>
      <c r="T23"/>
      <c r="U23"/>
      <c r="V23"/>
      <c r="W23"/>
      <c r="X23"/>
      <c r="Y23"/>
      <c r="AA23" s="163">
        <v>2025</v>
      </c>
      <c r="AB23" s="163" t="s">
        <v>545</v>
      </c>
      <c r="AC23" s="163">
        <v>3</v>
      </c>
    </row>
    <row r="24" spans="1:29">
      <c r="A24"/>
      <c r="B24"/>
      <c r="C24"/>
      <c r="D24"/>
      <c r="E24"/>
      <c r="F24"/>
      <c r="G24"/>
      <c r="H24"/>
      <c r="I24"/>
      <c r="J24"/>
      <c r="K24"/>
      <c r="L24"/>
      <c r="M24"/>
      <c r="N24"/>
      <c r="O24"/>
      <c r="P24"/>
      <c r="Q24"/>
      <c r="R24"/>
      <c r="S24"/>
      <c r="T24"/>
      <c r="U24"/>
      <c r="V24"/>
      <c r="W24"/>
      <c r="X24"/>
      <c r="Y24"/>
      <c r="AA24" s="163">
        <v>2025</v>
      </c>
      <c r="AB24" s="163" t="s">
        <v>554</v>
      </c>
      <c r="AC24" s="163">
        <v>2</v>
      </c>
    </row>
    <row r="25" spans="1:29">
      <c r="A25"/>
      <c r="B25"/>
      <c r="C25"/>
      <c r="D25"/>
      <c r="E25"/>
      <c r="F25"/>
      <c r="G25"/>
      <c r="H25"/>
      <c r="I25"/>
      <c r="J25"/>
      <c r="K25"/>
      <c r="L25"/>
      <c r="M25"/>
      <c r="N25"/>
      <c r="O25"/>
      <c r="P25"/>
      <c r="Q25"/>
      <c r="R25"/>
      <c r="S25"/>
      <c r="T25"/>
      <c r="U25"/>
      <c r="V25"/>
      <c r="W25"/>
      <c r="X25"/>
      <c r="Y25"/>
      <c r="AA25" s="163">
        <v>2025</v>
      </c>
      <c r="AB25" s="163" t="s">
        <v>561</v>
      </c>
      <c r="AC25" s="163">
        <v>1</v>
      </c>
    </row>
    <row r="26" spans="1:29">
      <c r="A26"/>
      <c r="B26"/>
      <c r="C26"/>
      <c r="D26"/>
      <c r="E26"/>
      <c r="F26"/>
      <c r="G26"/>
      <c r="H26"/>
      <c r="I26"/>
      <c r="J26"/>
      <c r="K26"/>
      <c r="L26"/>
      <c r="M26"/>
      <c r="N26"/>
      <c r="O26"/>
      <c r="P26"/>
      <c r="Q26"/>
      <c r="R26"/>
      <c r="S26"/>
      <c r="T26"/>
      <c r="U26"/>
      <c r="V26"/>
      <c r="W26"/>
      <c r="X26"/>
      <c r="Y26"/>
      <c r="AA26" s="163">
        <v>2025</v>
      </c>
      <c r="AB26" s="163" t="s">
        <v>569</v>
      </c>
      <c r="AC26" s="163">
        <v>5</v>
      </c>
    </row>
    <row r="27" spans="1:29">
      <c r="A27"/>
      <c r="B27"/>
      <c r="C27"/>
      <c r="D27"/>
      <c r="E27"/>
      <c r="F27"/>
      <c r="G27"/>
      <c r="H27"/>
      <c r="I27"/>
      <c r="J27"/>
      <c r="K27"/>
      <c r="L27"/>
      <c r="M27"/>
      <c r="N27"/>
      <c r="O27"/>
      <c r="P27"/>
      <c r="Q27"/>
      <c r="R27"/>
      <c r="S27"/>
      <c r="T27"/>
      <c r="U27"/>
      <c r="V27"/>
      <c r="W27"/>
      <c r="X27"/>
      <c r="Y27"/>
      <c r="AA27" s="163">
        <v>2025</v>
      </c>
      <c r="AB27" s="163" t="s">
        <v>576</v>
      </c>
      <c r="AC27" s="163">
        <v>4</v>
      </c>
    </row>
    <row r="28" spans="1:29">
      <c r="A28"/>
      <c r="B28"/>
      <c r="C28"/>
      <c r="D28"/>
      <c r="E28"/>
      <c r="F28"/>
      <c r="G28"/>
      <c r="H28"/>
      <c r="I28"/>
      <c r="J28"/>
      <c r="K28"/>
      <c r="L28"/>
      <c r="M28"/>
      <c r="N28"/>
      <c r="O28"/>
      <c r="P28"/>
      <c r="Q28"/>
      <c r="R28"/>
      <c r="S28"/>
      <c r="T28"/>
      <c r="U28"/>
      <c r="V28"/>
      <c r="W28"/>
      <c r="X28"/>
      <c r="Y28"/>
      <c r="AA28" s="163">
        <v>2025</v>
      </c>
      <c r="AB28" s="163" t="s">
        <v>583</v>
      </c>
      <c r="AC28" s="163">
        <v>3</v>
      </c>
    </row>
    <row r="29" spans="1:29">
      <c r="A29"/>
      <c r="B29"/>
      <c r="C29"/>
      <c r="D29"/>
      <c r="E29"/>
      <c r="F29"/>
      <c r="G29"/>
      <c r="H29"/>
      <c r="I29"/>
      <c r="J29"/>
      <c r="K29"/>
      <c r="L29"/>
      <c r="M29"/>
      <c r="N29"/>
      <c r="O29"/>
      <c r="P29"/>
      <c r="Q29"/>
      <c r="R29"/>
      <c r="S29"/>
      <c r="T29"/>
      <c r="U29"/>
      <c r="V29"/>
      <c r="W29"/>
      <c r="X29"/>
      <c r="Y29"/>
      <c r="AA29" s="163">
        <v>2025</v>
      </c>
      <c r="AB29" s="163" t="s">
        <v>590</v>
      </c>
      <c r="AC29" s="163">
        <v>2</v>
      </c>
    </row>
    <row r="30" spans="1:29">
      <c r="A30"/>
      <c r="B30"/>
      <c r="C30"/>
      <c r="D30"/>
      <c r="E30"/>
      <c r="F30"/>
      <c r="G30"/>
      <c r="H30"/>
      <c r="I30"/>
      <c r="J30"/>
      <c r="K30"/>
      <c r="L30"/>
      <c r="M30"/>
      <c r="N30"/>
      <c r="O30"/>
      <c r="P30"/>
      <c r="Q30"/>
      <c r="R30"/>
      <c r="S30"/>
      <c r="T30"/>
      <c r="U30"/>
      <c r="V30"/>
      <c r="W30"/>
      <c r="X30"/>
      <c r="Y30"/>
      <c r="AA30" s="163">
        <v>2025</v>
      </c>
      <c r="AB30" s="163" t="s">
        <v>597</v>
      </c>
      <c r="AC30" s="163">
        <v>1</v>
      </c>
    </row>
    <row r="31" spans="1:29">
      <c r="A31"/>
      <c r="B31"/>
      <c r="C31"/>
      <c r="D31"/>
      <c r="E31"/>
      <c r="F31"/>
      <c r="G31"/>
      <c r="H31"/>
      <c r="I31"/>
      <c r="J31"/>
      <c r="K31"/>
      <c r="L31"/>
      <c r="M31"/>
      <c r="N31"/>
      <c r="O31"/>
      <c r="P31"/>
      <c r="Q31"/>
      <c r="R31"/>
      <c r="S31"/>
      <c r="T31"/>
      <c r="U31"/>
      <c r="V31"/>
      <c r="W31"/>
      <c r="X31"/>
      <c r="Y31"/>
      <c r="AA31" s="163">
        <v>2025</v>
      </c>
      <c r="AB31" s="163" t="s">
        <v>604</v>
      </c>
      <c r="AC31" s="163">
        <v>5</v>
      </c>
    </row>
    <row r="32" spans="1:29">
      <c r="A32"/>
      <c r="B32"/>
      <c r="C32"/>
      <c r="D32"/>
      <c r="E32"/>
      <c r="F32"/>
      <c r="G32"/>
      <c r="H32"/>
      <c r="I32"/>
      <c r="J32"/>
      <c r="K32"/>
      <c r="L32"/>
      <c r="M32"/>
      <c r="N32"/>
      <c r="O32"/>
      <c r="P32"/>
      <c r="Q32"/>
      <c r="R32"/>
      <c r="S32"/>
      <c r="T32"/>
      <c r="U32"/>
      <c r="V32"/>
      <c r="W32"/>
      <c r="X32"/>
      <c r="Y32"/>
      <c r="AA32" s="163">
        <v>2025</v>
      </c>
      <c r="AB32" s="163" t="s">
        <v>611</v>
      </c>
      <c r="AC32" s="163">
        <v>4</v>
      </c>
    </row>
    <row r="33" spans="1:29">
      <c r="A33"/>
      <c r="B33"/>
      <c r="C33"/>
      <c r="D33"/>
      <c r="E33"/>
      <c r="F33"/>
      <c r="G33"/>
      <c r="H33"/>
      <c r="I33"/>
      <c r="J33"/>
      <c r="K33"/>
      <c r="L33"/>
      <c r="M33"/>
      <c r="N33"/>
      <c r="O33"/>
      <c r="P33"/>
      <c r="Q33"/>
      <c r="R33"/>
      <c r="S33"/>
      <c r="T33"/>
      <c r="U33"/>
      <c r="V33"/>
      <c r="W33"/>
      <c r="X33"/>
      <c r="Y33"/>
      <c r="AA33" s="163">
        <v>2025</v>
      </c>
      <c r="AB33" s="163" t="s">
        <v>525</v>
      </c>
      <c r="AC33" s="163">
        <v>3</v>
      </c>
    </row>
    <row r="34" spans="1:29">
      <c r="A34"/>
      <c r="B34"/>
      <c r="C34"/>
      <c r="D34"/>
      <c r="E34"/>
      <c r="F34"/>
      <c r="G34"/>
      <c r="H34"/>
      <c r="I34"/>
      <c r="J34"/>
      <c r="K34"/>
      <c r="L34"/>
      <c r="M34"/>
      <c r="N34"/>
      <c r="O34"/>
      <c r="P34"/>
      <c r="Q34"/>
      <c r="R34"/>
      <c r="S34"/>
      <c r="T34"/>
      <c r="U34"/>
      <c r="V34"/>
      <c r="W34"/>
      <c r="X34"/>
      <c r="Y34"/>
      <c r="AA34" s="163">
        <v>2025</v>
      </c>
      <c r="AB34" s="163" t="s">
        <v>624</v>
      </c>
      <c r="AC34" s="163">
        <v>2</v>
      </c>
    </row>
    <row r="35" spans="1:29">
      <c r="A35"/>
      <c r="B35"/>
      <c r="C35"/>
      <c r="D35"/>
      <c r="E35"/>
      <c r="F35"/>
      <c r="G35"/>
      <c r="H35"/>
      <c r="I35"/>
      <c r="J35"/>
      <c r="K35"/>
      <c r="L35"/>
      <c r="M35"/>
      <c r="N35"/>
      <c r="O35"/>
      <c r="P35"/>
      <c r="Q35"/>
      <c r="R35"/>
      <c r="S35"/>
      <c r="T35"/>
      <c r="U35"/>
      <c r="V35"/>
      <c r="W35"/>
      <c r="X35"/>
      <c r="Y35"/>
      <c r="AA35" s="163">
        <v>2025</v>
      </c>
      <c r="AB35" s="163" t="s">
        <v>625</v>
      </c>
      <c r="AC35" s="163">
        <v>1</v>
      </c>
    </row>
  </sheetData>
  <mergeCells count="20">
    <mergeCell ref="R4:R5"/>
    <mergeCell ref="S4:S5"/>
    <mergeCell ref="T4:T5"/>
    <mergeCell ref="U4:U5"/>
    <mergeCell ref="A1:Y1"/>
    <mergeCell ref="A4:A5"/>
    <mergeCell ref="B4:B5"/>
    <mergeCell ref="C4:C5"/>
    <mergeCell ref="D4:D5"/>
    <mergeCell ref="E4:F4"/>
    <mergeCell ref="G4:H4"/>
    <mergeCell ref="I4:K4"/>
    <mergeCell ref="L4:L5"/>
    <mergeCell ref="M4:N4"/>
    <mergeCell ref="V4:V5"/>
    <mergeCell ref="W4:W5"/>
    <mergeCell ref="X4:X5"/>
    <mergeCell ref="Y4:Y5"/>
    <mergeCell ref="O4:P4"/>
    <mergeCell ref="Q4:Q5"/>
  </mergeCells>
  <dataValidations count="7">
    <dataValidation type="list" allowBlank="1" errorTitle="Input Tidak Valid" error="Nilai harus antara 1-5" sqref="O52:P1002" xr:uid="{078E8480-A0E8-457B-92DD-D88EBCF08FE9}">
      <formula1>"1,2,3,4,5"</formula1>
      <formula2>0</formula2>
    </dataValidation>
    <dataValidation type="list" allowBlank="1" sqref="F264:F1002" xr:uid="{5A1F1902-AC76-425F-91CB-A4DD4D1930BC}">
      <formula1>"Risiko Reputasi,Risiko Kepatuhan,Risiko Legal,Risiko Fraud,Risiko Operasional,Risiko Kebijakan,Risiko Keuangan,Risiko SPBE,Risiko Layanan Publik,Risiko SDM"</formula1>
      <formula2>0</formula2>
    </dataValidation>
    <dataValidation type="list" allowBlank="1" showInputMessage="1" showErrorMessage="1" sqref="B6:B17" xr:uid="{2FA7E347-E394-40BE-A471-9C1F355EADB2}">
      <formula1>$AB$5:$AB$35</formula1>
    </dataValidation>
    <dataValidation type="list" allowBlank="1" showInputMessage="1" showErrorMessage="1" sqref="E6:E17" xr:uid="{001A3B8C-F3A1-4D57-B5F1-61E7B1DE05E9}">
      <formula1>$AH$6:$AH$11</formula1>
    </dataValidation>
    <dataValidation type="list" allowBlank="1" showInputMessage="1" showErrorMessage="1" sqref="G6:G16" xr:uid="{D270C157-62A7-4977-9D74-7E4AD90CF44F}">
      <formula1>$AL$6:$AL$11</formula1>
    </dataValidation>
    <dataValidation type="list" allowBlank="1" showInputMessage="1" showErrorMessage="1" sqref="J6:J16" xr:uid="{DD377BC2-1BAE-4BA6-AA10-ADE89116D8A6}">
      <formula1>$AP$6:$AP$11</formula1>
    </dataValidation>
    <dataValidation type="list" allowBlank="1" showInputMessage="1" showErrorMessage="1" sqref="D6:D17" xr:uid="{7E627836-E3ED-4007-8A66-A4219A96680D}">
      <formula1>$AE$6:$AE$12</formula1>
    </dataValidation>
  </dataValidations>
  <hyperlinks>
    <hyperlink ref="AZ5" r:id="rId1" xr:uid="{90DC551B-6F86-49DE-8DC7-A6CDA27FEC8B}"/>
    <hyperlink ref="AZ6" r:id="rId2" xr:uid="{84C50877-9BE2-4492-83C6-D5292760882C}"/>
    <hyperlink ref="AZ7" r:id="rId3" xr:uid="{211C93A6-C668-4B05-ABCB-8DB79CDBC66D}"/>
    <hyperlink ref="AZ8" r:id="rId4" xr:uid="{5F22997E-D708-4524-A58A-C92597E15F6D}"/>
    <hyperlink ref="AZ9" r:id="rId5" xr:uid="{CE18C3F3-E12A-4AAC-80E4-0983FC18EBE3}"/>
    <hyperlink ref="AZ10" r:id="rId6" xr:uid="{770E77FF-A4D2-4BF6-BA52-F2AE0C7DB41A}"/>
    <hyperlink ref="AZ11" r:id="rId7" xr:uid="{4D467BAA-8B7E-47B1-BA6D-12D2677FA2D1}"/>
    <hyperlink ref="AZ12" r:id="rId8" xr:uid="{52180F94-3DDB-40FB-B737-FA1035105A77}"/>
    <hyperlink ref="AZ13" r:id="rId9" xr:uid="{5CB80833-06B4-4CAE-BAB4-079360444048}"/>
    <hyperlink ref="AZ14" r:id="rId10" xr:uid="{D07F258B-E3F9-4AF0-969B-A25EF8DDBA83}"/>
  </hyperlinks>
  <pageMargins left="0.75" right="0.75" top="0.84722222222222199" bottom="0.84722222222222199" header="0.511811023622047" footer="0.511811023622047"/>
  <pageSetup scale="33" fitToHeight="0" orientation="landscape" horizontalDpi="300" verticalDpi="300"/>
  <legacyDrawing r:id="rId11"/>
  <extLst>
    <ext xmlns:x14="http://schemas.microsoft.com/office/spreadsheetml/2009/9/main" uri="{CCE6A557-97BC-4b89-ADB6-D9C93CAAB3DF}">
      <x14:dataValidations xmlns:xm="http://schemas.microsoft.com/office/excel/2006/main" count="1">
        <x14:dataValidation type="list" allowBlank="1" xr:uid="{9D40585E-C5F0-4D9B-A60F-6D10F8BFCD86}">
          <x14:formula1>
            <xm:f>'Kategori Risiko'!$B$5:$B$11</xm:f>
          </x14:formula1>
          <xm:sqref>F52:F263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FE5C-72A3-435F-9EED-11BB9D54896C}">
  <sheetPr>
    <tabColor rgb="FF00B0F0"/>
    <pageSetUpPr fitToPage="1"/>
  </sheetPr>
  <dimension ref="A1:AZ65"/>
  <sheetViews>
    <sheetView showGridLines="0" topLeftCell="A7" zoomScale="120" zoomScaleNormal="100" workbookViewId="0">
      <selection activeCell="A6" sqref="A6"/>
    </sheetView>
  </sheetViews>
  <sheetFormatPr defaultColWidth="9.109375" defaultRowHeight="14.4" outlineLevelCol="1"/>
  <cols>
    <col min="1" max="1" width="13.5546875" style="88" customWidth="1"/>
    <col min="2" max="3" width="29.6640625" style="88" customWidth="1"/>
    <col min="4" max="4" width="24.109375" style="88" customWidth="1"/>
    <col min="5" max="5" width="20.33203125" style="88" customWidth="1"/>
    <col min="6" max="6" width="29.6640625" style="88" customWidth="1"/>
    <col min="7" max="7" width="20.33203125" style="88" customWidth="1"/>
    <col min="8" max="8" width="29.6640625" style="88" customWidth="1"/>
    <col min="9" max="9" width="9.33203125" style="88" customWidth="1"/>
    <col min="10" max="10" width="20.33203125" style="88" customWidth="1"/>
    <col min="11" max="11" width="29.6640625" style="88" customWidth="1"/>
    <col min="12" max="12" width="20.33203125" style="88" customWidth="1"/>
    <col min="13" max="13" width="9.33203125" style="88" customWidth="1"/>
    <col min="14" max="14" width="29.6640625" style="88" customWidth="1"/>
    <col min="15" max="15" width="9.33203125" style="88" customWidth="1"/>
    <col min="16" max="16" width="29.6640625" style="88" customWidth="1"/>
    <col min="17" max="25" width="16.6640625" style="68" hidden="1" customWidth="1" outlineLevel="1"/>
    <col min="26" max="26" width="9.109375" bestFit="1" customWidth="1" collapsed="1"/>
    <col min="27" max="27" width="13.6640625" customWidth="1"/>
    <col min="28" max="28" width="44" customWidth="1"/>
    <col min="29" max="29" width="8.6640625" customWidth="1"/>
    <col min="30" max="30" width="9.109375" bestFit="1" customWidth="1"/>
    <col min="31" max="31" width="36.88671875" customWidth="1"/>
    <col min="32" max="32" width="3" customWidth="1"/>
    <col min="33" max="33" width="9.109375" customWidth="1"/>
    <col min="34" max="34" width="26.44140625" customWidth="1"/>
    <col min="35" max="35" width="2.6640625" customWidth="1"/>
    <col min="36" max="36" width="5.44140625" customWidth="1"/>
    <col min="37" max="37" width="9.109375" customWidth="1"/>
    <col min="38" max="38" width="23.33203125" customWidth="1"/>
    <col min="39" max="39" width="2.6640625" customWidth="1"/>
    <col min="40" max="40" width="5.44140625" customWidth="1"/>
    <col min="41" max="41" width="9.109375" customWidth="1"/>
    <col min="42" max="42" width="16.33203125" customWidth="1"/>
    <col min="43" max="43" width="2.6640625" customWidth="1"/>
    <col min="44" max="44" width="9.109375" customWidth="1"/>
    <col min="45" max="46" width="11.33203125" customWidth="1"/>
    <col min="47" max="47" width="24.33203125" customWidth="1"/>
    <col min="48" max="48" width="2.6640625" customWidth="1"/>
    <col min="49" max="49" width="9.109375" bestFit="1" customWidth="1"/>
    <col min="50" max="50" width="42" bestFit="1" customWidth="1"/>
    <col min="51" max="51" width="8.109375" bestFit="1" customWidth="1"/>
    <col min="52" max="52" width="112.109375" bestFit="1" customWidth="1"/>
    <col min="53" max="1979" width="9.109375" bestFit="1" customWidth="1"/>
    <col min="1980" max="1980" width="2.5546875" customWidth="1"/>
    <col min="1981" max="1984" width="9.109375" bestFit="1" customWidth="1"/>
    <col min="1985" max="1985" width="2.5546875" customWidth="1"/>
  </cols>
  <sheetData>
    <row r="1" spans="1:52" ht="27.75" customHeight="1">
      <c r="A1" s="185" t="s">
        <v>454</v>
      </c>
      <c r="B1" s="185"/>
      <c r="C1" s="185"/>
      <c r="D1" s="185"/>
      <c r="E1" s="185"/>
      <c r="F1" s="185"/>
      <c r="G1" s="185"/>
      <c r="H1" s="185"/>
      <c r="I1" s="185"/>
      <c r="J1" s="185"/>
      <c r="K1" s="185"/>
      <c r="L1" s="185"/>
      <c r="M1" s="185"/>
      <c r="N1" s="185"/>
      <c r="O1" s="185"/>
      <c r="P1" s="185"/>
      <c r="Q1" s="185"/>
      <c r="R1" s="185"/>
      <c r="S1" s="185"/>
      <c r="T1" s="185"/>
      <c r="U1" s="185"/>
      <c r="V1" s="185"/>
      <c r="W1" s="185"/>
      <c r="X1" s="185"/>
      <c r="Y1" s="185"/>
      <c r="AH1" s="164"/>
      <c r="AI1" s="164"/>
      <c r="AJ1" s="164"/>
      <c r="AK1" s="164"/>
      <c r="AL1" s="164"/>
    </row>
    <row r="2" spans="1:52">
      <c r="A2" s="32" t="s">
        <v>199</v>
      </c>
      <c r="B2" s="54" t="s">
        <v>200</v>
      </c>
      <c r="C2"/>
      <c r="D2" s="32" t="s">
        <v>201</v>
      </c>
      <c r="E2" s="54">
        <v>3</v>
      </c>
      <c r="F2" s="32" t="s">
        <v>202</v>
      </c>
      <c r="G2" s="54">
        <v>2026</v>
      </c>
      <c r="H2"/>
      <c r="I2"/>
      <c r="J2"/>
      <c r="K2"/>
      <c r="L2"/>
      <c r="M2"/>
      <c r="N2"/>
      <c r="O2"/>
      <c r="P2"/>
      <c r="Q2"/>
      <c r="R2"/>
      <c r="S2"/>
      <c r="T2"/>
      <c r="U2"/>
      <c r="V2"/>
      <c r="W2"/>
      <c r="X2"/>
      <c r="Y2"/>
    </row>
    <row r="3" spans="1:52">
      <c r="A3" s="53" t="s">
        <v>455</v>
      </c>
      <c r="B3"/>
      <c r="C3"/>
      <c r="D3"/>
      <c r="E3"/>
      <c r="F3"/>
      <c r="G3"/>
      <c r="H3"/>
      <c r="I3"/>
      <c r="J3"/>
      <c r="K3"/>
      <c r="L3"/>
      <c r="M3"/>
      <c r="N3"/>
      <c r="O3"/>
      <c r="P3"/>
      <c r="Q3"/>
      <c r="R3"/>
      <c r="S3"/>
      <c r="T3"/>
      <c r="U3"/>
      <c r="V3"/>
      <c r="W3"/>
      <c r="X3"/>
      <c r="Y3"/>
    </row>
    <row r="4" spans="1:52" ht="30" customHeight="1">
      <c r="A4" s="184" t="s">
        <v>231</v>
      </c>
      <c r="B4" s="184" t="s">
        <v>456</v>
      </c>
      <c r="C4" s="184" t="s">
        <v>457</v>
      </c>
      <c r="D4" s="184" t="s">
        <v>204</v>
      </c>
      <c r="E4" s="184" t="s">
        <v>458</v>
      </c>
      <c r="F4" s="184"/>
      <c r="G4" s="184" t="s">
        <v>459</v>
      </c>
      <c r="H4" s="184"/>
      <c r="I4" s="184" t="s">
        <v>216</v>
      </c>
      <c r="J4" s="184"/>
      <c r="K4" s="184"/>
      <c r="L4" s="187" t="s">
        <v>208</v>
      </c>
      <c r="M4" s="184" t="s">
        <v>217</v>
      </c>
      <c r="N4" s="184"/>
      <c r="O4" s="184" t="s">
        <v>218</v>
      </c>
      <c r="P4" s="184"/>
      <c r="Q4" s="186" t="s">
        <v>247</v>
      </c>
      <c r="R4" s="186" t="s">
        <v>248</v>
      </c>
      <c r="S4" s="186" t="s">
        <v>249</v>
      </c>
      <c r="T4" s="186" t="s">
        <v>250</v>
      </c>
      <c r="U4" s="186" t="s">
        <v>251</v>
      </c>
      <c r="V4" s="186" t="s">
        <v>252</v>
      </c>
      <c r="W4" s="186" t="s">
        <v>253</v>
      </c>
      <c r="X4" s="186" t="s">
        <v>254</v>
      </c>
      <c r="Y4" s="186" t="s">
        <v>255</v>
      </c>
      <c r="AA4" s="150" t="s">
        <v>460</v>
      </c>
      <c r="AB4" s="151" t="s">
        <v>461</v>
      </c>
      <c r="AC4" s="90" t="s">
        <v>462</v>
      </c>
      <c r="AE4" s="152" t="s">
        <v>204</v>
      </c>
      <c r="AH4" s="152" t="s">
        <v>205</v>
      </c>
      <c r="AL4" s="152" t="s">
        <v>206</v>
      </c>
      <c r="AP4" s="152" t="s">
        <v>207</v>
      </c>
      <c r="AS4" s="152" t="s">
        <v>208</v>
      </c>
      <c r="AX4" s="92" t="s">
        <v>629</v>
      </c>
      <c r="AY4" s="93" t="s">
        <v>202</v>
      </c>
      <c r="AZ4" s="93" t="s">
        <v>630</v>
      </c>
    </row>
    <row r="5" spans="1:52" ht="22.2" customHeight="1">
      <c r="A5" s="184"/>
      <c r="B5" s="184"/>
      <c r="C5" s="184"/>
      <c r="D5" s="184"/>
      <c r="E5" s="166" t="s">
        <v>205</v>
      </c>
      <c r="F5" s="166" t="s">
        <v>233</v>
      </c>
      <c r="G5" s="166" t="s">
        <v>206</v>
      </c>
      <c r="H5" s="166" t="s">
        <v>233</v>
      </c>
      <c r="I5" s="166" t="s">
        <v>231</v>
      </c>
      <c r="J5" s="166" t="s">
        <v>232</v>
      </c>
      <c r="K5" s="166" t="s">
        <v>233</v>
      </c>
      <c r="L5" s="187"/>
      <c r="M5" s="166" t="s">
        <v>231</v>
      </c>
      <c r="N5" s="166" t="s">
        <v>233</v>
      </c>
      <c r="O5" s="166" t="s">
        <v>231</v>
      </c>
      <c r="P5" s="166" t="s">
        <v>233</v>
      </c>
      <c r="Q5" s="186"/>
      <c r="R5" s="186"/>
      <c r="S5" s="186"/>
      <c r="T5" s="186"/>
      <c r="U5" s="186"/>
      <c r="V5" s="186"/>
      <c r="W5" s="186"/>
      <c r="X5" s="186"/>
      <c r="Y5" s="186"/>
      <c r="AA5" s="163">
        <v>2024</v>
      </c>
      <c r="AB5" s="163" t="s">
        <v>463</v>
      </c>
      <c r="AC5" s="163">
        <v>5</v>
      </c>
      <c r="AE5" s="32" t="s">
        <v>219</v>
      </c>
      <c r="AF5" s="32" t="s">
        <v>220</v>
      </c>
      <c r="AH5" s="32" t="s">
        <v>219</v>
      </c>
      <c r="AI5" s="32" t="s">
        <v>220</v>
      </c>
      <c r="AJ5" s="32" t="s">
        <v>51</v>
      </c>
      <c r="AL5" s="32" t="s">
        <v>219</v>
      </c>
      <c r="AM5" s="32" t="s">
        <v>220</v>
      </c>
      <c r="AN5" s="32" t="s">
        <v>51</v>
      </c>
      <c r="AP5" s="32" t="s">
        <v>219</v>
      </c>
      <c r="AQ5" s="32" t="s">
        <v>220</v>
      </c>
      <c r="AS5" s="32" t="s">
        <v>464</v>
      </c>
      <c r="AT5" s="32" t="s">
        <v>465</v>
      </c>
      <c r="AU5" s="32" t="s">
        <v>466</v>
      </c>
      <c r="AV5" s="32" t="s">
        <v>220</v>
      </c>
      <c r="AX5" s="96" t="s">
        <v>631</v>
      </c>
      <c r="AY5" s="94">
        <v>2024</v>
      </c>
      <c r="AZ5" s="95" t="s">
        <v>632</v>
      </c>
    </row>
    <row r="6" spans="1:52" ht="83.4" customHeight="1">
      <c r="A6" s="153">
        <f>ROW()-5</f>
        <v>1</v>
      </c>
      <c r="B6" s="86" t="s">
        <v>463</v>
      </c>
      <c r="C6" s="91" t="s">
        <v>467</v>
      </c>
      <c r="D6" s="86" t="s">
        <v>263</v>
      </c>
      <c r="E6" s="86" t="s">
        <v>264</v>
      </c>
      <c r="F6" s="91" t="s">
        <v>468</v>
      </c>
      <c r="G6" s="86" t="s">
        <v>272</v>
      </c>
      <c r="H6" s="91" t="s">
        <v>469</v>
      </c>
      <c r="I6" s="86"/>
      <c r="J6" s="86" t="s">
        <v>290</v>
      </c>
      <c r="K6" s="91" t="s">
        <v>470</v>
      </c>
      <c r="L6" s="154" t="str">
        <f>IF(ISNUMBER(X6),W6&amp;" - "&amp;Y6,"")</f>
        <v>2 - Level Risiko Sangat Rendah</v>
      </c>
      <c r="M6" s="86"/>
      <c r="N6" s="91" t="s">
        <v>471</v>
      </c>
      <c r="O6" s="86"/>
      <c r="P6" s="91" t="s">
        <v>468</v>
      </c>
      <c r="Q6" s="155">
        <f>IF(ISBLANK(D6),"",VLOOKUP(D6,$AE$6:$AF$11,2,FALSE))</f>
        <v>7</v>
      </c>
      <c r="R6" s="155">
        <f>IF(ISBLANK(E6),"",VLOOKUP(E6,$AH$6:$AI$11,2,FALSE))</f>
        <v>1</v>
      </c>
      <c r="S6" s="155">
        <f>IF(ISBLANK(G6),"",VLOOKUP(G6,$AL$6:$AM$11,2,FALSE))</f>
        <v>2</v>
      </c>
      <c r="T6" s="155">
        <f>IF(ISBLANK(J6),"",VLOOKUP(J6,$AP$6:$AQ$11,2,FALSE))</f>
        <v>5</v>
      </c>
      <c r="U6" s="155">
        <f>IF(ISNUMBER(R6),VLOOKUP(R6,$AI$6:$AJ$11,2,FALSE),"")</f>
        <v>1</v>
      </c>
      <c r="V6" s="155">
        <f>IF(ISNUMBER(S6),VLOOKUP(S6,$AM$6:$AN$11,2,FALSE),"")</f>
        <v>2</v>
      </c>
      <c r="W6" s="155">
        <f>IF(AND(ISNUMBER(U6),ISNUMBER(V6)),U6*V6,"")</f>
        <v>2</v>
      </c>
      <c r="X6" s="155">
        <f>IF(ISNUMBER(W6),LOOKUP(W6,$AS$6:$AS$11,$AV$6:$AV$11),"")</f>
        <v>2</v>
      </c>
      <c r="Y6" s="155" t="str">
        <f>IF(ISNUMBER(W6),LOOKUP(W6,$AS$6:$AS$11,$AU$6:$AU$11),"")</f>
        <v>Level Risiko Sangat Rendah</v>
      </c>
      <c r="AA6" s="163">
        <v>2024</v>
      </c>
      <c r="AB6" s="163" t="s">
        <v>472</v>
      </c>
      <c r="AC6" s="163">
        <v>4</v>
      </c>
      <c r="AE6" t="s">
        <v>263</v>
      </c>
      <c r="AF6">
        <v>7</v>
      </c>
      <c r="AH6" t="s">
        <v>264</v>
      </c>
      <c r="AI6">
        <v>1</v>
      </c>
      <c r="AJ6">
        <v>1</v>
      </c>
      <c r="AL6" t="s">
        <v>265</v>
      </c>
      <c r="AM6">
        <v>1</v>
      </c>
      <c r="AN6">
        <v>1</v>
      </c>
      <c r="AP6" t="s">
        <v>266</v>
      </c>
      <c r="AQ6">
        <v>1</v>
      </c>
      <c r="AS6">
        <v>1</v>
      </c>
      <c r="AT6">
        <v>5</v>
      </c>
      <c r="AU6" t="s">
        <v>267</v>
      </c>
      <c r="AV6">
        <v>2</v>
      </c>
      <c r="AX6" s="96" t="s">
        <v>631</v>
      </c>
      <c r="AY6" s="94">
        <v>2024</v>
      </c>
      <c r="AZ6" s="95" t="s">
        <v>633</v>
      </c>
    </row>
    <row r="7" spans="1:52" ht="83.4" customHeight="1">
      <c r="A7" s="153"/>
      <c r="B7" s="86"/>
      <c r="C7" s="91" t="s">
        <v>701</v>
      </c>
      <c r="D7" s="86" t="s">
        <v>263</v>
      </c>
      <c r="E7" s="86" t="s">
        <v>271</v>
      </c>
      <c r="F7" s="91"/>
      <c r="G7" s="86" t="s">
        <v>272</v>
      </c>
      <c r="H7" s="87" t="s">
        <v>469</v>
      </c>
      <c r="I7" s="86"/>
      <c r="J7" s="86" t="s">
        <v>284</v>
      </c>
      <c r="K7" s="91" t="s">
        <v>702</v>
      </c>
      <c r="L7" s="154" t="str">
        <f>IF(ISNUMBER(X7),W7&amp;" - "&amp;Y7,"")</f>
        <v/>
      </c>
      <c r="M7" s="86"/>
      <c r="N7" s="91" t="s">
        <v>703</v>
      </c>
      <c r="O7" s="86"/>
      <c r="P7" s="91"/>
      <c r="Q7" s="155"/>
      <c r="R7" s="155"/>
      <c r="S7" s="155"/>
      <c r="T7" s="155"/>
      <c r="U7" s="155"/>
      <c r="V7" s="155"/>
      <c r="W7" s="155"/>
      <c r="X7" s="155"/>
      <c r="Y7" s="155"/>
      <c r="AA7" s="163"/>
      <c r="AB7" s="163"/>
      <c r="AC7" s="163"/>
      <c r="AX7" s="96" t="s">
        <v>634</v>
      </c>
      <c r="AY7" s="94">
        <v>2024</v>
      </c>
      <c r="AZ7" s="95" t="s">
        <v>635</v>
      </c>
    </row>
    <row r="8" spans="1:52" ht="61.5" customHeight="1">
      <c r="A8" s="153">
        <f t="shared" ref="A8:A16" si="0">ROW()-5</f>
        <v>3</v>
      </c>
      <c r="B8" s="86" t="s">
        <v>479</v>
      </c>
      <c r="C8" s="91" t="s">
        <v>704</v>
      </c>
      <c r="D8" s="86"/>
      <c r="E8" s="86"/>
      <c r="F8" s="91"/>
      <c r="G8" s="86"/>
      <c r="H8" s="87"/>
      <c r="I8" s="86"/>
      <c r="J8" s="86"/>
      <c r="K8" s="91"/>
      <c r="L8" s="154"/>
      <c r="M8" s="86"/>
      <c r="N8" s="91"/>
      <c r="O8" s="86"/>
      <c r="P8" s="91"/>
      <c r="Q8" s="155" t="str">
        <f t="shared" ref="Q8:Q16" si="1">IF(ISBLANK(D8),"",VLOOKUP(D8,$AE$6:$AF$11,2,FALSE))</f>
        <v/>
      </c>
      <c r="R8" s="155" t="str">
        <f t="shared" ref="R8:R16" si="2">IF(ISBLANK(E8),"",VLOOKUP(E8,$AH$6:$AI$11,2,FALSE))</f>
        <v/>
      </c>
      <c r="S8" s="155" t="str">
        <f t="shared" ref="S8:S16" si="3">IF(ISBLANK(G8),"",VLOOKUP(G8,$AL$6:$AM$11,2,FALSE))</f>
        <v/>
      </c>
      <c r="T8" s="155" t="str">
        <f t="shared" ref="T8:T16" si="4">IF(ISBLANK(J8),"",VLOOKUP(J8,$AP$6:$AQ$11,2,FALSE))</f>
        <v/>
      </c>
      <c r="U8" s="155" t="str">
        <f t="shared" ref="U8:U16" si="5">IF(ISNUMBER(R8),VLOOKUP(R8,$AI$6:$AJ$11,2,FALSE),"")</f>
        <v/>
      </c>
      <c r="V8" s="155" t="str">
        <f t="shared" ref="V8:V16" si="6">IF(ISNUMBER(S8),VLOOKUP(S8,$AM$6:$AN$11,2,FALSE),"")</f>
        <v/>
      </c>
      <c r="W8" s="155" t="str">
        <f t="shared" ref="W8:W16" si="7">IF(AND(ISNUMBER(U8),ISNUMBER(V8)),U8*V8,"")</f>
        <v/>
      </c>
      <c r="X8" s="155" t="str">
        <f t="shared" ref="X8:X16" si="8">IF(ISNUMBER(W8),LOOKUP(W8,$AS$6:$AS$11,$AV$6:$AV$11),"")</f>
        <v/>
      </c>
      <c r="Y8" s="155" t="str">
        <f t="shared" ref="Y8:Y16" si="9">IF(ISNUMBER(W8),LOOKUP(W8,$AS$6:$AS$11,$AU$6:$AU$11),"")</f>
        <v/>
      </c>
      <c r="AA8" s="163">
        <v>2024</v>
      </c>
      <c r="AB8" s="163" t="s">
        <v>477</v>
      </c>
      <c r="AC8" s="163">
        <v>3</v>
      </c>
      <c r="AE8" t="s">
        <v>270</v>
      </c>
      <c r="AF8">
        <v>8</v>
      </c>
      <c r="AH8" t="s">
        <v>271</v>
      </c>
      <c r="AI8">
        <v>2</v>
      </c>
      <c r="AJ8">
        <v>2</v>
      </c>
      <c r="AL8" t="s">
        <v>272</v>
      </c>
      <c r="AM8">
        <v>2</v>
      </c>
      <c r="AN8">
        <v>2</v>
      </c>
      <c r="AP8" t="s">
        <v>273</v>
      </c>
      <c r="AQ8">
        <v>2</v>
      </c>
      <c r="AS8">
        <v>6</v>
      </c>
      <c r="AT8">
        <v>11</v>
      </c>
      <c r="AU8" t="s">
        <v>279</v>
      </c>
      <c r="AV8">
        <v>3</v>
      </c>
      <c r="AX8" s="96" t="s">
        <v>636</v>
      </c>
      <c r="AY8" s="94">
        <v>2025</v>
      </c>
      <c r="AZ8" s="95" t="s">
        <v>637</v>
      </c>
    </row>
    <row r="9" spans="1:52" ht="21.75" customHeight="1">
      <c r="A9" s="153">
        <f t="shared" si="0"/>
        <v>4</v>
      </c>
      <c r="B9" s="86"/>
      <c r="C9" s="91" t="s">
        <v>705</v>
      </c>
      <c r="D9" s="86"/>
      <c r="E9" s="86"/>
      <c r="F9" s="91"/>
      <c r="G9" s="86"/>
      <c r="H9" s="87"/>
      <c r="I9" s="86"/>
      <c r="J9" s="86"/>
      <c r="K9" s="91"/>
      <c r="L9" s="154"/>
      <c r="M9" s="86"/>
      <c r="N9" s="91"/>
      <c r="O9" s="86"/>
      <c r="P9" s="91"/>
      <c r="Q9" s="155" t="str">
        <f t="shared" si="1"/>
        <v/>
      </c>
      <c r="R9" s="155" t="str">
        <f t="shared" si="2"/>
        <v/>
      </c>
      <c r="S9" s="155" t="str">
        <f t="shared" si="3"/>
        <v/>
      </c>
      <c r="T9" s="155" t="str">
        <f t="shared" si="4"/>
        <v/>
      </c>
      <c r="U9" s="155" t="str">
        <f t="shared" si="5"/>
        <v/>
      </c>
      <c r="V9" s="155" t="str">
        <f t="shared" si="6"/>
        <v/>
      </c>
      <c r="W9" s="155" t="str">
        <f t="shared" si="7"/>
        <v/>
      </c>
      <c r="X9" s="155" t="str">
        <f t="shared" si="8"/>
        <v/>
      </c>
      <c r="Y9" s="155" t="str">
        <f t="shared" si="9"/>
        <v/>
      </c>
      <c r="AA9" s="163">
        <v>2024</v>
      </c>
      <c r="AB9" s="163" t="s">
        <v>479</v>
      </c>
      <c r="AC9" s="163">
        <v>2</v>
      </c>
      <c r="AE9" t="s">
        <v>275</v>
      </c>
      <c r="AF9">
        <v>9</v>
      </c>
      <c r="AH9" t="s">
        <v>276</v>
      </c>
      <c r="AI9">
        <v>3</v>
      </c>
      <c r="AJ9">
        <v>3</v>
      </c>
      <c r="AL9" t="s">
        <v>277</v>
      </c>
      <c r="AM9">
        <v>3</v>
      </c>
      <c r="AN9">
        <v>3</v>
      </c>
      <c r="AP9" t="s">
        <v>278</v>
      </c>
      <c r="AQ9">
        <v>3</v>
      </c>
      <c r="AS9">
        <v>12</v>
      </c>
      <c r="AT9">
        <v>15</v>
      </c>
      <c r="AU9" t="s">
        <v>285</v>
      </c>
      <c r="AV9">
        <v>4</v>
      </c>
      <c r="AX9" s="96" t="s">
        <v>638</v>
      </c>
      <c r="AY9" s="94">
        <v>2025</v>
      </c>
      <c r="AZ9" s="95" t="s">
        <v>639</v>
      </c>
    </row>
    <row r="10" spans="1:52" ht="21.75" customHeight="1">
      <c r="A10" s="153">
        <f t="shared" si="0"/>
        <v>5</v>
      </c>
      <c r="B10" s="86"/>
      <c r="C10" s="91" t="s">
        <v>706</v>
      </c>
      <c r="D10" s="86"/>
      <c r="E10" s="86"/>
      <c r="F10" s="91"/>
      <c r="G10" s="86"/>
      <c r="H10" s="87"/>
      <c r="I10" s="86"/>
      <c r="J10" s="86"/>
      <c r="K10" s="91"/>
      <c r="L10" s="154"/>
      <c r="M10" s="86"/>
      <c r="N10" s="91"/>
      <c r="O10" s="86"/>
      <c r="P10" s="91"/>
      <c r="Q10" s="155" t="str">
        <f t="shared" si="1"/>
        <v/>
      </c>
      <c r="R10" s="155" t="str">
        <f t="shared" si="2"/>
        <v/>
      </c>
      <c r="S10" s="155" t="str">
        <f t="shared" si="3"/>
        <v/>
      </c>
      <c r="T10" s="155" t="str">
        <f t="shared" si="4"/>
        <v/>
      </c>
      <c r="U10" s="155" t="str">
        <f t="shared" si="5"/>
        <v/>
      </c>
      <c r="V10" s="155" t="str">
        <f t="shared" si="6"/>
        <v/>
      </c>
      <c r="W10" s="155" t="str">
        <f t="shared" si="7"/>
        <v/>
      </c>
      <c r="X10" s="155" t="str">
        <f t="shared" si="8"/>
        <v/>
      </c>
      <c r="Y10" s="155" t="str">
        <f t="shared" si="9"/>
        <v/>
      </c>
      <c r="AA10" s="163">
        <v>2024</v>
      </c>
      <c r="AB10" s="163" t="s">
        <v>484</v>
      </c>
      <c r="AC10" s="163">
        <v>1</v>
      </c>
      <c r="AE10" t="s">
        <v>281</v>
      </c>
      <c r="AF10">
        <v>10</v>
      </c>
      <c r="AH10" t="s">
        <v>282</v>
      </c>
      <c r="AI10">
        <v>4</v>
      </c>
      <c r="AJ10">
        <v>4</v>
      </c>
      <c r="AL10" t="s">
        <v>283</v>
      </c>
      <c r="AM10">
        <v>4</v>
      </c>
      <c r="AN10">
        <v>4</v>
      </c>
      <c r="AP10" t="s">
        <v>284</v>
      </c>
      <c r="AQ10">
        <v>4</v>
      </c>
      <c r="AS10">
        <v>16</v>
      </c>
      <c r="AT10">
        <v>19</v>
      </c>
      <c r="AU10" t="s">
        <v>291</v>
      </c>
      <c r="AV10">
        <v>6</v>
      </c>
      <c r="AX10" s="96" t="s">
        <v>638</v>
      </c>
      <c r="AY10" s="94">
        <v>2025</v>
      </c>
      <c r="AZ10" s="95" t="s">
        <v>644</v>
      </c>
    </row>
    <row r="11" spans="1:52" ht="21.75" customHeight="1">
      <c r="A11" s="153">
        <f t="shared" si="0"/>
        <v>6</v>
      </c>
      <c r="B11" s="86"/>
      <c r="C11" s="91" t="s">
        <v>707</v>
      </c>
      <c r="D11" s="86"/>
      <c r="E11" s="86"/>
      <c r="F11" s="91"/>
      <c r="G11" s="86"/>
      <c r="H11" s="87"/>
      <c r="I11" s="86"/>
      <c r="J11" s="86"/>
      <c r="K11" s="91"/>
      <c r="L11" s="154"/>
      <c r="M11" s="86"/>
      <c r="N11" s="91"/>
      <c r="O11" s="86"/>
      <c r="P11" s="91"/>
      <c r="Q11" s="155" t="str">
        <f t="shared" si="1"/>
        <v/>
      </c>
      <c r="R11" s="155" t="str">
        <f t="shared" si="2"/>
        <v/>
      </c>
      <c r="S11" s="155" t="str">
        <f t="shared" si="3"/>
        <v/>
      </c>
      <c r="T11" s="155" t="str">
        <f t="shared" si="4"/>
        <v/>
      </c>
      <c r="U11" s="155" t="str">
        <f t="shared" si="5"/>
        <v/>
      </c>
      <c r="V11" s="155" t="str">
        <f t="shared" si="6"/>
        <v/>
      </c>
      <c r="W11" s="155" t="str">
        <f t="shared" si="7"/>
        <v/>
      </c>
      <c r="X11" s="155" t="str">
        <f t="shared" si="8"/>
        <v/>
      </c>
      <c r="Y11" s="155" t="str">
        <f t="shared" si="9"/>
        <v/>
      </c>
      <c r="AA11" s="163">
        <v>2024</v>
      </c>
      <c r="AB11" s="163" t="s">
        <v>488</v>
      </c>
      <c r="AC11" s="163">
        <v>5</v>
      </c>
      <c r="AE11" t="s">
        <v>287</v>
      </c>
      <c r="AF11">
        <v>11</v>
      </c>
      <c r="AH11" t="s">
        <v>288</v>
      </c>
      <c r="AI11">
        <v>5</v>
      </c>
      <c r="AJ11">
        <v>5</v>
      </c>
      <c r="AL11" t="s">
        <v>289</v>
      </c>
      <c r="AM11">
        <v>5</v>
      </c>
      <c r="AN11">
        <v>5</v>
      </c>
      <c r="AP11" t="s">
        <v>290</v>
      </c>
      <c r="AQ11">
        <v>5</v>
      </c>
      <c r="AS11">
        <v>20</v>
      </c>
      <c r="AT11">
        <v>25</v>
      </c>
      <c r="AU11" t="s">
        <v>294</v>
      </c>
      <c r="AV11">
        <v>5</v>
      </c>
      <c r="AX11" s="96" t="s">
        <v>638</v>
      </c>
      <c r="AY11" s="94">
        <v>2025</v>
      </c>
      <c r="AZ11" s="95" t="s">
        <v>648</v>
      </c>
    </row>
    <row r="12" spans="1:52" ht="21.75" customHeight="1">
      <c r="A12" s="153">
        <f t="shared" si="0"/>
        <v>7</v>
      </c>
      <c r="B12" s="86"/>
      <c r="C12" s="91" t="s">
        <v>708</v>
      </c>
      <c r="D12" s="86"/>
      <c r="E12" s="86"/>
      <c r="F12" s="91"/>
      <c r="G12" s="86"/>
      <c r="H12" s="87"/>
      <c r="I12" s="86"/>
      <c r="J12" s="86"/>
      <c r="K12" s="91"/>
      <c r="L12" s="154"/>
      <c r="M12" s="86"/>
      <c r="N12" s="91"/>
      <c r="O12" s="86"/>
      <c r="P12" s="91"/>
      <c r="Q12" s="155" t="str">
        <f t="shared" si="1"/>
        <v/>
      </c>
      <c r="R12" s="155" t="str">
        <f t="shared" si="2"/>
        <v/>
      </c>
      <c r="S12" s="155" t="str">
        <f t="shared" si="3"/>
        <v/>
      </c>
      <c r="T12" s="155" t="str">
        <f t="shared" si="4"/>
        <v/>
      </c>
      <c r="U12" s="155" t="str">
        <f t="shared" si="5"/>
        <v/>
      </c>
      <c r="V12" s="155" t="str">
        <f t="shared" si="6"/>
        <v/>
      </c>
      <c r="W12" s="155" t="str">
        <f t="shared" si="7"/>
        <v/>
      </c>
      <c r="X12" s="155" t="str">
        <f t="shared" si="8"/>
        <v/>
      </c>
      <c r="Y12" s="155" t="str">
        <f t="shared" si="9"/>
        <v/>
      </c>
      <c r="AA12" s="163">
        <v>2024</v>
      </c>
      <c r="AB12" s="163" t="s">
        <v>493</v>
      </c>
      <c r="AC12" s="163">
        <v>4</v>
      </c>
      <c r="AE12" t="s">
        <v>494</v>
      </c>
      <c r="AF12">
        <v>12</v>
      </c>
      <c r="AX12" s="96" t="s">
        <v>634</v>
      </c>
      <c r="AY12" s="94">
        <v>2025</v>
      </c>
      <c r="AZ12" s="95" t="s">
        <v>652</v>
      </c>
    </row>
    <row r="13" spans="1:52" ht="26.25" customHeight="1">
      <c r="A13" s="153">
        <f t="shared" si="0"/>
        <v>8</v>
      </c>
      <c r="B13" s="86"/>
      <c r="C13" s="91" t="s">
        <v>709</v>
      </c>
      <c r="D13" s="86"/>
      <c r="E13" s="86"/>
      <c r="F13" s="91"/>
      <c r="G13" s="86"/>
      <c r="H13" s="87"/>
      <c r="I13" s="86"/>
      <c r="J13" s="86"/>
      <c r="K13" s="91"/>
      <c r="L13" s="154"/>
      <c r="M13" s="86"/>
      <c r="N13" s="91"/>
      <c r="O13" s="86"/>
      <c r="P13" s="91"/>
      <c r="Q13" s="155" t="str">
        <f t="shared" si="1"/>
        <v/>
      </c>
      <c r="R13" s="155" t="str">
        <f t="shared" si="2"/>
        <v/>
      </c>
      <c r="S13" s="155" t="str">
        <f t="shared" si="3"/>
        <v/>
      </c>
      <c r="T13" s="155" t="str">
        <f t="shared" si="4"/>
        <v/>
      </c>
      <c r="U13" s="155" t="str">
        <f t="shared" si="5"/>
        <v/>
      </c>
      <c r="V13" s="155" t="str">
        <f t="shared" si="6"/>
        <v/>
      </c>
      <c r="W13" s="155" t="str">
        <f t="shared" si="7"/>
        <v/>
      </c>
      <c r="X13" s="155" t="str">
        <f t="shared" si="8"/>
        <v/>
      </c>
      <c r="Y13" s="155" t="str">
        <f t="shared" si="9"/>
        <v/>
      </c>
      <c r="AA13" s="163">
        <v>2024</v>
      </c>
      <c r="AB13" s="163" t="s">
        <v>499</v>
      </c>
      <c r="AC13" s="163">
        <v>3</v>
      </c>
      <c r="AX13" s="96" t="s">
        <v>656</v>
      </c>
      <c r="AY13" s="94">
        <v>2025</v>
      </c>
      <c r="AZ13" s="95" t="s">
        <v>657</v>
      </c>
    </row>
    <row r="14" spans="1:52" ht="43.2">
      <c r="A14" s="153">
        <f t="shared" si="0"/>
        <v>9</v>
      </c>
      <c r="B14" s="86"/>
      <c r="C14" s="91" t="s">
        <v>710</v>
      </c>
      <c r="D14" s="86"/>
      <c r="E14" s="86"/>
      <c r="F14" s="91"/>
      <c r="G14" s="86"/>
      <c r="H14" s="87"/>
      <c r="I14" s="86"/>
      <c r="J14" s="86"/>
      <c r="K14" s="91"/>
      <c r="L14" s="154"/>
      <c r="M14" s="86"/>
      <c r="N14" s="91"/>
      <c r="O14" s="86"/>
      <c r="P14" s="91"/>
      <c r="Q14" s="155" t="str">
        <f t="shared" si="1"/>
        <v/>
      </c>
      <c r="R14" s="155" t="str">
        <f t="shared" si="2"/>
        <v/>
      </c>
      <c r="S14" s="155" t="str">
        <f t="shared" si="3"/>
        <v/>
      </c>
      <c r="T14" s="155" t="str">
        <f t="shared" si="4"/>
        <v/>
      </c>
      <c r="U14" s="155" t="str">
        <f t="shared" si="5"/>
        <v/>
      </c>
      <c r="V14" s="155" t="str">
        <f t="shared" si="6"/>
        <v/>
      </c>
      <c r="W14" s="155" t="str">
        <f t="shared" si="7"/>
        <v/>
      </c>
      <c r="X14" s="155" t="str">
        <f t="shared" si="8"/>
        <v/>
      </c>
      <c r="Y14" s="155" t="str">
        <f t="shared" si="9"/>
        <v/>
      </c>
      <c r="AA14" s="163">
        <v>2025</v>
      </c>
      <c r="AB14" s="163" t="s">
        <v>504</v>
      </c>
      <c r="AC14" s="163">
        <v>2</v>
      </c>
      <c r="AX14" s="96" t="s">
        <v>660</v>
      </c>
      <c r="AY14" s="94">
        <v>2025</v>
      </c>
      <c r="AZ14" s="95" t="s">
        <v>661</v>
      </c>
    </row>
    <row r="15" spans="1:52" ht="72">
      <c r="A15" s="153">
        <f t="shared" si="0"/>
        <v>10</v>
      </c>
      <c r="B15" s="86"/>
      <c r="C15" s="91" t="s">
        <v>711</v>
      </c>
      <c r="D15" s="86"/>
      <c r="E15" s="86"/>
      <c r="F15" s="91"/>
      <c r="G15" s="86"/>
      <c r="H15" s="87"/>
      <c r="I15" s="86"/>
      <c r="J15" s="86"/>
      <c r="K15" s="91"/>
      <c r="L15" s="154"/>
      <c r="M15" s="86"/>
      <c r="N15" s="91"/>
      <c r="O15" s="86"/>
      <c r="P15" s="91"/>
      <c r="Q15" s="155" t="str">
        <f t="shared" si="1"/>
        <v/>
      </c>
      <c r="R15" s="155" t="str">
        <f t="shared" si="2"/>
        <v/>
      </c>
      <c r="S15" s="155" t="str">
        <f t="shared" si="3"/>
        <v/>
      </c>
      <c r="T15" s="155" t="str">
        <f t="shared" si="4"/>
        <v/>
      </c>
      <c r="U15" s="155" t="str">
        <f t="shared" si="5"/>
        <v/>
      </c>
      <c r="V15" s="155" t="str">
        <f t="shared" si="6"/>
        <v/>
      </c>
      <c r="W15" s="155" t="str">
        <f t="shared" si="7"/>
        <v/>
      </c>
      <c r="X15" s="155" t="str">
        <f t="shared" si="8"/>
        <v/>
      </c>
      <c r="Y15" s="155" t="str">
        <f t="shared" si="9"/>
        <v/>
      </c>
      <c r="AA15" s="163">
        <v>2025</v>
      </c>
      <c r="AB15" s="163" t="s">
        <v>508</v>
      </c>
      <c r="AC15" s="163">
        <v>1</v>
      </c>
      <c r="AX15" s="96"/>
      <c r="AY15" s="94"/>
      <c r="AZ15" s="95"/>
    </row>
    <row r="16" spans="1:52" ht="72">
      <c r="A16" s="153">
        <f t="shared" si="0"/>
        <v>11</v>
      </c>
      <c r="B16" s="86"/>
      <c r="C16" s="91" t="s">
        <v>712</v>
      </c>
      <c r="D16" s="86"/>
      <c r="E16" s="86"/>
      <c r="F16" s="91"/>
      <c r="G16" s="86"/>
      <c r="H16" s="87"/>
      <c r="I16" s="86"/>
      <c r="J16" s="86"/>
      <c r="K16" s="91"/>
      <c r="L16" s="154"/>
      <c r="M16" s="86"/>
      <c r="N16" s="91"/>
      <c r="O16" s="86"/>
      <c r="P16" s="91"/>
      <c r="Q16" s="155" t="str">
        <f t="shared" si="1"/>
        <v/>
      </c>
      <c r="R16" s="155" t="str">
        <f t="shared" si="2"/>
        <v/>
      </c>
      <c r="S16" s="155" t="str">
        <f t="shared" si="3"/>
        <v/>
      </c>
      <c r="T16" s="155" t="str">
        <f t="shared" si="4"/>
        <v/>
      </c>
      <c r="U16" s="155" t="str">
        <f t="shared" si="5"/>
        <v/>
      </c>
      <c r="V16" s="155" t="str">
        <f t="shared" si="6"/>
        <v/>
      </c>
      <c r="W16" s="155" t="str">
        <f t="shared" si="7"/>
        <v/>
      </c>
      <c r="X16" s="155" t="str">
        <f t="shared" si="8"/>
        <v/>
      </c>
      <c r="Y16" s="155" t="str">
        <f t="shared" si="9"/>
        <v/>
      </c>
      <c r="AA16" s="163">
        <v>2025</v>
      </c>
      <c r="AB16" s="163" t="s">
        <v>480</v>
      </c>
      <c r="AC16" s="163">
        <v>5</v>
      </c>
      <c r="AX16" s="96"/>
      <c r="AY16" s="94"/>
      <c r="AZ16" s="95"/>
    </row>
    <row r="17" spans="1:52" ht="28.8">
      <c r="A17" s="153"/>
      <c r="B17" s="86"/>
      <c r="C17" s="91" t="s">
        <v>713</v>
      </c>
      <c r="D17" s="86"/>
      <c r="E17" s="86"/>
      <c r="F17" s="91"/>
      <c r="G17" s="86"/>
      <c r="H17" s="87"/>
      <c r="I17" s="86"/>
      <c r="J17" s="86"/>
      <c r="K17" s="91"/>
      <c r="L17" s="154"/>
      <c r="M17" s="86"/>
      <c r="N17" s="91"/>
      <c r="O17" s="86"/>
      <c r="P17" s="91"/>
      <c r="Q17" s="155"/>
      <c r="R17" s="155"/>
      <c r="S17" s="155"/>
      <c r="T17" s="155"/>
      <c r="U17" s="155"/>
      <c r="V17" s="155"/>
      <c r="W17" s="155"/>
      <c r="X17" s="155"/>
      <c r="Y17" s="155"/>
      <c r="AA17" s="163">
        <v>2025</v>
      </c>
      <c r="AB17" s="163" t="s">
        <v>514</v>
      </c>
      <c r="AC17" s="163">
        <v>4</v>
      </c>
      <c r="AX17" s="96"/>
      <c r="AY17" s="94"/>
      <c r="AZ17" s="95"/>
    </row>
    <row r="18" spans="1:52" ht="28.8">
      <c r="A18" s="153"/>
      <c r="B18" s="86"/>
      <c r="C18" s="91" t="s">
        <v>714</v>
      </c>
      <c r="D18" s="86"/>
      <c r="E18" s="86"/>
      <c r="F18" s="91"/>
      <c r="G18" s="86"/>
      <c r="H18" s="87"/>
      <c r="I18" s="86"/>
      <c r="J18" s="86"/>
      <c r="K18" s="91"/>
      <c r="L18" s="154"/>
      <c r="M18" s="86"/>
      <c r="N18" s="91"/>
      <c r="O18" s="86"/>
      <c r="P18" s="91"/>
      <c r="Q18" s="155"/>
      <c r="R18" s="155"/>
      <c r="S18" s="155"/>
      <c r="T18" s="155"/>
      <c r="U18" s="155"/>
      <c r="V18" s="155"/>
      <c r="W18" s="155"/>
      <c r="X18" s="155"/>
      <c r="Y18" s="155"/>
      <c r="AA18" s="163">
        <v>2025</v>
      </c>
      <c r="AB18" s="163" t="s">
        <v>519</v>
      </c>
      <c r="AC18" s="163">
        <v>3</v>
      </c>
      <c r="AX18" s="96"/>
      <c r="AY18" s="94"/>
      <c r="AZ18" s="95"/>
    </row>
    <row r="19" spans="1:52" ht="28.8">
      <c r="A19" s="153"/>
      <c r="B19" s="86"/>
      <c r="C19" s="91" t="s">
        <v>715</v>
      </c>
      <c r="D19" s="86"/>
      <c r="E19" s="86"/>
      <c r="F19" s="91"/>
      <c r="G19" s="86"/>
      <c r="H19" s="87"/>
      <c r="I19" s="86"/>
      <c r="J19" s="86"/>
      <c r="K19" s="91"/>
      <c r="L19" s="154"/>
      <c r="M19" s="86"/>
      <c r="N19" s="91"/>
      <c r="O19" s="86"/>
      <c r="P19" s="91"/>
      <c r="Q19" s="155"/>
      <c r="R19" s="155"/>
      <c r="S19" s="155"/>
      <c r="T19" s="155"/>
      <c r="U19" s="155"/>
      <c r="V19" s="155"/>
      <c r="W19" s="155"/>
      <c r="X19" s="155"/>
      <c r="Y19" s="155"/>
      <c r="AA19" s="163">
        <v>2025</v>
      </c>
      <c r="AB19" s="163" t="s">
        <v>524</v>
      </c>
      <c r="AC19" s="163">
        <v>2</v>
      </c>
      <c r="AX19" s="96"/>
      <c r="AY19" s="94"/>
      <c r="AZ19" s="95"/>
    </row>
    <row r="20" spans="1:52" ht="28.8">
      <c r="A20" s="153"/>
      <c r="B20" s="86"/>
      <c r="C20" s="91" t="s">
        <v>716</v>
      </c>
      <c r="D20" s="86"/>
      <c r="E20" s="86"/>
      <c r="F20" s="91"/>
      <c r="G20" s="86"/>
      <c r="H20" s="87"/>
      <c r="I20" s="86"/>
      <c r="J20" s="86"/>
      <c r="K20" s="91"/>
      <c r="L20" s="154"/>
      <c r="M20" s="86"/>
      <c r="N20" s="91"/>
      <c r="O20" s="86"/>
      <c r="P20" s="91"/>
      <c r="Q20" s="155"/>
      <c r="R20" s="155"/>
      <c r="S20" s="155"/>
      <c r="T20" s="155"/>
      <c r="U20" s="155"/>
      <c r="V20" s="155"/>
      <c r="W20" s="155"/>
      <c r="X20" s="155"/>
      <c r="Y20" s="155"/>
      <c r="AA20" s="163">
        <v>2025</v>
      </c>
      <c r="AB20" s="163" t="s">
        <v>530</v>
      </c>
      <c r="AC20" s="163">
        <v>1</v>
      </c>
      <c r="AX20" s="96"/>
      <c r="AY20" s="94"/>
      <c r="AZ20" s="95"/>
    </row>
    <row r="21" spans="1:52" ht="57.6">
      <c r="A21" s="153"/>
      <c r="B21" s="86"/>
      <c r="C21" s="91" t="s">
        <v>717</v>
      </c>
      <c r="D21" s="86"/>
      <c r="E21" s="86"/>
      <c r="F21" s="91"/>
      <c r="G21" s="86"/>
      <c r="H21" s="87"/>
      <c r="I21" s="86"/>
      <c r="J21" s="86"/>
      <c r="K21" s="91"/>
      <c r="L21" s="154"/>
      <c r="M21" s="86"/>
      <c r="N21" s="91"/>
      <c r="O21" s="86"/>
      <c r="P21" s="91"/>
      <c r="Q21" s="155"/>
      <c r="R21" s="155"/>
      <c r="S21" s="155"/>
      <c r="T21" s="155"/>
      <c r="U21" s="155"/>
      <c r="V21" s="155"/>
      <c r="W21" s="155"/>
      <c r="X21" s="155"/>
      <c r="Y21" s="155"/>
      <c r="AA21" s="163">
        <v>2025</v>
      </c>
      <c r="AB21" s="163" t="s">
        <v>535</v>
      </c>
      <c r="AC21" s="163">
        <v>5</v>
      </c>
      <c r="AX21" s="96"/>
      <c r="AY21" s="94"/>
      <c r="AZ21" s="95"/>
    </row>
    <row r="22" spans="1:52" ht="28.8">
      <c r="A22" s="153"/>
      <c r="B22" s="86"/>
      <c r="C22" s="91" t="s">
        <v>718</v>
      </c>
      <c r="D22" s="86"/>
      <c r="E22" s="86"/>
      <c r="F22" s="91"/>
      <c r="G22" s="86"/>
      <c r="H22" s="87"/>
      <c r="I22" s="86"/>
      <c r="J22" s="86"/>
      <c r="K22" s="91"/>
      <c r="L22" s="154"/>
      <c r="M22" s="86"/>
      <c r="N22" s="91"/>
      <c r="O22" s="86"/>
      <c r="P22" s="91"/>
      <c r="Q22" s="155"/>
      <c r="R22" s="155"/>
      <c r="S22" s="155"/>
      <c r="T22" s="155"/>
      <c r="U22" s="155"/>
      <c r="V22" s="155"/>
      <c r="W22" s="155"/>
      <c r="X22" s="155"/>
      <c r="Y22" s="155"/>
      <c r="AA22" s="163">
        <v>2025</v>
      </c>
      <c r="AB22" s="163" t="s">
        <v>540</v>
      </c>
      <c r="AC22" s="163">
        <v>4</v>
      </c>
      <c r="AX22" s="96"/>
      <c r="AY22" s="94"/>
      <c r="AZ22" s="95"/>
    </row>
    <row r="23" spans="1:52" ht="57.6">
      <c r="A23" s="153"/>
      <c r="B23" s="86"/>
      <c r="C23" s="91" t="s">
        <v>719</v>
      </c>
      <c r="D23" s="86"/>
      <c r="E23" s="86"/>
      <c r="F23" s="91"/>
      <c r="G23" s="86"/>
      <c r="H23" s="87"/>
      <c r="I23" s="86"/>
      <c r="J23" s="86"/>
      <c r="K23" s="91"/>
      <c r="L23" s="154"/>
      <c r="M23" s="86"/>
      <c r="N23" s="91"/>
      <c r="O23" s="86"/>
      <c r="P23" s="91"/>
      <c r="Q23" s="155"/>
      <c r="R23" s="155"/>
      <c r="S23" s="155"/>
      <c r="T23" s="155"/>
      <c r="U23" s="155"/>
      <c r="V23" s="155"/>
      <c r="W23" s="155"/>
      <c r="X23" s="155"/>
      <c r="Y23" s="155"/>
      <c r="AA23" s="163">
        <v>2025</v>
      </c>
      <c r="AB23" s="163" t="s">
        <v>545</v>
      </c>
      <c r="AC23" s="163">
        <v>3</v>
      </c>
      <c r="AX23" s="96"/>
      <c r="AY23" s="94"/>
      <c r="AZ23" s="95"/>
    </row>
    <row r="24" spans="1:52" ht="28.8">
      <c r="A24" s="153"/>
      <c r="B24" s="86"/>
      <c r="C24" s="91" t="s">
        <v>720</v>
      </c>
      <c r="D24" s="86"/>
      <c r="E24" s="86"/>
      <c r="F24" s="91"/>
      <c r="G24" s="86"/>
      <c r="H24" s="87"/>
      <c r="I24" s="86"/>
      <c r="J24" s="86"/>
      <c r="K24" s="91"/>
      <c r="L24" s="154"/>
      <c r="M24" s="86"/>
      <c r="N24" s="91"/>
      <c r="O24" s="86"/>
      <c r="P24" s="91"/>
      <c r="Q24" s="155"/>
      <c r="R24" s="155"/>
      <c r="S24" s="155"/>
      <c r="T24" s="155"/>
      <c r="U24" s="155"/>
      <c r="V24" s="155"/>
      <c r="W24" s="155"/>
      <c r="X24" s="155"/>
      <c r="Y24" s="155"/>
      <c r="AA24" s="163">
        <v>2025</v>
      </c>
      <c r="AB24" s="163" t="s">
        <v>554</v>
      </c>
      <c r="AC24" s="163">
        <v>2</v>
      </c>
      <c r="AX24" s="96"/>
      <c r="AY24" s="94"/>
      <c r="AZ24" s="95"/>
    </row>
    <row r="25" spans="1:52" ht="28.8">
      <c r="A25" s="153"/>
      <c r="B25" s="86"/>
      <c r="C25" s="91" t="s">
        <v>721</v>
      </c>
      <c r="D25" s="86"/>
      <c r="E25" s="86"/>
      <c r="F25" s="91"/>
      <c r="G25" s="86"/>
      <c r="H25" s="87"/>
      <c r="I25" s="86"/>
      <c r="J25" s="86"/>
      <c r="K25" s="91"/>
      <c r="L25" s="154"/>
      <c r="M25" s="86"/>
      <c r="N25" s="91"/>
      <c r="O25" s="86"/>
      <c r="P25" s="91"/>
      <c r="Q25" s="155"/>
      <c r="R25" s="155"/>
      <c r="S25" s="155"/>
      <c r="T25" s="155"/>
      <c r="U25" s="155"/>
      <c r="V25" s="155"/>
      <c r="W25" s="155"/>
      <c r="X25" s="155"/>
      <c r="Y25" s="155"/>
      <c r="AA25" s="163">
        <v>2025</v>
      </c>
      <c r="AB25" s="163" t="s">
        <v>561</v>
      </c>
      <c r="AC25" s="163">
        <v>1</v>
      </c>
      <c r="AX25" s="96"/>
      <c r="AY25" s="94"/>
      <c r="AZ25" s="95"/>
    </row>
    <row r="26" spans="1:52" ht="43.2">
      <c r="A26" s="153"/>
      <c r="B26" s="86"/>
      <c r="C26" s="91" t="s">
        <v>722</v>
      </c>
      <c r="D26" s="86"/>
      <c r="E26" s="86"/>
      <c r="F26" s="91"/>
      <c r="G26" s="86"/>
      <c r="H26" s="87"/>
      <c r="I26" s="86"/>
      <c r="J26" s="86"/>
      <c r="K26" s="91"/>
      <c r="L26" s="154"/>
      <c r="M26" s="86"/>
      <c r="N26" s="91"/>
      <c r="O26" s="86"/>
      <c r="P26" s="91"/>
      <c r="Q26" s="155"/>
      <c r="R26" s="155"/>
      <c r="S26" s="155"/>
      <c r="T26" s="155"/>
      <c r="U26" s="155"/>
      <c r="V26" s="155"/>
      <c r="W26" s="155"/>
      <c r="X26" s="155"/>
      <c r="Y26" s="155"/>
      <c r="AA26" s="163">
        <v>2025</v>
      </c>
      <c r="AB26" s="163" t="s">
        <v>569</v>
      </c>
      <c r="AC26" s="163">
        <v>5</v>
      </c>
      <c r="AX26" s="96"/>
      <c r="AY26" s="94"/>
      <c r="AZ26" s="95"/>
    </row>
    <row r="27" spans="1:52" ht="28.8">
      <c r="A27" s="153"/>
      <c r="B27" s="86"/>
      <c r="C27" s="91" t="s">
        <v>723</v>
      </c>
      <c r="D27" s="86"/>
      <c r="E27" s="86"/>
      <c r="F27" s="91"/>
      <c r="G27" s="86"/>
      <c r="H27" s="87"/>
      <c r="I27" s="86"/>
      <c r="J27" s="86"/>
      <c r="K27" s="91"/>
      <c r="L27" s="154"/>
      <c r="M27" s="86"/>
      <c r="N27" s="91"/>
      <c r="O27" s="86"/>
      <c r="P27" s="91"/>
      <c r="Q27" s="155"/>
      <c r="R27" s="155"/>
      <c r="S27" s="155"/>
      <c r="T27" s="155"/>
      <c r="U27" s="155"/>
      <c r="V27" s="155"/>
      <c r="W27" s="155"/>
      <c r="X27" s="155"/>
      <c r="Y27" s="155"/>
      <c r="AA27" s="163">
        <v>2025</v>
      </c>
      <c r="AB27" s="163" t="s">
        <v>576</v>
      </c>
      <c r="AC27" s="163">
        <v>4</v>
      </c>
      <c r="AX27" s="96"/>
      <c r="AY27" s="94"/>
      <c r="AZ27" s="95"/>
    </row>
    <row r="28" spans="1:52" ht="15.6">
      <c r="A28" s="153"/>
      <c r="B28" s="86"/>
      <c r="C28" s="91" t="s">
        <v>724</v>
      </c>
      <c r="D28" s="86"/>
      <c r="E28" s="86"/>
      <c r="F28" s="91"/>
      <c r="G28" s="86"/>
      <c r="H28" s="87"/>
      <c r="I28" s="86"/>
      <c r="J28" s="86"/>
      <c r="K28" s="91"/>
      <c r="L28" s="154"/>
      <c r="M28" s="86"/>
      <c r="N28" s="91"/>
      <c r="O28" s="86"/>
      <c r="P28" s="91"/>
      <c r="Q28" s="155"/>
      <c r="R28" s="155"/>
      <c r="S28" s="155"/>
      <c r="T28" s="155"/>
      <c r="U28" s="155"/>
      <c r="V28" s="155"/>
      <c r="W28" s="155"/>
      <c r="X28" s="155"/>
      <c r="Y28" s="155"/>
      <c r="AA28" s="163">
        <v>2025</v>
      </c>
      <c r="AB28" s="163" t="s">
        <v>583</v>
      </c>
      <c r="AC28" s="163">
        <v>3</v>
      </c>
      <c r="AX28" s="96"/>
      <c r="AY28" s="94"/>
      <c r="AZ28" s="95"/>
    </row>
    <row r="29" spans="1:52" ht="72">
      <c r="A29" s="153"/>
      <c r="B29" s="86"/>
      <c r="C29" s="91" t="s">
        <v>725</v>
      </c>
      <c r="D29" s="86"/>
      <c r="E29" s="86"/>
      <c r="F29" s="91"/>
      <c r="G29" s="86"/>
      <c r="H29" s="87"/>
      <c r="I29" s="86"/>
      <c r="J29" s="86"/>
      <c r="K29" s="91"/>
      <c r="L29" s="154"/>
      <c r="M29" s="86"/>
      <c r="N29" s="91"/>
      <c r="O29" s="86"/>
      <c r="P29" s="91"/>
      <c r="Q29" s="155"/>
      <c r="R29" s="155"/>
      <c r="S29" s="155"/>
      <c r="T29" s="155"/>
      <c r="U29" s="155"/>
      <c r="V29" s="155"/>
      <c r="W29" s="155"/>
      <c r="X29" s="155"/>
      <c r="Y29" s="155"/>
      <c r="AA29" s="163">
        <v>2025</v>
      </c>
      <c r="AB29" s="163" t="s">
        <v>590</v>
      </c>
      <c r="AC29" s="163">
        <v>2</v>
      </c>
      <c r="AX29" s="96"/>
      <c r="AY29" s="94"/>
      <c r="AZ29" s="95"/>
    </row>
    <row r="30" spans="1:52" ht="57.6">
      <c r="A30" s="153"/>
      <c r="B30" s="86"/>
      <c r="C30" s="91" t="s">
        <v>726</v>
      </c>
      <c r="D30" s="86"/>
      <c r="E30" s="86"/>
      <c r="F30" s="91"/>
      <c r="G30" s="86"/>
      <c r="H30" s="87"/>
      <c r="I30" s="86"/>
      <c r="J30" s="86"/>
      <c r="K30" s="91"/>
      <c r="L30" s="154"/>
      <c r="M30" s="86"/>
      <c r="N30" s="91"/>
      <c r="O30" s="86"/>
      <c r="P30" s="91"/>
      <c r="Q30" s="155"/>
      <c r="R30" s="155"/>
      <c r="S30" s="155"/>
      <c r="T30" s="155"/>
      <c r="U30" s="155"/>
      <c r="V30" s="155"/>
      <c r="W30" s="155"/>
      <c r="X30" s="155"/>
      <c r="Y30" s="155"/>
      <c r="AA30" s="163">
        <v>2025</v>
      </c>
      <c r="AB30" s="163" t="s">
        <v>597</v>
      </c>
      <c r="AC30" s="163">
        <v>1</v>
      </c>
      <c r="AX30" s="96"/>
      <c r="AY30" s="94"/>
      <c r="AZ30" s="95"/>
    </row>
    <row r="31" spans="1:52" ht="43.2">
      <c r="A31" s="153"/>
      <c r="B31" s="86"/>
      <c r="C31" s="91" t="s">
        <v>727</v>
      </c>
      <c r="D31" s="86"/>
      <c r="E31" s="86"/>
      <c r="F31" s="91"/>
      <c r="G31" s="86"/>
      <c r="H31" s="87"/>
      <c r="I31" s="86"/>
      <c r="J31" s="86"/>
      <c r="K31" s="91"/>
      <c r="L31" s="154"/>
      <c r="M31" s="86"/>
      <c r="N31" s="91"/>
      <c r="O31" s="86"/>
      <c r="P31" s="91"/>
      <c r="Q31" s="155"/>
      <c r="R31" s="155"/>
      <c r="S31" s="155"/>
      <c r="T31" s="155"/>
      <c r="U31" s="155"/>
      <c r="V31" s="155"/>
      <c r="W31" s="155"/>
      <c r="X31" s="155"/>
      <c r="Y31" s="155"/>
      <c r="AA31" s="163">
        <v>2025</v>
      </c>
      <c r="AB31" s="163" t="s">
        <v>604</v>
      </c>
      <c r="AC31" s="163">
        <v>5</v>
      </c>
      <c r="AX31" s="96"/>
      <c r="AY31" s="94"/>
      <c r="AZ31" s="95"/>
    </row>
    <row r="32" spans="1:52" ht="28.8">
      <c r="A32" s="153"/>
      <c r="B32" s="86"/>
      <c r="C32" s="91" t="s">
        <v>728</v>
      </c>
      <c r="D32" s="86"/>
      <c r="E32" s="86"/>
      <c r="F32" s="91"/>
      <c r="G32" s="86"/>
      <c r="H32" s="87"/>
      <c r="I32" s="86"/>
      <c r="J32" s="86"/>
      <c r="K32" s="91"/>
      <c r="L32" s="154"/>
      <c r="M32" s="86"/>
      <c r="N32" s="91"/>
      <c r="O32" s="86"/>
      <c r="P32" s="91"/>
      <c r="Q32" s="155"/>
      <c r="R32" s="155"/>
      <c r="S32" s="155"/>
      <c r="T32" s="155"/>
      <c r="U32" s="155"/>
      <c r="V32" s="155"/>
      <c r="W32" s="155"/>
      <c r="X32" s="155"/>
      <c r="Y32" s="155"/>
      <c r="AA32" s="163">
        <v>2025</v>
      </c>
      <c r="AB32" s="163" t="s">
        <v>611</v>
      </c>
      <c r="AC32" s="163">
        <v>4</v>
      </c>
      <c r="AX32" s="96"/>
      <c r="AY32" s="94"/>
      <c r="AZ32" s="95"/>
    </row>
    <row r="33" spans="1:52" ht="15.6">
      <c r="A33" s="153"/>
      <c r="B33" s="86"/>
      <c r="C33" s="91" t="s">
        <v>729</v>
      </c>
      <c r="D33" s="86"/>
      <c r="E33" s="86"/>
      <c r="F33" s="91"/>
      <c r="G33" s="86"/>
      <c r="H33" s="87"/>
      <c r="I33" s="86"/>
      <c r="J33" s="86"/>
      <c r="K33" s="91"/>
      <c r="L33" s="154"/>
      <c r="M33" s="86"/>
      <c r="N33" s="91"/>
      <c r="O33" s="86"/>
      <c r="P33" s="91"/>
      <c r="Q33" s="155"/>
      <c r="R33" s="155"/>
      <c r="S33" s="155"/>
      <c r="T33" s="155"/>
      <c r="U33" s="155"/>
      <c r="V33" s="155"/>
      <c r="W33" s="155"/>
      <c r="X33" s="155"/>
      <c r="Y33" s="155"/>
      <c r="AA33" s="163">
        <v>2025</v>
      </c>
      <c r="AB33" s="163" t="s">
        <v>525</v>
      </c>
      <c r="AC33" s="163">
        <v>3</v>
      </c>
      <c r="AX33" s="96"/>
      <c r="AY33" s="94"/>
      <c r="AZ33" s="95"/>
    </row>
    <row r="34" spans="1:52" ht="57.6">
      <c r="A34" s="153"/>
      <c r="B34" s="86"/>
      <c r="C34" s="91" t="s">
        <v>730</v>
      </c>
      <c r="D34" s="86"/>
      <c r="E34" s="86"/>
      <c r="F34" s="91"/>
      <c r="G34" s="86"/>
      <c r="H34" s="87"/>
      <c r="I34" s="86"/>
      <c r="J34" s="86"/>
      <c r="K34" s="91"/>
      <c r="L34" s="154"/>
      <c r="M34" s="86"/>
      <c r="N34" s="91"/>
      <c r="O34" s="86"/>
      <c r="P34" s="91"/>
      <c r="Q34" s="155"/>
      <c r="R34" s="155"/>
      <c r="S34" s="155"/>
      <c r="T34" s="155"/>
      <c r="U34" s="155"/>
      <c r="V34" s="155"/>
      <c r="W34" s="155"/>
      <c r="X34" s="155"/>
      <c r="Y34" s="155"/>
      <c r="AA34" s="163">
        <v>2025</v>
      </c>
      <c r="AB34" s="163" t="s">
        <v>624</v>
      </c>
      <c r="AC34" s="163">
        <v>2</v>
      </c>
      <c r="AX34" s="96"/>
      <c r="AY34" s="94"/>
      <c r="AZ34" s="95"/>
    </row>
    <row r="35" spans="1:52" ht="15.6">
      <c r="A35" s="153"/>
      <c r="B35" s="86"/>
      <c r="C35" s="91" t="s">
        <v>731</v>
      </c>
      <c r="D35" s="86"/>
      <c r="E35" s="86"/>
      <c r="F35" s="91"/>
      <c r="G35" s="86"/>
      <c r="H35" s="87"/>
      <c r="I35" s="86"/>
      <c r="J35" s="86"/>
      <c r="K35" s="91"/>
      <c r="L35" s="154"/>
      <c r="M35" s="86"/>
      <c r="N35" s="91"/>
      <c r="O35" s="86"/>
      <c r="P35" s="91"/>
      <c r="Q35" s="155"/>
      <c r="R35" s="155"/>
      <c r="S35" s="155"/>
      <c r="T35" s="155"/>
      <c r="U35" s="155"/>
      <c r="V35" s="155"/>
      <c r="W35" s="155"/>
      <c r="X35" s="155"/>
      <c r="Y35" s="155"/>
      <c r="AA35" s="163">
        <v>2025</v>
      </c>
      <c r="AB35" s="163" t="s">
        <v>625</v>
      </c>
      <c r="AC35" s="163">
        <v>1</v>
      </c>
      <c r="AX35" s="96"/>
      <c r="AY35" s="94"/>
      <c r="AZ35" s="95"/>
    </row>
    <row r="36" spans="1:52" ht="57.6">
      <c r="A36" s="153"/>
      <c r="B36" s="86"/>
      <c r="C36" s="91" t="s">
        <v>732</v>
      </c>
      <c r="D36" s="86"/>
      <c r="E36" s="86"/>
      <c r="F36" s="91"/>
      <c r="G36" s="86"/>
      <c r="H36" s="87"/>
      <c r="I36" s="86"/>
      <c r="J36" s="86"/>
      <c r="K36" s="91"/>
      <c r="L36" s="154"/>
      <c r="M36" s="86"/>
      <c r="N36" s="91"/>
      <c r="O36" s="86"/>
      <c r="P36" s="91"/>
      <c r="Q36" s="155"/>
      <c r="R36" s="155"/>
      <c r="S36" s="155"/>
      <c r="T36" s="155"/>
      <c r="U36" s="155"/>
      <c r="V36" s="155"/>
      <c r="W36" s="155"/>
      <c r="X36" s="155"/>
      <c r="Y36" s="155"/>
      <c r="AA36" s="163"/>
      <c r="AB36" s="163"/>
      <c r="AC36" s="163"/>
      <c r="AX36" s="96"/>
      <c r="AY36" s="94"/>
      <c r="AZ36" s="95"/>
    </row>
    <row r="37" spans="1:52" ht="57.6">
      <c r="A37" s="153"/>
      <c r="B37" s="86"/>
      <c r="C37" s="91" t="s">
        <v>733</v>
      </c>
      <c r="D37" s="86"/>
      <c r="E37" s="86"/>
      <c r="F37" s="91"/>
      <c r="G37" s="86"/>
      <c r="H37" s="87"/>
      <c r="I37" s="86"/>
      <c r="J37" s="86"/>
      <c r="K37" s="91"/>
      <c r="L37" s="154"/>
      <c r="M37" s="86"/>
      <c r="N37" s="91"/>
      <c r="O37" s="86"/>
      <c r="P37" s="91"/>
      <c r="Q37" s="155"/>
      <c r="R37" s="155"/>
      <c r="S37" s="155"/>
      <c r="T37" s="155"/>
      <c r="U37" s="155"/>
      <c r="V37" s="155"/>
      <c r="W37" s="155"/>
      <c r="X37" s="155"/>
      <c r="Y37" s="155"/>
      <c r="AA37" s="163"/>
      <c r="AB37" s="163"/>
      <c r="AC37" s="163"/>
      <c r="AX37" s="96"/>
      <c r="AY37" s="94"/>
      <c r="AZ37" s="95"/>
    </row>
    <row r="38" spans="1:52" ht="28.8">
      <c r="A38" s="153"/>
      <c r="B38" s="86"/>
      <c r="C38" s="91" t="s">
        <v>734</v>
      </c>
      <c r="D38" s="86"/>
      <c r="E38" s="86"/>
      <c r="F38" s="91"/>
      <c r="G38" s="86"/>
      <c r="H38" s="87"/>
      <c r="I38" s="86"/>
      <c r="J38" s="86"/>
      <c r="K38" s="91"/>
      <c r="L38" s="154"/>
      <c r="M38" s="86"/>
      <c r="N38" s="91"/>
      <c r="O38" s="86"/>
      <c r="P38" s="91"/>
      <c r="Q38" s="155"/>
      <c r="R38" s="155"/>
      <c r="S38" s="155"/>
      <c r="T38" s="155"/>
      <c r="U38" s="155"/>
      <c r="V38" s="155"/>
      <c r="W38" s="155"/>
      <c r="X38" s="155"/>
      <c r="Y38" s="155"/>
      <c r="AA38" s="163"/>
      <c r="AB38" s="163"/>
      <c r="AC38" s="163"/>
      <c r="AX38" s="96"/>
      <c r="AY38" s="94"/>
      <c r="AZ38" s="95"/>
    </row>
    <row r="39" spans="1:52" ht="72">
      <c r="A39" s="153"/>
      <c r="B39" s="86"/>
      <c r="C39" s="91" t="s">
        <v>735</v>
      </c>
      <c r="D39" s="86"/>
      <c r="E39" s="86"/>
      <c r="F39" s="91"/>
      <c r="G39" s="86"/>
      <c r="H39" s="87"/>
      <c r="I39" s="86"/>
      <c r="J39" s="86"/>
      <c r="K39" s="91"/>
      <c r="L39" s="154"/>
      <c r="M39" s="86"/>
      <c r="N39" s="91"/>
      <c r="O39" s="86"/>
      <c r="P39" s="91"/>
      <c r="Q39" s="155"/>
      <c r="R39" s="155"/>
      <c r="S39" s="155"/>
      <c r="T39" s="155"/>
      <c r="U39" s="155"/>
      <c r="V39" s="155"/>
      <c r="W39" s="155"/>
      <c r="X39" s="155"/>
      <c r="Y39" s="155"/>
      <c r="AA39" s="163"/>
      <c r="AB39" s="163"/>
      <c r="AC39" s="163"/>
      <c r="AX39" s="96"/>
      <c r="AY39" s="94"/>
      <c r="AZ39" s="95"/>
    </row>
    <row r="40" spans="1:52" ht="43.2">
      <c r="A40" s="153"/>
      <c r="B40" s="86"/>
      <c r="C40" s="91" t="s">
        <v>736</v>
      </c>
      <c r="D40" s="86"/>
      <c r="E40" s="86"/>
      <c r="F40" s="91"/>
      <c r="G40" s="86"/>
      <c r="H40" s="87"/>
      <c r="I40" s="86"/>
      <c r="J40" s="86"/>
      <c r="K40" s="91"/>
      <c r="L40" s="154"/>
      <c r="M40" s="86"/>
      <c r="N40" s="91"/>
      <c r="O40" s="86"/>
      <c r="P40" s="91"/>
      <c r="Q40" s="155"/>
      <c r="R40" s="155"/>
      <c r="S40" s="155"/>
      <c r="T40" s="155"/>
      <c r="U40" s="155"/>
      <c r="V40" s="155"/>
      <c r="W40" s="155"/>
      <c r="X40" s="155"/>
      <c r="Y40" s="155"/>
      <c r="AA40" s="163"/>
      <c r="AB40" s="163"/>
      <c r="AC40" s="163"/>
      <c r="AX40" s="96"/>
      <c r="AY40" s="94"/>
      <c r="AZ40" s="95"/>
    </row>
    <row r="41" spans="1:52" ht="28.8">
      <c r="A41" s="153"/>
      <c r="B41" s="86"/>
      <c r="C41" s="91" t="s">
        <v>737</v>
      </c>
      <c r="D41" s="86"/>
      <c r="E41" s="86"/>
      <c r="F41" s="91"/>
      <c r="G41" s="86"/>
      <c r="H41" s="87"/>
      <c r="I41" s="86"/>
      <c r="J41" s="86"/>
      <c r="K41" s="91"/>
      <c r="L41" s="154"/>
      <c r="M41" s="86"/>
      <c r="N41" s="91"/>
      <c r="O41" s="86"/>
      <c r="P41" s="91"/>
      <c r="Q41" s="155"/>
      <c r="R41" s="155"/>
      <c r="S41" s="155"/>
      <c r="T41" s="155"/>
      <c r="U41" s="155"/>
      <c r="V41" s="155"/>
      <c r="W41" s="155"/>
      <c r="X41" s="155"/>
      <c r="Y41" s="155"/>
      <c r="AA41" s="163"/>
      <c r="AB41" s="163"/>
      <c r="AC41" s="163"/>
      <c r="AX41" s="96"/>
      <c r="AY41" s="94"/>
      <c r="AZ41" s="95"/>
    </row>
    <row r="42" spans="1:52" ht="15.6">
      <c r="A42" s="153"/>
      <c r="B42" s="86"/>
      <c r="C42" s="91" t="s">
        <v>738</v>
      </c>
      <c r="D42" s="86"/>
      <c r="E42" s="86"/>
      <c r="F42" s="91"/>
      <c r="G42" s="86"/>
      <c r="H42" s="87"/>
      <c r="I42" s="86"/>
      <c r="J42" s="86"/>
      <c r="K42" s="91"/>
      <c r="L42" s="154"/>
      <c r="M42" s="86"/>
      <c r="N42" s="91"/>
      <c r="O42" s="86"/>
      <c r="P42" s="91"/>
      <c r="Q42" s="155"/>
      <c r="R42" s="155"/>
      <c r="S42" s="155"/>
      <c r="T42" s="155"/>
      <c r="U42" s="155"/>
      <c r="V42" s="155"/>
      <c r="W42" s="155"/>
      <c r="X42" s="155"/>
      <c r="Y42" s="155"/>
      <c r="AA42" s="163"/>
      <c r="AB42" s="163"/>
      <c r="AC42" s="163"/>
      <c r="AX42" s="96"/>
      <c r="AY42" s="94"/>
      <c r="AZ42" s="95"/>
    </row>
    <row r="43" spans="1:52" ht="15.6">
      <c r="A43" s="153"/>
      <c r="B43" s="86"/>
      <c r="C43" s="91" t="s">
        <v>739</v>
      </c>
      <c r="D43" s="86"/>
      <c r="E43" s="86"/>
      <c r="F43" s="91"/>
      <c r="G43" s="86"/>
      <c r="H43" s="87"/>
      <c r="I43" s="86"/>
      <c r="J43" s="86"/>
      <c r="K43" s="91"/>
      <c r="L43" s="154"/>
      <c r="M43" s="86"/>
      <c r="N43" s="91"/>
      <c r="O43" s="86"/>
      <c r="P43" s="91"/>
      <c r="Q43" s="155"/>
      <c r="R43" s="155"/>
      <c r="S43" s="155"/>
      <c r="T43" s="155"/>
      <c r="U43" s="155"/>
      <c r="V43" s="155"/>
      <c r="W43" s="155"/>
      <c r="X43" s="155"/>
      <c r="Y43" s="155"/>
      <c r="AA43" s="163"/>
      <c r="AB43" s="163"/>
      <c r="AC43" s="163"/>
      <c r="AX43" s="96"/>
      <c r="AY43" s="94"/>
      <c r="AZ43" s="95"/>
    </row>
    <row r="44" spans="1:52" ht="28.8">
      <c r="A44" s="153"/>
      <c r="B44" s="86"/>
      <c r="C44" s="91" t="s">
        <v>740</v>
      </c>
      <c r="D44" s="86"/>
      <c r="E44" s="86"/>
      <c r="F44" s="91"/>
      <c r="G44" s="86"/>
      <c r="H44" s="87"/>
      <c r="I44" s="86"/>
      <c r="J44" s="86"/>
      <c r="K44" s="91"/>
      <c r="L44" s="154"/>
      <c r="M44" s="86"/>
      <c r="N44" s="91"/>
      <c r="O44" s="86"/>
      <c r="P44" s="91"/>
      <c r="Q44" s="155"/>
      <c r="R44" s="155"/>
      <c r="S44" s="155"/>
      <c r="T44" s="155"/>
      <c r="U44" s="155"/>
      <c r="V44" s="155"/>
      <c r="W44" s="155"/>
      <c r="X44" s="155"/>
      <c r="Y44" s="155"/>
      <c r="AA44" s="163"/>
      <c r="AB44" s="163"/>
      <c r="AC44" s="163"/>
      <c r="AX44" s="96"/>
      <c r="AY44" s="94"/>
      <c r="AZ44" s="95"/>
    </row>
    <row r="45" spans="1:52" ht="28.8">
      <c r="A45" s="153"/>
      <c r="B45" s="86"/>
      <c r="C45" s="91" t="s">
        <v>741</v>
      </c>
      <c r="D45" s="86"/>
      <c r="E45" s="86"/>
      <c r="F45" s="91"/>
      <c r="G45" s="86"/>
      <c r="H45" s="87"/>
      <c r="I45" s="86"/>
      <c r="J45" s="86"/>
      <c r="K45" s="91"/>
      <c r="L45" s="154"/>
      <c r="M45" s="86"/>
      <c r="N45" s="91"/>
      <c r="O45" s="86"/>
      <c r="P45" s="91"/>
      <c r="Q45" s="155"/>
      <c r="R45" s="155"/>
      <c r="S45" s="155"/>
      <c r="T45" s="155"/>
      <c r="U45" s="155"/>
      <c r="V45" s="155"/>
      <c r="W45" s="155"/>
      <c r="X45" s="155"/>
      <c r="Y45" s="155"/>
      <c r="AA45" s="163"/>
      <c r="AB45" s="163"/>
      <c r="AC45" s="163"/>
      <c r="AX45" s="96"/>
      <c r="AY45" s="94"/>
      <c r="AZ45" s="95"/>
    </row>
    <row r="46" spans="1:52" ht="28.8">
      <c r="A46" s="153"/>
      <c r="B46" s="86"/>
      <c r="C46" s="91" t="s">
        <v>742</v>
      </c>
      <c r="D46" s="86"/>
      <c r="E46" s="86"/>
      <c r="F46" s="91"/>
      <c r="G46" s="86"/>
      <c r="H46" s="87"/>
      <c r="I46" s="86"/>
      <c r="J46" s="86"/>
      <c r="K46" s="91"/>
      <c r="L46" s="154"/>
      <c r="M46" s="86"/>
      <c r="N46" s="91"/>
      <c r="O46" s="86"/>
      <c r="P46" s="91"/>
      <c r="Q46" s="155"/>
      <c r="R46" s="155"/>
      <c r="S46" s="155"/>
      <c r="T46" s="155"/>
      <c r="U46" s="155"/>
      <c r="V46" s="155"/>
      <c r="W46" s="155"/>
      <c r="X46" s="155"/>
      <c r="Y46" s="155"/>
      <c r="AA46" s="163"/>
      <c r="AB46" s="163"/>
      <c r="AC46" s="163"/>
      <c r="AX46" s="96"/>
      <c r="AY46" s="94"/>
      <c r="AZ46" s="95"/>
    </row>
    <row r="47" spans="1:52" ht="43.2">
      <c r="A47" s="153"/>
      <c r="B47" s="86"/>
      <c r="C47" s="91" t="s">
        <v>743</v>
      </c>
      <c r="D47" s="86"/>
      <c r="E47" s="86"/>
      <c r="F47" s="91"/>
      <c r="G47" s="86"/>
      <c r="H47" s="87"/>
      <c r="I47" s="86"/>
      <c r="J47" s="86"/>
      <c r="K47" s="91"/>
      <c r="L47" s="154"/>
      <c r="M47" s="86"/>
      <c r="N47" s="91"/>
      <c r="O47" s="86"/>
      <c r="P47" s="91"/>
      <c r="Q47" s="155"/>
      <c r="R47" s="155"/>
      <c r="S47" s="155"/>
      <c r="T47" s="155"/>
      <c r="U47" s="155"/>
      <c r="V47" s="155"/>
      <c r="W47" s="155"/>
      <c r="X47" s="155"/>
      <c r="Y47" s="155"/>
      <c r="AA47" s="163"/>
      <c r="AB47" s="163"/>
      <c r="AC47" s="163"/>
      <c r="AX47" s="96"/>
      <c r="AY47" s="94"/>
      <c r="AZ47" s="95"/>
    </row>
    <row r="48" spans="1:52" ht="28.8">
      <c r="A48" s="153"/>
      <c r="B48" s="86"/>
      <c r="C48" s="91" t="s">
        <v>744</v>
      </c>
      <c r="D48" s="86"/>
      <c r="E48" s="86"/>
      <c r="F48" s="91"/>
      <c r="G48" s="86"/>
      <c r="H48" s="87"/>
      <c r="I48" s="86"/>
      <c r="J48" s="86"/>
      <c r="K48" s="91"/>
      <c r="L48" s="154"/>
      <c r="M48" s="86"/>
      <c r="N48" s="91"/>
      <c r="O48" s="86"/>
      <c r="P48" s="91"/>
      <c r="Q48" s="155"/>
      <c r="R48" s="155"/>
      <c r="S48" s="155"/>
      <c r="T48" s="155"/>
      <c r="U48" s="155"/>
      <c r="V48" s="155"/>
      <c r="W48" s="155"/>
      <c r="X48" s="155"/>
      <c r="Y48" s="155"/>
      <c r="AA48" s="163"/>
      <c r="AB48" s="163"/>
      <c r="AC48" s="163"/>
      <c r="AX48" s="96"/>
      <c r="AY48" s="94"/>
      <c r="AZ48" s="95"/>
    </row>
    <row r="49" spans="1:52" ht="43.2">
      <c r="A49" s="153"/>
      <c r="B49" s="86"/>
      <c r="C49" s="91" t="s">
        <v>745</v>
      </c>
      <c r="D49" s="86"/>
      <c r="E49" s="86"/>
      <c r="F49" s="91"/>
      <c r="G49" s="86"/>
      <c r="H49" s="87"/>
      <c r="I49" s="86"/>
      <c r="J49" s="86"/>
      <c r="K49" s="91"/>
      <c r="L49" s="154"/>
      <c r="M49" s="86"/>
      <c r="N49" s="91"/>
      <c r="O49" s="86"/>
      <c r="P49" s="91"/>
      <c r="Q49" s="155"/>
      <c r="R49" s="155"/>
      <c r="S49" s="155"/>
      <c r="T49" s="155"/>
      <c r="U49" s="155"/>
      <c r="V49" s="155"/>
      <c r="W49" s="155"/>
      <c r="X49" s="155"/>
      <c r="Y49" s="155"/>
      <c r="AA49" s="163"/>
      <c r="AB49" s="163"/>
      <c r="AC49" s="163"/>
      <c r="AX49" s="96"/>
      <c r="AY49" s="94"/>
      <c r="AZ49" s="95"/>
    </row>
    <row r="50" spans="1:52" ht="57.6">
      <c r="A50" s="153"/>
      <c r="B50" s="86"/>
      <c r="C50" s="91" t="s">
        <v>746</v>
      </c>
      <c r="D50" s="86"/>
      <c r="E50" s="86"/>
      <c r="F50" s="91"/>
      <c r="G50" s="86"/>
      <c r="H50" s="87"/>
      <c r="I50" s="86"/>
      <c r="J50" s="86"/>
      <c r="K50" s="91"/>
      <c r="L50" s="154"/>
      <c r="M50" s="86"/>
      <c r="N50" s="91"/>
      <c r="O50" s="86"/>
      <c r="P50" s="91"/>
      <c r="Q50" s="155"/>
      <c r="R50" s="155"/>
      <c r="S50" s="155"/>
      <c r="T50" s="155"/>
      <c r="U50" s="155"/>
      <c r="V50" s="155"/>
      <c r="W50" s="155"/>
      <c r="X50" s="155"/>
      <c r="Y50" s="155"/>
      <c r="AA50" s="163"/>
      <c r="AB50" s="163"/>
      <c r="AC50" s="163"/>
      <c r="AX50" s="96"/>
      <c r="AY50" s="94"/>
      <c r="AZ50" s="95"/>
    </row>
    <row r="51" spans="1:52" ht="43.2">
      <c r="A51" s="153"/>
      <c r="B51" s="86"/>
      <c r="C51" s="91" t="s">
        <v>747</v>
      </c>
      <c r="D51" s="86"/>
      <c r="E51" s="86"/>
      <c r="F51" s="91"/>
      <c r="G51" s="86"/>
      <c r="H51" s="87"/>
      <c r="I51" s="86"/>
      <c r="J51" s="86"/>
      <c r="K51" s="91"/>
      <c r="L51" s="154"/>
      <c r="M51" s="86"/>
      <c r="N51" s="91"/>
      <c r="O51" s="86"/>
      <c r="P51" s="91"/>
      <c r="Q51" s="155"/>
      <c r="R51" s="155"/>
      <c r="S51" s="155"/>
      <c r="T51" s="155"/>
      <c r="U51" s="155"/>
      <c r="V51" s="155"/>
      <c r="W51" s="155"/>
      <c r="X51" s="155"/>
      <c r="Y51" s="155"/>
      <c r="AA51" s="163"/>
      <c r="AB51" s="163"/>
      <c r="AC51" s="163"/>
      <c r="AX51" s="96"/>
      <c r="AY51" s="94"/>
      <c r="AZ51" s="95"/>
    </row>
    <row r="52" spans="1:52" ht="43.2">
      <c r="A52" s="153"/>
      <c r="B52" s="86"/>
      <c r="C52" s="91" t="s">
        <v>748</v>
      </c>
      <c r="D52" s="86"/>
      <c r="E52" s="86"/>
      <c r="F52" s="91"/>
      <c r="G52" s="86"/>
      <c r="H52" s="87"/>
      <c r="I52" s="86"/>
      <c r="J52" s="86"/>
      <c r="K52" s="91"/>
      <c r="L52" s="154"/>
      <c r="M52" s="86"/>
      <c r="N52" s="91"/>
      <c r="O52" s="86"/>
      <c r="P52" s="91"/>
      <c r="Q52" s="155"/>
      <c r="R52" s="155"/>
      <c r="S52" s="155"/>
      <c r="T52" s="155"/>
      <c r="U52" s="155"/>
      <c r="V52" s="155"/>
      <c r="W52" s="155"/>
      <c r="X52" s="155"/>
      <c r="Y52" s="155"/>
      <c r="AA52" s="163"/>
      <c r="AB52" s="163"/>
      <c r="AC52" s="163"/>
      <c r="AX52" s="96"/>
      <c r="AY52" s="94"/>
      <c r="AZ52" s="95"/>
    </row>
    <row r="53" spans="1:52" ht="57.6">
      <c r="A53" s="153"/>
      <c r="B53" s="86"/>
      <c r="C53" s="91" t="s">
        <v>749</v>
      </c>
      <c r="D53" s="86"/>
      <c r="E53" s="86"/>
      <c r="F53" s="91"/>
      <c r="G53" s="86"/>
      <c r="H53" s="87"/>
      <c r="I53" s="86"/>
      <c r="J53" s="86"/>
      <c r="K53" s="91"/>
      <c r="L53" s="154"/>
      <c r="M53" s="86"/>
      <c r="N53" s="91"/>
      <c r="O53" s="86"/>
      <c r="P53" s="91"/>
      <c r="Q53" s="155"/>
      <c r="R53" s="155"/>
      <c r="S53" s="155"/>
      <c r="T53" s="155"/>
      <c r="U53" s="155"/>
      <c r="V53" s="155"/>
      <c r="W53" s="155"/>
      <c r="X53" s="155"/>
      <c r="Y53" s="155"/>
      <c r="AA53" s="163"/>
      <c r="AB53" s="163"/>
      <c r="AC53" s="163"/>
      <c r="AX53" s="96"/>
      <c r="AY53" s="94"/>
      <c r="AZ53" s="95"/>
    </row>
    <row r="54" spans="1:52" ht="57.6">
      <c r="A54" s="153"/>
      <c r="B54" s="86"/>
      <c r="C54" s="91" t="s">
        <v>750</v>
      </c>
      <c r="D54" s="86"/>
      <c r="E54" s="86"/>
      <c r="F54" s="91"/>
      <c r="G54" s="86"/>
      <c r="H54" s="87"/>
      <c r="I54" s="86"/>
      <c r="J54" s="86"/>
      <c r="K54" s="91"/>
      <c r="L54" s="154"/>
      <c r="M54" s="86"/>
      <c r="N54" s="91"/>
      <c r="O54" s="86"/>
      <c r="P54" s="91"/>
      <c r="Q54" s="155"/>
      <c r="R54" s="155"/>
      <c r="S54" s="155"/>
      <c r="T54" s="155"/>
      <c r="U54" s="155"/>
      <c r="V54" s="155"/>
      <c r="W54" s="155"/>
      <c r="X54" s="155"/>
      <c r="Y54" s="155"/>
      <c r="AA54" s="163"/>
      <c r="AB54" s="163"/>
      <c r="AC54" s="163"/>
      <c r="AX54" s="96"/>
      <c r="AY54" s="94"/>
      <c r="AZ54" s="95"/>
    </row>
    <row r="55" spans="1:52" ht="43.2">
      <c r="A55" s="153"/>
      <c r="B55" s="86"/>
      <c r="C55" s="91" t="s">
        <v>751</v>
      </c>
      <c r="D55" s="86"/>
      <c r="E55" s="86"/>
      <c r="F55" s="91"/>
      <c r="G55" s="86"/>
      <c r="H55" s="87"/>
      <c r="I55" s="86"/>
      <c r="J55" s="86"/>
      <c r="K55" s="91"/>
      <c r="L55" s="154"/>
      <c r="M55" s="86"/>
      <c r="N55" s="91"/>
      <c r="O55" s="86"/>
      <c r="P55" s="91"/>
      <c r="Q55" s="155"/>
      <c r="R55" s="155"/>
      <c r="S55" s="155"/>
      <c r="T55" s="155"/>
      <c r="U55" s="155"/>
      <c r="V55" s="155"/>
      <c r="W55" s="155"/>
      <c r="X55" s="155"/>
      <c r="Y55" s="155"/>
      <c r="AA55" s="163"/>
      <c r="AB55" s="163"/>
      <c r="AC55" s="163"/>
      <c r="AX55" s="96"/>
      <c r="AY55" s="94"/>
      <c r="AZ55" s="95"/>
    </row>
    <row r="56" spans="1:52" ht="57.6">
      <c r="A56" s="153"/>
      <c r="B56" s="86"/>
      <c r="C56" s="91" t="s">
        <v>752</v>
      </c>
      <c r="D56" s="86"/>
      <c r="E56" s="86"/>
      <c r="F56" s="91"/>
      <c r="G56" s="86"/>
      <c r="H56" s="87"/>
      <c r="I56" s="86"/>
      <c r="J56" s="86"/>
      <c r="K56" s="91"/>
      <c r="L56" s="154"/>
      <c r="M56" s="86"/>
      <c r="N56" s="91"/>
      <c r="O56" s="86"/>
      <c r="P56" s="91"/>
      <c r="Q56" s="155"/>
      <c r="R56" s="155"/>
      <c r="S56" s="155"/>
      <c r="T56" s="155"/>
      <c r="U56" s="155"/>
      <c r="V56" s="155"/>
      <c r="W56" s="155"/>
      <c r="X56" s="155"/>
      <c r="Y56" s="155"/>
      <c r="AA56" s="163"/>
      <c r="AB56" s="163"/>
      <c r="AC56" s="163"/>
      <c r="AX56" s="96"/>
      <c r="AY56" s="94"/>
      <c r="AZ56" s="95"/>
    </row>
    <row r="57" spans="1:52" ht="28.8">
      <c r="A57" s="153"/>
      <c r="B57" s="86"/>
      <c r="C57" s="91" t="s">
        <v>753</v>
      </c>
      <c r="D57" s="86"/>
      <c r="E57" s="86"/>
      <c r="F57" s="91"/>
      <c r="G57" s="86"/>
      <c r="H57" s="87"/>
      <c r="I57" s="86"/>
      <c r="J57" s="86"/>
      <c r="K57" s="91"/>
      <c r="L57" s="154"/>
      <c r="M57" s="86"/>
      <c r="N57" s="91"/>
      <c r="O57" s="86"/>
      <c r="P57" s="91"/>
      <c r="Q57" s="155"/>
      <c r="R57" s="155"/>
      <c r="S57" s="155"/>
      <c r="T57" s="155"/>
      <c r="U57" s="155"/>
      <c r="V57" s="155"/>
      <c r="W57" s="155"/>
      <c r="X57" s="155"/>
      <c r="Y57" s="155"/>
      <c r="AA57" s="163"/>
      <c r="AB57" s="163"/>
      <c r="AC57" s="163"/>
      <c r="AX57" s="96"/>
      <c r="AY57" s="94"/>
      <c r="AZ57" s="95"/>
    </row>
    <row r="58" spans="1:52" ht="28.8">
      <c r="A58" s="153"/>
      <c r="B58" s="86"/>
      <c r="C58" s="91" t="s">
        <v>754</v>
      </c>
      <c r="D58" s="86"/>
      <c r="E58" s="86"/>
      <c r="F58" s="91"/>
      <c r="G58" s="86"/>
      <c r="H58" s="87"/>
      <c r="I58" s="86"/>
      <c r="J58" s="86"/>
      <c r="K58" s="91"/>
      <c r="L58" s="154"/>
      <c r="M58" s="86"/>
      <c r="N58" s="91"/>
      <c r="O58" s="86"/>
      <c r="P58" s="91"/>
      <c r="Q58" s="155"/>
      <c r="R58" s="155"/>
      <c r="S58" s="155"/>
      <c r="T58" s="155"/>
      <c r="U58" s="155"/>
      <c r="V58" s="155"/>
      <c r="W58" s="155"/>
      <c r="X58" s="155"/>
      <c r="Y58" s="155"/>
      <c r="AA58" s="163"/>
      <c r="AB58" s="163"/>
      <c r="AC58" s="163"/>
      <c r="AX58" s="96"/>
      <c r="AY58" s="94"/>
      <c r="AZ58" s="95"/>
    </row>
    <row r="59" spans="1:52" ht="28.8">
      <c r="A59" s="153"/>
      <c r="B59" s="86"/>
      <c r="C59" s="91" t="s">
        <v>755</v>
      </c>
      <c r="D59" s="86"/>
      <c r="E59" s="86"/>
      <c r="F59" s="91"/>
      <c r="G59" s="86"/>
      <c r="H59" s="87"/>
      <c r="I59" s="86"/>
      <c r="J59" s="86"/>
      <c r="K59" s="91"/>
      <c r="L59" s="154"/>
      <c r="M59" s="86"/>
      <c r="N59" s="91"/>
      <c r="O59" s="86"/>
      <c r="P59" s="91"/>
      <c r="Q59" s="155"/>
      <c r="R59" s="155"/>
      <c r="S59" s="155"/>
      <c r="T59" s="155"/>
      <c r="U59" s="155"/>
      <c r="V59" s="155"/>
      <c r="W59" s="155"/>
      <c r="X59" s="155"/>
      <c r="Y59" s="155"/>
      <c r="AA59" s="163"/>
      <c r="AB59" s="163"/>
      <c r="AC59" s="163"/>
      <c r="AX59" s="96"/>
      <c r="AY59" s="94"/>
      <c r="AZ59" s="95"/>
    </row>
    <row r="60" spans="1:52" ht="28.8">
      <c r="A60" s="153"/>
      <c r="B60" s="86"/>
      <c r="C60" s="91" t="s">
        <v>756</v>
      </c>
      <c r="D60" s="86"/>
      <c r="E60" s="86"/>
      <c r="F60" s="91"/>
      <c r="G60" s="86"/>
      <c r="H60" s="87"/>
      <c r="I60" s="86"/>
      <c r="J60" s="86"/>
      <c r="K60" s="91"/>
      <c r="L60" s="154"/>
      <c r="M60" s="86"/>
      <c r="N60" s="91"/>
      <c r="O60" s="86"/>
      <c r="P60" s="91"/>
      <c r="Q60" s="155"/>
      <c r="R60" s="155"/>
      <c r="S60" s="155"/>
      <c r="T60" s="155"/>
      <c r="U60" s="155"/>
      <c r="V60" s="155"/>
      <c r="W60" s="155"/>
      <c r="X60" s="155"/>
      <c r="Y60" s="155"/>
      <c r="AA60" s="163"/>
      <c r="AB60" s="163"/>
      <c r="AC60" s="163"/>
      <c r="AX60" s="96"/>
      <c r="AY60" s="94"/>
      <c r="AZ60" s="95"/>
    </row>
    <row r="61" spans="1:52" ht="15.6">
      <c r="A61" s="153"/>
      <c r="B61" s="86"/>
      <c r="C61" s="91" t="s">
        <v>757</v>
      </c>
      <c r="D61" s="86"/>
      <c r="E61" s="86"/>
      <c r="F61" s="91"/>
      <c r="G61" s="86"/>
      <c r="H61" s="87"/>
      <c r="I61" s="86"/>
      <c r="J61" s="86"/>
      <c r="K61" s="91"/>
      <c r="L61" s="154"/>
      <c r="M61" s="86"/>
      <c r="N61" s="91"/>
      <c r="O61" s="86"/>
      <c r="P61" s="91"/>
      <c r="Q61" s="155"/>
      <c r="R61" s="155"/>
      <c r="S61" s="155"/>
      <c r="T61" s="155"/>
      <c r="U61" s="155"/>
      <c r="V61" s="155"/>
      <c r="W61" s="155"/>
      <c r="X61" s="155"/>
      <c r="Y61" s="155"/>
      <c r="AA61" s="163"/>
      <c r="AB61" s="163"/>
      <c r="AC61" s="163"/>
      <c r="AX61" s="96"/>
      <c r="AY61" s="94"/>
      <c r="AZ61" s="95"/>
    </row>
    <row r="62" spans="1:52" ht="28.8">
      <c r="A62" s="153"/>
      <c r="B62" s="86"/>
      <c r="C62" s="91" t="s">
        <v>758</v>
      </c>
      <c r="D62" s="86"/>
      <c r="E62" s="86"/>
      <c r="F62" s="91"/>
      <c r="G62" s="86"/>
      <c r="H62" s="87"/>
      <c r="I62" s="86"/>
      <c r="J62" s="86"/>
      <c r="K62" s="91"/>
      <c r="L62" s="154"/>
      <c r="M62" s="86"/>
      <c r="N62" s="91"/>
      <c r="O62" s="86"/>
      <c r="P62" s="91"/>
      <c r="Q62" s="155"/>
      <c r="R62" s="155"/>
      <c r="S62" s="155"/>
      <c r="T62" s="155"/>
      <c r="U62" s="155"/>
      <c r="V62" s="155"/>
      <c r="W62" s="155"/>
      <c r="X62" s="155"/>
      <c r="Y62" s="155"/>
      <c r="AA62" s="163"/>
      <c r="AB62" s="163"/>
      <c r="AC62" s="163"/>
      <c r="AX62" s="96"/>
      <c r="AY62" s="94"/>
      <c r="AZ62" s="95"/>
    </row>
    <row r="63" spans="1:52" ht="43.2">
      <c r="A63" s="153"/>
      <c r="B63" s="86"/>
      <c r="C63" s="91" t="s">
        <v>759</v>
      </c>
      <c r="D63" s="86"/>
      <c r="E63" s="86"/>
      <c r="F63" s="91"/>
      <c r="G63" s="86"/>
      <c r="H63" s="87"/>
      <c r="I63" s="86"/>
      <c r="J63" s="86"/>
      <c r="K63" s="91"/>
      <c r="L63" s="154"/>
      <c r="M63" s="86"/>
      <c r="N63" s="91"/>
      <c r="O63" s="86"/>
      <c r="P63" s="91"/>
      <c r="Q63" s="155"/>
      <c r="R63" s="155"/>
      <c r="S63" s="155"/>
      <c r="T63" s="155"/>
      <c r="U63" s="155"/>
      <c r="V63" s="155"/>
      <c r="W63" s="155"/>
      <c r="X63" s="155"/>
      <c r="Y63" s="155"/>
      <c r="AA63" s="163"/>
      <c r="AB63" s="163"/>
      <c r="AC63" s="163"/>
      <c r="AX63" s="96"/>
      <c r="AY63" s="94"/>
      <c r="AZ63" s="95"/>
    </row>
    <row r="64" spans="1:52" ht="72">
      <c r="A64" s="153"/>
      <c r="B64" s="86"/>
      <c r="C64" s="91" t="s">
        <v>760</v>
      </c>
      <c r="D64" s="86"/>
      <c r="E64" s="86"/>
      <c r="F64" s="91"/>
      <c r="G64" s="86"/>
      <c r="H64" s="87"/>
      <c r="I64" s="86"/>
      <c r="J64" s="86"/>
      <c r="K64" s="91"/>
      <c r="L64" s="154"/>
      <c r="M64" s="86"/>
      <c r="N64" s="91"/>
      <c r="O64" s="86"/>
      <c r="P64" s="91"/>
      <c r="Q64" s="155"/>
      <c r="R64" s="155"/>
      <c r="S64" s="155"/>
      <c r="T64" s="155"/>
      <c r="U64" s="155"/>
      <c r="V64" s="155"/>
      <c r="W64" s="155"/>
      <c r="X64" s="155"/>
      <c r="Y64" s="155"/>
      <c r="AA64" s="163"/>
      <c r="AB64" s="163"/>
      <c r="AC64" s="163"/>
      <c r="AX64" s="96"/>
      <c r="AY64" s="94"/>
      <c r="AZ64" s="95"/>
    </row>
    <row r="65" spans="1:52" ht="43.2">
      <c r="A65" s="153"/>
      <c r="B65" s="86"/>
      <c r="C65" s="91" t="s">
        <v>761</v>
      </c>
      <c r="D65" s="86"/>
      <c r="E65" s="86"/>
      <c r="F65" s="91"/>
      <c r="G65" s="86"/>
      <c r="H65" s="87"/>
      <c r="I65" s="86"/>
      <c r="J65" s="86"/>
      <c r="K65" s="91"/>
      <c r="L65" s="154"/>
      <c r="M65" s="86"/>
      <c r="N65" s="91"/>
      <c r="O65" s="86"/>
      <c r="P65" s="91"/>
      <c r="Q65" s="155"/>
      <c r="R65" s="155"/>
      <c r="S65" s="155"/>
      <c r="T65" s="155"/>
      <c r="U65" s="155"/>
      <c r="V65" s="155"/>
      <c r="W65" s="155"/>
      <c r="X65" s="155"/>
      <c r="Y65" s="155"/>
      <c r="AA65" s="163"/>
      <c r="AB65" s="163"/>
      <c r="AC65" s="163"/>
      <c r="AX65" s="96"/>
      <c r="AY65" s="94"/>
      <c r="AZ65" s="95"/>
    </row>
  </sheetData>
  <mergeCells count="20">
    <mergeCell ref="X4:X5"/>
    <mergeCell ref="Y4:Y5"/>
    <mergeCell ref="O4:P4"/>
    <mergeCell ref="Q4:Q5"/>
    <mergeCell ref="R4:R5"/>
    <mergeCell ref="S4:S5"/>
    <mergeCell ref="T4:T5"/>
    <mergeCell ref="U4:U5"/>
    <mergeCell ref="A1:Y1"/>
    <mergeCell ref="A4:A5"/>
    <mergeCell ref="B4:B5"/>
    <mergeCell ref="C4:C5"/>
    <mergeCell ref="D4:D5"/>
    <mergeCell ref="E4:F4"/>
    <mergeCell ref="G4:H4"/>
    <mergeCell ref="I4:K4"/>
    <mergeCell ref="L4:L5"/>
    <mergeCell ref="M4:N4"/>
    <mergeCell ref="V4:V5"/>
    <mergeCell ref="W4:W5"/>
  </mergeCells>
  <dataValidations count="7">
    <dataValidation type="list" allowBlank="1" showInputMessage="1" showErrorMessage="1" sqref="D6:D16" xr:uid="{32320C5A-9E0A-439C-8A4F-D38114F5A1B2}">
      <formula1>$AE$6:$AE$12</formula1>
    </dataValidation>
    <dataValidation type="list" allowBlank="1" showInputMessage="1" showErrorMessage="1" sqref="J6:J16" xr:uid="{18F3E4C0-2B5B-4187-A5D3-52A12F7C832A}">
      <formula1>$AP$6:$AP$11</formula1>
    </dataValidation>
    <dataValidation type="list" allowBlank="1" showInputMessage="1" showErrorMessage="1" sqref="G6:G16" xr:uid="{FDDD1251-6913-4B5D-8A36-2FB6493F454F}">
      <formula1>$AL$6:$AL$11</formula1>
    </dataValidation>
    <dataValidation type="list" allowBlank="1" showInputMessage="1" showErrorMessage="1" sqref="E6:E16" xr:uid="{0E97BEC0-B838-45EA-94F9-17B9D6077319}">
      <formula1>$AH$6:$AH$11</formula1>
    </dataValidation>
    <dataValidation type="list" allowBlank="1" showInputMessage="1" showErrorMessage="1" sqref="B6:B16" xr:uid="{BA786D83-F122-40B0-869B-22EFCDE8CD00}">
      <formula1>$AB$5:$AB$35</formula1>
    </dataValidation>
    <dataValidation type="list" allowBlank="1" sqref="F264:F1002" xr:uid="{471D9F94-2FF8-49FE-9712-B9B9A8CD7885}">
      <formula1>"Risiko Reputasi,Risiko Kepatuhan,Risiko Legal,Risiko Fraud,Risiko Operasional,Risiko Kebijakan,Risiko Keuangan,Risiko SPBE,Risiko Layanan Publik,Risiko SDM"</formula1>
      <formula2>0</formula2>
    </dataValidation>
    <dataValidation type="list" allowBlank="1" errorTitle="Input Tidak Valid" error="Nilai harus antara 1-5" sqref="O52:P1002" xr:uid="{591F410D-3BFC-4217-8A68-966D9519A2D9}">
      <formula1>"1,2,3,4,5"</formula1>
      <formula2>0</formula2>
    </dataValidation>
  </dataValidations>
  <hyperlinks>
    <hyperlink ref="AZ5" r:id="rId1" xr:uid="{B9FC1986-10E4-4E3D-A149-9D4DC6CDE347}"/>
    <hyperlink ref="AZ6" r:id="rId2" xr:uid="{21070F5C-13B4-4964-A3AB-6175DA8A737A}"/>
    <hyperlink ref="AZ7" r:id="rId3" xr:uid="{9B12C6D2-A9A0-4244-A518-ADF8EBCF854D}"/>
    <hyperlink ref="AZ8" r:id="rId4" xr:uid="{443DAB8E-E690-421E-B66B-628715329E75}"/>
    <hyperlink ref="AZ9" r:id="rId5" xr:uid="{4D91AE13-85AE-4834-ABCD-2A183095CD74}"/>
    <hyperlink ref="AZ10" r:id="rId6" xr:uid="{4A44CBA9-5998-45CC-B37E-1919A579A876}"/>
    <hyperlink ref="AZ11" r:id="rId7" xr:uid="{A6C0AA38-2F95-4121-98F4-3ABE2B10105C}"/>
    <hyperlink ref="AZ12" r:id="rId8" xr:uid="{EE027C85-96A6-422B-AF8A-1E61178024BB}"/>
    <hyperlink ref="AZ13" r:id="rId9" xr:uid="{629E727B-0008-4131-8A66-DD4689BCC2A1}"/>
    <hyperlink ref="AZ14" r:id="rId10" xr:uid="{F953576A-864D-4070-997E-2D1796EE925D}"/>
  </hyperlinks>
  <pageMargins left="0.75" right="0.75" top="0.84722222222222199" bottom="0.84722222222222199" header="0.511811023622047" footer="0.511811023622047"/>
  <pageSetup scale="33" fitToHeight="0" orientation="landscape" horizontalDpi="300" verticalDpi="300"/>
  <legacyDrawing r:id="rId11"/>
  <extLst>
    <ext xmlns:x14="http://schemas.microsoft.com/office/spreadsheetml/2009/9/main" uri="{CCE6A557-97BC-4b89-ADB6-D9C93CAAB3DF}">
      <x14:dataValidations xmlns:xm="http://schemas.microsoft.com/office/excel/2006/main" count="1">
        <x14:dataValidation type="list" allowBlank="1" xr:uid="{7D255958-E0E2-4A31-915D-8D1B296D0FC7}">
          <x14:formula1>
            <xm:f>'Kategori Risiko'!$B$5:$B$11</xm:f>
          </x14:formula1>
          <xm:sqref>F52:F263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2FD3A-66FD-4C00-88A8-44B04E3B9FA9}">
  <sheetPr>
    <pageSetUpPr fitToPage="1"/>
  </sheetPr>
  <dimension ref="A1:H26"/>
  <sheetViews>
    <sheetView zoomScale="104" workbookViewId="0">
      <selection activeCell="C14" sqref="C14"/>
    </sheetView>
  </sheetViews>
  <sheetFormatPr defaultRowHeight="14.4"/>
  <cols>
    <col min="1" max="1" width="25.88671875" customWidth="1"/>
    <col min="2" max="2" width="7.44140625" customWidth="1"/>
    <col min="3" max="3" width="31.44140625" customWidth="1"/>
    <col min="4" max="8" width="24.109375" customWidth="1"/>
    <col min="2000" max="2000" width="2.5546875" customWidth="1"/>
  </cols>
  <sheetData>
    <row r="1" spans="1:8" ht="18">
      <c r="A1" s="188" t="s">
        <v>762</v>
      </c>
      <c r="B1" s="188"/>
      <c r="C1" s="188"/>
      <c r="D1" s="188"/>
      <c r="E1" s="188"/>
      <c r="F1" s="188"/>
      <c r="G1" s="188"/>
      <c r="H1" s="188"/>
    </row>
    <row r="2" spans="1:8">
      <c r="A2" s="189" t="s">
        <v>763</v>
      </c>
      <c r="B2" s="189"/>
      <c r="C2" s="189"/>
      <c r="D2" s="189"/>
      <c r="E2" s="189"/>
      <c r="F2" s="189"/>
      <c r="G2" s="189"/>
      <c r="H2" s="189"/>
    </row>
    <row r="4" spans="1:8">
      <c r="D4" s="159" t="s">
        <v>764</v>
      </c>
    </row>
    <row r="5" spans="1:8">
      <c r="D5" s="160">
        <f>1</f>
        <v>1</v>
      </c>
      <c r="E5" s="160">
        <f>2</f>
        <v>2</v>
      </c>
      <c r="F5" s="160">
        <f>3</f>
        <v>3</v>
      </c>
      <c r="G5" s="160">
        <f>4</f>
        <v>4</v>
      </c>
      <c r="H5" s="160">
        <f>5</f>
        <v>5</v>
      </c>
    </row>
    <row r="6" spans="1:8">
      <c r="D6" s="76" t="str">
        <f>'Risk Register 2026'!AL6</f>
        <v>Level 1 - Tidak Signifikan</v>
      </c>
      <c r="E6" s="76" t="str">
        <f>'Risk Register 2026'!AL8</f>
        <v>Level 2 - Minor</v>
      </c>
      <c r="F6" s="76" t="str">
        <f>'Risk Register 2026'!AL9</f>
        <v>Level 3 - Moderat</v>
      </c>
      <c r="G6" s="76" t="e">
        <f>'Risk Register 2026'!#REF!</f>
        <v>#REF!</v>
      </c>
      <c r="H6" s="76" t="e">
        <f>'Risk Register 2026'!#REF!</f>
        <v>#REF!</v>
      </c>
    </row>
    <row r="7" spans="1:8" ht="15.6">
      <c r="A7" s="159" t="s">
        <v>765</v>
      </c>
      <c r="B7" s="161">
        <f>5</f>
        <v>5</v>
      </c>
      <c r="C7" s="69" t="str">
        <f>'Risk Register 2026'!AH6</f>
        <v>Level 1 - Hampir Tidak Terjadi</v>
      </c>
      <c r="D7" s="162">
        <f>$B7*D$5</f>
        <v>5</v>
      </c>
      <c r="E7" s="162">
        <f>$B7*E$5</f>
        <v>10</v>
      </c>
      <c r="F7" s="162">
        <f>$B7*F$5</f>
        <v>15</v>
      </c>
      <c r="G7" s="162">
        <f>$B7*G$5</f>
        <v>20</v>
      </c>
      <c r="H7" s="162">
        <f>$B7*H$5</f>
        <v>25</v>
      </c>
    </row>
    <row r="8" spans="1:8" ht="15.6">
      <c r="B8" s="161">
        <f>4</f>
        <v>4</v>
      </c>
      <c r="C8" s="69" t="str">
        <f>'Risk Register 2026'!AH8</f>
        <v>Level 2 - Jarang Terjadi</v>
      </c>
      <c r="D8" s="162">
        <f t="shared" ref="D8:H11" si="0">$B8*D$5</f>
        <v>4</v>
      </c>
      <c r="E8" s="162">
        <f t="shared" si="0"/>
        <v>8</v>
      </c>
      <c r="F8" s="162">
        <f t="shared" si="0"/>
        <v>12</v>
      </c>
      <c r="G8" s="162">
        <f t="shared" si="0"/>
        <v>16</v>
      </c>
      <c r="H8" s="162">
        <f t="shared" si="0"/>
        <v>20</v>
      </c>
    </row>
    <row r="9" spans="1:8" ht="15.6">
      <c r="B9" s="161">
        <f>3</f>
        <v>3</v>
      </c>
      <c r="C9" s="69" t="str">
        <f>'Risk Register 2026'!AH9</f>
        <v>Level 3 - Kadang Terjadi</v>
      </c>
      <c r="D9" s="162">
        <f t="shared" si="0"/>
        <v>3</v>
      </c>
      <c r="E9" s="162">
        <f t="shared" si="0"/>
        <v>6</v>
      </c>
      <c r="F9" s="162">
        <f t="shared" si="0"/>
        <v>9</v>
      </c>
      <c r="G9" s="162">
        <f t="shared" si="0"/>
        <v>12</v>
      </c>
      <c r="H9" s="162">
        <f t="shared" si="0"/>
        <v>15</v>
      </c>
    </row>
    <row r="10" spans="1:8" ht="15.6">
      <c r="B10" s="161">
        <f>2</f>
        <v>2</v>
      </c>
      <c r="C10" s="69" t="str">
        <f>'Risk Register 2026'!AH8</f>
        <v>Level 2 - Jarang Terjadi</v>
      </c>
      <c r="D10" s="162">
        <f t="shared" si="0"/>
        <v>2</v>
      </c>
      <c r="E10" s="162">
        <f t="shared" si="0"/>
        <v>4</v>
      </c>
      <c r="F10" s="162">
        <f t="shared" si="0"/>
        <v>6</v>
      </c>
      <c r="G10" s="162">
        <f t="shared" si="0"/>
        <v>8</v>
      </c>
      <c r="H10" s="162">
        <f t="shared" si="0"/>
        <v>10</v>
      </c>
    </row>
    <row r="11" spans="1:8" ht="15.6">
      <c r="B11" s="161">
        <f>1</f>
        <v>1</v>
      </c>
      <c r="C11" s="69" t="str">
        <f>'Risk Register 2026'!AH6</f>
        <v>Level 1 - Hampir Tidak Terjadi</v>
      </c>
      <c r="D11" s="162">
        <f t="shared" si="0"/>
        <v>1</v>
      </c>
      <c r="E11" s="162">
        <f t="shared" si="0"/>
        <v>2</v>
      </c>
      <c r="F11" s="162">
        <f t="shared" si="0"/>
        <v>3</v>
      </c>
      <c r="G11" s="162">
        <f t="shared" si="0"/>
        <v>4</v>
      </c>
      <c r="H11" s="162">
        <f t="shared" si="0"/>
        <v>5</v>
      </c>
    </row>
    <row r="13" spans="1:8">
      <c r="A13" s="70" t="s">
        <v>766</v>
      </c>
      <c r="B13" s="71"/>
      <c r="C13" s="69" t="s">
        <v>767</v>
      </c>
      <c r="E13" s="51"/>
      <c r="F13" s="51"/>
    </row>
    <row r="14" spans="1:8">
      <c r="B14" s="72"/>
      <c r="C14" s="149" t="s">
        <v>768</v>
      </c>
    </row>
    <row r="15" spans="1:8">
      <c r="B15" s="73"/>
      <c r="C15" s="69" t="s">
        <v>769</v>
      </c>
    </row>
    <row r="16" spans="1:8">
      <c r="B16" s="74"/>
      <c r="C16" s="69" t="s">
        <v>770</v>
      </c>
    </row>
    <row r="17" spans="1:8">
      <c r="B17" s="75"/>
      <c r="C17" s="69" t="s">
        <v>771</v>
      </c>
    </row>
    <row r="19" spans="1:8">
      <c r="A19" s="190" t="s">
        <v>772</v>
      </c>
      <c r="B19" s="190"/>
      <c r="C19" s="190"/>
      <c r="D19" s="190"/>
      <c r="E19" s="190"/>
      <c r="F19" s="190"/>
      <c r="G19" s="190"/>
      <c r="H19" s="190"/>
    </row>
    <row r="21" spans="1:8">
      <c r="D21" s="160">
        <f>D5</f>
        <v>1</v>
      </c>
      <c r="E21" s="160">
        <f>E5</f>
        <v>2</v>
      </c>
      <c r="F21" s="160">
        <f>F5</f>
        <v>3</v>
      </c>
      <c r="G21" s="160">
        <f>G5</f>
        <v>4</v>
      </c>
      <c r="H21" s="160">
        <f>H5</f>
        <v>5</v>
      </c>
    </row>
    <row r="22" spans="1:8">
      <c r="B22" s="161">
        <f>B7</f>
        <v>5</v>
      </c>
      <c r="D22" s="77">
        <f>COUNTIFS('Risk Register 2026'!$V$6:$V$11,D$21,'Risk Register 2026'!$U$6:$U$11,$B22)</f>
        <v>0</v>
      </c>
      <c r="E22" s="77">
        <f>COUNTIFS('Risk Register 2026'!$V$6:$V$11,E$21,'Risk Register 2026'!$U$6:$U$11,$B22)</f>
        <v>0</v>
      </c>
      <c r="F22" s="77">
        <f>COUNTIFS('Risk Register 2026'!$V$6:$V$11,F$21,'Risk Register 2026'!$U$6:$U$11,$B22)</f>
        <v>0</v>
      </c>
      <c r="G22" s="77">
        <f>COUNTIFS('Risk Register 2026'!$V$6:$V$11,G$21,'Risk Register 2026'!$U$6:$U$11,$B22)</f>
        <v>0</v>
      </c>
      <c r="H22" s="77">
        <f>COUNTIFS('Risk Register 2026'!$V$6:$V$11,H$21,'Risk Register 2026'!$U$6:$U$11,$B22)</f>
        <v>0</v>
      </c>
    </row>
    <row r="23" spans="1:8">
      <c r="B23" s="161">
        <f t="shared" ref="B23:B26" si="1">B8</f>
        <v>4</v>
      </c>
      <c r="D23" s="77">
        <f>COUNTIFS('Risk Register 2026'!$V$6:$V$11,D$21,'Risk Register 2026'!$U$6:$U$11,$B23)</f>
        <v>0</v>
      </c>
      <c r="E23" s="77">
        <f>COUNTIFS('Risk Register 2026'!$V$6:$V$11,E$21,'Risk Register 2026'!$U$6:$U$11,$B23)</f>
        <v>0</v>
      </c>
      <c r="F23" s="77">
        <f>COUNTIFS('Risk Register 2026'!$V$6:$V$11,F$21,'Risk Register 2026'!$U$6:$U$11,$B23)</f>
        <v>0</v>
      </c>
      <c r="G23" s="77">
        <f>COUNTIFS('Risk Register 2026'!$V$6:$V$11,G$21,'Risk Register 2026'!$U$6:$U$11,$B23)</f>
        <v>0</v>
      </c>
      <c r="H23" s="77">
        <f>COUNTIFS('Risk Register 2026'!$V$6:$V$11,H$21,'Risk Register 2026'!$U$6:$U$11,$B23)</f>
        <v>0</v>
      </c>
    </row>
    <row r="24" spans="1:8">
      <c r="B24" s="161">
        <f t="shared" si="1"/>
        <v>3</v>
      </c>
      <c r="D24" s="77">
        <f>COUNTIFS('Risk Register 2026'!$V$6:$V$11,D$21,'Risk Register 2026'!$U$6:$U$11,$B24)</f>
        <v>0</v>
      </c>
      <c r="E24" s="77">
        <f>COUNTIFS('Risk Register 2026'!$V$6:$V$11,E$21,'Risk Register 2026'!$U$6:$U$11,$B24)</f>
        <v>0</v>
      </c>
      <c r="F24" s="77">
        <f>COUNTIFS('Risk Register 2026'!$V$6:$V$11,F$21,'Risk Register 2026'!$U$6:$U$11,$B24)</f>
        <v>1</v>
      </c>
      <c r="G24" s="77">
        <f>COUNTIFS('Risk Register 2026'!$V$6:$V$11,G$21,'Risk Register 2026'!$U$6:$U$11,$B24)</f>
        <v>0</v>
      </c>
      <c r="H24" s="77">
        <f>COUNTIFS('Risk Register 2026'!$V$6:$V$11,H$21,'Risk Register 2026'!$U$6:$U$11,$B24)</f>
        <v>0</v>
      </c>
    </row>
    <row r="25" spans="1:8">
      <c r="B25" s="161">
        <f t="shared" si="1"/>
        <v>2</v>
      </c>
      <c r="D25" s="77">
        <f>COUNTIFS('Risk Register 2026'!$V$6:$V$11,D$21,'Risk Register 2026'!$U$6:$U$11,$B25)</f>
        <v>1</v>
      </c>
      <c r="E25" s="77">
        <f>COUNTIFS('Risk Register 2026'!$V$6:$V$11,E$21,'Risk Register 2026'!$U$6:$U$11,$B25)</f>
        <v>1</v>
      </c>
      <c r="F25" s="77">
        <f>COUNTIFS('Risk Register 2026'!$V$6:$V$11,F$21,'Risk Register 2026'!$U$6:$U$11,$B25)</f>
        <v>1</v>
      </c>
      <c r="G25" s="77">
        <f>COUNTIFS('Risk Register 2026'!$V$6:$V$11,G$21,'Risk Register 2026'!$U$6:$U$11,$B25)</f>
        <v>0</v>
      </c>
      <c r="H25" s="77">
        <f>COUNTIFS('Risk Register 2026'!$V$6:$V$11,H$21,'Risk Register 2026'!$U$6:$U$11,$B25)</f>
        <v>0</v>
      </c>
    </row>
    <row r="26" spans="1:8">
      <c r="B26" s="161">
        <f t="shared" si="1"/>
        <v>1</v>
      </c>
      <c r="D26" s="77">
        <f>COUNTIFS('Risk Register 2026'!$V$6:$V$11,D$21,'Risk Register 2026'!$U$6:$U$11,$B26)</f>
        <v>0</v>
      </c>
      <c r="E26" s="77">
        <f>COUNTIFS('Risk Register 2026'!$V$6:$V$11,E$21,'Risk Register 2026'!$U$6:$U$11,$B26)</f>
        <v>2</v>
      </c>
      <c r="F26" s="77">
        <f>COUNTIFS('Risk Register 2026'!$V$6:$V$11,F$21,'Risk Register 2026'!$U$6:$U$11,$B26)</f>
        <v>0</v>
      </c>
      <c r="G26" s="77">
        <f>COUNTIFS('Risk Register 2026'!$V$6:$V$11,G$21,'Risk Register 2026'!$U$6:$U$11,$B26)</f>
        <v>0</v>
      </c>
      <c r="H26" s="77">
        <f>COUNTIFS('Risk Register 2026'!$V$6:$V$11,H$21,'Risk Register 2026'!$U$6:$U$11,$B26)</f>
        <v>0</v>
      </c>
    </row>
  </sheetData>
  <mergeCells count="3">
    <mergeCell ref="A1:H1"/>
    <mergeCell ref="A2:H2"/>
    <mergeCell ref="A19:H19"/>
  </mergeCells>
  <conditionalFormatting sqref="D7:H11">
    <cfRule type="expression" dxfId="20" priority="1">
      <formula>AND(D7&gt;=1,D7&lt;=5)</formula>
    </cfRule>
    <cfRule type="expression" dxfId="19" priority="2">
      <formula>AND(D7&gt;=6,D7&lt;=11)</formula>
    </cfRule>
    <cfRule type="expression" dxfId="18" priority="3">
      <formula>AND(D7&gt;=12,D7&lt;=15)</formula>
    </cfRule>
    <cfRule type="expression" dxfId="17" priority="4">
      <formula>AND(D7&gt;=16,D7&lt;=19)</formula>
    </cfRule>
    <cfRule type="expression" dxfId="16" priority="5">
      <formula>AND(D7&gt;=20,D7&lt;=25)</formula>
    </cfRule>
  </conditionalFormatting>
  <pageMargins left="0.7" right="0.7" top="0.75" bottom="0.75" header="0.3" footer="0.3"/>
  <pageSetup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X20"/>
  <sheetViews>
    <sheetView showGridLines="0" zoomScaleNormal="100" workbookViewId="0">
      <pane ySplit="1" topLeftCell="A11" activePane="bottomLeft" state="frozen"/>
      <selection activeCell="B18" sqref="B18"/>
      <selection pane="bottomLeft" activeCell="F15" sqref="F15"/>
    </sheetView>
  </sheetViews>
  <sheetFormatPr defaultColWidth="9.109375" defaultRowHeight="14.4"/>
  <cols>
    <col min="1" max="1" width="6.44140625" customWidth="1"/>
    <col min="2" max="2" width="32.33203125" customWidth="1"/>
    <col min="3" max="7" width="19.6640625" customWidth="1"/>
  </cols>
  <sheetData>
    <row r="1" spans="1:50" ht="21.7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row>
    <row r="2" spans="1:50" ht="31.5" customHeight="1">
      <c r="A2" s="168" t="s">
        <v>773</v>
      </c>
      <c r="B2" s="168"/>
      <c r="C2" s="168"/>
      <c r="D2" s="168"/>
      <c r="E2" s="168"/>
      <c r="F2" s="168"/>
    </row>
    <row r="4" spans="1:50" ht="21.75" customHeight="1" thickBot="1">
      <c r="A4" s="193" t="s">
        <v>774</v>
      </c>
      <c r="B4" s="193"/>
      <c r="C4" s="193"/>
      <c r="D4" s="193"/>
      <c r="E4" s="193"/>
    </row>
    <row r="5" spans="1:50" ht="28.8">
      <c r="A5" s="11" t="s">
        <v>231</v>
      </c>
      <c r="B5" s="11" t="s">
        <v>775</v>
      </c>
      <c r="C5" s="11" t="s">
        <v>776</v>
      </c>
      <c r="D5" s="11" t="s">
        <v>777</v>
      </c>
      <c r="E5" s="11" t="s">
        <v>778</v>
      </c>
    </row>
    <row r="6" spans="1:50" ht="21.75" customHeight="1">
      <c r="A6" s="7">
        <v>1</v>
      </c>
      <c r="B6" s="8" t="s">
        <v>779</v>
      </c>
      <c r="C6" s="12" t="s">
        <v>780</v>
      </c>
      <c r="D6" s="8" t="s">
        <v>781</v>
      </c>
      <c r="E6" s="8" t="s">
        <v>782</v>
      </c>
    </row>
    <row r="7" spans="1:50" ht="21.75" customHeight="1">
      <c r="A7" s="7">
        <f>A6+1</f>
        <v>2</v>
      </c>
      <c r="B7" s="10" t="s">
        <v>783</v>
      </c>
      <c r="C7" s="12" t="s">
        <v>784</v>
      </c>
      <c r="D7" s="10" t="s">
        <v>785</v>
      </c>
      <c r="E7" s="10" t="s">
        <v>786</v>
      </c>
    </row>
    <row r="8" spans="1:50" ht="21.75" customHeight="1">
      <c r="A8" s="7">
        <f t="shared" ref="A8:A10" si="0">A7+1</f>
        <v>3</v>
      </c>
      <c r="B8" s="8" t="s">
        <v>787</v>
      </c>
      <c r="C8" s="13" t="s">
        <v>788</v>
      </c>
      <c r="D8" s="8" t="s">
        <v>789</v>
      </c>
      <c r="E8" s="8" t="s">
        <v>790</v>
      </c>
    </row>
    <row r="9" spans="1:50" ht="21.75" customHeight="1">
      <c r="A9" s="7">
        <f t="shared" si="0"/>
        <v>4</v>
      </c>
      <c r="B9" s="10" t="s">
        <v>791</v>
      </c>
      <c r="C9" s="14" t="s">
        <v>792</v>
      </c>
      <c r="D9" s="10" t="s">
        <v>793</v>
      </c>
      <c r="E9" s="10" t="s">
        <v>794</v>
      </c>
    </row>
    <row r="10" spans="1:50" ht="21.75" customHeight="1">
      <c r="A10" s="7">
        <f t="shared" si="0"/>
        <v>5</v>
      </c>
      <c r="B10" s="8" t="s">
        <v>795</v>
      </c>
      <c r="C10" s="15" t="s">
        <v>796</v>
      </c>
      <c r="D10" s="8" t="s">
        <v>797</v>
      </c>
      <c r="E10" s="8" t="s">
        <v>798</v>
      </c>
    </row>
    <row r="12" spans="1:50" ht="21.75" customHeight="1" thickBot="1">
      <c r="A12" s="191" t="s">
        <v>799</v>
      </c>
      <c r="B12" s="191"/>
      <c r="C12" s="191"/>
      <c r="D12" s="191"/>
      <c r="E12" s="191"/>
      <c r="F12" s="192"/>
      <c r="G12" s="24"/>
    </row>
    <row r="13" spans="1:50">
      <c r="A13" s="25" t="s">
        <v>231</v>
      </c>
      <c r="B13" s="25" t="s">
        <v>800</v>
      </c>
      <c r="C13" s="25" t="s">
        <v>801</v>
      </c>
      <c r="D13" s="25" t="s">
        <v>802</v>
      </c>
      <c r="E13" s="25" t="s">
        <v>803</v>
      </c>
      <c r="F13" s="25" t="s">
        <v>804</v>
      </c>
      <c r="G13" s="25" t="s">
        <v>805</v>
      </c>
    </row>
    <row r="14" spans="1:50" ht="57.6">
      <c r="A14" s="30" t="s">
        <v>780</v>
      </c>
      <c r="B14" s="27" t="s">
        <v>806</v>
      </c>
      <c r="C14" s="27" t="s">
        <v>807</v>
      </c>
      <c r="D14" s="27" t="s">
        <v>808</v>
      </c>
      <c r="E14" s="27" t="s">
        <v>809</v>
      </c>
      <c r="F14" s="27" t="s">
        <v>810</v>
      </c>
      <c r="G14" s="27" t="s">
        <v>811</v>
      </c>
    </row>
    <row r="15" spans="1:50" ht="72">
      <c r="A15" s="31">
        <f>A14+1</f>
        <v>2</v>
      </c>
      <c r="B15" s="4" t="s">
        <v>812</v>
      </c>
      <c r="C15" s="4" t="s">
        <v>813</v>
      </c>
      <c r="D15" s="4" t="s">
        <v>814</v>
      </c>
      <c r="E15" s="4" t="s">
        <v>815</v>
      </c>
      <c r="F15" s="4" t="s">
        <v>816</v>
      </c>
      <c r="G15" s="4" t="s">
        <v>817</v>
      </c>
    </row>
    <row r="16" spans="1:50" ht="115.2">
      <c r="A16" s="31">
        <f t="shared" ref="A16:A19" si="1">A15+1</f>
        <v>3</v>
      </c>
      <c r="B16" s="27" t="s">
        <v>818</v>
      </c>
      <c r="C16" s="27" t="s">
        <v>819</v>
      </c>
      <c r="D16" s="27" t="s">
        <v>820</v>
      </c>
      <c r="E16" s="27" t="s">
        <v>821</v>
      </c>
      <c r="F16" s="27" t="s">
        <v>822</v>
      </c>
      <c r="G16" s="27" t="s">
        <v>823</v>
      </c>
    </row>
    <row r="17" spans="1:7" ht="28.8">
      <c r="A17" s="31">
        <f t="shared" si="1"/>
        <v>4</v>
      </c>
      <c r="B17" s="4" t="s">
        <v>824</v>
      </c>
      <c r="C17" s="4" t="s">
        <v>825</v>
      </c>
      <c r="D17" s="4" t="s">
        <v>826</v>
      </c>
      <c r="E17" s="4" t="s">
        <v>827</v>
      </c>
      <c r="F17" s="4" t="s">
        <v>828</v>
      </c>
      <c r="G17" s="4" t="s">
        <v>829</v>
      </c>
    </row>
    <row r="18" spans="1:7" ht="86.4">
      <c r="A18" s="31">
        <f t="shared" si="1"/>
        <v>5</v>
      </c>
      <c r="B18" s="27" t="s">
        <v>830</v>
      </c>
      <c r="C18" s="27" t="s">
        <v>831</v>
      </c>
      <c r="D18" s="27" t="s">
        <v>832</v>
      </c>
      <c r="E18" s="27" t="s">
        <v>833</v>
      </c>
      <c r="F18" s="27" t="s">
        <v>834</v>
      </c>
      <c r="G18" s="27" t="s">
        <v>830</v>
      </c>
    </row>
    <row r="19" spans="1:7" ht="28.8">
      <c r="A19" s="31">
        <f t="shared" si="1"/>
        <v>6</v>
      </c>
      <c r="B19" s="29" t="s">
        <v>835</v>
      </c>
      <c r="C19" s="29" t="s">
        <v>836</v>
      </c>
      <c r="D19" s="29" t="s">
        <v>837</v>
      </c>
      <c r="E19" s="29" t="s">
        <v>838</v>
      </c>
      <c r="F19" s="29" t="s">
        <v>839</v>
      </c>
      <c r="G19" s="29" t="s">
        <v>840</v>
      </c>
    </row>
    <row r="20" spans="1:7">
      <c r="A20" s="28"/>
      <c r="B20" s="28"/>
      <c r="C20" s="28"/>
      <c r="D20" s="28"/>
      <c r="E20" s="28"/>
      <c r="F20" s="28"/>
      <c r="G20" s="28"/>
    </row>
  </sheetData>
  <mergeCells count="3">
    <mergeCell ref="A2:F2"/>
    <mergeCell ref="A12:F12"/>
    <mergeCell ref="A4:E4"/>
  </mergeCells>
  <pageMargins left="0.75" right="0.75" top="0.84722222222222199" bottom="0.84722222222222199" header="0.511811023622047" footer="0.511811023622047"/>
  <pageSetup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19"/>
  <sheetViews>
    <sheetView showGridLines="0" zoomScale="140" zoomScaleNormal="100" workbookViewId="0">
      <pane ySplit="1" topLeftCell="A2" activePane="bottomLeft" state="frozen"/>
      <selection activeCell="B18" sqref="B18"/>
      <selection pane="bottomLeft" activeCell="G7" sqref="C7:G11"/>
    </sheetView>
  </sheetViews>
  <sheetFormatPr defaultColWidth="9.109375" defaultRowHeight="14.4"/>
  <cols>
    <col min="1" max="1" width="14.109375" customWidth="1"/>
    <col min="2" max="2" width="16.6640625" customWidth="1"/>
    <col min="3" max="3" width="17" customWidth="1"/>
    <col min="4" max="4" width="8.6640625" customWidth="1"/>
    <col min="5" max="5" width="10.88671875" customWidth="1"/>
    <col min="6" max="6" width="9" customWidth="1"/>
    <col min="7" max="7" width="13.33203125" customWidth="1"/>
  </cols>
  <sheetData>
    <row r="1" spans="1:50" ht="21.7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row>
    <row r="2" spans="1:50" ht="31.5" customHeight="1">
      <c r="A2" s="168" t="s">
        <v>841</v>
      </c>
      <c r="B2" s="168"/>
      <c r="C2" s="168"/>
      <c r="D2" s="168"/>
      <c r="E2" s="168"/>
      <c r="F2" s="168"/>
      <c r="G2" s="168"/>
    </row>
    <row r="3" spans="1:50">
      <c r="A3" s="32" t="s">
        <v>842</v>
      </c>
    </row>
    <row r="4" spans="1:50">
      <c r="A4" s="194" t="s">
        <v>843</v>
      </c>
      <c r="B4" s="195"/>
      <c r="C4" s="196" t="s">
        <v>844</v>
      </c>
      <c r="D4" s="195"/>
      <c r="E4" s="195"/>
      <c r="F4" s="195"/>
      <c r="G4" s="195"/>
    </row>
    <row r="5" spans="1:50">
      <c r="A5" s="195"/>
      <c r="B5" s="195"/>
      <c r="C5" s="42">
        <v>1</v>
      </c>
      <c r="D5" s="42">
        <v>2</v>
      </c>
      <c r="E5" s="42">
        <v>3</v>
      </c>
      <c r="F5" s="42">
        <v>4</v>
      </c>
      <c r="G5" s="42">
        <v>5</v>
      </c>
    </row>
    <row r="6" spans="1:50">
      <c r="A6" s="195"/>
      <c r="B6" s="195"/>
      <c r="C6" s="43" t="s">
        <v>164</v>
      </c>
      <c r="D6" s="43" t="s">
        <v>160</v>
      </c>
      <c r="E6" s="43" t="s">
        <v>845</v>
      </c>
      <c r="F6" s="43" t="s">
        <v>846</v>
      </c>
      <c r="G6" s="43" t="s">
        <v>150</v>
      </c>
    </row>
    <row r="7" spans="1:50" ht="28.8">
      <c r="A7" s="167">
        <v>5</v>
      </c>
      <c r="B7" s="44" t="s">
        <v>795</v>
      </c>
      <c r="C7" s="45">
        <v>9</v>
      </c>
      <c r="D7" s="46">
        <v>15</v>
      </c>
      <c r="E7" s="47">
        <v>18</v>
      </c>
      <c r="F7" s="48">
        <v>23</v>
      </c>
      <c r="G7" s="48">
        <v>25</v>
      </c>
      <c r="I7" s="51"/>
    </row>
    <row r="8" spans="1:50" ht="28.8">
      <c r="A8" s="167">
        <v>4</v>
      </c>
      <c r="B8" s="44" t="s">
        <v>847</v>
      </c>
      <c r="C8" s="45">
        <v>6</v>
      </c>
      <c r="D8" s="46">
        <v>12</v>
      </c>
      <c r="E8" s="47">
        <v>16</v>
      </c>
      <c r="F8" s="47">
        <v>19</v>
      </c>
      <c r="G8" s="48">
        <v>24</v>
      </c>
    </row>
    <row r="9" spans="1:50" ht="15.6">
      <c r="A9" s="167">
        <v>3</v>
      </c>
      <c r="B9" s="44" t="s">
        <v>848</v>
      </c>
      <c r="C9" s="49">
        <v>4</v>
      </c>
      <c r="D9" s="45">
        <v>8</v>
      </c>
      <c r="E9" s="46">
        <v>14</v>
      </c>
      <c r="F9" s="47">
        <v>17</v>
      </c>
      <c r="G9" s="48">
        <v>22</v>
      </c>
    </row>
    <row r="10" spans="1:50" ht="28.8">
      <c r="A10" s="167">
        <v>2</v>
      </c>
      <c r="B10" s="44" t="s">
        <v>849</v>
      </c>
      <c r="C10" s="49">
        <v>2</v>
      </c>
      <c r="D10" s="45">
        <v>7</v>
      </c>
      <c r="E10" s="45">
        <v>10</v>
      </c>
      <c r="F10" s="46">
        <v>13</v>
      </c>
      <c r="G10" s="48">
        <v>21</v>
      </c>
    </row>
    <row r="11" spans="1:50" ht="28.8">
      <c r="A11" s="167">
        <v>1</v>
      </c>
      <c r="B11" s="44" t="s">
        <v>850</v>
      </c>
      <c r="C11" s="49">
        <v>1</v>
      </c>
      <c r="D11" s="49">
        <v>3</v>
      </c>
      <c r="E11" s="49">
        <v>5</v>
      </c>
      <c r="F11" s="46">
        <v>11</v>
      </c>
      <c r="G11" s="48">
        <v>20</v>
      </c>
    </row>
    <row r="12" spans="1:50" ht="21.75" customHeight="1"/>
    <row r="13" spans="1:50" ht="24" customHeight="1">
      <c r="A13" s="32" t="s">
        <v>851</v>
      </c>
    </row>
    <row r="14" spans="1:50">
      <c r="A14" s="35" t="s">
        <v>852</v>
      </c>
      <c r="B14" s="35" t="s">
        <v>208</v>
      </c>
      <c r="C14" s="35" t="s">
        <v>853</v>
      </c>
      <c r="D14" s="35" t="s">
        <v>854</v>
      </c>
    </row>
    <row r="15" spans="1:50">
      <c r="A15" s="36" t="s">
        <v>150</v>
      </c>
      <c r="B15" s="37">
        <v>5</v>
      </c>
      <c r="C15" s="37" t="s">
        <v>855</v>
      </c>
      <c r="D15" s="37" t="s">
        <v>856</v>
      </c>
    </row>
    <row r="16" spans="1:50">
      <c r="A16" s="38" t="s">
        <v>846</v>
      </c>
      <c r="B16" s="37">
        <v>4</v>
      </c>
      <c r="C16" s="37" t="s">
        <v>857</v>
      </c>
      <c r="D16" s="37" t="s">
        <v>858</v>
      </c>
      <c r="F16" s="51"/>
    </row>
    <row r="17" spans="1:6">
      <c r="A17" s="39" t="s">
        <v>859</v>
      </c>
      <c r="B17" s="37">
        <v>3</v>
      </c>
      <c r="C17" s="37" t="s">
        <v>860</v>
      </c>
      <c r="D17" s="37" t="s">
        <v>861</v>
      </c>
      <c r="F17" s="51"/>
    </row>
    <row r="18" spans="1:6">
      <c r="A18" s="40" t="s">
        <v>160</v>
      </c>
      <c r="B18" s="37">
        <v>2</v>
      </c>
      <c r="C18" s="37" t="s">
        <v>862</v>
      </c>
      <c r="D18" s="37" t="s">
        <v>863</v>
      </c>
    </row>
    <row r="19" spans="1:6">
      <c r="A19" s="41" t="s">
        <v>164</v>
      </c>
      <c r="B19" s="37">
        <v>1</v>
      </c>
      <c r="C19" s="37" t="s">
        <v>864</v>
      </c>
      <c r="D19" s="37" t="s">
        <v>865</v>
      </c>
    </row>
  </sheetData>
  <mergeCells count="3">
    <mergeCell ref="A2:G2"/>
    <mergeCell ref="A4:B6"/>
    <mergeCell ref="C4:G4"/>
  </mergeCells>
  <pageMargins left="0.75" right="0.75" top="0.84722222222222199" bottom="0.84722222222222199"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14"/>
  <sheetViews>
    <sheetView showGridLines="0" zoomScaleNormal="100" workbookViewId="0">
      <pane ySplit="1" topLeftCell="A2" activePane="bottomLeft" state="frozen"/>
      <selection activeCell="B18" sqref="B18"/>
      <selection pane="bottomLeft" activeCell="B18" sqref="B18"/>
    </sheetView>
  </sheetViews>
  <sheetFormatPr defaultColWidth="9.109375" defaultRowHeight="14.4"/>
  <cols>
    <col min="1" max="1" width="10" customWidth="1"/>
    <col min="2" max="2" width="18.5546875" customWidth="1"/>
    <col min="3" max="3" width="48.5546875" customWidth="1"/>
    <col min="2000" max="2000" width="3.33203125" customWidth="1"/>
  </cols>
  <sheetData>
    <row r="1" spans="1:50" ht="21.7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row>
    <row r="2" spans="1:50" ht="31.5" customHeight="1">
      <c r="A2" s="168" t="s">
        <v>866</v>
      </c>
      <c r="B2" s="168"/>
      <c r="C2" s="168"/>
    </row>
    <row r="4" spans="1:50">
      <c r="A4" s="11" t="s">
        <v>867</v>
      </c>
      <c r="B4" s="11" t="s">
        <v>53</v>
      </c>
      <c r="C4" s="11" t="s">
        <v>868</v>
      </c>
    </row>
    <row r="5" spans="1:50" ht="115.2">
      <c r="A5" s="33" t="s">
        <v>869</v>
      </c>
      <c r="B5" s="27" t="s">
        <v>870</v>
      </c>
      <c r="C5" s="27" t="s">
        <v>871</v>
      </c>
    </row>
    <row r="6" spans="1:50" ht="43.2">
      <c r="A6" s="17" t="s">
        <v>872</v>
      </c>
      <c r="B6" s="4" t="s">
        <v>873</v>
      </c>
      <c r="C6" s="4" t="s">
        <v>874</v>
      </c>
    </row>
    <row r="7" spans="1:50" ht="115.2">
      <c r="A7" s="33" t="s">
        <v>875</v>
      </c>
      <c r="B7" s="27" t="s">
        <v>77</v>
      </c>
      <c r="C7" s="27" t="s">
        <v>876</v>
      </c>
    </row>
    <row r="8" spans="1:50" ht="72">
      <c r="A8" s="17" t="s">
        <v>877</v>
      </c>
      <c r="B8" s="4" t="s">
        <v>878</v>
      </c>
      <c r="C8" s="4" t="s">
        <v>879</v>
      </c>
    </row>
    <row r="9" spans="1:50" ht="43.2">
      <c r="A9" s="33" t="s">
        <v>880</v>
      </c>
      <c r="B9" s="27" t="s">
        <v>881</v>
      </c>
      <c r="C9" s="27" t="s">
        <v>882</v>
      </c>
    </row>
    <row r="10" spans="1:50" ht="43.2">
      <c r="A10" s="17" t="s">
        <v>883</v>
      </c>
      <c r="B10" s="4" t="s">
        <v>884</v>
      </c>
      <c r="C10" s="4" t="s">
        <v>885</v>
      </c>
    </row>
    <row r="11" spans="1:50" ht="43.2">
      <c r="A11" s="34" t="s">
        <v>886</v>
      </c>
      <c r="B11" s="26" t="s">
        <v>887</v>
      </c>
      <c r="C11" s="26" t="s">
        <v>888</v>
      </c>
    </row>
    <row r="12" spans="1:50" ht="31.5" customHeight="1">
      <c r="A12" s="28"/>
      <c r="B12" s="28"/>
      <c r="C12" s="28"/>
    </row>
    <row r="13" spans="1:50" ht="31.5" customHeight="1"/>
    <row r="14" spans="1:50" ht="31.5" customHeight="1"/>
  </sheetData>
  <mergeCells count="1">
    <mergeCell ref="A2:C2"/>
  </mergeCells>
  <pageMargins left="0.75" right="0.75" top="0.84722222222222199" bottom="0.84722222222222199"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39997558519241921"/>
    <pageSetUpPr fitToPage="1"/>
  </sheetPr>
  <dimension ref="A1:AX19"/>
  <sheetViews>
    <sheetView showGridLines="0" zoomScale="131" zoomScaleNormal="100" workbookViewId="0">
      <pane ySplit="1" topLeftCell="A2" activePane="bottomLeft" state="frozen"/>
      <selection activeCell="B18" sqref="B18"/>
      <selection pane="bottomLeft" activeCell="B5" sqref="B5"/>
    </sheetView>
  </sheetViews>
  <sheetFormatPr defaultColWidth="9.109375" defaultRowHeight="14.4"/>
  <cols>
    <col min="1" max="1" width="12" customWidth="1"/>
    <col min="2" max="2" width="34.33203125" customWidth="1"/>
    <col min="3" max="3" width="14" customWidth="1"/>
    <col min="4" max="4" width="56.88671875" customWidth="1"/>
  </cols>
  <sheetData>
    <row r="1" spans="1:50" ht="21.7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row>
    <row r="2" spans="1:50" ht="31.5" customHeight="1">
      <c r="A2" s="168" t="s">
        <v>889</v>
      </c>
      <c r="B2" s="168"/>
      <c r="C2" s="168"/>
      <c r="D2" s="168"/>
    </row>
    <row r="4" spans="1:50" ht="21.75" customHeight="1">
      <c r="A4" s="11" t="s">
        <v>890</v>
      </c>
      <c r="B4" s="11" t="s">
        <v>891</v>
      </c>
      <c r="C4" s="11" t="s">
        <v>892</v>
      </c>
      <c r="D4" s="11" t="s">
        <v>893</v>
      </c>
    </row>
    <row r="5" spans="1:50" ht="100.8">
      <c r="A5" s="16" t="s">
        <v>84</v>
      </c>
      <c r="B5" s="8" t="s">
        <v>894</v>
      </c>
      <c r="C5" s="18" t="s">
        <v>895</v>
      </c>
      <c r="D5" s="8" t="s">
        <v>896</v>
      </c>
    </row>
    <row r="6" spans="1:50" ht="27.75" customHeight="1">
      <c r="A6" s="17" t="s">
        <v>897</v>
      </c>
      <c r="B6" s="10" t="s">
        <v>898</v>
      </c>
      <c r="C6" s="18" t="s">
        <v>895</v>
      </c>
      <c r="D6" s="10" t="s">
        <v>899</v>
      </c>
    </row>
    <row r="7" spans="1:50" ht="27.75" customHeight="1">
      <c r="A7" s="16" t="s">
        <v>900</v>
      </c>
      <c r="B7" s="8" t="s">
        <v>901</v>
      </c>
      <c r="C7" s="18" t="s">
        <v>895</v>
      </c>
      <c r="D7" s="8" t="s">
        <v>902</v>
      </c>
    </row>
    <row r="8" spans="1:50" ht="27.75" customHeight="1">
      <c r="A8" s="17" t="s">
        <v>903</v>
      </c>
      <c r="B8" s="10" t="s">
        <v>904</v>
      </c>
      <c r="C8" s="18" t="s">
        <v>895</v>
      </c>
      <c r="D8" s="10" t="s">
        <v>905</v>
      </c>
    </row>
    <row r="9" spans="1:50" ht="27.75" customHeight="1">
      <c r="A9" s="16" t="s">
        <v>906</v>
      </c>
      <c r="B9" s="8" t="s">
        <v>907</v>
      </c>
      <c r="C9" s="19" t="s">
        <v>908</v>
      </c>
      <c r="D9" s="8" t="s">
        <v>909</v>
      </c>
    </row>
    <row r="10" spans="1:50" ht="27.75" customHeight="1">
      <c r="A10" s="17" t="s">
        <v>910</v>
      </c>
      <c r="B10" s="10" t="s">
        <v>911</v>
      </c>
      <c r="C10" s="19" t="s">
        <v>908</v>
      </c>
      <c r="D10" s="10" t="s">
        <v>912</v>
      </c>
    </row>
    <row r="11" spans="1:50" ht="27.75" customHeight="1">
      <c r="A11" s="16" t="s">
        <v>913</v>
      </c>
      <c r="B11" s="8" t="s">
        <v>914</v>
      </c>
      <c r="C11" s="20" t="s">
        <v>915</v>
      </c>
      <c r="D11" s="8" t="s">
        <v>916</v>
      </c>
    </row>
    <row r="12" spans="1:50" ht="27.75" customHeight="1">
      <c r="A12" s="17" t="s">
        <v>917</v>
      </c>
      <c r="B12" s="10" t="s">
        <v>918</v>
      </c>
      <c r="C12" s="20" t="s">
        <v>915</v>
      </c>
      <c r="D12" s="10" t="s">
        <v>919</v>
      </c>
    </row>
    <row r="13" spans="1:50" ht="27.75" customHeight="1">
      <c r="A13" s="16" t="s">
        <v>920</v>
      </c>
      <c r="B13" s="8" t="s">
        <v>921</v>
      </c>
      <c r="C13" s="20" t="s">
        <v>915</v>
      </c>
      <c r="D13" s="8" t="s">
        <v>922</v>
      </c>
    </row>
    <row r="14" spans="1:50" ht="27.75" customHeight="1">
      <c r="A14" s="17" t="s">
        <v>923</v>
      </c>
      <c r="B14" s="10" t="s">
        <v>924</v>
      </c>
      <c r="C14" s="18" t="s">
        <v>895</v>
      </c>
      <c r="D14" s="10" t="s">
        <v>925</v>
      </c>
    </row>
    <row r="15" spans="1:50" ht="27.75" customHeight="1">
      <c r="A15" s="16" t="s">
        <v>926</v>
      </c>
      <c r="B15" s="8" t="s">
        <v>927</v>
      </c>
      <c r="C15" s="18" t="s">
        <v>895</v>
      </c>
      <c r="D15" s="8" t="s">
        <v>928</v>
      </c>
    </row>
    <row r="16" spans="1:50" ht="27.75" customHeight="1">
      <c r="A16" s="17" t="s">
        <v>929</v>
      </c>
      <c r="B16" s="10" t="s">
        <v>930</v>
      </c>
      <c r="C16" s="18" t="s">
        <v>895</v>
      </c>
      <c r="D16" s="10" t="s">
        <v>931</v>
      </c>
    </row>
    <row r="17" spans="1:4" ht="27.75" customHeight="1">
      <c r="A17" s="16" t="s">
        <v>932</v>
      </c>
      <c r="B17" s="8" t="s">
        <v>933</v>
      </c>
      <c r="C17" s="18" t="s">
        <v>895</v>
      </c>
      <c r="D17" s="8" t="s">
        <v>934</v>
      </c>
    </row>
    <row r="18" spans="1:4" ht="27.75" customHeight="1">
      <c r="A18" s="17" t="s">
        <v>935</v>
      </c>
      <c r="B18" s="10" t="s">
        <v>936</v>
      </c>
      <c r="C18" s="18" t="s">
        <v>895</v>
      </c>
      <c r="D18" s="10" t="s">
        <v>937</v>
      </c>
    </row>
    <row r="19" spans="1:4" ht="27.75" customHeight="1">
      <c r="A19" s="16" t="s">
        <v>938</v>
      </c>
      <c r="B19" s="8" t="s">
        <v>939</v>
      </c>
      <c r="C19" s="21" t="s">
        <v>940</v>
      </c>
      <c r="D19" s="8" t="s">
        <v>941</v>
      </c>
    </row>
  </sheetData>
  <mergeCells count="1">
    <mergeCell ref="A2:D2"/>
  </mergeCells>
  <pageMargins left="0.75" right="0.75" top="0.84722222222222199" bottom="0.84722222222222199" header="0.511811023622047" footer="0.511811023622047"/>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X5"/>
  <sheetViews>
    <sheetView showGridLines="0" zoomScaleNormal="100" workbookViewId="0">
      <pane ySplit="2" topLeftCell="A3" activePane="bottomLeft" state="frozen"/>
      <selection activeCell="B18" sqref="B18"/>
      <selection pane="bottomLeft" activeCell="B18" sqref="B18"/>
    </sheetView>
  </sheetViews>
  <sheetFormatPr defaultColWidth="9.109375" defaultRowHeight="14.4"/>
  <cols>
    <col min="1" max="1" width="8" customWidth="1"/>
    <col min="2" max="2" width="15" customWidth="1"/>
    <col min="3" max="3" width="41.109375" customWidth="1"/>
    <col min="4" max="6" width="48.5546875" customWidth="1"/>
    <col min="7" max="7" width="30" customWidth="1"/>
    <col min="8" max="8" width="9.44140625" customWidth="1"/>
    <col min="9" max="9" width="9.33203125" customWidth="1"/>
    <col min="10" max="10" width="9.88671875" customWidth="1"/>
    <col min="11" max="11" width="10.5546875" customWidth="1"/>
    <col min="12" max="12" width="48.5546875" customWidth="1"/>
    <col min="13" max="13" width="22.109375" customWidth="1"/>
    <col min="14" max="17" width="15" customWidth="1"/>
    <col min="18" max="18" width="16.6640625" customWidth="1"/>
    <col min="19" max="19" width="48.5546875" customWidth="1"/>
    <col min="20" max="20" width="21.109375" customWidth="1"/>
    <col min="21" max="21" width="30" customWidth="1"/>
    <col min="2000" max="2000" width="3.33203125" customWidth="1"/>
  </cols>
  <sheetData>
    <row r="1" spans="1:50" ht="27.75" customHeight="1">
      <c r="A1" s="197" t="s">
        <v>942</v>
      </c>
      <c r="B1" s="197"/>
      <c r="C1" s="197"/>
      <c r="D1" s="197"/>
      <c r="E1" s="197"/>
      <c r="F1" s="197"/>
      <c r="G1" s="197"/>
      <c r="H1" s="197"/>
      <c r="I1" s="197"/>
      <c r="J1" s="197"/>
      <c r="K1" s="197"/>
      <c r="L1" s="197"/>
      <c r="M1" s="197"/>
      <c r="N1" s="197"/>
      <c r="O1" s="197"/>
      <c r="P1" s="197"/>
      <c r="Q1" s="197"/>
      <c r="R1" s="197"/>
      <c r="S1" s="197"/>
      <c r="T1" s="197"/>
      <c r="U1" s="197"/>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row>
    <row r="2" spans="1:50" ht="41.25" customHeight="1">
      <c r="A2" s="6" t="s">
        <v>50</v>
      </c>
      <c r="B2" s="6" t="s">
        <v>53</v>
      </c>
      <c r="C2" s="6" t="s">
        <v>54</v>
      </c>
      <c r="D2" s="6" t="s">
        <v>943</v>
      </c>
      <c r="E2" s="6" t="s">
        <v>57</v>
      </c>
      <c r="F2" s="6" t="s">
        <v>59</v>
      </c>
      <c r="G2" s="6" t="s">
        <v>60</v>
      </c>
      <c r="H2" s="6" t="s">
        <v>61</v>
      </c>
      <c r="I2" s="6" t="s">
        <v>62</v>
      </c>
      <c r="J2" s="6" t="s">
        <v>63</v>
      </c>
      <c r="K2" s="6" t="s">
        <v>64</v>
      </c>
      <c r="L2" s="6" t="s">
        <v>65</v>
      </c>
      <c r="M2" s="6" t="s">
        <v>66</v>
      </c>
      <c r="N2" s="6" t="s">
        <v>67</v>
      </c>
      <c r="O2" s="6" t="s">
        <v>68</v>
      </c>
      <c r="P2" s="6" t="s">
        <v>69</v>
      </c>
      <c r="Q2" s="6" t="s">
        <v>70</v>
      </c>
      <c r="R2" s="6" t="s">
        <v>71</v>
      </c>
      <c r="S2" s="6" t="s">
        <v>72</v>
      </c>
      <c r="T2" s="6" t="s">
        <v>73</v>
      </c>
      <c r="U2" s="6" t="s">
        <v>74</v>
      </c>
    </row>
    <row r="3" spans="1:50" ht="72" customHeight="1">
      <c r="A3" s="7" t="s">
        <v>75</v>
      </c>
      <c r="B3" s="8" t="s">
        <v>944</v>
      </c>
      <c r="C3" s="8" t="s">
        <v>945</v>
      </c>
      <c r="D3" s="8" t="s">
        <v>946</v>
      </c>
      <c r="E3" s="8" t="s">
        <v>947</v>
      </c>
      <c r="F3" s="8" t="s">
        <v>948</v>
      </c>
      <c r="G3" s="8" t="s">
        <v>949</v>
      </c>
      <c r="H3" s="7">
        <v>4</v>
      </c>
      <c r="I3" s="7">
        <v>4</v>
      </c>
      <c r="J3" s="7">
        <v>16</v>
      </c>
      <c r="K3" s="7" t="s">
        <v>846</v>
      </c>
      <c r="L3" s="8" t="s">
        <v>950</v>
      </c>
      <c r="M3" s="8" t="s">
        <v>951</v>
      </c>
      <c r="N3" s="7">
        <v>2</v>
      </c>
      <c r="O3" s="7">
        <v>3</v>
      </c>
      <c r="P3" s="7">
        <v>6</v>
      </c>
      <c r="Q3" s="7" t="s">
        <v>845</v>
      </c>
      <c r="R3" s="8" t="s">
        <v>952</v>
      </c>
      <c r="S3" s="8" t="s">
        <v>953</v>
      </c>
      <c r="T3" s="8" t="s">
        <v>954</v>
      </c>
      <c r="U3" s="8" t="s">
        <v>955</v>
      </c>
    </row>
    <row r="4" spans="1:50" ht="72" customHeight="1">
      <c r="A4" s="9" t="s">
        <v>85</v>
      </c>
      <c r="B4" s="10" t="s">
        <v>956</v>
      </c>
      <c r="C4" s="10" t="s">
        <v>957</v>
      </c>
      <c r="D4" s="10" t="s">
        <v>958</v>
      </c>
      <c r="E4" s="10" t="s">
        <v>959</v>
      </c>
      <c r="F4" s="10" t="s">
        <v>960</v>
      </c>
      <c r="G4" s="10" t="s">
        <v>961</v>
      </c>
      <c r="H4" s="9">
        <v>3</v>
      </c>
      <c r="I4" s="9">
        <v>5</v>
      </c>
      <c r="J4" s="9">
        <v>15</v>
      </c>
      <c r="K4" s="9" t="s">
        <v>962</v>
      </c>
      <c r="L4" s="10" t="s">
        <v>963</v>
      </c>
      <c r="M4" s="10" t="s">
        <v>951</v>
      </c>
      <c r="N4" s="9">
        <v>2</v>
      </c>
      <c r="O4" s="9">
        <v>3</v>
      </c>
      <c r="P4" s="9">
        <v>6</v>
      </c>
      <c r="Q4" s="9" t="s">
        <v>845</v>
      </c>
      <c r="R4" s="10" t="s">
        <v>964</v>
      </c>
      <c r="S4" s="10" t="s">
        <v>965</v>
      </c>
      <c r="T4" s="10" t="s">
        <v>966</v>
      </c>
      <c r="U4" s="10" t="s">
        <v>967</v>
      </c>
    </row>
    <row r="5" spans="1:50" ht="72" customHeight="1">
      <c r="A5" s="7" t="s">
        <v>86</v>
      </c>
      <c r="B5" s="8" t="s">
        <v>881</v>
      </c>
      <c r="C5" s="8" t="s">
        <v>968</v>
      </c>
      <c r="D5" s="8" t="s">
        <v>969</v>
      </c>
      <c r="E5" s="8" t="s">
        <v>970</v>
      </c>
      <c r="F5" s="8" t="s">
        <v>971</v>
      </c>
      <c r="G5" s="8" t="s">
        <v>972</v>
      </c>
      <c r="H5" s="7">
        <v>4</v>
      </c>
      <c r="I5" s="7">
        <v>3</v>
      </c>
      <c r="J5" s="7">
        <v>12</v>
      </c>
      <c r="K5" s="7" t="s">
        <v>846</v>
      </c>
      <c r="L5" s="8" t="s">
        <v>973</v>
      </c>
      <c r="M5" s="8" t="s">
        <v>951</v>
      </c>
      <c r="N5" s="7">
        <v>2</v>
      </c>
      <c r="O5" s="7">
        <v>2</v>
      </c>
      <c r="P5" s="7">
        <v>4</v>
      </c>
      <c r="Q5" s="7" t="s">
        <v>845</v>
      </c>
      <c r="R5" s="8" t="s">
        <v>964</v>
      </c>
      <c r="S5" s="8" t="s">
        <v>974</v>
      </c>
      <c r="T5" s="8" t="s">
        <v>975</v>
      </c>
      <c r="U5" s="8" t="s">
        <v>976</v>
      </c>
    </row>
  </sheetData>
  <mergeCells count="1">
    <mergeCell ref="A1:U1"/>
  </mergeCells>
  <conditionalFormatting sqref="J3:J5">
    <cfRule type="cellIs" dxfId="15" priority="10" operator="greaterThanOrEqual">
      <formula>15</formula>
    </cfRule>
    <cfRule type="expression" dxfId="14" priority="11">
      <formula>AND(J3&gt;=8,J3&lt;15)</formula>
    </cfRule>
    <cfRule type="expression" dxfId="13" priority="12">
      <formula>AND(J3&gt;=4,J3&lt;8)</formula>
    </cfRule>
    <cfRule type="expression" dxfId="12" priority="13">
      <formula>AND(J3&gt;=1,J3&lt;4)</formula>
    </cfRule>
  </conditionalFormatting>
  <conditionalFormatting sqref="K3:K5">
    <cfRule type="cellIs" dxfId="11" priority="2" operator="equal">
      <formula>"Rendah"</formula>
    </cfRule>
    <cfRule type="cellIs" dxfId="10" priority="3" operator="equal">
      <formula>"Sedang"</formula>
    </cfRule>
    <cfRule type="cellIs" dxfId="9" priority="4" operator="equal">
      <formula>"Tinggi"</formula>
    </cfRule>
    <cfRule type="cellIs" dxfId="8" priority="5" operator="equal">
      <formula>"Ekstrem"</formula>
    </cfRule>
  </conditionalFormatting>
  <conditionalFormatting sqref="P3:P5">
    <cfRule type="cellIs" dxfId="7" priority="14" operator="greaterThanOrEqual">
      <formula>15</formula>
    </cfRule>
    <cfRule type="expression" dxfId="6" priority="15">
      <formula>AND(P3&gt;=8,P3&lt;15)</formula>
    </cfRule>
    <cfRule type="expression" dxfId="5" priority="16">
      <formula>AND(P3&gt;=4,P3&lt;8)</formula>
    </cfRule>
    <cfRule type="expression" dxfId="4" priority="17">
      <formula>AND(P3&gt;=1,P3&lt;4)</formula>
    </cfRule>
  </conditionalFormatting>
  <conditionalFormatting sqref="Q3:Q5">
    <cfRule type="cellIs" dxfId="3" priority="6" operator="equal">
      <formula>"Rendah"</formula>
    </cfRule>
    <cfRule type="cellIs" dxfId="2" priority="7" operator="equal">
      <formula>"Sedang"</formula>
    </cfRule>
    <cfRule type="cellIs" dxfId="1" priority="8" operator="equal">
      <formula>"Tinggi"</formula>
    </cfRule>
    <cfRule type="cellIs" dxfId="0" priority="9" operator="equal">
      <formula>"Ekstrem"</formula>
    </cfRule>
  </conditionalFormatting>
  <pageMargins left="0.75" right="0.75" top="0.84722222222222199" bottom="0.84722222222222199" header="0.511811023622047" footer="0.511811023622047"/>
  <pageSetup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3608-B7B0-415B-AAA3-1EDCD2CA193A}">
  <sheetPr>
    <tabColor theme="2" tint="-0.249977111117893"/>
  </sheetPr>
  <dimension ref="A1:AA1080"/>
  <sheetViews>
    <sheetView tabSelected="1" topLeftCell="F327" workbookViewId="0">
      <selection activeCell="F339" sqref="F339"/>
    </sheetView>
  </sheetViews>
  <sheetFormatPr defaultColWidth="8.88671875" defaultRowHeight="14.4"/>
  <cols>
    <col min="1" max="1" width="5.88671875" style="106" bestFit="1" customWidth="1"/>
    <col min="2" max="2" width="57.6640625" style="106" bestFit="1" customWidth="1"/>
    <col min="3" max="3" width="21.109375" style="106" bestFit="1" customWidth="1"/>
    <col min="4" max="4" width="90.6640625" style="106" bestFit="1" customWidth="1"/>
    <col min="5" max="5" width="166.33203125" style="106" bestFit="1" customWidth="1"/>
    <col min="6" max="6" width="27" style="106" bestFit="1" customWidth="1"/>
    <col min="7" max="7" width="20" style="106" bestFit="1" customWidth="1"/>
    <col min="8" max="8" width="22.33203125" style="106" bestFit="1" customWidth="1"/>
    <col min="9" max="9" width="398.6640625" style="106" bestFit="1" customWidth="1"/>
    <col min="10" max="10" width="18.6640625" style="106" bestFit="1" customWidth="1"/>
    <col min="11" max="11" width="155.6640625" style="106" bestFit="1" customWidth="1"/>
    <col min="12" max="12" width="23.44140625" style="106" bestFit="1" customWidth="1"/>
    <col min="13" max="13" width="25.88671875" style="106" bestFit="1" customWidth="1"/>
    <col min="14" max="14" width="29.44140625" style="106" bestFit="1" customWidth="1"/>
    <col min="15" max="15" width="17.5546875" style="106" bestFit="1" customWidth="1"/>
    <col min="16" max="16" width="68.33203125" style="106" bestFit="1" customWidth="1"/>
    <col min="17" max="17" width="97.6640625" style="106" bestFit="1" customWidth="1"/>
    <col min="18" max="18" width="8.88671875" style="106"/>
    <col min="19" max="19" width="30.88671875" style="106" bestFit="1" customWidth="1"/>
    <col min="20" max="20" width="33.33203125" style="106" bestFit="1" customWidth="1"/>
    <col min="21" max="21" width="37.6640625" style="106" bestFit="1" customWidth="1"/>
    <col min="22" max="22" width="17" style="106" bestFit="1" customWidth="1"/>
    <col min="23" max="27" width="17.6640625" style="106" customWidth="1"/>
    <col min="28" max="1999" width="8.88671875" style="106"/>
    <col min="2000" max="2000" width="2.5546875" style="106" customWidth="1"/>
    <col min="2001" max="16384" width="8.88671875" style="106"/>
  </cols>
  <sheetData>
    <row r="1" spans="1:27" ht="43.2">
      <c r="A1" s="147" t="s">
        <v>977</v>
      </c>
      <c r="B1" s="147" t="s">
        <v>226</v>
      </c>
      <c r="C1" s="147" t="s">
        <v>978</v>
      </c>
      <c r="D1" s="147" t="s">
        <v>979</v>
      </c>
      <c r="E1" s="147" t="s">
        <v>980</v>
      </c>
      <c r="F1" s="147" t="s">
        <v>981</v>
      </c>
      <c r="G1" s="147" t="s">
        <v>982</v>
      </c>
      <c r="H1" s="147" t="s">
        <v>983</v>
      </c>
      <c r="I1" s="147" t="s">
        <v>984</v>
      </c>
      <c r="J1" s="147" t="s">
        <v>985</v>
      </c>
      <c r="K1" s="147" t="s">
        <v>986</v>
      </c>
      <c r="L1" s="147" t="s">
        <v>987</v>
      </c>
      <c r="M1" s="147" t="s">
        <v>988</v>
      </c>
      <c r="N1" s="147" t="s">
        <v>989</v>
      </c>
      <c r="O1" s="147" t="s">
        <v>990</v>
      </c>
      <c r="P1" s="147" t="s">
        <v>991</v>
      </c>
      <c r="Q1" s="147" t="s">
        <v>992</v>
      </c>
      <c r="R1" s="147"/>
      <c r="S1" s="148" t="s">
        <v>993</v>
      </c>
      <c r="T1" s="148" t="s">
        <v>994</v>
      </c>
      <c r="U1" s="148" t="s">
        <v>995</v>
      </c>
      <c r="V1" s="148" t="s">
        <v>996</v>
      </c>
      <c r="W1" s="145" t="s">
        <v>997</v>
      </c>
      <c r="X1" s="145" t="s">
        <v>998</v>
      </c>
      <c r="Y1" s="146" t="s">
        <v>999</v>
      </c>
      <c r="Z1" s="146" t="s">
        <v>1000</v>
      </c>
      <c r="AA1" s="144" t="s">
        <v>1001</v>
      </c>
    </row>
    <row r="2" spans="1:27">
      <c r="A2" s="106">
        <v>1</v>
      </c>
      <c r="B2" s="106" t="s">
        <v>1002</v>
      </c>
      <c r="C2" s="107" t="s">
        <v>1003</v>
      </c>
      <c r="D2" s="106" t="s">
        <v>1004</v>
      </c>
      <c r="E2" s="106" t="s">
        <v>1005</v>
      </c>
      <c r="G2" s="106" t="s">
        <v>1006</v>
      </c>
      <c r="H2" s="106" t="s">
        <v>1007</v>
      </c>
      <c r="I2" s="106" t="s">
        <v>1008</v>
      </c>
      <c r="K2" s="106" t="s">
        <v>1009</v>
      </c>
      <c r="L2" s="106" t="s">
        <v>1010</v>
      </c>
      <c r="O2" s="106" t="s">
        <v>274</v>
      </c>
      <c r="S2" s="106" t="str" cm="1">
        <f t="array" ref="S2">IF(TRIM($D2)="","(tidak diisi)",IFERROR(INDEX(Kamus!$B$3:$B$28,MATCH(TRUE,ISNUMBER(SEARCH(Kamus!$A$3:$A$28,$D2)),0)),"Jabatan Lainnya"))</f>
        <v>Sekretaris</v>
      </c>
      <c r="T2" s="106" t="str" cm="1">
        <f t="array" ref="T2">IF(TRIM($I2)="","(tidak diisi)",IFERROR(INDEX(Kamus!$E$3:$E$162,MATCH(TRUE,ISNUMBER(SEARCH(Kamus!$D$3:$D$162,$I2)),0)),"Barang Lain / Tidak Terinci"))</f>
        <v>Makanan &amp; Minuman</v>
      </c>
      <c r="U2" s="106" t="str" cm="1">
        <f t="array" ref="U2">IF(TRIM($I2)="","(tidak diisi)",IFERROR(INDEX(Kamus!$H$3:$H$75,MATCH(TRUE,ISNUMBER(SEARCH(Kamus!$G$3:$G$75,$I2)),0)),"Pemberian Umum / Tanpa Konteks"))</f>
        <v>Parsel/Bingkisan Umum (non-hari raya)</v>
      </c>
      <c r="V2" s="106" t="str">
        <f>IF($H2="","(tidak diisi)",IF(ISNUMBER($H2),TEXT(YEAR($H2),"0"),LEFT($H2,4)))</f>
        <v>2023</v>
      </c>
      <c r="W2" s="106" t="str" cm="1">
        <f t="array" ref="W2">IF(TRIM($K2)="","(tidak diisi)",IFERROR(INDEX(Kamus!$K$3:$K$118,MATCH(TRUE,ISNUMBER(SEARCH(Kamus!$J$3:$J$118,$K2)),0)),"Individu / Perorangan"))</f>
        <v>Bank &amp; Lembaga Keuangan</v>
      </c>
      <c r="X2" s="106" t="str">
        <f>IF($H2="","(tidak diisi)",IF(ISNUMBER($H2),TEXT(MONTH($H2),"00"),MID($H2,6,2)))</f>
        <v>04</v>
      </c>
      <c r="Y2" s="106" t="str" cm="1">
        <f t="array" ref="Y2">IFERROR(INDEX(Kamus!$N$3:$N$111,MATCH(TRUE,ISNUMBER(SEARCH(Kamus!$M$3:$M$111,$I2)),0)),"")</f>
        <v/>
      </c>
      <c r="Z2" s="106" t="str">
        <f>IF(AND(OR($X2="02",$X2="03",$X2="04"),OR($T2="Parsel/Bingkisan (tidak dirinci)",$T2="Makanan &amp; Minuman",$T2="Peralatan Rumah Tangga / Pecah Belah",$T2="Pakaian &amp; Kain")),"Momen Hari Raya (dugaan musiman)",IFERROR(VLOOKUP($W2,Kamus!$P$3:$Q$14,2,FALSE),"Tidak Teridentifikasi"))</f>
        <v>Momen Hari Raya (dugaan musiman)</v>
      </c>
      <c r="AA2" s="106" t="str">
        <f>IF($Y2="",$Z2,$Y2)</f>
        <v>Momen Hari Raya (dugaan musiman)</v>
      </c>
    </row>
    <row r="3" spans="1:27">
      <c r="A3" s="106">
        <v>2</v>
      </c>
      <c r="B3" s="106" t="s">
        <v>1011</v>
      </c>
      <c r="C3" s="107" t="s">
        <v>1012</v>
      </c>
      <c r="D3" s="106" t="s">
        <v>1013</v>
      </c>
      <c r="E3" s="106" t="s">
        <v>1014</v>
      </c>
      <c r="F3" s="106" t="s">
        <v>1015</v>
      </c>
      <c r="G3" s="106" t="s">
        <v>1006</v>
      </c>
      <c r="H3" s="106" t="s">
        <v>1016</v>
      </c>
      <c r="I3" s="106" t="s">
        <v>1017</v>
      </c>
      <c r="J3" s="106">
        <v>245000</v>
      </c>
      <c r="K3" s="106" t="s">
        <v>1018</v>
      </c>
      <c r="L3" s="106" t="s">
        <v>1019</v>
      </c>
      <c r="M3" s="106" t="s">
        <v>1020</v>
      </c>
      <c r="O3" s="106" t="s">
        <v>274</v>
      </c>
      <c r="P3" s="106" t="s">
        <v>1021</v>
      </c>
      <c r="Q3" s="106" t="s">
        <v>428</v>
      </c>
      <c r="S3" s="106" t="str" cm="1">
        <f t="array" ref="S3">IF(TRIM($D3)="","(tidak diisi)",IFERROR(INDEX(Kamus!$B$3:$B$28,MATCH(TRUE,ISNUMBER(SEARCH(Kamus!$A$3:$A$28,$D3)),0)),"Jabatan Lainnya"))</f>
        <v>Panitera</v>
      </c>
      <c r="T3" s="106" t="str" cm="1">
        <f t="array" ref="T3">IF(TRIM($I3)="","(tidak diisi)",IFERROR(INDEX(Kamus!$E$3:$E$162,MATCH(TRUE,ISNUMBER(SEARCH(Kamus!$D$3:$D$162,$I3)),0)),"Barang Lain / Tidak Terinci"))</f>
        <v>Uang &amp; Setara Uang</v>
      </c>
      <c r="U3" s="106" t="str" cm="1">
        <f t="array" ref="U3">IF(TRIM($I3)="","(tidak diisi)",IFERROR(INDEX(Kamus!$H$3:$H$75,MATCH(TRUE,ISNUMBER(SEARCH(Kamus!$G$3:$G$75,$I3)),0)),"Pemberian Umum / Tanpa Konteks"))</f>
        <v>Pemberian Uang Langsung</v>
      </c>
      <c r="V3" s="106" t="str">
        <f t="shared" ref="V3:V66" si="0">IF($H3="","(tidak diisi)",IF(ISNUMBER($H3),TEXT(YEAR($H3),"0"),LEFT($H3,4)))</f>
        <v>2025</v>
      </c>
      <c r="W3" s="106" t="str" cm="1">
        <f t="array" ref="W3">IF(TRIM($K3)="","(tidak diisi)",IFERROR(INDEX(Kamus!$K$3:$K$118,MATCH(TRUE,ISNUMBER(SEARCH(Kamus!$J$3:$J$118,$K3)),0)),"Individu / Perorangan"))</f>
        <v>Individu / Perorangan</v>
      </c>
      <c r="X3" s="106" t="str">
        <f t="shared" ref="X3:X66" si="1">IF($H3="","(tidak diisi)",IF(ISNUMBER($H3),TEXT(MONTH($H3),"00"),MID($H3,6,2)))</f>
        <v>01</v>
      </c>
      <c r="Y3" s="106" t="str" cm="1">
        <f t="array" ref="Y3">IFERROR(INDEX(Kamus!$N$3:$N$111,MATCH(TRUE,ISNUMBER(SEARCH(Kamus!$M$3:$M$111,$I3)),0)),"")</f>
        <v/>
      </c>
      <c r="Z3" s="106" t="str">
        <f>IF(AND(OR($X3="02",$X3="03",$X3="04"),OR($T3="Parsel/Bingkisan (tidak dirinci)",$T3="Makanan &amp; Minuman",$T3="Peralatan Rumah Tangga / Pecah Belah",$T3="Pakaian &amp; Kain")),"Momen Hari Raya (dugaan musiman)",IFERROR(VLOOKUP($W3,Kamus!$P$3:$Q$14,2,FALSE),"Tidak Teridentifikasi"))</f>
        <v>Relasi Personal / Tidak Teridentifikasi</v>
      </c>
      <c r="AA3" s="106" t="str">
        <f t="shared" ref="AA3:AA66" si="2">IF($Y3="",$Z3,$Y3)</f>
        <v>Relasi Personal / Tidak Teridentifikasi</v>
      </c>
    </row>
    <row r="4" spans="1:27">
      <c r="A4" s="106">
        <v>3</v>
      </c>
      <c r="B4" s="106" t="s">
        <v>1022</v>
      </c>
      <c r="C4" s="107" t="s">
        <v>1023</v>
      </c>
      <c r="D4" s="106" t="s">
        <v>1024</v>
      </c>
      <c r="E4" s="106" t="s">
        <v>1025</v>
      </c>
      <c r="F4" s="106" t="s">
        <v>1026</v>
      </c>
      <c r="G4" s="106" t="s">
        <v>1006</v>
      </c>
      <c r="H4" s="106" t="s">
        <v>1027</v>
      </c>
      <c r="I4" s="106" t="s">
        <v>1028</v>
      </c>
      <c r="K4" s="106" t="s">
        <v>1029</v>
      </c>
      <c r="L4" s="106" t="s">
        <v>1030</v>
      </c>
      <c r="O4" s="106" t="s">
        <v>274</v>
      </c>
      <c r="P4" s="106" t="s">
        <v>561</v>
      </c>
      <c r="Q4" s="106" t="s">
        <v>428</v>
      </c>
      <c r="S4" s="106" t="str" cm="1">
        <f t="array" ref="S4">IF(TRIM($D4)="","(tidak diisi)",IFERROR(INDEX(Kamus!$B$3:$B$28,MATCH(TRUE,ISNUMBER(SEARCH(Kamus!$A$3:$A$28,$D4)),0)),"Jabatan Lainnya"))</f>
        <v>Sekretaris</v>
      </c>
      <c r="T4" s="106" t="str" cm="1">
        <f t="array" ref="T4">IF(TRIM($I4)="","(tidak diisi)",IFERROR(INDEX(Kamus!$E$3:$E$162,MATCH(TRUE,ISNUMBER(SEARCH(Kamus!$D$3:$D$162,$I4)),0)),"Barang Lain / Tidak Terinci"))</f>
        <v>Makanan &amp; Minuman</v>
      </c>
      <c r="U4" s="106" t="str" cm="1">
        <f t="array" ref="U4">IF(TRIM($I4)="","(tidak diisi)",IFERROR(INDEX(Kamus!$H$3:$H$75,MATCH(TRUE,ISNUMBER(SEARCH(Kamus!$G$3:$G$75,$I4)),0)),"Pemberian Umum / Tanpa Konteks"))</f>
        <v>Oleh-oleh / Buah Tangan Perjalanan</v>
      </c>
      <c r="V4" s="106" t="str">
        <f t="shared" si="0"/>
        <v>2024</v>
      </c>
      <c r="W4" s="106" t="str" cm="1">
        <f t="array" ref="W4">IF(TRIM($K4)="","(tidak diisi)",IFERROR(INDEX(Kamus!$K$3:$K$118,MATCH(TRUE,ISNUMBER(SEARCH(Kamus!$J$3:$J$118,$K4)),0)),"Individu / Perorangan"))</f>
        <v>Individu / Perorangan</v>
      </c>
      <c r="X4" s="106" t="str">
        <f t="shared" si="1"/>
        <v>12</v>
      </c>
      <c r="Y4" s="106" t="str" cm="1">
        <f t="array" ref="Y4">IFERROR(INDEX(Kamus!$N$3:$N$111,MATCH(TRUE,ISNUMBER(SEARCH(Kamus!$M$3:$M$111,$I4)),0)),"")</f>
        <v/>
      </c>
      <c r="Z4" s="106" t="str">
        <f>IF(AND(OR($X4="02",$X4="03",$X4="04"),OR($T4="Parsel/Bingkisan (tidak dirinci)",$T4="Makanan &amp; Minuman",$T4="Peralatan Rumah Tangga / Pecah Belah",$T4="Pakaian &amp; Kain")),"Momen Hari Raya (dugaan musiman)",IFERROR(VLOOKUP($W4,Kamus!$P$3:$Q$14,2,FALSE),"Tidak Teridentifikasi"))</f>
        <v>Relasi Personal / Tidak Teridentifikasi</v>
      </c>
      <c r="AA4" s="106" t="str">
        <f t="shared" si="2"/>
        <v>Relasi Personal / Tidak Teridentifikasi</v>
      </c>
    </row>
    <row r="5" spans="1:27">
      <c r="A5" s="106">
        <v>4</v>
      </c>
      <c r="B5" s="106" t="s">
        <v>1031</v>
      </c>
      <c r="C5" s="107" t="s">
        <v>1032</v>
      </c>
      <c r="D5" s="106" t="s">
        <v>1033</v>
      </c>
      <c r="E5" s="106" t="s">
        <v>1005</v>
      </c>
      <c r="F5" s="106" t="s">
        <v>1034</v>
      </c>
      <c r="G5" s="106" t="s">
        <v>1006</v>
      </c>
      <c r="H5" s="106" t="s">
        <v>1035</v>
      </c>
      <c r="I5" s="106" t="s">
        <v>1036</v>
      </c>
      <c r="J5" s="106">
        <v>250000</v>
      </c>
      <c r="K5" s="106" t="s">
        <v>1037</v>
      </c>
      <c r="L5" s="106" t="s">
        <v>1038</v>
      </c>
      <c r="M5" s="106" t="s">
        <v>1039</v>
      </c>
      <c r="O5" s="106" t="s">
        <v>274</v>
      </c>
      <c r="S5" s="106" t="str" cm="1">
        <f t="array" ref="S5">IF(TRIM($D5)="","(tidak diisi)",IFERROR(INDEX(Kamus!$B$3:$B$28,MATCH(TRUE,ISNUMBER(SEARCH(Kamus!$A$3:$A$28,$D5)),0)),"Jabatan Lainnya"))</f>
        <v>Hakim</v>
      </c>
      <c r="T5" s="106" t="str" cm="1">
        <f t="array" ref="T5">IF(TRIM($I5)="","(tidak diisi)",IFERROR(INDEX(Kamus!$E$3:$E$162,MATCH(TRUE,ISNUMBER(SEARCH(Kamus!$D$3:$D$162,$I5)),0)),"Barang Lain / Tidak Terinci"))</f>
        <v>Peralatan Rumah Tangga / Pecah Belah</v>
      </c>
      <c r="U5" s="106" t="str" cm="1">
        <f t="array" ref="U5">IF(TRIM($I5)="","(tidak diisi)",IFERROR(INDEX(Kamus!$H$3:$H$75,MATCH(TRUE,ISNUMBER(SEARCH(Kamus!$G$3:$G$75,$I5)),0)),"Pemberian Umum / Tanpa Konteks"))</f>
        <v>Parsel/Bingkisan Umum (non-hari raya)</v>
      </c>
      <c r="V5" s="106" t="str">
        <f t="shared" si="0"/>
        <v>2025</v>
      </c>
      <c r="W5" s="106" t="str" cm="1">
        <f t="array" ref="W5">IF(TRIM($K5)="","(tidak diisi)",IFERROR(INDEX(Kamus!$K$3:$K$118,MATCH(TRUE,ISNUMBER(SEARCH(Kamus!$J$3:$J$118,$K5)),0)),"Individu / Perorangan"))</f>
        <v>Individu / Perorangan</v>
      </c>
      <c r="X5" s="106" t="str">
        <f t="shared" si="1"/>
        <v>01</v>
      </c>
      <c r="Y5" s="106" t="str" cm="1">
        <f t="array" ref="Y5">IFERROR(INDEX(Kamus!$N$3:$N$111,MATCH(TRUE,ISNUMBER(SEARCH(Kamus!$M$3:$M$111,$I5)),0)),"")</f>
        <v/>
      </c>
      <c r="Z5" s="106" t="str">
        <f>IF(AND(OR($X5="02",$X5="03",$X5="04"),OR($T5="Parsel/Bingkisan (tidak dirinci)",$T5="Makanan &amp; Minuman",$T5="Peralatan Rumah Tangga / Pecah Belah",$T5="Pakaian &amp; Kain")),"Momen Hari Raya (dugaan musiman)",IFERROR(VLOOKUP($W5,Kamus!$P$3:$Q$14,2,FALSE),"Tidak Teridentifikasi"))</f>
        <v>Relasi Personal / Tidak Teridentifikasi</v>
      </c>
      <c r="AA5" s="106" t="str">
        <f t="shared" si="2"/>
        <v>Relasi Personal / Tidak Teridentifikasi</v>
      </c>
    </row>
    <row r="6" spans="1:27">
      <c r="A6" s="106">
        <v>5</v>
      </c>
      <c r="B6" s="106" t="s">
        <v>1040</v>
      </c>
      <c r="C6" s="107" t="s">
        <v>1041</v>
      </c>
      <c r="D6" s="106" t="s">
        <v>1042</v>
      </c>
      <c r="E6" s="106" t="s">
        <v>1043</v>
      </c>
      <c r="F6" s="106" t="s">
        <v>1044</v>
      </c>
      <c r="G6" s="106" t="s">
        <v>1006</v>
      </c>
      <c r="H6" s="106" t="s">
        <v>1035</v>
      </c>
      <c r="I6" s="106" t="s">
        <v>1017</v>
      </c>
      <c r="J6" s="106">
        <v>500000</v>
      </c>
      <c r="K6" s="106" t="s">
        <v>1045</v>
      </c>
      <c r="L6" s="106" t="s">
        <v>1046</v>
      </c>
      <c r="M6" s="106" t="s">
        <v>1020</v>
      </c>
      <c r="O6" s="106" t="s">
        <v>274</v>
      </c>
      <c r="P6" s="106" t="s">
        <v>1047</v>
      </c>
      <c r="Q6" s="106" t="s">
        <v>420</v>
      </c>
      <c r="S6" s="106" t="str" cm="1">
        <f t="array" ref="S6">IF(TRIM($D6)="","(tidak diisi)",IFERROR(INDEX(Kamus!$B$3:$B$28,MATCH(TRUE,ISNUMBER(SEARCH(Kamus!$A$3:$A$28,$D6)),0)),"Jabatan Lainnya"))</f>
        <v>Ketua Pengadilan</v>
      </c>
      <c r="T6" s="106" t="str" cm="1">
        <f t="array" ref="T6">IF(TRIM($I6)="","(tidak diisi)",IFERROR(INDEX(Kamus!$E$3:$E$162,MATCH(TRUE,ISNUMBER(SEARCH(Kamus!$D$3:$D$162,$I6)),0)),"Barang Lain / Tidak Terinci"))</f>
        <v>Uang &amp; Setara Uang</v>
      </c>
      <c r="U6" s="106" t="str" cm="1">
        <f t="array" ref="U6">IF(TRIM($I6)="","(tidak diisi)",IFERROR(INDEX(Kamus!$H$3:$H$75,MATCH(TRUE,ISNUMBER(SEARCH(Kamus!$G$3:$G$75,$I6)),0)),"Pemberian Umum / Tanpa Konteks"))</f>
        <v>Pemberian Uang Langsung</v>
      </c>
      <c r="V6" s="106" t="str">
        <f t="shared" si="0"/>
        <v>2025</v>
      </c>
      <c r="W6" s="106" t="str" cm="1">
        <f t="array" ref="W6">IF(TRIM($K6)="","(tidak diisi)",IFERROR(INDEX(Kamus!$K$3:$K$118,MATCH(TRUE,ISNUMBER(SEARCH(Kamus!$J$3:$J$118,$K6)),0)),"Individu / Perorangan"))</f>
        <v>Tidak Diketahui</v>
      </c>
      <c r="X6" s="106" t="str">
        <f t="shared" si="1"/>
        <v>01</v>
      </c>
      <c r="Y6" s="106" t="str" cm="1">
        <f t="array" ref="Y6">IFERROR(INDEX(Kamus!$N$3:$N$111,MATCH(TRUE,ISNUMBER(SEARCH(Kamus!$M$3:$M$111,$I6)),0)),"")</f>
        <v/>
      </c>
      <c r="Z6" s="106" t="str">
        <f>IF(AND(OR($X6="02",$X6="03",$X6="04"),OR($T6="Parsel/Bingkisan (tidak dirinci)",$T6="Makanan &amp; Minuman",$T6="Peralatan Rumah Tangga / Pecah Belah",$T6="Pakaian &amp; Kain")),"Momen Hari Raya (dugaan musiman)",IFERROR(VLOOKUP($W6,Kamus!$P$3:$Q$14,2,FALSE),"Tidak Teridentifikasi"))</f>
        <v>Pemberi Tidak Diketahui</v>
      </c>
      <c r="AA6" s="106" t="str">
        <f t="shared" si="2"/>
        <v>Pemberi Tidak Diketahui</v>
      </c>
    </row>
    <row r="7" spans="1:27">
      <c r="A7" s="106">
        <v>6</v>
      </c>
      <c r="B7" s="106" t="s">
        <v>1048</v>
      </c>
      <c r="C7" s="107" t="s">
        <v>1049</v>
      </c>
      <c r="D7" s="106" t="s">
        <v>1050</v>
      </c>
      <c r="E7" s="106" t="s">
        <v>1051</v>
      </c>
      <c r="G7" s="106" t="s">
        <v>1006</v>
      </c>
      <c r="L7" s="106" t="s">
        <v>1052</v>
      </c>
      <c r="O7" s="106" t="s">
        <v>274</v>
      </c>
      <c r="P7" s="106" t="s">
        <v>362</v>
      </c>
      <c r="Q7" s="106" t="s">
        <v>362</v>
      </c>
      <c r="S7" s="106" t="str" cm="1">
        <f t="array" ref="S7">IF(TRIM($D7)="","(tidak diisi)",IFERROR(INDEX(Kamus!$B$3:$B$28,MATCH(TRUE,ISNUMBER(SEARCH(Kamus!$A$3:$A$28,$D7)),0)),"Jabatan Lainnya"))</f>
        <v>Hakim</v>
      </c>
      <c r="T7" s="106" t="str" cm="1">
        <f t="array" ref="T7">IF(TRIM($I7)="","(tidak diisi)",IFERROR(INDEX(Kamus!$E$3:$E$162,MATCH(TRUE,ISNUMBER(SEARCH(Kamus!$D$3:$D$162,$I7)),0)),"Barang Lain / Tidak Terinci"))</f>
        <v>(tidak diisi)</v>
      </c>
      <c r="U7" s="106" t="str" cm="1">
        <f t="array" ref="U7">IF(TRIM($I7)="","(tidak diisi)",IFERROR(INDEX(Kamus!$H$3:$H$75,MATCH(TRUE,ISNUMBER(SEARCH(Kamus!$G$3:$G$75,$I7)),0)),"Pemberian Umum / Tanpa Konteks"))</f>
        <v>(tidak diisi)</v>
      </c>
      <c r="V7" s="106" t="str">
        <f t="shared" si="0"/>
        <v>(tidak diisi)</v>
      </c>
      <c r="W7" s="106" t="str" cm="1">
        <f t="array" ref="W7">IF(TRIM($K7)="","(tidak diisi)",IFERROR(INDEX(Kamus!$K$3:$K$118,MATCH(TRUE,ISNUMBER(SEARCH(Kamus!$J$3:$J$118,$K7)),0)),"Individu / Perorangan"))</f>
        <v>(tidak diisi)</v>
      </c>
      <c r="X7" s="106" t="str">
        <f t="shared" si="1"/>
        <v>(tidak diisi)</v>
      </c>
      <c r="Y7" s="106" t="str" cm="1">
        <f t="array" ref="Y7">IFERROR(INDEX(Kamus!$N$3:$N$111,MATCH(TRUE,ISNUMBER(SEARCH(Kamus!$M$3:$M$111,$I7)),0)),"")</f>
        <v/>
      </c>
      <c r="Z7" s="106" t="str">
        <f>IF(AND(OR($X7="02",$X7="03",$X7="04"),OR($T7="Parsel/Bingkisan (tidak dirinci)",$T7="Makanan &amp; Minuman",$T7="Peralatan Rumah Tangga / Pecah Belah",$T7="Pakaian &amp; Kain")),"Momen Hari Raya (dugaan musiman)",IFERROR(VLOOKUP($W7,Kamus!$P$3:$Q$14,2,FALSE),"Tidak Teridentifikasi"))</f>
        <v>Tidak Teridentifikasi</v>
      </c>
      <c r="AA7" s="106" t="str">
        <f t="shared" si="2"/>
        <v>Tidak Teridentifikasi</v>
      </c>
    </row>
    <row r="8" spans="1:27">
      <c r="A8" s="106">
        <v>7</v>
      </c>
      <c r="B8" s="106" t="s">
        <v>1053</v>
      </c>
      <c r="C8" s="107" t="s">
        <v>1054</v>
      </c>
      <c r="D8" s="106" t="s">
        <v>1033</v>
      </c>
      <c r="E8" s="106" t="s">
        <v>1055</v>
      </c>
      <c r="F8" s="106" t="s">
        <v>1056</v>
      </c>
      <c r="G8" s="106" t="s">
        <v>1006</v>
      </c>
      <c r="H8" s="106" t="s">
        <v>1027</v>
      </c>
      <c r="I8" s="106" t="s">
        <v>1017</v>
      </c>
      <c r="J8" s="106">
        <v>500000</v>
      </c>
      <c r="K8" s="106" t="s">
        <v>1057</v>
      </c>
      <c r="L8" s="106" t="s">
        <v>1058</v>
      </c>
      <c r="M8" s="106" t="s">
        <v>1020</v>
      </c>
      <c r="O8" s="106" t="s">
        <v>274</v>
      </c>
      <c r="P8" s="106" t="s">
        <v>1059</v>
      </c>
      <c r="Q8" s="106" t="s">
        <v>409</v>
      </c>
      <c r="S8" s="106" t="str" cm="1">
        <f t="array" ref="S8">IF(TRIM($D8)="","(tidak diisi)",IFERROR(INDEX(Kamus!$B$3:$B$28,MATCH(TRUE,ISNUMBER(SEARCH(Kamus!$A$3:$A$28,$D8)),0)),"Jabatan Lainnya"))</f>
        <v>Hakim</v>
      </c>
      <c r="T8" s="106" t="str" cm="1">
        <f t="array" ref="T8">IF(TRIM($I8)="","(tidak diisi)",IFERROR(INDEX(Kamus!$E$3:$E$162,MATCH(TRUE,ISNUMBER(SEARCH(Kamus!$D$3:$D$162,$I8)),0)),"Barang Lain / Tidak Terinci"))</f>
        <v>Uang &amp; Setara Uang</v>
      </c>
      <c r="U8" s="106" t="str" cm="1">
        <f t="array" ref="U8">IF(TRIM($I8)="","(tidak diisi)",IFERROR(INDEX(Kamus!$H$3:$H$75,MATCH(TRUE,ISNUMBER(SEARCH(Kamus!$G$3:$G$75,$I8)),0)),"Pemberian Umum / Tanpa Konteks"))</f>
        <v>Pemberian Uang Langsung</v>
      </c>
      <c r="V8" s="106" t="str">
        <f t="shared" si="0"/>
        <v>2024</v>
      </c>
      <c r="W8" s="106" t="str" cm="1">
        <f t="array" ref="W8">IF(TRIM($K8)="","(tidak diisi)",IFERROR(INDEX(Kamus!$K$3:$K$118,MATCH(TRUE,ISNUMBER(SEARCH(Kamus!$J$3:$J$118,$K8)),0)),"Individu / Perorangan"))</f>
        <v>Individu / Perorangan</v>
      </c>
      <c r="X8" s="106" t="str">
        <f t="shared" si="1"/>
        <v>12</v>
      </c>
      <c r="Y8" s="106" t="str" cm="1">
        <f t="array" ref="Y8">IFERROR(INDEX(Kamus!$N$3:$N$111,MATCH(TRUE,ISNUMBER(SEARCH(Kamus!$M$3:$M$111,$I8)),0)),"")</f>
        <v/>
      </c>
      <c r="Z8" s="106" t="str">
        <f>IF(AND(OR($X8="02",$X8="03",$X8="04"),OR($T8="Parsel/Bingkisan (tidak dirinci)",$T8="Makanan &amp; Minuman",$T8="Peralatan Rumah Tangga / Pecah Belah",$T8="Pakaian &amp; Kain")),"Momen Hari Raya (dugaan musiman)",IFERROR(VLOOKUP($W8,Kamus!$P$3:$Q$14,2,FALSE),"Tidak Teridentifikasi"))</f>
        <v>Relasi Personal / Tidak Teridentifikasi</v>
      </c>
      <c r="AA8" s="106" t="str">
        <f t="shared" si="2"/>
        <v>Relasi Personal / Tidak Teridentifikasi</v>
      </c>
    </row>
    <row r="9" spans="1:27">
      <c r="A9" s="106">
        <v>8</v>
      </c>
      <c r="B9" s="106" t="s">
        <v>1060</v>
      </c>
      <c r="C9" s="107" t="s">
        <v>1061</v>
      </c>
      <c r="D9" s="106" t="s">
        <v>1033</v>
      </c>
      <c r="E9" s="106" t="s">
        <v>1062</v>
      </c>
      <c r="F9" s="106" t="s">
        <v>1063</v>
      </c>
      <c r="G9" s="106" t="s">
        <v>1006</v>
      </c>
      <c r="H9" s="106" t="s">
        <v>1027</v>
      </c>
      <c r="I9" s="106" t="s">
        <v>1064</v>
      </c>
      <c r="K9" s="106" t="s">
        <v>1065</v>
      </c>
      <c r="L9" s="106" t="s">
        <v>1066</v>
      </c>
      <c r="O9" s="106" t="s">
        <v>274</v>
      </c>
      <c r="P9" s="106" t="s">
        <v>1067</v>
      </c>
      <c r="Q9" s="106" t="s">
        <v>350</v>
      </c>
      <c r="S9" s="106" t="str" cm="1">
        <f t="array" ref="S9">IF(TRIM($D9)="","(tidak diisi)",IFERROR(INDEX(Kamus!$B$3:$B$28,MATCH(TRUE,ISNUMBER(SEARCH(Kamus!$A$3:$A$28,$D9)),0)),"Jabatan Lainnya"))</f>
        <v>Hakim</v>
      </c>
      <c r="T9" s="106" t="str" cm="1">
        <f t="array" ref="T9">IF(TRIM($I9)="","(tidak diisi)",IFERROR(INDEX(Kamus!$E$3:$E$162,MATCH(TRUE,ISNUMBER(SEARCH(Kamus!$D$3:$D$162,$I9)),0)),"Barang Lain / Tidak Terinci"))</f>
        <v>Makanan &amp; Minuman</v>
      </c>
      <c r="U9" s="106" t="str" cm="1">
        <f t="array" ref="U9">IF(TRIM($I9)="","(tidak diisi)",IFERROR(INDEX(Kamus!$H$3:$H$75,MATCH(TRUE,ISNUMBER(SEARCH(Kamus!$G$3:$G$75,$I9)),0)),"Pemberian Umum / Tanpa Konteks"))</f>
        <v>Oleh-oleh / Buah Tangan Perjalanan</v>
      </c>
      <c r="V9" s="106" t="str">
        <f t="shared" si="0"/>
        <v>2024</v>
      </c>
      <c r="W9" s="106" t="str" cm="1">
        <f t="array" ref="W9">IF(TRIM($K9)="","(tidak diisi)",IFERROR(INDEX(Kamus!$K$3:$K$118,MATCH(TRUE,ISNUMBER(SEARCH(Kamus!$J$3:$J$118,$K9)),0)),"Individu / Perorangan"))</f>
        <v>Individu / Perorangan</v>
      </c>
      <c r="X9" s="106" t="str">
        <f t="shared" si="1"/>
        <v>12</v>
      </c>
      <c r="Y9" s="106" t="str" cm="1">
        <f t="array" ref="Y9">IFERROR(INDEX(Kamus!$N$3:$N$111,MATCH(TRUE,ISNUMBER(SEARCH(Kamus!$M$3:$M$111,$I9)),0)),"")</f>
        <v/>
      </c>
      <c r="Z9" s="106" t="str">
        <f>IF(AND(OR($X9="02",$X9="03",$X9="04"),OR($T9="Parsel/Bingkisan (tidak dirinci)",$T9="Makanan &amp; Minuman",$T9="Peralatan Rumah Tangga / Pecah Belah",$T9="Pakaian &amp; Kain")),"Momen Hari Raya (dugaan musiman)",IFERROR(VLOOKUP($W9,Kamus!$P$3:$Q$14,2,FALSE),"Tidak Teridentifikasi"))</f>
        <v>Relasi Personal / Tidak Teridentifikasi</v>
      </c>
      <c r="AA9" s="106" t="str">
        <f t="shared" si="2"/>
        <v>Relasi Personal / Tidak Teridentifikasi</v>
      </c>
    </row>
    <row r="10" spans="1:27">
      <c r="A10" s="106">
        <v>9</v>
      </c>
      <c r="B10" s="106" t="s">
        <v>1060</v>
      </c>
      <c r="C10" s="107" t="s">
        <v>1061</v>
      </c>
      <c r="D10" s="106" t="s">
        <v>1033</v>
      </c>
      <c r="E10" s="106" t="s">
        <v>1062</v>
      </c>
      <c r="F10" s="106" t="s">
        <v>1068</v>
      </c>
      <c r="G10" s="106" t="s">
        <v>1006</v>
      </c>
      <c r="H10" s="106" t="s">
        <v>1069</v>
      </c>
      <c r="I10" s="106" t="s">
        <v>1070</v>
      </c>
      <c r="K10" s="106" t="s">
        <v>1071</v>
      </c>
      <c r="L10" s="106" t="s">
        <v>1072</v>
      </c>
      <c r="O10" s="106" t="s">
        <v>274</v>
      </c>
      <c r="P10" s="106" t="s">
        <v>1067</v>
      </c>
      <c r="Q10" s="106" t="s">
        <v>350</v>
      </c>
      <c r="S10" s="106" t="str" cm="1">
        <f t="array" ref="S10">IF(TRIM($D10)="","(tidak diisi)",IFERROR(INDEX(Kamus!$B$3:$B$28,MATCH(TRUE,ISNUMBER(SEARCH(Kamus!$A$3:$A$28,$D10)),0)),"Jabatan Lainnya"))</f>
        <v>Hakim</v>
      </c>
      <c r="T10" s="106" t="str" cm="1">
        <f t="array" ref="T10">IF(TRIM($I10)="","(tidak diisi)",IFERROR(INDEX(Kamus!$E$3:$E$162,MATCH(TRUE,ISNUMBER(SEARCH(Kamus!$D$3:$D$162,$I10)),0)),"Barang Lain / Tidak Terinci"))</f>
        <v>Makanan &amp; Minuman</v>
      </c>
      <c r="U10" s="106" t="str" cm="1">
        <f t="array" ref="U10">IF(TRIM($I10)="","(tidak diisi)",IFERROR(INDEX(Kamus!$H$3:$H$75,MATCH(TRUE,ISNUMBER(SEARCH(Kamus!$G$3:$G$75,$I10)),0)),"Pemberian Umum / Tanpa Konteks"))</f>
        <v>Pemberian Umum / Tanpa Konteks</v>
      </c>
      <c r="V10" s="106" t="str">
        <f t="shared" si="0"/>
        <v>2025</v>
      </c>
      <c r="W10" s="106" t="str" cm="1">
        <f t="array" ref="W10">IF(TRIM($K10)="","(tidak diisi)",IFERROR(INDEX(Kamus!$K$3:$K$118,MATCH(TRUE,ISNUMBER(SEARCH(Kamus!$J$3:$J$118,$K10)),0)),"Individu / Perorangan"))</f>
        <v>Individu / Perorangan</v>
      </c>
      <c r="X10" s="106" t="str">
        <f t="shared" si="1"/>
        <v>01</v>
      </c>
      <c r="Y10" s="106" t="str" cm="1">
        <f t="array" ref="Y10">IFERROR(INDEX(Kamus!$N$3:$N$111,MATCH(TRUE,ISNUMBER(SEARCH(Kamus!$M$3:$M$111,$I10)),0)),"")</f>
        <v/>
      </c>
      <c r="Z10" s="106" t="str">
        <f>IF(AND(OR($X10="02",$X10="03",$X10="04"),OR($T10="Parsel/Bingkisan (tidak dirinci)",$T10="Makanan &amp; Minuman",$T10="Peralatan Rumah Tangga / Pecah Belah",$T10="Pakaian &amp; Kain")),"Momen Hari Raya (dugaan musiman)",IFERROR(VLOOKUP($W10,Kamus!$P$3:$Q$14,2,FALSE),"Tidak Teridentifikasi"))</f>
        <v>Relasi Personal / Tidak Teridentifikasi</v>
      </c>
      <c r="AA10" s="106" t="str">
        <f t="shared" si="2"/>
        <v>Relasi Personal / Tidak Teridentifikasi</v>
      </c>
    </row>
    <row r="11" spans="1:27">
      <c r="A11" s="106">
        <v>10</v>
      </c>
      <c r="B11" s="106" t="s">
        <v>1060</v>
      </c>
      <c r="C11" s="107" t="s">
        <v>1061</v>
      </c>
      <c r="D11" s="106" t="s">
        <v>1033</v>
      </c>
      <c r="E11" s="106" t="s">
        <v>1062</v>
      </c>
      <c r="F11" s="106" t="s">
        <v>1073</v>
      </c>
      <c r="G11" s="106" t="s">
        <v>1074</v>
      </c>
      <c r="H11" s="106" t="s">
        <v>1075</v>
      </c>
      <c r="I11" s="106" t="s">
        <v>1076</v>
      </c>
      <c r="K11" s="106" t="s">
        <v>1077</v>
      </c>
      <c r="L11" s="106" t="s">
        <v>1078</v>
      </c>
      <c r="O11" s="106" t="s">
        <v>274</v>
      </c>
      <c r="P11" s="106" t="s">
        <v>1067</v>
      </c>
      <c r="Q11" s="106" t="s">
        <v>350</v>
      </c>
      <c r="S11" s="106" t="str" cm="1">
        <f t="array" ref="S11">IF(TRIM($D11)="","(tidak diisi)",IFERROR(INDEX(Kamus!$B$3:$B$28,MATCH(TRUE,ISNUMBER(SEARCH(Kamus!$A$3:$A$28,$D11)),0)),"Jabatan Lainnya"))</f>
        <v>Hakim</v>
      </c>
      <c r="T11" s="106" t="str" cm="1">
        <f t="array" ref="T11">IF(TRIM($I11)="","(tidak diisi)",IFERROR(INDEX(Kamus!$E$3:$E$162,MATCH(TRUE,ISNUMBER(SEARCH(Kamus!$D$3:$D$162,$I11)),0)),"Barang Lain / Tidak Terinci"))</f>
        <v>Makanan &amp; Minuman</v>
      </c>
      <c r="U11" s="106" t="str" cm="1">
        <f t="array" ref="U11">IF(TRIM($I11)="","(tidak diisi)",IFERROR(INDEX(Kamus!$H$3:$H$75,MATCH(TRUE,ISNUMBER(SEARCH(Kamus!$G$3:$G$75,$I11)),0)),"Pemberian Umum / Tanpa Konteks"))</f>
        <v>Jamuan / Konsumsi Rapat &amp; Kegiatan</v>
      </c>
      <c r="V11" s="106" t="str">
        <f t="shared" si="0"/>
        <v>2025</v>
      </c>
      <c r="W11" s="106" t="str" cm="1">
        <f t="array" ref="W11">IF(TRIM($K11)="","(tidak diisi)",IFERROR(INDEX(Kamus!$K$3:$K$118,MATCH(TRUE,ISNUMBER(SEARCH(Kamus!$J$3:$J$118,$K11)),0)),"Individu / Perorangan"))</f>
        <v>Individu / Perorangan</v>
      </c>
      <c r="X11" s="106" t="str">
        <f t="shared" si="1"/>
        <v>01</v>
      </c>
      <c r="Y11" s="106" t="str" cm="1">
        <f t="array" ref="Y11">IFERROR(INDEX(Kamus!$N$3:$N$111,MATCH(TRUE,ISNUMBER(SEARCH(Kamus!$M$3:$M$111,$I11)),0)),"")</f>
        <v>Rapat / Jamuan Dinas</v>
      </c>
      <c r="Z11" s="106" t="str">
        <f>IF(AND(OR($X11="02",$X11="03",$X11="04"),OR($T11="Parsel/Bingkisan (tidak dirinci)",$T11="Makanan &amp; Minuman",$T11="Peralatan Rumah Tangga / Pecah Belah",$T11="Pakaian &amp; Kain")),"Momen Hari Raya (dugaan musiman)",IFERROR(VLOOKUP($W11,Kamus!$P$3:$Q$14,2,FALSE),"Tidak Teridentifikasi"))</f>
        <v>Relasi Personal / Tidak Teridentifikasi</v>
      </c>
      <c r="AA11" s="106" t="str">
        <f t="shared" si="2"/>
        <v>Rapat / Jamuan Dinas</v>
      </c>
    </row>
    <row r="12" spans="1:27">
      <c r="A12" s="106">
        <v>11</v>
      </c>
      <c r="B12" s="106" t="s">
        <v>1079</v>
      </c>
      <c r="C12" s="107" t="s">
        <v>1080</v>
      </c>
      <c r="D12" s="106" t="s">
        <v>1081</v>
      </c>
      <c r="E12" s="106" t="s">
        <v>1082</v>
      </c>
      <c r="F12" s="106" t="s">
        <v>1083</v>
      </c>
      <c r="G12" s="106" t="s">
        <v>1006</v>
      </c>
      <c r="H12" s="106" t="s">
        <v>1084</v>
      </c>
      <c r="I12" s="106" t="s">
        <v>1017</v>
      </c>
      <c r="J12" s="106">
        <v>1752100</v>
      </c>
      <c r="K12" s="106" t="s">
        <v>1085</v>
      </c>
      <c r="L12" s="106" t="s">
        <v>1086</v>
      </c>
      <c r="M12" s="106" t="s">
        <v>1020</v>
      </c>
      <c r="O12" s="106" t="s">
        <v>274</v>
      </c>
      <c r="P12" s="106" t="s">
        <v>1087</v>
      </c>
      <c r="Q12" s="106" t="s">
        <v>307</v>
      </c>
      <c r="S12" s="106" t="str" cm="1">
        <f t="array" ref="S12">IF(TRIM($D12)="","(tidak diisi)",IFERROR(INDEX(Kamus!$B$3:$B$28,MATCH(TRUE,ISNUMBER(SEARCH(Kamus!$A$3:$A$28,$D12)),0)),"Jabatan Lainnya"))</f>
        <v>Hakim</v>
      </c>
      <c r="T12" s="106" t="str" cm="1">
        <f t="array" ref="T12">IF(TRIM($I12)="","(tidak diisi)",IFERROR(INDEX(Kamus!$E$3:$E$162,MATCH(TRUE,ISNUMBER(SEARCH(Kamus!$D$3:$D$162,$I12)),0)),"Barang Lain / Tidak Terinci"))</f>
        <v>Uang &amp; Setara Uang</v>
      </c>
      <c r="U12" s="106" t="str" cm="1">
        <f t="array" ref="U12">IF(TRIM($I12)="","(tidak diisi)",IFERROR(INDEX(Kamus!$H$3:$H$75,MATCH(TRUE,ISNUMBER(SEARCH(Kamus!$G$3:$G$75,$I12)),0)),"Pemberian Umum / Tanpa Konteks"))</f>
        <v>Pemberian Uang Langsung</v>
      </c>
      <c r="V12" s="106" t="str">
        <f t="shared" si="0"/>
        <v>2024</v>
      </c>
      <c r="W12" s="106" t="str" cm="1">
        <f t="array" ref="W12">IF(TRIM($K12)="","(tidak diisi)",IFERROR(INDEX(Kamus!$K$3:$K$118,MATCH(TRUE,ISNUMBER(SEARCH(Kamus!$J$3:$J$118,$K12)),0)),"Individu / Perorangan"))</f>
        <v>Kampus &amp; Sekolah</v>
      </c>
      <c r="X12" s="106" t="str">
        <f t="shared" si="1"/>
        <v>12</v>
      </c>
      <c r="Y12" s="106" t="str" cm="1">
        <f t="array" ref="Y12">IFERROR(INDEX(Kamus!$N$3:$N$111,MATCH(TRUE,ISNUMBER(SEARCH(Kamus!$M$3:$M$111,$I12)),0)),"")</f>
        <v/>
      </c>
      <c r="Z12" s="106" t="str">
        <f>IF(AND(OR($X12="02",$X12="03",$X12="04"),OR($T12="Parsel/Bingkisan (tidak dirinci)",$T12="Makanan &amp; Minuman",$T12="Peralatan Rumah Tangga / Pecah Belah",$T12="Pakaian &amp; Kain")),"Momen Hari Raya (dugaan musiman)",IFERROR(VLOOKUP($W12,Kamus!$P$3:$Q$14,2,FALSE),"Tidak Teridentifikasi"))</f>
        <v>Kerja Sama Pendidikan/PKL (dugaan)</v>
      </c>
      <c r="AA12" s="106" t="str">
        <f t="shared" si="2"/>
        <v>Kerja Sama Pendidikan/PKL (dugaan)</v>
      </c>
    </row>
    <row r="13" spans="1:27">
      <c r="A13" s="106">
        <v>12</v>
      </c>
      <c r="B13" s="106" t="s">
        <v>1088</v>
      </c>
      <c r="C13" s="107" t="s">
        <v>1089</v>
      </c>
      <c r="D13" s="106" t="s">
        <v>1033</v>
      </c>
      <c r="E13" s="106" t="s">
        <v>1090</v>
      </c>
      <c r="F13" s="106" t="s">
        <v>1091</v>
      </c>
      <c r="G13" s="106" t="s">
        <v>1006</v>
      </c>
      <c r="H13" s="106" t="s">
        <v>1069</v>
      </c>
      <c r="I13" s="106" t="s">
        <v>1092</v>
      </c>
      <c r="K13" s="106" t="s">
        <v>1093</v>
      </c>
      <c r="L13" s="106" t="s">
        <v>1094</v>
      </c>
      <c r="O13" s="106" t="s">
        <v>274</v>
      </c>
      <c r="P13" s="106" t="s">
        <v>1095</v>
      </c>
      <c r="Q13" s="106" t="s">
        <v>348</v>
      </c>
      <c r="S13" s="106" t="str" cm="1">
        <f t="array" ref="S13">IF(TRIM($D13)="","(tidak diisi)",IFERROR(INDEX(Kamus!$B$3:$B$28,MATCH(TRUE,ISNUMBER(SEARCH(Kamus!$A$3:$A$28,$D13)),0)),"Jabatan Lainnya"))</f>
        <v>Hakim</v>
      </c>
      <c r="T13" s="106" t="str" cm="1">
        <f t="array" ref="T13">IF(TRIM($I13)="","(tidak diisi)",IFERROR(INDEX(Kamus!$E$3:$E$162,MATCH(TRUE,ISNUMBER(SEARCH(Kamus!$D$3:$D$162,$I13)),0)),"Barang Lain / Tidak Terinci"))</f>
        <v>Makanan &amp; Minuman</v>
      </c>
      <c r="U13" s="106" t="str" cm="1">
        <f t="array" ref="U13">IF(TRIM($I13)="","(tidak diisi)",IFERROR(INDEX(Kamus!$H$3:$H$75,MATCH(TRUE,ISNUMBER(SEARCH(Kamus!$G$3:$G$75,$I13)),0)),"Pemberian Umum / Tanpa Konteks"))</f>
        <v>Pemberian Umum / Tanpa Konteks</v>
      </c>
      <c r="V13" s="106" t="str">
        <f t="shared" si="0"/>
        <v>2025</v>
      </c>
      <c r="W13" s="106" t="str" cm="1">
        <f t="array" ref="W13">IF(TRIM($K13)="","(tidak diisi)",IFERROR(INDEX(Kamus!$K$3:$K$118,MATCH(TRUE,ISNUMBER(SEARCH(Kamus!$J$3:$J$118,$K13)),0)),"Individu / Perorangan"))</f>
        <v>Individu / Perorangan</v>
      </c>
      <c r="X13" s="106" t="str">
        <f t="shared" si="1"/>
        <v>01</v>
      </c>
      <c r="Y13" s="106" t="str" cm="1">
        <f t="array" ref="Y13">IFERROR(INDEX(Kamus!$N$3:$N$111,MATCH(TRUE,ISNUMBER(SEARCH(Kamus!$M$3:$M$111,$I13)),0)),"")</f>
        <v/>
      </c>
      <c r="Z13" s="106" t="str">
        <f>IF(AND(OR($X13="02",$X13="03",$X13="04"),OR($T13="Parsel/Bingkisan (tidak dirinci)",$T13="Makanan &amp; Minuman",$T13="Peralatan Rumah Tangga / Pecah Belah",$T13="Pakaian &amp; Kain")),"Momen Hari Raya (dugaan musiman)",IFERROR(VLOOKUP($W13,Kamus!$P$3:$Q$14,2,FALSE),"Tidak Teridentifikasi"))</f>
        <v>Relasi Personal / Tidak Teridentifikasi</v>
      </c>
      <c r="AA13" s="106" t="str">
        <f t="shared" si="2"/>
        <v>Relasi Personal / Tidak Teridentifikasi</v>
      </c>
    </row>
    <row r="14" spans="1:27">
      <c r="A14" s="106">
        <v>13</v>
      </c>
      <c r="B14" s="106" t="s">
        <v>1096</v>
      </c>
      <c r="C14" s="107" t="s">
        <v>1097</v>
      </c>
      <c r="D14" s="106" t="s">
        <v>1042</v>
      </c>
      <c r="E14" s="106" t="s">
        <v>1098</v>
      </c>
      <c r="F14" s="106" t="s">
        <v>1099</v>
      </c>
      <c r="G14" s="106" t="s">
        <v>1006</v>
      </c>
      <c r="H14" s="106" t="s">
        <v>1069</v>
      </c>
      <c r="I14" s="106" t="s">
        <v>1100</v>
      </c>
      <c r="J14" s="106">
        <v>20000</v>
      </c>
      <c r="K14" s="106" t="s">
        <v>1101</v>
      </c>
      <c r="L14" s="106" t="s">
        <v>1102</v>
      </c>
      <c r="M14" s="106" t="s">
        <v>1020</v>
      </c>
      <c r="O14" s="106" t="s">
        <v>274</v>
      </c>
      <c r="P14" s="106" t="s">
        <v>1103</v>
      </c>
      <c r="Q14" s="106" t="s">
        <v>415</v>
      </c>
      <c r="S14" s="106" t="str" cm="1">
        <f t="array" ref="S14">IF(TRIM($D14)="","(tidak diisi)",IFERROR(INDEX(Kamus!$B$3:$B$28,MATCH(TRUE,ISNUMBER(SEARCH(Kamus!$A$3:$A$28,$D14)),0)),"Jabatan Lainnya"))</f>
        <v>Ketua Pengadilan</v>
      </c>
      <c r="T14" s="106" t="str" cm="1">
        <f t="array" ref="T14">IF(TRIM($I14)="","(tidak diisi)",IFERROR(INDEX(Kamus!$E$3:$E$162,MATCH(TRUE,ISNUMBER(SEARCH(Kamus!$D$3:$D$162,$I14)),0)),"Barang Lain / Tidak Terinci"))</f>
        <v>Makanan &amp; Minuman</v>
      </c>
      <c r="U14" s="106" t="str" cm="1">
        <f t="array" ref="U14">IF(TRIM($I14)="","(tidak diisi)",IFERROR(INDEX(Kamus!$H$3:$H$75,MATCH(TRUE,ISNUMBER(SEARCH(Kamus!$G$3:$G$75,$I14)),0)),"Pemberian Umum / Tanpa Konteks"))</f>
        <v>Pemberian Umum / Tanpa Konteks</v>
      </c>
      <c r="V14" s="106" t="str">
        <f t="shared" si="0"/>
        <v>2025</v>
      </c>
      <c r="W14" s="106" t="str" cm="1">
        <f t="array" ref="W14">IF(TRIM($K14)="","(tidak diisi)",IFERROR(INDEX(Kamus!$K$3:$K$118,MATCH(TRUE,ISNUMBER(SEARCH(Kamus!$J$3:$J$118,$K14)),0)),"Individu / Perorangan"))</f>
        <v>Internal Peradilan / Instansi Sendiri</v>
      </c>
      <c r="X14" s="106" t="str">
        <f t="shared" si="1"/>
        <v>01</v>
      </c>
      <c r="Y14" s="106" t="str" cm="1">
        <f t="array" ref="Y14">IFERROR(INDEX(Kamus!$N$3:$N$111,MATCH(TRUE,ISNUMBER(SEARCH(Kamus!$M$3:$M$111,$I14)),0)),"")</f>
        <v/>
      </c>
      <c r="Z14" s="106" t="str">
        <f>IF(AND(OR($X14="02",$X14="03",$X14="04"),OR($T14="Parsel/Bingkisan (tidak dirinci)",$T14="Makanan &amp; Minuman",$T14="Peralatan Rumah Tangga / Pecah Belah",$T14="Pakaian &amp; Kain")),"Momen Hari Raya (dugaan musiman)",IFERROR(VLOOKUP($W14,Kamus!$P$3:$Q$14,2,FALSE),"Tidak Teridentifikasi"))</f>
        <v>Kunjungan/Koordinasi Internal Peradilan (dugaan)</v>
      </c>
      <c r="AA14" s="106" t="str">
        <f t="shared" si="2"/>
        <v>Kunjungan/Koordinasi Internal Peradilan (dugaan)</v>
      </c>
    </row>
    <row r="15" spans="1:27">
      <c r="A15" s="106">
        <v>14</v>
      </c>
      <c r="B15" s="106" t="s">
        <v>1096</v>
      </c>
      <c r="C15" s="107" t="s">
        <v>1097</v>
      </c>
      <c r="D15" s="106" t="s">
        <v>1042</v>
      </c>
      <c r="E15" s="106" t="s">
        <v>1098</v>
      </c>
      <c r="F15" s="106" t="s">
        <v>1099</v>
      </c>
      <c r="G15" s="106" t="s">
        <v>1006</v>
      </c>
      <c r="H15" s="106" t="s">
        <v>1069</v>
      </c>
      <c r="I15" s="106" t="s">
        <v>1104</v>
      </c>
      <c r="J15" s="106">
        <v>100000</v>
      </c>
      <c r="K15" s="106" t="s">
        <v>1101</v>
      </c>
      <c r="L15" s="106" t="s">
        <v>1102</v>
      </c>
      <c r="M15" s="106" t="s">
        <v>1020</v>
      </c>
      <c r="O15" s="106" t="s">
        <v>274</v>
      </c>
      <c r="P15" s="106" t="s">
        <v>1103</v>
      </c>
      <c r="Q15" s="106" t="s">
        <v>415</v>
      </c>
      <c r="S15" s="106" t="str" cm="1">
        <f t="array" ref="S15">IF(TRIM($D15)="","(tidak diisi)",IFERROR(INDEX(Kamus!$B$3:$B$28,MATCH(TRUE,ISNUMBER(SEARCH(Kamus!$A$3:$A$28,$D15)),0)),"Jabatan Lainnya"))</f>
        <v>Ketua Pengadilan</v>
      </c>
      <c r="T15" s="106" t="str" cm="1">
        <f t="array" ref="T15">IF(TRIM($I15)="","(tidak diisi)",IFERROR(INDEX(Kamus!$E$3:$E$162,MATCH(TRUE,ISNUMBER(SEARCH(Kamus!$D$3:$D$162,$I15)),0)),"Barang Lain / Tidak Terinci"))</f>
        <v>Pakaian &amp; Kain</v>
      </c>
      <c r="U15" s="106" t="str" cm="1">
        <f t="array" ref="U15">IF(TRIM($I15)="","(tidak diisi)",IFERROR(INDEX(Kamus!$H$3:$H$75,MATCH(TRUE,ISNUMBER(SEARCH(Kamus!$G$3:$G$75,$I15)),0)),"Pemberian Umum / Tanpa Konteks"))</f>
        <v>Pemberian Umum / Tanpa Konteks</v>
      </c>
      <c r="V15" s="106" t="str">
        <f t="shared" si="0"/>
        <v>2025</v>
      </c>
      <c r="W15" s="106" t="str" cm="1">
        <f t="array" ref="W15">IF(TRIM($K15)="","(tidak diisi)",IFERROR(INDEX(Kamus!$K$3:$K$118,MATCH(TRUE,ISNUMBER(SEARCH(Kamus!$J$3:$J$118,$K15)),0)),"Individu / Perorangan"))</f>
        <v>Internal Peradilan / Instansi Sendiri</v>
      </c>
      <c r="X15" s="106" t="str">
        <f t="shared" si="1"/>
        <v>01</v>
      </c>
      <c r="Y15" s="106" t="str" cm="1">
        <f t="array" ref="Y15">IFERROR(INDEX(Kamus!$N$3:$N$111,MATCH(TRUE,ISNUMBER(SEARCH(Kamus!$M$3:$M$111,$I15)),0)),"")</f>
        <v/>
      </c>
      <c r="Z15" s="106" t="str">
        <f>IF(AND(OR($X15="02",$X15="03",$X15="04"),OR($T15="Parsel/Bingkisan (tidak dirinci)",$T15="Makanan &amp; Minuman",$T15="Peralatan Rumah Tangga / Pecah Belah",$T15="Pakaian &amp; Kain")),"Momen Hari Raya (dugaan musiman)",IFERROR(VLOOKUP($W15,Kamus!$P$3:$Q$14,2,FALSE),"Tidak Teridentifikasi"))</f>
        <v>Kunjungan/Koordinasi Internal Peradilan (dugaan)</v>
      </c>
      <c r="AA15" s="106" t="str">
        <f t="shared" si="2"/>
        <v>Kunjungan/Koordinasi Internal Peradilan (dugaan)</v>
      </c>
    </row>
    <row r="16" spans="1:27">
      <c r="A16" s="106">
        <v>15</v>
      </c>
      <c r="B16" s="106" t="s">
        <v>1105</v>
      </c>
      <c r="C16" s="107" t="s">
        <v>1106</v>
      </c>
      <c r="D16" s="106" t="s">
        <v>1042</v>
      </c>
      <c r="E16" s="106" t="s">
        <v>1014</v>
      </c>
      <c r="F16" s="106" t="s">
        <v>1107</v>
      </c>
      <c r="G16" s="106" t="s">
        <v>1006</v>
      </c>
      <c r="H16" s="106" t="s">
        <v>1035</v>
      </c>
      <c r="I16" s="106" t="s">
        <v>1017</v>
      </c>
      <c r="J16" s="106">
        <v>150000</v>
      </c>
      <c r="K16" s="106" t="s">
        <v>1108</v>
      </c>
      <c r="L16" s="106" t="s">
        <v>1109</v>
      </c>
      <c r="M16" s="106" t="s">
        <v>1110</v>
      </c>
      <c r="N16" s="106" t="s">
        <v>1111</v>
      </c>
      <c r="O16" s="106" t="s">
        <v>274</v>
      </c>
      <c r="P16" s="106" t="s">
        <v>1021</v>
      </c>
      <c r="Q16" s="106" t="s">
        <v>428</v>
      </c>
      <c r="S16" s="106" t="str" cm="1">
        <f t="array" ref="S16">IF(TRIM($D16)="","(tidak diisi)",IFERROR(INDEX(Kamus!$B$3:$B$28,MATCH(TRUE,ISNUMBER(SEARCH(Kamus!$A$3:$A$28,$D16)),0)),"Jabatan Lainnya"))</f>
        <v>Ketua Pengadilan</v>
      </c>
      <c r="T16" s="106" t="str" cm="1">
        <f t="array" ref="T16">IF(TRIM($I16)="","(tidak diisi)",IFERROR(INDEX(Kamus!$E$3:$E$162,MATCH(TRUE,ISNUMBER(SEARCH(Kamus!$D$3:$D$162,$I16)),0)),"Barang Lain / Tidak Terinci"))</f>
        <v>Uang &amp; Setara Uang</v>
      </c>
      <c r="U16" s="106" t="str" cm="1">
        <f t="array" ref="U16">IF(TRIM($I16)="","(tidak diisi)",IFERROR(INDEX(Kamus!$H$3:$H$75,MATCH(TRUE,ISNUMBER(SEARCH(Kamus!$G$3:$G$75,$I16)),0)),"Pemberian Umum / Tanpa Konteks"))</f>
        <v>Pemberian Uang Langsung</v>
      </c>
      <c r="V16" s="106" t="str">
        <f t="shared" si="0"/>
        <v>2025</v>
      </c>
      <c r="W16" s="106" t="str" cm="1">
        <f t="array" ref="W16">IF(TRIM($K16)="","(tidak diisi)",IFERROR(INDEX(Kamus!$K$3:$K$118,MATCH(TRUE,ISNUMBER(SEARCH(Kamus!$J$3:$J$118,$K16)),0)),"Individu / Perorangan"))</f>
        <v>Individu / Perorangan</v>
      </c>
      <c r="X16" s="106" t="str">
        <f t="shared" si="1"/>
        <v>01</v>
      </c>
      <c r="Y16" s="106" t="str" cm="1">
        <f t="array" ref="Y16">IFERROR(INDEX(Kamus!$N$3:$N$111,MATCH(TRUE,ISNUMBER(SEARCH(Kamus!$M$3:$M$111,$I16)),0)),"")</f>
        <v/>
      </c>
      <c r="Z16" s="106" t="str">
        <f>IF(AND(OR($X16="02",$X16="03",$X16="04"),OR($T16="Parsel/Bingkisan (tidak dirinci)",$T16="Makanan &amp; Minuman",$T16="Peralatan Rumah Tangga / Pecah Belah",$T16="Pakaian &amp; Kain")),"Momen Hari Raya (dugaan musiman)",IFERROR(VLOOKUP($W16,Kamus!$P$3:$Q$14,2,FALSE),"Tidak Teridentifikasi"))</f>
        <v>Relasi Personal / Tidak Teridentifikasi</v>
      </c>
      <c r="AA16" s="106" t="str">
        <f t="shared" si="2"/>
        <v>Relasi Personal / Tidak Teridentifikasi</v>
      </c>
    </row>
    <row r="17" spans="1:27">
      <c r="A17" s="106">
        <v>16</v>
      </c>
      <c r="B17" s="106" t="s">
        <v>1112</v>
      </c>
      <c r="C17" s="107" t="s">
        <v>1113</v>
      </c>
      <c r="D17" s="106" t="s">
        <v>1114</v>
      </c>
      <c r="E17" s="106" t="s">
        <v>1115</v>
      </c>
      <c r="F17" s="106" t="s">
        <v>1116</v>
      </c>
      <c r="G17" s="106" t="s">
        <v>1006</v>
      </c>
      <c r="H17" s="106" t="s">
        <v>1117</v>
      </c>
      <c r="I17" s="106" t="s">
        <v>1118</v>
      </c>
      <c r="J17" s="106">
        <v>100000</v>
      </c>
      <c r="K17" s="106" t="s">
        <v>1119</v>
      </c>
      <c r="L17" s="106" t="s">
        <v>1120</v>
      </c>
      <c r="M17" s="106" t="s">
        <v>1020</v>
      </c>
      <c r="O17" s="106" t="s">
        <v>274</v>
      </c>
      <c r="P17" s="106" t="s">
        <v>1119</v>
      </c>
      <c r="Q17" s="106" t="s">
        <v>429</v>
      </c>
      <c r="S17" s="106" t="str" cm="1">
        <f t="array" ref="S17">IF(TRIM($D17)="","(tidak diisi)",IFERROR(INDEX(Kamus!$B$3:$B$28,MATCH(TRUE,ISNUMBER(SEARCH(Kamus!$A$3:$A$28,$D17)),0)),"Jabatan Lainnya"))</f>
        <v>Pejabat Struktural (Kasubbag/Kabag)</v>
      </c>
      <c r="T17" s="106" t="str" cm="1">
        <f t="array" ref="T17">IF(TRIM($I17)="","(tidak diisi)",IFERROR(INDEX(Kamus!$E$3:$E$162,MATCH(TRUE,ISNUMBER(SEARCH(Kamus!$D$3:$D$162,$I17)),0)),"Barang Lain / Tidak Terinci"))</f>
        <v>Peralatan Rumah Tangga / Pecah Belah</v>
      </c>
      <c r="U17" s="106" t="str" cm="1">
        <f t="array" ref="U17">IF(TRIM($I17)="","(tidak diisi)",IFERROR(INDEX(Kamus!$H$3:$H$75,MATCH(TRUE,ISNUMBER(SEARCH(Kamus!$G$3:$G$75,$I17)),0)),"Pemberian Umum / Tanpa Konteks"))</f>
        <v>Pemberian Umum / Tanpa Konteks</v>
      </c>
      <c r="V17" s="106" t="str">
        <f t="shared" si="0"/>
        <v>2025</v>
      </c>
      <c r="W17" s="106" t="str" cm="1">
        <f t="array" ref="W17">IF(TRIM($K17)="","(tidak diisi)",IFERROR(INDEX(Kamus!$K$3:$K$118,MATCH(TRUE,ISNUMBER(SEARCH(Kamus!$J$3:$J$118,$K17)),0)),"Individu / Perorangan"))</f>
        <v>Internal Peradilan / Instansi Sendiri</v>
      </c>
      <c r="X17" s="106" t="str">
        <f t="shared" si="1"/>
        <v>01</v>
      </c>
      <c r="Y17" s="106" t="str" cm="1">
        <f t="array" ref="Y17">IFERROR(INDEX(Kamus!$N$3:$N$111,MATCH(TRUE,ISNUMBER(SEARCH(Kamus!$M$3:$M$111,$I17)),0)),"")</f>
        <v/>
      </c>
      <c r="Z17" s="106" t="str">
        <f>IF(AND(OR($X17="02",$X17="03",$X17="04"),OR($T17="Parsel/Bingkisan (tidak dirinci)",$T17="Makanan &amp; Minuman",$T17="Peralatan Rumah Tangga / Pecah Belah",$T17="Pakaian &amp; Kain")),"Momen Hari Raya (dugaan musiman)",IFERROR(VLOOKUP($W17,Kamus!$P$3:$Q$14,2,FALSE),"Tidak Teridentifikasi"))</f>
        <v>Kunjungan/Koordinasi Internal Peradilan (dugaan)</v>
      </c>
      <c r="AA17" s="106" t="str">
        <f t="shared" si="2"/>
        <v>Kunjungan/Koordinasi Internal Peradilan (dugaan)</v>
      </c>
    </row>
    <row r="18" spans="1:27">
      <c r="A18" s="106">
        <v>17</v>
      </c>
      <c r="B18" s="106" t="s">
        <v>1060</v>
      </c>
      <c r="C18" s="107" t="s">
        <v>1061</v>
      </c>
      <c r="D18" s="106" t="s">
        <v>1033</v>
      </c>
      <c r="E18" s="106" t="s">
        <v>1062</v>
      </c>
      <c r="F18" s="106" t="s">
        <v>1121</v>
      </c>
      <c r="G18" s="106" t="s">
        <v>1006</v>
      </c>
      <c r="H18" s="106" t="s">
        <v>1117</v>
      </c>
      <c r="I18" s="106" t="s">
        <v>1122</v>
      </c>
      <c r="J18" s="106">
        <v>25000</v>
      </c>
      <c r="K18" s="106" t="s">
        <v>1123</v>
      </c>
      <c r="L18" s="106" t="s">
        <v>1124</v>
      </c>
      <c r="M18" s="106" t="s">
        <v>1020</v>
      </c>
      <c r="O18" s="106" t="s">
        <v>274</v>
      </c>
      <c r="P18" s="106" t="s">
        <v>1067</v>
      </c>
      <c r="Q18" s="106" t="s">
        <v>350</v>
      </c>
      <c r="S18" s="106" t="str" cm="1">
        <f t="array" ref="S18">IF(TRIM($D18)="","(tidak diisi)",IFERROR(INDEX(Kamus!$B$3:$B$28,MATCH(TRUE,ISNUMBER(SEARCH(Kamus!$A$3:$A$28,$D18)),0)),"Jabatan Lainnya"))</f>
        <v>Hakim</v>
      </c>
      <c r="T18" s="106" t="str" cm="1">
        <f t="array" ref="T18">IF(TRIM($I18)="","(tidak diisi)",IFERROR(INDEX(Kamus!$E$3:$E$162,MATCH(TRUE,ISNUMBER(SEARCH(Kamus!$D$3:$D$162,$I18)),0)),"Barang Lain / Tidak Terinci"))</f>
        <v>Peralatan Rumah Tangga / Pecah Belah</v>
      </c>
      <c r="U18" s="106" t="str" cm="1">
        <f t="array" ref="U18">IF(TRIM($I18)="","(tidak diisi)",IFERROR(INDEX(Kamus!$H$3:$H$75,MATCH(TRUE,ISNUMBER(SEARCH(Kamus!$G$3:$G$75,$I18)),0)),"Pemberian Umum / Tanpa Konteks"))</f>
        <v>Pemberian Umum / Tanpa Konteks</v>
      </c>
      <c r="V18" s="106" t="str">
        <f t="shared" si="0"/>
        <v>2025</v>
      </c>
      <c r="W18" s="106" t="str" cm="1">
        <f t="array" ref="W18">IF(TRIM($K18)="","(tidak diisi)",IFERROR(INDEX(Kamus!$K$3:$K$118,MATCH(TRUE,ISNUMBER(SEARCH(Kamus!$J$3:$J$118,$K18)),0)),"Individu / Perorangan"))</f>
        <v>Individu / Perorangan</v>
      </c>
      <c r="X18" s="106" t="str">
        <f t="shared" si="1"/>
        <v>01</v>
      </c>
      <c r="Y18" s="106" t="str" cm="1">
        <f t="array" ref="Y18">IFERROR(INDEX(Kamus!$N$3:$N$111,MATCH(TRUE,ISNUMBER(SEARCH(Kamus!$M$3:$M$111,$I18)),0)),"")</f>
        <v/>
      </c>
      <c r="Z18" s="106" t="str">
        <f>IF(AND(OR($X18="02",$X18="03",$X18="04"),OR($T18="Parsel/Bingkisan (tidak dirinci)",$T18="Makanan &amp; Minuman",$T18="Peralatan Rumah Tangga / Pecah Belah",$T18="Pakaian &amp; Kain")),"Momen Hari Raya (dugaan musiman)",IFERROR(VLOOKUP($W18,Kamus!$P$3:$Q$14,2,FALSE),"Tidak Teridentifikasi"))</f>
        <v>Relasi Personal / Tidak Teridentifikasi</v>
      </c>
      <c r="AA18" s="106" t="str">
        <f t="shared" si="2"/>
        <v>Relasi Personal / Tidak Teridentifikasi</v>
      </c>
    </row>
    <row r="19" spans="1:27">
      <c r="A19" s="106">
        <v>18</v>
      </c>
      <c r="B19" s="106" t="s">
        <v>1125</v>
      </c>
      <c r="C19" s="107" t="s">
        <v>1126</v>
      </c>
      <c r="D19" s="106" t="s">
        <v>1081</v>
      </c>
      <c r="E19" s="106" t="s">
        <v>1005</v>
      </c>
      <c r="G19" s="106" t="s">
        <v>1006</v>
      </c>
      <c r="L19" s="106" t="s">
        <v>1127</v>
      </c>
      <c r="O19" s="106" t="s">
        <v>274</v>
      </c>
      <c r="S19" s="106" t="str" cm="1">
        <f t="array" ref="S19">IF(TRIM($D19)="","(tidak diisi)",IFERROR(INDEX(Kamus!$B$3:$B$28,MATCH(TRUE,ISNUMBER(SEARCH(Kamus!$A$3:$A$28,$D19)),0)),"Jabatan Lainnya"))</f>
        <v>Hakim</v>
      </c>
      <c r="T19" s="106" t="str" cm="1">
        <f t="array" ref="T19">IF(TRIM($I19)="","(tidak diisi)",IFERROR(INDEX(Kamus!$E$3:$E$162,MATCH(TRUE,ISNUMBER(SEARCH(Kamus!$D$3:$D$162,$I19)),0)),"Barang Lain / Tidak Terinci"))</f>
        <v>(tidak diisi)</v>
      </c>
      <c r="U19" s="106" t="str" cm="1">
        <f t="array" ref="U19">IF(TRIM($I19)="","(tidak diisi)",IFERROR(INDEX(Kamus!$H$3:$H$75,MATCH(TRUE,ISNUMBER(SEARCH(Kamus!$G$3:$G$75,$I19)),0)),"Pemberian Umum / Tanpa Konteks"))</f>
        <v>(tidak diisi)</v>
      </c>
      <c r="V19" s="106" t="str">
        <f t="shared" si="0"/>
        <v>(tidak diisi)</v>
      </c>
      <c r="W19" s="106" t="str" cm="1">
        <f t="array" ref="W19">IF(TRIM($K19)="","(tidak diisi)",IFERROR(INDEX(Kamus!$K$3:$K$118,MATCH(TRUE,ISNUMBER(SEARCH(Kamus!$J$3:$J$118,$K19)),0)),"Individu / Perorangan"))</f>
        <v>(tidak diisi)</v>
      </c>
      <c r="X19" s="106" t="str">
        <f t="shared" si="1"/>
        <v>(tidak diisi)</v>
      </c>
      <c r="Y19" s="106" t="str" cm="1">
        <f t="array" ref="Y19">IFERROR(INDEX(Kamus!$N$3:$N$111,MATCH(TRUE,ISNUMBER(SEARCH(Kamus!$M$3:$M$111,$I19)),0)),"")</f>
        <v/>
      </c>
      <c r="Z19" s="106" t="str">
        <f>IF(AND(OR($X19="02",$X19="03",$X19="04"),OR($T19="Parsel/Bingkisan (tidak dirinci)",$T19="Makanan &amp; Minuman",$T19="Peralatan Rumah Tangga / Pecah Belah",$T19="Pakaian &amp; Kain")),"Momen Hari Raya (dugaan musiman)",IFERROR(VLOOKUP($W19,Kamus!$P$3:$Q$14,2,FALSE),"Tidak Teridentifikasi"))</f>
        <v>Tidak Teridentifikasi</v>
      </c>
      <c r="AA19" s="106" t="str">
        <f t="shared" si="2"/>
        <v>Tidak Teridentifikasi</v>
      </c>
    </row>
    <row r="20" spans="1:27">
      <c r="A20" s="106">
        <v>19</v>
      </c>
      <c r="B20" s="106" t="s">
        <v>1128</v>
      </c>
      <c r="C20" s="107" t="s">
        <v>1129</v>
      </c>
      <c r="D20" s="106" t="s">
        <v>1130</v>
      </c>
      <c r="E20" s="106" t="s">
        <v>1115</v>
      </c>
      <c r="F20" s="106" t="s">
        <v>1131</v>
      </c>
      <c r="G20" s="106" t="s">
        <v>1006</v>
      </c>
      <c r="H20" s="106" t="s">
        <v>1117</v>
      </c>
      <c r="I20" s="106" t="s">
        <v>1132</v>
      </c>
      <c r="J20" s="106">
        <v>100000</v>
      </c>
      <c r="K20" s="106" t="s">
        <v>1133</v>
      </c>
      <c r="L20" s="106" t="s">
        <v>1134</v>
      </c>
      <c r="M20" s="106" t="s">
        <v>1020</v>
      </c>
      <c r="O20" s="106" t="s">
        <v>274</v>
      </c>
      <c r="P20" s="106" t="s">
        <v>1119</v>
      </c>
      <c r="Q20" s="106" t="s">
        <v>429</v>
      </c>
      <c r="S20" s="106" t="str" cm="1">
        <f t="array" ref="S20">IF(TRIM($D20)="","(tidak diisi)",IFERROR(INDEX(Kamus!$B$3:$B$28,MATCH(TRUE,ISNUMBER(SEARCH(Kamus!$A$3:$A$28,$D20)),0)),"Jabatan Lainnya"))</f>
        <v>Pejabat Struktural (Kasubbag/Kabag)</v>
      </c>
      <c r="T20" s="106" t="str" cm="1">
        <f t="array" ref="T20">IF(TRIM($I20)="","(tidak diisi)",IFERROR(INDEX(Kamus!$E$3:$E$162,MATCH(TRUE,ISNUMBER(SEARCH(Kamus!$D$3:$D$162,$I20)),0)),"Barang Lain / Tidak Terinci"))</f>
        <v>Peralatan Rumah Tangga / Pecah Belah</v>
      </c>
      <c r="U20" s="106" t="str" cm="1">
        <f t="array" ref="U20">IF(TRIM($I20)="","(tidak diisi)",IFERROR(INDEX(Kamus!$H$3:$H$75,MATCH(TRUE,ISNUMBER(SEARCH(Kamus!$G$3:$G$75,$I20)),0)),"Pemberian Umum / Tanpa Konteks"))</f>
        <v>Pemberian Umum / Tanpa Konteks</v>
      </c>
      <c r="V20" s="106" t="str">
        <f t="shared" si="0"/>
        <v>2025</v>
      </c>
      <c r="W20" s="106" t="str" cm="1">
        <f t="array" ref="W20">IF(TRIM($K20)="","(tidak diisi)",IFERROR(INDEX(Kamus!$K$3:$K$118,MATCH(TRUE,ISNUMBER(SEARCH(Kamus!$J$3:$J$118,$K20)),0)),"Individu / Perorangan"))</f>
        <v>Internal Peradilan / Instansi Sendiri</v>
      </c>
      <c r="X20" s="106" t="str">
        <f t="shared" si="1"/>
        <v>01</v>
      </c>
      <c r="Y20" s="106" t="str" cm="1">
        <f t="array" ref="Y20">IFERROR(INDEX(Kamus!$N$3:$N$111,MATCH(TRUE,ISNUMBER(SEARCH(Kamus!$M$3:$M$111,$I20)),0)),"")</f>
        <v/>
      </c>
      <c r="Z20" s="106" t="str">
        <f>IF(AND(OR($X20="02",$X20="03",$X20="04"),OR($T20="Parsel/Bingkisan (tidak dirinci)",$T20="Makanan &amp; Minuman",$T20="Peralatan Rumah Tangga / Pecah Belah",$T20="Pakaian &amp; Kain")),"Momen Hari Raya (dugaan musiman)",IFERROR(VLOOKUP($W20,Kamus!$P$3:$Q$14,2,FALSE),"Tidak Teridentifikasi"))</f>
        <v>Kunjungan/Koordinasi Internal Peradilan (dugaan)</v>
      </c>
      <c r="AA20" s="106" t="str">
        <f t="shared" si="2"/>
        <v>Kunjungan/Koordinasi Internal Peradilan (dugaan)</v>
      </c>
    </row>
    <row r="21" spans="1:27">
      <c r="A21" s="106">
        <v>20</v>
      </c>
      <c r="B21" s="106" t="s">
        <v>1135</v>
      </c>
      <c r="C21" s="107" t="s">
        <v>1136</v>
      </c>
      <c r="D21" s="106" t="s">
        <v>1137</v>
      </c>
      <c r="E21" s="106" t="s">
        <v>1138</v>
      </c>
      <c r="G21" s="106" t="s">
        <v>1006</v>
      </c>
      <c r="L21" s="106" t="s">
        <v>1127</v>
      </c>
      <c r="O21" s="106" t="s">
        <v>274</v>
      </c>
      <c r="P21" s="106" t="s">
        <v>405</v>
      </c>
      <c r="Q21" s="106" t="s">
        <v>405</v>
      </c>
      <c r="S21" s="106" t="str" cm="1">
        <f t="array" ref="S21">IF(TRIM($D21)="","(tidak diisi)",IFERROR(INDEX(Kamus!$B$3:$B$28,MATCH(TRUE,ISNUMBER(SEARCH(Kamus!$A$3:$A$28,$D21)),0)),"Jabatan Lainnya"))</f>
        <v>Hakim</v>
      </c>
      <c r="T21" s="106" t="str" cm="1">
        <f t="array" ref="T21">IF(TRIM($I21)="","(tidak diisi)",IFERROR(INDEX(Kamus!$E$3:$E$162,MATCH(TRUE,ISNUMBER(SEARCH(Kamus!$D$3:$D$162,$I21)),0)),"Barang Lain / Tidak Terinci"))</f>
        <v>(tidak diisi)</v>
      </c>
      <c r="U21" s="106" t="str" cm="1">
        <f t="array" ref="U21">IF(TRIM($I21)="","(tidak diisi)",IFERROR(INDEX(Kamus!$H$3:$H$75,MATCH(TRUE,ISNUMBER(SEARCH(Kamus!$G$3:$G$75,$I21)),0)),"Pemberian Umum / Tanpa Konteks"))</f>
        <v>(tidak diisi)</v>
      </c>
      <c r="V21" s="106" t="str">
        <f t="shared" si="0"/>
        <v>(tidak diisi)</v>
      </c>
      <c r="W21" s="106" t="str" cm="1">
        <f t="array" ref="W21">IF(TRIM($K21)="","(tidak diisi)",IFERROR(INDEX(Kamus!$K$3:$K$118,MATCH(TRUE,ISNUMBER(SEARCH(Kamus!$J$3:$J$118,$K21)),0)),"Individu / Perorangan"))</f>
        <v>(tidak diisi)</v>
      </c>
      <c r="X21" s="106" t="str">
        <f t="shared" si="1"/>
        <v>(tidak diisi)</v>
      </c>
      <c r="Y21" s="106" t="str" cm="1">
        <f t="array" ref="Y21">IFERROR(INDEX(Kamus!$N$3:$N$111,MATCH(TRUE,ISNUMBER(SEARCH(Kamus!$M$3:$M$111,$I21)),0)),"")</f>
        <v/>
      </c>
      <c r="Z21" s="106" t="str">
        <f>IF(AND(OR($X21="02",$X21="03",$X21="04"),OR($T21="Parsel/Bingkisan (tidak dirinci)",$T21="Makanan &amp; Minuman",$T21="Peralatan Rumah Tangga / Pecah Belah",$T21="Pakaian &amp; Kain")),"Momen Hari Raya (dugaan musiman)",IFERROR(VLOOKUP($W21,Kamus!$P$3:$Q$14,2,FALSE),"Tidak Teridentifikasi"))</f>
        <v>Tidak Teridentifikasi</v>
      </c>
      <c r="AA21" s="106" t="str">
        <f t="shared" si="2"/>
        <v>Tidak Teridentifikasi</v>
      </c>
    </row>
    <row r="22" spans="1:27">
      <c r="A22" s="106">
        <v>21</v>
      </c>
      <c r="B22" s="106" t="s">
        <v>1139</v>
      </c>
      <c r="C22" s="107" t="s">
        <v>1140</v>
      </c>
      <c r="D22" s="106" t="s">
        <v>1141</v>
      </c>
      <c r="E22" s="106" t="s">
        <v>1115</v>
      </c>
      <c r="F22" s="106" t="s">
        <v>1142</v>
      </c>
      <c r="G22" s="106" t="s">
        <v>1006</v>
      </c>
      <c r="H22" s="106" t="s">
        <v>1117</v>
      </c>
      <c r="I22" s="106" t="s">
        <v>1143</v>
      </c>
      <c r="J22" s="106">
        <v>20000</v>
      </c>
      <c r="K22" s="106" t="s">
        <v>1144</v>
      </c>
      <c r="L22" s="106" t="s">
        <v>1145</v>
      </c>
      <c r="M22" s="106" t="s">
        <v>1020</v>
      </c>
      <c r="O22" s="106" t="s">
        <v>274</v>
      </c>
      <c r="P22" s="106" t="s">
        <v>1119</v>
      </c>
      <c r="Q22" s="106" t="s">
        <v>429</v>
      </c>
      <c r="S22" s="106" t="str" cm="1">
        <f t="array" ref="S22">IF(TRIM($D22)="","(tidak diisi)",IFERROR(INDEX(Kamus!$B$3:$B$28,MATCH(TRUE,ISNUMBER(SEARCH(Kamus!$A$3:$A$28,$D22)),0)),"Jabatan Lainnya"))</f>
        <v>Jurusita</v>
      </c>
      <c r="T22" s="106" t="str" cm="1">
        <f t="array" ref="T22">IF(TRIM($I22)="","(tidak diisi)",IFERROR(INDEX(Kamus!$E$3:$E$162,MATCH(TRUE,ISNUMBER(SEARCH(Kamus!$D$3:$D$162,$I22)),0)),"Barang Lain / Tidak Terinci"))</f>
        <v>Peralatan Rumah Tangga / Pecah Belah</v>
      </c>
      <c r="U22" s="106" t="str" cm="1">
        <f t="array" ref="U22">IF(TRIM($I22)="","(tidak diisi)",IFERROR(INDEX(Kamus!$H$3:$H$75,MATCH(TRUE,ISNUMBER(SEARCH(Kamus!$G$3:$G$75,$I22)),0)),"Pemberian Umum / Tanpa Konteks"))</f>
        <v>Pemberian Umum / Tanpa Konteks</v>
      </c>
      <c r="V22" s="106" t="str">
        <f t="shared" si="0"/>
        <v>2025</v>
      </c>
      <c r="W22" s="106" t="str" cm="1">
        <f t="array" ref="W22">IF(TRIM($K22)="","(tidak diisi)",IFERROR(INDEX(Kamus!$K$3:$K$118,MATCH(TRUE,ISNUMBER(SEARCH(Kamus!$J$3:$J$118,$K22)),0)),"Individu / Perorangan"))</f>
        <v>Internal Peradilan / Instansi Sendiri</v>
      </c>
      <c r="X22" s="106" t="str">
        <f t="shared" si="1"/>
        <v>01</v>
      </c>
      <c r="Y22" s="106" t="str" cm="1">
        <f t="array" ref="Y22">IFERROR(INDEX(Kamus!$N$3:$N$111,MATCH(TRUE,ISNUMBER(SEARCH(Kamus!$M$3:$M$111,$I22)),0)),"")</f>
        <v/>
      </c>
      <c r="Z22" s="106" t="str">
        <f>IF(AND(OR($X22="02",$X22="03",$X22="04"),OR($T22="Parsel/Bingkisan (tidak dirinci)",$T22="Makanan &amp; Minuman",$T22="Peralatan Rumah Tangga / Pecah Belah",$T22="Pakaian &amp; Kain")),"Momen Hari Raya (dugaan musiman)",IFERROR(VLOOKUP($W22,Kamus!$P$3:$Q$14,2,FALSE),"Tidak Teridentifikasi"))</f>
        <v>Kunjungan/Koordinasi Internal Peradilan (dugaan)</v>
      </c>
      <c r="AA22" s="106" t="str">
        <f t="shared" si="2"/>
        <v>Kunjungan/Koordinasi Internal Peradilan (dugaan)</v>
      </c>
    </row>
    <row r="23" spans="1:27">
      <c r="A23" s="106">
        <v>22</v>
      </c>
      <c r="B23" s="106" t="s">
        <v>1146</v>
      </c>
      <c r="C23" s="107" t="s">
        <v>1147</v>
      </c>
      <c r="D23" s="106" t="s">
        <v>1148</v>
      </c>
      <c r="E23" s="106" t="s">
        <v>1115</v>
      </c>
      <c r="F23" s="106" t="s">
        <v>1149</v>
      </c>
      <c r="G23" s="106" t="s">
        <v>1006</v>
      </c>
      <c r="H23" s="106" t="s">
        <v>1117</v>
      </c>
      <c r="I23" s="106" t="s">
        <v>1150</v>
      </c>
      <c r="K23" s="106" t="s">
        <v>1151</v>
      </c>
      <c r="L23" s="106" t="s">
        <v>1152</v>
      </c>
      <c r="O23" s="106" t="s">
        <v>274</v>
      </c>
      <c r="P23" s="106" t="s">
        <v>1119</v>
      </c>
      <c r="Q23" s="106" t="s">
        <v>429</v>
      </c>
      <c r="S23" s="106" t="str" cm="1">
        <f t="array" ref="S23">IF(TRIM($D23)="","(tidak diisi)",IFERROR(INDEX(Kamus!$B$3:$B$28,MATCH(TRUE,ISNUMBER(SEARCH(Kamus!$A$3:$A$28,$D23)),0)),"Jabatan Lainnya"))</f>
        <v>Staf/Pegawai Pelaksana</v>
      </c>
      <c r="T23" s="106" t="str" cm="1">
        <f t="array" ref="T23">IF(TRIM($I23)="","(tidak diisi)",IFERROR(INDEX(Kamus!$E$3:$E$162,MATCH(TRUE,ISNUMBER(SEARCH(Kamus!$D$3:$D$162,$I23)),0)),"Barang Lain / Tidak Terinci"))</f>
        <v>Peralatan Rumah Tangga / Pecah Belah</v>
      </c>
      <c r="U23" s="106" t="str" cm="1">
        <f t="array" ref="U23">IF(TRIM($I23)="","(tidak diisi)",IFERROR(INDEX(Kamus!$H$3:$H$75,MATCH(TRUE,ISNUMBER(SEARCH(Kamus!$G$3:$G$75,$I23)),0)),"Pemberian Umum / Tanpa Konteks"))</f>
        <v>Pemberian Umum / Tanpa Konteks</v>
      </c>
      <c r="V23" s="106" t="str">
        <f t="shared" si="0"/>
        <v>2025</v>
      </c>
      <c r="W23" s="106" t="str" cm="1">
        <f t="array" ref="W23">IF(TRIM($K23)="","(tidak diisi)",IFERROR(INDEX(Kamus!$K$3:$K$118,MATCH(TRUE,ISNUMBER(SEARCH(Kamus!$J$3:$J$118,$K23)),0)),"Individu / Perorangan"))</f>
        <v>Internal Peradilan / Instansi Sendiri</v>
      </c>
      <c r="X23" s="106" t="str">
        <f t="shared" si="1"/>
        <v>01</v>
      </c>
      <c r="Y23" s="106" t="str" cm="1">
        <f t="array" ref="Y23">IFERROR(INDEX(Kamus!$N$3:$N$111,MATCH(TRUE,ISNUMBER(SEARCH(Kamus!$M$3:$M$111,$I23)),0)),"")</f>
        <v/>
      </c>
      <c r="Z23" s="106" t="str">
        <f>IF(AND(OR($X23="02",$X23="03",$X23="04"),OR($T23="Parsel/Bingkisan (tidak dirinci)",$T23="Makanan &amp; Minuman",$T23="Peralatan Rumah Tangga / Pecah Belah",$T23="Pakaian &amp; Kain")),"Momen Hari Raya (dugaan musiman)",IFERROR(VLOOKUP($W23,Kamus!$P$3:$Q$14,2,FALSE),"Tidak Teridentifikasi"))</f>
        <v>Kunjungan/Koordinasi Internal Peradilan (dugaan)</v>
      </c>
      <c r="AA23" s="106" t="str">
        <f t="shared" si="2"/>
        <v>Kunjungan/Koordinasi Internal Peradilan (dugaan)</v>
      </c>
    </row>
    <row r="24" spans="1:27">
      <c r="A24" s="106">
        <v>23</v>
      </c>
      <c r="B24" s="106" t="s">
        <v>1060</v>
      </c>
      <c r="C24" s="107" t="s">
        <v>1061</v>
      </c>
      <c r="D24" s="106" t="s">
        <v>1033</v>
      </c>
      <c r="E24" s="106" t="s">
        <v>1062</v>
      </c>
      <c r="F24" s="106" t="s">
        <v>1153</v>
      </c>
      <c r="G24" s="106" t="s">
        <v>1006</v>
      </c>
      <c r="H24" s="106" t="s">
        <v>1154</v>
      </c>
      <c r="I24" s="106" t="s">
        <v>1155</v>
      </c>
      <c r="J24" s="106">
        <v>175000</v>
      </c>
      <c r="K24" s="106" t="s">
        <v>1156</v>
      </c>
      <c r="L24" s="106" t="s">
        <v>1157</v>
      </c>
      <c r="M24" s="106" t="s">
        <v>1020</v>
      </c>
      <c r="O24" s="106" t="s">
        <v>274</v>
      </c>
      <c r="P24" s="106" t="s">
        <v>1067</v>
      </c>
      <c r="Q24" s="106" t="s">
        <v>350</v>
      </c>
      <c r="S24" s="106" t="str" cm="1">
        <f t="array" ref="S24">IF(TRIM($D24)="","(tidak diisi)",IFERROR(INDEX(Kamus!$B$3:$B$28,MATCH(TRUE,ISNUMBER(SEARCH(Kamus!$A$3:$A$28,$D24)),0)),"Jabatan Lainnya"))</f>
        <v>Hakim</v>
      </c>
      <c r="T24" s="106" t="str" cm="1">
        <f t="array" ref="T24">IF(TRIM($I24)="","(tidak diisi)",IFERROR(INDEX(Kamus!$E$3:$E$162,MATCH(TRUE,ISNUMBER(SEARCH(Kamus!$D$3:$D$162,$I24)),0)),"Barang Lain / Tidak Terinci"))</f>
        <v>Barang Lain / Tidak Terinci</v>
      </c>
      <c r="U24" s="106" t="str" cm="1">
        <f t="array" ref="U24">IF(TRIM($I24)="","(tidak diisi)",IFERROR(INDEX(Kamus!$H$3:$H$75,MATCH(TRUE,ISNUMBER(SEARCH(Kamus!$G$3:$G$75,$I24)),0)),"Pemberian Umum / Tanpa Konteks"))</f>
        <v>Pemberian Umum / Tanpa Konteks</v>
      </c>
      <c r="V24" s="106" t="str">
        <f t="shared" si="0"/>
        <v>2024</v>
      </c>
      <c r="W24" s="106" t="str" cm="1">
        <f t="array" ref="W24">IF(TRIM($K24)="","(tidak diisi)",IFERROR(INDEX(Kamus!$K$3:$K$118,MATCH(TRUE,ISNUMBER(SEARCH(Kamus!$J$3:$J$118,$K24)),0)),"Individu / Perorangan"))</f>
        <v>Organisasi / Panitia Kegiatan</v>
      </c>
      <c r="X24" s="106" t="str">
        <f t="shared" si="1"/>
        <v>12</v>
      </c>
      <c r="Y24" s="106" t="str" cm="1">
        <f t="array" ref="Y24">IFERROR(INDEX(Kamus!$N$3:$N$111,MATCH(TRUE,ISNUMBER(SEARCH(Kamus!$M$3:$M$111,$I24)),0)),"")</f>
        <v/>
      </c>
      <c r="Z24" s="106" t="str">
        <f>IF(AND(OR($X24="02",$X24="03",$X24="04"),OR($T24="Parsel/Bingkisan (tidak dirinci)",$T24="Makanan &amp; Minuman",$T24="Peralatan Rumah Tangga / Pecah Belah",$T24="Pakaian &amp; Kain")),"Momen Hari Raya (dugaan musiman)",IFERROR(VLOOKUP($W24,Kamus!$P$3:$Q$14,2,FALSE),"Tidak Teridentifikasi"))</f>
        <v>Kegiatan Organisasi/Panitia (dugaan)</v>
      </c>
      <c r="AA24" s="106" t="str">
        <f t="shared" si="2"/>
        <v>Kegiatan Organisasi/Panitia (dugaan)</v>
      </c>
    </row>
    <row r="25" spans="1:27">
      <c r="A25" s="106">
        <v>24</v>
      </c>
      <c r="B25" s="106" t="s">
        <v>1158</v>
      </c>
      <c r="C25" s="107" t="s">
        <v>1159</v>
      </c>
      <c r="D25" s="106" t="s">
        <v>1160</v>
      </c>
      <c r="E25" s="106" t="s">
        <v>1115</v>
      </c>
      <c r="F25" s="106" t="s">
        <v>1161</v>
      </c>
      <c r="G25" s="106" t="s">
        <v>1006</v>
      </c>
      <c r="H25" s="106" t="s">
        <v>1117</v>
      </c>
      <c r="I25" s="106" t="s">
        <v>1162</v>
      </c>
      <c r="K25" s="106" t="s">
        <v>1119</v>
      </c>
      <c r="L25" s="106" t="s">
        <v>1163</v>
      </c>
      <c r="O25" s="106" t="s">
        <v>274</v>
      </c>
      <c r="P25" s="106" t="s">
        <v>1119</v>
      </c>
      <c r="Q25" s="106" t="s">
        <v>429</v>
      </c>
      <c r="S25" s="106" t="str" cm="1">
        <f t="array" ref="S25">IF(TRIM($D25)="","(tidak diisi)",IFERROR(INDEX(Kamus!$B$3:$B$28,MATCH(TRUE,ISNUMBER(SEARCH(Kamus!$A$3:$A$28,$D25)),0)),"Jabatan Lainnya"))</f>
        <v>Panitera</v>
      </c>
      <c r="T25" s="106" t="str" cm="1">
        <f t="array" ref="T25">IF(TRIM($I25)="","(tidak diisi)",IFERROR(INDEX(Kamus!$E$3:$E$162,MATCH(TRUE,ISNUMBER(SEARCH(Kamus!$D$3:$D$162,$I25)),0)),"Barang Lain / Tidak Terinci"))</f>
        <v>Peralatan Rumah Tangga / Pecah Belah</v>
      </c>
      <c r="U25" s="106" t="str" cm="1">
        <f t="array" ref="U25">IF(TRIM($I25)="","(tidak diisi)",IFERROR(INDEX(Kamus!$H$3:$H$75,MATCH(TRUE,ISNUMBER(SEARCH(Kamus!$G$3:$G$75,$I25)),0)),"Pemberian Umum / Tanpa Konteks"))</f>
        <v>Pemberian Umum / Tanpa Konteks</v>
      </c>
      <c r="V25" s="106" t="str">
        <f t="shared" si="0"/>
        <v>2025</v>
      </c>
      <c r="W25" s="106" t="str" cm="1">
        <f t="array" ref="W25">IF(TRIM($K25)="","(tidak diisi)",IFERROR(INDEX(Kamus!$K$3:$K$118,MATCH(TRUE,ISNUMBER(SEARCH(Kamus!$J$3:$J$118,$K25)),0)),"Individu / Perorangan"))</f>
        <v>Internal Peradilan / Instansi Sendiri</v>
      </c>
      <c r="X25" s="106" t="str">
        <f t="shared" si="1"/>
        <v>01</v>
      </c>
      <c r="Y25" s="106" t="str" cm="1">
        <f t="array" ref="Y25">IFERROR(INDEX(Kamus!$N$3:$N$111,MATCH(TRUE,ISNUMBER(SEARCH(Kamus!$M$3:$M$111,$I25)),0)),"")</f>
        <v/>
      </c>
      <c r="Z25" s="106" t="str">
        <f>IF(AND(OR($X25="02",$X25="03",$X25="04"),OR($T25="Parsel/Bingkisan (tidak dirinci)",$T25="Makanan &amp; Minuman",$T25="Peralatan Rumah Tangga / Pecah Belah",$T25="Pakaian &amp; Kain")),"Momen Hari Raya (dugaan musiman)",IFERROR(VLOOKUP($W25,Kamus!$P$3:$Q$14,2,FALSE),"Tidak Teridentifikasi"))</f>
        <v>Kunjungan/Koordinasi Internal Peradilan (dugaan)</v>
      </c>
      <c r="AA25" s="106" t="str">
        <f t="shared" si="2"/>
        <v>Kunjungan/Koordinasi Internal Peradilan (dugaan)</v>
      </c>
    </row>
    <row r="26" spans="1:27">
      <c r="A26" s="106">
        <v>25</v>
      </c>
      <c r="B26" s="106" t="s">
        <v>1164</v>
      </c>
      <c r="C26" s="107" t="s">
        <v>1165</v>
      </c>
      <c r="D26" s="106" t="s">
        <v>1033</v>
      </c>
      <c r="E26" s="106" t="s">
        <v>1166</v>
      </c>
      <c r="F26" s="106" t="s">
        <v>1167</v>
      </c>
      <c r="G26" s="106" t="s">
        <v>1006</v>
      </c>
      <c r="H26" s="106" t="s">
        <v>1168</v>
      </c>
      <c r="I26" s="106" t="s">
        <v>1017</v>
      </c>
      <c r="J26" s="106">
        <v>100000</v>
      </c>
      <c r="K26" s="106" t="s">
        <v>1169</v>
      </c>
      <c r="L26" s="106" t="s">
        <v>1170</v>
      </c>
      <c r="M26" s="106" t="s">
        <v>1171</v>
      </c>
      <c r="N26" s="106" t="s">
        <v>1172</v>
      </c>
      <c r="O26" s="106" t="s">
        <v>274</v>
      </c>
      <c r="P26" s="106" t="s">
        <v>1173</v>
      </c>
      <c r="Q26" s="106" t="s">
        <v>431</v>
      </c>
      <c r="S26" s="106" t="str" cm="1">
        <f t="array" ref="S26">IF(TRIM($D26)="","(tidak diisi)",IFERROR(INDEX(Kamus!$B$3:$B$28,MATCH(TRUE,ISNUMBER(SEARCH(Kamus!$A$3:$A$28,$D26)),0)),"Jabatan Lainnya"))</f>
        <v>Hakim</v>
      </c>
      <c r="T26" s="106" t="str" cm="1">
        <f t="array" ref="T26">IF(TRIM($I26)="","(tidak diisi)",IFERROR(INDEX(Kamus!$E$3:$E$162,MATCH(TRUE,ISNUMBER(SEARCH(Kamus!$D$3:$D$162,$I26)),0)),"Barang Lain / Tidak Terinci"))</f>
        <v>Uang &amp; Setara Uang</v>
      </c>
      <c r="U26" s="106" t="str" cm="1">
        <f t="array" ref="U26">IF(TRIM($I26)="","(tidak diisi)",IFERROR(INDEX(Kamus!$H$3:$H$75,MATCH(TRUE,ISNUMBER(SEARCH(Kamus!$G$3:$G$75,$I26)),0)),"Pemberian Umum / Tanpa Konteks"))</f>
        <v>Pemberian Uang Langsung</v>
      </c>
      <c r="V26" s="106" t="str">
        <f t="shared" si="0"/>
        <v>2025</v>
      </c>
      <c r="W26" s="106" t="str" cm="1">
        <f t="array" ref="W26">IF(TRIM($K26)="","(tidak diisi)",IFERROR(INDEX(Kamus!$K$3:$K$118,MATCH(TRUE,ISNUMBER(SEARCH(Kamus!$J$3:$J$118,$K26)),0)),"Individu / Perorangan"))</f>
        <v>Individu / Perorangan</v>
      </c>
      <c r="X26" s="106" t="str">
        <f t="shared" si="1"/>
        <v>01</v>
      </c>
      <c r="Y26" s="106" t="str" cm="1">
        <f t="array" ref="Y26">IFERROR(INDEX(Kamus!$N$3:$N$111,MATCH(TRUE,ISNUMBER(SEARCH(Kamus!$M$3:$M$111,$I26)),0)),"")</f>
        <v/>
      </c>
      <c r="Z26" s="106" t="str">
        <f>IF(AND(OR($X26="02",$X26="03",$X26="04"),OR($T26="Parsel/Bingkisan (tidak dirinci)",$T26="Makanan &amp; Minuman",$T26="Peralatan Rumah Tangga / Pecah Belah",$T26="Pakaian &amp; Kain")),"Momen Hari Raya (dugaan musiman)",IFERROR(VLOOKUP($W26,Kamus!$P$3:$Q$14,2,FALSE),"Tidak Teridentifikasi"))</f>
        <v>Relasi Personal / Tidak Teridentifikasi</v>
      </c>
      <c r="AA26" s="106" t="str">
        <f t="shared" si="2"/>
        <v>Relasi Personal / Tidak Teridentifikasi</v>
      </c>
    </row>
    <row r="27" spans="1:27">
      <c r="A27" s="106">
        <v>26</v>
      </c>
      <c r="B27" s="106" t="s">
        <v>1174</v>
      </c>
      <c r="C27" s="107" t="s">
        <v>1175</v>
      </c>
      <c r="D27" s="106" t="s">
        <v>1042</v>
      </c>
      <c r="E27" s="106" t="s">
        <v>1176</v>
      </c>
      <c r="F27" s="106" t="s">
        <v>1177</v>
      </c>
      <c r="G27" s="106" t="s">
        <v>1006</v>
      </c>
      <c r="H27" s="106" t="s">
        <v>1168</v>
      </c>
      <c r="I27" s="106" t="s">
        <v>1178</v>
      </c>
      <c r="J27" s="106">
        <v>500000</v>
      </c>
      <c r="K27" s="106" t="s">
        <v>1179</v>
      </c>
      <c r="L27" s="106" t="s">
        <v>1180</v>
      </c>
      <c r="M27" s="106" t="s">
        <v>1039</v>
      </c>
      <c r="O27" s="106" t="s">
        <v>274</v>
      </c>
      <c r="P27" s="106" t="s">
        <v>1181</v>
      </c>
      <c r="Q27" s="106" t="s">
        <v>429</v>
      </c>
      <c r="S27" s="106" t="str" cm="1">
        <f t="array" ref="S27">IF(TRIM($D27)="","(tidak diisi)",IFERROR(INDEX(Kamus!$B$3:$B$28,MATCH(TRUE,ISNUMBER(SEARCH(Kamus!$A$3:$A$28,$D27)),0)),"Jabatan Lainnya"))</f>
        <v>Ketua Pengadilan</v>
      </c>
      <c r="T27" s="106" t="str" cm="1">
        <f t="array" ref="T27">IF(TRIM($I27)="","(tidak diisi)",IFERROR(INDEX(Kamus!$E$3:$E$162,MATCH(TRUE,ISNUMBER(SEARCH(Kamus!$D$3:$D$162,$I27)),0)),"Barang Lain / Tidak Terinci"))</f>
        <v>Elektronik &amp; Gadget</v>
      </c>
      <c r="U27" s="106" t="str" cm="1">
        <f t="array" ref="U27">IF(TRIM($I27)="","(tidak diisi)",IFERROR(INDEX(Kamus!$H$3:$H$75,MATCH(TRUE,ISNUMBER(SEARCH(Kamus!$G$3:$G$75,$I27)),0)),"Pemberian Umum / Tanpa Konteks"))</f>
        <v>Suvenir / Merchandise Kegiatan &amp; Kunjungan</v>
      </c>
      <c r="V27" s="106" t="str">
        <f t="shared" si="0"/>
        <v>2025</v>
      </c>
      <c r="W27" s="106" t="str" cm="1">
        <f t="array" ref="W27">IF(TRIM($K27)="","(tidak diisi)",IFERROR(INDEX(Kamus!$K$3:$K$118,MATCH(TRUE,ISNUMBER(SEARCH(Kamus!$J$3:$J$118,$K27)),0)),"Individu / Perorangan"))</f>
        <v>Individu / Perorangan</v>
      </c>
      <c r="X27" s="106" t="str">
        <f t="shared" si="1"/>
        <v>01</v>
      </c>
      <c r="Y27" s="106" t="str" cm="1">
        <f t="array" ref="Y27">IFERROR(INDEX(Kamus!$N$3:$N$111,MATCH(TRUE,ISNUMBER(SEARCH(Kamus!$M$3:$M$111,$I27)),0)),"")</f>
        <v/>
      </c>
      <c r="Z27" s="106" t="str">
        <f>IF(AND(OR($X27="02",$X27="03",$X27="04"),OR($T27="Parsel/Bingkisan (tidak dirinci)",$T27="Makanan &amp; Minuman",$T27="Peralatan Rumah Tangga / Pecah Belah",$T27="Pakaian &amp; Kain")),"Momen Hari Raya (dugaan musiman)",IFERROR(VLOOKUP($W27,Kamus!$P$3:$Q$14,2,FALSE),"Tidak Teridentifikasi"))</f>
        <v>Relasi Personal / Tidak Teridentifikasi</v>
      </c>
      <c r="AA27" s="106" t="str">
        <f t="shared" si="2"/>
        <v>Relasi Personal / Tidak Teridentifikasi</v>
      </c>
    </row>
    <row r="28" spans="1:27">
      <c r="A28" s="106">
        <v>27</v>
      </c>
      <c r="B28" s="106" t="s">
        <v>1060</v>
      </c>
      <c r="C28" s="107" t="s">
        <v>1061</v>
      </c>
      <c r="D28" s="106" t="s">
        <v>1033</v>
      </c>
      <c r="E28" s="106" t="s">
        <v>1062</v>
      </c>
      <c r="F28" s="106" t="s">
        <v>1182</v>
      </c>
      <c r="G28" s="106" t="s">
        <v>1006</v>
      </c>
      <c r="H28" s="106" t="s">
        <v>1183</v>
      </c>
      <c r="I28" s="106" t="s">
        <v>1184</v>
      </c>
      <c r="K28" s="106" t="s">
        <v>1185</v>
      </c>
      <c r="L28" s="106" t="s">
        <v>1186</v>
      </c>
      <c r="O28" s="106" t="s">
        <v>274</v>
      </c>
      <c r="P28" s="106" t="s">
        <v>1067</v>
      </c>
      <c r="Q28" s="106" t="s">
        <v>350</v>
      </c>
      <c r="S28" s="106" t="str" cm="1">
        <f t="array" ref="S28">IF(TRIM($D28)="","(tidak diisi)",IFERROR(INDEX(Kamus!$B$3:$B$28,MATCH(TRUE,ISNUMBER(SEARCH(Kamus!$A$3:$A$28,$D28)),0)),"Jabatan Lainnya"))</f>
        <v>Hakim</v>
      </c>
      <c r="T28" s="106" t="str" cm="1">
        <f t="array" ref="T28">IF(TRIM($I28)="","(tidak diisi)",IFERROR(INDEX(Kamus!$E$3:$E$162,MATCH(TRUE,ISNUMBER(SEARCH(Kamus!$D$3:$D$162,$I28)),0)),"Barang Lain / Tidak Terinci"))</f>
        <v>Peralatan Rumah Tangga / Pecah Belah</v>
      </c>
      <c r="U28" s="106" t="str" cm="1">
        <f t="array" ref="U28">IF(TRIM($I28)="","(tidak diisi)",IFERROR(INDEX(Kamus!$H$3:$H$75,MATCH(TRUE,ISNUMBER(SEARCH(Kamus!$G$3:$G$75,$I28)),0)),"Pemberian Umum / Tanpa Konteks"))</f>
        <v>Jamuan / Konsumsi Rapat &amp; Kegiatan</v>
      </c>
      <c r="V28" s="106" t="str">
        <f t="shared" si="0"/>
        <v>2025</v>
      </c>
      <c r="W28" s="106" t="str" cm="1">
        <f t="array" ref="W28">IF(TRIM($K28)="","(tidak diisi)",IFERROR(INDEX(Kamus!$K$3:$K$118,MATCH(TRUE,ISNUMBER(SEARCH(Kamus!$J$3:$J$118,$K28)),0)),"Individu / Perorangan"))</f>
        <v>Individu / Perorangan</v>
      </c>
      <c r="X28" s="106" t="str">
        <f t="shared" si="1"/>
        <v>01</v>
      </c>
      <c r="Y28" s="106" t="str" cm="1">
        <f t="array" ref="Y28">IFERROR(INDEX(Kamus!$N$3:$N$111,MATCH(TRUE,ISNUMBER(SEARCH(Kamus!$M$3:$M$111,$I28)),0)),"")</f>
        <v>Rapat / Jamuan Dinas</v>
      </c>
      <c r="Z28" s="106" t="str">
        <f>IF(AND(OR($X28="02",$X28="03",$X28="04"),OR($T28="Parsel/Bingkisan (tidak dirinci)",$T28="Makanan &amp; Minuman",$T28="Peralatan Rumah Tangga / Pecah Belah",$T28="Pakaian &amp; Kain")),"Momen Hari Raya (dugaan musiman)",IFERROR(VLOOKUP($W28,Kamus!$P$3:$Q$14,2,FALSE),"Tidak Teridentifikasi"))</f>
        <v>Relasi Personal / Tidak Teridentifikasi</v>
      </c>
      <c r="AA28" s="106" t="str">
        <f t="shared" si="2"/>
        <v>Rapat / Jamuan Dinas</v>
      </c>
    </row>
    <row r="29" spans="1:27">
      <c r="A29" s="106">
        <v>28</v>
      </c>
      <c r="B29" s="106" t="s">
        <v>1187</v>
      </c>
      <c r="C29" s="107" t="s">
        <v>1188</v>
      </c>
      <c r="D29" s="106" t="s">
        <v>1033</v>
      </c>
      <c r="E29" s="106" t="s">
        <v>1189</v>
      </c>
      <c r="F29" s="106" t="s">
        <v>1190</v>
      </c>
      <c r="G29" s="106" t="s">
        <v>1006</v>
      </c>
      <c r="H29" s="106" t="s">
        <v>1191</v>
      </c>
      <c r="I29" s="106" t="s">
        <v>1192</v>
      </c>
      <c r="J29" s="106">
        <v>85000</v>
      </c>
      <c r="K29" s="106" t="s">
        <v>1193</v>
      </c>
      <c r="L29" s="106" t="s">
        <v>1194</v>
      </c>
      <c r="M29" s="106" t="s">
        <v>1171</v>
      </c>
      <c r="N29" s="106" t="s">
        <v>1195</v>
      </c>
      <c r="O29" s="106" t="s">
        <v>274</v>
      </c>
      <c r="P29" s="106" t="s">
        <v>1196</v>
      </c>
      <c r="Q29" s="106" t="s">
        <v>349</v>
      </c>
      <c r="S29" s="106" t="str" cm="1">
        <f t="array" ref="S29">IF(TRIM($D29)="","(tidak diisi)",IFERROR(INDEX(Kamus!$B$3:$B$28,MATCH(TRUE,ISNUMBER(SEARCH(Kamus!$A$3:$A$28,$D29)),0)),"Jabatan Lainnya"))</f>
        <v>Hakim</v>
      </c>
      <c r="T29" s="106" t="str" cm="1">
        <f t="array" ref="T29">IF(TRIM($I29)="","(tidak diisi)",IFERROR(INDEX(Kamus!$E$3:$E$162,MATCH(TRUE,ISNUMBER(SEARCH(Kamus!$D$3:$D$162,$I29)),0)),"Barang Lain / Tidak Terinci"))</f>
        <v>Makanan &amp; Minuman</v>
      </c>
      <c r="U29" s="106" t="str" cm="1">
        <f t="array" ref="U29">IF(TRIM($I29)="","(tidak diisi)",IFERROR(INDEX(Kamus!$H$3:$H$75,MATCH(TRUE,ISNUMBER(SEARCH(Kamus!$G$3:$G$75,$I29)),0)),"Pemberian Umum / Tanpa Konteks"))</f>
        <v>Pemberian Umum / Tanpa Konteks</v>
      </c>
      <c r="V29" s="106" t="str">
        <f t="shared" si="0"/>
        <v>2025</v>
      </c>
      <c r="W29" s="106" t="str" cm="1">
        <f t="array" ref="W29">IF(TRIM($K29)="","(tidak diisi)",IFERROR(INDEX(Kamus!$K$3:$K$118,MATCH(TRUE,ISNUMBER(SEARCH(Kamus!$J$3:$J$118,$K29)),0)),"Individu / Perorangan"))</f>
        <v>Internal Peradilan / Instansi Sendiri</v>
      </c>
      <c r="X29" s="106" t="str">
        <f t="shared" si="1"/>
        <v>01</v>
      </c>
      <c r="Y29" s="106" t="str" cm="1">
        <f t="array" ref="Y29">IFERROR(INDEX(Kamus!$N$3:$N$111,MATCH(TRUE,ISNUMBER(SEARCH(Kamus!$M$3:$M$111,$I29)),0)),"")</f>
        <v/>
      </c>
      <c r="Z29" s="106" t="str">
        <f>IF(AND(OR($X29="02",$X29="03",$X29="04"),OR($T29="Parsel/Bingkisan (tidak dirinci)",$T29="Makanan &amp; Minuman",$T29="Peralatan Rumah Tangga / Pecah Belah",$T29="Pakaian &amp; Kain")),"Momen Hari Raya (dugaan musiman)",IFERROR(VLOOKUP($W29,Kamus!$P$3:$Q$14,2,FALSE),"Tidak Teridentifikasi"))</f>
        <v>Kunjungan/Koordinasi Internal Peradilan (dugaan)</v>
      </c>
      <c r="AA29" s="106" t="str">
        <f t="shared" si="2"/>
        <v>Kunjungan/Koordinasi Internal Peradilan (dugaan)</v>
      </c>
    </row>
    <row r="30" spans="1:27">
      <c r="A30" s="106">
        <v>29</v>
      </c>
      <c r="B30" s="106" t="s">
        <v>1197</v>
      </c>
      <c r="C30" s="107" t="s">
        <v>1198</v>
      </c>
      <c r="D30" s="106" t="s">
        <v>1199</v>
      </c>
      <c r="E30" s="106" t="s">
        <v>1200</v>
      </c>
      <c r="F30" s="106" t="s">
        <v>1201</v>
      </c>
      <c r="G30" s="106" t="s">
        <v>1006</v>
      </c>
      <c r="H30" s="106" t="s">
        <v>1191</v>
      </c>
      <c r="I30" s="106" t="s">
        <v>1202</v>
      </c>
      <c r="K30" s="106" t="s">
        <v>1203</v>
      </c>
      <c r="L30" s="106" t="s">
        <v>1204</v>
      </c>
      <c r="O30" s="106" t="s">
        <v>274</v>
      </c>
      <c r="P30" s="106" t="s">
        <v>1205</v>
      </c>
      <c r="Q30" s="106" t="s">
        <v>366</v>
      </c>
      <c r="S30" s="106" t="str" cm="1">
        <f t="array" ref="S30">IF(TRIM($D30)="","(tidak diisi)",IFERROR(INDEX(Kamus!$B$3:$B$28,MATCH(TRUE,ISNUMBER(SEARCH(Kamus!$A$3:$A$28,$D30)),0)),"Jabatan Lainnya"))</f>
        <v>Pimpinan Satker/Direktorat</v>
      </c>
      <c r="T30" s="106" t="str" cm="1">
        <f t="array" ref="T30">IF(TRIM($I30)="","(tidak diisi)",IFERROR(INDEX(Kamus!$E$3:$E$162,MATCH(TRUE,ISNUMBER(SEARCH(Kamus!$D$3:$D$162,$I30)),0)),"Barang Lain / Tidak Terinci"))</f>
        <v>Makanan &amp; Minuman</v>
      </c>
      <c r="U30" s="106" t="str" cm="1">
        <f t="array" ref="U30">IF(TRIM($I30)="","(tidak diisi)",IFERROR(INDEX(Kamus!$H$3:$H$75,MATCH(TRUE,ISNUMBER(SEARCH(Kamus!$G$3:$G$75,$I30)),0)),"Pemberian Umum / Tanpa Konteks"))</f>
        <v>Oleh-oleh / Buah Tangan Perjalanan</v>
      </c>
      <c r="V30" s="106" t="str">
        <f t="shared" si="0"/>
        <v>2025</v>
      </c>
      <c r="W30" s="106" t="str" cm="1">
        <f t="array" ref="W30">IF(TRIM($K30)="","(tidak diisi)",IFERROR(INDEX(Kamus!$K$3:$K$118,MATCH(TRUE,ISNUMBER(SEARCH(Kamus!$J$3:$J$118,$K30)),0)),"Individu / Perorangan"))</f>
        <v>Individu / Perorangan</v>
      </c>
      <c r="X30" s="106" t="str">
        <f t="shared" si="1"/>
        <v>01</v>
      </c>
      <c r="Y30" s="106" t="str" cm="1">
        <f t="array" ref="Y30">IFERROR(INDEX(Kamus!$N$3:$N$111,MATCH(TRUE,ISNUMBER(SEARCH(Kamus!$M$3:$M$111,$I30)),0)),"")</f>
        <v/>
      </c>
      <c r="Z30" s="106" t="str">
        <f>IF(AND(OR($X30="02",$X30="03",$X30="04"),OR($T30="Parsel/Bingkisan (tidak dirinci)",$T30="Makanan &amp; Minuman",$T30="Peralatan Rumah Tangga / Pecah Belah",$T30="Pakaian &amp; Kain")),"Momen Hari Raya (dugaan musiman)",IFERROR(VLOOKUP($W30,Kamus!$P$3:$Q$14,2,FALSE),"Tidak Teridentifikasi"))</f>
        <v>Relasi Personal / Tidak Teridentifikasi</v>
      </c>
      <c r="AA30" s="106" t="str">
        <f t="shared" si="2"/>
        <v>Relasi Personal / Tidak Teridentifikasi</v>
      </c>
    </row>
    <row r="31" spans="1:27">
      <c r="A31" s="106">
        <v>30</v>
      </c>
      <c r="B31" s="106" t="s">
        <v>1206</v>
      </c>
      <c r="C31" s="107" t="s">
        <v>1207</v>
      </c>
      <c r="D31" s="106" t="s">
        <v>1208</v>
      </c>
      <c r="E31" s="106" t="s">
        <v>1014</v>
      </c>
      <c r="F31" s="106" t="s">
        <v>1209</v>
      </c>
      <c r="G31" s="106" t="s">
        <v>1006</v>
      </c>
      <c r="H31" s="106" t="s">
        <v>1191</v>
      </c>
      <c r="I31" s="106" t="s">
        <v>1017</v>
      </c>
      <c r="J31" s="106">
        <v>150000</v>
      </c>
      <c r="K31" s="106" t="s">
        <v>1210</v>
      </c>
      <c r="L31" s="106" t="s">
        <v>1211</v>
      </c>
      <c r="M31" s="106" t="s">
        <v>1110</v>
      </c>
      <c r="N31" s="106" t="s">
        <v>1212</v>
      </c>
      <c r="O31" s="106" t="s">
        <v>274</v>
      </c>
      <c r="P31" s="106" t="s">
        <v>1021</v>
      </c>
      <c r="Q31" s="106" t="s">
        <v>428</v>
      </c>
      <c r="S31" s="106" t="str" cm="1">
        <f t="array" ref="S31">IF(TRIM($D31)="","(tidak diisi)",IFERROR(INDEX(Kamus!$B$3:$B$28,MATCH(TRUE,ISNUMBER(SEARCH(Kamus!$A$3:$A$28,$D31)),0)),"Jabatan Lainnya"))</f>
        <v>Staf/Pegawai Pelaksana</v>
      </c>
      <c r="T31" s="106" t="str" cm="1">
        <f t="array" ref="T31">IF(TRIM($I31)="","(tidak diisi)",IFERROR(INDEX(Kamus!$E$3:$E$162,MATCH(TRUE,ISNUMBER(SEARCH(Kamus!$D$3:$D$162,$I31)),0)),"Barang Lain / Tidak Terinci"))</f>
        <v>Uang &amp; Setara Uang</v>
      </c>
      <c r="U31" s="106" t="str" cm="1">
        <f t="array" ref="U31">IF(TRIM($I31)="","(tidak diisi)",IFERROR(INDEX(Kamus!$H$3:$H$75,MATCH(TRUE,ISNUMBER(SEARCH(Kamus!$G$3:$G$75,$I31)),0)),"Pemberian Umum / Tanpa Konteks"))</f>
        <v>Pemberian Uang Langsung</v>
      </c>
      <c r="V31" s="106" t="str">
        <f t="shared" si="0"/>
        <v>2025</v>
      </c>
      <c r="W31" s="106" t="str" cm="1">
        <f t="array" ref="W31">IF(TRIM($K31)="","(tidak diisi)",IFERROR(INDEX(Kamus!$K$3:$K$118,MATCH(TRUE,ISNUMBER(SEARCH(Kamus!$J$3:$J$118,$K31)),0)),"Individu / Perorangan"))</f>
        <v>Kampus &amp; Sekolah</v>
      </c>
      <c r="X31" s="106" t="str">
        <f t="shared" si="1"/>
        <v>01</v>
      </c>
      <c r="Y31" s="106" t="str" cm="1">
        <f t="array" ref="Y31">IFERROR(INDEX(Kamus!$N$3:$N$111,MATCH(TRUE,ISNUMBER(SEARCH(Kamus!$M$3:$M$111,$I31)),0)),"")</f>
        <v/>
      </c>
      <c r="Z31" s="106" t="str">
        <f>IF(AND(OR($X31="02",$X31="03",$X31="04"),OR($T31="Parsel/Bingkisan (tidak dirinci)",$T31="Makanan &amp; Minuman",$T31="Peralatan Rumah Tangga / Pecah Belah",$T31="Pakaian &amp; Kain")),"Momen Hari Raya (dugaan musiman)",IFERROR(VLOOKUP($W31,Kamus!$P$3:$Q$14,2,FALSE),"Tidak Teridentifikasi"))</f>
        <v>Kerja Sama Pendidikan/PKL (dugaan)</v>
      </c>
      <c r="AA31" s="106" t="str">
        <f t="shared" si="2"/>
        <v>Kerja Sama Pendidikan/PKL (dugaan)</v>
      </c>
    </row>
    <row r="32" spans="1:27">
      <c r="A32" s="106">
        <v>31</v>
      </c>
      <c r="B32" s="106" t="s">
        <v>1040</v>
      </c>
      <c r="C32" s="107" t="s">
        <v>1041</v>
      </c>
      <c r="D32" s="106" t="s">
        <v>1042</v>
      </c>
      <c r="E32" s="106" t="s">
        <v>1043</v>
      </c>
      <c r="F32" s="106" t="s">
        <v>1213</v>
      </c>
      <c r="G32" s="106" t="s">
        <v>1006</v>
      </c>
      <c r="H32" s="106" t="s">
        <v>1183</v>
      </c>
      <c r="I32" s="106" t="s">
        <v>1214</v>
      </c>
      <c r="K32" s="106" t="s">
        <v>1045</v>
      </c>
      <c r="L32" s="106" t="s">
        <v>1215</v>
      </c>
      <c r="O32" s="106" t="s">
        <v>274</v>
      </c>
      <c r="P32" s="106" t="s">
        <v>1047</v>
      </c>
      <c r="Q32" s="106" t="s">
        <v>420</v>
      </c>
      <c r="S32" s="106" t="str" cm="1">
        <f t="array" ref="S32">IF(TRIM($D32)="","(tidak diisi)",IFERROR(INDEX(Kamus!$B$3:$B$28,MATCH(TRUE,ISNUMBER(SEARCH(Kamus!$A$3:$A$28,$D32)),0)),"Jabatan Lainnya"))</f>
        <v>Ketua Pengadilan</v>
      </c>
      <c r="T32" s="106" t="str" cm="1">
        <f t="array" ref="T32">IF(TRIM($I32)="","(tidak diisi)",IFERROR(INDEX(Kamus!$E$3:$E$162,MATCH(TRUE,ISNUMBER(SEARCH(Kamus!$D$3:$D$162,$I32)),0)),"Barang Lain / Tidak Terinci"))</f>
        <v>Suvenir &amp; Merchandise</v>
      </c>
      <c r="U32" s="106" t="str" cm="1">
        <f t="array" ref="U32">IF(TRIM($I32)="","(tidak diisi)",IFERROR(INDEX(Kamus!$H$3:$H$75,MATCH(TRUE,ISNUMBER(SEARCH(Kamus!$G$3:$G$75,$I32)),0)),"Pemberian Umum / Tanpa Konteks"))</f>
        <v>Suvenir / Merchandise Kegiatan &amp; Kunjungan</v>
      </c>
      <c r="V32" s="106" t="str">
        <f t="shared" si="0"/>
        <v>2025</v>
      </c>
      <c r="W32" s="106" t="str" cm="1">
        <f t="array" ref="W32">IF(TRIM($K32)="","(tidak diisi)",IFERROR(INDEX(Kamus!$K$3:$K$118,MATCH(TRUE,ISNUMBER(SEARCH(Kamus!$J$3:$J$118,$K32)),0)),"Individu / Perorangan"))</f>
        <v>Tidak Diketahui</v>
      </c>
      <c r="X32" s="106" t="str">
        <f t="shared" si="1"/>
        <v>01</v>
      </c>
      <c r="Y32" s="106" t="str" cm="1">
        <f t="array" ref="Y32">IFERROR(INDEX(Kamus!$N$3:$N$111,MATCH(TRUE,ISNUMBER(SEARCH(Kamus!$M$3:$M$111,$I32)),0)),"")</f>
        <v/>
      </c>
      <c r="Z32" s="106" t="str">
        <f>IF(AND(OR($X32="02",$X32="03",$X32="04"),OR($T32="Parsel/Bingkisan (tidak dirinci)",$T32="Makanan &amp; Minuman",$T32="Peralatan Rumah Tangga / Pecah Belah",$T32="Pakaian &amp; Kain")),"Momen Hari Raya (dugaan musiman)",IFERROR(VLOOKUP($W32,Kamus!$P$3:$Q$14,2,FALSE),"Tidak Teridentifikasi"))</f>
        <v>Pemberi Tidak Diketahui</v>
      </c>
      <c r="AA32" s="106" t="str">
        <f t="shared" si="2"/>
        <v>Pemberi Tidak Diketahui</v>
      </c>
    </row>
    <row r="33" spans="1:27">
      <c r="A33" s="106">
        <v>32</v>
      </c>
      <c r="B33" s="106" t="s">
        <v>1216</v>
      </c>
      <c r="C33" s="107" t="s">
        <v>1217</v>
      </c>
      <c r="D33" s="106" t="s">
        <v>1033</v>
      </c>
      <c r="E33" s="106" t="s">
        <v>1218</v>
      </c>
      <c r="F33" s="106" t="s">
        <v>1219</v>
      </c>
      <c r="G33" s="106" t="s">
        <v>1006</v>
      </c>
      <c r="H33" s="106" t="s">
        <v>1220</v>
      </c>
      <c r="I33" s="106" t="s">
        <v>1017</v>
      </c>
      <c r="J33" s="106">
        <v>167500</v>
      </c>
      <c r="K33" s="106" t="s">
        <v>1221</v>
      </c>
      <c r="L33" s="106" t="s">
        <v>1222</v>
      </c>
      <c r="M33" s="106" t="s">
        <v>1171</v>
      </c>
      <c r="N33" s="106" t="s">
        <v>1223</v>
      </c>
      <c r="O33" s="106" t="s">
        <v>274</v>
      </c>
      <c r="Q33" s="106" t="s">
        <v>405</v>
      </c>
      <c r="S33" s="106" t="str" cm="1">
        <f t="array" ref="S33">IF(TRIM($D33)="","(tidak diisi)",IFERROR(INDEX(Kamus!$B$3:$B$28,MATCH(TRUE,ISNUMBER(SEARCH(Kamus!$A$3:$A$28,$D33)),0)),"Jabatan Lainnya"))</f>
        <v>Hakim</v>
      </c>
      <c r="T33" s="106" t="str" cm="1">
        <f t="array" ref="T33">IF(TRIM($I33)="","(tidak diisi)",IFERROR(INDEX(Kamus!$E$3:$E$162,MATCH(TRUE,ISNUMBER(SEARCH(Kamus!$D$3:$D$162,$I33)),0)),"Barang Lain / Tidak Terinci"))</f>
        <v>Uang &amp; Setara Uang</v>
      </c>
      <c r="U33" s="106" t="str" cm="1">
        <f t="array" ref="U33">IF(TRIM($I33)="","(tidak diisi)",IFERROR(INDEX(Kamus!$H$3:$H$75,MATCH(TRUE,ISNUMBER(SEARCH(Kamus!$G$3:$G$75,$I33)),0)),"Pemberian Umum / Tanpa Konteks"))</f>
        <v>Pemberian Uang Langsung</v>
      </c>
      <c r="V33" s="106" t="str">
        <f t="shared" si="0"/>
        <v>2025</v>
      </c>
      <c r="W33" s="106" t="str" cm="1">
        <f t="array" ref="W33">IF(TRIM($K33)="","(tidak diisi)",IFERROR(INDEX(Kamus!$K$3:$K$118,MATCH(TRUE,ISNUMBER(SEARCH(Kamus!$J$3:$J$118,$K33)),0)),"Individu / Perorangan"))</f>
        <v>Individu / Perorangan</v>
      </c>
      <c r="X33" s="106" t="str">
        <f t="shared" si="1"/>
        <v>01</v>
      </c>
      <c r="Y33" s="106" t="str" cm="1">
        <f t="array" ref="Y33">IFERROR(INDEX(Kamus!$N$3:$N$111,MATCH(TRUE,ISNUMBER(SEARCH(Kamus!$M$3:$M$111,$I33)),0)),"")</f>
        <v/>
      </c>
      <c r="Z33" s="106" t="str">
        <f>IF(AND(OR($X33="02",$X33="03",$X33="04"),OR($T33="Parsel/Bingkisan (tidak dirinci)",$T33="Makanan &amp; Minuman",$T33="Peralatan Rumah Tangga / Pecah Belah",$T33="Pakaian &amp; Kain")),"Momen Hari Raya (dugaan musiman)",IFERROR(VLOOKUP($W33,Kamus!$P$3:$Q$14,2,FALSE),"Tidak Teridentifikasi"))</f>
        <v>Relasi Personal / Tidak Teridentifikasi</v>
      </c>
      <c r="AA33" s="106" t="str">
        <f t="shared" si="2"/>
        <v>Relasi Personal / Tidak Teridentifikasi</v>
      </c>
    </row>
    <row r="34" spans="1:27">
      <c r="A34" s="106">
        <v>33</v>
      </c>
      <c r="B34" s="106" t="s">
        <v>1224</v>
      </c>
      <c r="C34" s="107" t="s">
        <v>1225</v>
      </c>
      <c r="D34" s="106" t="s">
        <v>1226</v>
      </c>
      <c r="E34" s="106" t="s">
        <v>1005</v>
      </c>
      <c r="F34" s="106" t="s">
        <v>1227</v>
      </c>
      <c r="G34" s="106" t="s">
        <v>1006</v>
      </c>
      <c r="H34" s="106" t="s">
        <v>1228</v>
      </c>
      <c r="I34" s="106" t="s">
        <v>1229</v>
      </c>
      <c r="J34" s="106">
        <v>65000</v>
      </c>
      <c r="K34" s="106" t="s">
        <v>1230</v>
      </c>
      <c r="L34" s="106" t="s">
        <v>1231</v>
      </c>
      <c r="M34" s="106" t="s">
        <v>1171</v>
      </c>
      <c r="N34" s="106" t="s">
        <v>1232</v>
      </c>
      <c r="O34" s="106" t="s">
        <v>274</v>
      </c>
      <c r="S34" s="106" t="str" cm="1">
        <f t="array" ref="S34">IF(TRIM($D34)="","(tidak diisi)",IFERROR(INDEX(Kamus!$B$3:$B$28,MATCH(TRUE,ISNUMBER(SEARCH(Kamus!$A$3:$A$28,$D34)),0)),"Jabatan Lainnya"))</f>
        <v>Wakil Ketua Pengadilan</v>
      </c>
      <c r="T34" s="106" t="str" cm="1">
        <f t="array" ref="T34">IF(TRIM($I34)="","(tidak diisi)",IFERROR(INDEX(Kamus!$E$3:$E$162,MATCH(TRUE,ISNUMBER(SEARCH(Kamus!$D$3:$D$162,$I34)),0)),"Barang Lain / Tidak Terinci"))</f>
        <v>Makanan &amp; Minuman</v>
      </c>
      <c r="U34" s="106" t="str" cm="1">
        <f t="array" ref="U34">IF(TRIM($I34)="","(tidak diisi)",IFERROR(INDEX(Kamus!$H$3:$H$75,MATCH(TRUE,ISNUMBER(SEARCH(Kamus!$G$3:$G$75,$I34)),0)),"Pemberian Umum / Tanpa Konteks"))</f>
        <v>Jamuan / Konsumsi Rapat &amp; Kegiatan</v>
      </c>
      <c r="V34" s="106" t="str">
        <f t="shared" si="0"/>
        <v>2024</v>
      </c>
      <c r="W34" s="106" t="str" cm="1">
        <f t="array" ref="W34">IF(TRIM($K34)="","(tidak diisi)",IFERROR(INDEX(Kamus!$K$3:$K$118,MATCH(TRUE,ISNUMBER(SEARCH(Kamus!$J$3:$J$118,$K34)),0)),"Individu / Perorangan"))</f>
        <v>Individu / Perorangan</v>
      </c>
      <c r="X34" s="106" t="str">
        <f t="shared" si="1"/>
        <v>12</v>
      </c>
      <c r="Y34" s="106" t="str" cm="1">
        <f t="array" ref="Y34">IFERROR(INDEX(Kamus!$N$3:$N$111,MATCH(TRUE,ISNUMBER(SEARCH(Kamus!$M$3:$M$111,$I34)),0)),"")</f>
        <v>Rapat / Jamuan Dinas</v>
      </c>
      <c r="Z34" s="106" t="str">
        <f>IF(AND(OR($X34="02",$X34="03",$X34="04"),OR($T34="Parsel/Bingkisan (tidak dirinci)",$T34="Makanan &amp; Minuman",$T34="Peralatan Rumah Tangga / Pecah Belah",$T34="Pakaian &amp; Kain")),"Momen Hari Raya (dugaan musiman)",IFERROR(VLOOKUP($W34,Kamus!$P$3:$Q$14,2,FALSE),"Tidak Teridentifikasi"))</f>
        <v>Relasi Personal / Tidak Teridentifikasi</v>
      </c>
      <c r="AA34" s="106" t="str">
        <f t="shared" si="2"/>
        <v>Rapat / Jamuan Dinas</v>
      </c>
    </row>
    <row r="35" spans="1:27">
      <c r="A35" s="106">
        <v>34</v>
      </c>
      <c r="B35" s="106" t="s">
        <v>1088</v>
      </c>
      <c r="C35" s="107" t="s">
        <v>1089</v>
      </c>
      <c r="D35" s="106" t="s">
        <v>1033</v>
      </c>
      <c r="E35" s="106" t="s">
        <v>1090</v>
      </c>
      <c r="F35" s="106" t="s">
        <v>1233</v>
      </c>
      <c r="G35" s="106" t="s">
        <v>1006</v>
      </c>
      <c r="H35" s="106" t="s">
        <v>1234</v>
      </c>
      <c r="I35" s="106" t="s">
        <v>1235</v>
      </c>
      <c r="J35" s="106">
        <v>25000</v>
      </c>
      <c r="K35" s="106" t="s">
        <v>1236</v>
      </c>
      <c r="L35" s="106" t="s">
        <v>1237</v>
      </c>
      <c r="M35" s="106" t="s">
        <v>1020</v>
      </c>
      <c r="O35" s="106" t="s">
        <v>274</v>
      </c>
      <c r="P35" s="106" t="s">
        <v>1095</v>
      </c>
      <c r="Q35" s="106" t="s">
        <v>348</v>
      </c>
      <c r="S35" s="106" t="str" cm="1">
        <f t="array" ref="S35">IF(TRIM($D35)="","(tidak diisi)",IFERROR(INDEX(Kamus!$B$3:$B$28,MATCH(TRUE,ISNUMBER(SEARCH(Kamus!$A$3:$A$28,$D35)),0)),"Jabatan Lainnya"))</f>
        <v>Hakim</v>
      </c>
      <c r="T35" s="106" t="str" cm="1">
        <f t="array" ref="T35">IF(TRIM($I35)="","(tidak diisi)",IFERROR(INDEX(Kamus!$E$3:$E$162,MATCH(TRUE,ISNUMBER(SEARCH(Kamus!$D$3:$D$162,$I35)),0)),"Barang Lain / Tidak Terinci"))</f>
        <v>Makanan &amp; Minuman</v>
      </c>
      <c r="U35" s="106" t="str" cm="1">
        <f t="array" ref="U35">IF(TRIM($I35)="","(tidak diisi)",IFERROR(INDEX(Kamus!$H$3:$H$75,MATCH(TRUE,ISNUMBER(SEARCH(Kamus!$G$3:$G$75,$I35)),0)),"Pemberian Umum / Tanpa Konteks"))</f>
        <v>Pemberian Umum / Tanpa Konteks</v>
      </c>
      <c r="V35" s="106" t="str">
        <f t="shared" si="0"/>
        <v>2025</v>
      </c>
      <c r="W35" s="106" t="str" cm="1">
        <f t="array" ref="W35">IF(TRIM($K35)="","(tidak diisi)",IFERROR(INDEX(Kamus!$K$3:$K$118,MATCH(TRUE,ISNUMBER(SEARCH(Kamus!$J$3:$J$118,$K35)),0)),"Individu / Perorangan"))</f>
        <v>Individu / Perorangan</v>
      </c>
      <c r="X35" s="106" t="str">
        <f t="shared" si="1"/>
        <v>01</v>
      </c>
      <c r="Y35" s="106" t="str" cm="1">
        <f t="array" ref="Y35">IFERROR(INDEX(Kamus!$N$3:$N$111,MATCH(TRUE,ISNUMBER(SEARCH(Kamus!$M$3:$M$111,$I35)),0)),"")</f>
        <v/>
      </c>
      <c r="Z35" s="106" t="str">
        <f>IF(AND(OR($X35="02",$X35="03",$X35="04"),OR($T35="Parsel/Bingkisan (tidak dirinci)",$T35="Makanan &amp; Minuman",$T35="Peralatan Rumah Tangga / Pecah Belah",$T35="Pakaian &amp; Kain")),"Momen Hari Raya (dugaan musiman)",IFERROR(VLOOKUP($W35,Kamus!$P$3:$Q$14,2,FALSE),"Tidak Teridentifikasi"))</f>
        <v>Relasi Personal / Tidak Teridentifikasi</v>
      </c>
      <c r="AA35" s="106" t="str">
        <f t="shared" si="2"/>
        <v>Relasi Personal / Tidak Teridentifikasi</v>
      </c>
    </row>
    <row r="36" spans="1:27">
      <c r="A36" s="106">
        <v>35</v>
      </c>
      <c r="B36" s="106" t="s">
        <v>1238</v>
      </c>
      <c r="C36" s="107" t="s">
        <v>1239</v>
      </c>
      <c r="D36" s="106" t="s">
        <v>1240</v>
      </c>
      <c r="E36" s="106" t="s">
        <v>1241</v>
      </c>
      <c r="F36" s="106" t="s">
        <v>1242</v>
      </c>
      <c r="G36" s="106" t="s">
        <v>1006</v>
      </c>
      <c r="H36" s="106" t="s">
        <v>1069</v>
      </c>
      <c r="I36" s="106" t="s">
        <v>1243</v>
      </c>
      <c r="K36" s="106" t="s">
        <v>1244</v>
      </c>
      <c r="L36" s="106" t="s">
        <v>1245</v>
      </c>
      <c r="O36" s="106" t="s">
        <v>274</v>
      </c>
      <c r="Q36" s="106" t="s">
        <v>446</v>
      </c>
      <c r="S36" s="106" t="str" cm="1">
        <f t="array" ref="S36">IF(TRIM($D36)="","(tidak diisi)",IFERROR(INDEX(Kamus!$B$3:$B$28,MATCH(TRUE,ISNUMBER(SEARCH(Kamus!$A$3:$A$28,$D36)),0)),"Jabatan Lainnya"))</f>
        <v>Ketua Pengadilan</v>
      </c>
      <c r="T36" s="106" t="str" cm="1">
        <f t="array" ref="T36">IF(TRIM($I36)="","(tidak diisi)",IFERROR(INDEX(Kamus!$E$3:$E$162,MATCH(TRUE,ISNUMBER(SEARCH(Kamus!$D$3:$D$162,$I36)),0)),"Barang Lain / Tidak Terinci"))</f>
        <v>Peralatan Rumah Tangga / Pecah Belah</v>
      </c>
      <c r="U36" s="106" t="str" cm="1">
        <f t="array" ref="U36">IF(TRIM($I36)="","(tidak diisi)",IFERROR(INDEX(Kamus!$H$3:$H$75,MATCH(TRUE,ISNUMBER(SEARCH(Kamus!$G$3:$G$75,$I36)),0)),"Pemberian Umum / Tanpa Konteks"))</f>
        <v>Parsel/Bingkisan Umum (non-hari raya)</v>
      </c>
      <c r="V36" s="106" t="str">
        <f t="shared" si="0"/>
        <v>2025</v>
      </c>
      <c r="W36" s="106" t="str" cm="1">
        <f t="array" ref="W36">IF(TRIM($K36)="","(tidak diisi)",IFERROR(INDEX(Kamus!$K$3:$K$118,MATCH(TRUE,ISNUMBER(SEARCH(Kamus!$J$3:$J$118,$K36)),0)),"Individu / Perorangan"))</f>
        <v>Aparat/Instansi Penegak Hukum &amp; Vertikal</v>
      </c>
      <c r="X36" s="106" t="str">
        <f t="shared" si="1"/>
        <v>01</v>
      </c>
      <c r="Y36" s="106" t="str" cm="1">
        <f t="array" ref="Y36">IFERROR(INDEX(Kamus!$N$3:$N$111,MATCH(TRUE,ISNUMBER(SEARCH(Kamus!$M$3:$M$111,$I36)),0)),"")</f>
        <v/>
      </c>
      <c r="Z36" s="106" t="str">
        <f>IF(AND(OR($X36="02",$X36="03",$X36="04"),OR($T36="Parsel/Bingkisan (tidak dirinci)",$T36="Makanan &amp; Minuman",$T36="Peralatan Rumah Tangga / Pecah Belah",$T36="Pakaian &amp; Kain")),"Momen Hari Raya (dugaan musiman)",IFERROR(VLOOKUP($W36,Kamus!$P$3:$Q$14,2,FALSE),"Tidak Teridentifikasi"))</f>
        <v>Koordinasi Antarinstansi (dugaan)</v>
      </c>
      <c r="AA36" s="106" t="str">
        <f t="shared" si="2"/>
        <v>Koordinasi Antarinstansi (dugaan)</v>
      </c>
    </row>
    <row r="37" spans="1:27">
      <c r="A37" s="106">
        <v>36</v>
      </c>
      <c r="B37" s="106" t="s">
        <v>1238</v>
      </c>
      <c r="C37" s="107" t="s">
        <v>1239</v>
      </c>
      <c r="D37" s="106" t="s">
        <v>1240</v>
      </c>
      <c r="E37" s="106" t="s">
        <v>1241</v>
      </c>
      <c r="F37" s="106" t="s">
        <v>1246</v>
      </c>
      <c r="G37" s="106" t="s">
        <v>1006</v>
      </c>
      <c r="H37" s="106" t="s">
        <v>1069</v>
      </c>
      <c r="I37" s="106" t="s">
        <v>1247</v>
      </c>
      <c r="K37" s="106" t="s">
        <v>1248</v>
      </c>
      <c r="L37" s="106" t="s">
        <v>1249</v>
      </c>
      <c r="O37" s="106" t="s">
        <v>274</v>
      </c>
      <c r="Q37" s="106" t="s">
        <v>446</v>
      </c>
      <c r="S37" s="106" t="str" cm="1">
        <f t="array" ref="S37">IF(TRIM($D37)="","(tidak diisi)",IFERROR(INDEX(Kamus!$B$3:$B$28,MATCH(TRUE,ISNUMBER(SEARCH(Kamus!$A$3:$A$28,$D37)),0)),"Jabatan Lainnya"))</f>
        <v>Ketua Pengadilan</v>
      </c>
      <c r="T37" s="106" t="str" cm="1">
        <f t="array" ref="T37">IF(TRIM($I37)="","(tidak diisi)",IFERROR(INDEX(Kamus!$E$3:$E$162,MATCH(TRUE,ISNUMBER(SEARCH(Kamus!$D$3:$D$162,$I37)),0)),"Barang Lain / Tidak Terinci"))</f>
        <v>Makanan &amp; Minuman</v>
      </c>
      <c r="U37" s="106" t="str" cm="1">
        <f t="array" ref="U37">IF(TRIM($I37)="","(tidak diisi)",IFERROR(INDEX(Kamus!$H$3:$H$75,MATCH(TRUE,ISNUMBER(SEARCH(Kamus!$G$3:$G$75,$I37)),0)),"Pemberian Umum / Tanpa Konteks"))</f>
        <v>Pemberian Umum / Tanpa Konteks</v>
      </c>
      <c r="V37" s="106" t="str">
        <f t="shared" si="0"/>
        <v>2025</v>
      </c>
      <c r="W37" s="106" t="str" cm="1">
        <f t="array" ref="W37">IF(TRIM($K37)="","(tidak diisi)",IFERROR(INDEX(Kamus!$K$3:$K$118,MATCH(TRUE,ISNUMBER(SEARCH(Kamus!$J$3:$J$118,$K37)),0)),"Individu / Perorangan"))</f>
        <v>Individu / Perorangan</v>
      </c>
      <c r="X37" s="106" t="str">
        <f t="shared" si="1"/>
        <v>01</v>
      </c>
      <c r="Y37" s="106" t="str" cm="1">
        <f t="array" ref="Y37">IFERROR(INDEX(Kamus!$N$3:$N$111,MATCH(TRUE,ISNUMBER(SEARCH(Kamus!$M$3:$M$111,$I37)),0)),"")</f>
        <v/>
      </c>
      <c r="Z37" s="106" t="str">
        <f>IF(AND(OR($X37="02",$X37="03",$X37="04"),OR($T37="Parsel/Bingkisan (tidak dirinci)",$T37="Makanan &amp; Minuman",$T37="Peralatan Rumah Tangga / Pecah Belah",$T37="Pakaian &amp; Kain")),"Momen Hari Raya (dugaan musiman)",IFERROR(VLOOKUP($W37,Kamus!$P$3:$Q$14,2,FALSE),"Tidak Teridentifikasi"))</f>
        <v>Relasi Personal / Tidak Teridentifikasi</v>
      </c>
      <c r="AA37" s="106" t="str">
        <f t="shared" si="2"/>
        <v>Relasi Personal / Tidak Teridentifikasi</v>
      </c>
    </row>
    <row r="38" spans="1:27">
      <c r="A38" s="106">
        <v>37</v>
      </c>
      <c r="B38" s="106" t="s">
        <v>1238</v>
      </c>
      <c r="C38" s="107" t="s">
        <v>1239</v>
      </c>
      <c r="D38" s="106" t="s">
        <v>1240</v>
      </c>
      <c r="E38" s="106" t="s">
        <v>1241</v>
      </c>
      <c r="F38" s="106" t="s">
        <v>1250</v>
      </c>
      <c r="G38" s="106" t="s">
        <v>1006</v>
      </c>
      <c r="H38" s="106" t="s">
        <v>1069</v>
      </c>
      <c r="I38" s="106" t="s">
        <v>1251</v>
      </c>
      <c r="J38" s="106">
        <v>600000</v>
      </c>
      <c r="K38" s="106" t="s">
        <v>468</v>
      </c>
      <c r="L38" s="106" t="s">
        <v>1252</v>
      </c>
      <c r="M38" s="106" t="s">
        <v>1171</v>
      </c>
      <c r="N38" s="106" t="s">
        <v>1253</v>
      </c>
      <c r="O38" s="106" t="s">
        <v>274</v>
      </c>
      <c r="Q38" s="106" t="s">
        <v>446</v>
      </c>
      <c r="S38" s="106" t="str" cm="1">
        <f t="array" ref="S38">IF(TRIM($D38)="","(tidak diisi)",IFERROR(INDEX(Kamus!$B$3:$B$28,MATCH(TRUE,ISNUMBER(SEARCH(Kamus!$A$3:$A$28,$D38)),0)),"Jabatan Lainnya"))</f>
        <v>Ketua Pengadilan</v>
      </c>
      <c r="T38" s="106" t="str" cm="1">
        <f t="array" ref="T38">IF(TRIM($I38)="","(tidak diisi)",IFERROR(INDEX(Kamus!$E$3:$E$162,MATCH(TRUE,ISNUMBER(SEARCH(Kamus!$D$3:$D$162,$I38)),0)),"Barang Lain / Tidak Terinci"))</f>
        <v>Peralatan Rumah Tangga / Pecah Belah</v>
      </c>
      <c r="U38" s="106" t="str" cm="1">
        <f t="array" ref="U38">IF(TRIM($I38)="","(tidak diisi)",IFERROR(INDEX(Kamus!$H$3:$H$75,MATCH(TRUE,ISNUMBER(SEARCH(Kamus!$G$3:$G$75,$I38)),0)),"Pemberian Umum / Tanpa Konteks"))</f>
        <v>Parsel/Bingkisan Umum (non-hari raya)</v>
      </c>
      <c r="V38" s="106" t="str">
        <f t="shared" si="0"/>
        <v>2025</v>
      </c>
      <c r="W38" s="106" t="str" cm="1">
        <f t="array" ref="W38">IF(TRIM($K38)="","(tidak diisi)",IFERROR(INDEX(Kamus!$K$3:$K$118,MATCH(TRUE,ISNUMBER(SEARCH(Kamus!$J$3:$J$118,$K38)),0)),"Individu / Perorangan"))</f>
        <v>Individu / Perorangan</v>
      </c>
      <c r="X38" s="106" t="str">
        <f t="shared" si="1"/>
        <v>01</v>
      </c>
      <c r="Y38" s="106" t="str" cm="1">
        <f t="array" ref="Y38">IFERROR(INDEX(Kamus!$N$3:$N$111,MATCH(TRUE,ISNUMBER(SEARCH(Kamus!$M$3:$M$111,$I38)),0)),"")</f>
        <v/>
      </c>
      <c r="Z38" s="106" t="str">
        <f>IF(AND(OR($X38="02",$X38="03",$X38="04"),OR($T38="Parsel/Bingkisan (tidak dirinci)",$T38="Makanan &amp; Minuman",$T38="Peralatan Rumah Tangga / Pecah Belah",$T38="Pakaian &amp; Kain")),"Momen Hari Raya (dugaan musiman)",IFERROR(VLOOKUP($W38,Kamus!$P$3:$Q$14,2,FALSE),"Tidak Teridentifikasi"))</f>
        <v>Relasi Personal / Tidak Teridentifikasi</v>
      </c>
      <c r="AA38" s="106" t="str">
        <f t="shared" si="2"/>
        <v>Relasi Personal / Tidak Teridentifikasi</v>
      </c>
    </row>
    <row r="39" spans="1:27">
      <c r="A39" s="106">
        <v>38</v>
      </c>
      <c r="B39" s="106" t="s">
        <v>1238</v>
      </c>
      <c r="C39" s="107" t="s">
        <v>1239</v>
      </c>
      <c r="D39" s="106" t="s">
        <v>1240</v>
      </c>
      <c r="E39" s="106" t="s">
        <v>1241</v>
      </c>
      <c r="F39" s="106" t="s">
        <v>1254</v>
      </c>
      <c r="G39" s="106" t="s">
        <v>1006</v>
      </c>
      <c r="H39" s="106" t="s">
        <v>1069</v>
      </c>
      <c r="I39" s="106" t="s">
        <v>1255</v>
      </c>
      <c r="K39" s="106" t="s">
        <v>468</v>
      </c>
      <c r="L39" s="106" t="s">
        <v>1256</v>
      </c>
      <c r="O39" s="106" t="s">
        <v>274</v>
      </c>
      <c r="Q39" s="106" t="s">
        <v>446</v>
      </c>
      <c r="S39" s="106" t="str" cm="1">
        <f t="array" ref="S39">IF(TRIM($D39)="","(tidak diisi)",IFERROR(INDEX(Kamus!$B$3:$B$28,MATCH(TRUE,ISNUMBER(SEARCH(Kamus!$A$3:$A$28,$D39)),0)),"Jabatan Lainnya"))</f>
        <v>Ketua Pengadilan</v>
      </c>
      <c r="T39" s="106" t="str" cm="1">
        <f t="array" ref="T39">IF(TRIM($I39)="","(tidak diisi)",IFERROR(INDEX(Kamus!$E$3:$E$162,MATCH(TRUE,ISNUMBER(SEARCH(Kamus!$D$3:$D$162,$I39)),0)),"Barang Lain / Tidak Terinci"))</f>
        <v>Makanan &amp; Minuman</v>
      </c>
      <c r="U39" s="106" t="str" cm="1">
        <f t="array" ref="U39">IF(TRIM($I39)="","(tidak diisi)",IFERROR(INDEX(Kamus!$H$3:$H$75,MATCH(TRUE,ISNUMBER(SEARCH(Kamus!$G$3:$G$75,$I39)),0)),"Pemberian Umum / Tanpa Konteks"))</f>
        <v>Parsel/Bingkisan Umum (non-hari raya)</v>
      </c>
      <c r="V39" s="106" t="str">
        <f t="shared" si="0"/>
        <v>2025</v>
      </c>
      <c r="W39" s="106" t="str" cm="1">
        <f t="array" ref="W39">IF(TRIM($K39)="","(tidak diisi)",IFERROR(INDEX(Kamus!$K$3:$K$118,MATCH(TRUE,ISNUMBER(SEARCH(Kamus!$J$3:$J$118,$K39)),0)),"Individu / Perorangan"))</f>
        <v>Individu / Perorangan</v>
      </c>
      <c r="X39" s="106" t="str">
        <f t="shared" si="1"/>
        <v>01</v>
      </c>
      <c r="Y39" s="106" t="str" cm="1">
        <f t="array" ref="Y39">IFERROR(INDEX(Kamus!$N$3:$N$111,MATCH(TRUE,ISNUMBER(SEARCH(Kamus!$M$3:$M$111,$I39)),0)),"")</f>
        <v/>
      </c>
      <c r="Z39" s="106" t="str">
        <f>IF(AND(OR($X39="02",$X39="03",$X39="04"),OR($T39="Parsel/Bingkisan (tidak dirinci)",$T39="Makanan &amp; Minuman",$T39="Peralatan Rumah Tangga / Pecah Belah",$T39="Pakaian &amp; Kain")),"Momen Hari Raya (dugaan musiman)",IFERROR(VLOOKUP($W39,Kamus!$P$3:$Q$14,2,FALSE),"Tidak Teridentifikasi"))</f>
        <v>Relasi Personal / Tidak Teridentifikasi</v>
      </c>
      <c r="AA39" s="106" t="str">
        <f t="shared" si="2"/>
        <v>Relasi Personal / Tidak Teridentifikasi</v>
      </c>
    </row>
    <row r="40" spans="1:27">
      <c r="A40" s="106">
        <v>39</v>
      </c>
      <c r="B40" s="106" t="s">
        <v>1257</v>
      </c>
      <c r="C40" s="107" t="s">
        <v>1258</v>
      </c>
      <c r="D40" s="106" t="s">
        <v>1033</v>
      </c>
      <c r="E40" s="106" t="s">
        <v>1005</v>
      </c>
      <c r="F40" s="106" t="s">
        <v>1259</v>
      </c>
      <c r="G40" s="106" t="s">
        <v>1006</v>
      </c>
      <c r="H40" s="106" t="s">
        <v>1260</v>
      </c>
      <c r="I40" s="106" t="s">
        <v>1261</v>
      </c>
      <c r="K40" s="106" t="s">
        <v>1262</v>
      </c>
      <c r="L40" s="106" t="s">
        <v>1263</v>
      </c>
      <c r="O40" s="106" t="s">
        <v>274</v>
      </c>
      <c r="S40" s="106" t="str" cm="1">
        <f t="array" ref="S40">IF(TRIM($D40)="","(tidak diisi)",IFERROR(INDEX(Kamus!$B$3:$B$28,MATCH(TRUE,ISNUMBER(SEARCH(Kamus!$A$3:$A$28,$D40)),0)),"Jabatan Lainnya"))</f>
        <v>Hakim</v>
      </c>
      <c r="T40" s="106" t="str" cm="1">
        <f t="array" ref="T40">IF(TRIM($I40)="","(tidak diisi)",IFERROR(INDEX(Kamus!$E$3:$E$162,MATCH(TRUE,ISNUMBER(SEARCH(Kamus!$D$3:$D$162,$I40)),0)),"Barang Lain / Tidak Terinci"))</f>
        <v>Makanan &amp; Minuman</v>
      </c>
      <c r="U40" s="106" t="str" cm="1">
        <f t="array" ref="U40">IF(TRIM($I40)="","(tidak diisi)",IFERROR(INDEX(Kamus!$H$3:$H$75,MATCH(TRUE,ISNUMBER(SEARCH(Kamus!$G$3:$G$75,$I40)),0)),"Pemberian Umum / Tanpa Konteks"))</f>
        <v>Pemberian Umum / Tanpa Konteks</v>
      </c>
      <c r="V40" s="106" t="str">
        <f t="shared" si="0"/>
        <v>2025</v>
      </c>
      <c r="W40" s="106" t="str" cm="1">
        <f t="array" ref="W40">IF(TRIM($K40)="","(tidak diisi)",IFERROR(INDEX(Kamus!$K$3:$K$118,MATCH(TRUE,ISNUMBER(SEARCH(Kamus!$J$3:$J$118,$K40)),0)),"Individu / Perorangan"))</f>
        <v>Individu / Perorangan</v>
      </c>
      <c r="X40" s="106" t="str">
        <f t="shared" si="1"/>
        <v>01</v>
      </c>
      <c r="Y40" s="106" t="str" cm="1">
        <f t="array" ref="Y40">IFERROR(INDEX(Kamus!$N$3:$N$111,MATCH(TRUE,ISNUMBER(SEARCH(Kamus!$M$3:$M$111,$I40)),0)),"")</f>
        <v/>
      </c>
      <c r="Z40" s="106" t="str">
        <f>IF(AND(OR($X40="02",$X40="03",$X40="04"),OR($T40="Parsel/Bingkisan (tidak dirinci)",$T40="Makanan &amp; Minuman",$T40="Peralatan Rumah Tangga / Pecah Belah",$T40="Pakaian &amp; Kain")),"Momen Hari Raya (dugaan musiman)",IFERROR(VLOOKUP($W40,Kamus!$P$3:$Q$14,2,FALSE),"Tidak Teridentifikasi"))</f>
        <v>Relasi Personal / Tidak Teridentifikasi</v>
      </c>
      <c r="AA40" s="106" t="str">
        <f t="shared" si="2"/>
        <v>Relasi Personal / Tidak Teridentifikasi</v>
      </c>
    </row>
    <row r="41" spans="1:27">
      <c r="A41" s="106">
        <v>40</v>
      </c>
      <c r="B41" s="106" t="s">
        <v>1264</v>
      </c>
      <c r="C41" s="107" t="s">
        <v>1265</v>
      </c>
      <c r="D41" s="106" t="s">
        <v>1081</v>
      </c>
      <c r="E41" s="106" t="s">
        <v>1266</v>
      </c>
      <c r="F41" s="106" t="s">
        <v>1267</v>
      </c>
      <c r="G41" s="106" t="s">
        <v>1006</v>
      </c>
      <c r="H41" s="106" t="s">
        <v>1268</v>
      </c>
      <c r="I41" s="106" t="s">
        <v>1269</v>
      </c>
      <c r="J41" s="106">
        <v>20000</v>
      </c>
      <c r="K41" s="106" t="s">
        <v>1270</v>
      </c>
      <c r="L41" s="106" t="s">
        <v>1271</v>
      </c>
      <c r="M41" s="106" t="s">
        <v>1171</v>
      </c>
      <c r="N41" s="106" t="s">
        <v>1272</v>
      </c>
      <c r="O41" s="106" t="s">
        <v>274</v>
      </c>
      <c r="P41" s="106" t="s">
        <v>1273</v>
      </c>
      <c r="Q41" s="106" t="s">
        <v>416</v>
      </c>
      <c r="S41" s="106" t="str" cm="1">
        <f t="array" ref="S41">IF(TRIM($D41)="","(tidak diisi)",IFERROR(INDEX(Kamus!$B$3:$B$28,MATCH(TRUE,ISNUMBER(SEARCH(Kamus!$A$3:$A$28,$D41)),0)),"Jabatan Lainnya"))</f>
        <v>Hakim</v>
      </c>
      <c r="T41" s="106" t="str" cm="1">
        <f t="array" ref="T41">IF(TRIM($I41)="","(tidak diisi)",IFERROR(INDEX(Kamus!$E$3:$E$162,MATCH(TRUE,ISNUMBER(SEARCH(Kamus!$D$3:$D$162,$I41)),0)),"Barang Lain / Tidak Terinci"))</f>
        <v>Uang &amp; Setara Uang</v>
      </c>
      <c r="U41" s="106" t="str" cm="1">
        <f t="array" ref="U41">IF(TRIM($I41)="","(tidak diisi)",IFERROR(INDEX(Kamus!$H$3:$H$75,MATCH(TRUE,ISNUMBER(SEARCH(Kamus!$G$3:$G$75,$I41)),0)),"Pemberian Umum / Tanpa Konteks"))</f>
        <v>Pemberian Uang Langsung</v>
      </c>
      <c r="V41" s="106" t="str">
        <f t="shared" si="0"/>
        <v>2025</v>
      </c>
      <c r="W41" s="106" t="str" cm="1">
        <f t="array" ref="W41">IF(TRIM($K41)="","(tidak diisi)",IFERROR(INDEX(Kamus!$K$3:$K$118,MATCH(TRUE,ISNUMBER(SEARCH(Kamus!$J$3:$J$118,$K41)),0)),"Individu / Perorangan"))</f>
        <v>Individu / Perorangan</v>
      </c>
      <c r="X41" s="106" t="str">
        <f t="shared" si="1"/>
        <v>02</v>
      </c>
      <c r="Y41" s="106" t="str" cm="1">
        <f t="array" ref="Y41">IFERROR(INDEX(Kamus!$N$3:$N$111,MATCH(TRUE,ISNUMBER(SEARCH(Kamus!$M$3:$M$111,$I41)),0)),"")</f>
        <v/>
      </c>
      <c r="Z41" s="106" t="str">
        <f>IF(AND(OR($X41="02",$X41="03",$X41="04"),OR($T41="Parsel/Bingkisan (tidak dirinci)",$T41="Makanan &amp; Minuman",$T41="Peralatan Rumah Tangga / Pecah Belah",$T41="Pakaian &amp; Kain")),"Momen Hari Raya (dugaan musiman)",IFERROR(VLOOKUP($W41,Kamus!$P$3:$Q$14,2,FALSE),"Tidak Teridentifikasi"))</f>
        <v>Relasi Personal / Tidak Teridentifikasi</v>
      </c>
      <c r="AA41" s="106" t="str">
        <f t="shared" si="2"/>
        <v>Relasi Personal / Tidak Teridentifikasi</v>
      </c>
    </row>
    <row r="42" spans="1:27">
      <c r="A42" s="106">
        <v>41</v>
      </c>
      <c r="B42" s="106" t="s">
        <v>1022</v>
      </c>
      <c r="C42" s="107" t="s">
        <v>1023</v>
      </c>
      <c r="D42" s="106" t="s">
        <v>1024</v>
      </c>
      <c r="E42" s="106" t="s">
        <v>1025</v>
      </c>
      <c r="F42" s="106" t="s">
        <v>1274</v>
      </c>
      <c r="G42" s="106" t="s">
        <v>1006</v>
      </c>
      <c r="H42" s="106" t="s">
        <v>1275</v>
      </c>
      <c r="I42" s="106" t="s">
        <v>1276</v>
      </c>
      <c r="K42" s="106" t="s">
        <v>468</v>
      </c>
      <c r="L42" s="106" t="s">
        <v>1277</v>
      </c>
      <c r="O42" s="106" t="s">
        <v>274</v>
      </c>
      <c r="P42" s="106" t="s">
        <v>561</v>
      </c>
      <c r="Q42" s="106" t="s">
        <v>428</v>
      </c>
      <c r="S42" s="106" t="str" cm="1">
        <f t="array" ref="S42">IF(TRIM($D42)="","(tidak diisi)",IFERROR(INDEX(Kamus!$B$3:$B$28,MATCH(TRUE,ISNUMBER(SEARCH(Kamus!$A$3:$A$28,$D42)),0)),"Jabatan Lainnya"))</f>
        <v>Sekretaris</v>
      </c>
      <c r="T42" s="106" t="str" cm="1">
        <f t="array" ref="T42">IF(TRIM($I42)="","(tidak diisi)",IFERROR(INDEX(Kamus!$E$3:$E$162,MATCH(TRUE,ISNUMBER(SEARCH(Kamus!$D$3:$D$162,$I42)),0)),"Barang Lain / Tidak Terinci"))</f>
        <v>Suvenir &amp; Merchandise</v>
      </c>
      <c r="U42" s="106" t="str" cm="1">
        <f t="array" ref="U42">IF(TRIM($I42)="","(tidak diisi)",IFERROR(INDEX(Kamus!$H$3:$H$75,MATCH(TRUE,ISNUMBER(SEARCH(Kamus!$G$3:$G$75,$I42)),0)),"Pemberian Umum / Tanpa Konteks"))</f>
        <v>Suvenir / Merchandise Kegiatan &amp; Kunjungan</v>
      </c>
      <c r="V42" s="106" t="str">
        <f t="shared" si="0"/>
        <v>2025</v>
      </c>
      <c r="W42" s="106" t="str" cm="1">
        <f t="array" ref="W42">IF(TRIM($K42)="","(tidak diisi)",IFERROR(INDEX(Kamus!$K$3:$K$118,MATCH(TRUE,ISNUMBER(SEARCH(Kamus!$J$3:$J$118,$K42)),0)),"Individu / Perorangan"))</f>
        <v>Individu / Perorangan</v>
      </c>
      <c r="X42" s="106" t="str">
        <f t="shared" si="1"/>
        <v>02</v>
      </c>
      <c r="Y42" s="106" t="str" cm="1">
        <f t="array" ref="Y42">IFERROR(INDEX(Kamus!$N$3:$N$111,MATCH(TRUE,ISNUMBER(SEARCH(Kamus!$M$3:$M$111,$I42)),0)),"")</f>
        <v/>
      </c>
      <c r="Z42" s="106" t="str">
        <f>IF(AND(OR($X42="02",$X42="03",$X42="04"),OR($T42="Parsel/Bingkisan (tidak dirinci)",$T42="Makanan &amp; Minuman",$T42="Peralatan Rumah Tangga / Pecah Belah",$T42="Pakaian &amp; Kain")),"Momen Hari Raya (dugaan musiman)",IFERROR(VLOOKUP($W42,Kamus!$P$3:$Q$14,2,FALSE),"Tidak Teridentifikasi"))</f>
        <v>Relasi Personal / Tidak Teridentifikasi</v>
      </c>
      <c r="AA42" s="106" t="str">
        <f t="shared" si="2"/>
        <v>Relasi Personal / Tidak Teridentifikasi</v>
      </c>
    </row>
    <row r="43" spans="1:27">
      <c r="A43" s="106">
        <v>42</v>
      </c>
      <c r="B43" s="106" t="s">
        <v>1278</v>
      </c>
      <c r="C43" s="107" t="s">
        <v>1279</v>
      </c>
      <c r="D43" s="106" t="s">
        <v>1024</v>
      </c>
      <c r="E43" s="106" t="s">
        <v>1280</v>
      </c>
      <c r="F43" s="106" t="s">
        <v>1281</v>
      </c>
      <c r="G43" s="106" t="s">
        <v>1006</v>
      </c>
      <c r="H43" s="106" t="s">
        <v>1275</v>
      </c>
      <c r="I43" s="106" t="s">
        <v>1282</v>
      </c>
      <c r="K43" s="106" t="s">
        <v>468</v>
      </c>
      <c r="L43" s="106" t="s">
        <v>1283</v>
      </c>
      <c r="O43" s="106" t="s">
        <v>274</v>
      </c>
      <c r="P43" s="106" t="s">
        <v>1284</v>
      </c>
      <c r="Q43" s="106" t="s">
        <v>428</v>
      </c>
      <c r="S43" s="106" t="str" cm="1">
        <f t="array" ref="S43">IF(TRIM($D43)="","(tidak diisi)",IFERROR(INDEX(Kamus!$B$3:$B$28,MATCH(TRUE,ISNUMBER(SEARCH(Kamus!$A$3:$A$28,$D43)),0)),"Jabatan Lainnya"))</f>
        <v>Sekretaris</v>
      </c>
      <c r="T43" s="106" t="str" cm="1">
        <f t="array" ref="T43">IF(TRIM($I43)="","(tidak diisi)",IFERROR(INDEX(Kamus!$E$3:$E$162,MATCH(TRUE,ISNUMBER(SEARCH(Kamus!$D$3:$D$162,$I43)),0)),"Barang Lain / Tidak Terinci"))</f>
        <v>Suvenir &amp; Merchandise</v>
      </c>
      <c r="U43" s="106" t="str" cm="1">
        <f t="array" ref="U43">IF(TRIM($I43)="","(tidak diisi)",IFERROR(INDEX(Kamus!$H$3:$H$75,MATCH(TRUE,ISNUMBER(SEARCH(Kamus!$G$3:$G$75,$I43)),0)),"Pemberian Umum / Tanpa Konteks"))</f>
        <v>Suvenir / Merchandise Kegiatan &amp; Kunjungan</v>
      </c>
      <c r="V43" s="106" t="str">
        <f t="shared" si="0"/>
        <v>2025</v>
      </c>
      <c r="W43" s="106" t="str" cm="1">
        <f t="array" ref="W43">IF(TRIM($K43)="","(tidak diisi)",IFERROR(INDEX(Kamus!$K$3:$K$118,MATCH(TRUE,ISNUMBER(SEARCH(Kamus!$J$3:$J$118,$K43)),0)),"Individu / Perorangan"))</f>
        <v>Individu / Perorangan</v>
      </c>
      <c r="X43" s="106" t="str">
        <f t="shared" si="1"/>
        <v>02</v>
      </c>
      <c r="Y43" s="106" t="str" cm="1">
        <f t="array" ref="Y43">IFERROR(INDEX(Kamus!$N$3:$N$111,MATCH(TRUE,ISNUMBER(SEARCH(Kamus!$M$3:$M$111,$I43)),0)),"")</f>
        <v/>
      </c>
      <c r="Z43" s="106" t="str">
        <f>IF(AND(OR($X43="02",$X43="03",$X43="04"),OR($T43="Parsel/Bingkisan (tidak dirinci)",$T43="Makanan &amp; Minuman",$T43="Peralatan Rumah Tangga / Pecah Belah",$T43="Pakaian &amp; Kain")),"Momen Hari Raya (dugaan musiman)",IFERROR(VLOOKUP($W43,Kamus!$P$3:$Q$14,2,FALSE),"Tidak Teridentifikasi"))</f>
        <v>Relasi Personal / Tidak Teridentifikasi</v>
      </c>
      <c r="AA43" s="106" t="str">
        <f t="shared" si="2"/>
        <v>Relasi Personal / Tidak Teridentifikasi</v>
      </c>
    </row>
    <row r="44" spans="1:27">
      <c r="A44" s="106">
        <v>43</v>
      </c>
      <c r="B44" s="106" t="s">
        <v>1285</v>
      </c>
      <c r="C44" s="107" t="s">
        <v>1286</v>
      </c>
      <c r="D44" s="106" t="s">
        <v>1024</v>
      </c>
      <c r="E44" s="106" t="s">
        <v>1287</v>
      </c>
      <c r="F44" s="106" t="s">
        <v>1288</v>
      </c>
      <c r="G44" s="106" t="s">
        <v>1006</v>
      </c>
      <c r="H44" s="106" t="s">
        <v>1275</v>
      </c>
      <c r="I44" s="106" t="s">
        <v>1289</v>
      </c>
      <c r="J44" s="106">
        <v>50000</v>
      </c>
      <c r="K44" s="106" t="s">
        <v>468</v>
      </c>
      <c r="L44" s="106" t="s">
        <v>1290</v>
      </c>
      <c r="M44" s="106" t="s">
        <v>1039</v>
      </c>
      <c r="O44" s="106" t="s">
        <v>274</v>
      </c>
      <c r="P44" s="106" t="s">
        <v>1291</v>
      </c>
      <c r="Q44" s="106" t="s">
        <v>428</v>
      </c>
      <c r="S44" s="106" t="str" cm="1">
        <f t="array" ref="S44">IF(TRIM($D44)="","(tidak diisi)",IFERROR(INDEX(Kamus!$B$3:$B$28,MATCH(TRUE,ISNUMBER(SEARCH(Kamus!$A$3:$A$28,$D44)),0)),"Jabatan Lainnya"))</f>
        <v>Sekretaris</v>
      </c>
      <c r="T44" s="106" t="str" cm="1">
        <f t="array" ref="T44">IF(TRIM($I44)="","(tidak diisi)",IFERROR(INDEX(Kamus!$E$3:$E$162,MATCH(TRUE,ISNUMBER(SEARCH(Kamus!$D$3:$D$162,$I44)),0)),"Barang Lain / Tidak Terinci"))</f>
        <v>Peralatan Rumah Tangga / Pecah Belah</v>
      </c>
      <c r="U44" s="106" t="str" cm="1">
        <f t="array" ref="U44">IF(TRIM($I44)="","(tidak diisi)",IFERROR(INDEX(Kamus!$H$3:$H$75,MATCH(TRUE,ISNUMBER(SEARCH(Kamus!$G$3:$G$75,$I44)),0)),"Pemberian Umum / Tanpa Konteks"))</f>
        <v>Pemberian Umum / Tanpa Konteks</v>
      </c>
      <c r="V44" s="106" t="str">
        <f t="shared" si="0"/>
        <v>2025</v>
      </c>
      <c r="W44" s="106" t="str" cm="1">
        <f t="array" ref="W44">IF(TRIM($K44)="","(tidak diisi)",IFERROR(INDEX(Kamus!$K$3:$K$118,MATCH(TRUE,ISNUMBER(SEARCH(Kamus!$J$3:$J$118,$K44)),0)),"Individu / Perorangan"))</f>
        <v>Individu / Perorangan</v>
      </c>
      <c r="X44" s="106" t="str">
        <f t="shared" si="1"/>
        <v>02</v>
      </c>
      <c r="Y44" s="106" t="str" cm="1">
        <f t="array" ref="Y44">IFERROR(INDEX(Kamus!$N$3:$N$111,MATCH(TRUE,ISNUMBER(SEARCH(Kamus!$M$3:$M$111,$I44)),0)),"")</f>
        <v/>
      </c>
      <c r="Z44" s="106" t="str">
        <f>IF(AND(OR($X44="02",$X44="03",$X44="04"),OR($T44="Parsel/Bingkisan (tidak dirinci)",$T44="Makanan &amp; Minuman",$T44="Peralatan Rumah Tangga / Pecah Belah",$T44="Pakaian &amp; Kain")),"Momen Hari Raya (dugaan musiman)",IFERROR(VLOOKUP($W44,Kamus!$P$3:$Q$14,2,FALSE),"Tidak Teridentifikasi"))</f>
        <v>Momen Hari Raya (dugaan musiman)</v>
      </c>
      <c r="AA44" s="106" t="str">
        <f t="shared" si="2"/>
        <v>Momen Hari Raya (dugaan musiman)</v>
      </c>
    </row>
    <row r="45" spans="1:27">
      <c r="A45" s="106">
        <v>44</v>
      </c>
      <c r="B45" s="106" t="s">
        <v>1292</v>
      </c>
      <c r="C45" s="107" t="s">
        <v>1293</v>
      </c>
      <c r="D45" s="106" t="s">
        <v>1024</v>
      </c>
      <c r="E45" s="106" t="s">
        <v>1294</v>
      </c>
      <c r="F45" s="106" t="s">
        <v>1295</v>
      </c>
      <c r="G45" s="106" t="s">
        <v>1006</v>
      </c>
      <c r="H45" s="106" t="s">
        <v>1275</v>
      </c>
      <c r="I45" s="106" t="s">
        <v>1296</v>
      </c>
      <c r="K45" s="106" t="s">
        <v>468</v>
      </c>
      <c r="L45" s="106" t="s">
        <v>1297</v>
      </c>
      <c r="O45" s="106" t="s">
        <v>274</v>
      </c>
      <c r="P45" s="106" t="s">
        <v>1298</v>
      </c>
      <c r="Q45" s="106" t="s">
        <v>428</v>
      </c>
      <c r="S45" s="106" t="str" cm="1">
        <f t="array" ref="S45">IF(TRIM($D45)="","(tidak diisi)",IFERROR(INDEX(Kamus!$B$3:$B$28,MATCH(TRUE,ISNUMBER(SEARCH(Kamus!$A$3:$A$28,$D45)),0)),"Jabatan Lainnya"))</f>
        <v>Sekretaris</v>
      </c>
      <c r="T45" s="106" t="str" cm="1">
        <f t="array" ref="T45">IF(TRIM($I45)="","(tidak diisi)",IFERROR(INDEX(Kamus!$E$3:$E$162,MATCH(TRUE,ISNUMBER(SEARCH(Kamus!$D$3:$D$162,$I45)),0)),"Barang Lain / Tidak Terinci"))</f>
        <v>Suvenir &amp; Merchandise</v>
      </c>
      <c r="U45" s="106" t="str" cm="1">
        <f t="array" ref="U45">IF(TRIM($I45)="","(tidak diisi)",IFERROR(INDEX(Kamus!$H$3:$H$75,MATCH(TRUE,ISNUMBER(SEARCH(Kamus!$G$3:$G$75,$I45)),0)),"Pemberian Umum / Tanpa Konteks"))</f>
        <v>Suvenir / Merchandise Kegiatan &amp; Kunjungan</v>
      </c>
      <c r="V45" s="106" t="str">
        <f t="shared" si="0"/>
        <v>2025</v>
      </c>
      <c r="W45" s="106" t="str" cm="1">
        <f t="array" ref="W45">IF(TRIM($K45)="","(tidak diisi)",IFERROR(INDEX(Kamus!$K$3:$K$118,MATCH(TRUE,ISNUMBER(SEARCH(Kamus!$J$3:$J$118,$K45)),0)),"Individu / Perorangan"))</f>
        <v>Individu / Perorangan</v>
      </c>
      <c r="X45" s="106" t="str">
        <f t="shared" si="1"/>
        <v>02</v>
      </c>
      <c r="Y45" s="106" t="str" cm="1">
        <f t="array" ref="Y45">IFERROR(INDEX(Kamus!$N$3:$N$111,MATCH(TRUE,ISNUMBER(SEARCH(Kamus!$M$3:$M$111,$I45)),0)),"")</f>
        <v/>
      </c>
      <c r="Z45" s="106" t="str">
        <f>IF(AND(OR($X45="02",$X45="03",$X45="04"),OR($T45="Parsel/Bingkisan (tidak dirinci)",$T45="Makanan &amp; Minuman",$T45="Peralatan Rumah Tangga / Pecah Belah",$T45="Pakaian &amp; Kain")),"Momen Hari Raya (dugaan musiman)",IFERROR(VLOOKUP($W45,Kamus!$P$3:$Q$14,2,FALSE),"Tidak Teridentifikasi"))</f>
        <v>Relasi Personal / Tidak Teridentifikasi</v>
      </c>
      <c r="AA45" s="106" t="str">
        <f t="shared" si="2"/>
        <v>Relasi Personal / Tidak Teridentifikasi</v>
      </c>
    </row>
    <row r="46" spans="1:27">
      <c r="A46" s="106">
        <v>45</v>
      </c>
      <c r="B46" s="106" t="s">
        <v>1060</v>
      </c>
      <c r="C46" s="107" t="s">
        <v>1061</v>
      </c>
      <c r="D46" s="106" t="s">
        <v>1033</v>
      </c>
      <c r="E46" s="106" t="s">
        <v>1062</v>
      </c>
      <c r="F46" s="106" t="s">
        <v>1299</v>
      </c>
      <c r="G46" s="106" t="s">
        <v>1006</v>
      </c>
      <c r="H46" s="106" t="s">
        <v>1300</v>
      </c>
      <c r="I46" s="106" t="s">
        <v>1301</v>
      </c>
      <c r="K46" s="106" t="s">
        <v>1302</v>
      </c>
      <c r="L46" s="106" t="s">
        <v>1303</v>
      </c>
      <c r="O46" s="106" t="s">
        <v>274</v>
      </c>
      <c r="P46" s="106" t="s">
        <v>1067</v>
      </c>
      <c r="Q46" s="106" t="s">
        <v>350</v>
      </c>
      <c r="S46" s="106" t="str" cm="1">
        <f t="array" ref="S46">IF(TRIM($D46)="","(tidak diisi)",IFERROR(INDEX(Kamus!$B$3:$B$28,MATCH(TRUE,ISNUMBER(SEARCH(Kamus!$A$3:$A$28,$D46)),0)),"Jabatan Lainnya"))</f>
        <v>Hakim</v>
      </c>
      <c r="T46" s="106" t="str" cm="1">
        <f t="array" ref="T46">IF(TRIM($I46)="","(tidak diisi)",IFERROR(INDEX(Kamus!$E$3:$E$162,MATCH(TRUE,ISNUMBER(SEARCH(Kamus!$D$3:$D$162,$I46)),0)),"Barang Lain / Tidak Terinci"))</f>
        <v>Makanan &amp; Minuman</v>
      </c>
      <c r="U46" s="106" t="str" cm="1">
        <f t="array" ref="U46">IF(TRIM($I46)="","(tidak diisi)",IFERROR(INDEX(Kamus!$H$3:$H$75,MATCH(TRUE,ISNUMBER(SEARCH(Kamus!$G$3:$G$75,$I46)),0)),"Pemberian Umum / Tanpa Konteks"))</f>
        <v>Pemberian Umum / Tanpa Konteks</v>
      </c>
      <c r="V46" s="106" t="str">
        <f t="shared" si="0"/>
        <v>2025</v>
      </c>
      <c r="W46" s="106" t="str" cm="1">
        <f t="array" ref="W46">IF(TRIM($K46)="","(tidak diisi)",IFERROR(INDEX(Kamus!$K$3:$K$118,MATCH(TRUE,ISNUMBER(SEARCH(Kamus!$J$3:$J$118,$K46)),0)),"Individu / Perorangan"))</f>
        <v>Individu / Perorangan</v>
      </c>
      <c r="X46" s="106" t="str">
        <f t="shared" si="1"/>
        <v>01</v>
      </c>
      <c r="Y46" s="106" t="str" cm="1">
        <f t="array" ref="Y46">IFERROR(INDEX(Kamus!$N$3:$N$111,MATCH(TRUE,ISNUMBER(SEARCH(Kamus!$M$3:$M$111,$I46)),0)),"")</f>
        <v/>
      </c>
      <c r="Z46" s="106" t="str">
        <f>IF(AND(OR($X46="02",$X46="03",$X46="04"),OR($T46="Parsel/Bingkisan (tidak dirinci)",$T46="Makanan &amp; Minuman",$T46="Peralatan Rumah Tangga / Pecah Belah",$T46="Pakaian &amp; Kain")),"Momen Hari Raya (dugaan musiman)",IFERROR(VLOOKUP($W46,Kamus!$P$3:$Q$14,2,FALSE),"Tidak Teridentifikasi"))</f>
        <v>Relasi Personal / Tidak Teridentifikasi</v>
      </c>
      <c r="AA46" s="106" t="str">
        <f t="shared" si="2"/>
        <v>Relasi Personal / Tidak Teridentifikasi</v>
      </c>
    </row>
    <row r="47" spans="1:27">
      <c r="A47" s="106">
        <v>46</v>
      </c>
      <c r="B47" s="106" t="s">
        <v>1304</v>
      </c>
      <c r="C47" s="107" t="s">
        <v>1305</v>
      </c>
      <c r="D47" s="106" t="s">
        <v>1306</v>
      </c>
      <c r="E47" s="106" t="s">
        <v>1307</v>
      </c>
      <c r="F47" s="106" t="s">
        <v>1308</v>
      </c>
      <c r="G47" s="106" t="s">
        <v>1006</v>
      </c>
      <c r="H47" s="106" t="s">
        <v>1275</v>
      </c>
      <c r="I47" s="106" t="s">
        <v>1309</v>
      </c>
      <c r="J47" s="106">
        <v>50000</v>
      </c>
      <c r="K47" s="106" t="s">
        <v>1310</v>
      </c>
      <c r="L47" s="106" t="s">
        <v>1311</v>
      </c>
      <c r="M47" s="106" t="s">
        <v>1039</v>
      </c>
      <c r="O47" s="106" t="s">
        <v>274</v>
      </c>
      <c r="P47" s="106" t="s">
        <v>597</v>
      </c>
      <c r="Q47" s="106" t="s">
        <v>427</v>
      </c>
      <c r="S47" s="106" t="str" cm="1">
        <f t="array" ref="S47">IF(TRIM($D47)="","(tidak diisi)",IFERROR(INDEX(Kamus!$B$3:$B$28,MATCH(TRUE,ISNUMBER(SEARCH(Kamus!$A$3:$A$28,$D47)),0)),"Jabatan Lainnya"))</f>
        <v>Pejabat Struktural (Kasubbag/Kabag)</v>
      </c>
      <c r="T47" s="106" t="str" cm="1">
        <f t="array" ref="T47">IF(TRIM($I47)="","(tidak diisi)",IFERROR(INDEX(Kamus!$E$3:$E$162,MATCH(TRUE,ISNUMBER(SEARCH(Kamus!$D$3:$D$162,$I47)),0)),"Barang Lain / Tidak Terinci"))</f>
        <v>Suvenir &amp; Merchandise</v>
      </c>
      <c r="U47" s="106" t="str" cm="1">
        <f t="array" ref="U47">IF(TRIM($I47)="","(tidak diisi)",IFERROR(INDEX(Kamus!$H$3:$H$75,MATCH(TRUE,ISNUMBER(SEARCH(Kamus!$G$3:$G$75,$I47)),0)),"Pemberian Umum / Tanpa Konteks"))</f>
        <v>Suvenir / Merchandise Kegiatan &amp; Kunjungan</v>
      </c>
      <c r="V47" s="106" t="str">
        <f t="shared" si="0"/>
        <v>2025</v>
      </c>
      <c r="W47" s="106" t="str" cm="1">
        <f t="array" ref="W47">IF(TRIM($K47)="","(tidak diisi)",IFERROR(INDEX(Kamus!$K$3:$K$118,MATCH(TRUE,ISNUMBER(SEARCH(Kamus!$J$3:$J$118,$K47)),0)),"Individu / Perorangan"))</f>
        <v>Individu / Perorangan</v>
      </c>
      <c r="X47" s="106" t="str">
        <f t="shared" si="1"/>
        <v>02</v>
      </c>
      <c r="Y47" s="106" t="str" cm="1">
        <f t="array" ref="Y47">IFERROR(INDEX(Kamus!$N$3:$N$111,MATCH(TRUE,ISNUMBER(SEARCH(Kamus!$M$3:$M$111,$I47)),0)),"")</f>
        <v/>
      </c>
      <c r="Z47" s="106" t="str">
        <f>IF(AND(OR($X47="02",$X47="03",$X47="04"),OR($T47="Parsel/Bingkisan (tidak dirinci)",$T47="Makanan &amp; Minuman",$T47="Peralatan Rumah Tangga / Pecah Belah",$T47="Pakaian &amp; Kain")),"Momen Hari Raya (dugaan musiman)",IFERROR(VLOOKUP($W47,Kamus!$P$3:$Q$14,2,FALSE),"Tidak Teridentifikasi"))</f>
        <v>Relasi Personal / Tidak Teridentifikasi</v>
      </c>
      <c r="AA47" s="106" t="str">
        <f t="shared" si="2"/>
        <v>Relasi Personal / Tidak Teridentifikasi</v>
      </c>
    </row>
    <row r="48" spans="1:27">
      <c r="A48" s="106">
        <v>47</v>
      </c>
      <c r="B48" s="106" t="s">
        <v>1088</v>
      </c>
      <c r="C48" s="107" t="s">
        <v>1089</v>
      </c>
      <c r="D48" s="106" t="s">
        <v>1033</v>
      </c>
      <c r="E48" s="106" t="s">
        <v>1090</v>
      </c>
      <c r="F48" s="106" t="s">
        <v>1312</v>
      </c>
      <c r="G48" s="106" t="s">
        <v>1006</v>
      </c>
      <c r="H48" s="106" t="s">
        <v>1313</v>
      </c>
      <c r="I48" s="106" t="s">
        <v>1314</v>
      </c>
      <c r="J48" s="106">
        <v>200000</v>
      </c>
      <c r="K48" s="106" t="s">
        <v>1315</v>
      </c>
      <c r="L48" s="106" t="s">
        <v>1316</v>
      </c>
      <c r="M48" s="106" t="s">
        <v>1020</v>
      </c>
      <c r="O48" s="106" t="s">
        <v>274</v>
      </c>
      <c r="P48" s="106" t="s">
        <v>1095</v>
      </c>
      <c r="Q48" s="106" t="s">
        <v>348</v>
      </c>
      <c r="S48" s="106" t="str" cm="1">
        <f t="array" ref="S48">IF(TRIM($D48)="","(tidak diisi)",IFERROR(INDEX(Kamus!$B$3:$B$28,MATCH(TRUE,ISNUMBER(SEARCH(Kamus!$A$3:$A$28,$D48)),0)),"Jabatan Lainnya"))</f>
        <v>Hakim</v>
      </c>
      <c r="T48" s="106" t="str" cm="1">
        <f t="array" ref="T48">IF(TRIM($I48)="","(tidak diisi)",IFERROR(INDEX(Kamus!$E$3:$E$162,MATCH(TRUE,ISNUMBER(SEARCH(Kamus!$D$3:$D$162,$I48)),0)),"Barang Lain / Tidak Terinci"))</f>
        <v>Suvenir &amp; Merchandise</v>
      </c>
      <c r="U48" s="106" t="str" cm="1">
        <f t="array" ref="U48">IF(TRIM($I48)="","(tidak diisi)",IFERROR(INDEX(Kamus!$H$3:$H$75,MATCH(TRUE,ISNUMBER(SEARCH(Kamus!$G$3:$G$75,$I48)),0)),"Pemberian Umum / Tanpa Konteks"))</f>
        <v>Suvenir / Merchandise Kegiatan &amp; Kunjungan</v>
      </c>
      <c r="V48" s="106" t="str">
        <f t="shared" si="0"/>
        <v>2025</v>
      </c>
      <c r="W48" s="106" t="str" cm="1">
        <f t="array" ref="W48">IF(TRIM($K48)="","(tidak diisi)",IFERROR(INDEX(Kamus!$K$3:$K$118,MATCH(TRUE,ISNUMBER(SEARCH(Kamus!$J$3:$J$118,$K48)),0)),"Individu / Perorangan"))</f>
        <v>Individu / Perorangan</v>
      </c>
      <c r="X48" s="106" t="str">
        <f t="shared" si="1"/>
        <v>02</v>
      </c>
      <c r="Y48" s="106" t="str" cm="1">
        <f t="array" ref="Y48">IFERROR(INDEX(Kamus!$N$3:$N$111,MATCH(TRUE,ISNUMBER(SEARCH(Kamus!$M$3:$M$111,$I48)),0)),"")</f>
        <v/>
      </c>
      <c r="Z48" s="106" t="str">
        <f>IF(AND(OR($X48="02",$X48="03",$X48="04"),OR($T48="Parsel/Bingkisan (tidak dirinci)",$T48="Makanan &amp; Minuman",$T48="Peralatan Rumah Tangga / Pecah Belah",$T48="Pakaian &amp; Kain")),"Momen Hari Raya (dugaan musiman)",IFERROR(VLOOKUP($W48,Kamus!$P$3:$Q$14,2,FALSE),"Tidak Teridentifikasi"))</f>
        <v>Relasi Personal / Tidak Teridentifikasi</v>
      </c>
      <c r="AA48" s="106" t="str">
        <f t="shared" si="2"/>
        <v>Relasi Personal / Tidak Teridentifikasi</v>
      </c>
    </row>
    <row r="49" spans="1:27">
      <c r="A49" s="106">
        <v>48</v>
      </c>
      <c r="B49" s="106" t="s">
        <v>1317</v>
      </c>
      <c r="C49" s="107" t="s">
        <v>1318</v>
      </c>
      <c r="D49" s="106" t="s">
        <v>1319</v>
      </c>
      <c r="E49" s="106" t="s">
        <v>1320</v>
      </c>
      <c r="F49" s="106" t="s">
        <v>1321</v>
      </c>
      <c r="G49" s="106" t="s">
        <v>1006</v>
      </c>
      <c r="H49" s="106" t="s">
        <v>1322</v>
      </c>
      <c r="I49" s="106" t="s">
        <v>1017</v>
      </c>
      <c r="J49" s="106">
        <v>400000</v>
      </c>
      <c r="K49" s="106" t="s">
        <v>1323</v>
      </c>
      <c r="L49" s="106" t="s">
        <v>1324</v>
      </c>
      <c r="M49" s="106" t="s">
        <v>1020</v>
      </c>
      <c r="O49" s="106" t="s">
        <v>274</v>
      </c>
      <c r="P49" s="106" t="s">
        <v>1325</v>
      </c>
      <c r="Q49" s="106" t="s">
        <v>427</v>
      </c>
      <c r="S49" s="106" t="str" cm="1">
        <f t="array" ref="S49">IF(TRIM($D49)="","(tidak diisi)",IFERROR(INDEX(Kamus!$B$3:$B$28,MATCH(TRUE,ISNUMBER(SEARCH(Kamus!$A$3:$A$28,$D49)),0)),"Jabatan Lainnya"))</f>
        <v>Wakil Ketua Pengadilan</v>
      </c>
      <c r="T49" s="106" t="str" cm="1">
        <f t="array" ref="T49">IF(TRIM($I49)="","(tidak diisi)",IFERROR(INDEX(Kamus!$E$3:$E$162,MATCH(TRUE,ISNUMBER(SEARCH(Kamus!$D$3:$D$162,$I49)),0)),"Barang Lain / Tidak Terinci"))</f>
        <v>Uang &amp; Setara Uang</v>
      </c>
      <c r="U49" s="106" t="str" cm="1">
        <f t="array" ref="U49">IF(TRIM($I49)="","(tidak diisi)",IFERROR(INDEX(Kamus!$H$3:$H$75,MATCH(TRUE,ISNUMBER(SEARCH(Kamus!$G$3:$G$75,$I49)),0)),"Pemberian Umum / Tanpa Konteks"))</f>
        <v>Pemberian Uang Langsung</v>
      </c>
      <c r="V49" s="106" t="str">
        <f t="shared" si="0"/>
        <v>2025</v>
      </c>
      <c r="W49" s="106" t="str" cm="1">
        <f t="array" ref="W49">IF(TRIM($K49)="","(tidak diisi)",IFERROR(INDEX(Kamus!$K$3:$K$118,MATCH(TRUE,ISNUMBER(SEARCH(Kamus!$J$3:$J$118,$K49)),0)),"Individu / Perorangan"))</f>
        <v>Organisasi / Panitia Kegiatan</v>
      </c>
      <c r="X49" s="106" t="str">
        <f t="shared" si="1"/>
        <v>01</v>
      </c>
      <c r="Y49" s="106" t="str" cm="1">
        <f t="array" ref="Y49">IFERROR(INDEX(Kamus!$N$3:$N$111,MATCH(TRUE,ISNUMBER(SEARCH(Kamus!$M$3:$M$111,$I49)),0)),"")</f>
        <v/>
      </c>
      <c r="Z49" s="106" t="str">
        <f>IF(AND(OR($X49="02",$X49="03",$X49="04"),OR($T49="Parsel/Bingkisan (tidak dirinci)",$T49="Makanan &amp; Minuman",$T49="Peralatan Rumah Tangga / Pecah Belah",$T49="Pakaian &amp; Kain")),"Momen Hari Raya (dugaan musiman)",IFERROR(VLOOKUP($W49,Kamus!$P$3:$Q$14,2,FALSE),"Tidak Teridentifikasi"))</f>
        <v>Kegiatan Organisasi/Panitia (dugaan)</v>
      </c>
      <c r="AA49" s="106" t="str">
        <f t="shared" si="2"/>
        <v>Kegiatan Organisasi/Panitia (dugaan)</v>
      </c>
    </row>
    <row r="50" spans="1:27">
      <c r="A50" s="106">
        <v>49</v>
      </c>
      <c r="B50" s="106" t="s">
        <v>1304</v>
      </c>
      <c r="C50" s="107" t="s">
        <v>1305</v>
      </c>
      <c r="D50" s="106" t="s">
        <v>1306</v>
      </c>
      <c r="E50" s="106" t="s">
        <v>1307</v>
      </c>
      <c r="F50" s="106" t="s">
        <v>1326</v>
      </c>
      <c r="G50" s="106" t="s">
        <v>1006</v>
      </c>
      <c r="H50" s="106" t="s">
        <v>1313</v>
      </c>
      <c r="I50" s="106" t="s">
        <v>1327</v>
      </c>
      <c r="K50" s="106" t="s">
        <v>1328</v>
      </c>
      <c r="L50" s="106" t="s">
        <v>1329</v>
      </c>
      <c r="O50" s="106" t="s">
        <v>274</v>
      </c>
      <c r="P50" s="106" t="s">
        <v>597</v>
      </c>
      <c r="Q50" s="106" t="s">
        <v>427</v>
      </c>
      <c r="S50" s="106" t="str" cm="1">
        <f t="array" ref="S50">IF(TRIM($D50)="","(tidak diisi)",IFERROR(INDEX(Kamus!$B$3:$B$28,MATCH(TRUE,ISNUMBER(SEARCH(Kamus!$A$3:$A$28,$D50)),0)),"Jabatan Lainnya"))</f>
        <v>Pejabat Struktural (Kasubbag/Kabag)</v>
      </c>
      <c r="T50" s="106" t="str" cm="1">
        <f t="array" ref="T50">IF(TRIM($I50)="","(tidak diisi)",IFERROR(INDEX(Kamus!$E$3:$E$162,MATCH(TRUE,ISNUMBER(SEARCH(Kamus!$D$3:$D$162,$I50)),0)),"Barang Lain / Tidak Terinci"))</f>
        <v>Suvenir &amp; Merchandise</v>
      </c>
      <c r="U50" s="106" t="str" cm="1">
        <f t="array" ref="U50">IF(TRIM($I50)="","(tidak diisi)",IFERROR(INDEX(Kamus!$H$3:$H$75,MATCH(TRUE,ISNUMBER(SEARCH(Kamus!$G$3:$G$75,$I50)),0)),"Pemberian Umum / Tanpa Konteks"))</f>
        <v>Suvenir / Merchandise Kegiatan &amp; Kunjungan</v>
      </c>
      <c r="V50" s="106" t="str">
        <f t="shared" si="0"/>
        <v>2025</v>
      </c>
      <c r="W50" s="106" t="str" cm="1">
        <f t="array" ref="W50">IF(TRIM($K50)="","(tidak diisi)",IFERROR(INDEX(Kamus!$K$3:$K$118,MATCH(TRUE,ISNUMBER(SEARCH(Kamus!$J$3:$J$118,$K50)),0)),"Individu / Perorangan"))</f>
        <v>Kampus &amp; Sekolah</v>
      </c>
      <c r="X50" s="106" t="str">
        <f t="shared" si="1"/>
        <v>02</v>
      </c>
      <c r="Y50" s="106" t="str" cm="1">
        <f t="array" ref="Y50">IFERROR(INDEX(Kamus!$N$3:$N$111,MATCH(TRUE,ISNUMBER(SEARCH(Kamus!$M$3:$M$111,$I50)),0)),"")</f>
        <v/>
      </c>
      <c r="Z50" s="106" t="str">
        <f>IF(AND(OR($X50="02",$X50="03",$X50="04"),OR($T50="Parsel/Bingkisan (tidak dirinci)",$T50="Makanan &amp; Minuman",$T50="Peralatan Rumah Tangga / Pecah Belah",$T50="Pakaian &amp; Kain")),"Momen Hari Raya (dugaan musiman)",IFERROR(VLOOKUP($W50,Kamus!$P$3:$Q$14,2,FALSE),"Tidak Teridentifikasi"))</f>
        <v>Kerja Sama Pendidikan/PKL (dugaan)</v>
      </c>
      <c r="AA50" s="106" t="str">
        <f t="shared" si="2"/>
        <v>Kerja Sama Pendidikan/PKL (dugaan)</v>
      </c>
    </row>
    <row r="51" spans="1:27">
      <c r="A51" s="106">
        <v>50</v>
      </c>
      <c r="B51" s="106" t="s">
        <v>1304</v>
      </c>
      <c r="C51" s="107" t="s">
        <v>1305</v>
      </c>
      <c r="D51" s="106" t="s">
        <v>1306</v>
      </c>
      <c r="E51" s="106" t="s">
        <v>1307</v>
      </c>
      <c r="F51" s="106" t="s">
        <v>1330</v>
      </c>
      <c r="G51" s="106" t="s">
        <v>1006</v>
      </c>
      <c r="H51" s="106" t="s">
        <v>1313</v>
      </c>
      <c r="I51" s="106" t="s">
        <v>1331</v>
      </c>
      <c r="J51" s="106">
        <v>50000</v>
      </c>
      <c r="K51" s="106" t="s">
        <v>1332</v>
      </c>
      <c r="L51" s="106" t="s">
        <v>1333</v>
      </c>
      <c r="M51" s="106" t="s">
        <v>1039</v>
      </c>
      <c r="O51" s="106" t="s">
        <v>274</v>
      </c>
      <c r="P51" s="106" t="s">
        <v>597</v>
      </c>
      <c r="Q51" s="106" t="s">
        <v>427</v>
      </c>
      <c r="S51" s="106" t="str" cm="1">
        <f t="array" ref="S51">IF(TRIM($D51)="","(tidak diisi)",IFERROR(INDEX(Kamus!$B$3:$B$28,MATCH(TRUE,ISNUMBER(SEARCH(Kamus!$A$3:$A$28,$D51)),0)),"Jabatan Lainnya"))</f>
        <v>Pejabat Struktural (Kasubbag/Kabag)</v>
      </c>
      <c r="T51" s="106" t="str" cm="1">
        <f t="array" ref="T51">IF(TRIM($I51)="","(tidak diisi)",IFERROR(INDEX(Kamus!$E$3:$E$162,MATCH(TRUE,ISNUMBER(SEARCH(Kamus!$D$3:$D$162,$I51)),0)),"Barang Lain / Tidak Terinci"))</f>
        <v>Buku &amp; Publikasi</v>
      </c>
      <c r="U51" s="106" t="str" cm="1">
        <f t="array" ref="U51">IF(TRIM($I51)="","(tidak diisi)",IFERROR(INDEX(Kamus!$H$3:$H$75,MATCH(TRUE,ISNUMBER(SEARCH(Kamus!$G$3:$G$75,$I51)),0)),"Pemberian Umum / Tanpa Konteks"))</f>
        <v>Suvenir / Merchandise Kegiatan &amp; Kunjungan</v>
      </c>
      <c r="V51" s="106" t="str">
        <f t="shared" si="0"/>
        <v>2025</v>
      </c>
      <c r="W51" s="106" t="str" cm="1">
        <f t="array" ref="W51">IF(TRIM($K51)="","(tidak diisi)",IFERROR(INDEX(Kamus!$K$3:$K$118,MATCH(TRUE,ISNUMBER(SEARCH(Kamus!$J$3:$J$118,$K51)),0)),"Individu / Perorangan"))</f>
        <v>Individu / Perorangan</v>
      </c>
      <c r="X51" s="106" t="str">
        <f t="shared" si="1"/>
        <v>02</v>
      </c>
      <c r="Y51" s="106" t="str" cm="1">
        <f t="array" ref="Y51">IFERROR(INDEX(Kamus!$N$3:$N$111,MATCH(TRUE,ISNUMBER(SEARCH(Kamus!$M$3:$M$111,$I51)),0)),"")</f>
        <v/>
      </c>
      <c r="Z51" s="106" t="str">
        <f>IF(AND(OR($X51="02",$X51="03",$X51="04"),OR($T51="Parsel/Bingkisan (tidak dirinci)",$T51="Makanan &amp; Minuman",$T51="Peralatan Rumah Tangga / Pecah Belah",$T51="Pakaian &amp; Kain")),"Momen Hari Raya (dugaan musiman)",IFERROR(VLOOKUP($W51,Kamus!$P$3:$Q$14,2,FALSE),"Tidak Teridentifikasi"))</f>
        <v>Relasi Personal / Tidak Teridentifikasi</v>
      </c>
      <c r="AA51" s="106" t="str">
        <f t="shared" si="2"/>
        <v>Relasi Personal / Tidak Teridentifikasi</v>
      </c>
    </row>
    <row r="52" spans="1:27">
      <c r="A52" s="106">
        <v>51</v>
      </c>
      <c r="B52" s="106" t="s">
        <v>1334</v>
      </c>
      <c r="C52" s="107" t="s">
        <v>1335</v>
      </c>
      <c r="D52" s="106" t="s">
        <v>1336</v>
      </c>
      <c r="E52" s="106" t="s">
        <v>1005</v>
      </c>
      <c r="F52" s="106" t="s">
        <v>1337</v>
      </c>
      <c r="G52" s="106" t="s">
        <v>1006</v>
      </c>
      <c r="H52" s="106" t="s">
        <v>1338</v>
      </c>
      <c r="I52" s="106" t="s">
        <v>1339</v>
      </c>
      <c r="K52" s="106" t="s">
        <v>1340</v>
      </c>
      <c r="L52" s="106" t="s">
        <v>1341</v>
      </c>
      <c r="O52" s="106" t="s">
        <v>274</v>
      </c>
      <c r="S52" s="106" t="str" cm="1">
        <f t="array" ref="S52">IF(TRIM($D52)="","(tidak diisi)",IFERROR(INDEX(Kamus!$B$3:$B$28,MATCH(TRUE,ISNUMBER(SEARCH(Kamus!$A$3:$A$28,$D52)),0)),"Jabatan Lainnya"))</f>
        <v>Panitera</v>
      </c>
      <c r="T52" s="106" t="str" cm="1">
        <f t="array" ref="T52">IF(TRIM($I52)="","(tidak diisi)",IFERROR(INDEX(Kamus!$E$3:$E$162,MATCH(TRUE,ISNUMBER(SEARCH(Kamus!$D$3:$D$162,$I52)),0)),"Barang Lain / Tidak Terinci"))</f>
        <v>Buku &amp; Publikasi</v>
      </c>
      <c r="U52" s="106" t="str" cm="1">
        <f t="array" ref="U52">IF(TRIM($I52)="","(tidak diisi)",IFERROR(INDEX(Kamus!$H$3:$H$75,MATCH(TRUE,ISNUMBER(SEARCH(Kamus!$G$3:$G$75,$I52)),0)),"Pemberian Umum / Tanpa Konteks"))</f>
        <v>Pemberian Umum / Tanpa Konteks</v>
      </c>
      <c r="V52" s="106" t="str">
        <f t="shared" si="0"/>
        <v>2025</v>
      </c>
      <c r="W52" s="106" t="str" cm="1">
        <f t="array" ref="W52">IF(TRIM($K52)="","(tidak diisi)",IFERROR(INDEX(Kamus!$K$3:$K$118,MATCH(TRUE,ISNUMBER(SEARCH(Kamus!$J$3:$J$118,$K52)),0)),"Individu / Perorangan"))</f>
        <v>Bank &amp; Lembaga Keuangan</v>
      </c>
      <c r="X52" s="106" t="str">
        <f t="shared" si="1"/>
        <v>02</v>
      </c>
      <c r="Y52" s="106" t="str" cm="1">
        <f t="array" ref="Y52">IFERROR(INDEX(Kamus!$N$3:$N$111,MATCH(TRUE,ISNUMBER(SEARCH(Kamus!$M$3:$M$111,$I52)),0)),"")</f>
        <v/>
      </c>
      <c r="Z52" s="106" t="str">
        <f>IF(AND(OR($X52="02",$X52="03",$X52="04"),OR($T52="Parsel/Bingkisan (tidak dirinci)",$T52="Makanan &amp; Minuman",$T52="Peralatan Rumah Tangga / Pecah Belah",$T52="Pakaian &amp; Kain")),"Momen Hari Raya (dugaan musiman)",IFERROR(VLOOKUP($W52,Kamus!$P$3:$Q$14,2,FALSE),"Tidak Teridentifikasi"))</f>
        <v>Relasi Layanan/Kerja Sama Perbankan (dugaan)</v>
      </c>
      <c r="AA52" s="106" t="str">
        <f t="shared" si="2"/>
        <v>Relasi Layanan/Kerja Sama Perbankan (dugaan)</v>
      </c>
    </row>
    <row r="53" spans="1:27">
      <c r="A53" s="106">
        <v>52</v>
      </c>
      <c r="B53" s="106" t="s">
        <v>1060</v>
      </c>
      <c r="C53" s="107" t="s">
        <v>1061</v>
      </c>
      <c r="D53" s="106" t="s">
        <v>1033</v>
      </c>
      <c r="E53" s="106" t="s">
        <v>1062</v>
      </c>
      <c r="F53" s="106" t="s">
        <v>1342</v>
      </c>
      <c r="G53" s="106" t="s">
        <v>1006</v>
      </c>
      <c r="H53" s="106" t="s">
        <v>1183</v>
      </c>
      <c r="I53" s="106" t="s">
        <v>1343</v>
      </c>
      <c r="J53" s="106">
        <v>35000</v>
      </c>
      <c r="K53" s="106" t="s">
        <v>1344</v>
      </c>
      <c r="L53" s="106" t="s">
        <v>1345</v>
      </c>
      <c r="M53" s="106" t="s">
        <v>1020</v>
      </c>
      <c r="O53" s="106" t="s">
        <v>274</v>
      </c>
      <c r="P53" s="106" t="s">
        <v>1067</v>
      </c>
      <c r="Q53" s="106" t="s">
        <v>350</v>
      </c>
      <c r="S53" s="106" t="str" cm="1">
        <f t="array" ref="S53">IF(TRIM($D53)="","(tidak diisi)",IFERROR(INDEX(Kamus!$B$3:$B$28,MATCH(TRUE,ISNUMBER(SEARCH(Kamus!$A$3:$A$28,$D53)),0)),"Jabatan Lainnya"))</f>
        <v>Hakim</v>
      </c>
      <c r="T53" s="106" t="str" cm="1">
        <f t="array" ref="T53">IF(TRIM($I53)="","(tidak diisi)",IFERROR(INDEX(Kamus!$E$3:$E$162,MATCH(TRUE,ISNUMBER(SEARCH(Kamus!$D$3:$D$162,$I53)),0)),"Barang Lain / Tidak Terinci"))</f>
        <v>Peralatan Rumah Tangga / Pecah Belah</v>
      </c>
      <c r="U53" s="106" t="str" cm="1">
        <f t="array" ref="U53">IF(TRIM($I53)="","(tidak diisi)",IFERROR(INDEX(Kamus!$H$3:$H$75,MATCH(TRUE,ISNUMBER(SEARCH(Kamus!$G$3:$G$75,$I53)),0)),"Pemberian Umum / Tanpa Konteks"))</f>
        <v>Pemberian Umum / Tanpa Konteks</v>
      </c>
      <c r="V53" s="106" t="str">
        <f t="shared" si="0"/>
        <v>2025</v>
      </c>
      <c r="W53" s="106" t="str" cm="1">
        <f t="array" ref="W53">IF(TRIM($K53)="","(tidak diisi)",IFERROR(INDEX(Kamus!$K$3:$K$118,MATCH(TRUE,ISNUMBER(SEARCH(Kamus!$J$3:$J$118,$K53)),0)),"Individu / Perorangan"))</f>
        <v>Perusahaan / Vendor</v>
      </c>
      <c r="X53" s="106" t="str">
        <f t="shared" si="1"/>
        <v>01</v>
      </c>
      <c r="Y53" s="106" t="str" cm="1">
        <f t="array" ref="Y53">IFERROR(INDEX(Kamus!$N$3:$N$111,MATCH(TRUE,ISNUMBER(SEARCH(Kamus!$M$3:$M$111,$I53)),0)),"")</f>
        <v/>
      </c>
      <c r="Z53" s="106" t="str">
        <f>IF(AND(OR($X53="02",$X53="03",$X53="04"),OR($T53="Parsel/Bingkisan (tidak dirinci)",$T53="Makanan &amp; Minuman",$T53="Peralatan Rumah Tangga / Pecah Belah",$T53="Pakaian &amp; Kain")),"Momen Hari Raya (dugaan musiman)",IFERROR(VLOOKUP($W53,Kamus!$P$3:$Q$14,2,FALSE),"Tidak Teridentifikasi"))</f>
        <v>Relasi Vendor/Pengadaan (dugaan)</v>
      </c>
      <c r="AA53" s="106" t="str">
        <f t="shared" si="2"/>
        <v>Relasi Vendor/Pengadaan (dugaan)</v>
      </c>
    </row>
    <row r="54" spans="1:27">
      <c r="A54" s="106">
        <v>53</v>
      </c>
      <c r="B54" s="106" t="s">
        <v>1346</v>
      </c>
      <c r="C54" s="107" t="s">
        <v>1347</v>
      </c>
      <c r="D54" s="106" t="s">
        <v>1348</v>
      </c>
      <c r="E54" s="106" t="s">
        <v>1349</v>
      </c>
      <c r="G54" s="106" t="s">
        <v>1006</v>
      </c>
      <c r="L54" s="106" t="s">
        <v>1350</v>
      </c>
      <c r="O54" s="106" t="s">
        <v>274</v>
      </c>
      <c r="P54" s="106" t="s">
        <v>1351</v>
      </c>
      <c r="Q54" s="106" t="s">
        <v>309</v>
      </c>
      <c r="S54" s="106" t="str" cm="1">
        <f t="array" ref="S54">IF(TRIM($D54)="","(tidak diisi)",IFERROR(INDEX(Kamus!$B$3:$B$28,MATCH(TRUE,ISNUMBER(SEARCH(Kamus!$A$3:$A$28,$D54)),0)),"Jabatan Lainnya"))</f>
        <v>Staf/Pegawai Pelaksana</v>
      </c>
      <c r="T54" s="106" t="str" cm="1">
        <f t="array" ref="T54">IF(TRIM($I54)="","(tidak diisi)",IFERROR(INDEX(Kamus!$E$3:$E$162,MATCH(TRUE,ISNUMBER(SEARCH(Kamus!$D$3:$D$162,$I54)),0)),"Barang Lain / Tidak Terinci"))</f>
        <v>(tidak diisi)</v>
      </c>
      <c r="U54" s="106" t="str" cm="1">
        <f t="array" ref="U54">IF(TRIM($I54)="","(tidak diisi)",IFERROR(INDEX(Kamus!$H$3:$H$75,MATCH(TRUE,ISNUMBER(SEARCH(Kamus!$G$3:$G$75,$I54)),0)),"Pemberian Umum / Tanpa Konteks"))</f>
        <v>(tidak diisi)</v>
      </c>
      <c r="V54" s="106" t="str">
        <f t="shared" si="0"/>
        <v>(tidak diisi)</v>
      </c>
      <c r="W54" s="106" t="str" cm="1">
        <f t="array" ref="W54">IF(TRIM($K54)="","(tidak diisi)",IFERROR(INDEX(Kamus!$K$3:$K$118,MATCH(TRUE,ISNUMBER(SEARCH(Kamus!$J$3:$J$118,$K54)),0)),"Individu / Perorangan"))</f>
        <v>(tidak diisi)</v>
      </c>
      <c r="X54" s="106" t="str">
        <f t="shared" si="1"/>
        <v>(tidak diisi)</v>
      </c>
      <c r="Y54" s="106" t="str" cm="1">
        <f t="array" ref="Y54">IFERROR(INDEX(Kamus!$N$3:$N$111,MATCH(TRUE,ISNUMBER(SEARCH(Kamus!$M$3:$M$111,$I54)),0)),"")</f>
        <v/>
      </c>
      <c r="Z54" s="106" t="str">
        <f>IF(AND(OR($X54="02",$X54="03",$X54="04"),OR($T54="Parsel/Bingkisan (tidak dirinci)",$T54="Makanan &amp; Minuman",$T54="Peralatan Rumah Tangga / Pecah Belah",$T54="Pakaian &amp; Kain")),"Momen Hari Raya (dugaan musiman)",IFERROR(VLOOKUP($W54,Kamus!$P$3:$Q$14,2,FALSE),"Tidak Teridentifikasi"))</f>
        <v>Tidak Teridentifikasi</v>
      </c>
      <c r="AA54" s="106" t="str">
        <f t="shared" si="2"/>
        <v>Tidak Teridentifikasi</v>
      </c>
    </row>
    <row r="55" spans="1:27">
      <c r="A55" s="106">
        <v>54</v>
      </c>
      <c r="B55" s="106" t="s">
        <v>1352</v>
      </c>
      <c r="C55" s="107" t="s">
        <v>1353</v>
      </c>
      <c r="D55" s="106" t="s">
        <v>1042</v>
      </c>
      <c r="E55" s="106" t="s">
        <v>1354</v>
      </c>
      <c r="F55" s="106" t="s">
        <v>1355</v>
      </c>
      <c r="G55" s="106" t="s">
        <v>1006</v>
      </c>
      <c r="H55" s="106" t="s">
        <v>1356</v>
      </c>
      <c r="I55" s="106" t="s">
        <v>1357</v>
      </c>
      <c r="J55" s="106">
        <v>200000</v>
      </c>
      <c r="K55" s="106" t="s">
        <v>1358</v>
      </c>
      <c r="L55" s="106" t="s">
        <v>1359</v>
      </c>
      <c r="M55" s="106" t="s">
        <v>1360</v>
      </c>
      <c r="O55" s="106" t="s">
        <v>274</v>
      </c>
      <c r="P55" s="106" t="s">
        <v>1361</v>
      </c>
      <c r="Q55" s="106" t="s">
        <v>427</v>
      </c>
      <c r="S55" s="106" t="str" cm="1">
        <f t="array" ref="S55">IF(TRIM($D55)="","(tidak diisi)",IFERROR(INDEX(Kamus!$B$3:$B$28,MATCH(TRUE,ISNUMBER(SEARCH(Kamus!$A$3:$A$28,$D55)),0)),"Jabatan Lainnya"))</f>
        <v>Ketua Pengadilan</v>
      </c>
      <c r="T55" s="106" t="str" cm="1">
        <f t="array" ref="T55">IF(TRIM($I55)="","(tidak diisi)",IFERROR(INDEX(Kamus!$E$3:$E$162,MATCH(TRUE,ISNUMBER(SEARCH(Kamus!$D$3:$D$162,$I55)),0)),"Barang Lain / Tidak Terinci"))</f>
        <v>Makanan &amp; Minuman</v>
      </c>
      <c r="U55" s="106" t="str" cm="1">
        <f t="array" ref="U55">IF(TRIM($I55)="","(tidak diisi)",IFERROR(INDEX(Kamus!$H$3:$H$75,MATCH(TRUE,ISNUMBER(SEARCH(Kamus!$G$3:$G$75,$I55)),0)),"Pemberian Umum / Tanpa Konteks"))</f>
        <v>Pemberian Umum / Tanpa Konteks</v>
      </c>
      <c r="V55" s="106" t="str">
        <f t="shared" si="0"/>
        <v>2025</v>
      </c>
      <c r="W55" s="106" t="str" cm="1">
        <f t="array" ref="W55">IF(TRIM($K55)="","(tidak diisi)",IFERROR(INDEX(Kamus!$K$3:$K$118,MATCH(TRUE,ISNUMBER(SEARCH(Kamus!$J$3:$J$118,$K55)),0)),"Individu / Perorangan"))</f>
        <v>Individu / Perorangan</v>
      </c>
      <c r="X55" s="106" t="str">
        <f t="shared" si="1"/>
        <v>02</v>
      </c>
      <c r="Y55" s="106" t="str" cm="1">
        <f t="array" ref="Y55">IFERROR(INDEX(Kamus!$N$3:$N$111,MATCH(TRUE,ISNUMBER(SEARCH(Kamus!$M$3:$M$111,$I55)),0)),"")</f>
        <v/>
      </c>
      <c r="Z55" s="106" t="str">
        <f>IF(AND(OR($X55="02",$X55="03",$X55="04"),OR($T55="Parsel/Bingkisan (tidak dirinci)",$T55="Makanan &amp; Minuman",$T55="Peralatan Rumah Tangga / Pecah Belah",$T55="Pakaian &amp; Kain")),"Momen Hari Raya (dugaan musiman)",IFERROR(VLOOKUP($W55,Kamus!$P$3:$Q$14,2,FALSE),"Tidak Teridentifikasi"))</f>
        <v>Momen Hari Raya (dugaan musiman)</v>
      </c>
      <c r="AA55" s="106" t="str">
        <f t="shared" si="2"/>
        <v>Momen Hari Raya (dugaan musiman)</v>
      </c>
    </row>
    <row r="56" spans="1:27">
      <c r="A56" s="106">
        <v>55</v>
      </c>
      <c r="B56" s="106" t="s">
        <v>1105</v>
      </c>
      <c r="C56" s="107" t="s">
        <v>1106</v>
      </c>
      <c r="D56" s="106" t="s">
        <v>1042</v>
      </c>
      <c r="E56" s="106" t="s">
        <v>1014</v>
      </c>
      <c r="F56" s="106" t="s">
        <v>1362</v>
      </c>
      <c r="G56" s="106" t="s">
        <v>1006</v>
      </c>
      <c r="H56" s="106" t="s">
        <v>1356</v>
      </c>
      <c r="I56" s="106" t="s">
        <v>1363</v>
      </c>
      <c r="J56" s="106">
        <v>100000</v>
      </c>
      <c r="K56" s="106" t="s">
        <v>1364</v>
      </c>
      <c r="L56" s="106" t="s">
        <v>1365</v>
      </c>
      <c r="M56" s="106" t="s">
        <v>1039</v>
      </c>
      <c r="O56" s="106" t="s">
        <v>274</v>
      </c>
      <c r="P56" s="106" t="s">
        <v>1021</v>
      </c>
      <c r="Q56" s="106" t="s">
        <v>428</v>
      </c>
      <c r="S56" s="106" t="str" cm="1">
        <f t="array" ref="S56">IF(TRIM($D56)="","(tidak diisi)",IFERROR(INDEX(Kamus!$B$3:$B$28,MATCH(TRUE,ISNUMBER(SEARCH(Kamus!$A$3:$A$28,$D56)),0)),"Jabatan Lainnya"))</f>
        <v>Ketua Pengadilan</v>
      </c>
      <c r="T56" s="106" t="str" cm="1">
        <f t="array" ref="T56">IF(TRIM($I56)="","(tidak diisi)",IFERROR(INDEX(Kamus!$E$3:$E$162,MATCH(TRUE,ISNUMBER(SEARCH(Kamus!$D$3:$D$162,$I56)),0)),"Barang Lain / Tidak Terinci"))</f>
        <v>Buku &amp; Publikasi</v>
      </c>
      <c r="U56" s="106" t="str" cm="1">
        <f t="array" ref="U56">IF(TRIM($I56)="","(tidak diisi)",IFERROR(INDEX(Kamus!$H$3:$H$75,MATCH(TRUE,ISNUMBER(SEARCH(Kamus!$G$3:$G$75,$I56)),0)),"Pemberian Umum / Tanpa Konteks"))</f>
        <v>Pemberian Umum / Tanpa Konteks</v>
      </c>
      <c r="V56" s="106" t="str">
        <f t="shared" si="0"/>
        <v>2025</v>
      </c>
      <c r="W56" s="106" t="str" cm="1">
        <f t="array" ref="W56">IF(TRIM($K56)="","(tidak diisi)",IFERROR(INDEX(Kamus!$K$3:$K$118,MATCH(TRUE,ISNUMBER(SEARCH(Kamus!$J$3:$J$118,$K56)),0)),"Individu / Perorangan"))</f>
        <v>Individu / Perorangan</v>
      </c>
      <c r="X56" s="106" t="str">
        <f t="shared" si="1"/>
        <v>02</v>
      </c>
      <c r="Y56" s="106" t="str" cm="1">
        <f t="array" ref="Y56">IFERROR(INDEX(Kamus!$N$3:$N$111,MATCH(TRUE,ISNUMBER(SEARCH(Kamus!$M$3:$M$111,$I56)),0)),"")</f>
        <v/>
      </c>
      <c r="Z56" s="106" t="str">
        <f>IF(AND(OR($X56="02",$X56="03",$X56="04"),OR($T56="Parsel/Bingkisan (tidak dirinci)",$T56="Makanan &amp; Minuman",$T56="Peralatan Rumah Tangga / Pecah Belah",$T56="Pakaian &amp; Kain")),"Momen Hari Raya (dugaan musiman)",IFERROR(VLOOKUP($W56,Kamus!$P$3:$Q$14,2,FALSE),"Tidak Teridentifikasi"))</f>
        <v>Relasi Personal / Tidak Teridentifikasi</v>
      </c>
      <c r="AA56" s="106" t="str">
        <f t="shared" si="2"/>
        <v>Relasi Personal / Tidak Teridentifikasi</v>
      </c>
    </row>
    <row r="57" spans="1:27">
      <c r="A57" s="106">
        <v>56</v>
      </c>
      <c r="B57" s="106" t="s">
        <v>1366</v>
      </c>
      <c r="C57" s="107" t="s">
        <v>1367</v>
      </c>
      <c r="D57" s="106" t="s">
        <v>1368</v>
      </c>
      <c r="E57" s="106" t="s">
        <v>1369</v>
      </c>
      <c r="F57" s="106" t="s">
        <v>1370</v>
      </c>
      <c r="G57" s="106" t="s">
        <v>1006</v>
      </c>
      <c r="H57" s="106" t="s">
        <v>1371</v>
      </c>
      <c r="I57" s="106" t="s">
        <v>1372</v>
      </c>
      <c r="J57" s="106">
        <v>329000</v>
      </c>
      <c r="K57" s="106" t="s">
        <v>1373</v>
      </c>
      <c r="L57" s="106" t="s">
        <v>1374</v>
      </c>
      <c r="M57" s="106" t="s">
        <v>1171</v>
      </c>
      <c r="N57" s="106" t="s">
        <v>1375</v>
      </c>
      <c r="O57" s="106" t="s">
        <v>274</v>
      </c>
      <c r="P57" s="106" t="s">
        <v>1376</v>
      </c>
      <c r="Q57" s="106" t="s">
        <v>427</v>
      </c>
      <c r="S57" s="106" t="str" cm="1">
        <f t="array" ref="S57">IF(TRIM($D57)="","(tidak diisi)",IFERROR(INDEX(Kamus!$B$3:$B$28,MATCH(TRUE,ISNUMBER(SEARCH(Kamus!$A$3:$A$28,$D57)),0)),"Jabatan Lainnya"))</f>
        <v>Sekretaris</v>
      </c>
      <c r="T57" s="106" t="str" cm="1">
        <f t="array" ref="T57">IF(TRIM($I57)="","(tidak diisi)",IFERROR(INDEX(Kamus!$E$3:$E$162,MATCH(TRUE,ISNUMBER(SEARCH(Kamus!$D$3:$D$162,$I57)),0)),"Barang Lain / Tidak Terinci"))</f>
        <v>Makanan &amp; Minuman</v>
      </c>
      <c r="U57" s="106" t="str" cm="1">
        <f t="array" ref="U57">IF(TRIM($I57)="","(tidak diisi)",IFERROR(INDEX(Kamus!$H$3:$H$75,MATCH(TRUE,ISNUMBER(SEARCH(Kamus!$G$3:$G$75,$I57)),0)),"Pemberian Umum / Tanpa Konteks"))</f>
        <v>Parsel/Bingkisan Umum (non-hari raya)</v>
      </c>
      <c r="V57" s="106" t="str">
        <f t="shared" si="0"/>
        <v>2025</v>
      </c>
      <c r="W57" s="106" t="str" cm="1">
        <f t="array" ref="W57">IF(TRIM($K57)="","(tidak diisi)",IFERROR(INDEX(Kamus!$K$3:$K$118,MATCH(TRUE,ISNUMBER(SEARCH(Kamus!$J$3:$J$118,$K57)),0)),"Individu / Perorangan"))</f>
        <v>Bank &amp; Lembaga Keuangan</v>
      </c>
      <c r="X57" s="106" t="str">
        <f t="shared" si="1"/>
        <v>03</v>
      </c>
      <c r="Y57" s="106" t="str" cm="1">
        <f t="array" ref="Y57">IFERROR(INDEX(Kamus!$N$3:$N$111,MATCH(TRUE,ISNUMBER(SEARCH(Kamus!$M$3:$M$111,$I57)),0)),"")</f>
        <v/>
      </c>
      <c r="Z57" s="106" t="str">
        <f>IF(AND(OR($X57="02",$X57="03",$X57="04"),OR($T57="Parsel/Bingkisan (tidak dirinci)",$T57="Makanan &amp; Minuman",$T57="Peralatan Rumah Tangga / Pecah Belah",$T57="Pakaian &amp; Kain")),"Momen Hari Raya (dugaan musiman)",IFERROR(VLOOKUP($W57,Kamus!$P$3:$Q$14,2,FALSE),"Tidak Teridentifikasi"))</f>
        <v>Momen Hari Raya (dugaan musiman)</v>
      </c>
      <c r="AA57" s="106" t="str">
        <f t="shared" si="2"/>
        <v>Momen Hari Raya (dugaan musiman)</v>
      </c>
    </row>
    <row r="58" spans="1:27">
      <c r="A58" s="106">
        <v>57</v>
      </c>
      <c r="B58" s="106" t="s">
        <v>1377</v>
      </c>
      <c r="C58" s="107" t="s">
        <v>1378</v>
      </c>
      <c r="D58" s="106" t="s">
        <v>1379</v>
      </c>
      <c r="E58" s="106" t="s">
        <v>1380</v>
      </c>
      <c r="G58" s="106" t="s">
        <v>1006</v>
      </c>
      <c r="L58" s="106" t="s">
        <v>1381</v>
      </c>
      <c r="O58" s="106" t="s">
        <v>274</v>
      </c>
      <c r="P58" s="106" t="s">
        <v>1382</v>
      </c>
      <c r="Q58" s="106" t="s">
        <v>427</v>
      </c>
      <c r="S58" s="106" t="str" cm="1">
        <f t="array" ref="S58">IF(TRIM($D58)="","(tidak diisi)",IFERROR(INDEX(Kamus!$B$3:$B$28,MATCH(TRUE,ISNUMBER(SEARCH(Kamus!$A$3:$A$28,$D58)),0)),"Jabatan Lainnya"))</f>
        <v>Ketua Pengadilan</v>
      </c>
      <c r="T58" s="106" t="str" cm="1">
        <f t="array" ref="T58">IF(TRIM($I58)="","(tidak diisi)",IFERROR(INDEX(Kamus!$E$3:$E$162,MATCH(TRUE,ISNUMBER(SEARCH(Kamus!$D$3:$D$162,$I58)),0)),"Barang Lain / Tidak Terinci"))</f>
        <v>(tidak diisi)</v>
      </c>
      <c r="U58" s="106" t="str" cm="1">
        <f t="array" ref="U58">IF(TRIM($I58)="","(tidak diisi)",IFERROR(INDEX(Kamus!$H$3:$H$75,MATCH(TRUE,ISNUMBER(SEARCH(Kamus!$G$3:$G$75,$I58)),0)),"Pemberian Umum / Tanpa Konteks"))</f>
        <v>(tidak diisi)</v>
      </c>
      <c r="V58" s="106" t="str">
        <f t="shared" si="0"/>
        <v>(tidak diisi)</v>
      </c>
      <c r="W58" s="106" t="str" cm="1">
        <f t="array" ref="W58">IF(TRIM($K58)="","(tidak diisi)",IFERROR(INDEX(Kamus!$K$3:$K$118,MATCH(TRUE,ISNUMBER(SEARCH(Kamus!$J$3:$J$118,$K58)),0)),"Individu / Perorangan"))</f>
        <v>(tidak diisi)</v>
      </c>
      <c r="X58" s="106" t="str">
        <f t="shared" si="1"/>
        <v>(tidak diisi)</v>
      </c>
      <c r="Y58" s="106" t="str" cm="1">
        <f t="array" ref="Y58">IFERROR(INDEX(Kamus!$N$3:$N$111,MATCH(TRUE,ISNUMBER(SEARCH(Kamus!$M$3:$M$111,$I58)),0)),"")</f>
        <v/>
      </c>
      <c r="Z58" s="106" t="str">
        <f>IF(AND(OR($X58="02",$X58="03",$X58="04"),OR($T58="Parsel/Bingkisan (tidak dirinci)",$T58="Makanan &amp; Minuman",$T58="Peralatan Rumah Tangga / Pecah Belah",$T58="Pakaian &amp; Kain")),"Momen Hari Raya (dugaan musiman)",IFERROR(VLOOKUP($W58,Kamus!$P$3:$Q$14,2,FALSE),"Tidak Teridentifikasi"))</f>
        <v>Tidak Teridentifikasi</v>
      </c>
      <c r="AA58" s="106" t="str">
        <f t="shared" si="2"/>
        <v>Tidak Teridentifikasi</v>
      </c>
    </row>
    <row r="59" spans="1:27">
      <c r="A59" s="106">
        <v>58</v>
      </c>
      <c r="B59" s="106" t="s">
        <v>1383</v>
      </c>
      <c r="C59" s="107" t="s">
        <v>1384</v>
      </c>
      <c r="D59" s="106" t="s">
        <v>1042</v>
      </c>
      <c r="E59" s="106" t="s">
        <v>1385</v>
      </c>
      <c r="F59" s="106" t="s">
        <v>1386</v>
      </c>
      <c r="G59" s="106" t="s">
        <v>1006</v>
      </c>
      <c r="H59" s="106" t="s">
        <v>1387</v>
      </c>
      <c r="I59" s="106" t="s">
        <v>1388</v>
      </c>
      <c r="K59" s="106" t="s">
        <v>1389</v>
      </c>
      <c r="L59" s="106" t="s">
        <v>1390</v>
      </c>
      <c r="O59" s="106" t="s">
        <v>274</v>
      </c>
      <c r="P59" s="106" t="s">
        <v>1391</v>
      </c>
      <c r="Q59" s="106" t="s">
        <v>427</v>
      </c>
      <c r="S59" s="106" t="str" cm="1">
        <f t="array" ref="S59">IF(TRIM($D59)="","(tidak diisi)",IFERROR(INDEX(Kamus!$B$3:$B$28,MATCH(TRUE,ISNUMBER(SEARCH(Kamus!$A$3:$A$28,$D59)),0)),"Jabatan Lainnya"))</f>
        <v>Ketua Pengadilan</v>
      </c>
      <c r="T59" s="106" t="str" cm="1">
        <f t="array" ref="T59">IF(TRIM($I59)="","(tidak diisi)",IFERROR(INDEX(Kamus!$E$3:$E$162,MATCH(TRUE,ISNUMBER(SEARCH(Kamus!$D$3:$D$162,$I59)),0)),"Barang Lain / Tidak Terinci"))</f>
        <v>Peralatan Rumah Tangga / Pecah Belah</v>
      </c>
      <c r="U59" s="106" t="str" cm="1">
        <f t="array" ref="U59">IF(TRIM($I59)="","(tidak diisi)",IFERROR(INDEX(Kamus!$H$3:$H$75,MATCH(TRUE,ISNUMBER(SEARCH(Kamus!$G$3:$G$75,$I59)),0)),"Pemberian Umum / Tanpa Konteks"))</f>
        <v>Pemberian Umum / Tanpa Konteks</v>
      </c>
      <c r="V59" s="106" t="str">
        <f t="shared" si="0"/>
        <v>2025</v>
      </c>
      <c r="W59" s="106" t="str" cm="1">
        <f t="array" ref="W59">IF(TRIM($K59)="","(tidak diisi)",IFERROR(INDEX(Kamus!$K$3:$K$118,MATCH(TRUE,ISNUMBER(SEARCH(Kamus!$J$3:$J$118,$K59)),0)),"Individu / Perorangan"))</f>
        <v>Individu / Perorangan</v>
      </c>
      <c r="X59" s="106" t="str">
        <f t="shared" si="1"/>
        <v>02</v>
      </c>
      <c r="Y59" s="106" t="str" cm="1">
        <f t="array" ref="Y59">IFERROR(INDEX(Kamus!$N$3:$N$111,MATCH(TRUE,ISNUMBER(SEARCH(Kamus!$M$3:$M$111,$I59)),0)),"")</f>
        <v/>
      </c>
      <c r="Z59" s="106" t="str">
        <f>IF(AND(OR($X59="02",$X59="03",$X59="04"),OR($T59="Parsel/Bingkisan (tidak dirinci)",$T59="Makanan &amp; Minuman",$T59="Peralatan Rumah Tangga / Pecah Belah",$T59="Pakaian &amp; Kain")),"Momen Hari Raya (dugaan musiman)",IFERROR(VLOOKUP($W59,Kamus!$P$3:$Q$14,2,FALSE),"Tidak Teridentifikasi"))</f>
        <v>Momen Hari Raya (dugaan musiman)</v>
      </c>
      <c r="AA59" s="106" t="str">
        <f t="shared" si="2"/>
        <v>Momen Hari Raya (dugaan musiman)</v>
      </c>
    </row>
    <row r="60" spans="1:27">
      <c r="A60" s="106">
        <v>59</v>
      </c>
      <c r="B60" s="106" t="s">
        <v>1285</v>
      </c>
      <c r="C60" s="107" t="s">
        <v>1286</v>
      </c>
      <c r="D60" s="106" t="s">
        <v>1024</v>
      </c>
      <c r="E60" s="106" t="s">
        <v>1287</v>
      </c>
      <c r="F60" s="106" t="s">
        <v>1392</v>
      </c>
      <c r="G60" s="106" t="s">
        <v>1006</v>
      </c>
      <c r="H60" s="106" t="s">
        <v>1393</v>
      </c>
      <c r="I60" s="106" t="s">
        <v>1394</v>
      </c>
      <c r="K60" s="106" t="s">
        <v>1395</v>
      </c>
      <c r="L60" s="106" t="s">
        <v>1396</v>
      </c>
      <c r="O60" s="106" t="s">
        <v>274</v>
      </c>
      <c r="P60" s="106" t="s">
        <v>1291</v>
      </c>
      <c r="Q60" s="106" t="s">
        <v>428</v>
      </c>
      <c r="S60" s="106" t="str" cm="1">
        <f t="array" ref="S60">IF(TRIM($D60)="","(tidak diisi)",IFERROR(INDEX(Kamus!$B$3:$B$28,MATCH(TRUE,ISNUMBER(SEARCH(Kamus!$A$3:$A$28,$D60)),0)),"Jabatan Lainnya"))</f>
        <v>Sekretaris</v>
      </c>
      <c r="T60" s="106" t="str" cm="1">
        <f t="array" ref="T60">IF(TRIM($I60)="","(tidak diisi)",IFERROR(INDEX(Kamus!$E$3:$E$162,MATCH(TRUE,ISNUMBER(SEARCH(Kamus!$D$3:$D$162,$I60)),0)),"Barang Lain / Tidak Terinci"))</f>
        <v>Peralatan Rumah Tangga / Pecah Belah</v>
      </c>
      <c r="U60" s="106" t="str" cm="1">
        <f t="array" ref="U60">IF(TRIM($I60)="","(tidak diisi)",IFERROR(INDEX(Kamus!$H$3:$H$75,MATCH(TRUE,ISNUMBER(SEARCH(Kamus!$G$3:$G$75,$I60)),0)),"Pemberian Umum / Tanpa Konteks"))</f>
        <v>Pemberian Umum / Tanpa Konteks</v>
      </c>
      <c r="V60" s="106" t="str">
        <f t="shared" si="0"/>
        <v>2025</v>
      </c>
      <c r="W60" s="106" t="str" cm="1">
        <f t="array" ref="W60">IF(TRIM($K60)="","(tidak diisi)",IFERROR(INDEX(Kamus!$K$3:$K$118,MATCH(TRUE,ISNUMBER(SEARCH(Kamus!$J$3:$J$118,$K60)),0)),"Individu / Perorangan"))</f>
        <v>Perusahaan / Vendor</v>
      </c>
      <c r="X60" s="106" t="str">
        <f t="shared" si="1"/>
        <v>02</v>
      </c>
      <c r="Y60" s="106" t="str" cm="1">
        <f t="array" ref="Y60">IFERROR(INDEX(Kamus!$N$3:$N$111,MATCH(TRUE,ISNUMBER(SEARCH(Kamus!$M$3:$M$111,$I60)),0)),"")</f>
        <v/>
      </c>
      <c r="Z60" s="106" t="str">
        <f>IF(AND(OR($X60="02",$X60="03",$X60="04"),OR($T60="Parsel/Bingkisan (tidak dirinci)",$T60="Makanan &amp; Minuman",$T60="Peralatan Rumah Tangga / Pecah Belah",$T60="Pakaian &amp; Kain")),"Momen Hari Raya (dugaan musiman)",IFERROR(VLOOKUP($W60,Kamus!$P$3:$Q$14,2,FALSE),"Tidak Teridentifikasi"))</f>
        <v>Momen Hari Raya (dugaan musiman)</v>
      </c>
      <c r="AA60" s="106" t="str">
        <f t="shared" si="2"/>
        <v>Momen Hari Raya (dugaan musiman)</v>
      </c>
    </row>
    <row r="61" spans="1:27">
      <c r="A61" s="106">
        <v>60</v>
      </c>
      <c r="B61" s="106" t="s">
        <v>1334</v>
      </c>
      <c r="C61" s="107" t="s">
        <v>1335</v>
      </c>
      <c r="D61" s="106" t="s">
        <v>1336</v>
      </c>
      <c r="E61" s="106" t="s">
        <v>1005</v>
      </c>
      <c r="F61" s="106" t="s">
        <v>1397</v>
      </c>
      <c r="G61" s="106" t="s">
        <v>1006</v>
      </c>
      <c r="H61" s="106" t="s">
        <v>1393</v>
      </c>
      <c r="I61" s="106" t="s">
        <v>1398</v>
      </c>
      <c r="K61" s="106" t="s">
        <v>1399</v>
      </c>
      <c r="L61" s="106" t="s">
        <v>1400</v>
      </c>
      <c r="O61" s="106" t="s">
        <v>274</v>
      </c>
      <c r="S61" s="106" t="str" cm="1">
        <f t="array" ref="S61">IF(TRIM($D61)="","(tidak diisi)",IFERROR(INDEX(Kamus!$B$3:$B$28,MATCH(TRUE,ISNUMBER(SEARCH(Kamus!$A$3:$A$28,$D61)),0)),"Jabatan Lainnya"))</f>
        <v>Panitera</v>
      </c>
      <c r="T61" s="106" t="str" cm="1">
        <f t="array" ref="T61">IF(TRIM($I61)="","(tidak diisi)",IFERROR(INDEX(Kamus!$E$3:$E$162,MATCH(TRUE,ISNUMBER(SEARCH(Kamus!$D$3:$D$162,$I61)),0)),"Barang Lain / Tidak Terinci"))</f>
        <v>Suvenir &amp; Merchandise</v>
      </c>
      <c r="U61" s="106" t="str" cm="1">
        <f t="array" ref="U61">IF(TRIM($I61)="","(tidak diisi)",IFERROR(INDEX(Kamus!$H$3:$H$75,MATCH(TRUE,ISNUMBER(SEARCH(Kamus!$G$3:$G$75,$I61)),0)),"Pemberian Umum / Tanpa Konteks"))</f>
        <v>Suvenir / Merchandise Kegiatan &amp; Kunjungan</v>
      </c>
      <c r="V61" s="106" t="str">
        <f t="shared" si="0"/>
        <v>2025</v>
      </c>
      <c r="W61" s="106" t="str" cm="1">
        <f t="array" ref="W61">IF(TRIM($K61)="","(tidak diisi)",IFERROR(INDEX(Kamus!$K$3:$K$118,MATCH(TRUE,ISNUMBER(SEARCH(Kamus!$J$3:$J$118,$K61)),0)),"Individu / Perorangan"))</f>
        <v>Kampus &amp; Sekolah</v>
      </c>
      <c r="X61" s="106" t="str">
        <f t="shared" si="1"/>
        <v>02</v>
      </c>
      <c r="Y61" s="106" t="str" cm="1">
        <f t="array" ref="Y61">IFERROR(INDEX(Kamus!$N$3:$N$111,MATCH(TRUE,ISNUMBER(SEARCH(Kamus!$M$3:$M$111,$I61)),0)),"")</f>
        <v/>
      </c>
      <c r="Z61" s="106" t="str">
        <f>IF(AND(OR($X61="02",$X61="03",$X61="04"),OR($T61="Parsel/Bingkisan (tidak dirinci)",$T61="Makanan &amp; Minuman",$T61="Peralatan Rumah Tangga / Pecah Belah",$T61="Pakaian &amp; Kain")),"Momen Hari Raya (dugaan musiman)",IFERROR(VLOOKUP($W61,Kamus!$P$3:$Q$14,2,FALSE),"Tidak Teridentifikasi"))</f>
        <v>Kerja Sama Pendidikan/PKL (dugaan)</v>
      </c>
      <c r="AA61" s="106" t="str">
        <f t="shared" si="2"/>
        <v>Kerja Sama Pendidikan/PKL (dugaan)</v>
      </c>
    </row>
    <row r="62" spans="1:27">
      <c r="A62" s="106">
        <v>61</v>
      </c>
      <c r="B62" s="106" t="s">
        <v>1401</v>
      </c>
      <c r="C62" s="107" t="s">
        <v>1402</v>
      </c>
      <c r="D62" s="106" t="s">
        <v>1081</v>
      </c>
      <c r="E62" s="106" t="s">
        <v>1403</v>
      </c>
      <c r="F62" s="106" t="s">
        <v>1404</v>
      </c>
      <c r="G62" s="106" t="s">
        <v>1006</v>
      </c>
      <c r="H62" s="106" t="s">
        <v>1405</v>
      </c>
      <c r="I62" s="106" t="s">
        <v>1406</v>
      </c>
      <c r="J62" s="106">
        <v>25000</v>
      </c>
      <c r="K62" s="106" t="s">
        <v>1407</v>
      </c>
      <c r="L62" s="106" t="s">
        <v>1408</v>
      </c>
      <c r="M62" s="106" t="s">
        <v>1171</v>
      </c>
      <c r="N62" s="106" t="s">
        <v>1409</v>
      </c>
      <c r="O62" s="106" t="s">
        <v>274</v>
      </c>
      <c r="P62" s="106" t="s">
        <v>1410</v>
      </c>
      <c r="Q62" s="106" t="s">
        <v>403</v>
      </c>
      <c r="S62" s="106" t="str" cm="1">
        <f t="array" ref="S62">IF(TRIM($D62)="","(tidak diisi)",IFERROR(INDEX(Kamus!$B$3:$B$28,MATCH(TRUE,ISNUMBER(SEARCH(Kamus!$A$3:$A$28,$D62)),0)),"Jabatan Lainnya"))</f>
        <v>Hakim</v>
      </c>
      <c r="T62" s="106" t="str" cm="1">
        <f t="array" ref="T62">IF(TRIM($I62)="","(tidak diisi)",IFERROR(INDEX(Kamus!$E$3:$E$162,MATCH(TRUE,ISNUMBER(SEARCH(Kamus!$D$3:$D$162,$I62)),0)),"Barang Lain / Tidak Terinci"))</f>
        <v>Peralatan Rumah Tangga / Pecah Belah</v>
      </c>
      <c r="U62" s="106" t="str" cm="1">
        <f t="array" ref="U62">IF(TRIM($I62)="","(tidak diisi)",IFERROR(INDEX(Kamus!$H$3:$H$75,MATCH(TRUE,ISNUMBER(SEARCH(Kamus!$G$3:$G$75,$I62)),0)),"Pemberian Umum / Tanpa Konteks"))</f>
        <v>Pemberian Umum / Tanpa Konteks</v>
      </c>
      <c r="V62" s="106" t="str">
        <f t="shared" si="0"/>
        <v>2025</v>
      </c>
      <c r="W62" s="106" t="str" cm="1">
        <f t="array" ref="W62">IF(TRIM($K62)="","(tidak diisi)",IFERROR(INDEX(Kamus!$K$3:$K$118,MATCH(TRUE,ISNUMBER(SEARCH(Kamus!$J$3:$J$118,$K62)),0)),"Individu / Perorangan"))</f>
        <v>Individu / Perorangan</v>
      </c>
      <c r="X62" s="106" t="str">
        <f t="shared" si="1"/>
        <v>02</v>
      </c>
      <c r="Y62" s="106" t="str" cm="1">
        <f t="array" ref="Y62">IFERROR(INDEX(Kamus!$N$3:$N$111,MATCH(TRUE,ISNUMBER(SEARCH(Kamus!$M$3:$M$111,$I62)),0)),"")</f>
        <v/>
      </c>
      <c r="Z62" s="106" t="str">
        <f>IF(AND(OR($X62="02",$X62="03",$X62="04"),OR($T62="Parsel/Bingkisan (tidak dirinci)",$T62="Makanan &amp; Minuman",$T62="Peralatan Rumah Tangga / Pecah Belah",$T62="Pakaian &amp; Kain")),"Momen Hari Raya (dugaan musiman)",IFERROR(VLOOKUP($W62,Kamus!$P$3:$Q$14,2,FALSE),"Tidak Teridentifikasi"))</f>
        <v>Momen Hari Raya (dugaan musiman)</v>
      </c>
      <c r="AA62" s="106" t="str">
        <f t="shared" si="2"/>
        <v>Momen Hari Raya (dugaan musiman)</v>
      </c>
    </row>
    <row r="63" spans="1:27">
      <c r="A63" s="106">
        <v>62</v>
      </c>
      <c r="B63" s="106" t="s">
        <v>1304</v>
      </c>
      <c r="C63" s="107" t="s">
        <v>1305</v>
      </c>
      <c r="D63" s="106" t="s">
        <v>1306</v>
      </c>
      <c r="E63" s="106" t="s">
        <v>1307</v>
      </c>
      <c r="F63" s="106" t="s">
        <v>1411</v>
      </c>
      <c r="G63" s="106" t="s">
        <v>1006</v>
      </c>
      <c r="H63" s="106" t="s">
        <v>1405</v>
      </c>
      <c r="I63" s="106" t="s">
        <v>1398</v>
      </c>
      <c r="K63" s="106" t="s">
        <v>1412</v>
      </c>
      <c r="L63" s="106" t="s">
        <v>1413</v>
      </c>
      <c r="O63" s="106" t="s">
        <v>274</v>
      </c>
      <c r="P63" s="106" t="s">
        <v>597</v>
      </c>
      <c r="Q63" s="106" t="s">
        <v>427</v>
      </c>
      <c r="S63" s="106" t="str" cm="1">
        <f t="array" ref="S63">IF(TRIM($D63)="","(tidak diisi)",IFERROR(INDEX(Kamus!$B$3:$B$28,MATCH(TRUE,ISNUMBER(SEARCH(Kamus!$A$3:$A$28,$D63)),0)),"Jabatan Lainnya"))</f>
        <v>Pejabat Struktural (Kasubbag/Kabag)</v>
      </c>
      <c r="T63" s="106" t="str" cm="1">
        <f t="array" ref="T63">IF(TRIM($I63)="","(tidak diisi)",IFERROR(INDEX(Kamus!$E$3:$E$162,MATCH(TRUE,ISNUMBER(SEARCH(Kamus!$D$3:$D$162,$I63)),0)),"Barang Lain / Tidak Terinci"))</f>
        <v>Suvenir &amp; Merchandise</v>
      </c>
      <c r="U63" s="106" t="str" cm="1">
        <f t="array" ref="U63">IF(TRIM($I63)="","(tidak diisi)",IFERROR(INDEX(Kamus!$H$3:$H$75,MATCH(TRUE,ISNUMBER(SEARCH(Kamus!$G$3:$G$75,$I63)),0)),"Pemberian Umum / Tanpa Konteks"))</f>
        <v>Suvenir / Merchandise Kegiatan &amp; Kunjungan</v>
      </c>
      <c r="V63" s="106" t="str">
        <f t="shared" si="0"/>
        <v>2025</v>
      </c>
      <c r="W63" s="106" t="str" cm="1">
        <f t="array" ref="W63">IF(TRIM($K63)="","(tidak diisi)",IFERROR(INDEX(Kamus!$K$3:$K$118,MATCH(TRUE,ISNUMBER(SEARCH(Kamus!$J$3:$J$118,$K63)),0)),"Individu / Perorangan"))</f>
        <v>Kampus &amp; Sekolah</v>
      </c>
      <c r="X63" s="106" t="str">
        <f t="shared" si="1"/>
        <v>02</v>
      </c>
      <c r="Y63" s="106" t="str" cm="1">
        <f t="array" ref="Y63">IFERROR(INDEX(Kamus!$N$3:$N$111,MATCH(TRUE,ISNUMBER(SEARCH(Kamus!$M$3:$M$111,$I63)),0)),"")</f>
        <v/>
      </c>
      <c r="Z63" s="106" t="str">
        <f>IF(AND(OR($X63="02",$X63="03",$X63="04"),OR($T63="Parsel/Bingkisan (tidak dirinci)",$T63="Makanan &amp; Minuman",$T63="Peralatan Rumah Tangga / Pecah Belah",$T63="Pakaian &amp; Kain")),"Momen Hari Raya (dugaan musiman)",IFERROR(VLOOKUP($W63,Kamus!$P$3:$Q$14,2,FALSE),"Tidak Teridentifikasi"))</f>
        <v>Kerja Sama Pendidikan/PKL (dugaan)</v>
      </c>
      <c r="AA63" s="106" t="str">
        <f t="shared" si="2"/>
        <v>Kerja Sama Pendidikan/PKL (dugaan)</v>
      </c>
    </row>
    <row r="64" spans="1:27">
      <c r="A64" s="106">
        <v>63</v>
      </c>
      <c r="B64" s="106" t="s">
        <v>1304</v>
      </c>
      <c r="C64" s="107" t="s">
        <v>1305</v>
      </c>
      <c r="D64" s="106" t="s">
        <v>1306</v>
      </c>
      <c r="E64" s="106" t="s">
        <v>1307</v>
      </c>
      <c r="F64" s="106" t="s">
        <v>1414</v>
      </c>
      <c r="G64" s="106" t="s">
        <v>1006</v>
      </c>
      <c r="H64" s="106" t="s">
        <v>1405</v>
      </c>
      <c r="I64" s="106" t="s">
        <v>1415</v>
      </c>
      <c r="K64" s="106" t="s">
        <v>1416</v>
      </c>
      <c r="L64" s="106" t="s">
        <v>1417</v>
      </c>
      <c r="O64" s="106" t="s">
        <v>274</v>
      </c>
      <c r="P64" s="106" t="s">
        <v>597</v>
      </c>
      <c r="Q64" s="106" t="s">
        <v>427</v>
      </c>
      <c r="S64" s="106" t="str" cm="1">
        <f t="array" ref="S64">IF(TRIM($D64)="","(tidak diisi)",IFERROR(INDEX(Kamus!$B$3:$B$28,MATCH(TRUE,ISNUMBER(SEARCH(Kamus!$A$3:$A$28,$D64)),0)),"Jabatan Lainnya"))</f>
        <v>Pejabat Struktural (Kasubbag/Kabag)</v>
      </c>
      <c r="T64" s="106" t="str" cm="1">
        <f t="array" ref="T64">IF(TRIM($I64)="","(tidak diisi)",IFERROR(INDEX(Kamus!$E$3:$E$162,MATCH(TRUE,ISNUMBER(SEARCH(Kamus!$D$3:$D$162,$I64)),0)),"Barang Lain / Tidak Terinci"))</f>
        <v>Suvenir &amp; Merchandise</v>
      </c>
      <c r="U64" s="106" t="str" cm="1">
        <f t="array" ref="U64">IF(TRIM($I64)="","(tidak diisi)",IFERROR(INDEX(Kamus!$H$3:$H$75,MATCH(TRUE,ISNUMBER(SEARCH(Kamus!$G$3:$G$75,$I64)),0)),"Pemberian Umum / Tanpa Konteks"))</f>
        <v>Suvenir / Merchandise Kegiatan &amp; Kunjungan</v>
      </c>
      <c r="V64" s="106" t="str">
        <f t="shared" si="0"/>
        <v>2025</v>
      </c>
      <c r="W64" s="106" t="str" cm="1">
        <f t="array" ref="W64">IF(TRIM($K64)="","(tidak diisi)",IFERROR(INDEX(Kamus!$K$3:$K$118,MATCH(TRUE,ISNUMBER(SEARCH(Kamus!$J$3:$J$118,$K64)),0)),"Individu / Perorangan"))</f>
        <v>Individu / Perorangan</v>
      </c>
      <c r="X64" s="106" t="str">
        <f t="shared" si="1"/>
        <v>02</v>
      </c>
      <c r="Y64" s="106" t="str" cm="1">
        <f t="array" ref="Y64">IFERROR(INDEX(Kamus!$N$3:$N$111,MATCH(TRUE,ISNUMBER(SEARCH(Kamus!$M$3:$M$111,$I64)),0)),"")</f>
        <v/>
      </c>
      <c r="Z64" s="106" t="str">
        <f>IF(AND(OR($X64="02",$X64="03",$X64="04"),OR($T64="Parsel/Bingkisan (tidak dirinci)",$T64="Makanan &amp; Minuman",$T64="Peralatan Rumah Tangga / Pecah Belah",$T64="Pakaian &amp; Kain")),"Momen Hari Raya (dugaan musiman)",IFERROR(VLOOKUP($W64,Kamus!$P$3:$Q$14,2,FALSE),"Tidak Teridentifikasi"))</f>
        <v>Relasi Personal / Tidak Teridentifikasi</v>
      </c>
      <c r="AA64" s="106" t="str">
        <f t="shared" si="2"/>
        <v>Relasi Personal / Tidak Teridentifikasi</v>
      </c>
    </row>
    <row r="65" spans="1:27">
      <c r="A65" s="106">
        <v>64</v>
      </c>
      <c r="B65" s="106" t="s">
        <v>1060</v>
      </c>
      <c r="C65" s="107" t="s">
        <v>1061</v>
      </c>
      <c r="D65" s="106" t="s">
        <v>1033</v>
      </c>
      <c r="E65" s="106" t="s">
        <v>1062</v>
      </c>
      <c r="F65" s="106" t="s">
        <v>1418</v>
      </c>
      <c r="G65" s="106" t="s">
        <v>1006</v>
      </c>
      <c r="H65" s="106" t="s">
        <v>1419</v>
      </c>
      <c r="I65" s="106" t="s">
        <v>1420</v>
      </c>
      <c r="J65" s="106">
        <v>200000</v>
      </c>
      <c r="K65" s="106" t="s">
        <v>1421</v>
      </c>
      <c r="L65" s="106" t="s">
        <v>1422</v>
      </c>
      <c r="M65" s="106" t="s">
        <v>1020</v>
      </c>
      <c r="O65" s="106" t="s">
        <v>274</v>
      </c>
      <c r="P65" s="106" t="s">
        <v>1067</v>
      </c>
      <c r="Q65" s="106" t="s">
        <v>350</v>
      </c>
      <c r="S65" s="106" t="str" cm="1">
        <f t="array" ref="S65">IF(TRIM($D65)="","(tidak diisi)",IFERROR(INDEX(Kamus!$B$3:$B$28,MATCH(TRUE,ISNUMBER(SEARCH(Kamus!$A$3:$A$28,$D65)),0)),"Jabatan Lainnya"))</f>
        <v>Hakim</v>
      </c>
      <c r="T65" s="106" t="str" cm="1">
        <f t="array" ref="T65">IF(TRIM($I65)="","(tidak diisi)",IFERROR(INDEX(Kamus!$E$3:$E$162,MATCH(TRUE,ISNUMBER(SEARCH(Kamus!$D$3:$D$162,$I65)),0)),"Barang Lain / Tidak Terinci"))</f>
        <v>Makanan &amp; Minuman</v>
      </c>
      <c r="U65" s="106" t="str" cm="1">
        <f t="array" ref="U65">IF(TRIM($I65)="","(tidak diisi)",IFERROR(INDEX(Kamus!$H$3:$H$75,MATCH(TRUE,ISNUMBER(SEARCH(Kamus!$G$3:$G$75,$I65)),0)),"Pemberian Umum / Tanpa Konteks"))</f>
        <v>Paket Sembako</v>
      </c>
      <c r="V65" s="106" t="str">
        <f t="shared" si="0"/>
        <v>2025</v>
      </c>
      <c r="W65" s="106" t="str" cm="1">
        <f t="array" ref="W65">IF(TRIM($K65)="","(tidak diisi)",IFERROR(INDEX(Kamus!$K$3:$K$118,MATCH(TRUE,ISNUMBER(SEARCH(Kamus!$J$3:$J$118,$K65)),0)),"Individu / Perorangan"))</f>
        <v>Individu / Perorangan</v>
      </c>
      <c r="X65" s="106" t="str">
        <f t="shared" si="1"/>
        <v>02</v>
      </c>
      <c r="Y65" s="106" t="str" cm="1">
        <f t="array" ref="Y65">IFERROR(INDEX(Kamus!$N$3:$N$111,MATCH(TRUE,ISNUMBER(SEARCH(Kamus!$M$3:$M$111,$I65)),0)),"")</f>
        <v>Rapat / Jamuan Dinas</v>
      </c>
      <c r="Z65" s="106" t="str">
        <f>IF(AND(OR($X65="02",$X65="03",$X65="04"),OR($T65="Parsel/Bingkisan (tidak dirinci)",$T65="Makanan &amp; Minuman",$T65="Peralatan Rumah Tangga / Pecah Belah",$T65="Pakaian &amp; Kain")),"Momen Hari Raya (dugaan musiman)",IFERROR(VLOOKUP($W65,Kamus!$P$3:$Q$14,2,FALSE),"Tidak Teridentifikasi"))</f>
        <v>Momen Hari Raya (dugaan musiman)</v>
      </c>
      <c r="AA65" s="106" t="str">
        <f t="shared" si="2"/>
        <v>Rapat / Jamuan Dinas</v>
      </c>
    </row>
    <row r="66" spans="1:27">
      <c r="A66" s="106">
        <v>65</v>
      </c>
      <c r="B66" s="106" t="s">
        <v>1060</v>
      </c>
      <c r="C66" s="107" t="s">
        <v>1061</v>
      </c>
      <c r="D66" s="106" t="s">
        <v>1033</v>
      </c>
      <c r="E66" s="106" t="s">
        <v>1062</v>
      </c>
      <c r="F66" s="106" t="s">
        <v>1418</v>
      </c>
      <c r="G66" s="106" t="s">
        <v>1006</v>
      </c>
      <c r="H66" s="106" t="s">
        <v>1419</v>
      </c>
      <c r="I66" s="106" t="s">
        <v>1017</v>
      </c>
      <c r="J66" s="106">
        <v>250000</v>
      </c>
      <c r="K66" s="106" t="s">
        <v>1421</v>
      </c>
      <c r="L66" s="106" t="s">
        <v>1422</v>
      </c>
      <c r="M66" s="106" t="s">
        <v>1020</v>
      </c>
      <c r="O66" s="106" t="s">
        <v>274</v>
      </c>
      <c r="P66" s="106" t="s">
        <v>1067</v>
      </c>
      <c r="Q66" s="106" t="s">
        <v>350</v>
      </c>
      <c r="S66" s="106" t="str" cm="1">
        <f t="array" ref="S66">IF(TRIM($D66)="","(tidak diisi)",IFERROR(INDEX(Kamus!$B$3:$B$28,MATCH(TRUE,ISNUMBER(SEARCH(Kamus!$A$3:$A$28,$D66)),0)),"Jabatan Lainnya"))</f>
        <v>Hakim</v>
      </c>
      <c r="T66" s="106" t="str" cm="1">
        <f t="array" ref="T66">IF(TRIM($I66)="","(tidak diisi)",IFERROR(INDEX(Kamus!$E$3:$E$162,MATCH(TRUE,ISNUMBER(SEARCH(Kamus!$D$3:$D$162,$I66)),0)),"Barang Lain / Tidak Terinci"))</f>
        <v>Uang &amp; Setara Uang</v>
      </c>
      <c r="U66" s="106" t="str" cm="1">
        <f t="array" ref="U66">IF(TRIM($I66)="","(tidak diisi)",IFERROR(INDEX(Kamus!$H$3:$H$75,MATCH(TRUE,ISNUMBER(SEARCH(Kamus!$G$3:$G$75,$I66)),0)),"Pemberian Umum / Tanpa Konteks"))</f>
        <v>Pemberian Uang Langsung</v>
      </c>
      <c r="V66" s="106" t="str">
        <f t="shared" si="0"/>
        <v>2025</v>
      </c>
      <c r="W66" s="106" t="str" cm="1">
        <f t="array" ref="W66">IF(TRIM($K66)="","(tidak diisi)",IFERROR(INDEX(Kamus!$K$3:$K$118,MATCH(TRUE,ISNUMBER(SEARCH(Kamus!$J$3:$J$118,$K66)),0)),"Individu / Perorangan"))</f>
        <v>Individu / Perorangan</v>
      </c>
      <c r="X66" s="106" t="str">
        <f t="shared" si="1"/>
        <v>02</v>
      </c>
      <c r="Y66" s="106" t="str" cm="1">
        <f t="array" ref="Y66">IFERROR(INDEX(Kamus!$N$3:$N$111,MATCH(TRUE,ISNUMBER(SEARCH(Kamus!$M$3:$M$111,$I66)),0)),"")</f>
        <v/>
      </c>
      <c r="Z66" s="106" t="str">
        <f>IF(AND(OR($X66="02",$X66="03",$X66="04"),OR($T66="Parsel/Bingkisan (tidak dirinci)",$T66="Makanan &amp; Minuman",$T66="Peralatan Rumah Tangga / Pecah Belah",$T66="Pakaian &amp; Kain")),"Momen Hari Raya (dugaan musiman)",IFERROR(VLOOKUP($W66,Kamus!$P$3:$Q$14,2,FALSE),"Tidak Teridentifikasi"))</f>
        <v>Relasi Personal / Tidak Teridentifikasi</v>
      </c>
      <c r="AA66" s="106" t="str">
        <f t="shared" si="2"/>
        <v>Relasi Personal / Tidak Teridentifikasi</v>
      </c>
    </row>
    <row r="67" spans="1:27">
      <c r="A67" s="106">
        <v>66</v>
      </c>
      <c r="B67" s="106" t="s">
        <v>1423</v>
      </c>
      <c r="C67" s="107" t="s">
        <v>1424</v>
      </c>
      <c r="D67" s="106" t="s">
        <v>1024</v>
      </c>
      <c r="E67" s="106" t="s">
        <v>1425</v>
      </c>
      <c r="G67" s="106" t="s">
        <v>1006</v>
      </c>
      <c r="H67" s="106" t="s">
        <v>1275</v>
      </c>
      <c r="I67" s="106" t="s">
        <v>1426</v>
      </c>
      <c r="K67" s="106" t="s">
        <v>1427</v>
      </c>
      <c r="L67" s="106" t="s">
        <v>1428</v>
      </c>
      <c r="O67" s="106" t="s">
        <v>274</v>
      </c>
      <c r="P67" s="106" t="s">
        <v>1429</v>
      </c>
      <c r="Q67" s="106" t="s">
        <v>427</v>
      </c>
      <c r="S67" s="106" t="str" cm="1">
        <f t="array" ref="S67">IF(TRIM($D67)="","(tidak diisi)",IFERROR(INDEX(Kamus!$B$3:$B$28,MATCH(TRUE,ISNUMBER(SEARCH(Kamus!$A$3:$A$28,$D67)),0)),"Jabatan Lainnya"))</f>
        <v>Sekretaris</v>
      </c>
      <c r="T67" s="106" t="str" cm="1">
        <f t="array" ref="T67">IF(TRIM($I67)="","(tidak diisi)",IFERROR(INDEX(Kamus!$E$3:$E$162,MATCH(TRUE,ISNUMBER(SEARCH(Kamus!$D$3:$D$162,$I67)),0)),"Barang Lain / Tidak Terinci"))</f>
        <v>Buku &amp; Publikasi</v>
      </c>
      <c r="U67" s="106" t="str" cm="1">
        <f t="array" ref="U67">IF(TRIM($I67)="","(tidak diisi)",IFERROR(INDEX(Kamus!$H$3:$H$75,MATCH(TRUE,ISNUMBER(SEARCH(Kamus!$G$3:$G$75,$I67)),0)),"Pemberian Umum / Tanpa Konteks"))</f>
        <v>Suvenir / Merchandise Kegiatan &amp; Kunjungan</v>
      </c>
      <c r="V67" s="106" t="str">
        <f t="shared" ref="V67:V130" si="3">IF($H67="","(tidak diisi)",IF(ISNUMBER($H67),TEXT(YEAR($H67),"0"),LEFT($H67,4)))</f>
        <v>2025</v>
      </c>
      <c r="W67" s="106" t="str" cm="1">
        <f t="array" ref="W67">IF(TRIM($K67)="","(tidak diisi)",IFERROR(INDEX(Kamus!$K$3:$K$118,MATCH(TRUE,ISNUMBER(SEARCH(Kamus!$J$3:$J$118,$K67)),0)),"Individu / Perorangan"))</f>
        <v>Bank &amp; Lembaga Keuangan</v>
      </c>
      <c r="X67" s="106" t="str">
        <f t="shared" ref="X67:X130" si="4">IF($H67="","(tidak diisi)",IF(ISNUMBER($H67),TEXT(MONTH($H67),"00"),MID($H67,6,2)))</f>
        <v>02</v>
      </c>
      <c r="Y67" s="106" t="str" cm="1">
        <f t="array" ref="Y67">IFERROR(INDEX(Kamus!$N$3:$N$111,MATCH(TRUE,ISNUMBER(SEARCH(Kamus!$M$3:$M$111,$I67)),0)),"")</f>
        <v/>
      </c>
      <c r="Z67" s="106" t="str">
        <f>IF(AND(OR($X67="02",$X67="03",$X67="04"),OR($T67="Parsel/Bingkisan (tidak dirinci)",$T67="Makanan &amp; Minuman",$T67="Peralatan Rumah Tangga / Pecah Belah",$T67="Pakaian &amp; Kain")),"Momen Hari Raya (dugaan musiman)",IFERROR(VLOOKUP($W67,Kamus!$P$3:$Q$14,2,FALSE),"Tidak Teridentifikasi"))</f>
        <v>Relasi Layanan/Kerja Sama Perbankan (dugaan)</v>
      </c>
      <c r="AA67" s="106" t="str">
        <f t="shared" ref="AA67:AA130" si="5">IF($Y67="",$Z67,$Y67)</f>
        <v>Relasi Layanan/Kerja Sama Perbankan (dugaan)</v>
      </c>
    </row>
    <row r="68" spans="1:27">
      <c r="A68" s="106">
        <v>67</v>
      </c>
      <c r="B68" s="106" t="s">
        <v>1430</v>
      </c>
      <c r="C68" s="107" t="s">
        <v>1431</v>
      </c>
      <c r="D68" s="106" t="s">
        <v>1432</v>
      </c>
      <c r="E68" s="106" t="s">
        <v>1166</v>
      </c>
      <c r="F68" s="106" t="s">
        <v>1433</v>
      </c>
      <c r="G68" s="106" t="s">
        <v>1006</v>
      </c>
      <c r="H68" s="106" t="s">
        <v>1434</v>
      </c>
      <c r="I68" s="106" t="s">
        <v>1017</v>
      </c>
      <c r="J68" s="106">
        <v>250000</v>
      </c>
      <c r="K68" s="106" t="s">
        <v>1435</v>
      </c>
      <c r="L68" s="106" t="s">
        <v>1436</v>
      </c>
      <c r="M68" s="106" t="s">
        <v>1171</v>
      </c>
      <c r="N68" s="106" t="s">
        <v>1437</v>
      </c>
      <c r="O68" s="106" t="s">
        <v>274</v>
      </c>
      <c r="P68" s="106" t="s">
        <v>1173</v>
      </c>
      <c r="Q68" s="106" t="s">
        <v>431</v>
      </c>
      <c r="S68" s="106" t="str" cm="1">
        <f t="array" ref="S68">IF(TRIM($D68)="","(tidak diisi)",IFERROR(INDEX(Kamus!$B$3:$B$28,MATCH(TRUE,ISNUMBER(SEARCH(Kamus!$A$3:$A$28,$D68)),0)),"Jabatan Lainnya"))</f>
        <v>Hakim</v>
      </c>
      <c r="T68" s="106" t="str" cm="1">
        <f t="array" ref="T68">IF(TRIM($I68)="","(tidak diisi)",IFERROR(INDEX(Kamus!$E$3:$E$162,MATCH(TRUE,ISNUMBER(SEARCH(Kamus!$D$3:$D$162,$I68)),0)),"Barang Lain / Tidak Terinci"))</f>
        <v>Uang &amp; Setara Uang</v>
      </c>
      <c r="U68" s="106" t="str" cm="1">
        <f t="array" ref="U68">IF(TRIM($I68)="","(tidak diisi)",IFERROR(INDEX(Kamus!$H$3:$H$75,MATCH(TRUE,ISNUMBER(SEARCH(Kamus!$G$3:$G$75,$I68)),0)),"Pemberian Umum / Tanpa Konteks"))</f>
        <v>Pemberian Uang Langsung</v>
      </c>
      <c r="V68" s="106" t="str">
        <f t="shared" si="3"/>
        <v>2025</v>
      </c>
      <c r="W68" s="106" t="str" cm="1">
        <f t="array" ref="W68">IF(TRIM($K68)="","(tidak diisi)",IFERROR(INDEX(Kamus!$K$3:$K$118,MATCH(TRUE,ISNUMBER(SEARCH(Kamus!$J$3:$J$118,$K68)),0)),"Individu / Perorangan"))</f>
        <v>Kampus &amp; Sekolah</v>
      </c>
      <c r="X68" s="106" t="str">
        <f t="shared" si="4"/>
        <v>02</v>
      </c>
      <c r="Y68" s="106" t="str" cm="1">
        <f t="array" ref="Y68">IFERROR(INDEX(Kamus!$N$3:$N$111,MATCH(TRUE,ISNUMBER(SEARCH(Kamus!$M$3:$M$111,$I68)),0)),"")</f>
        <v/>
      </c>
      <c r="Z68" s="106" t="str">
        <f>IF(AND(OR($X68="02",$X68="03",$X68="04"),OR($T68="Parsel/Bingkisan (tidak dirinci)",$T68="Makanan &amp; Minuman",$T68="Peralatan Rumah Tangga / Pecah Belah",$T68="Pakaian &amp; Kain")),"Momen Hari Raya (dugaan musiman)",IFERROR(VLOOKUP($W68,Kamus!$P$3:$Q$14,2,FALSE),"Tidak Teridentifikasi"))</f>
        <v>Kerja Sama Pendidikan/PKL (dugaan)</v>
      </c>
      <c r="AA68" s="106" t="str">
        <f t="shared" si="5"/>
        <v>Kerja Sama Pendidikan/PKL (dugaan)</v>
      </c>
    </row>
    <row r="69" spans="1:27">
      <c r="A69" s="106">
        <v>68</v>
      </c>
      <c r="B69" s="106" t="s">
        <v>1430</v>
      </c>
      <c r="C69" s="107" t="s">
        <v>1431</v>
      </c>
      <c r="D69" s="106" t="s">
        <v>1432</v>
      </c>
      <c r="E69" s="106" t="s">
        <v>1166</v>
      </c>
      <c r="F69" s="106" t="s">
        <v>1438</v>
      </c>
      <c r="G69" s="106" t="s">
        <v>1074</v>
      </c>
      <c r="H69" s="106" t="s">
        <v>1434</v>
      </c>
      <c r="I69" s="106" t="s">
        <v>1439</v>
      </c>
      <c r="K69" s="106" t="s">
        <v>1440</v>
      </c>
      <c r="L69" s="106" t="s">
        <v>1441</v>
      </c>
      <c r="O69" s="106" t="s">
        <v>274</v>
      </c>
      <c r="P69" s="106" t="s">
        <v>1173</v>
      </c>
      <c r="Q69" s="106" t="s">
        <v>431</v>
      </c>
      <c r="S69" s="106" t="str" cm="1">
        <f t="array" ref="S69">IF(TRIM($D69)="","(tidak diisi)",IFERROR(INDEX(Kamus!$B$3:$B$28,MATCH(TRUE,ISNUMBER(SEARCH(Kamus!$A$3:$A$28,$D69)),0)),"Jabatan Lainnya"))</f>
        <v>Hakim</v>
      </c>
      <c r="T69" s="106" t="str" cm="1">
        <f t="array" ref="T69">IF(TRIM($I69)="","(tidak diisi)",IFERROR(INDEX(Kamus!$E$3:$E$162,MATCH(TRUE,ISNUMBER(SEARCH(Kamus!$D$3:$D$162,$I69)),0)),"Barang Lain / Tidak Terinci"))</f>
        <v>Makanan &amp; Minuman</v>
      </c>
      <c r="U69" s="106" t="str" cm="1">
        <f t="array" ref="U69">IF(TRIM($I69)="","(tidak diisi)",IFERROR(INDEX(Kamus!$H$3:$H$75,MATCH(TRUE,ISNUMBER(SEARCH(Kamus!$G$3:$G$75,$I69)),0)),"Pemberian Umum / Tanpa Konteks"))</f>
        <v>Parsel/Bingkisan Umum (non-hari raya)</v>
      </c>
      <c r="V69" s="106" t="str">
        <f t="shared" si="3"/>
        <v>2025</v>
      </c>
      <c r="W69" s="106" t="str" cm="1">
        <f t="array" ref="W69">IF(TRIM($K69)="","(tidak diisi)",IFERROR(INDEX(Kamus!$K$3:$K$118,MATCH(TRUE,ISNUMBER(SEARCH(Kamus!$J$3:$J$118,$K69)),0)),"Individu / Perorangan"))</f>
        <v>Individu / Perorangan</v>
      </c>
      <c r="X69" s="106" t="str">
        <f t="shared" si="4"/>
        <v>02</v>
      </c>
      <c r="Y69" s="106" t="str" cm="1">
        <f t="array" ref="Y69">IFERROR(INDEX(Kamus!$N$3:$N$111,MATCH(TRUE,ISNUMBER(SEARCH(Kamus!$M$3:$M$111,$I69)),0)),"")</f>
        <v/>
      </c>
      <c r="Z69" s="106" t="str">
        <f>IF(AND(OR($X69="02",$X69="03",$X69="04"),OR($T69="Parsel/Bingkisan (tidak dirinci)",$T69="Makanan &amp; Minuman",$T69="Peralatan Rumah Tangga / Pecah Belah",$T69="Pakaian &amp; Kain")),"Momen Hari Raya (dugaan musiman)",IFERROR(VLOOKUP($W69,Kamus!$P$3:$Q$14,2,FALSE),"Tidak Teridentifikasi"))</f>
        <v>Momen Hari Raya (dugaan musiman)</v>
      </c>
      <c r="AA69" s="106" t="str">
        <f t="shared" si="5"/>
        <v>Momen Hari Raya (dugaan musiman)</v>
      </c>
    </row>
    <row r="70" spans="1:27">
      <c r="A70" s="106">
        <v>69</v>
      </c>
      <c r="B70" s="106" t="s">
        <v>1442</v>
      </c>
      <c r="C70" s="107" t="s">
        <v>1443</v>
      </c>
      <c r="D70" s="106" t="s">
        <v>1432</v>
      </c>
      <c r="E70" s="106" t="s">
        <v>1166</v>
      </c>
      <c r="F70" s="106" t="s">
        <v>1444</v>
      </c>
      <c r="G70" s="106" t="s">
        <v>1074</v>
      </c>
      <c r="H70" s="106" t="s">
        <v>1434</v>
      </c>
      <c r="I70" s="106" t="s">
        <v>1439</v>
      </c>
      <c r="K70" s="106" t="s">
        <v>1445</v>
      </c>
      <c r="L70" s="106" t="s">
        <v>1446</v>
      </c>
      <c r="O70" s="106" t="s">
        <v>274</v>
      </c>
      <c r="P70" s="106" t="s">
        <v>1173</v>
      </c>
      <c r="Q70" s="106" t="s">
        <v>431</v>
      </c>
      <c r="S70" s="106" t="str" cm="1">
        <f t="array" ref="S70">IF(TRIM($D70)="","(tidak diisi)",IFERROR(INDEX(Kamus!$B$3:$B$28,MATCH(TRUE,ISNUMBER(SEARCH(Kamus!$A$3:$A$28,$D70)),0)),"Jabatan Lainnya"))</f>
        <v>Hakim</v>
      </c>
      <c r="T70" s="106" t="str" cm="1">
        <f t="array" ref="T70">IF(TRIM($I70)="","(tidak diisi)",IFERROR(INDEX(Kamus!$E$3:$E$162,MATCH(TRUE,ISNUMBER(SEARCH(Kamus!$D$3:$D$162,$I70)),0)),"Barang Lain / Tidak Terinci"))</f>
        <v>Makanan &amp; Minuman</v>
      </c>
      <c r="U70" s="106" t="str" cm="1">
        <f t="array" ref="U70">IF(TRIM($I70)="","(tidak diisi)",IFERROR(INDEX(Kamus!$H$3:$H$75,MATCH(TRUE,ISNUMBER(SEARCH(Kamus!$G$3:$G$75,$I70)),0)),"Pemberian Umum / Tanpa Konteks"))</f>
        <v>Parsel/Bingkisan Umum (non-hari raya)</v>
      </c>
      <c r="V70" s="106" t="str">
        <f t="shared" si="3"/>
        <v>2025</v>
      </c>
      <c r="W70" s="106" t="str" cm="1">
        <f t="array" ref="W70">IF(TRIM($K70)="","(tidak diisi)",IFERROR(INDEX(Kamus!$K$3:$K$118,MATCH(TRUE,ISNUMBER(SEARCH(Kamus!$J$3:$J$118,$K70)),0)),"Individu / Perorangan"))</f>
        <v>Individu / Perorangan</v>
      </c>
      <c r="X70" s="106" t="str">
        <f t="shared" si="4"/>
        <v>02</v>
      </c>
      <c r="Y70" s="106" t="str" cm="1">
        <f t="array" ref="Y70">IFERROR(INDEX(Kamus!$N$3:$N$111,MATCH(TRUE,ISNUMBER(SEARCH(Kamus!$M$3:$M$111,$I70)),0)),"")</f>
        <v/>
      </c>
      <c r="Z70" s="106" t="str">
        <f>IF(AND(OR($X70="02",$X70="03",$X70="04"),OR($T70="Parsel/Bingkisan (tidak dirinci)",$T70="Makanan &amp; Minuman",$T70="Peralatan Rumah Tangga / Pecah Belah",$T70="Pakaian &amp; Kain")),"Momen Hari Raya (dugaan musiman)",IFERROR(VLOOKUP($W70,Kamus!$P$3:$Q$14,2,FALSE),"Tidak Teridentifikasi"))</f>
        <v>Momen Hari Raya (dugaan musiman)</v>
      </c>
      <c r="AA70" s="106" t="str">
        <f t="shared" si="5"/>
        <v>Momen Hari Raya (dugaan musiman)</v>
      </c>
    </row>
    <row r="71" spans="1:27">
      <c r="A71" s="106">
        <v>70</v>
      </c>
      <c r="B71" s="106" t="s">
        <v>1197</v>
      </c>
      <c r="C71" s="107" t="s">
        <v>1198</v>
      </c>
      <c r="D71" s="106" t="s">
        <v>1199</v>
      </c>
      <c r="E71" s="106" t="s">
        <v>1200</v>
      </c>
      <c r="F71" s="106" t="s">
        <v>1447</v>
      </c>
      <c r="G71" s="106" t="s">
        <v>1074</v>
      </c>
      <c r="H71" s="106" t="s">
        <v>1448</v>
      </c>
      <c r="I71" s="106" t="s">
        <v>1449</v>
      </c>
      <c r="K71" s="106" t="s">
        <v>1450</v>
      </c>
      <c r="L71" s="106" t="s">
        <v>1451</v>
      </c>
      <c r="O71" s="106" t="s">
        <v>274</v>
      </c>
      <c r="P71" s="106" t="s">
        <v>1205</v>
      </c>
      <c r="Q71" s="106" t="s">
        <v>366</v>
      </c>
      <c r="S71" s="106" t="str" cm="1">
        <f t="array" ref="S71">IF(TRIM($D71)="","(tidak diisi)",IFERROR(INDEX(Kamus!$B$3:$B$28,MATCH(TRUE,ISNUMBER(SEARCH(Kamus!$A$3:$A$28,$D71)),0)),"Jabatan Lainnya"))</f>
        <v>Pimpinan Satker/Direktorat</v>
      </c>
      <c r="T71" s="106" t="str" cm="1">
        <f t="array" ref="T71">IF(TRIM($I71)="","(tidak diisi)",IFERROR(INDEX(Kamus!$E$3:$E$162,MATCH(TRUE,ISNUMBER(SEARCH(Kamus!$D$3:$D$162,$I71)),0)),"Barang Lain / Tidak Terinci"))</f>
        <v>Makanan &amp; Minuman</v>
      </c>
      <c r="U71" s="106" t="str" cm="1">
        <f t="array" ref="U71">IF(TRIM($I71)="","(tidak diisi)",IFERROR(INDEX(Kamus!$H$3:$H$75,MATCH(TRUE,ISNUMBER(SEARCH(Kamus!$G$3:$G$75,$I71)),0)),"Pemberian Umum / Tanpa Konteks"))</f>
        <v>Oleh-oleh / Buah Tangan Perjalanan</v>
      </c>
      <c r="V71" s="106" t="str">
        <f t="shared" si="3"/>
        <v>2025</v>
      </c>
      <c r="W71" s="106" t="str" cm="1">
        <f t="array" ref="W71">IF(TRIM($K71)="","(tidak diisi)",IFERROR(INDEX(Kamus!$K$3:$K$118,MATCH(TRUE,ISNUMBER(SEARCH(Kamus!$J$3:$J$118,$K71)),0)),"Individu / Perorangan"))</f>
        <v>Individu / Perorangan</v>
      </c>
      <c r="X71" s="106" t="str">
        <f t="shared" si="4"/>
        <v>02</v>
      </c>
      <c r="Y71" s="106" t="str" cm="1">
        <f t="array" ref="Y71">IFERROR(INDEX(Kamus!$N$3:$N$111,MATCH(TRUE,ISNUMBER(SEARCH(Kamus!$M$3:$M$111,$I71)),0)),"")</f>
        <v/>
      </c>
      <c r="Z71" s="106" t="str">
        <f>IF(AND(OR($X71="02",$X71="03",$X71="04"),OR($T71="Parsel/Bingkisan (tidak dirinci)",$T71="Makanan &amp; Minuman",$T71="Peralatan Rumah Tangga / Pecah Belah",$T71="Pakaian &amp; Kain")),"Momen Hari Raya (dugaan musiman)",IFERROR(VLOOKUP($W71,Kamus!$P$3:$Q$14,2,FALSE),"Tidak Teridentifikasi"))</f>
        <v>Momen Hari Raya (dugaan musiman)</v>
      </c>
      <c r="AA71" s="106" t="str">
        <f t="shared" si="5"/>
        <v>Momen Hari Raya (dugaan musiman)</v>
      </c>
    </row>
    <row r="72" spans="1:27">
      <c r="A72" s="106">
        <v>71</v>
      </c>
      <c r="B72" s="106" t="s">
        <v>1452</v>
      </c>
      <c r="C72" s="107" t="s">
        <v>1453</v>
      </c>
      <c r="D72" s="106" t="s">
        <v>1454</v>
      </c>
      <c r="E72" s="106" t="s">
        <v>1166</v>
      </c>
      <c r="F72" s="106" t="s">
        <v>1455</v>
      </c>
      <c r="G72" s="106" t="s">
        <v>1006</v>
      </c>
      <c r="H72" s="106" t="s">
        <v>1456</v>
      </c>
      <c r="I72" s="106" t="s">
        <v>1457</v>
      </c>
      <c r="K72" s="106" t="s">
        <v>1458</v>
      </c>
      <c r="L72" s="106" t="s">
        <v>1459</v>
      </c>
      <c r="O72" s="106" t="s">
        <v>274</v>
      </c>
      <c r="P72" s="106" t="s">
        <v>1173</v>
      </c>
      <c r="Q72" s="106" t="s">
        <v>431</v>
      </c>
      <c r="S72" s="106" t="str" cm="1">
        <f t="array" ref="S72">IF(TRIM($D72)="","(tidak diisi)",IFERROR(INDEX(Kamus!$B$3:$B$28,MATCH(TRUE,ISNUMBER(SEARCH(Kamus!$A$3:$A$28,$D72)),0)),"Jabatan Lainnya"))</f>
        <v>Panitera</v>
      </c>
      <c r="T72" s="106" t="str" cm="1">
        <f t="array" ref="T72">IF(TRIM($I72)="","(tidak diisi)",IFERROR(INDEX(Kamus!$E$3:$E$162,MATCH(TRUE,ISNUMBER(SEARCH(Kamus!$D$3:$D$162,$I72)),0)),"Barang Lain / Tidak Terinci"))</f>
        <v>Makanan &amp; Minuman</v>
      </c>
      <c r="U72" s="106" t="str" cm="1">
        <f t="array" ref="U72">IF(TRIM($I72)="","(tidak diisi)",IFERROR(INDEX(Kamus!$H$3:$H$75,MATCH(TRUE,ISNUMBER(SEARCH(Kamus!$G$3:$G$75,$I72)),0)),"Pemberian Umum / Tanpa Konteks"))</f>
        <v>Paket Sembako</v>
      </c>
      <c r="V72" s="106" t="str">
        <f t="shared" si="3"/>
        <v>2025</v>
      </c>
      <c r="W72" s="106" t="str" cm="1">
        <f t="array" ref="W72">IF(TRIM($K72)="","(tidak diisi)",IFERROR(INDEX(Kamus!$K$3:$K$118,MATCH(TRUE,ISNUMBER(SEARCH(Kamus!$J$3:$J$118,$K72)),0)),"Individu / Perorangan"))</f>
        <v>Individu / Perorangan</v>
      </c>
      <c r="X72" s="106" t="str">
        <f t="shared" si="4"/>
        <v>02</v>
      </c>
      <c r="Y72" s="106" t="str" cm="1">
        <f t="array" ref="Y72">IFERROR(INDEX(Kamus!$N$3:$N$111,MATCH(TRUE,ISNUMBER(SEARCH(Kamus!$M$3:$M$111,$I72)),0)),"")</f>
        <v>Kegiatan Sosial / Bantuan (Paket Sembako)</v>
      </c>
      <c r="Z72" s="106" t="str">
        <f>IF(AND(OR($X72="02",$X72="03",$X72="04"),OR($T72="Parsel/Bingkisan (tidak dirinci)",$T72="Makanan &amp; Minuman",$T72="Peralatan Rumah Tangga / Pecah Belah",$T72="Pakaian &amp; Kain")),"Momen Hari Raya (dugaan musiman)",IFERROR(VLOOKUP($W72,Kamus!$P$3:$Q$14,2,FALSE),"Tidak Teridentifikasi"))</f>
        <v>Momen Hari Raya (dugaan musiman)</v>
      </c>
      <c r="AA72" s="106" t="str">
        <f t="shared" si="5"/>
        <v>Kegiatan Sosial / Bantuan (Paket Sembako)</v>
      </c>
    </row>
    <row r="73" spans="1:27">
      <c r="A73" s="106">
        <v>72</v>
      </c>
      <c r="B73" s="106" t="s">
        <v>1460</v>
      </c>
      <c r="C73" s="107" t="s">
        <v>1461</v>
      </c>
      <c r="D73" s="106" t="s">
        <v>1462</v>
      </c>
      <c r="E73" s="106" t="s">
        <v>1166</v>
      </c>
      <c r="F73" s="106" t="s">
        <v>1463</v>
      </c>
      <c r="G73" s="106" t="s">
        <v>1006</v>
      </c>
      <c r="H73" s="106" t="s">
        <v>1464</v>
      </c>
      <c r="I73" s="106" t="s">
        <v>1465</v>
      </c>
      <c r="K73" s="106" t="s">
        <v>1466</v>
      </c>
      <c r="L73" s="106" t="s">
        <v>1467</v>
      </c>
      <c r="O73" s="106" t="s">
        <v>274</v>
      </c>
      <c r="P73" s="106" t="s">
        <v>1173</v>
      </c>
      <c r="Q73" s="106" t="s">
        <v>431</v>
      </c>
      <c r="S73" s="106" t="str" cm="1">
        <f t="array" ref="S73">IF(TRIM($D73)="","(tidak diisi)",IFERROR(INDEX(Kamus!$B$3:$B$28,MATCH(TRUE,ISNUMBER(SEARCH(Kamus!$A$3:$A$28,$D73)),0)),"Jabatan Lainnya"))</f>
        <v>Staf/Pegawai Pelaksana</v>
      </c>
      <c r="T73" s="106" t="str" cm="1">
        <f t="array" ref="T73">IF(TRIM($I73)="","(tidak diisi)",IFERROR(INDEX(Kamus!$E$3:$E$162,MATCH(TRUE,ISNUMBER(SEARCH(Kamus!$D$3:$D$162,$I73)),0)),"Barang Lain / Tidak Terinci"))</f>
        <v>Makanan &amp; Minuman</v>
      </c>
      <c r="U73" s="106" t="str" cm="1">
        <f t="array" ref="U73">IF(TRIM($I73)="","(tidak diisi)",IFERROR(INDEX(Kamus!$H$3:$H$75,MATCH(TRUE,ISNUMBER(SEARCH(Kamus!$G$3:$G$75,$I73)),0)),"Pemberian Umum / Tanpa Konteks"))</f>
        <v>Paket Sembako</v>
      </c>
      <c r="V73" s="106" t="str">
        <f t="shared" si="3"/>
        <v>2025</v>
      </c>
      <c r="W73" s="106" t="str" cm="1">
        <f t="array" ref="W73">IF(TRIM($K73)="","(tidak diisi)",IFERROR(INDEX(Kamus!$K$3:$K$118,MATCH(TRUE,ISNUMBER(SEARCH(Kamus!$J$3:$J$118,$K73)),0)),"Individu / Perorangan"))</f>
        <v>Bank &amp; Lembaga Keuangan</v>
      </c>
      <c r="X73" s="106" t="str">
        <f t="shared" si="4"/>
        <v>02</v>
      </c>
      <c r="Y73" s="106" t="str" cm="1">
        <f t="array" ref="Y73">IFERROR(INDEX(Kamus!$N$3:$N$111,MATCH(TRUE,ISNUMBER(SEARCH(Kamus!$M$3:$M$111,$I73)),0)),"")</f>
        <v>Kegiatan Sosial / Bantuan (Paket Sembako)</v>
      </c>
      <c r="Z73" s="106" t="str">
        <f>IF(AND(OR($X73="02",$X73="03",$X73="04"),OR($T73="Parsel/Bingkisan (tidak dirinci)",$T73="Makanan &amp; Minuman",$T73="Peralatan Rumah Tangga / Pecah Belah",$T73="Pakaian &amp; Kain")),"Momen Hari Raya (dugaan musiman)",IFERROR(VLOOKUP($W73,Kamus!$P$3:$Q$14,2,FALSE),"Tidak Teridentifikasi"))</f>
        <v>Momen Hari Raya (dugaan musiman)</v>
      </c>
      <c r="AA73" s="106" t="str">
        <f t="shared" si="5"/>
        <v>Kegiatan Sosial / Bantuan (Paket Sembako)</v>
      </c>
    </row>
    <row r="74" spans="1:27">
      <c r="A74" s="106">
        <v>73</v>
      </c>
      <c r="B74" s="106" t="s">
        <v>1468</v>
      </c>
      <c r="C74" s="107" t="s">
        <v>1469</v>
      </c>
      <c r="D74" s="106" t="s">
        <v>1470</v>
      </c>
      <c r="E74" s="106" t="s">
        <v>1166</v>
      </c>
      <c r="F74" s="106" t="s">
        <v>1471</v>
      </c>
      <c r="G74" s="106" t="s">
        <v>1006</v>
      </c>
      <c r="H74" s="106" t="s">
        <v>1464</v>
      </c>
      <c r="I74" s="106" t="s">
        <v>1457</v>
      </c>
      <c r="K74" s="106" t="s">
        <v>1472</v>
      </c>
      <c r="L74" s="106" t="s">
        <v>1473</v>
      </c>
      <c r="O74" s="106" t="s">
        <v>274</v>
      </c>
      <c r="P74" s="106" t="s">
        <v>1173</v>
      </c>
      <c r="Q74" s="106" t="s">
        <v>431</v>
      </c>
      <c r="S74" s="106" t="str" cm="1">
        <f t="array" ref="S74">IF(TRIM($D74)="","(tidak diisi)",IFERROR(INDEX(Kamus!$B$3:$B$28,MATCH(TRUE,ISNUMBER(SEARCH(Kamus!$A$3:$A$28,$D74)),0)),"Jabatan Lainnya"))</f>
        <v>Panitera</v>
      </c>
      <c r="T74" s="106" t="str" cm="1">
        <f t="array" ref="T74">IF(TRIM($I74)="","(tidak diisi)",IFERROR(INDEX(Kamus!$E$3:$E$162,MATCH(TRUE,ISNUMBER(SEARCH(Kamus!$D$3:$D$162,$I74)),0)),"Barang Lain / Tidak Terinci"))</f>
        <v>Makanan &amp; Minuman</v>
      </c>
      <c r="U74" s="106" t="str" cm="1">
        <f t="array" ref="U74">IF(TRIM($I74)="","(tidak diisi)",IFERROR(INDEX(Kamus!$H$3:$H$75,MATCH(TRUE,ISNUMBER(SEARCH(Kamus!$G$3:$G$75,$I74)),0)),"Pemberian Umum / Tanpa Konteks"))</f>
        <v>Paket Sembako</v>
      </c>
      <c r="V74" s="106" t="str">
        <f t="shared" si="3"/>
        <v>2025</v>
      </c>
      <c r="W74" s="106" t="str" cm="1">
        <f t="array" ref="W74">IF(TRIM($K74)="","(tidak diisi)",IFERROR(INDEX(Kamus!$K$3:$K$118,MATCH(TRUE,ISNUMBER(SEARCH(Kamus!$J$3:$J$118,$K74)),0)),"Individu / Perorangan"))</f>
        <v>Individu / Perorangan</v>
      </c>
      <c r="X74" s="106" t="str">
        <f t="shared" si="4"/>
        <v>02</v>
      </c>
      <c r="Y74" s="106" t="str" cm="1">
        <f t="array" ref="Y74">IFERROR(INDEX(Kamus!$N$3:$N$111,MATCH(TRUE,ISNUMBER(SEARCH(Kamus!$M$3:$M$111,$I74)),0)),"")</f>
        <v>Kegiatan Sosial / Bantuan (Paket Sembako)</v>
      </c>
      <c r="Z74" s="106" t="str">
        <f>IF(AND(OR($X74="02",$X74="03",$X74="04"),OR($T74="Parsel/Bingkisan (tidak dirinci)",$T74="Makanan &amp; Minuman",$T74="Peralatan Rumah Tangga / Pecah Belah",$T74="Pakaian &amp; Kain")),"Momen Hari Raya (dugaan musiman)",IFERROR(VLOOKUP($W74,Kamus!$P$3:$Q$14,2,FALSE),"Tidak Teridentifikasi"))</f>
        <v>Momen Hari Raya (dugaan musiman)</v>
      </c>
      <c r="AA74" s="106" t="str">
        <f t="shared" si="5"/>
        <v>Kegiatan Sosial / Bantuan (Paket Sembako)</v>
      </c>
    </row>
    <row r="75" spans="1:27">
      <c r="A75" s="106">
        <v>74</v>
      </c>
      <c r="B75" s="106" t="s">
        <v>1474</v>
      </c>
      <c r="C75" s="107" t="s">
        <v>1475</v>
      </c>
      <c r="D75" s="106" t="s">
        <v>1013</v>
      </c>
      <c r="E75" s="106" t="s">
        <v>1166</v>
      </c>
      <c r="F75" s="106" t="s">
        <v>1476</v>
      </c>
      <c r="G75" s="106" t="s">
        <v>1006</v>
      </c>
      <c r="H75" s="106" t="s">
        <v>1464</v>
      </c>
      <c r="I75" s="106" t="s">
        <v>1465</v>
      </c>
      <c r="K75" s="106" t="s">
        <v>1477</v>
      </c>
      <c r="L75" s="106" t="s">
        <v>1478</v>
      </c>
      <c r="O75" s="106" t="s">
        <v>274</v>
      </c>
      <c r="P75" s="106" t="s">
        <v>1173</v>
      </c>
      <c r="Q75" s="106" t="s">
        <v>431</v>
      </c>
      <c r="S75" s="106" t="str" cm="1">
        <f t="array" ref="S75">IF(TRIM($D75)="","(tidak diisi)",IFERROR(INDEX(Kamus!$B$3:$B$28,MATCH(TRUE,ISNUMBER(SEARCH(Kamus!$A$3:$A$28,$D75)),0)),"Jabatan Lainnya"))</f>
        <v>Panitera</v>
      </c>
      <c r="T75" s="106" t="str" cm="1">
        <f t="array" ref="T75">IF(TRIM($I75)="","(tidak diisi)",IFERROR(INDEX(Kamus!$E$3:$E$162,MATCH(TRUE,ISNUMBER(SEARCH(Kamus!$D$3:$D$162,$I75)),0)),"Barang Lain / Tidak Terinci"))</f>
        <v>Makanan &amp; Minuman</v>
      </c>
      <c r="U75" s="106" t="str" cm="1">
        <f t="array" ref="U75">IF(TRIM($I75)="","(tidak diisi)",IFERROR(INDEX(Kamus!$H$3:$H$75,MATCH(TRUE,ISNUMBER(SEARCH(Kamus!$G$3:$G$75,$I75)),0)),"Pemberian Umum / Tanpa Konteks"))</f>
        <v>Paket Sembako</v>
      </c>
      <c r="V75" s="106" t="str">
        <f t="shared" si="3"/>
        <v>2025</v>
      </c>
      <c r="W75" s="106" t="str" cm="1">
        <f t="array" ref="W75">IF(TRIM($K75)="","(tidak diisi)",IFERROR(INDEX(Kamus!$K$3:$K$118,MATCH(TRUE,ISNUMBER(SEARCH(Kamus!$J$3:$J$118,$K75)),0)),"Individu / Perorangan"))</f>
        <v>Bank &amp; Lembaga Keuangan</v>
      </c>
      <c r="X75" s="106" t="str">
        <f t="shared" si="4"/>
        <v>02</v>
      </c>
      <c r="Y75" s="106" t="str" cm="1">
        <f t="array" ref="Y75">IFERROR(INDEX(Kamus!$N$3:$N$111,MATCH(TRUE,ISNUMBER(SEARCH(Kamus!$M$3:$M$111,$I75)),0)),"")</f>
        <v>Kegiatan Sosial / Bantuan (Paket Sembako)</v>
      </c>
      <c r="Z75" s="106" t="str">
        <f>IF(AND(OR($X75="02",$X75="03",$X75="04"),OR($T75="Parsel/Bingkisan (tidak dirinci)",$T75="Makanan &amp; Minuman",$T75="Peralatan Rumah Tangga / Pecah Belah",$T75="Pakaian &amp; Kain")),"Momen Hari Raya (dugaan musiman)",IFERROR(VLOOKUP($W75,Kamus!$P$3:$Q$14,2,FALSE),"Tidak Teridentifikasi"))</f>
        <v>Momen Hari Raya (dugaan musiman)</v>
      </c>
      <c r="AA75" s="106" t="str">
        <f t="shared" si="5"/>
        <v>Kegiatan Sosial / Bantuan (Paket Sembako)</v>
      </c>
    </row>
    <row r="76" spans="1:27">
      <c r="A76" s="106">
        <v>75</v>
      </c>
      <c r="B76" s="106" t="s">
        <v>1479</v>
      </c>
      <c r="C76" s="107" t="s">
        <v>1480</v>
      </c>
      <c r="D76" s="106" t="s">
        <v>1481</v>
      </c>
      <c r="E76" s="106" t="s">
        <v>1166</v>
      </c>
      <c r="F76" s="106" t="s">
        <v>1482</v>
      </c>
      <c r="G76" s="106" t="s">
        <v>1006</v>
      </c>
      <c r="H76" s="106" t="s">
        <v>1483</v>
      </c>
      <c r="I76" s="106" t="s">
        <v>1457</v>
      </c>
      <c r="K76" s="106" t="s">
        <v>1484</v>
      </c>
      <c r="L76" s="106" t="s">
        <v>1485</v>
      </c>
      <c r="O76" s="106" t="s">
        <v>274</v>
      </c>
      <c r="P76" s="106" t="s">
        <v>1173</v>
      </c>
      <c r="Q76" s="106" t="s">
        <v>431</v>
      </c>
      <c r="S76" s="106" t="str" cm="1">
        <f t="array" ref="S76">IF(TRIM($D76)="","(tidak diisi)",IFERROR(INDEX(Kamus!$B$3:$B$28,MATCH(TRUE,ISNUMBER(SEARCH(Kamus!$A$3:$A$28,$D76)),0)),"Jabatan Lainnya"))</f>
        <v>Staf/Pegawai Pelaksana</v>
      </c>
      <c r="T76" s="106" t="str" cm="1">
        <f t="array" ref="T76">IF(TRIM($I76)="","(tidak diisi)",IFERROR(INDEX(Kamus!$E$3:$E$162,MATCH(TRUE,ISNUMBER(SEARCH(Kamus!$D$3:$D$162,$I76)),0)),"Barang Lain / Tidak Terinci"))</f>
        <v>Makanan &amp; Minuman</v>
      </c>
      <c r="U76" s="106" t="str" cm="1">
        <f t="array" ref="U76">IF(TRIM($I76)="","(tidak diisi)",IFERROR(INDEX(Kamus!$H$3:$H$75,MATCH(TRUE,ISNUMBER(SEARCH(Kamus!$G$3:$G$75,$I76)),0)),"Pemberian Umum / Tanpa Konteks"))</f>
        <v>Paket Sembako</v>
      </c>
      <c r="V76" s="106" t="str">
        <f t="shared" si="3"/>
        <v>2025</v>
      </c>
      <c r="W76" s="106" t="str" cm="1">
        <f t="array" ref="W76">IF(TRIM($K76)="","(tidak diisi)",IFERROR(INDEX(Kamus!$K$3:$K$118,MATCH(TRUE,ISNUMBER(SEARCH(Kamus!$J$3:$J$118,$K76)),0)),"Individu / Perorangan"))</f>
        <v>Bank &amp; Lembaga Keuangan</v>
      </c>
      <c r="X76" s="106" t="str">
        <f t="shared" si="4"/>
        <v>02</v>
      </c>
      <c r="Y76" s="106" t="str" cm="1">
        <f t="array" ref="Y76">IFERROR(INDEX(Kamus!$N$3:$N$111,MATCH(TRUE,ISNUMBER(SEARCH(Kamus!$M$3:$M$111,$I76)),0)),"")</f>
        <v>Kegiatan Sosial / Bantuan (Paket Sembako)</v>
      </c>
      <c r="Z76" s="106" t="str">
        <f>IF(AND(OR($X76="02",$X76="03",$X76="04"),OR($T76="Parsel/Bingkisan (tidak dirinci)",$T76="Makanan &amp; Minuman",$T76="Peralatan Rumah Tangga / Pecah Belah",$T76="Pakaian &amp; Kain")),"Momen Hari Raya (dugaan musiman)",IFERROR(VLOOKUP($W76,Kamus!$P$3:$Q$14,2,FALSE),"Tidak Teridentifikasi"))</f>
        <v>Momen Hari Raya (dugaan musiman)</v>
      </c>
      <c r="AA76" s="106" t="str">
        <f t="shared" si="5"/>
        <v>Kegiatan Sosial / Bantuan (Paket Sembako)</v>
      </c>
    </row>
    <row r="77" spans="1:27">
      <c r="A77" s="106">
        <v>76</v>
      </c>
      <c r="B77" s="106" t="s">
        <v>1486</v>
      </c>
      <c r="C77" s="107" t="s">
        <v>1487</v>
      </c>
      <c r="D77" s="106" t="s">
        <v>1488</v>
      </c>
      <c r="E77" s="106" t="s">
        <v>1489</v>
      </c>
      <c r="F77" s="106" t="s">
        <v>1490</v>
      </c>
      <c r="G77" s="106" t="s">
        <v>1006</v>
      </c>
      <c r="H77" s="106" t="s">
        <v>1491</v>
      </c>
      <c r="I77" s="106" t="s">
        <v>1492</v>
      </c>
      <c r="K77" s="106" t="s">
        <v>1493</v>
      </c>
      <c r="L77" s="106" t="s">
        <v>1494</v>
      </c>
      <c r="O77" s="106" t="s">
        <v>274</v>
      </c>
      <c r="P77" s="106" t="s">
        <v>1495</v>
      </c>
      <c r="Q77" s="106" t="s">
        <v>428</v>
      </c>
      <c r="S77" s="106" t="str" cm="1">
        <f t="array" ref="S77">IF(TRIM($D77)="","(tidak diisi)",IFERROR(INDEX(Kamus!$B$3:$B$28,MATCH(TRUE,ISNUMBER(SEARCH(Kamus!$A$3:$A$28,$D77)),0)),"Jabatan Lainnya"))</f>
        <v>Pejabat Struktural (Kasubbag/Kabag)</v>
      </c>
      <c r="T77" s="106" t="str" cm="1">
        <f t="array" ref="T77">IF(TRIM($I77)="","(tidak diisi)",IFERROR(INDEX(Kamus!$E$3:$E$162,MATCH(TRUE,ISNUMBER(SEARCH(Kamus!$D$3:$D$162,$I77)),0)),"Barang Lain / Tidak Terinci"))</f>
        <v>Pakaian &amp; Kain</v>
      </c>
      <c r="U77" s="106" t="str" cm="1">
        <f t="array" ref="U77">IF(TRIM($I77)="","(tidak diisi)",IFERROR(INDEX(Kamus!$H$3:$H$75,MATCH(TRUE,ISNUMBER(SEARCH(Kamus!$G$3:$G$75,$I77)),0)),"Pemberian Umum / Tanpa Konteks"))</f>
        <v>Pemberian Umum / Tanpa Konteks</v>
      </c>
      <c r="V77" s="106" t="str">
        <f t="shared" si="3"/>
        <v>2025</v>
      </c>
      <c r="W77" s="106" t="str" cm="1">
        <f t="array" ref="W77">IF(TRIM($K77)="","(tidak diisi)",IFERROR(INDEX(Kamus!$K$3:$K$118,MATCH(TRUE,ISNUMBER(SEARCH(Kamus!$J$3:$J$118,$K77)),0)),"Individu / Perorangan"))</f>
        <v>Individu / Perorangan</v>
      </c>
      <c r="X77" s="106" t="str">
        <f t="shared" si="4"/>
        <v>02</v>
      </c>
      <c r="Y77" s="106" t="str" cm="1">
        <f t="array" ref="Y77">IFERROR(INDEX(Kamus!$N$3:$N$111,MATCH(TRUE,ISNUMBER(SEARCH(Kamus!$M$3:$M$111,$I77)),0)),"")</f>
        <v/>
      </c>
      <c r="Z77" s="106" t="str">
        <f>IF(AND(OR($X77="02",$X77="03",$X77="04"),OR($T77="Parsel/Bingkisan (tidak dirinci)",$T77="Makanan &amp; Minuman",$T77="Peralatan Rumah Tangga / Pecah Belah",$T77="Pakaian &amp; Kain")),"Momen Hari Raya (dugaan musiman)",IFERROR(VLOOKUP($W77,Kamus!$P$3:$Q$14,2,FALSE),"Tidak Teridentifikasi"))</f>
        <v>Momen Hari Raya (dugaan musiman)</v>
      </c>
      <c r="AA77" s="106" t="str">
        <f t="shared" si="5"/>
        <v>Momen Hari Raya (dugaan musiman)</v>
      </c>
    </row>
    <row r="78" spans="1:27">
      <c r="A78" s="106">
        <v>77</v>
      </c>
      <c r="B78" s="106" t="s">
        <v>1496</v>
      </c>
      <c r="C78" s="107" t="s">
        <v>1497</v>
      </c>
      <c r="D78" s="106" t="s">
        <v>1498</v>
      </c>
      <c r="E78" s="106" t="s">
        <v>1166</v>
      </c>
      <c r="F78" s="106" t="s">
        <v>1499</v>
      </c>
      <c r="G78" s="106" t="s">
        <v>1006</v>
      </c>
      <c r="H78" s="106" t="s">
        <v>1483</v>
      </c>
      <c r="I78" s="106" t="s">
        <v>1465</v>
      </c>
      <c r="K78" s="106" t="s">
        <v>1500</v>
      </c>
      <c r="L78" s="106" t="s">
        <v>1501</v>
      </c>
      <c r="O78" s="106" t="s">
        <v>274</v>
      </c>
      <c r="P78" s="106" t="s">
        <v>1173</v>
      </c>
      <c r="Q78" s="106" t="s">
        <v>431</v>
      </c>
      <c r="S78" s="106" t="str" cm="1">
        <f t="array" ref="S78">IF(TRIM($D78)="","(tidak diisi)",IFERROR(INDEX(Kamus!$B$3:$B$28,MATCH(TRUE,ISNUMBER(SEARCH(Kamus!$A$3:$A$28,$D78)),0)),"Jabatan Lainnya"))</f>
        <v>Staf/Pegawai Pelaksana</v>
      </c>
      <c r="T78" s="106" t="str" cm="1">
        <f t="array" ref="T78">IF(TRIM($I78)="","(tidak diisi)",IFERROR(INDEX(Kamus!$E$3:$E$162,MATCH(TRUE,ISNUMBER(SEARCH(Kamus!$D$3:$D$162,$I78)),0)),"Barang Lain / Tidak Terinci"))</f>
        <v>Makanan &amp; Minuman</v>
      </c>
      <c r="U78" s="106" t="str" cm="1">
        <f t="array" ref="U78">IF(TRIM($I78)="","(tidak diisi)",IFERROR(INDEX(Kamus!$H$3:$H$75,MATCH(TRUE,ISNUMBER(SEARCH(Kamus!$G$3:$G$75,$I78)),0)),"Pemberian Umum / Tanpa Konteks"))</f>
        <v>Paket Sembako</v>
      </c>
      <c r="V78" s="106" t="str">
        <f t="shared" si="3"/>
        <v>2025</v>
      </c>
      <c r="W78" s="106" t="str" cm="1">
        <f t="array" ref="W78">IF(TRIM($K78)="","(tidak diisi)",IFERROR(INDEX(Kamus!$K$3:$K$118,MATCH(TRUE,ISNUMBER(SEARCH(Kamus!$J$3:$J$118,$K78)),0)),"Individu / Perorangan"))</f>
        <v>Individu / Perorangan</v>
      </c>
      <c r="X78" s="106" t="str">
        <f t="shared" si="4"/>
        <v>02</v>
      </c>
      <c r="Y78" s="106" t="str" cm="1">
        <f t="array" ref="Y78">IFERROR(INDEX(Kamus!$N$3:$N$111,MATCH(TRUE,ISNUMBER(SEARCH(Kamus!$M$3:$M$111,$I78)),0)),"")</f>
        <v>Kegiatan Sosial / Bantuan (Paket Sembako)</v>
      </c>
      <c r="Z78" s="106" t="str">
        <f>IF(AND(OR($X78="02",$X78="03",$X78="04"),OR($T78="Parsel/Bingkisan (tidak dirinci)",$T78="Makanan &amp; Minuman",$T78="Peralatan Rumah Tangga / Pecah Belah",$T78="Pakaian &amp; Kain")),"Momen Hari Raya (dugaan musiman)",IFERROR(VLOOKUP($W78,Kamus!$P$3:$Q$14,2,FALSE),"Tidak Teridentifikasi"))</f>
        <v>Momen Hari Raya (dugaan musiman)</v>
      </c>
      <c r="AA78" s="106" t="str">
        <f t="shared" si="5"/>
        <v>Kegiatan Sosial / Bantuan (Paket Sembako)</v>
      </c>
    </row>
    <row r="79" spans="1:27">
      <c r="A79" s="106">
        <v>78</v>
      </c>
      <c r="B79" s="106" t="s">
        <v>1460</v>
      </c>
      <c r="C79" s="107" t="s">
        <v>1461</v>
      </c>
      <c r="D79" s="106" t="s">
        <v>1462</v>
      </c>
      <c r="E79" s="106" t="s">
        <v>1166</v>
      </c>
      <c r="F79" s="106" t="s">
        <v>1502</v>
      </c>
      <c r="G79" s="106" t="s">
        <v>1006</v>
      </c>
      <c r="H79" s="106" t="s">
        <v>1483</v>
      </c>
      <c r="I79" s="106" t="s">
        <v>1457</v>
      </c>
      <c r="K79" s="106" t="s">
        <v>1503</v>
      </c>
      <c r="L79" s="106" t="s">
        <v>1504</v>
      </c>
      <c r="O79" s="106" t="s">
        <v>274</v>
      </c>
      <c r="P79" s="106" t="s">
        <v>1173</v>
      </c>
      <c r="Q79" s="106" t="s">
        <v>431</v>
      </c>
      <c r="S79" s="106" t="str" cm="1">
        <f t="array" ref="S79">IF(TRIM($D79)="","(tidak diisi)",IFERROR(INDEX(Kamus!$B$3:$B$28,MATCH(TRUE,ISNUMBER(SEARCH(Kamus!$A$3:$A$28,$D79)),0)),"Jabatan Lainnya"))</f>
        <v>Staf/Pegawai Pelaksana</v>
      </c>
      <c r="T79" s="106" t="str" cm="1">
        <f t="array" ref="T79">IF(TRIM($I79)="","(tidak diisi)",IFERROR(INDEX(Kamus!$E$3:$E$162,MATCH(TRUE,ISNUMBER(SEARCH(Kamus!$D$3:$D$162,$I79)),0)),"Barang Lain / Tidak Terinci"))</f>
        <v>Makanan &amp; Minuman</v>
      </c>
      <c r="U79" s="106" t="str" cm="1">
        <f t="array" ref="U79">IF(TRIM($I79)="","(tidak diisi)",IFERROR(INDEX(Kamus!$H$3:$H$75,MATCH(TRUE,ISNUMBER(SEARCH(Kamus!$G$3:$G$75,$I79)),0)),"Pemberian Umum / Tanpa Konteks"))</f>
        <v>Paket Sembako</v>
      </c>
      <c r="V79" s="106" t="str">
        <f t="shared" si="3"/>
        <v>2025</v>
      </c>
      <c r="W79" s="106" t="str" cm="1">
        <f t="array" ref="W79">IF(TRIM($K79)="","(tidak diisi)",IFERROR(INDEX(Kamus!$K$3:$K$118,MATCH(TRUE,ISNUMBER(SEARCH(Kamus!$J$3:$J$118,$K79)),0)),"Individu / Perorangan"))</f>
        <v>Bank &amp; Lembaga Keuangan</v>
      </c>
      <c r="X79" s="106" t="str">
        <f t="shared" si="4"/>
        <v>02</v>
      </c>
      <c r="Y79" s="106" t="str" cm="1">
        <f t="array" ref="Y79">IFERROR(INDEX(Kamus!$N$3:$N$111,MATCH(TRUE,ISNUMBER(SEARCH(Kamus!$M$3:$M$111,$I79)),0)),"")</f>
        <v>Kegiatan Sosial / Bantuan (Paket Sembako)</v>
      </c>
      <c r="Z79" s="106" t="str">
        <f>IF(AND(OR($X79="02",$X79="03",$X79="04"),OR($T79="Parsel/Bingkisan (tidak dirinci)",$T79="Makanan &amp; Minuman",$T79="Peralatan Rumah Tangga / Pecah Belah",$T79="Pakaian &amp; Kain")),"Momen Hari Raya (dugaan musiman)",IFERROR(VLOOKUP($W79,Kamus!$P$3:$Q$14,2,FALSE),"Tidak Teridentifikasi"))</f>
        <v>Momen Hari Raya (dugaan musiman)</v>
      </c>
      <c r="AA79" s="106" t="str">
        <f t="shared" si="5"/>
        <v>Kegiatan Sosial / Bantuan (Paket Sembako)</v>
      </c>
    </row>
    <row r="80" spans="1:27">
      <c r="A80" s="106">
        <v>79</v>
      </c>
      <c r="B80" s="106" t="s">
        <v>1505</v>
      </c>
      <c r="C80" s="107" t="s">
        <v>1506</v>
      </c>
      <c r="D80" s="106" t="s">
        <v>1507</v>
      </c>
      <c r="E80" s="106" t="s">
        <v>1166</v>
      </c>
      <c r="F80" s="106" t="s">
        <v>1508</v>
      </c>
      <c r="G80" s="106" t="s">
        <v>1006</v>
      </c>
      <c r="H80" s="106" t="s">
        <v>1483</v>
      </c>
      <c r="I80" s="106" t="s">
        <v>1457</v>
      </c>
      <c r="K80" s="106" t="s">
        <v>1503</v>
      </c>
      <c r="L80" s="106" t="s">
        <v>1509</v>
      </c>
      <c r="O80" s="106" t="s">
        <v>274</v>
      </c>
      <c r="P80" s="106" t="s">
        <v>1173</v>
      </c>
      <c r="Q80" s="106" t="s">
        <v>431</v>
      </c>
      <c r="S80" s="106" t="str" cm="1">
        <f t="array" ref="S80">IF(TRIM($D80)="","(tidak diisi)",IFERROR(INDEX(Kamus!$B$3:$B$28,MATCH(TRUE,ISNUMBER(SEARCH(Kamus!$A$3:$A$28,$D80)),0)),"Jabatan Lainnya"))</f>
        <v>Wakil Ketua Pengadilan</v>
      </c>
      <c r="T80" s="106" t="str" cm="1">
        <f t="array" ref="T80">IF(TRIM($I80)="","(tidak diisi)",IFERROR(INDEX(Kamus!$E$3:$E$162,MATCH(TRUE,ISNUMBER(SEARCH(Kamus!$D$3:$D$162,$I80)),0)),"Barang Lain / Tidak Terinci"))</f>
        <v>Makanan &amp; Minuman</v>
      </c>
      <c r="U80" s="106" t="str" cm="1">
        <f t="array" ref="U80">IF(TRIM($I80)="","(tidak diisi)",IFERROR(INDEX(Kamus!$H$3:$H$75,MATCH(TRUE,ISNUMBER(SEARCH(Kamus!$G$3:$G$75,$I80)),0)),"Pemberian Umum / Tanpa Konteks"))</f>
        <v>Paket Sembako</v>
      </c>
      <c r="V80" s="106" t="str">
        <f t="shared" si="3"/>
        <v>2025</v>
      </c>
      <c r="W80" s="106" t="str" cm="1">
        <f t="array" ref="W80">IF(TRIM($K80)="","(tidak diisi)",IFERROR(INDEX(Kamus!$K$3:$K$118,MATCH(TRUE,ISNUMBER(SEARCH(Kamus!$J$3:$J$118,$K80)),0)),"Individu / Perorangan"))</f>
        <v>Bank &amp; Lembaga Keuangan</v>
      </c>
      <c r="X80" s="106" t="str">
        <f t="shared" si="4"/>
        <v>02</v>
      </c>
      <c r="Y80" s="106" t="str" cm="1">
        <f t="array" ref="Y80">IFERROR(INDEX(Kamus!$N$3:$N$111,MATCH(TRUE,ISNUMBER(SEARCH(Kamus!$M$3:$M$111,$I80)),0)),"")</f>
        <v>Kegiatan Sosial / Bantuan (Paket Sembako)</v>
      </c>
      <c r="Z80" s="106" t="str">
        <f>IF(AND(OR($X80="02",$X80="03",$X80="04"),OR($T80="Parsel/Bingkisan (tidak dirinci)",$T80="Makanan &amp; Minuman",$T80="Peralatan Rumah Tangga / Pecah Belah",$T80="Pakaian &amp; Kain")),"Momen Hari Raya (dugaan musiman)",IFERROR(VLOOKUP($W80,Kamus!$P$3:$Q$14,2,FALSE),"Tidak Teridentifikasi"))</f>
        <v>Momen Hari Raya (dugaan musiman)</v>
      </c>
      <c r="AA80" s="106" t="str">
        <f t="shared" si="5"/>
        <v>Kegiatan Sosial / Bantuan (Paket Sembako)</v>
      </c>
    </row>
    <row r="81" spans="1:27">
      <c r="A81" s="106">
        <v>80</v>
      </c>
      <c r="B81" s="106" t="s">
        <v>1468</v>
      </c>
      <c r="C81" s="107" t="s">
        <v>1469</v>
      </c>
      <c r="D81" s="106" t="s">
        <v>1470</v>
      </c>
      <c r="E81" s="106" t="s">
        <v>1166</v>
      </c>
      <c r="F81" s="106" t="s">
        <v>1510</v>
      </c>
      <c r="G81" s="106" t="s">
        <v>1006</v>
      </c>
      <c r="H81" s="106" t="s">
        <v>1483</v>
      </c>
      <c r="I81" s="106" t="s">
        <v>1457</v>
      </c>
      <c r="K81" s="106" t="s">
        <v>1503</v>
      </c>
      <c r="L81" s="106" t="s">
        <v>1511</v>
      </c>
      <c r="O81" s="106" t="s">
        <v>274</v>
      </c>
      <c r="P81" s="106" t="s">
        <v>1173</v>
      </c>
      <c r="Q81" s="106" t="s">
        <v>431</v>
      </c>
      <c r="S81" s="106" t="str" cm="1">
        <f t="array" ref="S81">IF(TRIM($D81)="","(tidak diisi)",IFERROR(INDEX(Kamus!$B$3:$B$28,MATCH(TRUE,ISNUMBER(SEARCH(Kamus!$A$3:$A$28,$D81)),0)),"Jabatan Lainnya"))</f>
        <v>Panitera</v>
      </c>
      <c r="T81" s="106" t="str" cm="1">
        <f t="array" ref="T81">IF(TRIM($I81)="","(tidak diisi)",IFERROR(INDEX(Kamus!$E$3:$E$162,MATCH(TRUE,ISNUMBER(SEARCH(Kamus!$D$3:$D$162,$I81)),0)),"Barang Lain / Tidak Terinci"))</f>
        <v>Makanan &amp; Minuman</v>
      </c>
      <c r="U81" s="106" t="str" cm="1">
        <f t="array" ref="U81">IF(TRIM($I81)="","(tidak diisi)",IFERROR(INDEX(Kamus!$H$3:$H$75,MATCH(TRUE,ISNUMBER(SEARCH(Kamus!$G$3:$G$75,$I81)),0)),"Pemberian Umum / Tanpa Konteks"))</f>
        <v>Paket Sembako</v>
      </c>
      <c r="V81" s="106" t="str">
        <f t="shared" si="3"/>
        <v>2025</v>
      </c>
      <c r="W81" s="106" t="str" cm="1">
        <f t="array" ref="W81">IF(TRIM($K81)="","(tidak diisi)",IFERROR(INDEX(Kamus!$K$3:$K$118,MATCH(TRUE,ISNUMBER(SEARCH(Kamus!$J$3:$J$118,$K81)),0)),"Individu / Perorangan"))</f>
        <v>Bank &amp; Lembaga Keuangan</v>
      </c>
      <c r="X81" s="106" t="str">
        <f t="shared" si="4"/>
        <v>02</v>
      </c>
      <c r="Y81" s="106" t="str" cm="1">
        <f t="array" ref="Y81">IFERROR(INDEX(Kamus!$N$3:$N$111,MATCH(TRUE,ISNUMBER(SEARCH(Kamus!$M$3:$M$111,$I81)),0)),"")</f>
        <v>Kegiatan Sosial / Bantuan (Paket Sembako)</v>
      </c>
      <c r="Z81" s="106" t="str">
        <f>IF(AND(OR($X81="02",$X81="03",$X81="04"),OR($T81="Parsel/Bingkisan (tidak dirinci)",$T81="Makanan &amp; Minuman",$T81="Peralatan Rumah Tangga / Pecah Belah",$T81="Pakaian &amp; Kain")),"Momen Hari Raya (dugaan musiman)",IFERROR(VLOOKUP($W81,Kamus!$P$3:$Q$14,2,FALSE),"Tidak Teridentifikasi"))</f>
        <v>Momen Hari Raya (dugaan musiman)</v>
      </c>
      <c r="AA81" s="106" t="str">
        <f t="shared" si="5"/>
        <v>Kegiatan Sosial / Bantuan (Paket Sembako)</v>
      </c>
    </row>
    <row r="82" spans="1:27">
      <c r="A82" s="106">
        <v>81</v>
      </c>
      <c r="B82" s="106" t="s">
        <v>1512</v>
      </c>
      <c r="C82" s="107" t="s">
        <v>1513</v>
      </c>
      <c r="D82" s="106" t="s">
        <v>1160</v>
      </c>
      <c r="E82" s="106" t="s">
        <v>1166</v>
      </c>
      <c r="F82" s="106" t="s">
        <v>1514</v>
      </c>
      <c r="G82" s="106" t="s">
        <v>1006</v>
      </c>
      <c r="H82" s="106" t="s">
        <v>1483</v>
      </c>
      <c r="I82" s="106" t="s">
        <v>1457</v>
      </c>
      <c r="K82" s="106" t="s">
        <v>1503</v>
      </c>
      <c r="L82" s="106" t="s">
        <v>1515</v>
      </c>
      <c r="O82" s="106" t="s">
        <v>274</v>
      </c>
      <c r="P82" s="106" t="s">
        <v>1173</v>
      </c>
      <c r="Q82" s="106" t="s">
        <v>431</v>
      </c>
      <c r="S82" s="106" t="str" cm="1">
        <f t="array" ref="S82">IF(TRIM($D82)="","(tidak diisi)",IFERROR(INDEX(Kamus!$B$3:$B$28,MATCH(TRUE,ISNUMBER(SEARCH(Kamus!$A$3:$A$28,$D82)),0)),"Jabatan Lainnya"))</f>
        <v>Panitera</v>
      </c>
      <c r="T82" s="106" t="str" cm="1">
        <f t="array" ref="T82">IF(TRIM($I82)="","(tidak diisi)",IFERROR(INDEX(Kamus!$E$3:$E$162,MATCH(TRUE,ISNUMBER(SEARCH(Kamus!$D$3:$D$162,$I82)),0)),"Barang Lain / Tidak Terinci"))</f>
        <v>Makanan &amp; Minuman</v>
      </c>
      <c r="U82" s="106" t="str" cm="1">
        <f t="array" ref="U82">IF(TRIM($I82)="","(tidak diisi)",IFERROR(INDEX(Kamus!$H$3:$H$75,MATCH(TRUE,ISNUMBER(SEARCH(Kamus!$G$3:$G$75,$I82)),0)),"Pemberian Umum / Tanpa Konteks"))</f>
        <v>Paket Sembako</v>
      </c>
      <c r="V82" s="106" t="str">
        <f t="shared" si="3"/>
        <v>2025</v>
      </c>
      <c r="W82" s="106" t="str" cm="1">
        <f t="array" ref="W82">IF(TRIM($K82)="","(tidak diisi)",IFERROR(INDEX(Kamus!$K$3:$K$118,MATCH(TRUE,ISNUMBER(SEARCH(Kamus!$J$3:$J$118,$K82)),0)),"Individu / Perorangan"))</f>
        <v>Bank &amp; Lembaga Keuangan</v>
      </c>
      <c r="X82" s="106" t="str">
        <f t="shared" si="4"/>
        <v>02</v>
      </c>
      <c r="Y82" s="106" t="str" cm="1">
        <f t="array" ref="Y82">IFERROR(INDEX(Kamus!$N$3:$N$111,MATCH(TRUE,ISNUMBER(SEARCH(Kamus!$M$3:$M$111,$I82)),0)),"")</f>
        <v>Kegiatan Sosial / Bantuan (Paket Sembako)</v>
      </c>
      <c r="Z82" s="106" t="str">
        <f>IF(AND(OR($X82="02",$X82="03",$X82="04"),OR($T82="Parsel/Bingkisan (tidak dirinci)",$T82="Makanan &amp; Minuman",$T82="Peralatan Rumah Tangga / Pecah Belah",$T82="Pakaian &amp; Kain")),"Momen Hari Raya (dugaan musiman)",IFERROR(VLOOKUP($W82,Kamus!$P$3:$Q$14,2,FALSE),"Tidak Teridentifikasi"))</f>
        <v>Momen Hari Raya (dugaan musiman)</v>
      </c>
      <c r="AA82" s="106" t="str">
        <f t="shared" si="5"/>
        <v>Kegiatan Sosial / Bantuan (Paket Sembako)</v>
      </c>
    </row>
    <row r="83" spans="1:27">
      <c r="A83" s="106">
        <v>82</v>
      </c>
      <c r="B83" s="106" t="s">
        <v>1516</v>
      </c>
      <c r="C83" s="107" t="s">
        <v>1517</v>
      </c>
      <c r="D83" s="106" t="s">
        <v>1518</v>
      </c>
      <c r="E83" s="106" t="s">
        <v>1166</v>
      </c>
      <c r="F83" s="106" t="s">
        <v>1519</v>
      </c>
      <c r="G83" s="106" t="s">
        <v>1006</v>
      </c>
      <c r="H83" s="106" t="s">
        <v>1483</v>
      </c>
      <c r="I83" s="106" t="s">
        <v>1457</v>
      </c>
      <c r="K83" s="106" t="s">
        <v>1503</v>
      </c>
      <c r="L83" s="106" t="s">
        <v>1520</v>
      </c>
      <c r="O83" s="106" t="s">
        <v>274</v>
      </c>
      <c r="P83" s="106" t="s">
        <v>1173</v>
      </c>
      <c r="Q83" s="106" t="s">
        <v>431</v>
      </c>
      <c r="S83" s="106" t="str" cm="1">
        <f t="array" ref="S83">IF(TRIM($D83)="","(tidak diisi)",IFERROR(INDEX(Kamus!$B$3:$B$28,MATCH(TRUE,ISNUMBER(SEARCH(Kamus!$A$3:$A$28,$D83)),0)),"Jabatan Lainnya"))</f>
        <v>Pejabat Struktural (Kasubbag/Kabag)</v>
      </c>
      <c r="T83" s="106" t="str" cm="1">
        <f t="array" ref="T83">IF(TRIM($I83)="","(tidak diisi)",IFERROR(INDEX(Kamus!$E$3:$E$162,MATCH(TRUE,ISNUMBER(SEARCH(Kamus!$D$3:$D$162,$I83)),0)),"Barang Lain / Tidak Terinci"))</f>
        <v>Makanan &amp; Minuman</v>
      </c>
      <c r="U83" s="106" t="str" cm="1">
        <f t="array" ref="U83">IF(TRIM($I83)="","(tidak diisi)",IFERROR(INDEX(Kamus!$H$3:$H$75,MATCH(TRUE,ISNUMBER(SEARCH(Kamus!$G$3:$G$75,$I83)),0)),"Pemberian Umum / Tanpa Konteks"))</f>
        <v>Paket Sembako</v>
      </c>
      <c r="V83" s="106" t="str">
        <f t="shared" si="3"/>
        <v>2025</v>
      </c>
      <c r="W83" s="106" t="str" cm="1">
        <f t="array" ref="W83">IF(TRIM($K83)="","(tidak diisi)",IFERROR(INDEX(Kamus!$K$3:$K$118,MATCH(TRUE,ISNUMBER(SEARCH(Kamus!$J$3:$J$118,$K83)),0)),"Individu / Perorangan"))</f>
        <v>Bank &amp; Lembaga Keuangan</v>
      </c>
      <c r="X83" s="106" t="str">
        <f t="shared" si="4"/>
        <v>02</v>
      </c>
      <c r="Y83" s="106" t="str" cm="1">
        <f t="array" ref="Y83">IFERROR(INDEX(Kamus!$N$3:$N$111,MATCH(TRUE,ISNUMBER(SEARCH(Kamus!$M$3:$M$111,$I83)),0)),"")</f>
        <v>Kegiatan Sosial / Bantuan (Paket Sembako)</v>
      </c>
      <c r="Z83" s="106" t="str">
        <f>IF(AND(OR($X83="02",$X83="03",$X83="04"),OR($T83="Parsel/Bingkisan (tidak dirinci)",$T83="Makanan &amp; Minuman",$T83="Peralatan Rumah Tangga / Pecah Belah",$T83="Pakaian &amp; Kain")),"Momen Hari Raya (dugaan musiman)",IFERROR(VLOOKUP($W83,Kamus!$P$3:$Q$14,2,FALSE),"Tidak Teridentifikasi"))</f>
        <v>Momen Hari Raya (dugaan musiman)</v>
      </c>
      <c r="AA83" s="106" t="str">
        <f t="shared" si="5"/>
        <v>Kegiatan Sosial / Bantuan (Paket Sembako)</v>
      </c>
    </row>
    <row r="84" spans="1:27">
      <c r="A84" s="106">
        <v>83</v>
      </c>
      <c r="B84" s="106" t="s">
        <v>1521</v>
      </c>
      <c r="C84" s="107" t="s">
        <v>1522</v>
      </c>
      <c r="D84" s="106" t="s">
        <v>1523</v>
      </c>
      <c r="E84" s="106" t="s">
        <v>1166</v>
      </c>
      <c r="F84" s="106" t="s">
        <v>1524</v>
      </c>
      <c r="G84" s="106" t="s">
        <v>1006</v>
      </c>
      <c r="H84" s="106" t="s">
        <v>1483</v>
      </c>
      <c r="I84" s="106" t="s">
        <v>1457</v>
      </c>
      <c r="K84" s="106" t="s">
        <v>1503</v>
      </c>
      <c r="L84" s="106" t="s">
        <v>1525</v>
      </c>
      <c r="O84" s="106" t="s">
        <v>274</v>
      </c>
      <c r="P84" s="106" t="s">
        <v>1173</v>
      </c>
      <c r="Q84" s="106" t="s">
        <v>431</v>
      </c>
      <c r="S84" s="106" t="str" cm="1">
        <f t="array" ref="S84">IF(TRIM($D84)="","(tidak diisi)",IFERROR(INDEX(Kamus!$B$3:$B$28,MATCH(TRUE,ISNUMBER(SEARCH(Kamus!$A$3:$A$28,$D84)),0)),"Jabatan Lainnya"))</f>
        <v>Panitera</v>
      </c>
      <c r="T84" s="106" t="str" cm="1">
        <f t="array" ref="T84">IF(TRIM($I84)="","(tidak diisi)",IFERROR(INDEX(Kamus!$E$3:$E$162,MATCH(TRUE,ISNUMBER(SEARCH(Kamus!$D$3:$D$162,$I84)),0)),"Barang Lain / Tidak Terinci"))</f>
        <v>Makanan &amp; Minuman</v>
      </c>
      <c r="U84" s="106" t="str" cm="1">
        <f t="array" ref="U84">IF(TRIM($I84)="","(tidak diisi)",IFERROR(INDEX(Kamus!$H$3:$H$75,MATCH(TRUE,ISNUMBER(SEARCH(Kamus!$G$3:$G$75,$I84)),0)),"Pemberian Umum / Tanpa Konteks"))</f>
        <v>Paket Sembako</v>
      </c>
      <c r="V84" s="106" t="str">
        <f t="shared" si="3"/>
        <v>2025</v>
      </c>
      <c r="W84" s="106" t="str" cm="1">
        <f t="array" ref="W84">IF(TRIM($K84)="","(tidak diisi)",IFERROR(INDEX(Kamus!$K$3:$K$118,MATCH(TRUE,ISNUMBER(SEARCH(Kamus!$J$3:$J$118,$K84)),0)),"Individu / Perorangan"))</f>
        <v>Bank &amp; Lembaga Keuangan</v>
      </c>
      <c r="X84" s="106" t="str">
        <f t="shared" si="4"/>
        <v>02</v>
      </c>
      <c r="Y84" s="106" t="str" cm="1">
        <f t="array" ref="Y84">IFERROR(INDEX(Kamus!$N$3:$N$111,MATCH(TRUE,ISNUMBER(SEARCH(Kamus!$M$3:$M$111,$I84)),0)),"")</f>
        <v>Kegiatan Sosial / Bantuan (Paket Sembako)</v>
      </c>
      <c r="Z84" s="106" t="str">
        <f>IF(AND(OR($X84="02",$X84="03",$X84="04"),OR($T84="Parsel/Bingkisan (tidak dirinci)",$T84="Makanan &amp; Minuman",$T84="Peralatan Rumah Tangga / Pecah Belah",$T84="Pakaian &amp; Kain")),"Momen Hari Raya (dugaan musiman)",IFERROR(VLOOKUP($W84,Kamus!$P$3:$Q$14,2,FALSE),"Tidak Teridentifikasi"))</f>
        <v>Momen Hari Raya (dugaan musiman)</v>
      </c>
      <c r="AA84" s="106" t="str">
        <f t="shared" si="5"/>
        <v>Kegiatan Sosial / Bantuan (Paket Sembako)</v>
      </c>
    </row>
    <row r="85" spans="1:27">
      <c r="A85" s="106">
        <v>84</v>
      </c>
      <c r="B85" s="106" t="s">
        <v>1442</v>
      </c>
      <c r="C85" s="107" t="s">
        <v>1443</v>
      </c>
      <c r="D85" s="106" t="s">
        <v>1432</v>
      </c>
      <c r="E85" s="106" t="s">
        <v>1166</v>
      </c>
      <c r="F85" s="106" t="s">
        <v>1526</v>
      </c>
      <c r="G85" s="106" t="s">
        <v>1006</v>
      </c>
      <c r="H85" s="106" t="s">
        <v>1483</v>
      </c>
      <c r="I85" s="106" t="s">
        <v>1457</v>
      </c>
      <c r="K85" s="106" t="s">
        <v>1503</v>
      </c>
      <c r="L85" s="106" t="s">
        <v>1527</v>
      </c>
      <c r="O85" s="106" t="s">
        <v>274</v>
      </c>
      <c r="P85" s="106" t="s">
        <v>1173</v>
      </c>
      <c r="Q85" s="106" t="s">
        <v>431</v>
      </c>
      <c r="S85" s="106" t="str" cm="1">
        <f t="array" ref="S85">IF(TRIM($D85)="","(tidak diisi)",IFERROR(INDEX(Kamus!$B$3:$B$28,MATCH(TRUE,ISNUMBER(SEARCH(Kamus!$A$3:$A$28,$D85)),0)),"Jabatan Lainnya"))</f>
        <v>Hakim</v>
      </c>
      <c r="T85" s="106" t="str" cm="1">
        <f t="array" ref="T85">IF(TRIM($I85)="","(tidak diisi)",IFERROR(INDEX(Kamus!$E$3:$E$162,MATCH(TRUE,ISNUMBER(SEARCH(Kamus!$D$3:$D$162,$I85)),0)),"Barang Lain / Tidak Terinci"))</f>
        <v>Makanan &amp; Minuman</v>
      </c>
      <c r="U85" s="106" t="str" cm="1">
        <f t="array" ref="U85">IF(TRIM($I85)="","(tidak diisi)",IFERROR(INDEX(Kamus!$H$3:$H$75,MATCH(TRUE,ISNUMBER(SEARCH(Kamus!$G$3:$G$75,$I85)),0)),"Pemberian Umum / Tanpa Konteks"))</f>
        <v>Paket Sembako</v>
      </c>
      <c r="V85" s="106" t="str">
        <f t="shared" si="3"/>
        <v>2025</v>
      </c>
      <c r="W85" s="106" t="str" cm="1">
        <f t="array" ref="W85">IF(TRIM($K85)="","(tidak diisi)",IFERROR(INDEX(Kamus!$K$3:$K$118,MATCH(TRUE,ISNUMBER(SEARCH(Kamus!$J$3:$J$118,$K85)),0)),"Individu / Perorangan"))</f>
        <v>Bank &amp; Lembaga Keuangan</v>
      </c>
      <c r="X85" s="106" t="str">
        <f t="shared" si="4"/>
        <v>02</v>
      </c>
      <c r="Y85" s="106" t="str" cm="1">
        <f t="array" ref="Y85">IFERROR(INDEX(Kamus!$N$3:$N$111,MATCH(TRUE,ISNUMBER(SEARCH(Kamus!$M$3:$M$111,$I85)),0)),"")</f>
        <v>Kegiatan Sosial / Bantuan (Paket Sembako)</v>
      </c>
      <c r="Z85" s="106" t="str">
        <f>IF(AND(OR($X85="02",$X85="03",$X85="04"),OR($T85="Parsel/Bingkisan (tidak dirinci)",$T85="Makanan &amp; Minuman",$T85="Peralatan Rumah Tangga / Pecah Belah",$T85="Pakaian &amp; Kain")),"Momen Hari Raya (dugaan musiman)",IFERROR(VLOOKUP($W85,Kamus!$P$3:$Q$14,2,FALSE),"Tidak Teridentifikasi"))</f>
        <v>Momen Hari Raya (dugaan musiman)</v>
      </c>
      <c r="AA85" s="106" t="str">
        <f t="shared" si="5"/>
        <v>Kegiatan Sosial / Bantuan (Paket Sembako)</v>
      </c>
    </row>
    <row r="86" spans="1:27">
      <c r="A86" s="106">
        <v>85</v>
      </c>
      <c r="B86" s="106" t="s">
        <v>1528</v>
      </c>
      <c r="C86" s="107" t="s">
        <v>1529</v>
      </c>
      <c r="D86" s="106" t="s">
        <v>1208</v>
      </c>
      <c r="E86" s="106" t="s">
        <v>1166</v>
      </c>
      <c r="F86" s="106" t="s">
        <v>1530</v>
      </c>
      <c r="G86" s="106" t="s">
        <v>1006</v>
      </c>
      <c r="H86" s="106" t="s">
        <v>1483</v>
      </c>
      <c r="I86" s="106" t="s">
        <v>1457</v>
      </c>
      <c r="K86" s="106" t="s">
        <v>1503</v>
      </c>
      <c r="L86" s="106" t="s">
        <v>1531</v>
      </c>
      <c r="O86" s="106" t="s">
        <v>274</v>
      </c>
      <c r="P86" s="106" t="s">
        <v>1173</v>
      </c>
      <c r="Q86" s="106" t="s">
        <v>431</v>
      </c>
      <c r="S86" s="106" t="str" cm="1">
        <f t="array" ref="S86">IF(TRIM($D86)="","(tidak diisi)",IFERROR(INDEX(Kamus!$B$3:$B$28,MATCH(TRUE,ISNUMBER(SEARCH(Kamus!$A$3:$A$28,$D86)),0)),"Jabatan Lainnya"))</f>
        <v>Staf/Pegawai Pelaksana</v>
      </c>
      <c r="T86" s="106" t="str" cm="1">
        <f t="array" ref="T86">IF(TRIM($I86)="","(tidak diisi)",IFERROR(INDEX(Kamus!$E$3:$E$162,MATCH(TRUE,ISNUMBER(SEARCH(Kamus!$D$3:$D$162,$I86)),0)),"Barang Lain / Tidak Terinci"))</f>
        <v>Makanan &amp; Minuman</v>
      </c>
      <c r="U86" s="106" t="str" cm="1">
        <f t="array" ref="U86">IF(TRIM($I86)="","(tidak diisi)",IFERROR(INDEX(Kamus!$H$3:$H$75,MATCH(TRUE,ISNUMBER(SEARCH(Kamus!$G$3:$G$75,$I86)),0)),"Pemberian Umum / Tanpa Konteks"))</f>
        <v>Paket Sembako</v>
      </c>
      <c r="V86" s="106" t="str">
        <f t="shared" si="3"/>
        <v>2025</v>
      </c>
      <c r="W86" s="106" t="str" cm="1">
        <f t="array" ref="W86">IF(TRIM($K86)="","(tidak diisi)",IFERROR(INDEX(Kamus!$K$3:$K$118,MATCH(TRUE,ISNUMBER(SEARCH(Kamus!$J$3:$J$118,$K86)),0)),"Individu / Perorangan"))</f>
        <v>Bank &amp; Lembaga Keuangan</v>
      </c>
      <c r="X86" s="106" t="str">
        <f t="shared" si="4"/>
        <v>02</v>
      </c>
      <c r="Y86" s="106" t="str" cm="1">
        <f t="array" ref="Y86">IFERROR(INDEX(Kamus!$N$3:$N$111,MATCH(TRUE,ISNUMBER(SEARCH(Kamus!$M$3:$M$111,$I86)),0)),"")</f>
        <v>Kegiatan Sosial / Bantuan (Paket Sembako)</v>
      </c>
      <c r="Z86" s="106" t="str">
        <f>IF(AND(OR($X86="02",$X86="03",$X86="04"),OR($T86="Parsel/Bingkisan (tidak dirinci)",$T86="Makanan &amp; Minuman",$T86="Peralatan Rumah Tangga / Pecah Belah",$T86="Pakaian &amp; Kain")),"Momen Hari Raya (dugaan musiman)",IFERROR(VLOOKUP($W86,Kamus!$P$3:$Q$14,2,FALSE),"Tidak Teridentifikasi"))</f>
        <v>Momen Hari Raya (dugaan musiman)</v>
      </c>
      <c r="AA86" s="106" t="str">
        <f t="shared" si="5"/>
        <v>Kegiatan Sosial / Bantuan (Paket Sembako)</v>
      </c>
    </row>
    <row r="87" spans="1:27">
      <c r="A87" s="106">
        <v>86</v>
      </c>
      <c r="B87" s="106" t="s">
        <v>1532</v>
      </c>
      <c r="C87" s="107" t="s">
        <v>1533</v>
      </c>
      <c r="D87" s="106" t="s">
        <v>1534</v>
      </c>
      <c r="E87" s="106" t="s">
        <v>1166</v>
      </c>
      <c r="F87" s="106" t="s">
        <v>1535</v>
      </c>
      <c r="G87" s="106" t="s">
        <v>1006</v>
      </c>
      <c r="H87" s="106" t="s">
        <v>1434</v>
      </c>
      <c r="I87" s="106" t="s">
        <v>1536</v>
      </c>
      <c r="J87" s="106">
        <v>300000</v>
      </c>
      <c r="K87" s="106" t="s">
        <v>1537</v>
      </c>
      <c r="L87" s="106" t="s">
        <v>1538</v>
      </c>
      <c r="M87" s="106" t="s">
        <v>1039</v>
      </c>
      <c r="O87" s="106" t="s">
        <v>274</v>
      </c>
      <c r="P87" s="106" t="s">
        <v>1173</v>
      </c>
      <c r="Q87" s="106" t="s">
        <v>431</v>
      </c>
      <c r="S87" s="106" t="str" cm="1">
        <f t="array" ref="S87">IF(TRIM($D87)="","(tidak diisi)",IFERROR(INDEX(Kamus!$B$3:$B$28,MATCH(TRUE,ISNUMBER(SEARCH(Kamus!$A$3:$A$28,$D87)),0)),"Jabatan Lainnya"))</f>
        <v>Ketua Pengadilan</v>
      </c>
      <c r="T87" s="106" t="str" cm="1">
        <f t="array" ref="T87">IF(TRIM($I87)="","(tidak diisi)",IFERROR(INDEX(Kamus!$E$3:$E$162,MATCH(TRUE,ISNUMBER(SEARCH(Kamus!$D$3:$D$162,$I87)),0)),"Barang Lain / Tidak Terinci"))</f>
        <v>Buku &amp; Publikasi</v>
      </c>
      <c r="U87" s="106" t="str" cm="1">
        <f t="array" ref="U87">IF(TRIM($I87)="","(tidak diisi)",IFERROR(INDEX(Kamus!$H$3:$H$75,MATCH(TRUE,ISNUMBER(SEARCH(Kamus!$G$3:$G$75,$I87)),0)),"Pemberian Umum / Tanpa Konteks"))</f>
        <v>Pemberian Umum / Tanpa Konteks</v>
      </c>
      <c r="V87" s="106" t="str">
        <f t="shared" si="3"/>
        <v>2025</v>
      </c>
      <c r="W87" s="106" t="str" cm="1">
        <f t="array" ref="W87">IF(TRIM($K87)="","(tidak diisi)",IFERROR(INDEX(Kamus!$K$3:$K$118,MATCH(TRUE,ISNUMBER(SEARCH(Kamus!$J$3:$J$118,$K87)),0)),"Individu / Perorangan"))</f>
        <v>Individu / Perorangan</v>
      </c>
      <c r="X87" s="106" t="str">
        <f t="shared" si="4"/>
        <v>02</v>
      </c>
      <c r="Y87" s="106" t="str" cm="1">
        <f t="array" ref="Y87">IFERROR(INDEX(Kamus!$N$3:$N$111,MATCH(TRUE,ISNUMBER(SEARCH(Kamus!$M$3:$M$111,$I87)),0)),"")</f>
        <v/>
      </c>
      <c r="Z87" s="106" t="str">
        <f>IF(AND(OR($X87="02",$X87="03",$X87="04"),OR($T87="Parsel/Bingkisan (tidak dirinci)",$T87="Makanan &amp; Minuman",$T87="Peralatan Rumah Tangga / Pecah Belah",$T87="Pakaian &amp; Kain")),"Momen Hari Raya (dugaan musiman)",IFERROR(VLOOKUP($W87,Kamus!$P$3:$Q$14,2,FALSE),"Tidak Teridentifikasi"))</f>
        <v>Relasi Personal / Tidak Teridentifikasi</v>
      </c>
      <c r="AA87" s="106" t="str">
        <f t="shared" si="5"/>
        <v>Relasi Personal / Tidak Teridentifikasi</v>
      </c>
    </row>
    <row r="88" spans="1:27">
      <c r="A88" s="106">
        <v>87</v>
      </c>
      <c r="B88" s="106" t="s">
        <v>1532</v>
      </c>
      <c r="C88" s="107" t="s">
        <v>1533</v>
      </c>
      <c r="D88" s="106" t="s">
        <v>1534</v>
      </c>
      <c r="E88" s="106" t="s">
        <v>1166</v>
      </c>
      <c r="F88" s="106" t="s">
        <v>1539</v>
      </c>
      <c r="G88" s="106" t="s">
        <v>1006</v>
      </c>
      <c r="H88" s="106" t="s">
        <v>1483</v>
      </c>
      <c r="I88" s="106" t="s">
        <v>1017</v>
      </c>
      <c r="J88" s="106">
        <v>110000</v>
      </c>
      <c r="K88" s="106" t="s">
        <v>1540</v>
      </c>
      <c r="L88" s="106" t="s">
        <v>1541</v>
      </c>
      <c r="M88" s="106" t="s">
        <v>1110</v>
      </c>
      <c r="N88" s="106" t="s">
        <v>1542</v>
      </c>
      <c r="O88" s="106" t="s">
        <v>274</v>
      </c>
      <c r="P88" s="106" t="s">
        <v>1173</v>
      </c>
      <c r="Q88" s="106" t="s">
        <v>431</v>
      </c>
      <c r="S88" s="106" t="str" cm="1">
        <f t="array" ref="S88">IF(TRIM($D88)="","(tidak diisi)",IFERROR(INDEX(Kamus!$B$3:$B$28,MATCH(TRUE,ISNUMBER(SEARCH(Kamus!$A$3:$A$28,$D88)),0)),"Jabatan Lainnya"))</f>
        <v>Ketua Pengadilan</v>
      </c>
      <c r="T88" s="106" t="str" cm="1">
        <f t="array" ref="T88">IF(TRIM($I88)="","(tidak diisi)",IFERROR(INDEX(Kamus!$E$3:$E$162,MATCH(TRUE,ISNUMBER(SEARCH(Kamus!$D$3:$D$162,$I88)),0)),"Barang Lain / Tidak Terinci"))</f>
        <v>Uang &amp; Setara Uang</v>
      </c>
      <c r="U88" s="106" t="str" cm="1">
        <f t="array" ref="U88">IF(TRIM($I88)="","(tidak diisi)",IFERROR(INDEX(Kamus!$H$3:$H$75,MATCH(TRUE,ISNUMBER(SEARCH(Kamus!$G$3:$G$75,$I88)),0)),"Pemberian Umum / Tanpa Konteks"))</f>
        <v>Pemberian Uang Langsung</v>
      </c>
      <c r="V88" s="106" t="str">
        <f t="shared" si="3"/>
        <v>2025</v>
      </c>
      <c r="W88" s="106" t="str" cm="1">
        <f t="array" ref="W88">IF(TRIM($K88)="","(tidak diisi)",IFERROR(INDEX(Kamus!$K$3:$K$118,MATCH(TRUE,ISNUMBER(SEARCH(Kamus!$J$3:$J$118,$K88)),0)),"Individu / Perorangan"))</f>
        <v>Individu / Perorangan</v>
      </c>
      <c r="X88" s="106" t="str">
        <f t="shared" si="4"/>
        <v>02</v>
      </c>
      <c r="Y88" s="106" t="str" cm="1">
        <f t="array" ref="Y88">IFERROR(INDEX(Kamus!$N$3:$N$111,MATCH(TRUE,ISNUMBER(SEARCH(Kamus!$M$3:$M$111,$I88)),0)),"")</f>
        <v/>
      </c>
      <c r="Z88" s="106" t="str">
        <f>IF(AND(OR($X88="02",$X88="03",$X88="04"),OR($T88="Parsel/Bingkisan (tidak dirinci)",$T88="Makanan &amp; Minuman",$T88="Peralatan Rumah Tangga / Pecah Belah",$T88="Pakaian &amp; Kain")),"Momen Hari Raya (dugaan musiman)",IFERROR(VLOOKUP($W88,Kamus!$P$3:$Q$14,2,FALSE),"Tidak Teridentifikasi"))</f>
        <v>Relasi Personal / Tidak Teridentifikasi</v>
      </c>
      <c r="AA88" s="106" t="str">
        <f t="shared" si="5"/>
        <v>Relasi Personal / Tidak Teridentifikasi</v>
      </c>
    </row>
    <row r="89" spans="1:27">
      <c r="A89" s="106">
        <v>88</v>
      </c>
      <c r="B89" s="106" t="s">
        <v>1543</v>
      </c>
      <c r="C89" s="107" t="s">
        <v>1544</v>
      </c>
      <c r="D89" s="106" t="s">
        <v>1033</v>
      </c>
      <c r="E89" s="106" t="s">
        <v>1545</v>
      </c>
      <c r="F89" s="106" t="s">
        <v>1546</v>
      </c>
      <c r="G89" s="106" t="s">
        <v>1006</v>
      </c>
      <c r="H89" s="106" t="s">
        <v>1547</v>
      </c>
      <c r="I89" s="106" t="s">
        <v>1548</v>
      </c>
      <c r="J89" s="106">
        <v>400000</v>
      </c>
      <c r="K89" s="106" t="s">
        <v>1549</v>
      </c>
      <c r="L89" s="106" t="s">
        <v>1550</v>
      </c>
      <c r="M89" s="106" t="s">
        <v>1171</v>
      </c>
      <c r="N89" s="106" t="s">
        <v>1551</v>
      </c>
      <c r="O89" s="106" t="s">
        <v>274</v>
      </c>
      <c r="P89" s="106" t="s">
        <v>1552</v>
      </c>
      <c r="Q89" s="106" t="s">
        <v>423</v>
      </c>
      <c r="S89" s="106" t="str" cm="1">
        <f t="array" ref="S89">IF(TRIM($D89)="","(tidak diisi)",IFERROR(INDEX(Kamus!$B$3:$B$28,MATCH(TRUE,ISNUMBER(SEARCH(Kamus!$A$3:$A$28,$D89)),0)),"Jabatan Lainnya"))</f>
        <v>Hakim</v>
      </c>
      <c r="T89" s="106" t="str" cm="1">
        <f t="array" ref="T89">IF(TRIM($I89)="","(tidak diisi)",IFERROR(INDEX(Kamus!$E$3:$E$162,MATCH(TRUE,ISNUMBER(SEARCH(Kamus!$D$3:$D$162,$I89)),0)),"Barang Lain / Tidak Terinci"))</f>
        <v>Suvenir &amp; Merchandise</v>
      </c>
      <c r="U89" s="106" t="str" cm="1">
        <f t="array" ref="U89">IF(TRIM($I89)="","(tidak diisi)",IFERROR(INDEX(Kamus!$H$3:$H$75,MATCH(TRUE,ISNUMBER(SEARCH(Kamus!$G$3:$G$75,$I89)),0)),"Pemberian Umum / Tanpa Konteks"))</f>
        <v>Pemberian Umum / Tanpa Konteks</v>
      </c>
      <c r="V89" s="106" t="str">
        <f t="shared" si="3"/>
        <v>2025</v>
      </c>
      <c r="W89" s="106" t="str" cm="1">
        <f t="array" ref="W89">IF(TRIM($K89)="","(tidak diisi)",IFERROR(INDEX(Kamus!$K$3:$K$118,MATCH(TRUE,ISNUMBER(SEARCH(Kamus!$J$3:$J$118,$K89)),0)),"Individu / Perorangan"))</f>
        <v>Individu / Perorangan</v>
      </c>
      <c r="X89" s="106" t="str">
        <f t="shared" si="4"/>
        <v>03</v>
      </c>
      <c r="Y89" s="106" t="str" cm="1">
        <f t="array" ref="Y89">IFERROR(INDEX(Kamus!$N$3:$N$111,MATCH(TRUE,ISNUMBER(SEARCH(Kamus!$M$3:$M$111,$I89)),0)),"")</f>
        <v/>
      </c>
      <c r="Z89" s="106" t="str">
        <f>IF(AND(OR($X89="02",$X89="03",$X89="04"),OR($T89="Parsel/Bingkisan (tidak dirinci)",$T89="Makanan &amp; Minuman",$T89="Peralatan Rumah Tangga / Pecah Belah",$T89="Pakaian &amp; Kain")),"Momen Hari Raya (dugaan musiman)",IFERROR(VLOOKUP($W89,Kamus!$P$3:$Q$14,2,FALSE),"Tidak Teridentifikasi"))</f>
        <v>Relasi Personal / Tidak Teridentifikasi</v>
      </c>
      <c r="AA89" s="106" t="str">
        <f t="shared" si="5"/>
        <v>Relasi Personal / Tidak Teridentifikasi</v>
      </c>
    </row>
    <row r="90" spans="1:27">
      <c r="A90" s="106">
        <v>89</v>
      </c>
      <c r="B90" s="106" t="s">
        <v>1553</v>
      </c>
      <c r="C90" s="107" t="s">
        <v>1554</v>
      </c>
      <c r="D90" s="106" t="s">
        <v>1432</v>
      </c>
      <c r="E90" s="106" t="s">
        <v>1166</v>
      </c>
      <c r="F90" s="106" t="s">
        <v>1555</v>
      </c>
      <c r="G90" s="106" t="s">
        <v>1006</v>
      </c>
      <c r="H90" s="106" t="s">
        <v>1483</v>
      </c>
      <c r="I90" s="106" t="s">
        <v>1457</v>
      </c>
      <c r="K90" s="106" t="s">
        <v>1503</v>
      </c>
      <c r="L90" s="106" t="s">
        <v>1556</v>
      </c>
      <c r="O90" s="106" t="s">
        <v>274</v>
      </c>
      <c r="P90" s="106" t="s">
        <v>1173</v>
      </c>
      <c r="Q90" s="106" t="s">
        <v>431</v>
      </c>
      <c r="S90" s="106" t="str" cm="1">
        <f t="array" ref="S90">IF(TRIM($D90)="","(tidak diisi)",IFERROR(INDEX(Kamus!$B$3:$B$28,MATCH(TRUE,ISNUMBER(SEARCH(Kamus!$A$3:$A$28,$D90)),0)),"Jabatan Lainnya"))</f>
        <v>Hakim</v>
      </c>
      <c r="T90" s="106" t="str" cm="1">
        <f t="array" ref="T90">IF(TRIM($I90)="","(tidak diisi)",IFERROR(INDEX(Kamus!$E$3:$E$162,MATCH(TRUE,ISNUMBER(SEARCH(Kamus!$D$3:$D$162,$I90)),0)),"Barang Lain / Tidak Terinci"))</f>
        <v>Makanan &amp; Minuman</v>
      </c>
      <c r="U90" s="106" t="str" cm="1">
        <f t="array" ref="U90">IF(TRIM($I90)="","(tidak diisi)",IFERROR(INDEX(Kamus!$H$3:$H$75,MATCH(TRUE,ISNUMBER(SEARCH(Kamus!$G$3:$G$75,$I90)),0)),"Pemberian Umum / Tanpa Konteks"))</f>
        <v>Paket Sembako</v>
      </c>
      <c r="V90" s="106" t="str">
        <f t="shared" si="3"/>
        <v>2025</v>
      </c>
      <c r="W90" s="106" t="str" cm="1">
        <f t="array" ref="W90">IF(TRIM($K90)="","(tidak diisi)",IFERROR(INDEX(Kamus!$K$3:$K$118,MATCH(TRUE,ISNUMBER(SEARCH(Kamus!$J$3:$J$118,$K90)),0)),"Individu / Perorangan"))</f>
        <v>Bank &amp; Lembaga Keuangan</v>
      </c>
      <c r="X90" s="106" t="str">
        <f t="shared" si="4"/>
        <v>02</v>
      </c>
      <c r="Y90" s="106" t="str" cm="1">
        <f t="array" ref="Y90">IFERROR(INDEX(Kamus!$N$3:$N$111,MATCH(TRUE,ISNUMBER(SEARCH(Kamus!$M$3:$M$111,$I90)),0)),"")</f>
        <v>Kegiatan Sosial / Bantuan (Paket Sembako)</v>
      </c>
      <c r="Z90" s="106" t="str">
        <f>IF(AND(OR($X90="02",$X90="03",$X90="04"),OR($T90="Parsel/Bingkisan (tidak dirinci)",$T90="Makanan &amp; Minuman",$T90="Peralatan Rumah Tangga / Pecah Belah",$T90="Pakaian &amp; Kain")),"Momen Hari Raya (dugaan musiman)",IFERROR(VLOOKUP($W90,Kamus!$P$3:$Q$14,2,FALSE),"Tidak Teridentifikasi"))</f>
        <v>Momen Hari Raya (dugaan musiman)</v>
      </c>
      <c r="AA90" s="106" t="str">
        <f t="shared" si="5"/>
        <v>Kegiatan Sosial / Bantuan (Paket Sembako)</v>
      </c>
    </row>
    <row r="91" spans="1:27">
      <c r="A91" s="106">
        <v>90</v>
      </c>
      <c r="B91" s="106" t="s">
        <v>1557</v>
      </c>
      <c r="C91" s="107" t="s">
        <v>1558</v>
      </c>
      <c r="D91" s="106" t="s">
        <v>1559</v>
      </c>
      <c r="E91" s="106" t="s">
        <v>1166</v>
      </c>
      <c r="F91" s="106" t="s">
        <v>1560</v>
      </c>
      <c r="G91" s="106" t="s">
        <v>1006</v>
      </c>
      <c r="H91" s="106" t="s">
        <v>1483</v>
      </c>
      <c r="I91" s="106" t="s">
        <v>1457</v>
      </c>
      <c r="K91" s="106" t="s">
        <v>1503</v>
      </c>
      <c r="L91" s="106" t="s">
        <v>1561</v>
      </c>
      <c r="O91" s="106" t="s">
        <v>274</v>
      </c>
      <c r="P91" s="106" t="s">
        <v>1173</v>
      </c>
      <c r="Q91" s="106" t="s">
        <v>431</v>
      </c>
      <c r="S91" s="106" t="str" cm="1">
        <f t="array" ref="S91">IF(TRIM($D91)="","(tidak diisi)",IFERROR(INDEX(Kamus!$B$3:$B$28,MATCH(TRUE,ISNUMBER(SEARCH(Kamus!$A$3:$A$28,$D91)),0)),"Jabatan Lainnya"))</f>
        <v>Jurusita</v>
      </c>
      <c r="T91" s="106" t="str" cm="1">
        <f t="array" ref="T91">IF(TRIM($I91)="","(tidak diisi)",IFERROR(INDEX(Kamus!$E$3:$E$162,MATCH(TRUE,ISNUMBER(SEARCH(Kamus!$D$3:$D$162,$I91)),0)),"Barang Lain / Tidak Terinci"))</f>
        <v>Makanan &amp; Minuman</v>
      </c>
      <c r="U91" s="106" t="str" cm="1">
        <f t="array" ref="U91">IF(TRIM($I91)="","(tidak diisi)",IFERROR(INDEX(Kamus!$H$3:$H$75,MATCH(TRUE,ISNUMBER(SEARCH(Kamus!$G$3:$G$75,$I91)),0)),"Pemberian Umum / Tanpa Konteks"))</f>
        <v>Paket Sembako</v>
      </c>
      <c r="V91" s="106" t="str">
        <f t="shared" si="3"/>
        <v>2025</v>
      </c>
      <c r="W91" s="106" t="str" cm="1">
        <f t="array" ref="W91">IF(TRIM($K91)="","(tidak diisi)",IFERROR(INDEX(Kamus!$K$3:$K$118,MATCH(TRUE,ISNUMBER(SEARCH(Kamus!$J$3:$J$118,$K91)),0)),"Individu / Perorangan"))</f>
        <v>Bank &amp; Lembaga Keuangan</v>
      </c>
      <c r="X91" s="106" t="str">
        <f t="shared" si="4"/>
        <v>02</v>
      </c>
      <c r="Y91" s="106" t="str" cm="1">
        <f t="array" ref="Y91">IFERROR(INDEX(Kamus!$N$3:$N$111,MATCH(TRUE,ISNUMBER(SEARCH(Kamus!$M$3:$M$111,$I91)),0)),"")</f>
        <v>Kegiatan Sosial / Bantuan (Paket Sembako)</v>
      </c>
      <c r="Z91" s="106" t="str">
        <f>IF(AND(OR($X91="02",$X91="03",$X91="04"),OR($T91="Parsel/Bingkisan (tidak dirinci)",$T91="Makanan &amp; Minuman",$T91="Peralatan Rumah Tangga / Pecah Belah",$T91="Pakaian &amp; Kain")),"Momen Hari Raya (dugaan musiman)",IFERROR(VLOOKUP($W91,Kamus!$P$3:$Q$14,2,FALSE),"Tidak Teridentifikasi"))</f>
        <v>Momen Hari Raya (dugaan musiman)</v>
      </c>
      <c r="AA91" s="106" t="str">
        <f t="shared" si="5"/>
        <v>Kegiatan Sosial / Bantuan (Paket Sembako)</v>
      </c>
    </row>
    <row r="92" spans="1:27">
      <c r="A92" s="106">
        <v>91</v>
      </c>
      <c r="B92" s="106" t="s">
        <v>1562</v>
      </c>
      <c r="C92" s="107" t="s">
        <v>1563</v>
      </c>
      <c r="D92" s="106" t="s">
        <v>1564</v>
      </c>
      <c r="E92" s="106" t="s">
        <v>1166</v>
      </c>
      <c r="F92" s="106" t="s">
        <v>1565</v>
      </c>
      <c r="G92" s="106" t="s">
        <v>1006</v>
      </c>
      <c r="H92" s="106" t="s">
        <v>1483</v>
      </c>
      <c r="I92" s="106" t="s">
        <v>1457</v>
      </c>
      <c r="K92" s="106" t="s">
        <v>1503</v>
      </c>
      <c r="L92" s="106" t="s">
        <v>1566</v>
      </c>
      <c r="O92" s="106" t="s">
        <v>274</v>
      </c>
      <c r="P92" s="106" t="s">
        <v>1173</v>
      </c>
      <c r="Q92" s="106" t="s">
        <v>431</v>
      </c>
      <c r="S92" s="106" t="str" cm="1">
        <f t="array" ref="S92">IF(TRIM($D92)="","(tidak diisi)",IFERROR(INDEX(Kamus!$B$3:$B$28,MATCH(TRUE,ISNUMBER(SEARCH(Kamus!$A$3:$A$28,$D92)),0)),"Jabatan Lainnya"))</f>
        <v>Pejabat Struktural (Kasubbag/Kabag)</v>
      </c>
      <c r="T92" s="106" t="str" cm="1">
        <f t="array" ref="T92">IF(TRIM($I92)="","(tidak diisi)",IFERROR(INDEX(Kamus!$E$3:$E$162,MATCH(TRUE,ISNUMBER(SEARCH(Kamus!$D$3:$D$162,$I92)),0)),"Barang Lain / Tidak Terinci"))</f>
        <v>Makanan &amp; Minuman</v>
      </c>
      <c r="U92" s="106" t="str" cm="1">
        <f t="array" ref="U92">IF(TRIM($I92)="","(tidak diisi)",IFERROR(INDEX(Kamus!$H$3:$H$75,MATCH(TRUE,ISNUMBER(SEARCH(Kamus!$G$3:$G$75,$I92)),0)),"Pemberian Umum / Tanpa Konteks"))</f>
        <v>Paket Sembako</v>
      </c>
      <c r="V92" s="106" t="str">
        <f t="shared" si="3"/>
        <v>2025</v>
      </c>
      <c r="W92" s="106" t="str" cm="1">
        <f t="array" ref="W92">IF(TRIM($K92)="","(tidak diisi)",IFERROR(INDEX(Kamus!$K$3:$K$118,MATCH(TRUE,ISNUMBER(SEARCH(Kamus!$J$3:$J$118,$K92)),0)),"Individu / Perorangan"))</f>
        <v>Bank &amp; Lembaga Keuangan</v>
      </c>
      <c r="X92" s="106" t="str">
        <f t="shared" si="4"/>
        <v>02</v>
      </c>
      <c r="Y92" s="106" t="str" cm="1">
        <f t="array" ref="Y92">IFERROR(INDEX(Kamus!$N$3:$N$111,MATCH(TRUE,ISNUMBER(SEARCH(Kamus!$M$3:$M$111,$I92)),0)),"")</f>
        <v>Kegiatan Sosial / Bantuan (Paket Sembako)</v>
      </c>
      <c r="Z92" s="106" t="str">
        <f>IF(AND(OR($X92="02",$X92="03",$X92="04"),OR($T92="Parsel/Bingkisan (tidak dirinci)",$T92="Makanan &amp; Minuman",$T92="Peralatan Rumah Tangga / Pecah Belah",$T92="Pakaian &amp; Kain")),"Momen Hari Raya (dugaan musiman)",IFERROR(VLOOKUP($W92,Kamus!$P$3:$Q$14,2,FALSE),"Tidak Teridentifikasi"))</f>
        <v>Momen Hari Raya (dugaan musiman)</v>
      </c>
      <c r="AA92" s="106" t="str">
        <f t="shared" si="5"/>
        <v>Kegiatan Sosial / Bantuan (Paket Sembako)</v>
      </c>
    </row>
    <row r="93" spans="1:27">
      <c r="A93" s="106">
        <v>92</v>
      </c>
      <c r="B93" s="106" t="s">
        <v>1474</v>
      </c>
      <c r="C93" s="107" t="s">
        <v>1475</v>
      </c>
      <c r="D93" s="106" t="s">
        <v>1013</v>
      </c>
      <c r="E93" s="106" t="s">
        <v>1166</v>
      </c>
      <c r="F93" s="106" t="s">
        <v>1567</v>
      </c>
      <c r="G93" s="106" t="s">
        <v>1006</v>
      </c>
      <c r="H93" s="106" t="s">
        <v>1483</v>
      </c>
      <c r="I93" s="106" t="s">
        <v>1457</v>
      </c>
      <c r="K93" s="106" t="s">
        <v>1503</v>
      </c>
      <c r="L93" s="106" t="s">
        <v>1568</v>
      </c>
      <c r="O93" s="106" t="s">
        <v>274</v>
      </c>
      <c r="P93" s="106" t="s">
        <v>1173</v>
      </c>
      <c r="Q93" s="106" t="s">
        <v>431</v>
      </c>
      <c r="S93" s="106" t="str" cm="1">
        <f t="array" ref="S93">IF(TRIM($D93)="","(tidak diisi)",IFERROR(INDEX(Kamus!$B$3:$B$28,MATCH(TRUE,ISNUMBER(SEARCH(Kamus!$A$3:$A$28,$D93)),0)),"Jabatan Lainnya"))</f>
        <v>Panitera</v>
      </c>
      <c r="T93" s="106" t="str" cm="1">
        <f t="array" ref="T93">IF(TRIM($I93)="","(tidak diisi)",IFERROR(INDEX(Kamus!$E$3:$E$162,MATCH(TRUE,ISNUMBER(SEARCH(Kamus!$D$3:$D$162,$I93)),0)),"Barang Lain / Tidak Terinci"))</f>
        <v>Makanan &amp; Minuman</v>
      </c>
      <c r="U93" s="106" t="str" cm="1">
        <f t="array" ref="U93">IF(TRIM($I93)="","(tidak diisi)",IFERROR(INDEX(Kamus!$H$3:$H$75,MATCH(TRUE,ISNUMBER(SEARCH(Kamus!$G$3:$G$75,$I93)),0)),"Pemberian Umum / Tanpa Konteks"))</f>
        <v>Paket Sembako</v>
      </c>
      <c r="V93" s="106" t="str">
        <f t="shared" si="3"/>
        <v>2025</v>
      </c>
      <c r="W93" s="106" t="str" cm="1">
        <f t="array" ref="W93">IF(TRIM($K93)="","(tidak diisi)",IFERROR(INDEX(Kamus!$K$3:$K$118,MATCH(TRUE,ISNUMBER(SEARCH(Kamus!$J$3:$J$118,$K93)),0)),"Individu / Perorangan"))</f>
        <v>Bank &amp; Lembaga Keuangan</v>
      </c>
      <c r="X93" s="106" t="str">
        <f t="shared" si="4"/>
        <v>02</v>
      </c>
      <c r="Y93" s="106" t="str" cm="1">
        <f t="array" ref="Y93">IFERROR(INDEX(Kamus!$N$3:$N$111,MATCH(TRUE,ISNUMBER(SEARCH(Kamus!$M$3:$M$111,$I93)),0)),"")</f>
        <v>Kegiatan Sosial / Bantuan (Paket Sembako)</v>
      </c>
      <c r="Z93" s="106" t="str">
        <f>IF(AND(OR($X93="02",$X93="03",$X93="04"),OR($T93="Parsel/Bingkisan (tidak dirinci)",$T93="Makanan &amp; Minuman",$T93="Peralatan Rumah Tangga / Pecah Belah",$T93="Pakaian &amp; Kain")),"Momen Hari Raya (dugaan musiman)",IFERROR(VLOOKUP($W93,Kamus!$P$3:$Q$14,2,FALSE),"Tidak Teridentifikasi"))</f>
        <v>Momen Hari Raya (dugaan musiman)</v>
      </c>
      <c r="AA93" s="106" t="str">
        <f t="shared" si="5"/>
        <v>Kegiatan Sosial / Bantuan (Paket Sembako)</v>
      </c>
    </row>
    <row r="94" spans="1:27">
      <c r="A94" s="106">
        <v>93</v>
      </c>
      <c r="B94" s="106" t="s">
        <v>1569</v>
      </c>
      <c r="C94" s="107" t="s">
        <v>1570</v>
      </c>
      <c r="D94" s="106" t="s">
        <v>1571</v>
      </c>
      <c r="E94" s="106" t="s">
        <v>1166</v>
      </c>
      <c r="F94" s="106" t="s">
        <v>1572</v>
      </c>
      <c r="G94" s="106" t="s">
        <v>1006</v>
      </c>
      <c r="H94" s="106" t="s">
        <v>1483</v>
      </c>
      <c r="I94" s="106" t="s">
        <v>1457</v>
      </c>
      <c r="K94" s="106" t="s">
        <v>1503</v>
      </c>
      <c r="L94" s="106" t="s">
        <v>1573</v>
      </c>
      <c r="O94" s="106" t="s">
        <v>274</v>
      </c>
      <c r="P94" s="106" t="s">
        <v>1173</v>
      </c>
      <c r="Q94" s="106" t="s">
        <v>431</v>
      </c>
      <c r="S94" s="106" t="str" cm="1">
        <f t="array" ref="S94">IF(TRIM($D94)="","(tidak diisi)",IFERROR(INDEX(Kamus!$B$3:$B$28,MATCH(TRUE,ISNUMBER(SEARCH(Kamus!$A$3:$A$28,$D94)),0)),"Jabatan Lainnya"))</f>
        <v>Panitera</v>
      </c>
      <c r="T94" s="106" t="str" cm="1">
        <f t="array" ref="T94">IF(TRIM($I94)="","(tidak diisi)",IFERROR(INDEX(Kamus!$E$3:$E$162,MATCH(TRUE,ISNUMBER(SEARCH(Kamus!$D$3:$D$162,$I94)),0)),"Barang Lain / Tidak Terinci"))</f>
        <v>Makanan &amp; Minuman</v>
      </c>
      <c r="U94" s="106" t="str" cm="1">
        <f t="array" ref="U94">IF(TRIM($I94)="","(tidak diisi)",IFERROR(INDEX(Kamus!$H$3:$H$75,MATCH(TRUE,ISNUMBER(SEARCH(Kamus!$G$3:$G$75,$I94)),0)),"Pemberian Umum / Tanpa Konteks"))</f>
        <v>Paket Sembako</v>
      </c>
      <c r="V94" s="106" t="str">
        <f t="shared" si="3"/>
        <v>2025</v>
      </c>
      <c r="W94" s="106" t="str" cm="1">
        <f t="array" ref="W94">IF(TRIM($K94)="","(tidak diisi)",IFERROR(INDEX(Kamus!$K$3:$K$118,MATCH(TRUE,ISNUMBER(SEARCH(Kamus!$J$3:$J$118,$K94)),0)),"Individu / Perorangan"))</f>
        <v>Bank &amp; Lembaga Keuangan</v>
      </c>
      <c r="X94" s="106" t="str">
        <f t="shared" si="4"/>
        <v>02</v>
      </c>
      <c r="Y94" s="106" t="str" cm="1">
        <f t="array" ref="Y94">IFERROR(INDEX(Kamus!$N$3:$N$111,MATCH(TRUE,ISNUMBER(SEARCH(Kamus!$M$3:$M$111,$I94)),0)),"")</f>
        <v>Kegiatan Sosial / Bantuan (Paket Sembako)</v>
      </c>
      <c r="Z94" s="106" t="str">
        <f>IF(AND(OR($X94="02",$X94="03",$X94="04"),OR($T94="Parsel/Bingkisan (tidak dirinci)",$T94="Makanan &amp; Minuman",$T94="Peralatan Rumah Tangga / Pecah Belah",$T94="Pakaian &amp; Kain")),"Momen Hari Raya (dugaan musiman)",IFERROR(VLOOKUP($W94,Kamus!$P$3:$Q$14,2,FALSE),"Tidak Teridentifikasi"))</f>
        <v>Momen Hari Raya (dugaan musiman)</v>
      </c>
      <c r="AA94" s="106" t="str">
        <f t="shared" si="5"/>
        <v>Kegiatan Sosial / Bantuan (Paket Sembako)</v>
      </c>
    </row>
    <row r="95" spans="1:27">
      <c r="A95" s="106">
        <v>94</v>
      </c>
      <c r="B95" s="106" t="s">
        <v>1278</v>
      </c>
      <c r="C95" s="107" t="s">
        <v>1279</v>
      </c>
      <c r="D95" s="106" t="s">
        <v>1024</v>
      </c>
      <c r="E95" s="106" t="s">
        <v>1280</v>
      </c>
      <c r="F95" s="106" t="s">
        <v>1574</v>
      </c>
      <c r="G95" s="106" t="s">
        <v>1006</v>
      </c>
      <c r="H95" s="106" t="s">
        <v>1547</v>
      </c>
      <c r="I95" s="106" t="s">
        <v>1575</v>
      </c>
      <c r="K95" s="106" t="s">
        <v>1576</v>
      </c>
      <c r="L95" s="106" t="s">
        <v>1577</v>
      </c>
      <c r="O95" s="106" t="s">
        <v>274</v>
      </c>
      <c r="P95" s="106" t="s">
        <v>1284</v>
      </c>
      <c r="Q95" s="106" t="s">
        <v>428</v>
      </c>
      <c r="S95" s="106" t="str" cm="1">
        <f t="array" ref="S95">IF(TRIM($D95)="","(tidak diisi)",IFERROR(INDEX(Kamus!$B$3:$B$28,MATCH(TRUE,ISNUMBER(SEARCH(Kamus!$A$3:$A$28,$D95)),0)),"Jabatan Lainnya"))</f>
        <v>Sekretaris</v>
      </c>
      <c r="T95" s="106" t="str" cm="1">
        <f t="array" ref="T95">IF(TRIM($I95)="","(tidak diisi)",IFERROR(INDEX(Kamus!$E$3:$E$162,MATCH(TRUE,ISNUMBER(SEARCH(Kamus!$D$3:$D$162,$I95)),0)),"Barang Lain / Tidak Terinci"))</f>
        <v>Makanan &amp; Minuman</v>
      </c>
      <c r="U95" s="106" t="str" cm="1">
        <f t="array" ref="U95">IF(TRIM($I95)="","(tidak diisi)",IFERROR(INDEX(Kamus!$H$3:$H$75,MATCH(TRUE,ISNUMBER(SEARCH(Kamus!$G$3:$G$75,$I95)),0)),"Pemberian Umum / Tanpa Konteks"))</f>
        <v>Pemberian Umum / Tanpa Konteks</v>
      </c>
      <c r="V95" s="106" t="str">
        <f t="shared" si="3"/>
        <v>2025</v>
      </c>
      <c r="W95" s="106" t="str" cm="1">
        <f t="array" ref="W95">IF(TRIM($K95)="","(tidak diisi)",IFERROR(INDEX(Kamus!$K$3:$K$118,MATCH(TRUE,ISNUMBER(SEARCH(Kamus!$J$3:$J$118,$K95)),0)),"Individu / Perorangan"))</f>
        <v>Kampus &amp; Sekolah</v>
      </c>
      <c r="X95" s="106" t="str">
        <f t="shared" si="4"/>
        <v>03</v>
      </c>
      <c r="Y95" s="106" t="str" cm="1">
        <f t="array" ref="Y95">IFERROR(INDEX(Kamus!$N$3:$N$111,MATCH(TRUE,ISNUMBER(SEARCH(Kamus!$M$3:$M$111,$I95)),0)),"")</f>
        <v/>
      </c>
      <c r="Z95" s="106" t="str">
        <f>IF(AND(OR($X95="02",$X95="03",$X95="04"),OR($T95="Parsel/Bingkisan (tidak dirinci)",$T95="Makanan &amp; Minuman",$T95="Peralatan Rumah Tangga / Pecah Belah",$T95="Pakaian &amp; Kain")),"Momen Hari Raya (dugaan musiman)",IFERROR(VLOOKUP($W95,Kamus!$P$3:$Q$14,2,FALSE),"Tidak Teridentifikasi"))</f>
        <v>Momen Hari Raya (dugaan musiman)</v>
      </c>
      <c r="AA95" s="106" t="str">
        <f t="shared" si="5"/>
        <v>Momen Hari Raya (dugaan musiman)</v>
      </c>
    </row>
    <row r="96" spans="1:27">
      <c r="A96" s="106">
        <v>95</v>
      </c>
      <c r="B96" s="106" t="s">
        <v>1578</v>
      </c>
      <c r="C96" s="107" t="s">
        <v>1579</v>
      </c>
      <c r="D96" s="106" t="s">
        <v>1571</v>
      </c>
      <c r="E96" s="106" t="s">
        <v>1166</v>
      </c>
      <c r="F96" s="106" t="s">
        <v>1580</v>
      </c>
      <c r="G96" s="106" t="s">
        <v>1006</v>
      </c>
      <c r="H96" s="106" t="s">
        <v>1483</v>
      </c>
      <c r="I96" s="106" t="s">
        <v>1457</v>
      </c>
      <c r="K96" s="106" t="s">
        <v>1503</v>
      </c>
      <c r="L96" s="106" t="s">
        <v>1581</v>
      </c>
      <c r="O96" s="106" t="s">
        <v>274</v>
      </c>
      <c r="P96" s="106" t="s">
        <v>1173</v>
      </c>
      <c r="Q96" s="106" t="s">
        <v>431</v>
      </c>
      <c r="S96" s="106" t="str" cm="1">
        <f t="array" ref="S96">IF(TRIM($D96)="","(tidak diisi)",IFERROR(INDEX(Kamus!$B$3:$B$28,MATCH(TRUE,ISNUMBER(SEARCH(Kamus!$A$3:$A$28,$D96)),0)),"Jabatan Lainnya"))</f>
        <v>Panitera</v>
      </c>
      <c r="T96" s="106" t="str" cm="1">
        <f t="array" ref="T96">IF(TRIM($I96)="","(tidak diisi)",IFERROR(INDEX(Kamus!$E$3:$E$162,MATCH(TRUE,ISNUMBER(SEARCH(Kamus!$D$3:$D$162,$I96)),0)),"Barang Lain / Tidak Terinci"))</f>
        <v>Makanan &amp; Minuman</v>
      </c>
      <c r="U96" s="106" t="str" cm="1">
        <f t="array" ref="U96">IF(TRIM($I96)="","(tidak diisi)",IFERROR(INDEX(Kamus!$H$3:$H$75,MATCH(TRUE,ISNUMBER(SEARCH(Kamus!$G$3:$G$75,$I96)),0)),"Pemberian Umum / Tanpa Konteks"))</f>
        <v>Paket Sembako</v>
      </c>
      <c r="V96" s="106" t="str">
        <f t="shared" si="3"/>
        <v>2025</v>
      </c>
      <c r="W96" s="106" t="str" cm="1">
        <f t="array" ref="W96">IF(TRIM($K96)="","(tidak diisi)",IFERROR(INDEX(Kamus!$K$3:$K$118,MATCH(TRUE,ISNUMBER(SEARCH(Kamus!$J$3:$J$118,$K96)),0)),"Individu / Perorangan"))</f>
        <v>Bank &amp; Lembaga Keuangan</v>
      </c>
      <c r="X96" s="106" t="str">
        <f t="shared" si="4"/>
        <v>02</v>
      </c>
      <c r="Y96" s="106" t="str" cm="1">
        <f t="array" ref="Y96">IFERROR(INDEX(Kamus!$N$3:$N$111,MATCH(TRUE,ISNUMBER(SEARCH(Kamus!$M$3:$M$111,$I96)),0)),"")</f>
        <v>Kegiatan Sosial / Bantuan (Paket Sembako)</v>
      </c>
      <c r="Z96" s="106" t="str">
        <f>IF(AND(OR($X96="02",$X96="03",$X96="04"),OR($T96="Parsel/Bingkisan (tidak dirinci)",$T96="Makanan &amp; Minuman",$T96="Peralatan Rumah Tangga / Pecah Belah",$T96="Pakaian &amp; Kain")),"Momen Hari Raya (dugaan musiman)",IFERROR(VLOOKUP($W96,Kamus!$P$3:$Q$14,2,FALSE),"Tidak Teridentifikasi"))</f>
        <v>Momen Hari Raya (dugaan musiman)</v>
      </c>
      <c r="AA96" s="106" t="str">
        <f t="shared" si="5"/>
        <v>Kegiatan Sosial / Bantuan (Paket Sembako)</v>
      </c>
    </row>
    <row r="97" spans="1:27">
      <c r="A97" s="106">
        <v>96</v>
      </c>
      <c r="B97" s="106" t="s">
        <v>1002</v>
      </c>
      <c r="C97" s="107" t="s">
        <v>1003</v>
      </c>
      <c r="D97" s="106" t="s">
        <v>1004</v>
      </c>
      <c r="E97" s="106" t="s">
        <v>1005</v>
      </c>
      <c r="F97" s="106" t="s">
        <v>1582</v>
      </c>
      <c r="G97" s="106" t="s">
        <v>1006</v>
      </c>
      <c r="H97" s="106" t="s">
        <v>1338</v>
      </c>
      <c r="I97" s="106" t="s">
        <v>1583</v>
      </c>
      <c r="J97" s="106">
        <v>7998000</v>
      </c>
      <c r="K97" s="106" t="s">
        <v>1584</v>
      </c>
      <c r="L97" s="106" t="s">
        <v>1585</v>
      </c>
      <c r="M97" s="106" t="s">
        <v>1171</v>
      </c>
      <c r="N97" s="106" t="s">
        <v>1586</v>
      </c>
      <c r="O97" s="106" t="s">
        <v>274</v>
      </c>
      <c r="S97" s="106" t="str" cm="1">
        <f t="array" ref="S97">IF(TRIM($D97)="","(tidak diisi)",IFERROR(INDEX(Kamus!$B$3:$B$28,MATCH(TRUE,ISNUMBER(SEARCH(Kamus!$A$3:$A$28,$D97)),0)),"Jabatan Lainnya"))</f>
        <v>Sekretaris</v>
      </c>
      <c r="T97" s="106" t="str" cm="1">
        <f t="array" ref="T97">IF(TRIM($I97)="","(tidak diisi)",IFERROR(INDEX(Kamus!$E$3:$E$162,MATCH(TRUE,ISNUMBER(SEARCH(Kamus!$D$3:$D$162,$I97)),0)),"Barang Lain / Tidak Terinci"))</f>
        <v>Elektronik &amp; Gadget</v>
      </c>
      <c r="U97" s="106" t="str" cm="1">
        <f t="array" ref="U97">IF(TRIM($I97)="","(tidak diisi)",IFERROR(INDEX(Kamus!$H$3:$H$75,MATCH(TRUE,ISNUMBER(SEARCH(Kamus!$G$3:$G$75,$I97)),0)),"Pemberian Umum / Tanpa Konteks"))</f>
        <v>Pemberian Umum / Tanpa Konteks</v>
      </c>
      <c r="V97" s="106" t="str">
        <f t="shared" si="3"/>
        <v>2025</v>
      </c>
      <c r="W97" s="106" t="str" cm="1">
        <f t="array" ref="W97">IF(TRIM($K97)="","(tidak diisi)",IFERROR(INDEX(Kamus!$K$3:$K$118,MATCH(TRUE,ISNUMBER(SEARCH(Kamus!$J$3:$J$118,$K97)),0)),"Individu / Perorangan"))</f>
        <v>Individu / Perorangan</v>
      </c>
      <c r="X97" s="106" t="str">
        <f t="shared" si="4"/>
        <v>02</v>
      </c>
      <c r="Y97" s="106" t="str" cm="1">
        <f t="array" ref="Y97">IFERROR(INDEX(Kamus!$N$3:$N$111,MATCH(TRUE,ISNUMBER(SEARCH(Kamus!$M$3:$M$111,$I97)),0)),"")</f>
        <v/>
      </c>
      <c r="Z97" s="106" t="str">
        <f>IF(AND(OR($X97="02",$X97="03",$X97="04"),OR($T97="Parsel/Bingkisan (tidak dirinci)",$T97="Makanan &amp; Minuman",$T97="Peralatan Rumah Tangga / Pecah Belah",$T97="Pakaian &amp; Kain")),"Momen Hari Raya (dugaan musiman)",IFERROR(VLOOKUP($W97,Kamus!$P$3:$Q$14,2,FALSE),"Tidak Teridentifikasi"))</f>
        <v>Relasi Personal / Tidak Teridentifikasi</v>
      </c>
      <c r="AA97" s="106" t="str">
        <f t="shared" si="5"/>
        <v>Relasi Personal / Tidak Teridentifikasi</v>
      </c>
    </row>
    <row r="98" spans="1:27">
      <c r="A98" s="106">
        <v>97</v>
      </c>
      <c r="B98" s="106" t="s">
        <v>1587</v>
      </c>
      <c r="C98" s="107" t="s">
        <v>1588</v>
      </c>
      <c r="D98" s="106" t="s">
        <v>1571</v>
      </c>
      <c r="E98" s="106" t="s">
        <v>1166</v>
      </c>
      <c r="F98" s="106" t="s">
        <v>1589</v>
      </c>
      <c r="G98" s="106" t="s">
        <v>1006</v>
      </c>
      <c r="H98" s="106" t="s">
        <v>1483</v>
      </c>
      <c r="I98" s="106" t="s">
        <v>1457</v>
      </c>
      <c r="K98" s="106" t="s">
        <v>1503</v>
      </c>
      <c r="L98" s="106" t="s">
        <v>1590</v>
      </c>
      <c r="O98" s="106" t="s">
        <v>274</v>
      </c>
      <c r="P98" s="106" t="s">
        <v>1173</v>
      </c>
      <c r="Q98" s="106" t="s">
        <v>431</v>
      </c>
      <c r="S98" s="106" t="str" cm="1">
        <f t="array" ref="S98">IF(TRIM($D98)="","(tidak diisi)",IFERROR(INDEX(Kamus!$B$3:$B$28,MATCH(TRUE,ISNUMBER(SEARCH(Kamus!$A$3:$A$28,$D98)),0)),"Jabatan Lainnya"))</f>
        <v>Panitera</v>
      </c>
      <c r="T98" s="106" t="str" cm="1">
        <f t="array" ref="T98">IF(TRIM($I98)="","(tidak diisi)",IFERROR(INDEX(Kamus!$E$3:$E$162,MATCH(TRUE,ISNUMBER(SEARCH(Kamus!$D$3:$D$162,$I98)),0)),"Barang Lain / Tidak Terinci"))</f>
        <v>Makanan &amp; Minuman</v>
      </c>
      <c r="U98" s="106" t="str" cm="1">
        <f t="array" ref="U98">IF(TRIM($I98)="","(tidak diisi)",IFERROR(INDEX(Kamus!$H$3:$H$75,MATCH(TRUE,ISNUMBER(SEARCH(Kamus!$G$3:$G$75,$I98)),0)),"Pemberian Umum / Tanpa Konteks"))</f>
        <v>Paket Sembako</v>
      </c>
      <c r="V98" s="106" t="str">
        <f t="shared" si="3"/>
        <v>2025</v>
      </c>
      <c r="W98" s="106" t="str" cm="1">
        <f t="array" ref="W98">IF(TRIM($K98)="","(tidak diisi)",IFERROR(INDEX(Kamus!$K$3:$K$118,MATCH(TRUE,ISNUMBER(SEARCH(Kamus!$J$3:$J$118,$K98)),0)),"Individu / Perorangan"))</f>
        <v>Bank &amp; Lembaga Keuangan</v>
      </c>
      <c r="X98" s="106" t="str">
        <f t="shared" si="4"/>
        <v>02</v>
      </c>
      <c r="Y98" s="106" t="str" cm="1">
        <f t="array" ref="Y98">IFERROR(INDEX(Kamus!$N$3:$N$111,MATCH(TRUE,ISNUMBER(SEARCH(Kamus!$M$3:$M$111,$I98)),0)),"")</f>
        <v>Kegiatan Sosial / Bantuan (Paket Sembako)</v>
      </c>
      <c r="Z98" s="106" t="str">
        <f>IF(AND(OR($X98="02",$X98="03",$X98="04"),OR($T98="Parsel/Bingkisan (tidak dirinci)",$T98="Makanan &amp; Minuman",$T98="Peralatan Rumah Tangga / Pecah Belah",$T98="Pakaian &amp; Kain")),"Momen Hari Raya (dugaan musiman)",IFERROR(VLOOKUP($W98,Kamus!$P$3:$Q$14,2,FALSE),"Tidak Teridentifikasi"))</f>
        <v>Momen Hari Raya (dugaan musiman)</v>
      </c>
      <c r="AA98" s="106" t="str">
        <f t="shared" si="5"/>
        <v>Kegiatan Sosial / Bantuan (Paket Sembako)</v>
      </c>
    </row>
    <row r="99" spans="1:27">
      <c r="A99" s="106">
        <v>98</v>
      </c>
      <c r="B99" s="106" t="s">
        <v>1002</v>
      </c>
      <c r="C99" s="107" t="s">
        <v>1003</v>
      </c>
      <c r="D99" s="106" t="s">
        <v>1004</v>
      </c>
      <c r="E99" s="106" t="s">
        <v>1005</v>
      </c>
      <c r="F99" s="106" t="s">
        <v>1591</v>
      </c>
      <c r="G99" s="106" t="s">
        <v>1074</v>
      </c>
      <c r="H99" s="106" t="s">
        <v>1338</v>
      </c>
      <c r="I99" s="106" t="s">
        <v>1592</v>
      </c>
      <c r="K99" s="106" t="s">
        <v>1584</v>
      </c>
      <c r="L99" s="106" t="s">
        <v>1593</v>
      </c>
      <c r="O99" s="106" t="s">
        <v>274</v>
      </c>
      <c r="S99" s="106" t="str" cm="1">
        <f t="array" ref="S99">IF(TRIM($D99)="","(tidak diisi)",IFERROR(INDEX(Kamus!$B$3:$B$28,MATCH(TRUE,ISNUMBER(SEARCH(Kamus!$A$3:$A$28,$D99)),0)),"Jabatan Lainnya"))</f>
        <v>Sekretaris</v>
      </c>
      <c r="T99" s="106" t="str" cm="1">
        <f t="array" ref="T99">IF(TRIM($I99)="","(tidak diisi)",IFERROR(INDEX(Kamus!$E$3:$E$162,MATCH(TRUE,ISNUMBER(SEARCH(Kamus!$D$3:$D$162,$I99)),0)),"Barang Lain / Tidak Terinci"))</f>
        <v>Makanan &amp; Minuman</v>
      </c>
      <c r="U99" s="106" t="str" cm="1">
        <f t="array" ref="U99">IF(TRIM($I99)="","(tidak diisi)",IFERROR(INDEX(Kamus!$H$3:$H$75,MATCH(TRUE,ISNUMBER(SEARCH(Kamus!$G$3:$G$75,$I99)),0)),"Pemberian Umum / Tanpa Konteks"))</f>
        <v>Parsel/Bingkisan Umum (non-hari raya)</v>
      </c>
      <c r="V99" s="106" t="str">
        <f t="shared" si="3"/>
        <v>2025</v>
      </c>
      <c r="W99" s="106" t="str" cm="1">
        <f t="array" ref="W99">IF(TRIM($K99)="","(tidak diisi)",IFERROR(INDEX(Kamus!$K$3:$K$118,MATCH(TRUE,ISNUMBER(SEARCH(Kamus!$J$3:$J$118,$K99)),0)),"Individu / Perorangan"))</f>
        <v>Individu / Perorangan</v>
      </c>
      <c r="X99" s="106" t="str">
        <f t="shared" si="4"/>
        <v>02</v>
      </c>
      <c r="Y99" s="106" t="str" cm="1">
        <f t="array" ref="Y99">IFERROR(INDEX(Kamus!$N$3:$N$111,MATCH(TRUE,ISNUMBER(SEARCH(Kamus!$M$3:$M$111,$I99)),0)),"")</f>
        <v/>
      </c>
      <c r="Z99" s="106" t="str">
        <f>IF(AND(OR($X99="02",$X99="03",$X99="04"),OR($T99="Parsel/Bingkisan (tidak dirinci)",$T99="Makanan &amp; Minuman",$T99="Peralatan Rumah Tangga / Pecah Belah",$T99="Pakaian &amp; Kain")),"Momen Hari Raya (dugaan musiman)",IFERROR(VLOOKUP($W99,Kamus!$P$3:$Q$14,2,FALSE),"Tidak Teridentifikasi"))</f>
        <v>Momen Hari Raya (dugaan musiman)</v>
      </c>
      <c r="AA99" s="106" t="str">
        <f t="shared" si="5"/>
        <v>Momen Hari Raya (dugaan musiman)</v>
      </c>
    </row>
    <row r="100" spans="1:27">
      <c r="A100" s="106">
        <v>99</v>
      </c>
      <c r="B100" s="106" t="s">
        <v>1594</v>
      </c>
      <c r="C100" s="107" t="s">
        <v>1595</v>
      </c>
      <c r="D100" s="106" t="s">
        <v>1208</v>
      </c>
      <c r="E100" s="106" t="s">
        <v>1166</v>
      </c>
      <c r="F100" s="106" t="s">
        <v>1596</v>
      </c>
      <c r="G100" s="106" t="s">
        <v>1006</v>
      </c>
      <c r="H100" s="106" t="s">
        <v>1483</v>
      </c>
      <c r="I100" s="106" t="s">
        <v>1457</v>
      </c>
      <c r="K100" s="106" t="s">
        <v>1503</v>
      </c>
      <c r="L100" s="106" t="s">
        <v>1597</v>
      </c>
      <c r="O100" s="106" t="s">
        <v>274</v>
      </c>
      <c r="P100" s="106" t="s">
        <v>1173</v>
      </c>
      <c r="Q100" s="106" t="s">
        <v>431</v>
      </c>
      <c r="S100" s="106" t="str" cm="1">
        <f t="array" ref="S100">IF(TRIM($D100)="","(tidak diisi)",IFERROR(INDEX(Kamus!$B$3:$B$28,MATCH(TRUE,ISNUMBER(SEARCH(Kamus!$A$3:$A$28,$D100)),0)),"Jabatan Lainnya"))</f>
        <v>Staf/Pegawai Pelaksana</v>
      </c>
      <c r="T100" s="106" t="str" cm="1">
        <f t="array" ref="T100">IF(TRIM($I100)="","(tidak diisi)",IFERROR(INDEX(Kamus!$E$3:$E$162,MATCH(TRUE,ISNUMBER(SEARCH(Kamus!$D$3:$D$162,$I100)),0)),"Barang Lain / Tidak Terinci"))</f>
        <v>Makanan &amp; Minuman</v>
      </c>
      <c r="U100" s="106" t="str" cm="1">
        <f t="array" ref="U100">IF(TRIM($I100)="","(tidak diisi)",IFERROR(INDEX(Kamus!$H$3:$H$75,MATCH(TRUE,ISNUMBER(SEARCH(Kamus!$G$3:$G$75,$I100)),0)),"Pemberian Umum / Tanpa Konteks"))</f>
        <v>Paket Sembako</v>
      </c>
      <c r="V100" s="106" t="str">
        <f t="shared" si="3"/>
        <v>2025</v>
      </c>
      <c r="W100" s="106" t="str" cm="1">
        <f t="array" ref="W100">IF(TRIM($K100)="","(tidak diisi)",IFERROR(INDEX(Kamus!$K$3:$K$118,MATCH(TRUE,ISNUMBER(SEARCH(Kamus!$J$3:$J$118,$K100)),0)),"Individu / Perorangan"))</f>
        <v>Bank &amp; Lembaga Keuangan</v>
      </c>
      <c r="X100" s="106" t="str">
        <f t="shared" si="4"/>
        <v>02</v>
      </c>
      <c r="Y100" s="106" t="str" cm="1">
        <f t="array" ref="Y100">IFERROR(INDEX(Kamus!$N$3:$N$111,MATCH(TRUE,ISNUMBER(SEARCH(Kamus!$M$3:$M$111,$I100)),0)),"")</f>
        <v>Kegiatan Sosial / Bantuan (Paket Sembako)</v>
      </c>
      <c r="Z100" s="106" t="str">
        <f>IF(AND(OR($X100="02",$X100="03",$X100="04"),OR($T100="Parsel/Bingkisan (tidak dirinci)",$T100="Makanan &amp; Minuman",$T100="Peralatan Rumah Tangga / Pecah Belah",$T100="Pakaian &amp; Kain")),"Momen Hari Raya (dugaan musiman)",IFERROR(VLOOKUP($W100,Kamus!$P$3:$Q$14,2,FALSE),"Tidak Teridentifikasi"))</f>
        <v>Momen Hari Raya (dugaan musiman)</v>
      </c>
      <c r="AA100" s="106" t="str">
        <f t="shared" si="5"/>
        <v>Kegiatan Sosial / Bantuan (Paket Sembako)</v>
      </c>
    </row>
    <row r="101" spans="1:27">
      <c r="A101" s="106">
        <v>100</v>
      </c>
      <c r="B101" s="106" t="s">
        <v>1598</v>
      </c>
      <c r="C101" s="107" t="s">
        <v>1599</v>
      </c>
      <c r="D101" s="106" t="s">
        <v>1600</v>
      </c>
      <c r="E101" s="106" t="s">
        <v>1166</v>
      </c>
      <c r="F101" s="106" t="s">
        <v>1601</v>
      </c>
      <c r="G101" s="106" t="s">
        <v>1006</v>
      </c>
      <c r="H101" s="106" t="s">
        <v>1602</v>
      </c>
      <c r="I101" s="106" t="s">
        <v>1457</v>
      </c>
      <c r="K101" s="106" t="s">
        <v>1484</v>
      </c>
      <c r="L101" s="106" t="s">
        <v>1603</v>
      </c>
      <c r="O101" s="106" t="s">
        <v>274</v>
      </c>
      <c r="P101" s="106" t="s">
        <v>1173</v>
      </c>
      <c r="Q101" s="106" t="s">
        <v>431</v>
      </c>
      <c r="S101" s="106" t="str" cm="1">
        <f t="array" ref="S101">IF(TRIM($D101)="","(tidak diisi)",IFERROR(INDEX(Kamus!$B$3:$B$28,MATCH(TRUE,ISNUMBER(SEARCH(Kamus!$A$3:$A$28,$D101)),0)),"Jabatan Lainnya"))</f>
        <v>Staf/Pegawai Pelaksana</v>
      </c>
      <c r="T101" s="106" t="str" cm="1">
        <f t="array" ref="T101">IF(TRIM($I101)="","(tidak diisi)",IFERROR(INDEX(Kamus!$E$3:$E$162,MATCH(TRUE,ISNUMBER(SEARCH(Kamus!$D$3:$D$162,$I101)),0)),"Barang Lain / Tidak Terinci"))</f>
        <v>Makanan &amp; Minuman</v>
      </c>
      <c r="U101" s="106" t="str" cm="1">
        <f t="array" ref="U101">IF(TRIM($I101)="","(tidak diisi)",IFERROR(INDEX(Kamus!$H$3:$H$75,MATCH(TRUE,ISNUMBER(SEARCH(Kamus!$G$3:$G$75,$I101)),0)),"Pemberian Umum / Tanpa Konteks"))</f>
        <v>Paket Sembako</v>
      </c>
      <c r="V101" s="106" t="str">
        <f t="shared" si="3"/>
        <v>2025</v>
      </c>
      <c r="W101" s="106" t="str" cm="1">
        <f t="array" ref="W101">IF(TRIM($K101)="","(tidak diisi)",IFERROR(INDEX(Kamus!$K$3:$K$118,MATCH(TRUE,ISNUMBER(SEARCH(Kamus!$J$3:$J$118,$K101)),0)),"Individu / Perorangan"))</f>
        <v>Bank &amp; Lembaga Keuangan</v>
      </c>
      <c r="X101" s="106" t="str">
        <f t="shared" si="4"/>
        <v>03</v>
      </c>
      <c r="Y101" s="106" t="str" cm="1">
        <f t="array" ref="Y101">IFERROR(INDEX(Kamus!$N$3:$N$111,MATCH(TRUE,ISNUMBER(SEARCH(Kamus!$M$3:$M$111,$I101)),0)),"")</f>
        <v>Kegiatan Sosial / Bantuan (Paket Sembako)</v>
      </c>
      <c r="Z101" s="106" t="str">
        <f>IF(AND(OR($X101="02",$X101="03",$X101="04"),OR($T101="Parsel/Bingkisan (tidak dirinci)",$T101="Makanan &amp; Minuman",$T101="Peralatan Rumah Tangga / Pecah Belah",$T101="Pakaian &amp; Kain")),"Momen Hari Raya (dugaan musiman)",IFERROR(VLOOKUP($W101,Kamus!$P$3:$Q$14,2,FALSE),"Tidak Teridentifikasi"))</f>
        <v>Momen Hari Raya (dugaan musiman)</v>
      </c>
      <c r="AA101" s="106" t="str">
        <f t="shared" si="5"/>
        <v>Kegiatan Sosial / Bantuan (Paket Sembako)</v>
      </c>
    </row>
    <row r="102" spans="1:27">
      <c r="A102" s="106">
        <v>101</v>
      </c>
      <c r="B102" s="106" t="s">
        <v>1430</v>
      </c>
      <c r="C102" s="107" t="s">
        <v>1431</v>
      </c>
      <c r="D102" s="106" t="s">
        <v>1432</v>
      </c>
      <c r="E102" s="106" t="s">
        <v>1166</v>
      </c>
      <c r="F102" s="106" t="s">
        <v>1604</v>
      </c>
      <c r="G102" s="106" t="s">
        <v>1006</v>
      </c>
      <c r="H102" s="106" t="s">
        <v>1483</v>
      </c>
      <c r="I102" s="106" t="s">
        <v>1457</v>
      </c>
      <c r="K102" s="106" t="s">
        <v>1503</v>
      </c>
      <c r="L102" s="106" t="s">
        <v>1605</v>
      </c>
      <c r="O102" s="106" t="s">
        <v>274</v>
      </c>
      <c r="P102" s="106" t="s">
        <v>1173</v>
      </c>
      <c r="Q102" s="106" t="s">
        <v>431</v>
      </c>
      <c r="S102" s="106" t="str" cm="1">
        <f t="array" ref="S102">IF(TRIM($D102)="","(tidak diisi)",IFERROR(INDEX(Kamus!$B$3:$B$28,MATCH(TRUE,ISNUMBER(SEARCH(Kamus!$A$3:$A$28,$D102)),0)),"Jabatan Lainnya"))</f>
        <v>Hakim</v>
      </c>
      <c r="T102" s="106" t="str" cm="1">
        <f t="array" ref="T102">IF(TRIM($I102)="","(tidak diisi)",IFERROR(INDEX(Kamus!$E$3:$E$162,MATCH(TRUE,ISNUMBER(SEARCH(Kamus!$D$3:$D$162,$I102)),0)),"Barang Lain / Tidak Terinci"))</f>
        <v>Makanan &amp; Minuman</v>
      </c>
      <c r="U102" s="106" t="str" cm="1">
        <f t="array" ref="U102">IF(TRIM($I102)="","(tidak diisi)",IFERROR(INDEX(Kamus!$H$3:$H$75,MATCH(TRUE,ISNUMBER(SEARCH(Kamus!$G$3:$G$75,$I102)),0)),"Pemberian Umum / Tanpa Konteks"))</f>
        <v>Paket Sembako</v>
      </c>
      <c r="V102" s="106" t="str">
        <f t="shared" si="3"/>
        <v>2025</v>
      </c>
      <c r="W102" s="106" t="str" cm="1">
        <f t="array" ref="W102">IF(TRIM($K102)="","(tidak diisi)",IFERROR(INDEX(Kamus!$K$3:$K$118,MATCH(TRUE,ISNUMBER(SEARCH(Kamus!$J$3:$J$118,$K102)),0)),"Individu / Perorangan"))</f>
        <v>Bank &amp; Lembaga Keuangan</v>
      </c>
      <c r="X102" s="106" t="str">
        <f t="shared" si="4"/>
        <v>02</v>
      </c>
      <c r="Y102" s="106" t="str" cm="1">
        <f t="array" ref="Y102">IFERROR(INDEX(Kamus!$N$3:$N$111,MATCH(TRUE,ISNUMBER(SEARCH(Kamus!$M$3:$M$111,$I102)),0)),"")</f>
        <v>Kegiatan Sosial / Bantuan (Paket Sembako)</v>
      </c>
      <c r="Z102" s="106" t="str">
        <f>IF(AND(OR($X102="02",$X102="03",$X102="04"),OR($T102="Parsel/Bingkisan (tidak dirinci)",$T102="Makanan &amp; Minuman",$T102="Peralatan Rumah Tangga / Pecah Belah",$T102="Pakaian &amp; Kain")),"Momen Hari Raya (dugaan musiman)",IFERROR(VLOOKUP($W102,Kamus!$P$3:$Q$14,2,FALSE),"Tidak Teridentifikasi"))</f>
        <v>Momen Hari Raya (dugaan musiman)</v>
      </c>
      <c r="AA102" s="106" t="str">
        <f t="shared" si="5"/>
        <v>Kegiatan Sosial / Bantuan (Paket Sembako)</v>
      </c>
    </row>
    <row r="103" spans="1:27">
      <c r="A103" s="106">
        <v>102</v>
      </c>
      <c r="B103" s="106" t="s">
        <v>1606</v>
      </c>
      <c r="C103" s="107" t="s">
        <v>1607</v>
      </c>
      <c r="D103" s="106" t="s">
        <v>1432</v>
      </c>
      <c r="E103" s="106" t="s">
        <v>1166</v>
      </c>
      <c r="F103" s="106" t="s">
        <v>1608</v>
      </c>
      <c r="G103" s="106" t="s">
        <v>1006</v>
      </c>
      <c r="H103" s="106" t="s">
        <v>1483</v>
      </c>
      <c r="I103" s="106" t="s">
        <v>1457</v>
      </c>
      <c r="K103" s="106" t="s">
        <v>1503</v>
      </c>
      <c r="L103" s="106" t="s">
        <v>1609</v>
      </c>
      <c r="O103" s="106" t="s">
        <v>274</v>
      </c>
      <c r="P103" s="106" t="s">
        <v>1173</v>
      </c>
      <c r="Q103" s="106" t="s">
        <v>431</v>
      </c>
      <c r="S103" s="106" t="str" cm="1">
        <f t="array" ref="S103">IF(TRIM($D103)="","(tidak diisi)",IFERROR(INDEX(Kamus!$B$3:$B$28,MATCH(TRUE,ISNUMBER(SEARCH(Kamus!$A$3:$A$28,$D103)),0)),"Jabatan Lainnya"))</f>
        <v>Hakim</v>
      </c>
      <c r="T103" s="106" t="str" cm="1">
        <f t="array" ref="T103">IF(TRIM($I103)="","(tidak diisi)",IFERROR(INDEX(Kamus!$E$3:$E$162,MATCH(TRUE,ISNUMBER(SEARCH(Kamus!$D$3:$D$162,$I103)),0)),"Barang Lain / Tidak Terinci"))</f>
        <v>Makanan &amp; Minuman</v>
      </c>
      <c r="U103" s="106" t="str" cm="1">
        <f t="array" ref="U103">IF(TRIM($I103)="","(tidak diisi)",IFERROR(INDEX(Kamus!$H$3:$H$75,MATCH(TRUE,ISNUMBER(SEARCH(Kamus!$G$3:$G$75,$I103)),0)),"Pemberian Umum / Tanpa Konteks"))</f>
        <v>Paket Sembako</v>
      </c>
      <c r="V103" s="106" t="str">
        <f t="shared" si="3"/>
        <v>2025</v>
      </c>
      <c r="W103" s="106" t="str" cm="1">
        <f t="array" ref="W103">IF(TRIM($K103)="","(tidak diisi)",IFERROR(INDEX(Kamus!$K$3:$K$118,MATCH(TRUE,ISNUMBER(SEARCH(Kamus!$J$3:$J$118,$K103)),0)),"Individu / Perorangan"))</f>
        <v>Bank &amp; Lembaga Keuangan</v>
      </c>
      <c r="X103" s="106" t="str">
        <f t="shared" si="4"/>
        <v>02</v>
      </c>
      <c r="Y103" s="106" t="str" cm="1">
        <f t="array" ref="Y103">IFERROR(INDEX(Kamus!$N$3:$N$111,MATCH(TRUE,ISNUMBER(SEARCH(Kamus!$M$3:$M$111,$I103)),0)),"")</f>
        <v>Kegiatan Sosial / Bantuan (Paket Sembako)</v>
      </c>
      <c r="Z103" s="106" t="str">
        <f>IF(AND(OR($X103="02",$X103="03",$X103="04"),OR($T103="Parsel/Bingkisan (tidak dirinci)",$T103="Makanan &amp; Minuman",$T103="Peralatan Rumah Tangga / Pecah Belah",$T103="Pakaian &amp; Kain")),"Momen Hari Raya (dugaan musiman)",IFERROR(VLOOKUP($W103,Kamus!$P$3:$Q$14,2,FALSE),"Tidak Teridentifikasi"))</f>
        <v>Momen Hari Raya (dugaan musiman)</v>
      </c>
      <c r="AA103" s="106" t="str">
        <f t="shared" si="5"/>
        <v>Kegiatan Sosial / Bantuan (Paket Sembako)</v>
      </c>
    </row>
    <row r="104" spans="1:27">
      <c r="A104" s="106">
        <v>103</v>
      </c>
      <c r="B104" s="106" t="s">
        <v>1610</v>
      </c>
      <c r="C104" s="107" t="s">
        <v>1611</v>
      </c>
      <c r="D104" s="106" t="s">
        <v>1208</v>
      </c>
      <c r="E104" s="106" t="s">
        <v>1166</v>
      </c>
      <c r="F104" s="106" t="s">
        <v>1612</v>
      </c>
      <c r="G104" s="106" t="s">
        <v>1006</v>
      </c>
      <c r="H104" s="106" t="s">
        <v>1602</v>
      </c>
      <c r="I104" s="106" t="s">
        <v>1457</v>
      </c>
      <c r="K104" s="106" t="s">
        <v>1503</v>
      </c>
      <c r="L104" s="106" t="s">
        <v>1613</v>
      </c>
      <c r="O104" s="106" t="s">
        <v>274</v>
      </c>
      <c r="P104" s="106" t="s">
        <v>1173</v>
      </c>
      <c r="Q104" s="106" t="s">
        <v>431</v>
      </c>
      <c r="S104" s="106" t="str" cm="1">
        <f t="array" ref="S104">IF(TRIM($D104)="","(tidak diisi)",IFERROR(INDEX(Kamus!$B$3:$B$28,MATCH(TRUE,ISNUMBER(SEARCH(Kamus!$A$3:$A$28,$D104)),0)),"Jabatan Lainnya"))</f>
        <v>Staf/Pegawai Pelaksana</v>
      </c>
      <c r="T104" s="106" t="str" cm="1">
        <f t="array" ref="T104">IF(TRIM($I104)="","(tidak diisi)",IFERROR(INDEX(Kamus!$E$3:$E$162,MATCH(TRUE,ISNUMBER(SEARCH(Kamus!$D$3:$D$162,$I104)),0)),"Barang Lain / Tidak Terinci"))</f>
        <v>Makanan &amp; Minuman</v>
      </c>
      <c r="U104" s="106" t="str" cm="1">
        <f t="array" ref="U104">IF(TRIM($I104)="","(tidak diisi)",IFERROR(INDEX(Kamus!$H$3:$H$75,MATCH(TRUE,ISNUMBER(SEARCH(Kamus!$G$3:$G$75,$I104)),0)),"Pemberian Umum / Tanpa Konteks"))</f>
        <v>Paket Sembako</v>
      </c>
      <c r="V104" s="106" t="str">
        <f t="shared" si="3"/>
        <v>2025</v>
      </c>
      <c r="W104" s="106" t="str" cm="1">
        <f t="array" ref="W104">IF(TRIM($K104)="","(tidak diisi)",IFERROR(INDEX(Kamus!$K$3:$K$118,MATCH(TRUE,ISNUMBER(SEARCH(Kamus!$J$3:$J$118,$K104)),0)),"Individu / Perorangan"))</f>
        <v>Bank &amp; Lembaga Keuangan</v>
      </c>
      <c r="X104" s="106" t="str">
        <f t="shared" si="4"/>
        <v>03</v>
      </c>
      <c r="Y104" s="106" t="str" cm="1">
        <f t="array" ref="Y104">IFERROR(INDEX(Kamus!$N$3:$N$111,MATCH(TRUE,ISNUMBER(SEARCH(Kamus!$M$3:$M$111,$I104)),0)),"")</f>
        <v>Kegiatan Sosial / Bantuan (Paket Sembako)</v>
      </c>
      <c r="Z104" s="106" t="str">
        <f>IF(AND(OR($X104="02",$X104="03",$X104="04"),OR($T104="Parsel/Bingkisan (tidak dirinci)",$T104="Makanan &amp; Minuman",$T104="Peralatan Rumah Tangga / Pecah Belah",$T104="Pakaian &amp; Kain")),"Momen Hari Raya (dugaan musiman)",IFERROR(VLOOKUP($W104,Kamus!$P$3:$Q$14,2,FALSE),"Tidak Teridentifikasi"))</f>
        <v>Momen Hari Raya (dugaan musiman)</v>
      </c>
      <c r="AA104" s="106" t="str">
        <f t="shared" si="5"/>
        <v>Kegiatan Sosial / Bantuan (Paket Sembako)</v>
      </c>
    </row>
    <row r="105" spans="1:27">
      <c r="A105" s="106">
        <v>104</v>
      </c>
      <c r="B105" s="106" t="s">
        <v>1614</v>
      </c>
      <c r="C105" s="107" t="s">
        <v>1615</v>
      </c>
      <c r="D105" s="106" t="s">
        <v>1616</v>
      </c>
      <c r="E105" s="106" t="s">
        <v>1166</v>
      </c>
      <c r="F105" s="106" t="s">
        <v>1617</v>
      </c>
      <c r="G105" s="106" t="s">
        <v>1006</v>
      </c>
      <c r="H105" s="106" t="s">
        <v>1483</v>
      </c>
      <c r="I105" s="106" t="s">
        <v>1457</v>
      </c>
      <c r="K105" s="106" t="s">
        <v>1503</v>
      </c>
      <c r="L105" s="106" t="s">
        <v>1618</v>
      </c>
      <c r="O105" s="106" t="s">
        <v>274</v>
      </c>
      <c r="P105" s="106" t="s">
        <v>1173</v>
      </c>
      <c r="Q105" s="106" t="s">
        <v>431</v>
      </c>
      <c r="S105" s="106" t="str" cm="1">
        <f t="array" ref="S105">IF(TRIM($D105)="","(tidak diisi)",IFERROR(INDEX(Kamus!$B$3:$B$28,MATCH(TRUE,ISNUMBER(SEARCH(Kamus!$A$3:$A$28,$D105)),0)),"Jabatan Lainnya"))</f>
        <v>Sekretaris</v>
      </c>
      <c r="T105" s="106" t="str" cm="1">
        <f t="array" ref="T105">IF(TRIM($I105)="","(tidak diisi)",IFERROR(INDEX(Kamus!$E$3:$E$162,MATCH(TRUE,ISNUMBER(SEARCH(Kamus!$D$3:$D$162,$I105)),0)),"Barang Lain / Tidak Terinci"))</f>
        <v>Makanan &amp; Minuman</v>
      </c>
      <c r="U105" s="106" t="str" cm="1">
        <f t="array" ref="U105">IF(TRIM($I105)="","(tidak diisi)",IFERROR(INDEX(Kamus!$H$3:$H$75,MATCH(TRUE,ISNUMBER(SEARCH(Kamus!$G$3:$G$75,$I105)),0)),"Pemberian Umum / Tanpa Konteks"))</f>
        <v>Paket Sembako</v>
      </c>
      <c r="V105" s="106" t="str">
        <f t="shared" si="3"/>
        <v>2025</v>
      </c>
      <c r="W105" s="106" t="str" cm="1">
        <f t="array" ref="W105">IF(TRIM($K105)="","(tidak diisi)",IFERROR(INDEX(Kamus!$K$3:$K$118,MATCH(TRUE,ISNUMBER(SEARCH(Kamus!$J$3:$J$118,$K105)),0)),"Individu / Perorangan"))</f>
        <v>Bank &amp; Lembaga Keuangan</v>
      </c>
      <c r="X105" s="106" t="str">
        <f t="shared" si="4"/>
        <v>02</v>
      </c>
      <c r="Y105" s="106" t="str" cm="1">
        <f t="array" ref="Y105">IFERROR(INDEX(Kamus!$N$3:$N$111,MATCH(TRUE,ISNUMBER(SEARCH(Kamus!$M$3:$M$111,$I105)),0)),"")</f>
        <v>Kegiatan Sosial / Bantuan (Paket Sembako)</v>
      </c>
      <c r="Z105" s="106" t="str">
        <f>IF(AND(OR($X105="02",$X105="03",$X105="04"),OR($T105="Parsel/Bingkisan (tidak dirinci)",$T105="Makanan &amp; Minuman",$T105="Peralatan Rumah Tangga / Pecah Belah",$T105="Pakaian &amp; Kain")),"Momen Hari Raya (dugaan musiman)",IFERROR(VLOOKUP($W105,Kamus!$P$3:$Q$14,2,FALSE),"Tidak Teridentifikasi"))</f>
        <v>Momen Hari Raya (dugaan musiman)</v>
      </c>
      <c r="AA105" s="106" t="str">
        <f t="shared" si="5"/>
        <v>Kegiatan Sosial / Bantuan (Paket Sembako)</v>
      </c>
    </row>
    <row r="106" spans="1:27">
      <c r="A106" s="106">
        <v>105</v>
      </c>
      <c r="B106" s="106" t="s">
        <v>1619</v>
      </c>
      <c r="C106" s="107" t="s">
        <v>1620</v>
      </c>
      <c r="D106" s="106" t="s">
        <v>1621</v>
      </c>
      <c r="E106" s="106" t="s">
        <v>1622</v>
      </c>
      <c r="F106" s="106" t="s">
        <v>1623</v>
      </c>
      <c r="G106" s="106" t="s">
        <v>1006</v>
      </c>
      <c r="H106" s="106" t="s">
        <v>1491</v>
      </c>
      <c r="I106" s="106" t="s">
        <v>1624</v>
      </c>
      <c r="J106" s="106">
        <v>2000000</v>
      </c>
      <c r="K106" s="106" t="s">
        <v>1625</v>
      </c>
      <c r="L106" s="106" t="s">
        <v>1626</v>
      </c>
      <c r="M106" s="106" t="s">
        <v>1171</v>
      </c>
      <c r="N106" s="106" t="s">
        <v>1627</v>
      </c>
      <c r="O106" s="106" t="s">
        <v>274</v>
      </c>
      <c r="P106" s="106" t="s">
        <v>1628</v>
      </c>
      <c r="Q106" s="106" t="s">
        <v>404</v>
      </c>
      <c r="S106" s="106" t="str" cm="1">
        <f t="array" ref="S106">IF(TRIM($D106)="","(tidak diisi)",IFERROR(INDEX(Kamus!$B$3:$B$28,MATCH(TRUE,ISNUMBER(SEARCH(Kamus!$A$3:$A$28,$D106)),0)),"Jabatan Lainnya"))</f>
        <v>Ketua Pengadilan</v>
      </c>
      <c r="T106" s="106" t="str" cm="1">
        <f t="array" ref="T106">IF(TRIM($I106)="","(tidak diisi)",IFERROR(INDEX(Kamus!$E$3:$E$162,MATCH(TRUE,ISNUMBER(SEARCH(Kamus!$D$3:$D$162,$I106)),0)),"Barang Lain / Tidak Terinci"))</f>
        <v>Fasilitas &amp; Jasa</v>
      </c>
      <c r="U106" s="106" t="str" cm="1">
        <f t="array" ref="U106">IF(TRIM($I106)="","(tidak diisi)",IFERROR(INDEX(Kamus!$H$3:$H$75,MATCH(TRUE,ISNUMBER(SEARCH(Kamus!$G$3:$G$75,$I106)),0)),"Pemberian Umum / Tanpa Konteks"))</f>
        <v>Pemberian Umum / Tanpa Konteks</v>
      </c>
      <c r="V106" s="106" t="str">
        <f t="shared" si="3"/>
        <v>2025</v>
      </c>
      <c r="W106" s="106" t="str" cm="1">
        <f t="array" ref="W106">IF(TRIM($K106)="","(tidak diisi)",IFERROR(INDEX(Kamus!$K$3:$K$118,MATCH(TRUE,ISNUMBER(SEARCH(Kamus!$J$3:$J$118,$K106)),0)),"Individu / Perorangan"))</f>
        <v>Individu / Perorangan</v>
      </c>
      <c r="X106" s="106" t="str">
        <f t="shared" si="4"/>
        <v>02</v>
      </c>
      <c r="Y106" s="106" t="str" cm="1">
        <f t="array" ref="Y106">IFERROR(INDEX(Kamus!$N$3:$N$111,MATCH(TRUE,ISNUMBER(SEARCH(Kamus!$M$3:$M$111,$I106)),0)),"")</f>
        <v/>
      </c>
      <c r="Z106" s="106" t="str">
        <f>IF(AND(OR($X106="02",$X106="03",$X106="04"),OR($T106="Parsel/Bingkisan (tidak dirinci)",$T106="Makanan &amp; Minuman",$T106="Peralatan Rumah Tangga / Pecah Belah",$T106="Pakaian &amp; Kain")),"Momen Hari Raya (dugaan musiman)",IFERROR(VLOOKUP($W106,Kamus!$P$3:$Q$14,2,FALSE),"Tidak Teridentifikasi"))</f>
        <v>Relasi Personal / Tidak Teridentifikasi</v>
      </c>
      <c r="AA106" s="106" t="str">
        <f t="shared" si="5"/>
        <v>Relasi Personal / Tidak Teridentifikasi</v>
      </c>
    </row>
    <row r="107" spans="1:27">
      <c r="A107" s="106">
        <v>106</v>
      </c>
      <c r="B107" s="106" t="s">
        <v>1629</v>
      </c>
      <c r="C107" s="107" t="s">
        <v>1630</v>
      </c>
      <c r="D107" s="106" t="s">
        <v>1631</v>
      </c>
      <c r="E107" s="106" t="s">
        <v>1632</v>
      </c>
      <c r="F107" s="106" t="s">
        <v>1633</v>
      </c>
      <c r="G107" s="106" t="s">
        <v>1074</v>
      </c>
      <c r="H107" s="106" t="s">
        <v>1602</v>
      </c>
      <c r="I107" s="106" t="s">
        <v>1634</v>
      </c>
      <c r="K107" s="106" t="s">
        <v>1635</v>
      </c>
      <c r="L107" s="106" t="s">
        <v>1636</v>
      </c>
      <c r="O107" s="106" t="s">
        <v>274</v>
      </c>
      <c r="P107" s="106" t="s">
        <v>472</v>
      </c>
      <c r="Q107" s="106" t="s">
        <v>402</v>
      </c>
      <c r="S107" s="106" t="str" cm="1">
        <f t="array" ref="S107">IF(TRIM($D107)="","(tidak diisi)",IFERROR(INDEX(Kamus!$B$3:$B$28,MATCH(TRUE,ISNUMBER(SEARCH(Kamus!$A$3:$A$28,$D107)),0)),"Jabatan Lainnya"))</f>
        <v>Ketua Pengadilan</v>
      </c>
      <c r="T107" s="106" t="str" cm="1">
        <f t="array" ref="T107">IF(TRIM($I107)="","(tidak diisi)",IFERROR(INDEX(Kamus!$E$3:$E$162,MATCH(TRUE,ISNUMBER(SEARCH(Kamus!$D$3:$D$162,$I107)),0)),"Barang Lain / Tidak Terinci"))</f>
        <v>Pakaian &amp; Kain</v>
      </c>
      <c r="U107" s="106" t="str" cm="1">
        <f t="array" ref="U107">IF(TRIM($I107)="","(tidak diisi)",IFERROR(INDEX(Kamus!$H$3:$H$75,MATCH(TRUE,ISNUMBER(SEARCH(Kamus!$G$3:$G$75,$I107)),0)),"Pemberian Umum / Tanpa Konteks"))</f>
        <v>Pemberian Umum / Tanpa Konteks</v>
      </c>
      <c r="V107" s="106" t="str">
        <f t="shared" si="3"/>
        <v>2025</v>
      </c>
      <c r="W107" s="106" t="str" cm="1">
        <f t="array" ref="W107">IF(TRIM($K107)="","(tidak diisi)",IFERROR(INDEX(Kamus!$K$3:$K$118,MATCH(TRUE,ISNUMBER(SEARCH(Kamus!$J$3:$J$118,$K107)),0)),"Individu / Perorangan"))</f>
        <v>Individu / Perorangan</v>
      </c>
      <c r="X107" s="106" t="str">
        <f t="shared" si="4"/>
        <v>03</v>
      </c>
      <c r="Y107" s="106" t="str" cm="1">
        <f t="array" ref="Y107">IFERROR(INDEX(Kamus!$N$3:$N$111,MATCH(TRUE,ISNUMBER(SEARCH(Kamus!$M$3:$M$111,$I107)),0)),"")</f>
        <v/>
      </c>
      <c r="Z107" s="106" t="str">
        <f>IF(AND(OR($X107="02",$X107="03",$X107="04"),OR($T107="Parsel/Bingkisan (tidak dirinci)",$T107="Makanan &amp; Minuman",$T107="Peralatan Rumah Tangga / Pecah Belah",$T107="Pakaian &amp; Kain")),"Momen Hari Raya (dugaan musiman)",IFERROR(VLOOKUP($W107,Kamus!$P$3:$Q$14,2,FALSE),"Tidak Teridentifikasi"))</f>
        <v>Momen Hari Raya (dugaan musiman)</v>
      </c>
      <c r="AA107" s="106" t="str">
        <f t="shared" si="5"/>
        <v>Momen Hari Raya (dugaan musiman)</v>
      </c>
    </row>
    <row r="108" spans="1:27">
      <c r="A108" s="106">
        <v>107</v>
      </c>
      <c r="B108" s="106" t="s">
        <v>1637</v>
      </c>
      <c r="C108" s="107" t="s">
        <v>1638</v>
      </c>
      <c r="D108" s="106" t="s">
        <v>1571</v>
      </c>
      <c r="E108" s="106" t="s">
        <v>1166</v>
      </c>
      <c r="F108" s="106" t="s">
        <v>1639</v>
      </c>
      <c r="G108" s="106" t="s">
        <v>1006</v>
      </c>
      <c r="H108" s="106" t="s">
        <v>1483</v>
      </c>
      <c r="I108" s="106" t="s">
        <v>1457</v>
      </c>
      <c r="K108" s="106" t="s">
        <v>1503</v>
      </c>
      <c r="L108" s="106" t="s">
        <v>1640</v>
      </c>
      <c r="O108" s="106" t="s">
        <v>274</v>
      </c>
      <c r="P108" s="106" t="s">
        <v>1173</v>
      </c>
      <c r="Q108" s="106" t="s">
        <v>431</v>
      </c>
      <c r="S108" s="106" t="str" cm="1">
        <f t="array" ref="S108">IF(TRIM($D108)="","(tidak diisi)",IFERROR(INDEX(Kamus!$B$3:$B$28,MATCH(TRUE,ISNUMBER(SEARCH(Kamus!$A$3:$A$28,$D108)),0)),"Jabatan Lainnya"))</f>
        <v>Panitera</v>
      </c>
      <c r="T108" s="106" t="str" cm="1">
        <f t="array" ref="T108">IF(TRIM($I108)="","(tidak diisi)",IFERROR(INDEX(Kamus!$E$3:$E$162,MATCH(TRUE,ISNUMBER(SEARCH(Kamus!$D$3:$D$162,$I108)),0)),"Barang Lain / Tidak Terinci"))</f>
        <v>Makanan &amp; Minuman</v>
      </c>
      <c r="U108" s="106" t="str" cm="1">
        <f t="array" ref="U108">IF(TRIM($I108)="","(tidak diisi)",IFERROR(INDEX(Kamus!$H$3:$H$75,MATCH(TRUE,ISNUMBER(SEARCH(Kamus!$G$3:$G$75,$I108)),0)),"Pemberian Umum / Tanpa Konteks"))</f>
        <v>Paket Sembako</v>
      </c>
      <c r="V108" s="106" t="str">
        <f t="shared" si="3"/>
        <v>2025</v>
      </c>
      <c r="W108" s="106" t="str" cm="1">
        <f t="array" ref="W108">IF(TRIM($K108)="","(tidak diisi)",IFERROR(INDEX(Kamus!$K$3:$K$118,MATCH(TRUE,ISNUMBER(SEARCH(Kamus!$J$3:$J$118,$K108)),0)),"Individu / Perorangan"))</f>
        <v>Bank &amp; Lembaga Keuangan</v>
      </c>
      <c r="X108" s="106" t="str">
        <f t="shared" si="4"/>
        <v>02</v>
      </c>
      <c r="Y108" s="106" t="str" cm="1">
        <f t="array" ref="Y108">IFERROR(INDEX(Kamus!$N$3:$N$111,MATCH(TRUE,ISNUMBER(SEARCH(Kamus!$M$3:$M$111,$I108)),0)),"")</f>
        <v>Kegiatan Sosial / Bantuan (Paket Sembako)</v>
      </c>
      <c r="Z108" s="106" t="str">
        <f>IF(AND(OR($X108="02",$X108="03",$X108="04"),OR($T108="Parsel/Bingkisan (tidak dirinci)",$T108="Makanan &amp; Minuman",$T108="Peralatan Rumah Tangga / Pecah Belah",$T108="Pakaian &amp; Kain")),"Momen Hari Raya (dugaan musiman)",IFERROR(VLOOKUP($W108,Kamus!$P$3:$Q$14,2,FALSE),"Tidak Teridentifikasi"))</f>
        <v>Momen Hari Raya (dugaan musiman)</v>
      </c>
      <c r="AA108" s="106" t="str">
        <f t="shared" si="5"/>
        <v>Kegiatan Sosial / Bantuan (Paket Sembako)</v>
      </c>
    </row>
    <row r="109" spans="1:27">
      <c r="A109" s="106">
        <v>108</v>
      </c>
      <c r="B109" s="106" t="s">
        <v>1641</v>
      </c>
      <c r="C109" s="107" t="s">
        <v>1642</v>
      </c>
      <c r="D109" s="106" t="s">
        <v>1033</v>
      </c>
      <c r="E109" s="106" t="s">
        <v>1166</v>
      </c>
      <c r="F109" s="106" t="s">
        <v>1643</v>
      </c>
      <c r="G109" s="106" t="s">
        <v>1006</v>
      </c>
      <c r="H109" s="106" t="s">
        <v>1483</v>
      </c>
      <c r="I109" s="106" t="s">
        <v>1457</v>
      </c>
      <c r="K109" s="106" t="s">
        <v>1503</v>
      </c>
      <c r="L109" s="106" t="s">
        <v>1644</v>
      </c>
      <c r="O109" s="106" t="s">
        <v>274</v>
      </c>
      <c r="P109" s="106" t="s">
        <v>1173</v>
      </c>
      <c r="Q109" s="106" t="s">
        <v>431</v>
      </c>
      <c r="S109" s="106" t="str" cm="1">
        <f t="array" ref="S109">IF(TRIM($D109)="","(tidak diisi)",IFERROR(INDEX(Kamus!$B$3:$B$28,MATCH(TRUE,ISNUMBER(SEARCH(Kamus!$A$3:$A$28,$D109)),0)),"Jabatan Lainnya"))</f>
        <v>Hakim</v>
      </c>
      <c r="T109" s="106" t="str" cm="1">
        <f t="array" ref="T109">IF(TRIM($I109)="","(tidak diisi)",IFERROR(INDEX(Kamus!$E$3:$E$162,MATCH(TRUE,ISNUMBER(SEARCH(Kamus!$D$3:$D$162,$I109)),0)),"Barang Lain / Tidak Terinci"))</f>
        <v>Makanan &amp; Minuman</v>
      </c>
      <c r="U109" s="106" t="str" cm="1">
        <f t="array" ref="U109">IF(TRIM($I109)="","(tidak diisi)",IFERROR(INDEX(Kamus!$H$3:$H$75,MATCH(TRUE,ISNUMBER(SEARCH(Kamus!$G$3:$G$75,$I109)),0)),"Pemberian Umum / Tanpa Konteks"))</f>
        <v>Paket Sembako</v>
      </c>
      <c r="V109" s="106" t="str">
        <f t="shared" si="3"/>
        <v>2025</v>
      </c>
      <c r="W109" s="106" t="str" cm="1">
        <f t="array" ref="W109">IF(TRIM($K109)="","(tidak diisi)",IFERROR(INDEX(Kamus!$K$3:$K$118,MATCH(TRUE,ISNUMBER(SEARCH(Kamus!$J$3:$J$118,$K109)),0)),"Individu / Perorangan"))</f>
        <v>Bank &amp; Lembaga Keuangan</v>
      </c>
      <c r="X109" s="106" t="str">
        <f t="shared" si="4"/>
        <v>02</v>
      </c>
      <c r="Y109" s="106" t="str" cm="1">
        <f t="array" ref="Y109">IFERROR(INDEX(Kamus!$N$3:$N$111,MATCH(TRUE,ISNUMBER(SEARCH(Kamus!$M$3:$M$111,$I109)),0)),"")</f>
        <v>Kegiatan Sosial / Bantuan (Paket Sembako)</v>
      </c>
      <c r="Z109" s="106" t="str">
        <f>IF(AND(OR($X109="02",$X109="03",$X109="04"),OR($T109="Parsel/Bingkisan (tidak dirinci)",$T109="Makanan &amp; Minuman",$T109="Peralatan Rumah Tangga / Pecah Belah",$T109="Pakaian &amp; Kain")),"Momen Hari Raya (dugaan musiman)",IFERROR(VLOOKUP($W109,Kamus!$P$3:$Q$14,2,FALSE),"Tidak Teridentifikasi"))</f>
        <v>Momen Hari Raya (dugaan musiman)</v>
      </c>
      <c r="AA109" s="106" t="str">
        <f t="shared" si="5"/>
        <v>Kegiatan Sosial / Bantuan (Paket Sembako)</v>
      </c>
    </row>
    <row r="110" spans="1:27">
      <c r="A110" s="106">
        <v>109</v>
      </c>
      <c r="B110" s="106" t="s">
        <v>1645</v>
      </c>
      <c r="C110" s="107" t="s">
        <v>1646</v>
      </c>
      <c r="D110" s="106" t="s">
        <v>1647</v>
      </c>
      <c r="E110" s="106" t="s">
        <v>1166</v>
      </c>
      <c r="F110" s="106" t="s">
        <v>1648</v>
      </c>
      <c r="G110" s="106" t="s">
        <v>1006</v>
      </c>
      <c r="H110" s="106" t="s">
        <v>1483</v>
      </c>
      <c r="I110" s="106" t="s">
        <v>1457</v>
      </c>
      <c r="K110" s="106" t="s">
        <v>1503</v>
      </c>
      <c r="L110" s="106" t="s">
        <v>1649</v>
      </c>
      <c r="O110" s="106" t="s">
        <v>274</v>
      </c>
      <c r="P110" s="106" t="s">
        <v>1173</v>
      </c>
      <c r="Q110" s="106" t="s">
        <v>431</v>
      </c>
      <c r="S110" s="106" t="str" cm="1">
        <f t="array" ref="S110">IF(TRIM($D110)="","(tidak diisi)",IFERROR(INDEX(Kamus!$B$3:$B$28,MATCH(TRUE,ISNUMBER(SEARCH(Kamus!$A$3:$A$28,$D110)),0)),"Jabatan Lainnya"))</f>
        <v>Jurusita</v>
      </c>
      <c r="T110" s="106" t="str" cm="1">
        <f t="array" ref="T110">IF(TRIM($I110)="","(tidak diisi)",IFERROR(INDEX(Kamus!$E$3:$E$162,MATCH(TRUE,ISNUMBER(SEARCH(Kamus!$D$3:$D$162,$I110)),0)),"Barang Lain / Tidak Terinci"))</f>
        <v>Makanan &amp; Minuman</v>
      </c>
      <c r="U110" s="106" t="str" cm="1">
        <f t="array" ref="U110">IF(TRIM($I110)="","(tidak diisi)",IFERROR(INDEX(Kamus!$H$3:$H$75,MATCH(TRUE,ISNUMBER(SEARCH(Kamus!$G$3:$G$75,$I110)),0)),"Pemberian Umum / Tanpa Konteks"))</f>
        <v>Paket Sembako</v>
      </c>
      <c r="V110" s="106" t="str">
        <f t="shared" si="3"/>
        <v>2025</v>
      </c>
      <c r="W110" s="106" t="str" cm="1">
        <f t="array" ref="W110">IF(TRIM($K110)="","(tidak diisi)",IFERROR(INDEX(Kamus!$K$3:$K$118,MATCH(TRUE,ISNUMBER(SEARCH(Kamus!$J$3:$J$118,$K110)),0)),"Individu / Perorangan"))</f>
        <v>Bank &amp; Lembaga Keuangan</v>
      </c>
      <c r="X110" s="106" t="str">
        <f t="shared" si="4"/>
        <v>02</v>
      </c>
      <c r="Y110" s="106" t="str" cm="1">
        <f t="array" ref="Y110">IFERROR(INDEX(Kamus!$N$3:$N$111,MATCH(TRUE,ISNUMBER(SEARCH(Kamus!$M$3:$M$111,$I110)),0)),"")</f>
        <v>Kegiatan Sosial / Bantuan (Paket Sembako)</v>
      </c>
      <c r="Z110" s="106" t="str">
        <f>IF(AND(OR($X110="02",$X110="03",$X110="04"),OR($T110="Parsel/Bingkisan (tidak dirinci)",$T110="Makanan &amp; Minuman",$T110="Peralatan Rumah Tangga / Pecah Belah",$T110="Pakaian &amp; Kain")),"Momen Hari Raya (dugaan musiman)",IFERROR(VLOOKUP($W110,Kamus!$P$3:$Q$14,2,FALSE),"Tidak Teridentifikasi"))</f>
        <v>Momen Hari Raya (dugaan musiman)</v>
      </c>
      <c r="AA110" s="106" t="str">
        <f t="shared" si="5"/>
        <v>Kegiatan Sosial / Bantuan (Paket Sembako)</v>
      </c>
    </row>
    <row r="111" spans="1:27">
      <c r="A111" s="106">
        <v>110</v>
      </c>
      <c r="B111" s="106" t="s">
        <v>1650</v>
      </c>
      <c r="C111" s="107" t="s">
        <v>1651</v>
      </c>
      <c r="D111" s="106" t="s">
        <v>1652</v>
      </c>
      <c r="E111" s="106" t="s">
        <v>1166</v>
      </c>
      <c r="F111" s="106" t="s">
        <v>1653</v>
      </c>
      <c r="G111" s="106" t="s">
        <v>1006</v>
      </c>
      <c r="H111" s="106" t="s">
        <v>1654</v>
      </c>
      <c r="I111" s="106" t="s">
        <v>1655</v>
      </c>
      <c r="K111" s="106" t="s">
        <v>1656</v>
      </c>
      <c r="L111" s="106" t="s">
        <v>1657</v>
      </c>
      <c r="O111" s="106" t="s">
        <v>274</v>
      </c>
      <c r="P111" s="106" t="s">
        <v>1173</v>
      </c>
      <c r="Q111" s="106" t="s">
        <v>431</v>
      </c>
      <c r="S111" s="106" t="str" cm="1">
        <f t="array" ref="S111">IF(TRIM($D111)="","(tidak diisi)",IFERROR(INDEX(Kamus!$B$3:$B$28,MATCH(TRUE,ISNUMBER(SEARCH(Kamus!$A$3:$A$28,$D111)),0)),"Jabatan Lainnya"))</f>
        <v>Panitera</v>
      </c>
      <c r="T111" s="106" t="str" cm="1">
        <f t="array" ref="T111">IF(TRIM($I111)="","(tidak diisi)",IFERROR(INDEX(Kamus!$E$3:$E$162,MATCH(TRUE,ISNUMBER(SEARCH(Kamus!$D$3:$D$162,$I111)),0)),"Barang Lain / Tidak Terinci"))</f>
        <v>Makanan &amp; Minuman</v>
      </c>
      <c r="U111" s="106" t="str" cm="1">
        <f t="array" ref="U111">IF(TRIM($I111)="","(tidak diisi)",IFERROR(INDEX(Kamus!$H$3:$H$75,MATCH(TRUE,ISNUMBER(SEARCH(Kamus!$G$3:$G$75,$I111)),0)),"Pemberian Umum / Tanpa Konteks"))</f>
        <v>Paket Sembako</v>
      </c>
      <c r="V111" s="106" t="str">
        <f t="shared" si="3"/>
        <v>2025</v>
      </c>
      <c r="W111" s="106" t="str" cm="1">
        <f t="array" ref="W111">IF(TRIM($K111)="","(tidak diisi)",IFERROR(INDEX(Kamus!$K$3:$K$118,MATCH(TRUE,ISNUMBER(SEARCH(Kamus!$J$3:$J$118,$K111)),0)),"Individu / Perorangan"))</f>
        <v>Bank &amp; Lembaga Keuangan</v>
      </c>
      <c r="X111" s="106" t="str">
        <f t="shared" si="4"/>
        <v>03</v>
      </c>
      <c r="Y111" s="106" t="str" cm="1">
        <f t="array" ref="Y111">IFERROR(INDEX(Kamus!$N$3:$N$111,MATCH(TRUE,ISNUMBER(SEARCH(Kamus!$M$3:$M$111,$I111)),0)),"")</f>
        <v>Kegiatan Sosial / Bantuan (Paket Sembako)</v>
      </c>
      <c r="Z111" s="106" t="str">
        <f>IF(AND(OR($X111="02",$X111="03",$X111="04"),OR($T111="Parsel/Bingkisan (tidak dirinci)",$T111="Makanan &amp; Minuman",$T111="Peralatan Rumah Tangga / Pecah Belah",$T111="Pakaian &amp; Kain")),"Momen Hari Raya (dugaan musiman)",IFERROR(VLOOKUP($W111,Kamus!$P$3:$Q$14,2,FALSE),"Tidak Teridentifikasi"))</f>
        <v>Momen Hari Raya (dugaan musiman)</v>
      </c>
      <c r="AA111" s="106" t="str">
        <f t="shared" si="5"/>
        <v>Kegiatan Sosial / Bantuan (Paket Sembako)</v>
      </c>
    </row>
    <row r="112" spans="1:27">
      <c r="A112" s="106">
        <v>111</v>
      </c>
      <c r="B112" s="106" t="s">
        <v>1629</v>
      </c>
      <c r="C112" s="107" t="s">
        <v>1630</v>
      </c>
      <c r="D112" s="106" t="s">
        <v>1631</v>
      </c>
      <c r="E112" s="106" t="s">
        <v>1632</v>
      </c>
      <c r="F112" s="106" t="s">
        <v>1658</v>
      </c>
      <c r="G112" s="106" t="s">
        <v>1006</v>
      </c>
      <c r="H112" s="106" t="s">
        <v>1434</v>
      </c>
      <c r="I112" s="106" t="s">
        <v>1659</v>
      </c>
      <c r="J112" s="106">
        <v>1000000</v>
      </c>
      <c r="K112" s="106" t="s">
        <v>1660</v>
      </c>
      <c r="L112" s="106" t="s">
        <v>1661</v>
      </c>
      <c r="M112" s="106" t="s">
        <v>1039</v>
      </c>
      <c r="O112" s="106" t="s">
        <v>274</v>
      </c>
      <c r="P112" s="106" t="s">
        <v>472</v>
      </c>
      <c r="Q112" s="106" t="s">
        <v>402</v>
      </c>
      <c r="S112" s="106" t="str" cm="1">
        <f t="array" ref="S112">IF(TRIM($D112)="","(tidak diisi)",IFERROR(INDEX(Kamus!$B$3:$B$28,MATCH(TRUE,ISNUMBER(SEARCH(Kamus!$A$3:$A$28,$D112)),0)),"Jabatan Lainnya"))</f>
        <v>Ketua Pengadilan</v>
      </c>
      <c r="T112" s="106" t="str" cm="1">
        <f t="array" ref="T112">IF(TRIM($I112)="","(tidak diisi)",IFERROR(INDEX(Kamus!$E$3:$E$162,MATCH(TRUE,ISNUMBER(SEARCH(Kamus!$D$3:$D$162,$I112)),0)),"Barang Lain / Tidak Terinci"))</f>
        <v>Buku &amp; Publikasi</v>
      </c>
      <c r="U112" s="106" t="str" cm="1">
        <f t="array" ref="U112">IF(TRIM($I112)="","(tidak diisi)",IFERROR(INDEX(Kamus!$H$3:$H$75,MATCH(TRUE,ISNUMBER(SEARCH(Kamus!$G$3:$G$75,$I112)),0)),"Pemberian Umum / Tanpa Konteks"))</f>
        <v>Suvenir / Merchandise Kegiatan &amp; Kunjungan</v>
      </c>
      <c r="V112" s="106" t="str">
        <f t="shared" si="3"/>
        <v>2025</v>
      </c>
      <c r="W112" s="106" t="str" cm="1">
        <f t="array" ref="W112">IF(TRIM($K112)="","(tidak diisi)",IFERROR(INDEX(Kamus!$K$3:$K$118,MATCH(TRUE,ISNUMBER(SEARCH(Kamus!$J$3:$J$118,$K112)),0)),"Individu / Perorangan"))</f>
        <v>Individu / Perorangan</v>
      </c>
      <c r="X112" s="106" t="str">
        <f t="shared" si="4"/>
        <v>02</v>
      </c>
      <c r="Y112" s="106" t="str" cm="1">
        <f t="array" ref="Y112">IFERROR(INDEX(Kamus!$N$3:$N$111,MATCH(TRUE,ISNUMBER(SEARCH(Kamus!$M$3:$M$111,$I112)),0)),"")</f>
        <v/>
      </c>
      <c r="Z112" s="106" t="str">
        <f>IF(AND(OR($X112="02",$X112="03",$X112="04"),OR($T112="Parsel/Bingkisan (tidak dirinci)",$T112="Makanan &amp; Minuman",$T112="Peralatan Rumah Tangga / Pecah Belah",$T112="Pakaian &amp; Kain")),"Momen Hari Raya (dugaan musiman)",IFERROR(VLOOKUP($W112,Kamus!$P$3:$Q$14,2,FALSE),"Tidak Teridentifikasi"))</f>
        <v>Relasi Personal / Tidak Teridentifikasi</v>
      </c>
      <c r="AA112" s="106" t="str">
        <f t="shared" si="5"/>
        <v>Relasi Personal / Tidak Teridentifikasi</v>
      </c>
    </row>
    <row r="113" spans="1:27">
      <c r="A113" s="106">
        <v>112</v>
      </c>
      <c r="B113" s="106" t="s">
        <v>1662</v>
      </c>
      <c r="C113" s="107" t="s">
        <v>1663</v>
      </c>
      <c r="D113" s="106" t="s">
        <v>1664</v>
      </c>
      <c r="E113" s="106" t="s">
        <v>1166</v>
      </c>
      <c r="F113" s="106" t="s">
        <v>1665</v>
      </c>
      <c r="G113" s="106" t="s">
        <v>1006</v>
      </c>
      <c r="H113" s="106" t="s">
        <v>1602</v>
      </c>
      <c r="I113" s="106" t="s">
        <v>1465</v>
      </c>
      <c r="K113" s="106" t="s">
        <v>1666</v>
      </c>
      <c r="L113" s="106" t="s">
        <v>1667</v>
      </c>
      <c r="O113" s="106" t="s">
        <v>274</v>
      </c>
      <c r="P113" s="106" t="s">
        <v>1173</v>
      </c>
      <c r="Q113" s="106" t="s">
        <v>431</v>
      </c>
      <c r="S113" s="106" t="str" cm="1">
        <f t="array" ref="S113">IF(TRIM($D113)="","(tidak diisi)",IFERROR(INDEX(Kamus!$B$3:$B$28,MATCH(TRUE,ISNUMBER(SEARCH(Kamus!$A$3:$A$28,$D113)),0)),"Jabatan Lainnya"))</f>
        <v>Staf/Pegawai Pelaksana</v>
      </c>
      <c r="T113" s="106" t="str" cm="1">
        <f t="array" ref="T113">IF(TRIM($I113)="","(tidak diisi)",IFERROR(INDEX(Kamus!$E$3:$E$162,MATCH(TRUE,ISNUMBER(SEARCH(Kamus!$D$3:$D$162,$I113)),0)),"Barang Lain / Tidak Terinci"))</f>
        <v>Makanan &amp; Minuman</v>
      </c>
      <c r="U113" s="106" t="str" cm="1">
        <f t="array" ref="U113">IF(TRIM($I113)="","(tidak diisi)",IFERROR(INDEX(Kamus!$H$3:$H$75,MATCH(TRUE,ISNUMBER(SEARCH(Kamus!$G$3:$G$75,$I113)),0)),"Pemberian Umum / Tanpa Konteks"))</f>
        <v>Paket Sembako</v>
      </c>
      <c r="V113" s="106" t="str">
        <f t="shared" si="3"/>
        <v>2025</v>
      </c>
      <c r="W113" s="106" t="str" cm="1">
        <f t="array" ref="W113">IF(TRIM($K113)="","(tidak diisi)",IFERROR(INDEX(Kamus!$K$3:$K$118,MATCH(TRUE,ISNUMBER(SEARCH(Kamus!$J$3:$J$118,$K113)),0)),"Individu / Perorangan"))</f>
        <v>Bank &amp; Lembaga Keuangan</v>
      </c>
      <c r="X113" s="106" t="str">
        <f t="shared" si="4"/>
        <v>03</v>
      </c>
      <c r="Y113" s="106" t="str" cm="1">
        <f t="array" ref="Y113">IFERROR(INDEX(Kamus!$N$3:$N$111,MATCH(TRUE,ISNUMBER(SEARCH(Kamus!$M$3:$M$111,$I113)),0)),"")</f>
        <v>Kegiatan Sosial / Bantuan (Paket Sembako)</v>
      </c>
      <c r="Z113" s="106" t="str">
        <f>IF(AND(OR($X113="02",$X113="03",$X113="04"),OR($T113="Parsel/Bingkisan (tidak dirinci)",$T113="Makanan &amp; Minuman",$T113="Peralatan Rumah Tangga / Pecah Belah",$T113="Pakaian &amp; Kain")),"Momen Hari Raya (dugaan musiman)",IFERROR(VLOOKUP($W113,Kamus!$P$3:$Q$14,2,FALSE),"Tidak Teridentifikasi"))</f>
        <v>Momen Hari Raya (dugaan musiman)</v>
      </c>
      <c r="AA113" s="106" t="str">
        <f t="shared" si="5"/>
        <v>Kegiatan Sosial / Bantuan (Paket Sembako)</v>
      </c>
    </row>
    <row r="114" spans="1:27">
      <c r="A114" s="106">
        <v>113</v>
      </c>
      <c r="B114" s="106" t="s">
        <v>1668</v>
      </c>
      <c r="C114" s="107" t="s">
        <v>1669</v>
      </c>
      <c r="D114" s="106" t="s">
        <v>1670</v>
      </c>
      <c r="E114" s="106" t="s">
        <v>1166</v>
      </c>
      <c r="F114" s="106" t="s">
        <v>1671</v>
      </c>
      <c r="G114" s="106" t="s">
        <v>1006</v>
      </c>
      <c r="H114" s="106" t="s">
        <v>1483</v>
      </c>
      <c r="I114" s="106" t="s">
        <v>1457</v>
      </c>
      <c r="K114" s="106" t="s">
        <v>1503</v>
      </c>
      <c r="L114" s="106" t="s">
        <v>1672</v>
      </c>
      <c r="O114" s="106" t="s">
        <v>274</v>
      </c>
      <c r="P114" s="106" t="s">
        <v>1173</v>
      </c>
      <c r="Q114" s="106" t="s">
        <v>431</v>
      </c>
      <c r="S114" s="106" t="str" cm="1">
        <f t="array" ref="S114">IF(TRIM($D114)="","(tidak diisi)",IFERROR(INDEX(Kamus!$B$3:$B$28,MATCH(TRUE,ISNUMBER(SEARCH(Kamus!$A$3:$A$28,$D114)),0)),"Jabatan Lainnya"))</f>
        <v>Staf/Pegawai Pelaksana</v>
      </c>
      <c r="T114" s="106" t="str" cm="1">
        <f t="array" ref="T114">IF(TRIM($I114)="","(tidak diisi)",IFERROR(INDEX(Kamus!$E$3:$E$162,MATCH(TRUE,ISNUMBER(SEARCH(Kamus!$D$3:$D$162,$I114)),0)),"Barang Lain / Tidak Terinci"))</f>
        <v>Makanan &amp; Minuman</v>
      </c>
      <c r="U114" s="106" t="str" cm="1">
        <f t="array" ref="U114">IF(TRIM($I114)="","(tidak diisi)",IFERROR(INDEX(Kamus!$H$3:$H$75,MATCH(TRUE,ISNUMBER(SEARCH(Kamus!$G$3:$G$75,$I114)),0)),"Pemberian Umum / Tanpa Konteks"))</f>
        <v>Paket Sembako</v>
      </c>
      <c r="V114" s="106" t="str">
        <f t="shared" si="3"/>
        <v>2025</v>
      </c>
      <c r="W114" s="106" t="str" cm="1">
        <f t="array" ref="W114">IF(TRIM($K114)="","(tidak diisi)",IFERROR(INDEX(Kamus!$K$3:$K$118,MATCH(TRUE,ISNUMBER(SEARCH(Kamus!$J$3:$J$118,$K114)),0)),"Individu / Perorangan"))</f>
        <v>Bank &amp; Lembaga Keuangan</v>
      </c>
      <c r="X114" s="106" t="str">
        <f t="shared" si="4"/>
        <v>02</v>
      </c>
      <c r="Y114" s="106" t="str" cm="1">
        <f t="array" ref="Y114">IFERROR(INDEX(Kamus!$N$3:$N$111,MATCH(TRUE,ISNUMBER(SEARCH(Kamus!$M$3:$M$111,$I114)),0)),"")</f>
        <v>Kegiatan Sosial / Bantuan (Paket Sembako)</v>
      </c>
      <c r="Z114" s="106" t="str">
        <f>IF(AND(OR($X114="02",$X114="03",$X114="04"),OR($T114="Parsel/Bingkisan (tidak dirinci)",$T114="Makanan &amp; Minuman",$T114="Peralatan Rumah Tangga / Pecah Belah",$T114="Pakaian &amp; Kain")),"Momen Hari Raya (dugaan musiman)",IFERROR(VLOOKUP($W114,Kamus!$P$3:$Q$14,2,FALSE),"Tidak Teridentifikasi"))</f>
        <v>Momen Hari Raya (dugaan musiman)</v>
      </c>
      <c r="AA114" s="106" t="str">
        <f t="shared" si="5"/>
        <v>Kegiatan Sosial / Bantuan (Paket Sembako)</v>
      </c>
    </row>
    <row r="115" spans="1:27">
      <c r="A115" s="106">
        <v>114</v>
      </c>
      <c r="B115" s="106" t="s">
        <v>1673</v>
      </c>
      <c r="C115" s="107" t="s">
        <v>1674</v>
      </c>
      <c r="D115" s="106" t="s">
        <v>1432</v>
      </c>
      <c r="E115" s="106" t="s">
        <v>1166</v>
      </c>
      <c r="F115" s="106" t="s">
        <v>1675</v>
      </c>
      <c r="G115" s="106" t="s">
        <v>1006</v>
      </c>
      <c r="H115" s="106" t="s">
        <v>1483</v>
      </c>
      <c r="I115" s="106" t="s">
        <v>1457</v>
      </c>
      <c r="K115" s="106" t="s">
        <v>1503</v>
      </c>
      <c r="L115" s="106" t="s">
        <v>1676</v>
      </c>
      <c r="O115" s="106" t="s">
        <v>274</v>
      </c>
      <c r="P115" s="106" t="s">
        <v>1173</v>
      </c>
      <c r="Q115" s="106" t="s">
        <v>431</v>
      </c>
      <c r="S115" s="106" t="str" cm="1">
        <f t="array" ref="S115">IF(TRIM($D115)="","(tidak diisi)",IFERROR(INDEX(Kamus!$B$3:$B$28,MATCH(TRUE,ISNUMBER(SEARCH(Kamus!$A$3:$A$28,$D115)),0)),"Jabatan Lainnya"))</f>
        <v>Hakim</v>
      </c>
      <c r="T115" s="106" t="str" cm="1">
        <f t="array" ref="T115">IF(TRIM($I115)="","(tidak diisi)",IFERROR(INDEX(Kamus!$E$3:$E$162,MATCH(TRUE,ISNUMBER(SEARCH(Kamus!$D$3:$D$162,$I115)),0)),"Barang Lain / Tidak Terinci"))</f>
        <v>Makanan &amp; Minuman</v>
      </c>
      <c r="U115" s="106" t="str" cm="1">
        <f t="array" ref="U115">IF(TRIM($I115)="","(tidak diisi)",IFERROR(INDEX(Kamus!$H$3:$H$75,MATCH(TRUE,ISNUMBER(SEARCH(Kamus!$G$3:$G$75,$I115)),0)),"Pemberian Umum / Tanpa Konteks"))</f>
        <v>Paket Sembako</v>
      </c>
      <c r="V115" s="106" t="str">
        <f t="shared" si="3"/>
        <v>2025</v>
      </c>
      <c r="W115" s="106" t="str" cm="1">
        <f t="array" ref="W115">IF(TRIM($K115)="","(tidak diisi)",IFERROR(INDEX(Kamus!$K$3:$K$118,MATCH(TRUE,ISNUMBER(SEARCH(Kamus!$J$3:$J$118,$K115)),0)),"Individu / Perorangan"))</f>
        <v>Bank &amp; Lembaga Keuangan</v>
      </c>
      <c r="X115" s="106" t="str">
        <f t="shared" si="4"/>
        <v>02</v>
      </c>
      <c r="Y115" s="106" t="str" cm="1">
        <f t="array" ref="Y115">IFERROR(INDEX(Kamus!$N$3:$N$111,MATCH(TRUE,ISNUMBER(SEARCH(Kamus!$M$3:$M$111,$I115)),0)),"")</f>
        <v>Kegiatan Sosial / Bantuan (Paket Sembako)</v>
      </c>
      <c r="Z115" s="106" t="str">
        <f>IF(AND(OR($X115="02",$X115="03",$X115="04"),OR($T115="Parsel/Bingkisan (tidak dirinci)",$T115="Makanan &amp; Minuman",$T115="Peralatan Rumah Tangga / Pecah Belah",$T115="Pakaian &amp; Kain")),"Momen Hari Raya (dugaan musiman)",IFERROR(VLOOKUP($W115,Kamus!$P$3:$Q$14,2,FALSE),"Tidak Teridentifikasi"))</f>
        <v>Momen Hari Raya (dugaan musiman)</v>
      </c>
      <c r="AA115" s="106" t="str">
        <f t="shared" si="5"/>
        <v>Kegiatan Sosial / Bantuan (Paket Sembako)</v>
      </c>
    </row>
    <row r="116" spans="1:27">
      <c r="A116" s="106">
        <v>115</v>
      </c>
      <c r="B116" s="106" t="s">
        <v>1677</v>
      </c>
      <c r="C116" s="107" t="s">
        <v>1678</v>
      </c>
      <c r="D116" s="106" t="s">
        <v>1679</v>
      </c>
      <c r="E116" s="106" t="s">
        <v>1166</v>
      </c>
      <c r="F116" s="106" t="s">
        <v>1680</v>
      </c>
      <c r="G116" s="106" t="s">
        <v>1006</v>
      </c>
      <c r="H116" s="106" t="s">
        <v>1681</v>
      </c>
      <c r="I116" s="106" t="s">
        <v>1457</v>
      </c>
      <c r="K116" s="106" t="s">
        <v>1503</v>
      </c>
      <c r="L116" s="106" t="s">
        <v>1682</v>
      </c>
      <c r="O116" s="106" t="s">
        <v>274</v>
      </c>
      <c r="P116" s="106" t="s">
        <v>1173</v>
      </c>
      <c r="Q116" s="106" t="s">
        <v>431</v>
      </c>
      <c r="S116" s="106" t="str" cm="1">
        <f t="array" ref="S116">IF(TRIM($D116)="","(tidak diisi)",IFERROR(INDEX(Kamus!$B$3:$B$28,MATCH(TRUE,ISNUMBER(SEARCH(Kamus!$A$3:$A$28,$D116)),0)),"Jabatan Lainnya"))</f>
        <v>Jurusita</v>
      </c>
      <c r="T116" s="106" t="str" cm="1">
        <f t="array" ref="T116">IF(TRIM($I116)="","(tidak diisi)",IFERROR(INDEX(Kamus!$E$3:$E$162,MATCH(TRUE,ISNUMBER(SEARCH(Kamus!$D$3:$D$162,$I116)),0)),"Barang Lain / Tidak Terinci"))</f>
        <v>Makanan &amp; Minuman</v>
      </c>
      <c r="U116" s="106" t="str" cm="1">
        <f t="array" ref="U116">IF(TRIM($I116)="","(tidak diisi)",IFERROR(INDEX(Kamus!$H$3:$H$75,MATCH(TRUE,ISNUMBER(SEARCH(Kamus!$G$3:$G$75,$I116)),0)),"Pemberian Umum / Tanpa Konteks"))</f>
        <v>Paket Sembako</v>
      </c>
      <c r="V116" s="106" t="str">
        <f t="shared" si="3"/>
        <v>2025</v>
      </c>
      <c r="W116" s="106" t="str" cm="1">
        <f t="array" ref="W116">IF(TRIM($K116)="","(tidak diisi)",IFERROR(INDEX(Kamus!$K$3:$K$118,MATCH(TRUE,ISNUMBER(SEARCH(Kamus!$J$3:$J$118,$K116)),0)),"Individu / Perorangan"))</f>
        <v>Bank &amp; Lembaga Keuangan</v>
      </c>
      <c r="X116" s="106" t="str">
        <f t="shared" si="4"/>
        <v>03</v>
      </c>
      <c r="Y116" s="106" t="str" cm="1">
        <f t="array" ref="Y116">IFERROR(INDEX(Kamus!$N$3:$N$111,MATCH(TRUE,ISNUMBER(SEARCH(Kamus!$M$3:$M$111,$I116)),0)),"")</f>
        <v>Kegiatan Sosial / Bantuan (Paket Sembako)</v>
      </c>
      <c r="Z116" s="106" t="str">
        <f>IF(AND(OR($X116="02",$X116="03",$X116="04"),OR($T116="Parsel/Bingkisan (tidak dirinci)",$T116="Makanan &amp; Minuman",$T116="Peralatan Rumah Tangga / Pecah Belah",$T116="Pakaian &amp; Kain")),"Momen Hari Raya (dugaan musiman)",IFERROR(VLOOKUP($W116,Kamus!$P$3:$Q$14,2,FALSE),"Tidak Teridentifikasi"))</f>
        <v>Momen Hari Raya (dugaan musiman)</v>
      </c>
      <c r="AA116" s="106" t="str">
        <f t="shared" si="5"/>
        <v>Kegiatan Sosial / Bantuan (Paket Sembako)</v>
      </c>
    </row>
    <row r="117" spans="1:27">
      <c r="A117" s="106">
        <v>116</v>
      </c>
      <c r="B117" s="106" t="s">
        <v>1304</v>
      </c>
      <c r="C117" s="107" t="s">
        <v>1305</v>
      </c>
      <c r="D117" s="106" t="s">
        <v>1306</v>
      </c>
      <c r="E117" s="106" t="s">
        <v>1307</v>
      </c>
      <c r="F117" s="106" t="s">
        <v>1683</v>
      </c>
      <c r="G117" s="106" t="s">
        <v>1006</v>
      </c>
      <c r="H117" s="106" t="s">
        <v>1684</v>
      </c>
      <c r="I117" s="106" t="s">
        <v>1685</v>
      </c>
      <c r="J117" s="106">
        <v>100000</v>
      </c>
      <c r="K117" s="106" t="s">
        <v>1686</v>
      </c>
      <c r="L117" s="106" t="s">
        <v>1687</v>
      </c>
      <c r="M117" s="106" t="s">
        <v>1360</v>
      </c>
      <c r="O117" s="106" t="s">
        <v>274</v>
      </c>
      <c r="P117" s="106" t="s">
        <v>597</v>
      </c>
      <c r="Q117" s="106" t="s">
        <v>427</v>
      </c>
      <c r="S117" s="106" t="str" cm="1">
        <f t="array" ref="S117">IF(TRIM($D117)="","(tidak diisi)",IFERROR(INDEX(Kamus!$B$3:$B$28,MATCH(TRUE,ISNUMBER(SEARCH(Kamus!$A$3:$A$28,$D117)),0)),"Jabatan Lainnya"))</f>
        <v>Pejabat Struktural (Kasubbag/Kabag)</v>
      </c>
      <c r="T117" s="106" t="str" cm="1">
        <f t="array" ref="T117">IF(TRIM($I117)="","(tidak diisi)",IFERROR(INDEX(Kamus!$E$3:$E$162,MATCH(TRUE,ISNUMBER(SEARCH(Kamus!$D$3:$D$162,$I117)),0)),"Barang Lain / Tidak Terinci"))</f>
        <v>Makanan &amp; Minuman</v>
      </c>
      <c r="U117" s="106" t="str" cm="1">
        <f t="array" ref="U117">IF(TRIM($I117)="","(tidak diisi)",IFERROR(INDEX(Kamus!$H$3:$H$75,MATCH(TRUE,ISNUMBER(SEARCH(Kamus!$G$3:$G$75,$I117)),0)),"Pemberian Umum / Tanpa Konteks"))</f>
        <v>Pemberian Umum / Tanpa Konteks</v>
      </c>
      <c r="V117" s="106" t="str">
        <f t="shared" si="3"/>
        <v>2025</v>
      </c>
      <c r="W117" s="106" t="str" cm="1">
        <f t="array" ref="W117">IF(TRIM($K117)="","(tidak diisi)",IFERROR(INDEX(Kamus!$K$3:$K$118,MATCH(TRUE,ISNUMBER(SEARCH(Kamus!$J$3:$J$118,$K117)),0)),"Individu / Perorangan"))</f>
        <v>Individu / Perorangan</v>
      </c>
      <c r="X117" s="106" t="str">
        <f t="shared" si="4"/>
        <v>03</v>
      </c>
      <c r="Y117" s="106" t="str" cm="1">
        <f t="array" ref="Y117">IFERROR(INDEX(Kamus!$N$3:$N$111,MATCH(TRUE,ISNUMBER(SEARCH(Kamus!$M$3:$M$111,$I117)),0)),"")</f>
        <v/>
      </c>
      <c r="Z117" s="106" t="str">
        <f>IF(AND(OR($X117="02",$X117="03",$X117="04"),OR($T117="Parsel/Bingkisan (tidak dirinci)",$T117="Makanan &amp; Minuman",$T117="Peralatan Rumah Tangga / Pecah Belah",$T117="Pakaian &amp; Kain")),"Momen Hari Raya (dugaan musiman)",IFERROR(VLOOKUP($W117,Kamus!$P$3:$Q$14,2,FALSE),"Tidak Teridentifikasi"))</f>
        <v>Momen Hari Raya (dugaan musiman)</v>
      </c>
      <c r="AA117" s="106" t="str">
        <f t="shared" si="5"/>
        <v>Momen Hari Raya (dugaan musiman)</v>
      </c>
    </row>
    <row r="118" spans="1:27">
      <c r="A118" s="106">
        <v>117</v>
      </c>
      <c r="B118" s="106" t="s">
        <v>1629</v>
      </c>
      <c r="C118" s="107" t="s">
        <v>1630</v>
      </c>
      <c r="D118" s="106" t="s">
        <v>1631</v>
      </c>
      <c r="E118" s="106" t="s">
        <v>1632</v>
      </c>
      <c r="F118" s="106" t="s">
        <v>1688</v>
      </c>
      <c r="G118" s="106" t="s">
        <v>1074</v>
      </c>
      <c r="H118" s="106" t="s">
        <v>1684</v>
      </c>
      <c r="I118" s="106" t="s">
        <v>1689</v>
      </c>
      <c r="K118" s="106" t="s">
        <v>1690</v>
      </c>
      <c r="L118" s="106" t="s">
        <v>1691</v>
      </c>
      <c r="O118" s="106" t="s">
        <v>274</v>
      </c>
      <c r="P118" s="106" t="s">
        <v>472</v>
      </c>
      <c r="Q118" s="106" t="s">
        <v>402</v>
      </c>
      <c r="S118" s="106" t="str" cm="1">
        <f t="array" ref="S118">IF(TRIM($D118)="","(tidak diisi)",IFERROR(INDEX(Kamus!$B$3:$B$28,MATCH(TRUE,ISNUMBER(SEARCH(Kamus!$A$3:$A$28,$D118)),0)),"Jabatan Lainnya"))</f>
        <v>Ketua Pengadilan</v>
      </c>
      <c r="T118" s="106" t="str" cm="1">
        <f t="array" ref="T118">IF(TRIM($I118)="","(tidak diisi)",IFERROR(INDEX(Kamus!$E$3:$E$162,MATCH(TRUE,ISNUMBER(SEARCH(Kamus!$D$3:$D$162,$I118)),0)),"Barang Lain / Tidak Terinci"))</f>
        <v>Peralatan Rumah Tangga / Pecah Belah</v>
      </c>
      <c r="U118" s="106" t="str" cm="1">
        <f t="array" ref="U118">IF(TRIM($I118)="","(tidak diisi)",IFERROR(INDEX(Kamus!$H$3:$H$75,MATCH(TRUE,ISNUMBER(SEARCH(Kamus!$G$3:$G$75,$I118)),0)),"Pemberian Umum / Tanpa Konteks"))</f>
        <v>Bingkisan Hari Raya / Keagamaan</v>
      </c>
      <c r="V118" s="106" t="str">
        <f t="shared" si="3"/>
        <v>2025</v>
      </c>
      <c r="W118" s="106" t="str" cm="1">
        <f t="array" ref="W118">IF(TRIM($K118)="","(tidak diisi)",IFERROR(INDEX(Kamus!$K$3:$K$118,MATCH(TRUE,ISNUMBER(SEARCH(Kamus!$J$3:$J$118,$K118)),0)),"Individu / Perorangan"))</f>
        <v>Individu / Perorangan</v>
      </c>
      <c r="X118" s="106" t="str">
        <f t="shared" si="4"/>
        <v>03</v>
      </c>
      <c r="Y118" s="106" t="str" cm="1">
        <f t="array" ref="Y118">IFERROR(INDEX(Kamus!$N$3:$N$111,MATCH(TRUE,ISNUMBER(SEARCH(Kamus!$M$3:$M$111,$I118)),0)),"")</f>
        <v>Momen Hari Raya (Ramadan/Idulfitri)</v>
      </c>
      <c r="Z118" s="106" t="str">
        <f>IF(AND(OR($X118="02",$X118="03",$X118="04"),OR($T118="Parsel/Bingkisan (tidak dirinci)",$T118="Makanan &amp; Minuman",$T118="Peralatan Rumah Tangga / Pecah Belah",$T118="Pakaian &amp; Kain")),"Momen Hari Raya (dugaan musiman)",IFERROR(VLOOKUP($W118,Kamus!$P$3:$Q$14,2,FALSE),"Tidak Teridentifikasi"))</f>
        <v>Momen Hari Raya (dugaan musiman)</v>
      </c>
      <c r="AA118" s="106" t="str">
        <f t="shared" si="5"/>
        <v>Momen Hari Raya (Ramadan/Idulfitri)</v>
      </c>
    </row>
    <row r="119" spans="1:27">
      <c r="A119" s="106">
        <v>118</v>
      </c>
      <c r="B119" s="106" t="s">
        <v>1304</v>
      </c>
      <c r="C119" s="107" t="s">
        <v>1305</v>
      </c>
      <c r="D119" s="106" t="s">
        <v>1306</v>
      </c>
      <c r="E119" s="106" t="s">
        <v>1307</v>
      </c>
      <c r="F119" s="106" t="s">
        <v>1692</v>
      </c>
      <c r="G119" s="106" t="s">
        <v>1006</v>
      </c>
      <c r="H119" s="106" t="s">
        <v>1684</v>
      </c>
      <c r="I119" s="106" t="s">
        <v>1693</v>
      </c>
      <c r="J119" s="106">
        <v>35000</v>
      </c>
      <c r="K119" s="106" t="s">
        <v>1694</v>
      </c>
      <c r="L119" s="106" t="s">
        <v>1695</v>
      </c>
      <c r="M119" s="106" t="s">
        <v>1039</v>
      </c>
      <c r="O119" s="106" t="s">
        <v>274</v>
      </c>
      <c r="P119" s="106" t="s">
        <v>597</v>
      </c>
      <c r="Q119" s="106" t="s">
        <v>427</v>
      </c>
      <c r="S119" s="106" t="str" cm="1">
        <f t="array" ref="S119">IF(TRIM($D119)="","(tidak diisi)",IFERROR(INDEX(Kamus!$B$3:$B$28,MATCH(TRUE,ISNUMBER(SEARCH(Kamus!$A$3:$A$28,$D119)),0)),"Jabatan Lainnya"))</f>
        <v>Pejabat Struktural (Kasubbag/Kabag)</v>
      </c>
      <c r="T119" s="106" t="str" cm="1">
        <f t="array" ref="T119">IF(TRIM($I119)="","(tidak diisi)",IFERROR(INDEX(Kamus!$E$3:$E$162,MATCH(TRUE,ISNUMBER(SEARCH(Kamus!$D$3:$D$162,$I119)),0)),"Barang Lain / Tidak Terinci"))</f>
        <v>Suvenir &amp; Merchandise</v>
      </c>
      <c r="U119" s="106" t="str" cm="1">
        <f t="array" ref="U119">IF(TRIM($I119)="","(tidak diisi)",IFERROR(INDEX(Kamus!$H$3:$H$75,MATCH(TRUE,ISNUMBER(SEARCH(Kamus!$G$3:$G$75,$I119)),0)),"Pemberian Umum / Tanpa Konteks"))</f>
        <v>Pemberian Umum / Tanpa Konteks</v>
      </c>
      <c r="V119" s="106" t="str">
        <f t="shared" si="3"/>
        <v>2025</v>
      </c>
      <c r="W119" s="106" t="str" cm="1">
        <f t="array" ref="W119">IF(TRIM($K119)="","(tidak diisi)",IFERROR(INDEX(Kamus!$K$3:$K$118,MATCH(TRUE,ISNUMBER(SEARCH(Kamus!$J$3:$J$118,$K119)),0)),"Individu / Perorangan"))</f>
        <v>Individu / Perorangan</v>
      </c>
      <c r="X119" s="106" t="str">
        <f t="shared" si="4"/>
        <v>03</v>
      </c>
      <c r="Y119" s="106" t="str" cm="1">
        <f t="array" ref="Y119">IFERROR(INDEX(Kamus!$N$3:$N$111,MATCH(TRUE,ISNUMBER(SEARCH(Kamus!$M$3:$M$111,$I119)),0)),"")</f>
        <v/>
      </c>
      <c r="Z119" s="106" t="str">
        <f>IF(AND(OR($X119="02",$X119="03",$X119="04"),OR($T119="Parsel/Bingkisan (tidak dirinci)",$T119="Makanan &amp; Minuman",$T119="Peralatan Rumah Tangga / Pecah Belah",$T119="Pakaian &amp; Kain")),"Momen Hari Raya (dugaan musiman)",IFERROR(VLOOKUP($W119,Kamus!$P$3:$Q$14,2,FALSE),"Tidak Teridentifikasi"))</f>
        <v>Relasi Personal / Tidak Teridentifikasi</v>
      </c>
      <c r="AA119" s="106" t="str">
        <f t="shared" si="5"/>
        <v>Relasi Personal / Tidak Teridentifikasi</v>
      </c>
    </row>
    <row r="120" spans="1:27">
      <c r="A120" s="106">
        <v>119</v>
      </c>
      <c r="B120" s="106" t="s">
        <v>1696</v>
      </c>
      <c r="C120" s="107" t="s">
        <v>1697</v>
      </c>
      <c r="D120" s="106" t="s">
        <v>1208</v>
      </c>
      <c r="E120" s="106" t="s">
        <v>1166</v>
      </c>
      <c r="F120" s="106" t="s">
        <v>1698</v>
      </c>
      <c r="G120" s="106" t="s">
        <v>1006</v>
      </c>
      <c r="H120" s="106" t="s">
        <v>1483</v>
      </c>
      <c r="I120" s="106" t="s">
        <v>1699</v>
      </c>
      <c r="K120" s="106" t="s">
        <v>1503</v>
      </c>
      <c r="L120" s="106" t="s">
        <v>1700</v>
      </c>
      <c r="O120" s="106" t="s">
        <v>274</v>
      </c>
      <c r="P120" s="106" t="s">
        <v>1173</v>
      </c>
      <c r="Q120" s="106" t="s">
        <v>431</v>
      </c>
      <c r="S120" s="106" t="str" cm="1">
        <f t="array" ref="S120">IF(TRIM($D120)="","(tidak diisi)",IFERROR(INDEX(Kamus!$B$3:$B$28,MATCH(TRUE,ISNUMBER(SEARCH(Kamus!$A$3:$A$28,$D120)),0)),"Jabatan Lainnya"))</f>
        <v>Staf/Pegawai Pelaksana</v>
      </c>
      <c r="T120" s="106" t="str" cm="1">
        <f t="array" ref="T120">IF(TRIM($I120)="","(tidak diisi)",IFERROR(INDEX(Kamus!$E$3:$E$162,MATCH(TRUE,ISNUMBER(SEARCH(Kamus!$D$3:$D$162,$I120)),0)),"Barang Lain / Tidak Terinci"))</f>
        <v>Makanan &amp; Minuman</v>
      </c>
      <c r="U120" s="106" t="str" cm="1">
        <f t="array" ref="U120">IF(TRIM($I120)="","(tidak diisi)",IFERROR(INDEX(Kamus!$H$3:$H$75,MATCH(TRUE,ISNUMBER(SEARCH(Kamus!$G$3:$G$75,$I120)),0)),"Pemberian Umum / Tanpa Konteks"))</f>
        <v>Paket Sembako</v>
      </c>
      <c r="V120" s="106" t="str">
        <f t="shared" si="3"/>
        <v>2025</v>
      </c>
      <c r="W120" s="106" t="str" cm="1">
        <f t="array" ref="W120">IF(TRIM($K120)="","(tidak diisi)",IFERROR(INDEX(Kamus!$K$3:$K$118,MATCH(TRUE,ISNUMBER(SEARCH(Kamus!$J$3:$J$118,$K120)),0)),"Individu / Perorangan"))</f>
        <v>Bank &amp; Lembaga Keuangan</v>
      </c>
      <c r="X120" s="106" t="str">
        <f t="shared" si="4"/>
        <v>02</v>
      </c>
      <c r="Y120" s="106" t="str" cm="1">
        <f t="array" ref="Y120">IFERROR(INDEX(Kamus!$N$3:$N$111,MATCH(TRUE,ISNUMBER(SEARCH(Kamus!$M$3:$M$111,$I120)),0)),"")</f>
        <v>Kegiatan Sosial / Bantuan (Paket Sembako)</v>
      </c>
      <c r="Z120" s="106" t="str">
        <f>IF(AND(OR($X120="02",$X120="03",$X120="04"),OR($T120="Parsel/Bingkisan (tidak dirinci)",$T120="Makanan &amp; Minuman",$T120="Peralatan Rumah Tangga / Pecah Belah",$T120="Pakaian &amp; Kain")),"Momen Hari Raya (dugaan musiman)",IFERROR(VLOOKUP($W120,Kamus!$P$3:$Q$14,2,FALSE),"Tidak Teridentifikasi"))</f>
        <v>Momen Hari Raya (dugaan musiman)</v>
      </c>
      <c r="AA120" s="106" t="str">
        <f t="shared" si="5"/>
        <v>Kegiatan Sosial / Bantuan (Paket Sembako)</v>
      </c>
    </row>
    <row r="121" spans="1:27">
      <c r="A121" s="106">
        <v>120</v>
      </c>
      <c r="B121" s="106" t="s">
        <v>1701</v>
      </c>
      <c r="C121" s="107" t="s">
        <v>1702</v>
      </c>
      <c r="D121" s="106" t="s">
        <v>1208</v>
      </c>
      <c r="E121" s="106" t="s">
        <v>1166</v>
      </c>
      <c r="F121" s="106" t="s">
        <v>1703</v>
      </c>
      <c r="G121" s="106" t="s">
        <v>1006</v>
      </c>
      <c r="H121" s="106" t="s">
        <v>1483</v>
      </c>
      <c r="I121" s="106" t="s">
        <v>1457</v>
      </c>
      <c r="K121" s="106" t="s">
        <v>1503</v>
      </c>
      <c r="L121" s="106" t="s">
        <v>1704</v>
      </c>
      <c r="O121" s="106" t="s">
        <v>274</v>
      </c>
      <c r="P121" s="106" t="s">
        <v>1173</v>
      </c>
      <c r="Q121" s="106" t="s">
        <v>431</v>
      </c>
      <c r="S121" s="106" t="str" cm="1">
        <f t="array" ref="S121">IF(TRIM($D121)="","(tidak diisi)",IFERROR(INDEX(Kamus!$B$3:$B$28,MATCH(TRUE,ISNUMBER(SEARCH(Kamus!$A$3:$A$28,$D121)),0)),"Jabatan Lainnya"))</f>
        <v>Staf/Pegawai Pelaksana</v>
      </c>
      <c r="T121" s="106" t="str" cm="1">
        <f t="array" ref="T121">IF(TRIM($I121)="","(tidak diisi)",IFERROR(INDEX(Kamus!$E$3:$E$162,MATCH(TRUE,ISNUMBER(SEARCH(Kamus!$D$3:$D$162,$I121)),0)),"Barang Lain / Tidak Terinci"))</f>
        <v>Makanan &amp; Minuman</v>
      </c>
      <c r="U121" s="106" t="str" cm="1">
        <f t="array" ref="U121">IF(TRIM($I121)="","(tidak diisi)",IFERROR(INDEX(Kamus!$H$3:$H$75,MATCH(TRUE,ISNUMBER(SEARCH(Kamus!$G$3:$G$75,$I121)),0)),"Pemberian Umum / Tanpa Konteks"))</f>
        <v>Paket Sembako</v>
      </c>
      <c r="V121" s="106" t="str">
        <f t="shared" si="3"/>
        <v>2025</v>
      </c>
      <c r="W121" s="106" t="str" cm="1">
        <f t="array" ref="W121">IF(TRIM($K121)="","(tidak diisi)",IFERROR(INDEX(Kamus!$K$3:$K$118,MATCH(TRUE,ISNUMBER(SEARCH(Kamus!$J$3:$J$118,$K121)),0)),"Individu / Perorangan"))</f>
        <v>Bank &amp; Lembaga Keuangan</v>
      </c>
      <c r="X121" s="106" t="str">
        <f t="shared" si="4"/>
        <v>02</v>
      </c>
      <c r="Y121" s="106" t="str" cm="1">
        <f t="array" ref="Y121">IFERROR(INDEX(Kamus!$N$3:$N$111,MATCH(TRUE,ISNUMBER(SEARCH(Kamus!$M$3:$M$111,$I121)),0)),"")</f>
        <v>Kegiatan Sosial / Bantuan (Paket Sembako)</v>
      </c>
      <c r="Z121" s="106" t="str">
        <f>IF(AND(OR($X121="02",$X121="03",$X121="04"),OR($T121="Parsel/Bingkisan (tidak dirinci)",$T121="Makanan &amp; Minuman",$T121="Peralatan Rumah Tangga / Pecah Belah",$T121="Pakaian &amp; Kain")),"Momen Hari Raya (dugaan musiman)",IFERROR(VLOOKUP($W121,Kamus!$P$3:$Q$14,2,FALSE),"Tidak Teridentifikasi"))</f>
        <v>Momen Hari Raya (dugaan musiman)</v>
      </c>
      <c r="AA121" s="106" t="str">
        <f t="shared" si="5"/>
        <v>Kegiatan Sosial / Bantuan (Paket Sembako)</v>
      </c>
    </row>
    <row r="122" spans="1:27">
      <c r="A122" s="106">
        <v>121</v>
      </c>
      <c r="B122" s="106" t="s">
        <v>1705</v>
      </c>
      <c r="C122" s="107" t="s">
        <v>1706</v>
      </c>
      <c r="D122" s="106" t="s">
        <v>1033</v>
      </c>
      <c r="E122" s="106" t="s">
        <v>1166</v>
      </c>
      <c r="F122" s="106" t="s">
        <v>1707</v>
      </c>
      <c r="G122" s="106" t="s">
        <v>1006</v>
      </c>
      <c r="H122" s="106" t="s">
        <v>1708</v>
      </c>
      <c r="I122" s="106" t="s">
        <v>1017</v>
      </c>
      <c r="J122" s="106">
        <v>350000</v>
      </c>
      <c r="K122" s="106" t="s">
        <v>1709</v>
      </c>
      <c r="L122" s="106" t="s">
        <v>1710</v>
      </c>
      <c r="M122" s="106" t="s">
        <v>1020</v>
      </c>
      <c r="O122" s="106" t="s">
        <v>274</v>
      </c>
      <c r="P122" s="106" t="s">
        <v>1173</v>
      </c>
      <c r="Q122" s="106" t="s">
        <v>431</v>
      </c>
      <c r="S122" s="106" t="str" cm="1">
        <f t="array" ref="S122">IF(TRIM($D122)="","(tidak diisi)",IFERROR(INDEX(Kamus!$B$3:$B$28,MATCH(TRUE,ISNUMBER(SEARCH(Kamus!$A$3:$A$28,$D122)),0)),"Jabatan Lainnya"))</f>
        <v>Hakim</v>
      </c>
      <c r="T122" s="106" t="str" cm="1">
        <f t="array" ref="T122">IF(TRIM($I122)="","(tidak diisi)",IFERROR(INDEX(Kamus!$E$3:$E$162,MATCH(TRUE,ISNUMBER(SEARCH(Kamus!$D$3:$D$162,$I122)),0)),"Barang Lain / Tidak Terinci"))</f>
        <v>Uang &amp; Setara Uang</v>
      </c>
      <c r="U122" s="106" t="str" cm="1">
        <f t="array" ref="U122">IF(TRIM($I122)="","(tidak diisi)",IFERROR(INDEX(Kamus!$H$3:$H$75,MATCH(TRUE,ISNUMBER(SEARCH(Kamus!$G$3:$G$75,$I122)),0)),"Pemberian Umum / Tanpa Konteks"))</f>
        <v>Pemberian Uang Langsung</v>
      </c>
      <c r="V122" s="106" t="str">
        <f t="shared" si="3"/>
        <v>2025</v>
      </c>
      <c r="W122" s="106" t="str" cm="1">
        <f t="array" ref="W122">IF(TRIM($K122)="","(tidak diisi)",IFERROR(INDEX(Kamus!$K$3:$K$118,MATCH(TRUE,ISNUMBER(SEARCH(Kamus!$J$3:$J$118,$K122)),0)),"Individu / Perorangan"))</f>
        <v>Individu / Perorangan</v>
      </c>
      <c r="X122" s="106" t="str">
        <f t="shared" si="4"/>
        <v>03</v>
      </c>
      <c r="Y122" s="106" t="str" cm="1">
        <f t="array" ref="Y122">IFERROR(INDEX(Kamus!$N$3:$N$111,MATCH(TRUE,ISNUMBER(SEARCH(Kamus!$M$3:$M$111,$I122)),0)),"")</f>
        <v/>
      </c>
      <c r="Z122" s="106" t="str">
        <f>IF(AND(OR($X122="02",$X122="03",$X122="04"),OR($T122="Parsel/Bingkisan (tidak dirinci)",$T122="Makanan &amp; Minuman",$T122="Peralatan Rumah Tangga / Pecah Belah",$T122="Pakaian &amp; Kain")),"Momen Hari Raya (dugaan musiman)",IFERROR(VLOOKUP($W122,Kamus!$P$3:$Q$14,2,FALSE),"Tidak Teridentifikasi"))</f>
        <v>Relasi Personal / Tidak Teridentifikasi</v>
      </c>
      <c r="AA122" s="106" t="str">
        <f t="shared" si="5"/>
        <v>Relasi Personal / Tidak Teridentifikasi</v>
      </c>
    </row>
    <row r="123" spans="1:27">
      <c r="A123" s="106">
        <v>122</v>
      </c>
      <c r="B123" s="106" t="s">
        <v>1711</v>
      </c>
      <c r="C123" s="107" t="s">
        <v>1712</v>
      </c>
      <c r="D123" s="106" t="s">
        <v>1208</v>
      </c>
      <c r="E123" s="106" t="s">
        <v>1166</v>
      </c>
      <c r="F123" s="106" t="s">
        <v>1713</v>
      </c>
      <c r="G123" s="106" t="s">
        <v>1006</v>
      </c>
      <c r="H123" s="106" t="s">
        <v>1714</v>
      </c>
      <c r="I123" s="106" t="s">
        <v>1457</v>
      </c>
      <c r="K123" s="106" t="s">
        <v>1503</v>
      </c>
      <c r="L123" s="106" t="s">
        <v>1715</v>
      </c>
      <c r="O123" s="106" t="s">
        <v>274</v>
      </c>
      <c r="P123" s="106" t="s">
        <v>1173</v>
      </c>
      <c r="Q123" s="106" t="s">
        <v>431</v>
      </c>
      <c r="S123" s="106" t="str" cm="1">
        <f t="array" ref="S123">IF(TRIM($D123)="","(tidak diisi)",IFERROR(INDEX(Kamus!$B$3:$B$28,MATCH(TRUE,ISNUMBER(SEARCH(Kamus!$A$3:$A$28,$D123)),0)),"Jabatan Lainnya"))</f>
        <v>Staf/Pegawai Pelaksana</v>
      </c>
      <c r="T123" s="106" t="str" cm="1">
        <f t="array" ref="T123">IF(TRIM($I123)="","(tidak diisi)",IFERROR(INDEX(Kamus!$E$3:$E$162,MATCH(TRUE,ISNUMBER(SEARCH(Kamus!$D$3:$D$162,$I123)),0)),"Barang Lain / Tidak Terinci"))</f>
        <v>Makanan &amp; Minuman</v>
      </c>
      <c r="U123" s="106" t="str" cm="1">
        <f t="array" ref="U123">IF(TRIM($I123)="","(tidak diisi)",IFERROR(INDEX(Kamus!$H$3:$H$75,MATCH(TRUE,ISNUMBER(SEARCH(Kamus!$G$3:$G$75,$I123)),0)),"Pemberian Umum / Tanpa Konteks"))</f>
        <v>Paket Sembako</v>
      </c>
      <c r="V123" s="106" t="str">
        <f t="shared" si="3"/>
        <v>2025</v>
      </c>
      <c r="W123" s="106" t="str" cm="1">
        <f t="array" ref="W123">IF(TRIM($K123)="","(tidak diisi)",IFERROR(INDEX(Kamus!$K$3:$K$118,MATCH(TRUE,ISNUMBER(SEARCH(Kamus!$J$3:$J$118,$K123)),0)),"Individu / Perorangan"))</f>
        <v>Bank &amp; Lembaga Keuangan</v>
      </c>
      <c r="X123" s="106" t="str">
        <f t="shared" si="4"/>
        <v>03</v>
      </c>
      <c r="Y123" s="106" t="str" cm="1">
        <f t="array" ref="Y123">IFERROR(INDEX(Kamus!$N$3:$N$111,MATCH(TRUE,ISNUMBER(SEARCH(Kamus!$M$3:$M$111,$I123)),0)),"")</f>
        <v>Kegiatan Sosial / Bantuan (Paket Sembako)</v>
      </c>
      <c r="Z123" s="106" t="str">
        <f>IF(AND(OR($X123="02",$X123="03",$X123="04"),OR($T123="Parsel/Bingkisan (tidak dirinci)",$T123="Makanan &amp; Minuman",$T123="Peralatan Rumah Tangga / Pecah Belah",$T123="Pakaian &amp; Kain")),"Momen Hari Raya (dugaan musiman)",IFERROR(VLOOKUP($W123,Kamus!$P$3:$Q$14,2,FALSE),"Tidak Teridentifikasi"))</f>
        <v>Momen Hari Raya (dugaan musiman)</v>
      </c>
      <c r="AA123" s="106" t="str">
        <f t="shared" si="5"/>
        <v>Kegiatan Sosial / Bantuan (Paket Sembako)</v>
      </c>
    </row>
    <row r="124" spans="1:27">
      <c r="A124" s="106">
        <v>123</v>
      </c>
      <c r="B124" s="106" t="s">
        <v>1716</v>
      </c>
      <c r="C124" s="107" t="s">
        <v>1717</v>
      </c>
      <c r="D124" s="106" t="s">
        <v>1432</v>
      </c>
      <c r="E124" s="106" t="s">
        <v>1166</v>
      </c>
      <c r="F124" s="106" t="s">
        <v>1718</v>
      </c>
      <c r="G124" s="106" t="s">
        <v>1006</v>
      </c>
      <c r="H124" s="106" t="s">
        <v>1714</v>
      </c>
      <c r="I124" s="106" t="s">
        <v>1719</v>
      </c>
      <c r="K124" s="106" t="s">
        <v>1720</v>
      </c>
      <c r="L124" s="106" t="s">
        <v>1721</v>
      </c>
      <c r="O124" s="106" t="s">
        <v>274</v>
      </c>
      <c r="P124" s="106" t="s">
        <v>1173</v>
      </c>
      <c r="Q124" s="106" t="s">
        <v>431</v>
      </c>
      <c r="S124" s="106" t="str" cm="1">
        <f t="array" ref="S124">IF(TRIM($D124)="","(tidak diisi)",IFERROR(INDEX(Kamus!$B$3:$B$28,MATCH(TRUE,ISNUMBER(SEARCH(Kamus!$A$3:$A$28,$D124)),0)),"Jabatan Lainnya"))</f>
        <v>Hakim</v>
      </c>
      <c r="T124" s="106" t="str" cm="1">
        <f t="array" ref="T124">IF(TRIM($I124)="","(tidak diisi)",IFERROR(INDEX(Kamus!$E$3:$E$162,MATCH(TRUE,ISNUMBER(SEARCH(Kamus!$D$3:$D$162,$I124)),0)),"Barang Lain / Tidak Terinci"))</f>
        <v>Makanan &amp; Minuman</v>
      </c>
      <c r="U124" s="106" t="str" cm="1">
        <f t="array" ref="U124">IF(TRIM($I124)="","(tidak diisi)",IFERROR(INDEX(Kamus!$H$3:$H$75,MATCH(TRUE,ISNUMBER(SEARCH(Kamus!$G$3:$G$75,$I124)),0)),"Pemberian Umum / Tanpa Konteks"))</f>
        <v>Pemberian Umum / Tanpa Konteks</v>
      </c>
      <c r="V124" s="106" t="str">
        <f t="shared" si="3"/>
        <v>2025</v>
      </c>
      <c r="W124" s="106" t="str" cm="1">
        <f t="array" ref="W124">IF(TRIM($K124)="","(tidak diisi)",IFERROR(INDEX(Kamus!$K$3:$K$118,MATCH(TRUE,ISNUMBER(SEARCH(Kamus!$J$3:$J$118,$K124)),0)),"Individu / Perorangan"))</f>
        <v>Individu / Perorangan</v>
      </c>
      <c r="X124" s="106" t="str">
        <f t="shared" si="4"/>
        <v>03</v>
      </c>
      <c r="Y124" s="106" t="str" cm="1">
        <f t="array" ref="Y124">IFERROR(INDEX(Kamus!$N$3:$N$111,MATCH(TRUE,ISNUMBER(SEARCH(Kamus!$M$3:$M$111,$I124)),0)),"")</f>
        <v/>
      </c>
      <c r="Z124" s="106" t="str">
        <f>IF(AND(OR($X124="02",$X124="03",$X124="04"),OR($T124="Parsel/Bingkisan (tidak dirinci)",$T124="Makanan &amp; Minuman",$T124="Peralatan Rumah Tangga / Pecah Belah",$T124="Pakaian &amp; Kain")),"Momen Hari Raya (dugaan musiman)",IFERROR(VLOOKUP($W124,Kamus!$P$3:$Q$14,2,FALSE),"Tidak Teridentifikasi"))</f>
        <v>Momen Hari Raya (dugaan musiman)</v>
      </c>
      <c r="AA124" s="106" t="str">
        <f t="shared" si="5"/>
        <v>Momen Hari Raya (dugaan musiman)</v>
      </c>
    </row>
    <row r="125" spans="1:27">
      <c r="A125" s="106">
        <v>124</v>
      </c>
      <c r="B125" s="106" t="s">
        <v>1722</v>
      </c>
      <c r="C125" s="107" t="s">
        <v>1723</v>
      </c>
      <c r="D125" s="106" t="s">
        <v>1208</v>
      </c>
      <c r="E125" s="106" t="s">
        <v>1166</v>
      </c>
      <c r="F125" s="106" t="s">
        <v>1724</v>
      </c>
      <c r="G125" s="106" t="s">
        <v>1006</v>
      </c>
      <c r="H125" s="106" t="s">
        <v>1547</v>
      </c>
      <c r="I125" s="106" t="s">
        <v>1725</v>
      </c>
      <c r="K125" s="106" t="s">
        <v>1484</v>
      </c>
      <c r="L125" s="106" t="s">
        <v>1726</v>
      </c>
      <c r="O125" s="106" t="s">
        <v>274</v>
      </c>
      <c r="P125" s="106" t="s">
        <v>1173</v>
      </c>
      <c r="Q125" s="106" t="s">
        <v>431</v>
      </c>
      <c r="S125" s="106" t="str" cm="1">
        <f t="array" ref="S125">IF(TRIM($D125)="","(tidak diisi)",IFERROR(INDEX(Kamus!$B$3:$B$28,MATCH(TRUE,ISNUMBER(SEARCH(Kamus!$A$3:$A$28,$D125)),0)),"Jabatan Lainnya"))</f>
        <v>Staf/Pegawai Pelaksana</v>
      </c>
      <c r="T125" s="106" t="str" cm="1">
        <f t="array" ref="T125">IF(TRIM($I125)="","(tidak diisi)",IFERROR(INDEX(Kamus!$E$3:$E$162,MATCH(TRUE,ISNUMBER(SEARCH(Kamus!$D$3:$D$162,$I125)),0)),"Barang Lain / Tidak Terinci"))</f>
        <v>Makanan &amp; Minuman</v>
      </c>
      <c r="U125" s="106" t="str" cm="1">
        <f t="array" ref="U125">IF(TRIM($I125)="","(tidak diisi)",IFERROR(INDEX(Kamus!$H$3:$H$75,MATCH(TRUE,ISNUMBER(SEARCH(Kamus!$G$3:$G$75,$I125)),0)),"Pemberian Umum / Tanpa Konteks"))</f>
        <v>Paket Sembako</v>
      </c>
      <c r="V125" s="106" t="str">
        <f t="shared" si="3"/>
        <v>2025</v>
      </c>
      <c r="W125" s="106" t="str" cm="1">
        <f t="array" ref="W125">IF(TRIM($K125)="","(tidak diisi)",IFERROR(INDEX(Kamus!$K$3:$K$118,MATCH(TRUE,ISNUMBER(SEARCH(Kamus!$J$3:$J$118,$K125)),0)),"Individu / Perorangan"))</f>
        <v>Bank &amp; Lembaga Keuangan</v>
      </c>
      <c r="X125" s="106" t="str">
        <f t="shared" si="4"/>
        <v>03</v>
      </c>
      <c r="Y125" s="106" t="str" cm="1">
        <f t="array" ref="Y125">IFERROR(INDEX(Kamus!$N$3:$N$111,MATCH(TRUE,ISNUMBER(SEARCH(Kamus!$M$3:$M$111,$I125)),0)),"")</f>
        <v>Kegiatan Sosial / Bantuan (Paket Sembako)</v>
      </c>
      <c r="Z125" s="106" t="str">
        <f>IF(AND(OR($X125="02",$X125="03",$X125="04"),OR($T125="Parsel/Bingkisan (tidak dirinci)",$T125="Makanan &amp; Minuman",$T125="Peralatan Rumah Tangga / Pecah Belah",$T125="Pakaian &amp; Kain")),"Momen Hari Raya (dugaan musiman)",IFERROR(VLOOKUP($W125,Kamus!$P$3:$Q$14,2,FALSE),"Tidak Teridentifikasi"))</f>
        <v>Momen Hari Raya (dugaan musiman)</v>
      </c>
      <c r="AA125" s="106" t="str">
        <f t="shared" si="5"/>
        <v>Kegiatan Sosial / Bantuan (Paket Sembako)</v>
      </c>
    </row>
    <row r="126" spans="1:27">
      <c r="A126" s="106">
        <v>125</v>
      </c>
      <c r="B126" s="106" t="s">
        <v>1727</v>
      </c>
      <c r="C126" s="107" t="s">
        <v>1728</v>
      </c>
      <c r="D126" s="106" t="s">
        <v>1042</v>
      </c>
      <c r="E126" s="106" t="s">
        <v>1729</v>
      </c>
      <c r="F126" s="106" t="s">
        <v>1730</v>
      </c>
      <c r="G126" s="106" t="s">
        <v>1006</v>
      </c>
      <c r="H126" s="106" t="s">
        <v>1714</v>
      </c>
      <c r="I126" s="106" t="s">
        <v>1731</v>
      </c>
      <c r="J126" s="106">
        <v>150000</v>
      </c>
      <c r="K126" s="106" t="s">
        <v>1732</v>
      </c>
      <c r="L126" s="106" t="s">
        <v>1733</v>
      </c>
      <c r="M126" s="106" t="s">
        <v>1171</v>
      </c>
      <c r="N126" s="106" t="s">
        <v>1734</v>
      </c>
      <c r="O126" s="106" t="s">
        <v>274</v>
      </c>
      <c r="Q126" s="106" t="s">
        <v>329</v>
      </c>
      <c r="S126" s="106" t="str" cm="1">
        <f t="array" ref="S126">IF(TRIM($D126)="","(tidak diisi)",IFERROR(INDEX(Kamus!$B$3:$B$28,MATCH(TRUE,ISNUMBER(SEARCH(Kamus!$A$3:$A$28,$D126)),0)),"Jabatan Lainnya"))</f>
        <v>Ketua Pengadilan</v>
      </c>
      <c r="T126" s="106" t="str" cm="1">
        <f t="array" ref="T126">IF(TRIM($I126)="","(tidak diisi)",IFERROR(INDEX(Kamus!$E$3:$E$162,MATCH(TRUE,ISNUMBER(SEARCH(Kamus!$D$3:$D$162,$I126)),0)),"Barang Lain / Tidak Terinci"))</f>
        <v>Peralatan Rumah Tangga / Pecah Belah</v>
      </c>
      <c r="U126" s="106" t="str" cm="1">
        <f t="array" ref="U126">IF(TRIM($I126)="","(tidak diisi)",IFERROR(INDEX(Kamus!$H$3:$H$75,MATCH(TRUE,ISNUMBER(SEARCH(Kamus!$G$3:$G$75,$I126)),0)),"Pemberian Umum / Tanpa Konteks"))</f>
        <v>Pemberian Umum / Tanpa Konteks</v>
      </c>
      <c r="V126" s="106" t="str">
        <f t="shared" si="3"/>
        <v>2025</v>
      </c>
      <c r="W126" s="106" t="str" cm="1">
        <f t="array" ref="W126">IF(TRIM($K126)="","(tidak diisi)",IFERROR(INDEX(Kamus!$K$3:$K$118,MATCH(TRUE,ISNUMBER(SEARCH(Kamus!$J$3:$J$118,$K126)),0)),"Individu / Perorangan"))</f>
        <v>Bank &amp; Lembaga Keuangan</v>
      </c>
      <c r="X126" s="106" t="str">
        <f t="shared" si="4"/>
        <v>03</v>
      </c>
      <c r="Y126" s="106" t="str" cm="1">
        <f t="array" ref="Y126">IFERROR(INDEX(Kamus!$N$3:$N$111,MATCH(TRUE,ISNUMBER(SEARCH(Kamus!$M$3:$M$111,$I126)),0)),"")</f>
        <v/>
      </c>
      <c r="Z126" s="106" t="str">
        <f>IF(AND(OR($X126="02",$X126="03",$X126="04"),OR($T126="Parsel/Bingkisan (tidak dirinci)",$T126="Makanan &amp; Minuman",$T126="Peralatan Rumah Tangga / Pecah Belah",$T126="Pakaian &amp; Kain")),"Momen Hari Raya (dugaan musiman)",IFERROR(VLOOKUP($W126,Kamus!$P$3:$Q$14,2,FALSE),"Tidak Teridentifikasi"))</f>
        <v>Momen Hari Raya (dugaan musiman)</v>
      </c>
      <c r="AA126" s="106" t="str">
        <f t="shared" si="5"/>
        <v>Momen Hari Raya (dugaan musiman)</v>
      </c>
    </row>
    <row r="127" spans="1:27">
      <c r="A127" s="106">
        <v>126</v>
      </c>
      <c r="B127" s="106" t="s">
        <v>1735</v>
      </c>
      <c r="C127" s="107" t="s">
        <v>1736</v>
      </c>
      <c r="D127" s="106" t="s">
        <v>1737</v>
      </c>
      <c r="E127" s="106" t="s">
        <v>1738</v>
      </c>
      <c r="F127" s="106" t="s">
        <v>1739</v>
      </c>
      <c r="G127" s="106" t="s">
        <v>1006</v>
      </c>
      <c r="H127" s="106" t="s">
        <v>1684</v>
      </c>
      <c r="I127" s="106" t="s">
        <v>1740</v>
      </c>
      <c r="K127" s="106" t="s">
        <v>1741</v>
      </c>
      <c r="L127" s="106" t="s">
        <v>1742</v>
      </c>
      <c r="O127" s="106" t="s">
        <v>274</v>
      </c>
      <c r="P127" s="106" t="s">
        <v>1743</v>
      </c>
      <c r="Q127" s="106" t="s">
        <v>428</v>
      </c>
      <c r="S127" s="106" t="str" cm="1">
        <f t="array" ref="S127">IF(TRIM($D127)="","(tidak diisi)",IFERROR(INDEX(Kamus!$B$3:$B$28,MATCH(TRUE,ISNUMBER(SEARCH(Kamus!$A$3:$A$28,$D127)),0)),"Jabatan Lainnya"))</f>
        <v>Ketua Pengadilan</v>
      </c>
      <c r="T127" s="106" t="str" cm="1">
        <f t="array" ref="T127">IF(TRIM($I127)="","(tidak diisi)",IFERROR(INDEX(Kamus!$E$3:$E$162,MATCH(TRUE,ISNUMBER(SEARCH(Kamus!$D$3:$D$162,$I127)),0)),"Barang Lain / Tidak Terinci"))</f>
        <v>Makanan &amp; Minuman</v>
      </c>
      <c r="U127" s="106" t="str" cm="1">
        <f t="array" ref="U127">IF(TRIM($I127)="","(tidak diisi)",IFERROR(INDEX(Kamus!$H$3:$H$75,MATCH(TRUE,ISNUMBER(SEARCH(Kamus!$G$3:$G$75,$I127)),0)),"Pemberian Umum / Tanpa Konteks"))</f>
        <v>Bingkisan Hari Raya / Keagamaan</v>
      </c>
      <c r="V127" s="106" t="str">
        <f t="shared" si="3"/>
        <v>2025</v>
      </c>
      <c r="W127" s="106" t="str" cm="1">
        <f t="array" ref="W127">IF(TRIM($K127)="","(tidak diisi)",IFERROR(INDEX(Kamus!$K$3:$K$118,MATCH(TRUE,ISNUMBER(SEARCH(Kamus!$J$3:$J$118,$K127)),0)),"Individu / Perorangan"))</f>
        <v>Individu / Perorangan</v>
      </c>
      <c r="X127" s="106" t="str">
        <f t="shared" si="4"/>
        <v>03</v>
      </c>
      <c r="Y127" s="106" t="str" cm="1">
        <f t="array" ref="Y127">IFERROR(INDEX(Kamus!$N$3:$N$111,MATCH(TRUE,ISNUMBER(SEARCH(Kamus!$M$3:$M$111,$I127)),0)),"")</f>
        <v>Momen Hari Raya (Ramadan/Idulfitri)</v>
      </c>
      <c r="Z127" s="106" t="str">
        <f>IF(AND(OR($X127="02",$X127="03",$X127="04"),OR($T127="Parsel/Bingkisan (tidak dirinci)",$T127="Makanan &amp; Minuman",$T127="Peralatan Rumah Tangga / Pecah Belah",$T127="Pakaian &amp; Kain")),"Momen Hari Raya (dugaan musiman)",IFERROR(VLOOKUP($W127,Kamus!$P$3:$Q$14,2,FALSE),"Tidak Teridentifikasi"))</f>
        <v>Momen Hari Raya (dugaan musiman)</v>
      </c>
      <c r="AA127" s="106" t="str">
        <f t="shared" si="5"/>
        <v>Momen Hari Raya (Ramadan/Idulfitri)</v>
      </c>
    </row>
    <row r="128" spans="1:27">
      <c r="A128" s="106">
        <v>127</v>
      </c>
      <c r="B128" s="106" t="s">
        <v>1060</v>
      </c>
      <c r="C128" s="107" t="s">
        <v>1061</v>
      </c>
      <c r="D128" s="106" t="s">
        <v>1033</v>
      </c>
      <c r="E128" s="106" t="s">
        <v>1062</v>
      </c>
      <c r="F128" s="106" t="s">
        <v>1744</v>
      </c>
      <c r="G128" s="106" t="s">
        <v>1006</v>
      </c>
      <c r="H128" s="106" t="s">
        <v>1456</v>
      </c>
      <c r="I128" s="106" t="s">
        <v>1745</v>
      </c>
      <c r="J128" s="106">
        <v>40000</v>
      </c>
      <c r="K128" s="106" t="s">
        <v>1746</v>
      </c>
      <c r="L128" s="106" t="s">
        <v>1747</v>
      </c>
      <c r="M128" s="106" t="s">
        <v>1020</v>
      </c>
      <c r="O128" s="106" t="s">
        <v>274</v>
      </c>
      <c r="P128" s="106" t="s">
        <v>1067</v>
      </c>
      <c r="Q128" s="106" t="s">
        <v>350</v>
      </c>
      <c r="S128" s="106" t="str" cm="1">
        <f t="array" ref="S128">IF(TRIM($D128)="","(tidak diisi)",IFERROR(INDEX(Kamus!$B$3:$B$28,MATCH(TRUE,ISNUMBER(SEARCH(Kamus!$A$3:$A$28,$D128)),0)),"Jabatan Lainnya"))</f>
        <v>Hakim</v>
      </c>
      <c r="T128" s="106" t="str" cm="1">
        <f t="array" ref="T128">IF(TRIM($I128)="","(tidak diisi)",IFERROR(INDEX(Kamus!$E$3:$E$162,MATCH(TRUE,ISNUMBER(SEARCH(Kamus!$D$3:$D$162,$I128)),0)),"Barang Lain / Tidak Terinci"))</f>
        <v>Makanan &amp; Minuman</v>
      </c>
      <c r="U128" s="106" t="str" cm="1">
        <f t="array" ref="U128">IF(TRIM($I128)="","(tidak diisi)",IFERROR(INDEX(Kamus!$H$3:$H$75,MATCH(TRUE,ISNUMBER(SEARCH(Kamus!$G$3:$G$75,$I128)),0)),"Pemberian Umum / Tanpa Konteks"))</f>
        <v>Pemberian Umum / Tanpa Konteks</v>
      </c>
      <c r="V128" s="106" t="str">
        <f t="shared" si="3"/>
        <v>2025</v>
      </c>
      <c r="W128" s="106" t="str" cm="1">
        <f t="array" ref="W128">IF(TRIM($K128)="","(tidak diisi)",IFERROR(INDEX(Kamus!$K$3:$K$118,MATCH(TRUE,ISNUMBER(SEARCH(Kamus!$J$3:$J$118,$K128)),0)),"Individu / Perorangan"))</f>
        <v>Bank &amp; Lembaga Keuangan</v>
      </c>
      <c r="X128" s="106" t="str">
        <f t="shared" si="4"/>
        <v>02</v>
      </c>
      <c r="Y128" s="106" t="str" cm="1">
        <f t="array" ref="Y128">IFERROR(INDEX(Kamus!$N$3:$N$111,MATCH(TRUE,ISNUMBER(SEARCH(Kamus!$M$3:$M$111,$I128)),0)),"")</f>
        <v/>
      </c>
      <c r="Z128" s="106" t="str">
        <f>IF(AND(OR($X128="02",$X128="03",$X128="04"),OR($T128="Parsel/Bingkisan (tidak dirinci)",$T128="Makanan &amp; Minuman",$T128="Peralatan Rumah Tangga / Pecah Belah",$T128="Pakaian &amp; Kain")),"Momen Hari Raya (dugaan musiman)",IFERROR(VLOOKUP($W128,Kamus!$P$3:$Q$14,2,FALSE),"Tidak Teridentifikasi"))</f>
        <v>Momen Hari Raya (dugaan musiman)</v>
      </c>
      <c r="AA128" s="106" t="str">
        <f t="shared" si="5"/>
        <v>Momen Hari Raya (dugaan musiman)</v>
      </c>
    </row>
    <row r="129" spans="1:27">
      <c r="A129" s="106">
        <v>128</v>
      </c>
      <c r="B129" s="106" t="s">
        <v>1401</v>
      </c>
      <c r="C129" s="107" t="s">
        <v>1402</v>
      </c>
      <c r="D129" s="106" t="s">
        <v>1081</v>
      </c>
      <c r="E129" s="106" t="s">
        <v>1403</v>
      </c>
      <c r="F129" s="106" t="s">
        <v>1748</v>
      </c>
      <c r="G129" s="106" t="s">
        <v>1006</v>
      </c>
      <c r="H129" s="106" t="s">
        <v>1749</v>
      </c>
      <c r="I129" s="106" t="s">
        <v>1634</v>
      </c>
      <c r="K129" s="106" t="s">
        <v>1750</v>
      </c>
      <c r="L129" s="106" t="s">
        <v>1751</v>
      </c>
      <c r="O129" s="106" t="s">
        <v>274</v>
      </c>
      <c r="P129" s="106" t="s">
        <v>1410</v>
      </c>
      <c r="Q129" s="106" t="s">
        <v>403</v>
      </c>
      <c r="S129" s="106" t="str" cm="1">
        <f t="array" ref="S129">IF(TRIM($D129)="","(tidak diisi)",IFERROR(INDEX(Kamus!$B$3:$B$28,MATCH(TRUE,ISNUMBER(SEARCH(Kamus!$A$3:$A$28,$D129)),0)),"Jabatan Lainnya"))</f>
        <v>Hakim</v>
      </c>
      <c r="T129" s="106" t="str" cm="1">
        <f t="array" ref="T129">IF(TRIM($I129)="","(tidak diisi)",IFERROR(INDEX(Kamus!$E$3:$E$162,MATCH(TRUE,ISNUMBER(SEARCH(Kamus!$D$3:$D$162,$I129)),0)),"Barang Lain / Tidak Terinci"))</f>
        <v>Pakaian &amp; Kain</v>
      </c>
      <c r="U129" s="106" t="str" cm="1">
        <f t="array" ref="U129">IF(TRIM($I129)="","(tidak diisi)",IFERROR(INDEX(Kamus!$H$3:$H$75,MATCH(TRUE,ISNUMBER(SEARCH(Kamus!$G$3:$G$75,$I129)),0)),"Pemberian Umum / Tanpa Konteks"))</f>
        <v>Pemberian Umum / Tanpa Konteks</v>
      </c>
      <c r="V129" s="106" t="str">
        <f t="shared" si="3"/>
        <v>2025</v>
      </c>
      <c r="W129" s="106" t="str" cm="1">
        <f t="array" ref="W129">IF(TRIM($K129)="","(tidak diisi)",IFERROR(INDEX(Kamus!$K$3:$K$118,MATCH(TRUE,ISNUMBER(SEARCH(Kamus!$J$3:$J$118,$K129)),0)),"Individu / Perorangan"))</f>
        <v>Individu / Perorangan</v>
      </c>
      <c r="X129" s="106" t="str">
        <f t="shared" si="4"/>
        <v>03</v>
      </c>
      <c r="Y129" s="106" t="str" cm="1">
        <f t="array" ref="Y129">IFERROR(INDEX(Kamus!$N$3:$N$111,MATCH(TRUE,ISNUMBER(SEARCH(Kamus!$M$3:$M$111,$I129)),0)),"")</f>
        <v/>
      </c>
      <c r="Z129" s="106" t="str">
        <f>IF(AND(OR($X129="02",$X129="03",$X129="04"),OR($T129="Parsel/Bingkisan (tidak dirinci)",$T129="Makanan &amp; Minuman",$T129="Peralatan Rumah Tangga / Pecah Belah",$T129="Pakaian &amp; Kain")),"Momen Hari Raya (dugaan musiman)",IFERROR(VLOOKUP($W129,Kamus!$P$3:$Q$14,2,FALSE),"Tidak Teridentifikasi"))</f>
        <v>Momen Hari Raya (dugaan musiman)</v>
      </c>
      <c r="AA129" s="106" t="str">
        <f t="shared" si="5"/>
        <v>Momen Hari Raya (dugaan musiman)</v>
      </c>
    </row>
    <row r="130" spans="1:27">
      <c r="A130" s="106">
        <v>129</v>
      </c>
      <c r="B130" s="106" t="s">
        <v>1304</v>
      </c>
      <c r="C130" s="107" t="s">
        <v>1305</v>
      </c>
      <c r="D130" s="106" t="s">
        <v>1306</v>
      </c>
      <c r="E130" s="106" t="s">
        <v>1307</v>
      </c>
      <c r="F130" s="106" t="s">
        <v>1752</v>
      </c>
      <c r="G130" s="106" t="s">
        <v>1006</v>
      </c>
      <c r="H130" s="106" t="s">
        <v>1753</v>
      </c>
      <c r="I130" s="106" t="s">
        <v>1398</v>
      </c>
      <c r="K130" s="106" t="s">
        <v>1754</v>
      </c>
      <c r="L130" s="106" t="s">
        <v>1755</v>
      </c>
      <c r="O130" s="106" t="s">
        <v>274</v>
      </c>
      <c r="P130" s="106" t="s">
        <v>597</v>
      </c>
      <c r="Q130" s="106" t="s">
        <v>427</v>
      </c>
      <c r="S130" s="106" t="str" cm="1">
        <f t="array" ref="S130">IF(TRIM($D130)="","(tidak diisi)",IFERROR(INDEX(Kamus!$B$3:$B$28,MATCH(TRUE,ISNUMBER(SEARCH(Kamus!$A$3:$A$28,$D130)),0)),"Jabatan Lainnya"))</f>
        <v>Pejabat Struktural (Kasubbag/Kabag)</v>
      </c>
      <c r="T130" s="106" t="str" cm="1">
        <f t="array" ref="T130">IF(TRIM($I130)="","(tidak diisi)",IFERROR(INDEX(Kamus!$E$3:$E$162,MATCH(TRUE,ISNUMBER(SEARCH(Kamus!$D$3:$D$162,$I130)),0)),"Barang Lain / Tidak Terinci"))</f>
        <v>Suvenir &amp; Merchandise</v>
      </c>
      <c r="U130" s="106" t="str" cm="1">
        <f t="array" ref="U130">IF(TRIM($I130)="","(tidak diisi)",IFERROR(INDEX(Kamus!$H$3:$H$75,MATCH(TRUE,ISNUMBER(SEARCH(Kamus!$G$3:$G$75,$I130)),0)),"Pemberian Umum / Tanpa Konteks"))</f>
        <v>Suvenir / Merchandise Kegiatan &amp; Kunjungan</v>
      </c>
      <c r="V130" s="106" t="str">
        <f t="shared" si="3"/>
        <v>2025</v>
      </c>
      <c r="W130" s="106" t="str" cm="1">
        <f t="array" ref="W130">IF(TRIM($K130)="","(tidak diisi)",IFERROR(INDEX(Kamus!$K$3:$K$118,MATCH(TRUE,ISNUMBER(SEARCH(Kamus!$J$3:$J$118,$K130)),0)),"Individu / Perorangan"))</f>
        <v>Individu / Perorangan</v>
      </c>
      <c r="X130" s="106" t="str">
        <f t="shared" si="4"/>
        <v>03</v>
      </c>
      <c r="Y130" s="106" t="str" cm="1">
        <f t="array" ref="Y130">IFERROR(INDEX(Kamus!$N$3:$N$111,MATCH(TRUE,ISNUMBER(SEARCH(Kamus!$M$3:$M$111,$I130)),0)),"")</f>
        <v/>
      </c>
      <c r="Z130" s="106" t="str">
        <f>IF(AND(OR($X130="02",$X130="03",$X130="04"),OR($T130="Parsel/Bingkisan (tidak dirinci)",$T130="Makanan &amp; Minuman",$T130="Peralatan Rumah Tangga / Pecah Belah",$T130="Pakaian &amp; Kain")),"Momen Hari Raya (dugaan musiman)",IFERROR(VLOOKUP($W130,Kamus!$P$3:$Q$14,2,FALSE),"Tidak Teridentifikasi"))</f>
        <v>Relasi Personal / Tidak Teridentifikasi</v>
      </c>
      <c r="AA130" s="106" t="str">
        <f t="shared" si="5"/>
        <v>Relasi Personal / Tidak Teridentifikasi</v>
      </c>
    </row>
    <row r="131" spans="1:27">
      <c r="A131" s="106">
        <v>130</v>
      </c>
      <c r="B131" s="106" t="s">
        <v>1304</v>
      </c>
      <c r="C131" s="107" t="s">
        <v>1305</v>
      </c>
      <c r="D131" s="106" t="s">
        <v>1306</v>
      </c>
      <c r="E131" s="106" t="s">
        <v>1307</v>
      </c>
      <c r="F131" s="106" t="s">
        <v>1752</v>
      </c>
      <c r="G131" s="106" t="s">
        <v>1006</v>
      </c>
      <c r="H131" s="106" t="s">
        <v>1753</v>
      </c>
      <c r="I131" s="106" t="s">
        <v>1756</v>
      </c>
      <c r="K131" s="106" t="s">
        <v>1754</v>
      </c>
      <c r="L131" s="106" t="s">
        <v>1755</v>
      </c>
      <c r="O131" s="106" t="s">
        <v>274</v>
      </c>
      <c r="P131" s="106" t="s">
        <v>597</v>
      </c>
      <c r="Q131" s="106" t="s">
        <v>427</v>
      </c>
      <c r="S131" s="106" t="str" cm="1">
        <f t="array" ref="S131">IF(TRIM($D131)="","(tidak diisi)",IFERROR(INDEX(Kamus!$B$3:$B$28,MATCH(TRUE,ISNUMBER(SEARCH(Kamus!$A$3:$A$28,$D131)),0)),"Jabatan Lainnya"))</f>
        <v>Pejabat Struktural (Kasubbag/Kabag)</v>
      </c>
      <c r="T131" s="106" t="str" cm="1">
        <f t="array" ref="T131">IF(TRIM($I131)="","(tidak diisi)",IFERROR(INDEX(Kamus!$E$3:$E$162,MATCH(TRUE,ISNUMBER(SEARCH(Kamus!$D$3:$D$162,$I131)),0)),"Barang Lain / Tidak Terinci"))</f>
        <v>Makanan &amp; Minuman</v>
      </c>
      <c r="U131" s="106" t="str" cm="1">
        <f t="array" ref="U131">IF(TRIM($I131)="","(tidak diisi)",IFERROR(INDEX(Kamus!$H$3:$H$75,MATCH(TRUE,ISNUMBER(SEARCH(Kamus!$G$3:$G$75,$I131)),0)),"Pemberian Umum / Tanpa Konteks"))</f>
        <v>Parsel/Bingkisan Umum (non-hari raya)</v>
      </c>
      <c r="V131" s="106" t="str">
        <f t="shared" ref="V131:V194" si="6">IF($H131="","(tidak diisi)",IF(ISNUMBER($H131),TEXT(YEAR($H131),"0"),LEFT($H131,4)))</f>
        <v>2025</v>
      </c>
      <c r="W131" s="106" t="str" cm="1">
        <f t="array" ref="W131">IF(TRIM($K131)="","(tidak diisi)",IFERROR(INDEX(Kamus!$K$3:$K$118,MATCH(TRUE,ISNUMBER(SEARCH(Kamus!$J$3:$J$118,$K131)),0)),"Individu / Perorangan"))</f>
        <v>Individu / Perorangan</v>
      </c>
      <c r="X131" s="106" t="str">
        <f t="shared" ref="X131:X194" si="7">IF($H131="","(tidak diisi)",IF(ISNUMBER($H131),TEXT(MONTH($H131),"00"),MID($H131,6,2)))</f>
        <v>03</v>
      </c>
      <c r="Y131" s="106" t="str" cm="1">
        <f t="array" ref="Y131">IFERROR(INDEX(Kamus!$N$3:$N$111,MATCH(TRUE,ISNUMBER(SEARCH(Kamus!$M$3:$M$111,$I131)),0)),"")</f>
        <v/>
      </c>
      <c r="Z131" s="106" t="str">
        <f>IF(AND(OR($X131="02",$X131="03",$X131="04"),OR($T131="Parsel/Bingkisan (tidak dirinci)",$T131="Makanan &amp; Minuman",$T131="Peralatan Rumah Tangga / Pecah Belah",$T131="Pakaian &amp; Kain")),"Momen Hari Raya (dugaan musiman)",IFERROR(VLOOKUP($W131,Kamus!$P$3:$Q$14,2,FALSE),"Tidak Teridentifikasi"))</f>
        <v>Momen Hari Raya (dugaan musiman)</v>
      </c>
      <c r="AA131" s="106" t="str">
        <f t="shared" ref="AA131:AA194" si="8">IF($Y131="",$Z131,$Y131)</f>
        <v>Momen Hari Raya (dugaan musiman)</v>
      </c>
    </row>
    <row r="132" spans="1:27">
      <c r="A132" s="106">
        <v>131</v>
      </c>
      <c r="B132" s="106" t="s">
        <v>1285</v>
      </c>
      <c r="C132" s="107" t="s">
        <v>1286</v>
      </c>
      <c r="D132" s="106" t="s">
        <v>1024</v>
      </c>
      <c r="E132" s="106" t="s">
        <v>1287</v>
      </c>
      <c r="F132" s="106" t="s">
        <v>1757</v>
      </c>
      <c r="G132" s="106" t="s">
        <v>1006</v>
      </c>
      <c r="H132" s="106" t="s">
        <v>1753</v>
      </c>
      <c r="I132" s="106" t="s">
        <v>1758</v>
      </c>
      <c r="K132" s="106" t="s">
        <v>1759</v>
      </c>
      <c r="L132" s="106" t="s">
        <v>1760</v>
      </c>
      <c r="O132" s="106" t="s">
        <v>274</v>
      </c>
      <c r="P132" s="106" t="s">
        <v>1291</v>
      </c>
      <c r="Q132" s="106" t="s">
        <v>428</v>
      </c>
      <c r="S132" s="106" t="str" cm="1">
        <f t="array" ref="S132">IF(TRIM($D132)="","(tidak diisi)",IFERROR(INDEX(Kamus!$B$3:$B$28,MATCH(TRUE,ISNUMBER(SEARCH(Kamus!$A$3:$A$28,$D132)),0)),"Jabatan Lainnya"))</f>
        <v>Sekretaris</v>
      </c>
      <c r="T132" s="106" t="str" cm="1">
        <f t="array" ref="T132">IF(TRIM($I132)="","(tidak diisi)",IFERROR(INDEX(Kamus!$E$3:$E$162,MATCH(TRUE,ISNUMBER(SEARCH(Kamus!$D$3:$D$162,$I132)),0)),"Barang Lain / Tidak Terinci"))</f>
        <v>Makanan &amp; Minuman</v>
      </c>
      <c r="U132" s="106" t="str" cm="1">
        <f t="array" ref="U132">IF(TRIM($I132)="","(tidak diisi)",IFERROR(INDEX(Kamus!$H$3:$H$75,MATCH(TRUE,ISNUMBER(SEARCH(Kamus!$G$3:$G$75,$I132)),0)),"Pemberian Umum / Tanpa Konteks"))</f>
        <v>Bingkisan Hari Raya / Keagamaan</v>
      </c>
      <c r="V132" s="106" t="str">
        <f t="shared" si="6"/>
        <v>2025</v>
      </c>
      <c r="W132" s="106" t="str" cm="1">
        <f t="array" ref="W132">IF(TRIM($K132)="","(tidak diisi)",IFERROR(INDEX(Kamus!$K$3:$K$118,MATCH(TRUE,ISNUMBER(SEARCH(Kamus!$J$3:$J$118,$K132)),0)),"Individu / Perorangan"))</f>
        <v>Perusahaan / Vendor</v>
      </c>
      <c r="X132" s="106" t="str">
        <f t="shared" si="7"/>
        <v>03</v>
      </c>
      <c r="Y132" s="106" t="str" cm="1">
        <f t="array" ref="Y132">IFERROR(INDEX(Kamus!$N$3:$N$111,MATCH(TRUE,ISNUMBER(SEARCH(Kamus!$M$3:$M$111,$I132)),0)),"")</f>
        <v>Momen Hari Raya (Ramadan/Idulfitri)</v>
      </c>
      <c r="Z132" s="106" t="str">
        <f>IF(AND(OR($X132="02",$X132="03",$X132="04"),OR($T132="Parsel/Bingkisan (tidak dirinci)",$T132="Makanan &amp; Minuman",$T132="Peralatan Rumah Tangga / Pecah Belah",$T132="Pakaian &amp; Kain")),"Momen Hari Raya (dugaan musiman)",IFERROR(VLOOKUP($W132,Kamus!$P$3:$Q$14,2,FALSE),"Tidak Teridentifikasi"))</f>
        <v>Momen Hari Raya (dugaan musiman)</v>
      </c>
      <c r="AA132" s="106" t="str">
        <f t="shared" si="8"/>
        <v>Momen Hari Raya (Ramadan/Idulfitri)</v>
      </c>
    </row>
    <row r="133" spans="1:27">
      <c r="A133" s="106">
        <v>132</v>
      </c>
      <c r="B133" s="106" t="s">
        <v>1629</v>
      </c>
      <c r="C133" s="107" t="s">
        <v>1630</v>
      </c>
      <c r="D133" s="106" t="s">
        <v>1631</v>
      </c>
      <c r="E133" s="106" t="s">
        <v>1632</v>
      </c>
      <c r="F133" s="106" t="s">
        <v>1761</v>
      </c>
      <c r="G133" s="106" t="s">
        <v>1074</v>
      </c>
      <c r="H133" s="106" t="s">
        <v>1753</v>
      </c>
      <c r="I133" s="106" t="s">
        <v>1762</v>
      </c>
      <c r="K133" s="106" t="s">
        <v>1763</v>
      </c>
      <c r="L133" s="106" t="s">
        <v>1764</v>
      </c>
      <c r="O133" s="106" t="s">
        <v>274</v>
      </c>
      <c r="P133" s="106" t="s">
        <v>472</v>
      </c>
      <c r="Q133" s="106" t="s">
        <v>402</v>
      </c>
      <c r="S133" s="106" t="str" cm="1">
        <f t="array" ref="S133">IF(TRIM($D133)="","(tidak diisi)",IFERROR(INDEX(Kamus!$B$3:$B$28,MATCH(TRUE,ISNUMBER(SEARCH(Kamus!$A$3:$A$28,$D133)),0)),"Jabatan Lainnya"))</f>
        <v>Ketua Pengadilan</v>
      </c>
      <c r="T133" s="106" t="str" cm="1">
        <f t="array" ref="T133">IF(TRIM($I133)="","(tidak diisi)",IFERROR(INDEX(Kamus!$E$3:$E$162,MATCH(TRUE,ISNUMBER(SEARCH(Kamus!$D$3:$D$162,$I133)),0)),"Barang Lain / Tidak Terinci"))</f>
        <v>Makanan &amp; Minuman</v>
      </c>
      <c r="U133" s="106" t="str" cm="1">
        <f t="array" ref="U133">IF(TRIM($I133)="","(tidak diisi)",IFERROR(INDEX(Kamus!$H$3:$H$75,MATCH(TRUE,ISNUMBER(SEARCH(Kamus!$G$3:$G$75,$I133)),0)),"Pemberian Umum / Tanpa Konteks"))</f>
        <v>Bingkisan Hari Raya / Keagamaan</v>
      </c>
      <c r="V133" s="106" t="str">
        <f t="shared" si="6"/>
        <v>2025</v>
      </c>
      <c r="W133" s="106" t="str" cm="1">
        <f t="array" ref="W133">IF(TRIM($K133)="","(tidak diisi)",IFERROR(INDEX(Kamus!$K$3:$K$118,MATCH(TRUE,ISNUMBER(SEARCH(Kamus!$J$3:$J$118,$K133)),0)),"Individu / Perorangan"))</f>
        <v>Individu / Perorangan</v>
      </c>
      <c r="X133" s="106" t="str">
        <f t="shared" si="7"/>
        <v>03</v>
      </c>
      <c r="Y133" s="106" t="str" cm="1">
        <f t="array" ref="Y133">IFERROR(INDEX(Kamus!$N$3:$N$111,MATCH(TRUE,ISNUMBER(SEARCH(Kamus!$M$3:$M$111,$I133)),0)),"")</f>
        <v>Momen Hari Raya (Ramadan/Idulfitri)</v>
      </c>
      <c r="Z133" s="106" t="str">
        <f>IF(AND(OR($X133="02",$X133="03",$X133="04"),OR($T133="Parsel/Bingkisan (tidak dirinci)",$T133="Makanan &amp; Minuman",$T133="Peralatan Rumah Tangga / Pecah Belah",$T133="Pakaian &amp; Kain")),"Momen Hari Raya (dugaan musiman)",IFERROR(VLOOKUP($W133,Kamus!$P$3:$Q$14,2,FALSE),"Tidak Teridentifikasi"))</f>
        <v>Momen Hari Raya (dugaan musiman)</v>
      </c>
      <c r="AA133" s="106" t="str">
        <f t="shared" si="8"/>
        <v>Momen Hari Raya (Ramadan/Idulfitri)</v>
      </c>
    </row>
    <row r="134" spans="1:27">
      <c r="A134" s="106">
        <v>133</v>
      </c>
      <c r="B134" s="106" t="s">
        <v>1765</v>
      </c>
      <c r="C134" s="107" t="s">
        <v>1766</v>
      </c>
      <c r="D134" s="106" t="s">
        <v>1033</v>
      </c>
      <c r="E134" s="106" t="s">
        <v>1767</v>
      </c>
      <c r="F134" s="106" t="s">
        <v>1768</v>
      </c>
      <c r="G134" s="106" t="s">
        <v>1006</v>
      </c>
      <c r="H134" s="106" t="s">
        <v>1753</v>
      </c>
      <c r="I134" s="106" t="s">
        <v>1769</v>
      </c>
      <c r="K134" s="106" t="s">
        <v>1770</v>
      </c>
      <c r="L134" s="106" t="s">
        <v>1771</v>
      </c>
      <c r="O134" s="106" t="s">
        <v>274</v>
      </c>
      <c r="P134" s="106" t="s">
        <v>1772</v>
      </c>
      <c r="Q134" s="106" t="s">
        <v>300</v>
      </c>
      <c r="S134" s="106" t="str" cm="1">
        <f t="array" ref="S134">IF(TRIM($D134)="","(tidak diisi)",IFERROR(INDEX(Kamus!$B$3:$B$28,MATCH(TRUE,ISNUMBER(SEARCH(Kamus!$A$3:$A$28,$D134)),0)),"Jabatan Lainnya"))</f>
        <v>Hakim</v>
      </c>
      <c r="T134" s="106" t="str" cm="1">
        <f t="array" ref="T134">IF(TRIM($I134)="","(tidak diisi)",IFERROR(INDEX(Kamus!$E$3:$E$162,MATCH(TRUE,ISNUMBER(SEARCH(Kamus!$D$3:$D$162,$I134)),0)),"Barang Lain / Tidak Terinci"))</f>
        <v>Makanan &amp; Minuman</v>
      </c>
      <c r="U134" s="106" t="str" cm="1">
        <f t="array" ref="U134">IF(TRIM($I134)="","(tidak diisi)",IFERROR(INDEX(Kamus!$H$3:$H$75,MATCH(TRUE,ISNUMBER(SEARCH(Kamus!$G$3:$G$75,$I134)),0)),"Pemberian Umum / Tanpa Konteks"))</f>
        <v>Pemberian Umum / Tanpa Konteks</v>
      </c>
      <c r="V134" s="106" t="str">
        <f t="shared" si="6"/>
        <v>2025</v>
      </c>
      <c r="W134" s="106" t="str" cm="1">
        <f t="array" ref="W134">IF(TRIM($K134)="","(tidak diisi)",IFERROR(INDEX(Kamus!$K$3:$K$118,MATCH(TRUE,ISNUMBER(SEARCH(Kamus!$J$3:$J$118,$K134)),0)),"Individu / Perorangan"))</f>
        <v>Bank &amp; Lembaga Keuangan</v>
      </c>
      <c r="X134" s="106" t="str">
        <f t="shared" si="7"/>
        <v>03</v>
      </c>
      <c r="Y134" s="106" t="str" cm="1">
        <f t="array" ref="Y134">IFERROR(INDEX(Kamus!$N$3:$N$111,MATCH(TRUE,ISNUMBER(SEARCH(Kamus!$M$3:$M$111,$I134)),0)),"")</f>
        <v/>
      </c>
      <c r="Z134" s="106" t="str">
        <f>IF(AND(OR($X134="02",$X134="03",$X134="04"),OR($T134="Parsel/Bingkisan (tidak dirinci)",$T134="Makanan &amp; Minuman",$T134="Peralatan Rumah Tangga / Pecah Belah",$T134="Pakaian &amp; Kain")),"Momen Hari Raya (dugaan musiman)",IFERROR(VLOOKUP($W134,Kamus!$P$3:$Q$14,2,FALSE),"Tidak Teridentifikasi"))</f>
        <v>Momen Hari Raya (dugaan musiman)</v>
      </c>
      <c r="AA134" s="106" t="str">
        <f t="shared" si="8"/>
        <v>Momen Hari Raya (dugaan musiman)</v>
      </c>
    </row>
    <row r="135" spans="1:27">
      <c r="A135" s="106">
        <v>134</v>
      </c>
      <c r="B135" s="106" t="s">
        <v>1773</v>
      </c>
      <c r="C135" s="107" t="s">
        <v>1774</v>
      </c>
      <c r="D135" s="106" t="s">
        <v>1033</v>
      </c>
      <c r="E135" s="106" t="s">
        <v>1767</v>
      </c>
      <c r="F135" s="106" t="s">
        <v>1775</v>
      </c>
      <c r="G135" s="106" t="s">
        <v>1006</v>
      </c>
      <c r="H135" s="106" t="s">
        <v>1753</v>
      </c>
      <c r="I135" s="106" t="s">
        <v>1776</v>
      </c>
      <c r="K135" s="106" t="s">
        <v>1777</v>
      </c>
      <c r="L135" s="106" t="s">
        <v>1778</v>
      </c>
      <c r="O135" s="106" t="s">
        <v>274</v>
      </c>
      <c r="P135" s="106" t="s">
        <v>1772</v>
      </c>
      <c r="Q135" s="106" t="s">
        <v>300</v>
      </c>
      <c r="S135" s="106" t="str" cm="1">
        <f t="array" ref="S135">IF(TRIM($D135)="","(tidak diisi)",IFERROR(INDEX(Kamus!$B$3:$B$28,MATCH(TRUE,ISNUMBER(SEARCH(Kamus!$A$3:$A$28,$D135)),0)),"Jabatan Lainnya"))</f>
        <v>Hakim</v>
      </c>
      <c r="T135" s="106" t="str" cm="1">
        <f t="array" ref="T135">IF(TRIM($I135)="","(tidak diisi)",IFERROR(INDEX(Kamus!$E$3:$E$162,MATCH(TRUE,ISNUMBER(SEARCH(Kamus!$D$3:$D$162,$I135)),0)),"Barang Lain / Tidak Terinci"))</f>
        <v>Makanan &amp; Minuman</v>
      </c>
      <c r="U135" s="106" t="str" cm="1">
        <f t="array" ref="U135">IF(TRIM($I135)="","(tidak diisi)",IFERROR(INDEX(Kamus!$H$3:$H$75,MATCH(TRUE,ISNUMBER(SEARCH(Kamus!$G$3:$G$75,$I135)),0)),"Pemberian Umum / Tanpa Konteks"))</f>
        <v>Pemberian Umum / Tanpa Konteks</v>
      </c>
      <c r="V135" s="106" t="str">
        <f t="shared" si="6"/>
        <v>2025</v>
      </c>
      <c r="W135" s="106" t="str" cm="1">
        <f t="array" ref="W135">IF(TRIM($K135)="","(tidak diisi)",IFERROR(INDEX(Kamus!$K$3:$K$118,MATCH(TRUE,ISNUMBER(SEARCH(Kamus!$J$3:$J$118,$K135)),0)),"Individu / Perorangan"))</f>
        <v>Bank &amp; Lembaga Keuangan</v>
      </c>
      <c r="X135" s="106" t="str">
        <f t="shared" si="7"/>
        <v>03</v>
      </c>
      <c r="Y135" s="106" t="str" cm="1">
        <f t="array" ref="Y135">IFERROR(INDEX(Kamus!$N$3:$N$111,MATCH(TRUE,ISNUMBER(SEARCH(Kamus!$M$3:$M$111,$I135)),0)),"")</f>
        <v/>
      </c>
      <c r="Z135" s="106" t="str">
        <f>IF(AND(OR($X135="02",$X135="03",$X135="04"),OR($T135="Parsel/Bingkisan (tidak dirinci)",$T135="Makanan &amp; Minuman",$T135="Peralatan Rumah Tangga / Pecah Belah",$T135="Pakaian &amp; Kain")),"Momen Hari Raya (dugaan musiman)",IFERROR(VLOOKUP($W135,Kamus!$P$3:$Q$14,2,FALSE),"Tidak Teridentifikasi"))</f>
        <v>Momen Hari Raya (dugaan musiman)</v>
      </c>
      <c r="AA135" s="106" t="str">
        <f t="shared" si="8"/>
        <v>Momen Hari Raya (dugaan musiman)</v>
      </c>
    </row>
    <row r="136" spans="1:27">
      <c r="A136" s="106">
        <v>135</v>
      </c>
      <c r="B136" s="106" t="s">
        <v>1779</v>
      </c>
      <c r="C136" s="107" t="s">
        <v>1780</v>
      </c>
      <c r="D136" s="106" t="s">
        <v>1781</v>
      </c>
      <c r="E136" s="106" t="s">
        <v>1782</v>
      </c>
      <c r="F136" s="106" t="s">
        <v>1783</v>
      </c>
      <c r="G136" s="106" t="s">
        <v>1006</v>
      </c>
      <c r="H136" s="106" t="s">
        <v>1753</v>
      </c>
      <c r="I136" s="106" t="s">
        <v>1251</v>
      </c>
      <c r="J136" s="106">
        <v>245000</v>
      </c>
      <c r="K136" s="106" t="s">
        <v>1784</v>
      </c>
      <c r="L136" s="106" t="s">
        <v>1785</v>
      </c>
      <c r="M136" s="106" t="s">
        <v>1039</v>
      </c>
      <c r="O136" s="106" t="s">
        <v>274</v>
      </c>
      <c r="P136" s="106" t="s">
        <v>1786</v>
      </c>
      <c r="Q136" s="106" t="s">
        <v>431</v>
      </c>
      <c r="S136" s="106" t="str" cm="1">
        <f t="array" ref="S136">IF(TRIM($D136)="","(tidak diisi)",IFERROR(INDEX(Kamus!$B$3:$B$28,MATCH(TRUE,ISNUMBER(SEARCH(Kamus!$A$3:$A$28,$D136)),0)),"Jabatan Lainnya"))</f>
        <v>Ketua Pengadilan</v>
      </c>
      <c r="T136" s="106" t="str" cm="1">
        <f t="array" ref="T136">IF(TRIM($I136)="","(tidak diisi)",IFERROR(INDEX(Kamus!$E$3:$E$162,MATCH(TRUE,ISNUMBER(SEARCH(Kamus!$D$3:$D$162,$I136)),0)),"Barang Lain / Tidak Terinci"))</f>
        <v>Peralatan Rumah Tangga / Pecah Belah</v>
      </c>
      <c r="U136" s="106" t="str" cm="1">
        <f t="array" ref="U136">IF(TRIM($I136)="","(tidak diisi)",IFERROR(INDEX(Kamus!$H$3:$H$75,MATCH(TRUE,ISNUMBER(SEARCH(Kamus!$G$3:$G$75,$I136)),0)),"Pemberian Umum / Tanpa Konteks"))</f>
        <v>Parsel/Bingkisan Umum (non-hari raya)</v>
      </c>
      <c r="V136" s="106" t="str">
        <f t="shared" si="6"/>
        <v>2025</v>
      </c>
      <c r="W136" s="106" t="str" cm="1">
        <f t="array" ref="W136">IF(TRIM($K136)="","(tidak diisi)",IFERROR(INDEX(Kamus!$K$3:$K$118,MATCH(TRUE,ISNUMBER(SEARCH(Kamus!$J$3:$J$118,$K136)),0)),"Individu / Perorangan"))</f>
        <v>Bank &amp; Lembaga Keuangan</v>
      </c>
      <c r="X136" s="106" t="str">
        <f t="shared" si="7"/>
        <v>03</v>
      </c>
      <c r="Y136" s="106" t="str" cm="1">
        <f t="array" ref="Y136">IFERROR(INDEX(Kamus!$N$3:$N$111,MATCH(TRUE,ISNUMBER(SEARCH(Kamus!$M$3:$M$111,$I136)),0)),"")</f>
        <v/>
      </c>
      <c r="Z136" s="106" t="str">
        <f>IF(AND(OR($X136="02",$X136="03",$X136="04"),OR($T136="Parsel/Bingkisan (tidak dirinci)",$T136="Makanan &amp; Minuman",$T136="Peralatan Rumah Tangga / Pecah Belah",$T136="Pakaian &amp; Kain")),"Momen Hari Raya (dugaan musiman)",IFERROR(VLOOKUP($W136,Kamus!$P$3:$Q$14,2,FALSE),"Tidak Teridentifikasi"))</f>
        <v>Momen Hari Raya (dugaan musiman)</v>
      </c>
      <c r="AA136" s="106" t="str">
        <f t="shared" si="8"/>
        <v>Momen Hari Raya (dugaan musiman)</v>
      </c>
    </row>
    <row r="137" spans="1:27">
      <c r="A137" s="106">
        <v>136</v>
      </c>
      <c r="B137" s="106" t="s">
        <v>1285</v>
      </c>
      <c r="C137" s="107" t="s">
        <v>1286</v>
      </c>
      <c r="D137" s="106" t="s">
        <v>1024</v>
      </c>
      <c r="E137" s="106" t="s">
        <v>1287</v>
      </c>
      <c r="F137" s="106" t="s">
        <v>1787</v>
      </c>
      <c r="G137" s="106" t="s">
        <v>1006</v>
      </c>
      <c r="H137" s="106" t="s">
        <v>1788</v>
      </c>
      <c r="I137" s="106" t="s">
        <v>1255</v>
      </c>
      <c r="K137" s="106" t="s">
        <v>1789</v>
      </c>
      <c r="L137" s="106" t="s">
        <v>1790</v>
      </c>
      <c r="O137" s="106" t="s">
        <v>274</v>
      </c>
      <c r="P137" s="106" t="s">
        <v>1291</v>
      </c>
      <c r="Q137" s="106" t="s">
        <v>428</v>
      </c>
      <c r="S137" s="106" t="str" cm="1">
        <f t="array" ref="S137">IF(TRIM($D137)="","(tidak diisi)",IFERROR(INDEX(Kamus!$B$3:$B$28,MATCH(TRUE,ISNUMBER(SEARCH(Kamus!$A$3:$A$28,$D137)),0)),"Jabatan Lainnya"))</f>
        <v>Sekretaris</v>
      </c>
      <c r="T137" s="106" t="str" cm="1">
        <f t="array" ref="T137">IF(TRIM($I137)="","(tidak diisi)",IFERROR(INDEX(Kamus!$E$3:$E$162,MATCH(TRUE,ISNUMBER(SEARCH(Kamus!$D$3:$D$162,$I137)),0)),"Barang Lain / Tidak Terinci"))</f>
        <v>Makanan &amp; Minuman</v>
      </c>
      <c r="U137" s="106" t="str" cm="1">
        <f t="array" ref="U137">IF(TRIM($I137)="","(tidak diisi)",IFERROR(INDEX(Kamus!$H$3:$H$75,MATCH(TRUE,ISNUMBER(SEARCH(Kamus!$G$3:$G$75,$I137)),0)),"Pemberian Umum / Tanpa Konteks"))</f>
        <v>Parsel/Bingkisan Umum (non-hari raya)</v>
      </c>
      <c r="V137" s="106" t="str">
        <f t="shared" si="6"/>
        <v>2025</v>
      </c>
      <c r="W137" s="106" t="str" cm="1">
        <f t="array" ref="W137">IF(TRIM($K137)="","(tidak diisi)",IFERROR(INDEX(Kamus!$K$3:$K$118,MATCH(TRUE,ISNUMBER(SEARCH(Kamus!$J$3:$J$118,$K137)),0)),"Individu / Perorangan"))</f>
        <v>Individu / Perorangan</v>
      </c>
      <c r="X137" s="106" t="str">
        <f t="shared" si="7"/>
        <v>03</v>
      </c>
      <c r="Y137" s="106" t="str" cm="1">
        <f t="array" ref="Y137">IFERROR(INDEX(Kamus!$N$3:$N$111,MATCH(TRUE,ISNUMBER(SEARCH(Kamus!$M$3:$M$111,$I137)),0)),"")</f>
        <v/>
      </c>
      <c r="Z137" s="106" t="str">
        <f>IF(AND(OR($X137="02",$X137="03",$X137="04"),OR($T137="Parsel/Bingkisan (tidak dirinci)",$T137="Makanan &amp; Minuman",$T137="Peralatan Rumah Tangga / Pecah Belah",$T137="Pakaian &amp; Kain")),"Momen Hari Raya (dugaan musiman)",IFERROR(VLOOKUP($W137,Kamus!$P$3:$Q$14,2,FALSE),"Tidak Teridentifikasi"))</f>
        <v>Momen Hari Raya (dugaan musiman)</v>
      </c>
      <c r="AA137" s="106" t="str">
        <f t="shared" si="8"/>
        <v>Momen Hari Raya (dugaan musiman)</v>
      </c>
    </row>
    <row r="138" spans="1:27">
      <c r="A138" s="106">
        <v>137</v>
      </c>
      <c r="B138" s="106" t="s">
        <v>1304</v>
      </c>
      <c r="C138" s="107" t="s">
        <v>1305</v>
      </c>
      <c r="D138" s="106" t="s">
        <v>1306</v>
      </c>
      <c r="E138" s="106" t="s">
        <v>1307</v>
      </c>
      <c r="F138" s="106" t="s">
        <v>1791</v>
      </c>
      <c r="G138" s="106" t="s">
        <v>1006</v>
      </c>
      <c r="H138" s="106" t="s">
        <v>1788</v>
      </c>
      <c r="I138" s="106" t="s">
        <v>1792</v>
      </c>
      <c r="K138" s="106" t="s">
        <v>1793</v>
      </c>
      <c r="L138" s="106" t="s">
        <v>1794</v>
      </c>
      <c r="O138" s="106" t="s">
        <v>274</v>
      </c>
      <c r="P138" s="106" t="s">
        <v>597</v>
      </c>
      <c r="Q138" s="106" t="s">
        <v>427</v>
      </c>
      <c r="S138" s="106" t="str" cm="1">
        <f t="array" ref="S138">IF(TRIM($D138)="","(tidak diisi)",IFERROR(INDEX(Kamus!$B$3:$B$28,MATCH(TRUE,ISNUMBER(SEARCH(Kamus!$A$3:$A$28,$D138)),0)),"Jabatan Lainnya"))</f>
        <v>Pejabat Struktural (Kasubbag/Kabag)</v>
      </c>
      <c r="T138" s="106" t="str" cm="1">
        <f t="array" ref="T138">IF(TRIM($I138)="","(tidak diisi)",IFERROR(INDEX(Kamus!$E$3:$E$162,MATCH(TRUE,ISNUMBER(SEARCH(Kamus!$D$3:$D$162,$I138)),0)),"Barang Lain / Tidak Terinci"))</f>
        <v>Suvenir &amp; Merchandise</v>
      </c>
      <c r="U138" s="106" t="str" cm="1">
        <f t="array" ref="U138">IF(TRIM($I138)="","(tidak diisi)",IFERROR(INDEX(Kamus!$H$3:$H$75,MATCH(TRUE,ISNUMBER(SEARCH(Kamus!$G$3:$G$75,$I138)),0)),"Pemberian Umum / Tanpa Konteks"))</f>
        <v>Suvenir / Merchandise Kegiatan &amp; Kunjungan</v>
      </c>
      <c r="V138" s="106" t="str">
        <f t="shared" si="6"/>
        <v>2025</v>
      </c>
      <c r="W138" s="106" t="str" cm="1">
        <f t="array" ref="W138">IF(TRIM($K138)="","(tidak diisi)",IFERROR(INDEX(Kamus!$K$3:$K$118,MATCH(TRUE,ISNUMBER(SEARCH(Kamus!$J$3:$J$118,$K138)),0)),"Individu / Perorangan"))</f>
        <v>Individu / Perorangan</v>
      </c>
      <c r="X138" s="106" t="str">
        <f t="shared" si="7"/>
        <v>03</v>
      </c>
      <c r="Y138" s="106" t="str" cm="1">
        <f t="array" ref="Y138">IFERROR(INDEX(Kamus!$N$3:$N$111,MATCH(TRUE,ISNUMBER(SEARCH(Kamus!$M$3:$M$111,$I138)),0)),"")</f>
        <v/>
      </c>
      <c r="Z138" s="106" t="str">
        <f>IF(AND(OR($X138="02",$X138="03",$X138="04"),OR($T138="Parsel/Bingkisan (tidak dirinci)",$T138="Makanan &amp; Minuman",$T138="Peralatan Rumah Tangga / Pecah Belah",$T138="Pakaian &amp; Kain")),"Momen Hari Raya (dugaan musiman)",IFERROR(VLOOKUP($W138,Kamus!$P$3:$Q$14,2,FALSE),"Tidak Teridentifikasi"))</f>
        <v>Relasi Personal / Tidak Teridentifikasi</v>
      </c>
      <c r="AA138" s="106" t="str">
        <f t="shared" si="8"/>
        <v>Relasi Personal / Tidak Teridentifikasi</v>
      </c>
    </row>
    <row r="139" spans="1:27">
      <c r="A139" s="106">
        <v>138</v>
      </c>
      <c r="B139" s="106" t="s">
        <v>1795</v>
      </c>
      <c r="C139" s="107" t="s">
        <v>1796</v>
      </c>
      <c r="D139" s="106" t="s">
        <v>1033</v>
      </c>
      <c r="E139" s="106" t="s">
        <v>1767</v>
      </c>
      <c r="F139" s="106" t="s">
        <v>1797</v>
      </c>
      <c r="G139" s="106" t="s">
        <v>1006</v>
      </c>
      <c r="H139" s="106" t="s">
        <v>1753</v>
      </c>
      <c r="I139" s="106" t="s">
        <v>1798</v>
      </c>
      <c r="K139" s="106" t="s">
        <v>1777</v>
      </c>
      <c r="L139" s="106" t="s">
        <v>1799</v>
      </c>
      <c r="O139" s="106" t="s">
        <v>274</v>
      </c>
      <c r="P139" s="106" t="s">
        <v>1772</v>
      </c>
      <c r="Q139" s="106" t="s">
        <v>300</v>
      </c>
      <c r="S139" s="106" t="str" cm="1">
        <f t="array" ref="S139">IF(TRIM($D139)="","(tidak diisi)",IFERROR(INDEX(Kamus!$B$3:$B$28,MATCH(TRUE,ISNUMBER(SEARCH(Kamus!$A$3:$A$28,$D139)),0)),"Jabatan Lainnya"))</f>
        <v>Hakim</v>
      </c>
      <c r="T139" s="106" t="str" cm="1">
        <f t="array" ref="T139">IF(TRIM($I139)="","(tidak diisi)",IFERROR(INDEX(Kamus!$E$3:$E$162,MATCH(TRUE,ISNUMBER(SEARCH(Kamus!$D$3:$D$162,$I139)),0)),"Barang Lain / Tidak Terinci"))</f>
        <v>Makanan &amp; Minuman</v>
      </c>
      <c r="U139" s="106" t="str" cm="1">
        <f t="array" ref="U139">IF(TRIM($I139)="","(tidak diisi)",IFERROR(INDEX(Kamus!$H$3:$H$75,MATCH(TRUE,ISNUMBER(SEARCH(Kamus!$G$3:$G$75,$I139)),0)),"Pemberian Umum / Tanpa Konteks"))</f>
        <v>Pemberian Umum / Tanpa Konteks</v>
      </c>
      <c r="V139" s="106" t="str">
        <f t="shared" si="6"/>
        <v>2025</v>
      </c>
      <c r="W139" s="106" t="str" cm="1">
        <f t="array" ref="W139">IF(TRIM($K139)="","(tidak diisi)",IFERROR(INDEX(Kamus!$K$3:$K$118,MATCH(TRUE,ISNUMBER(SEARCH(Kamus!$J$3:$J$118,$K139)),0)),"Individu / Perorangan"))</f>
        <v>Bank &amp; Lembaga Keuangan</v>
      </c>
      <c r="X139" s="106" t="str">
        <f t="shared" si="7"/>
        <v>03</v>
      </c>
      <c r="Y139" s="106" t="str" cm="1">
        <f t="array" ref="Y139">IFERROR(INDEX(Kamus!$N$3:$N$111,MATCH(TRUE,ISNUMBER(SEARCH(Kamus!$M$3:$M$111,$I139)),0)),"")</f>
        <v/>
      </c>
      <c r="Z139" s="106" t="str">
        <f>IF(AND(OR($X139="02",$X139="03",$X139="04"),OR($T139="Parsel/Bingkisan (tidak dirinci)",$T139="Makanan &amp; Minuman",$T139="Peralatan Rumah Tangga / Pecah Belah",$T139="Pakaian &amp; Kain")),"Momen Hari Raya (dugaan musiman)",IFERROR(VLOOKUP($W139,Kamus!$P$3:$Q$14,2,FALSE),"Tidak Teridentifikasi"))</f>
        <v>Momen Hari Raya (dugaan musiman)</v>
      </c>
      <c r="AA139" s="106" t="str">
        <f t="shared" si="8"/>
        <v>Momen Hari Raya (dugaan musiman)</v>
      </c>
    </row>
    <row r="140" spans="1:27">
      <c r="A140" s="106">
        <v>139</v>
      </c>
      <c r="B140" s="106" t="s">
        <v>1800</v>
      </c>
      <c r="C140" s="107" t="s">
        <v>1801</v>
      </c>
      <c r="D140" s="106" t="s">
        <v>1319</v>
      </c>
      <c r="E140" s="106" t="s">
        <v>1115</v>
      </c>
      <c r="G140" s="106" t="s">
        <v>1074</v>
      </c>
      <c r="L140" s="106" t="s">
        <v>1802</v>
      </c>
      <c r="O140" s="106" t="s">
        <v>274</v>
      </c>
      <c r="P140" s="106" t="s">
        <v>1119</v>
      </c>
      <c r="Q140" s="106" t="s">
        <v>429</v>
      </c>
      <c r="S140" s="106" t="str" cm="1">
        <f t="array" ref="S140">IF(TRIM($D140)="","(tidak diisi)",IFERROR(INDEX(Kamus!$B$3:$B$28,MATCH(TRUE,ISNUMBER(SEARCH(Kamus!$A$3:$A$28,$D140)),0)),"Jabatan Lainnya"))</f>
        <v>Wakil Ketua Pengadilan</v>
      </c>
      <c r="T140" s="106" t="str" cm="1">
        <f t="array" ref="T140">IF(TRIM($I140)="","(tidak diisi)",IFERROR(INDEX(Kamus!$E$3:$E$162,MATCH(TRUE,ISNUMBER(SEARCH(Kamus!$D$3:$D$162,$I140)),0)),"Barang Lain / Tidak Terinci"))</f>
        <v>(tidak diisi)</v>
      </c>
      <c r="U140" s="106" t="str" cm="1">
        <f t="array" ref="U140">IF(TRIM($I140)="","(tidak diisi)",IFERROR(INDEX(Kamus!$H$3:$H$75,MATCH(TRUE,ISNUMBER(SEARCH(Kamus!$G$3:$G$75,$I140)),0)),"Pemberian Umum / Tanpa Konteks"))</f>
        <v>(tidak diisi)</v>
      </c>
      <c r="V140" s="106" t="str">
        <f t="shared" si="6"/>
        <v>(tidak diisi)</v>
      </c>
      <c r="W140" s="106" t="str" cm="1">
        <f t="array" ref="W140">IF(TRIM($K140)="","(tidak diisi)",IFERROR(INDEX(Kamus!$K$3:$K$118,MATCH(TRUE,ISNUMBER(SEARCH(Kamus!$J$3:$J$118,$K140)),0)),"Individu / Perorangan"))</f>
        <v>(tidak diisi)</v>
      </c>
      <c r="X140" s="106" t="str">
        <f t="shared" si="7"/>
        <v>(tidak diisi)</v>
      </c>
      <c r="Y140" s="106" t="str" cm="1">
        <f t="array" ref="Y140">IFERROR(INDEX(Kamus!$N$3:$N$111,MATCH(TRUE,ISNUMBER(SEARCH(Kamus!$M$3:$M$111,$I140)),0)),"")</f>
        <v/>
      </c>
      <c r="Z140" s="106" t="str">
        <f>IF(AND(OR($X140="02",$X140="03",$X140="04"),OR($T140="Parsel/Bingkisan (tidak dirinci)",$T140="Makanan &amp; Minuman",$T140="Peralatan Rumah Tangga / Pecah Belah",$T140="Pakaian &amp; Kain")),"Momen Hari Raya (dugaan musiman)",IFERROR(VLOOKUP($W140,Kamus!$P$3:$Q$14,2,FALSE),"Tidak Teridentifikasi"))</f>
        <v>Tidak Teridentifikasi</v>
      </c>
      <c r="AA140" s="106" t="str">
        <f t="shared" si="8"/>
        <v>Tidak Teridentifikasi</v>
      </c>
    </row>
    <row r="141" spans="1:27">
      <c r="A141" s="106">
        <v>140</v>
      </c>
      <c r="B141" s="106" t="s">
        <v>1022</v>
      </c>
      <c r="C141" s="107" t="s">
        <v>1023</v>
      </c>
      <c r="D141" s="106" t="s">
        <v>1024</v>
      </c>
      <c r="E141" s="106" t="s">
        <v>1025</v>
      </c>
      <c r="F141" s="106" t="s">
        <v>1803</v>
      </c>
      <c r="G141" s="106" t="s">
        <v>1006</v>
      </c>
      <c r="H141" s="106" t="s">
        <v>1753</v>
      </c>
      <c r="I141" s="106" t="s">
        <v>1804</v>
      </c>
      <c r="K141" s="106" t="s">
        <v>468</v>
      </c>
      <c r="L141" s="106" t="s">
        <v>1805</v>
      </c>
      <c r="O141" s="106" t="s">
        <v>274</v>
      </c>
      <c r="P141" s="106" t="s">
        <v>561</v>
      </c>
      <c r="Q141" s="106" t="s">
        <v>428</v>
      </c>
      <c r="S141" s="106" t="str" cm="1">
        <f t="array" ref="S141">IF(TRIM($D141)="","(tidak diisi)",IFERROR(INDEX(Kamus!$B$3:$B$28,MATCH(TRUE,ISNUMBER(SEARCH(Kamus!$A$3:$A$28,$D141)),0)),"Jabatan Lainnya"))</f>
        <v>Sekretaris</v>
      </c>
      <c r="T141" s="106" t="str" cm="1">
        <f t="array" ref="T141">IF(TRIM($I141)="","(tidak diisi)",IFERROR(INDEX(Kamus!$E$3:$E$162,MATCH(TRUE,ISNUMBER(SEARCH(Kamus!$D$3:$D$162,$I141)),0)),"Barang Lain / Tidak Terinci"))</f>
        <v>Parsel/Bingkisan (tidak dirinci)</v>
      </c>
      <c r="U141" s="106" t="str" cm="1">
        <f t="array" ref="U141">IF(TRIM($I141)="","(tidak diisi)",IFERROR(INDEX(Kamus!$H$3:$H$75,MATCH(TRUE,ISNUMBER(SEARCH(Kamus!$G$3:$G$75,$I141)),0)),"Pemberian Umum / Tanpa Konteks"))</f>
        <v>Parsel/Bingkisan Umum (non-hari raya)</v>
      </c>
      <c r="V141" s="106" t="str">
        <f t="shared" si="6"/>
        <v>2025</v>
      </c>
      <c r="W141" s="106" t="str" cm="1">
        <f t="array" ref="W141">IF(TRIM($K141)="","(tidak diisi)",IFERROR(INDEX(Kamus!$K$3:$K$118,MATCH(TRUE,ISNUMBER(SEARCH(Kamus!$J$3:$J$118,$K141)),0)),"Individu / Perorangan"))</f>
        <v>Individu / Perorangan</v>
      </c>
      <c r="X141" s="106" t="str">
        <f t="shared" si="7"/>
        <v>03</v>
      </c>
      <c r="Y141" s="106" t="str" cm="1">
        <f t="array" ref="Y141">IFERROR(INDEX(Kamus!$N$3:$N$111,MATCH(TRUE,ISNUMBER(SEARCH(Kamus!$M$3:$M$111,$I141)),0)),"")</f>
        <v/>
      </c>
      <c r="Z141" s="106" t="str">
        <f>IF(AND(OR($X141="02",$X141="03",$X141="04"),OR($T141="Parsel/Bingkisan (tidak dirinci)",$T141="Makanan &amp; Minuman",$T141="Peralatan Rumah Tangga / Pecah Belah",$T141="Pakaian &amp; Kain")),"Momen Hari Raya (dugaan musiman)",IFERROR(VLOOKUP($W141,Kamus!$P$3:$Q$14,2,FALSE),"Tidak Teridentifikasi"))</f>
        <v>Momen Hari Raya (dugaan musiman)</v>
      </c>
      <c r="AA141" s="106" t="str">
        <f t="shared" si="8"/>
        <v>Momen Hari Raya (dugaan musiman)</v>
      </c>
    </row>
    <row r="142" spans="1:27">
      <c r="A142" s="106">
        <v>141</v>
      </c>
      <c r="B142" s="106" t="s">
        <v>1806</v>
      </c>
      <c r="C142" s="107" t="s">
        <v>1807</v>
      </c>
      <c r="D142" s="106" t="s">
        <v>1808</v>
      </c>
      <c r="E142" s="106" t="s">
        <v>1809</v>
      </c>
      <c r="F142" s="106" t="s">
        <v>1810</v>
      </c>
      <c r="G142" s="106" t="s">
        <v>1006</v>
      </c>
      <c r="H142" s="106" t="s">
        <v>1371</v>
      </c>
      <c r="I142" s="106" t="s">
        <v>1811</v>
      </c>
      <c r="J142" s="106">
        <v>89900</v>
      </c>
      <c r="K142" s="106" t="s">
        <v>1812</v>
      </c>
      <c r="L142" s="106" t="s">
        <v>1813</v>
      </c>
      <c r="M142" s="106" t="s">
        <v>1171</v>
      </c>
      <c r="N142" s="106" t="s">
        <v>1814</v>
      </c>
      <c r="O142" s="106" t="s">
        <v>274</v>
      </c>
      <c r="P142" s="106" t="s">
        <v>1815</v>
      </c>
      <c r="Q142" s="106" t="s">
        <v>428</v>
      </c>
      <c r="S142" s="106" t="str" cm="1">
        <f t="array" ref="S142">IF(TRIM($D142)="","(tidak diisi)",IFERROR(INDEX(Kamus!$B$3:$B$28,MATCH(TRUE,ISNUMBER(SEARCH(Kamus!$A$3:$A$28,$D142)),0)),"Jabatan Lainnya"))</f>
        <v>Ketua Pengadilan</v>
      </c>
      <c r="T142" s="106" t="str" cm="1">
        <f t="array" ref="T142">IF(TRIM($I142)="","(tidak diisi)",IFERROR(INDEX(Kamus!$E$3:$E$162,MATCH(TRUE,ISNUMBER(SEARCH(Kamus!$D$3:$D$162,$I142)),0)),"Barang Lain / Tidak Terinci"))</f>
        <v>Peralatan Rumah Tangga / Pecah Belah</v>
      </c>
      <c r="U142" s="106" t="str" cm="1">
        <f t="array" ref="U142">IF(TRIM($I142)="","(tidak diisi)",IFERROR(INDEX(Kamus!$H$3:$H$75,MATCH(TRUE,ISNUMBER(SEARCH(Kamus!$G$3:$G$75,$I142)),0)),"Pemberian Umum / Tanpa Konteks"))</f>
        <v>Pemberian Umum / Tanpa Konteks</v>
      </c>
      <c r="V142" s="106" t="str">
        <f t="shared" si="6"/>
        <v>2025</v>
      </c>
      <c r="W142" s="106" t="str" cm="1">
        <f t="array" ref="W142">IF(TRIM($K142)="","(tidak diisi)",IFERROR(INDEX(Kamus!$K$3:$K$118,MATCH(TRUE,ISNUMBER(SEARCH(Kamus!$J$3:$J$118,$K142)),0)),"Individu / Perorangan"))</f>
        <v>Individu / Perorangan</v>
      </c>
      <c r="X142" s="106" t="str">
        <f t="shared" si="7"/>
        <v>03</v>
      </c>
      <c r="Y142" s="106" t="str" cm="1">
        <f t="array" ref="Y142">IFERROR(INDEX(Kamus!$N$3:$N$111,MATCH(TRUE,ISNUMBER(SEARCH(Kamus!$M$3:$M$111,$I142)),0)),"")</f>
        <v/>
      </c>
      <c r="Z142" s="106" t="str">
        <f>IF(AND(OR($X142="02",$X142="03",$X142="04"),OR($T142="Parsel/Bingkisan (tidak dirinci)",$T142="Makanan &amp; Minuman",$T142="Peralatan Rumah Tangga / Pecah Belah",$T142="Pakaian &amp; Kain")),"Momen Hari Raya (dugaan musiman)",IFERROR(VLOOKUP($W142,Kamus!$P$3:$Q$14,2,FALSE),"Tidak Teridentifikasi"))</f>
        <v>Momen Hari Raya (dugaan musiman)</v>
      </c>
      <c r="AA142" s="106" t="str">
        <f t="shared" si="8"/>
        <v>Momen Hari Raya (dugaan musiman)</v>
      </c>
    </row>
    <row r="143" spans="1:27">
      <c r="A143" s="106">
        <v>142</v>
      </c>
      <c r="B143" s="106" t="s">
        <v>1816</v>
      </c>
      <c r="C143" s="107" t="s">
        <v>1817</v>
      </c>
      <c r="D143" s="106" t="s">
        <v>1818</v>
      </c>
      <c r="E143" s="106" t="s">
        <v>1819</v>
      </c>
      <c r="F143" s="106" t="s">
        <v>1820</v>
      </c>
      <c r="G143" s="106" t="s">
        <v>1006</v>
      </c>
      <c r="H143" s="106" t="s">
        <v>1788</v>
      </c>
      <c r="I143" s="106" t="s">
        <v>1251</v>
      </c>
      <c r="J143" s="106">
        <v>750000</v>
      </c>
      <c r="K143" s="106" t="s">
        <v>1128</v>
      </c>
      <c r="L143" s="106" t="s">
        <v>1821</v>
      </c>
      <c r="M143" s="106" t="s">
        <v>1171</v>
      </c>
      <c r="N143" s="106" t="s">
        <v>1822</v>
      </c>
      <c r="O143" s="106" t="s">
        <v>274</v>
      </c>
      <c r="Q143" s="106" t="s">
        <v>428</v>
      </c>
      <c r="S143" s="106" t="str" cm="1">
        <f t="array" ref="S143">IF(TRIM($D143)="","(tidak diisi)",IFERROR(INDEX(Kamus!$B$3:$B$28,MATCH(TRUE,ISNUMBER(SEARCH(Kamus!$A$3:$A$28,$D143)),0)),"Jabatan Lainnya"))</f>
        <v>Pejabat Struktural (Kasubbag/Kabag)</v>
      </c>
      <c r="T143" s="106" t="str" cm="1">
        <f t="array" ref="T143">IF(TRIM($I143)="","(tidak diisi)",IFERROR(INDEX(Kamus!$E$3:$E$162,MATCH(TRUE,ISNUMBER(SEARCH(Kamus!$D$3:$D$162,$I143)),0)),"Barang Lain / Tidak Terinci"))</f>
        <v>Peralatan Rumah Tangga / Pecah Belah</v>
      </c>
      <c r="U143" s="106" t="str" cm="1">
        <f t="array" ref="U143">IF(TRIM($I143)="","(tidak diisi)",IFERROR(INDEX(Kamus!$H$3:$H$75,MATCH(TRUE,ISNUMBER(SEARCH(Kamus!$G$3:$G$75,$I143)),0)),"Pemberian Umum / Tanpa Konteks"))</f>
        <v>Parsel/Bingkisan Umum (non-hari raya)</v>
      </c>
      <c r="V143" s="106" t="str">
        <f t="shared" si="6"/>
        <v>2025</v>
      </c>
      <c r="W143" s="106" t="str" cm="1">
        <f t="array" ref="W143">IF(TRIM($K143)="","(tidak diisi)",IFERROR(INDEX(Kamus!$K$3:$K$118,MATCH(TRUE,ISNUMBER(SEARCH(Kamus!$J$3:$J$118,$K143)),0)),"Individu / Perorangan"))</f>
        <v>Individu / Perorangan</v>
      </c>
      <c r="X143" s="106" t="str">
        <f t="shared" si="7"/>
        <v>03</v>
      </c>
      <c r="Y143" s="106" t="str" cm="1">
        <f t="array" ref="Y143">IFERROR(INDEX(Kamus!$N$3:$N$111,MATCH(TRUE,ISNUMBER(SEARCH(Kamus!$M$3:$M$111,$I143)),0)),"")</f>
        <v/>
      </c>
      <c r="Z143" s="106" t="str">
        <f>IF(AND(OR($X143="02",$X143="03",$X143="04"),OR($T143="Parsel/Bingkisan (tidak dirinci)",$T143="Makanan &amp; Minuman",$T143="Peralatan Rumah Tangga / Pecah Belah",$T143="Pakaian &amp; Kain")),"Momen Hari Raya (dugaan musiman)",IFERROR(VLOOKUP($W143,Kamus!$P$3:$Q$14,2,FALSE),"Tidak Teridentifikasi"))</f>
        <v>Momen Hari Raya (dugaan musiman)</v>
      </c>
      <c r="AA143" s="106" t="str">
        <f t="shared" si="8"/>
        <v>Momen Hari Raya (dugaan musiman)</v>
      </c>
    </row>
    <row r="144" spans="1:27">
      <c r="A144" s="106">
        <v>143</v>
      </c>
      <c r="B144" s="106" t="s">
        <v>1823</v>
      </c>
      <c r="C144" s="107" t="s">
        <v>1824</v>
      </c>
      <c r="D144" s="106" t="s">
        <v>1033</v>
      </c>
      <c r="E144" s="106" t="s">
        <v>1825</v>
      </c>
      <c r="F144" s="106" t="s">
        <v>1826</v>
      </c>
      <c r="G144" s="106" t="s">
        <v>1006</v>
      </c>
      <c r="H144" s="106" t="s">
        <v>1371</v>
      </c>
      <c r="I144" s="106" t="s">
        <v>1827</v>
      </c>
      <c r="J144" s="106">
        <v>279900</v>
      </c>
      <c r="K144" s="106" t="s">
        <v>1828</v>
      </c>
      <c r="L144" s="106" t="s">
        <v>1829</v>
      </c>
      <c r="M144" s="106" t="s">
        <v>1171</v>
      </c>
      <c r="N144" s="106" t="s">
        <v>1830</v>
      </c>
      <c r="O144" s="106" t="s">
        <v>274</v>
      </c>
      <c r="P144" s="106" t="s">
        <v>1831</v>
      </c>
      <c r="Q144" s="106" t="s">
        <v>313</v>
      </c>
      <c r="S144" s="106" t="str" cm="1">
        <f t="array" ref="S144">IF(TRIM($D144)="","(tidak diisi)",IFERROR(INDEX(Kamus!$B$3:$B$28,MATCH(TRUE,ISNUMBER(SEARCH(Kamus!$A$3:$A$28,$D144)),0)),"Jabatan Lainnya"))</f>
        <v>Hakim</v>
      </c>
      <c r="T144" s="106" t="str" cm="1">
        <f t="array" ref="T144">IF(TRIM($I144)="","(tidak diisi)",IFERROR(INDEX(Kamus!$E$3:$E$162,MATCH(TRUE,ISNUMBER(SEARCH(Kamus!$D$3:$D$162,$I144)),0)),"Barang Lain / Tidak Terinci"))</f>
        <v>Pakaian &amp; Kain</v>
      </c>
      <c r="U144" s="106" t="str" cm="1">
        <f t="array" ref="U144">IF(TRIM($I144)="","(tidak diisi)",IFERROR(INDEX(Kamus!$H$3:$H$75,MATCH(TRUE,ISNUMBER(SEARCH(Kamus!$G$3:$G$75,$I144)),0)),"Pemberian Umum / Tanpa Konteks"))</f>
        <v>Pemberian Umum / Tanpa Konteks</v>
      </c>
      <c r="V144" s="106" t="str">
        <f t="shared" si="6"/>
        <v>2025</v>
      </c>
      <c r="W144" s="106" t="str" cm="1">
        <f t="array" ref="W144">IF(TRIM($K144)="","(tidak diisi)",IFERROR(INDEX(Kamus!$K$3:$K$118,MATCH(TRUE,ISNUMBER(SEARCH(Kamus!$J$3:$J$118,$K144)),0)),"Individu / Perorangan"))</f>
        <v>Bank &amp; Lembaga Keuangan</v>
      </c>
      <c r="X144" s="106" t="str">
        <f t="shared" si="7"/>
        <v>03</v>
      </c>
      <c r="Y144" s="106" t="str" cm="1">
        <f t="array" ref="Y144">IFERROR(INDEX(Kamus!$N$3:$N$111,MATCH(TRUE,ISNUMBER(SEARCH(Kamus!$M$3:$M$111,$I144)),0)),"")</f>
        <v/>
      </c>
      <c r="Z144" s="106" t="str">
        <f>IF(AND(OR($X144="02",$X144="03",$X144="04"),OR($T144="Parsel/Bingkisan (tidak dirinci)",$T144="Makanan &amp; Minuman",$T144="Peralatan Rumah Tangga / Pecah Belah",$T144="Pakaian &amp; Kain")),"Momen Hari Raya (dugaan musiman)",IFERROR(VLOOKUP($W144,Kamus!$P$3:$Q$14,2,FALSE),"Tidak Teridentifikasi"))</f>
        <v>Momen Hari Raya (dugaan musiman)</v>
      </c>
      <c r="AA144" s="106" t="str">
        <f t="shared" si="8"/>
        <v>Momen Hari Raya (dugaan musiman)</v>
      </c>
    </row>
    <row r="145" spans="1:27">
      <c r="A145" s="106">
        <v>144</v>
      </c>
      <c r="B145" s="106" t="s">
        <v>1486</v>
      </c>
      <c r="C145" s="107" t="s">
        <v>1487</v>
      </c>
      <c r="D145" s="106" t="s">
        <v>1488</v>
      </c>
      <c r="E145" s="106" t="s">
        <v>1489</v>
      </c>
      <c r="F145" s="106" t="s">
        <v>1832</v>
      </c>
      <c r="G145" s="106" t="s">
        <v>1074</v>
      </c>
      <c r="H145" s="106" t="s">
        <v>1753</v>
      </c>
      <c r="I145" s="106" t="s">
        <v>1833</v>
      </c>
      <c r="K145" s="106" t="s">
        <v>1493</v>
      </c>
      <c r="L145" s="106" t="s">
        <v>1834</v>
      </c>
      <c r="O145" s="106" t="s">
        <v>274</v>
      </c>
      <c r="P145" s="106" t="s">
        <v>1495</v>
      </c>
      <c r="Q145" s="106" t="s">
        <v>428</v>
      </c>
      <c r="S145" s="106" t="str" cm="1">
        <f t="array" ref="S145">IF(TRIM($D145)="","(tidak diisi)",IFERROR(INDEX(Kamus!$B$3:$B$28,MATCH(TRUE,ISNUMBER(SEARCH(Kamus!$A$3:$A$28,$D145)),0)),"Jabatan Lainnya"))</f>
        <v>Pejabat Struktural (Kasubbag/Kabag)</v>
      </c>
      <c r="T145" s="106" t="str" cm="1">
        <f t="array" ref="T145">IF(TRIM($I145)="","(tidak diisi)",IFERROR(INDEX(Kamus!$E$3:$E$162,MATCH(TRUE,ISNUMBER(SEARCH(Kamus!$D$3:$D$162,$I145)),0)),"Barang Lain / Tidak Terinci"))</f>
        <v>Makanan &amp; Minuman</v>
      </c>
      <c r="U145" s="106" t="str" cm="1">
        <f t="array" ref="U145">IF(TRIM($I145)="","(tidak diisi)",IFERROR(INDEX(Kamus!$H$3:$H$75,MATCH(TRUE,ISNUMBER(SEARCH(Kamus!$G$3:$G$75,$I145)),0)),"Pemberian Umum / Tanpa Konteks"))</f>
        <v>Jamuan / Konsumsi Rapat &amp; Kegiatan</v>
      </c>
      <c r="V145" s="106" t="str">
        <f t="shared" si="6"/>
        <v>2025</v>
      </c>
      <c r="W145" s="106" t="str" cm="1">
        <f t="array" ref="W145">IF(TRIM($K145)="","(tidak diisi)",IFERROR(INDEX(Kamus!$K$3:$K$118,MATCH(TRUE,ISNUMBER(SEARCH(Kamus!$J$3:$J$118,$K145)),0)),"Individu / Perorangan"))</f>
        <v>Individu / Perorangan</v>
      </c>
      <c r="X145" s="106" t="str">
        <f t="shared" si="7"/>
        <v>03</v>
      </c>
      <c r="Y145" s="106" t="str" cm="1">
        <f t="array" ref="Y145">IFERROR(INDEX(Kamus!$N$3:$N$111,MATCH(TRUE,ISNUMBER(SEARCH(Kamus!$M$3:$M$111,$I145)),0)),"")</f>
        <v>Momen Hari Raya (Ramadan/Idulfitri)</v>
      </c>
      <c r="Z145" s="106" t="str">
        <f>IF(AND(OR($X145="02",$X145="03",$X145="04"),OR($T145="Parsel/Bingkisan (tidak dirinci)",$T145="Makanan &amp; Minuman",$T145="Peralatan Rumah Tangga / Pecah Belah",$T145="Pakaian &amp; Kain")),"Momen Hari Raya (dugaan musiman)",IFERROR(VLOOKUP($W145,Kamus!$P$3:$Q$14,2,FALSE),"Tidak Teridentifikasi"))</f>
        <v>Momen Hari Raya (dugaan musiman)</v>
      </c>
      <c r="AA145" s="106" t="str">
        <f t="shared" si="8"/>
        <v>Momen Hari Raya (Ramadan/Idulfitri)</v>
      </c>
    </row>
    <row r="146" spans="1:27">
      <c r="A146" s="106">
        <v>145</v>
      </c>
      <c r="B146" s="106" t="s">
        <v>1835</v>
      </c>
      <c r="C146" s="107" t="s">
        <v>1836</v>
      </c>
      <c r="D146" s="106" t="s">
        <v>1042</v>
      </c>
      <c r="E146" s="106" t="s">
        <v>1425</v>
      </c>
      <c r="F146" s="106" t="s">
        <v>1837</v>
      </c>
      <c r="G146" s="106" t="s">
        <v>1006</v>
      </c>
      <c r="H146" s="106" t="s">
        <v>1371</v>
      </c>
      <c r="I146" s="106" t="s">
        <v>1838</v>
      </c>
      <c r="K146" s="106" t="s">
        <v>1839</v>
      </c>
      <c r="L146" s="106" t="s">
        <v>1840</v>
      </c>
      <c r="O146" s="106" t="s">
        <v>274</v>
      </c>
      <c r="P146" s="106" t="s">
        <v>1429</v>
      </c>
      <c r="Q146" s="106" t="s">
        <v>427</v>
      </c>
      <c r="S146" s="106" t="str" cm="1">
        <f t="array" ref="S146">IF(TRIM($D146)="","(tidak diisi)",IFERROR(INDEX(Kamus!$B$3:$B$28,MATCH(TRUE,ISNUMBER(SEARCH(Kamus!$A$3:$A$28,$D146)),0)),"Jabatan Lainnya"))</f>
        <v>Ketua Pengadilan</v>
      </c>
      <c r="T146" s="106" t="str" cm="1">
        <f t="array" ref="T146">IF(TRIM($I146)="","(tidak diisi)",IFERROR(INDEX(Kamus!$E$3:$E$162,MATCH(TRUE,ISNUMBER(SEARCH(Kamus!$D$3:$D$162,$I146)),0)),"Barang Lain / Tidak Terinci"))</f>
        <v>Buku &amp; Publikasi</v>
      </c>
      <c r="U146" s="106" t="str" cm="1">
        <f t="array" ref="U146">IF(TRIM($I146)="","(tidak diisi)",IFERROR(INDEX(Kamus!$H$3:$H$75,MATCH(TRUE,ISNUMBER(SEARCH(Kamus!$G$3:$G$75,$I146)),0)),"Pemberian Umum / Tanpa Konteks"))</f>
        <v>Pemberian Umum / Tanpa Konteks</v>
      </c>
      <c r="V146" s="106" t="str">
        <f t="shared" si="6"/>
        <v>2025</v>
      </c>
      <c r="W146" s="106" t="str" cm="1">
        <f t="array" ref="W146">IF(TRIM($K146)="","(tidak diisi)",IFERROR(INDEX(Kamus!$K$3:$K$118,MATCH(TRUE,ISNUMBER(SEARCH(Kamus!$J$3:$J$118,$K146)),0)),"Individu / Perorangan"))</f>
        <v>Individu / Perorangan</v>
      </c>
      <c r="X146" s="106" t="str">
        <f t="shared" si="7"/>
        <v>03</v>
      </c>
      <c r="Y146" s="106" t="str" cm="1">
        <f t="array" ref="Y146">IFERROR(INDEX(Kamus!$N$3:$N$111,MATCH(TRUE,ISNUMBER(SEARCH(Kamus!$M$3:$M$111,$I146)),0)),"")</f>
        <v/>
      </c>
      <c r="Z146" s="106" t="str">
        <f>IF(AND(OR($X146="02",$X146="03",$X146="04"),OR($T146="Parsel/Bingkisan (tidak dirinci)",$T146="Makanan &amp; Minuman",$T146="Peralatan Rumah Tangga / Pecah Belah",$T146="Pakaian &amp; Kain")),"Momen Hari Raya (dugaan musiman)",IFERROR(VLOOKUP($W146,Kamus!$P$3:$Q$14,2,FALSE),"Tidak Teridentifikasi"))</f>
        <v>Relasi Personal / Tidak Teridentifikasi</v>
      </c>
      <c r="AA146" s="106" t="str">
        <f t="shared" si="8"/>
        <v>Relasi Personal / Tidak Teridentifikasi</v>
      </c>
    </row>
    <row r="147" spans="1:27">
      <c r="A147" s="106">
        <v>146</v>
      </c>
      <c r="B147" s="106" t="s">
        <v>1841</v>
      </c>
      <c r="C147" s="107" t="s">
        <v>1842</v>
      </c>
      <c r="D147" s="106" t="s">
        <v>1843</v>
      </c>
      <c r="E147" s="106" t="s">
        <v>1844</v>
      </c>
      <c r="F147" s="106" t="s">
        <v>1845</v>
      </c>
      <c r="G147" s="106" t="s">
        <v>1006</v>
      </c>
      <c r="H147" s="106" t="s">
        <v>1371</v>
      </c>
      <c r="I147" s="106" t="s">
        <v>1846</v>
      </c>
      <c r="K147" s="106" t="s">
        <v>1847</v>
      </c>
      <c r="L147" s="106" t="s">
        <v>1848</v>
      </c>
      <c r="O147" s="106" t="s">
        <v>274</v>
      </c>
      <c r="P147" s="106" t="s">
        <v>1849</v>
      </c>
      <c r="Q147" s="106" t="s">
        <v>409</v>
      </c>
      <c r="S147" s="106" t="str" cm="1">
        <f t="array" ref="S147">IF(TRIM($D147)="","(tidak diisi)",IFERROR(INDEX(Kamus!$B$3:$B$28,MATCH(TRUE,ISNUMBER(SEARCH(Kamus!$A$3:$A$28,$D147)),0)),"Jabatan Lainnya"))</f>
        <v>Ketua Pengadilan</v>
      </c>
      <c r="T147" s="106" t="str" cm="1">
        <f t="array" ref="T147">IF(TRIM($I147)="","(tidak diisi)",IFERROR(INDEX(Kamus!$E$3:$E$162,MATCH(TRUE,ISNUMBER(SEARCH(Kamus!$D$3:$D$162,$I147)),0)),"Barang Lain / Tidak Terinci"))</f>
        <v>Parsel/Bingkisan (tidak dirinci)</v>
      </c>
      <c r="U147" s="106" t="str" cm="1">
        <f t="array" ref="U147">IF(TRIM($I147)="","(tidak diisi)",IFERROR(INDEX(Kamus!$H$3:$H$75,MATCH(TRUE,ISNUMBER(SEARCH(Kamus!$G$3:$G$75,$I147)),0)),"Pemberian Umum / Tanpa Konteks"))</f>
        <v>Parsel/Bingkisan Umum (non-hari raya)</v>
      </c>
      <c r="V147" s="106" t="str">
        <f t="shared" si="6"/>
        <v>2025</v>
      </c>
      <c r="W147" s="106" t="str" cm="1">
        <f t="array" ref="W147">IF(TRIM($K147)="","(tidak diisi)",IFERROR(INDEX(Kamus!$K$3:$K$118,MATCH(TRUE,ISNUMBER(SEARCH(Kamus!$J$3:$J$118,$K147)),0)),"Individu / Perorangan"))</f>
        <v>Individu / Perorangan</v>
      </c>
      <c r="X147" s="106" t="str">
        <f t="shared" si="7"/>
        <v>03</v>
      </c>
      <c r="Y147" s="106" t="str" cm="1">
        <f t="array" ref="Y147">IFERROR(INDEX(Kamus!$N$3:$N$111,MATCH(TRUE,ISNUMBER(SEARCH(Kamus!$M$3:$M$111,$I147)),0)),"")</f>
        <v/>
      </c>
      <c r="Z147" s="106" t="str">
        <f>IF(AND(OR($X147="02",$X147="03",$X147="04"),OR($T147="Parsel/Bingkisan (tidak dirinci)",$T147="Makanan &amp; Minuman",$T147="Peralatan Rumah Tangga / Pecah Belah",$T147="Pakaian &amp; Kain")),"Momen Hari Raya (dugaan musiman)",IFERROR(VLOOKUP($W147,Kamus!$P$3:$Q$14,2,FALSE),"Tidak Teridentifikasi"))</f>
        <v>Momen Hari Raya (dugaan musiman)</v>
      </c>
      <c r="AA147" s="106" t="str">
        <f t="shared" si="8"/>
        <v>Momen Hari Raya (dugaan musiman)</v>
      </c>
    </row>
    <row r="148" spans="1:27">
      <c r="A148" s="106">
        <v>147</v>
      </c>
      <c r="B148" s="106" t="s">
        <v>1850</v>
      </c>
      <c r="C148" s="107" t="s">
        <v>1851</v>
      </c>
      <c r="D148" s="106" t="s">
        <v>1319</v>
      </c>
      <c r="E148" s="106" t="s">
        <v>1025</v>
      </c>
      <c r="F148" s="106" t="s">
        <v>1852</v>
      </c>
      <c r="G148" s="106" t="s">
        <v>1006</v>
      </c>
      <c r="H148" s="106" t="s">
        <v>1371</v>
      </c>
      <c r="I148" s="106" t="s">
        <v>1853</v>
      </c>
      <c r="K148" s="106" t="s">
        <v>1854</v>
      </c>
      <c r="L148" s="106" t="s">
        <v>1855</v>
      </c>
      <c r="O148" s="106" t="s">
        <v>274</v>
      </c>
      <c r="P148" s="106" t="s">
        <v>561</v>
      </c>
      <c r="Q148" s="106" t="s">
        <v>428</v>
      </c>
      <c r="S148" s="106" t="str" cm="1">
        <f t="array" ref="S148">IF(TRIM($D148)="","(tidak diisi)",IFERROR(INDEX(Kamus!$B$3:$B$28,MATCH(TRUE,ISNUMBER(SEARCH(Kamus!$A$3:$A$28,$D148)),0)),"Jabatan Lainnya"))</f>
        <v>Wakil Ketua Pengadilan</v>
      </c>
      <c r="T148" s="106" t="str" cm="1">
        <f t="array" ref="T148">IF(TRIM($I148)="","(tidak diisi)",IFERROR(INDEX(Kamus!$E$3:$E$162,MATCH(TRUE,ISNUMBER(SEARCH(Kamus!$D$3:$D$162,$I148)),0)),"Barang Lain / Tidak Terinci"))</f>
        <v>Elektronik &amp; Gadget</v>
      </c>
      <c r="U148" s="106" t="str" cm="1">
        <f t="array" ref="U148">IF(TRIM($I148)="","(tidak diisi)",IFERROR(INDEX(Kamus!$H$3:$H$75,MATCH(TRUE,ISNUMBER(SEARCH(Kamus!$G$3:$G$75,$I148)),0)),"Pemberian Umum / Tanpa Konteks"))</f>
        <v>Pemberian Umum / Tanpa Konteks</v>
      </c>
      <c r="V148" s="106" t="str">
        <f t="shared" si="6"/>
        <v>2025</v>
      </c>
      <c r="W148" s="106" t="str" cm="1">
        <f t="array" ref="W148">IF(TRIM($K148)="","(tidak diisi)",IFERROR(INDEX(Kamus!$K$3:$K$118,MATCH(TRUE,ISNUMBER(SEARCH(Kamus!$J$3:$J$118,$K148)),0)),"Individu / Perorangan"))</f>
        <v>Individu / Perorangan</v>
      </c>
      <c r="X148" s="106" t="str">
        <f t="shared" si="7"/>
        <v>03</v>
      </c>
      <c r="Y148" s="106" t="str" cm="1">
        <f t="array" ref="Y148">IFERROR(INDEX(Kamus!$N$3:$N$111,MATCH(TRUE,ISNUMBER(SEARCH(Kamus!$M$3:$M$111,$I148)),0)),"")</f>
        <v/>
      </c>
      <c r="Z148" s="106" t="str">
        <f>IF(AND(OR($X148="02",$X148="03",$X148="04"),OR($T148="Parsel/Bingkisan (tidak dirinci)",$T148="Makanan &amp; Minuman",$T148="Peralatan Rumah Tangga / Pecah Belah",$T148="Pakaian &amp; Kain")),"Momen Hari Raya (dugaan musiman)",IFERROR(VLOOKUP($W148,Kamus!$P$3:$Q$14,2,FALSE),"Tidak Teridentifikasi"))</f>
        <v>Relasi Personal / Tidak Teridentifikasi</v>
      </c>
      <c r="AA148" s="106" t="str">
        <f t="shared" si="8"/>
        <v>Relasi Personal / Tidak Teridentifikasi</v>
      </c>
    </row>
    <row r="149" spans="1:27">
      <c r="A149" s="106">
        <v>148</v>
      </c>
      <c r="B149" s="106" t="s">
        <v>1040</v>
      </c>
      <c r="C149" s="107" t="s">
        <v>1041</v>
      </c>
      <c r="D149" s="106" t="s">
        <v>1042</v>
      </c>
      <c r="E149" s="106" t="s">
        <v>1043</v>
      </c>
      <c r="F149" s="106" t="s">
        <v>1856</v>
      </c>
      <c r="G149" s="106" t="s">
        <v>1006</v>
      </c>
      <c r="H149" s="106" t="s">
        <v>1371</v>
      </c>
      <c r="I149" s="106" t="s">
        <v>1857</v>
      </c>
      <c r="K149" s="106" t="s">
        <v>1858</v>
      </c>
      <c r="L149" s="106" t="s">
        <v>1859</v>
      </c>
      <c r="O149" s="106" t="s">
        <v>274</v>
      </c>
      <c r="P149" s="106" t="s">
        <v>1047</v>
      </c>
      <c r="Q149" s="106" t="s">
        <v>420</v>
      </c>
      <c r="S149" s="106" t="str" cm="1">
        <f t="array" ref="S149">IF(TRIM($D149)="","(tidak diisi)",IFERROR(INDEX(Kamus!$B$3:$B$28,MATCH(TRUE,ISNUMBER(SEARCH(Kamus!$A$3:$A$28,$D149)),0)),"Jabatan Lainnya"))</f>
        <v>Ketua Pengadilan</v>
      </c>
      <c r="T149" s="106" t="str" cm="1">
        <f t="array" ref="T149">IF(TRIM($I149)="","(tidak diisi)",IFERROR(INDEX(Kamus!$E$3:$E$162,MATCH(TRUE,ISNUMBER(SEARCH(Kamus!$D$3:$D$162,$I149)),0)),"Barang Lain / Tidak Terinci"))</f>
        <v>Makanan &amp; Minuman</v>
      </c>
      <c r="U149" s="106" t="str" cm="1">
        <f t="array" ref="U149">IF(TRIM($I149)="","(tidak diisi)",IFERROR(INDEX(Kamus!$H$3:$H$75,MATCH(TRUE,ISNUMBER(SEARCH(Kamus!$G$3:$G$75,$I149)),0)),"Pemberian Umum / Tanpa Konteks"))</f>
        <v>Parsel/Bingkisan Umum (non-hari raya)</v>
      </c>
      <c r="V149" s="106" t="str">
        <f t="shared" si="6"/>
        <v>2025</v>
      </c>
      <c r="W149" s="106" t="str" cm="1">
        <f t="array" ref="W149">IF(TRIM($K149)="","(tidak diisi)",IFERROR(INDEX(Kamus!$K$3:$K$118,MATCH(TRUE,ISNUMBER(SEARCH(Kamus!$J$3:$J$118,$K149)),0)),"Individu / Perorangan"))</f>
        <v>Tidak Diketahui</v>
      </c>
      <c r="X149" s="106" t="str">
        <f t="shared" si="7"/>
        <v>03</v>
      </c>
      <c r="Y149" s="106" t="str" cm="1">
        <f t="array" ref="Y149">IFERROR(INDEX(Kamus!$N$3:$N$111,MATCH(TRUE,ISNUMBER(SEARCH(Kamus!$M$3:$M$111,$I149)),0)),"")</f>
        <v/>
      </c>
      <c r="Z149" s="106" t="str">
        <f>IF(AND(OR($X149="02",$X149="03",$X149="04"),OR($T149="Parsel/Bingkisan (tidak dirinci)",$T149="Makanan &amp; Minuman",$T149="Peralatan Rumah Tangga / Pecah Belah",$T149="Pakaian &amp; Kain")),"Momen Hari Raya (dugaan musiman)",IFERROR(VLOOKUP($W149,Kamus!$P$3:$Q$14,2,FALSE),"Tidak Teridentifikasi"))</f>
        <v>Momen Hari Raya (dugaan musiman)</v>
      </c>
      <c r="AA149" s="106" t="str">
        <f t="shared" si="8"/>
        <v>Momen Hari Raya (dugaan musiman)</v>
      </c>
    </row>
    <row r="150" spans="1:27">
      <c r="A150" s="106">
        <v>149</v>
      </c>
      <c r="B150" s="106" t="s">
        <v>1088</v>
      </c>
      <c r="C150" s="107" t="s">
        <v>1089</v>
      </c>
      <c r="D150" s="106" t="s">
        <v>1033</v>
      </c>
      <c r="E150" s="106" t="s">
        <v>1090</v>
      </c>
      <c r="F150" s="106" t="s">
        <v>1860</v>
      </c>
      <c r="G150" s="106" t="s">
        <v>1006</v>
      </c>
      <c r="H150" s="106" t="s">
        <v>1861</v>
      </c>
      <c r="I150" s="106" t="s">
        <v>1862</v>
      </c>
      <c r="J150" s="106">
        <v>20000</v>
      </c>
      <c r="K150" s="106" t="s">
        <v>1863</v>
      </c>
      <c r="L150" s="106" t="s">
        <v>1864</v>
      </c>
      <c r="M150" s="106" t="s">
        <v>1171</v>
      </c>
      <c r="N150" s="106" t="s">
        <v>1865</v>
      </c>
      <c r="O150" s="106" t="s">
        <v>274</v>
      </c>
      <c r="P150" s="106" t="s">
        <v>1095</v>
      </c>
      <c r="Q150" s="106" t="s">
        <v>348</v>
      </c>
      <c r="S150" s="106" t="str" cm="1">
        <f t="array" ref="S150">IF(TRIM($D150)="","(tidak diisi)",IFERROR(INDEX(Kamus!$B$3:$B$28,MATCH(TRUE,ISNUMBER(SEARCH(Kamus!$A$3:$A$28,$D150)),0)),"Jabatan Lainnya"))</f>
        <v>Hakim</v>
      </c>
      <c r="T150" s="106" t="str" cm="1">
        <f t="array" ref="T150">IF(TRIM($I150)="","(tidak diisi)",IFERROR(INDEX(Kamus!$E$3:$E$162,MATCH(TRUE,ISNUMBER(SEARCH(Kamus!$D$3:$D$162,$I150)),0)),"Barang Lain / Tidak Terinci"))</f>
        <v>Suvenir &amp; Merchandise</v>
      </c>
      <c r="U150" s="106" t="str" cm="1">
        <f t="array" ref="U150">IF(TRIM($I150)="","(tidak diisi)",IFERROR(INDEX(Kamus!$H$3:$H$75,MATCH(TRUE,ISNUMBER(SEARCH(Kamus!$G$3:$G$75,$I150)),0)),"Pemberian Umum / Tanpa Konteks"))</f>
        <v>Pemberian Umum / Tanpa Konteks</v>
      </c>
      <c r="V150" s="106" t="str">
        <f t="shared" si="6"/>
        <v>2025</v>
      </c>
      <c r="W150" s="106" t="str" cm="1">
        <f t="array" ref="W150">IF(TRIM($K150)="","(tidak diisi)",IFERROR(INDEX(Kamus!$K$3:$K$118,MATCH(TRUE,ISNUMBER(SEARCH(Kamus!$J$3:$J$118,$K150)),0)),"Individu / Perorangan"))</f>
        <v>Individu / Perorangan</v>
      </c>
      <c r="X150" s="106" t="str">
        <f t="shared" si="7"/>
        <v>03</v>
      </c>
      <c r="Y150" s="106" t="str" cm="1">
        <f t="array" ref="Y150">IFERROR(INDEX(Kamus!$N$3:$N$111,MATCH(TRUE,ISNUMBER(SEARCH(Kamus!$M$3:$M$111,$I150)),0)),"")</f>
        <v/>
      </c>
      <c r="Z150" s="106" t="str">
        <f>IF(AND(OR($X150="02",$X150="03",$X150="04"),OR($T150="Parsel/Bingkisan (tidak dirinci)",$T150="Makanan &amp; Minuman",$T150="Peralatan Rumah Tangga / Pecah Belah",$T150="Pakaian &amp; Kain")),"Momen Hari Raya (dugaan musiman)",IFERROR(VLOOKUP($W150,Kamus!$P$3:$Q$14,2,FALSE),"Tidak Teridentifikasi"))</f>
        <v>Relasi Personal / Tidak Teridentifikasi</v>
      </c>
      <c r="AA150" s="106" t="str">
        <f t="shared" si="8"/>
        <v>Relasi Personal / Tidak Teridentifikasi</v>
      </c>
    </row>
    <row r="151" spans="1:27">
      <c r="A151" s="106">
        <v>150</v>
      </c>
      <c r="B151" s="106" t="s">
        <v>1088</v>
      </c>
      <c r="C151" s="107" t="s">
        <v>1089</v>
      </c>
      <c r="D151" s="106" t="s">
        <v>1033</v>
      </c>
      <c r="E151" s="106" t="s">
        <v>1090</v>
      </c>
      <c r="F151" s="106" t="s">
        <v>1866</v>
      </c>
      <c r="G151" s="106" t="s">
        <v>1074</v>
      </c>
      <c r="H151" s="106" t="s">
        <v>1861</v>
      </c>
      <c r="I151" s="106" t="s">
        <v>1867</v>
      </c>
      <c r="K151" s="106" t="s">
        <v>1868</v>
      </c>
      <c r="L151" s="106" t="s">
        <v>1869</v>
      </c>
      <c r="O151" s="106" t="s">
        <v>274</v>
      </c>
      <c r="P151" s="106" t="s">
        <v>1095</v>
      </c>
      <c r="Q151" s="106" t="s">
        <v>348</v>
      </c>
      <c r="S151" s="106" t="str" cm="1">
        <f t="array" ref="S151">IF(TRIM($D151)="","(tidak diisi)",IFERROR(INDEX(Kamus!$B$3:$B$28,MATCH(TRUE,ISNUMBER(SEARCH(Kamus!$A$3:$A$28,$D151)),0)),"Jabatan Lainnya"))</f>
        <v>Hakim</v>
      </c>
      <c r="T151" s="106" t="str" cm="1">
        <f t="array" ref="T151">IF(TRIM($I151)="","(tidak diisi)",IFERROR(INDEX(Kamus!$E$3:$E$162,MATCH(TRUE,ISNUMBER(SEARCH(Kamus!$D$3:$D$162,$I151)),0)),"Barang Lain / Tidak Terinci"))</f>
        <v>Makanan &amp; Minuman</v>
      </c>
      <c r="U151" s="106" t="str" cm="1">
        <f t="array" ref="U151">IF(TRIM($I151)="","(tidak diisi)",IFERROR(INDEX(Kamus!$H$3:$H$75,MATCH(TRUE,ISNUMBER(SEARCH(Kamus!$G$3:$G$75,$I151)),0)),"Pemberian Umum / Tanpa Konteks"))</f>
        <v>Pemberian Umum / Tanpa Konteks</v>
      </c>
      <c r="V151" s="106" t="str">
        <f t="shared" si="6"/>
        <v>2025</v>
      </c>
      <c r="W151" s="106" t="str" cm="1">
        <f t="array" ref="W151">IF(TRIM($K151)="","(tidak diisi)",IFERROR(INDEX(Kamus!$K$3:$K$118,MATCH(TRUE,ISNUMBER(SEARCH(Kamus!$J$3:$J$118,$K151)),0)),"Individu / Perorangan"))</f>
        <v>Individu / Perorangan</v>
      </c>
      <c r="X151" s="106" t="str">
        <f t="shared" si="7"/>
        <v>03</v>
      </c>
      <c r="Y151" s="106" t="str" cm="1">
        <f t="array" ref="Y151">IFERROR(INDEX(Kamus!$N$3:$N$111,MATCH(TRUE,ISNUMBER(SEARCH(Kamus!$M$3:$M$111,$I151)),0)),"")</f>
        <v/>
      </c>
      <c r="Z151" s="106" t="str">
        <f>IF(AND(OR($X151="02",$X151="03",$X151="04"),OR($T151="Parsel/Bingkisan (tidak dirinci)",$T151="Makanan &amp; Minuman",$T151="Peralatan Rumah Tangga / Pecah Belah",$T151="Pakaian &amp; Kain")),"Momen Hari Raya (dugaan musiman)",IFERROR(VLOOKUP($W151,Kamus!$P$3:$Q$14,2,FALSE),"Tidak Teridentifikasi"))</f>
        <v>Momen Hari Raya (dugaan musiman)</v>
      </c>
      <c r="AA151" s="106" t="str">
        <f t="shared" si="8"/>
        <v>Momen Hari Raya (dugaan musiman)</v>
      </c>
    </row>
    <row r="152" spans="1:27">
      <c r="A152" s="106">
        <v>151</v>
      </c>
      <c r="B152" s="106" t="s">
        <v>1870</v>
      </c>
      <c r="C152" s="107" t="s">
        <v>1871</v>
      </c>
      <c r="D152" s="106" t="s">
        <v>1033</v>
      </c>
      <c r="E152" s="106" t="s">
        <v>1005</v>
      </c>
      <c r="F152" s="106" t="s">
        <v>1872</v>
      </c>
      <c r="G152" s="106" t="s">
        <v>1006</v>
      </c>
      <c r="H152" s="106" t="s">
        <v>1491</v>
      </c>
      <c r="I152" s="106" t="s">
        <v>1873</v>
      </c>
      <c r="J152" s="106">
        <v>150000</v>
      </c>
      <c r="K152" s="106" t="s">
        <v>1874</v>
      </c>
      <c r="L152" s="106" t="s">
        <v>1875</v>
      </c>
      <c r="M152" s="106" t="s">
        <v>1020</v>
      </c>
      <c r="O152" s="106" t="s">
        <v>274</v>
      </c>
      <c r="S152" s="106" t="str" cm="1">
        <f t="array" ref="S152">IF(TRIM($D152)="","(tidak diisi)",IFERROR(INDEX(Kamus!$B$3:$B$28,MATCH(TRUE,ISNUMBER(SEARCH(Kamus!$A$3:$A$28,$D152)),0)),"Jabatan Lainnya"))</f>
        <v>Hakim</v>
      </c>
      <c r="T152" s="106" t="str" cm="1">
        <f t="array" ref="T152">IF(TRIM($I152)="","(tidak diisi)",IFERROR(INDEX(Kamus!$E$3:$E$162,MATCH(TRUE,ISNUMBER(SEARCH(Kamus!$D$3:$D$162,$I152)),0)),"Barang Lain / Tidak Terinci"))</f>
        <v>Pakaian &amp; Kain</v>
      </c>
      <c r="U152" s="106" t="str" cm="1">
        <f t="array" ref="U152">IF(TRIM($I152)="","(tidak diisi)",IFERROR(INDEX(Kamus!$H$3:$H$75,MATCH(TRUE,ISNUMBER(SEARCH(Kamus!$G$3:$G$75,$I152)),0)),"Pemberian Umum / Tanpa Konteks"))</f>
        <v>Suvenir / Merchandise Kegiatan &amp; Kunjungan</v>
      </c>
      <c r="V152" s="106" t="str">
        <f t="shared" si="6"/>
        <v>2025</v>
      </c>
      <c r="W152" s="106" t="str" cm="1">
        <f t="array" ref="W152">IF(TRIM($K152)="","(tidak diisi)",IFERROR(INDEX(Kamus!$K$3:$K$118,MATCH(TRUE,ISNUMBER(SEARCH(Kamus!$J$3:$J$118,$K152)),0)),"Individu / Perorangan"))</f>
        <v>Organisasi / Panitia Kegiatan</v>
      </c>
      <c r="X152" s="106" t="str">
        <f t="shared" si="7"/>
        <v>02</v>
      </c>
      <c r="Y152" s="106" t="str" cm="1">
        <f t="array" ref="Y152">IFERROR(INDEX(Kamus!$N$3:$N$111,MATCH(TRUE,ISNUMBER(SEARCH(Kamus!$M$3:$M$111,$I152)),0)),"")</f>
        <v>Diklat / Bimtek / Seminar &amp; Narasumber</v>
      </c>
      <c r="Z152" s="106" t="str">
        <f>IF(AND(OR($X152="02",$X152="03",$X152="04"),OR($T152="Parsel/Bingkisan (tidak dirinci)",$T152="Makanan &amp; Minuman",$T152="Peralatan Rumah Tangga / Pecah Belah",$T152="Pakaian &amp; Kain")),"Momen Hari Raya (dugaan musiman)",IFERROR(VLOOKUP($W152,Kamus!$P$3:$Q$14,2,FALSE),"Tidak Teridentifikasi"))</f>
        <v>Momen Hari Raya (dugaan musiman)</v>
      </c>
      <c r="AA152" s="106" t="str">
        <f t="shared" si="8"/>
        <v>Diklat / Bimtek / Seminar &amp; Narasumber</v>
      </c>
    </row>
    <row r="153" spans="1:27">
      <c r="A153" s="106">
        <v>152</v>
      </c>
      <c r="B153" s="106" t="s">
        <v>1876</v>
      </c>
      <c r="C153" s="107" t="s">
        <v>1877</v>
      </c>
      <c r="D153" s="106" t="s">
        <v>1137</v>
      </c>
      <c r="E153" s="106" t="s">
        <v>1878</v>
      </c>
      <c r="F153" s="106" t="s">
        <v>1879</v>
      </c>
      <c r="G153" s="106" t="s">
        <v>1006</v>
      </c>
      <c r="H153" s="106" t="s">
        <v>1371</v>
      </c>
      <c r="I153" s="106" t="s">
        <v>1880</v>
      </c>
      <c r="K153" s="106" t="s">
        <v>1881</v>
      </c>
      <c r="L153" s="106" t="s">
        <v>1882</v>
      </c>
      <c r="O153" s="106" t="s">
        <v>274</v>
      </c>
      <c r="Q153" s="106" t="s">
        <v>347</v>
      </c>
      <c r="S153" s="106" t="str" cm="1">
        <f t="array" ref="S153">IF(TRIM($D153)="","(tidak diisi)",IFERROR(INDEX(Kamus!$B$3:$B$28,MATCH(TRUE,ISNUMBER(SEARCH(Kamus!$A$3:$A$28,$D153)),0)),"Jabatan Lainnya"))</f>
        <v>Hakim</v>
      </c>
      <c r="T153" s="106" t="str" cm="1">
        <f t="array" ref="T153">IF(TRIM($I153)="","(tidak diisi)",IFERROR(INDEX(Kamus!$E$3:$E$162,MATCH(TRUE,ISNUMBER(SEARCH(Kamus!$D$3:$D$162,$I153)),0)),"Barang Lain / Tidak Terinci"))</f>
        <v>Makanan &amp; Minuman</v>
      </c>
      <c r="U153" s="106" t="str" cm="1">
        <f t="array" ref="U153">IF(TRIM($I153)="","(tidak diisi)",IFERROR(INDEX(Kamus!$H$3:$H$75,MATCH(TRUE,ISNUMBER(SEARCH(Kamus!$G$3:$G$75,$I153)),0)),"Pemberian Umum / Tanpa Konteks"))</f>
        <v>Parsel/Bingkisan Umum (non-hari raya)</v>
      </c>
      <c r="V153" s="106" t="str">
        <f t="shared" si="6"/>
        <v>2025</v>
      </c>
      <c r="W153" s="106" t="str" cm="1">
        <f t="array" ref="W153">IF(TRIM($K153)="","(tidak diisi)",IFERROR(INDEX(Kamus!$K$3:$K$118,MATCH(TRUE,ISNUMBER(SEARCH(Kamus!$J$3:$J$118,$K153)),0)),"Individu / Perorangan"))</f>
        <v>Individu / Perorangan</v>
      </c>
      <c r="X153" s="106" t="str">
        <f t="shared" si="7"/>
        <v>03</v>
      </c>
      <c r="Y153" s="106" t="str" cm="1">
        <f t="array" ref="Y153">IFERROR(INDEX(Kamus!$N$3:$N$111,MATCH(TRUE,ISNUMBER(SEARCH(Kamus!$M$3:$M$111,$I153)),0)),"")</f>
        <v/>
      </c>
      <c r="Z153" s="106" t="str">
        <f>IF(AND(OR($X153="02",$X153="03",$X153="04"),OR($T153="Parsel/Bingkisan (tidak dirinci)",$T153="Makanan &amp; Minuman",$T153="Peralatan Rumah Tangga / Pecah Belah",$T153="Pakaian &amp; Kain")),"Momen Hari Raya (dugaan musiman)",IFERROR(VLOOKUP($W153,Kamus!$P$3:$Q$14,2,FALSE),"Tidak Teridentifikasi"))</f>
        <v>Momen Hari Raya (dugaan musiman)</v>
      </c>
      <c r="AA153" s="106" t="str">
        <f t="shared" si="8"/>
        <v>Momen Hari Raya (dugaan musiman)</v>
      </c>
    </row>
    <row r="154" spans="1:27">
      <c r="A154" s="106">
        <v>153</v>
      </c>
      <c r="B154" s="106" t="s">
        <v>1128</v>
      </c>
      <c r="C154" s="107" t="s">
        <v>1129</v>
      </c>
      <c r="D154" s="106" t="s">
        <v>1130</v>
      </c>
      <c r="E154" s="106" t="s">
        <v>1115</v>
      </c>
      <c r="G154" s="106" t="s">
        <v>1074</v>
      </c>
      <c r="L154" s="106" t="s">
        <v>1883</v>
      </c>
      <c r="O154" s="106" t="s">
        <v>274</v>
      </c>
      <c r="P154" s="106" t="s">
        <v>1119</v>
      </c>
      <c r="Q154" s="106" t="s">
        <v>429</v>
      </c>
      <c r="S154" s="106" t="str" cm="1">
        <f t="array" ref="S154">IF(TRIM($D154)="","(tidak diisi)",IFERROR(INDEX(Kamus!$B$3:$B$28,MATCH(TRUE,ISNUMBER(SEARCH(Kamus!$A$3:$A$28,$D154)),0)),"Jabatan Lainnya"))</f>
        <v>Pejabat Struktural (Kasubbag/Kabag)</v>
      </c>
      <c r="T154" s="106" t="str" cm="1">
        <f t="array" ref="T154">IF(TRIM($I154)="","(tidak diisi)",IFERROR(INDEX(Kamus!$E$3:$E$162,MATCH(TRUE,ISNUMBER(SEARCH(Kamus!$D$3:$D$162,$I154)),0)),"Barang Lain / Tidak Terinci"))</f>
        <v>(tidak diisi)</v>
      </c>
      <c r="U154" s="106" t="str" cm="1">
        <f t="array" ref="U154">IF(TRIM($I154)="","(tidak diisi)",IFERROR(INDEX(Kamus!$H$3:$H$75,MATCH(TRUE,ISNUMBER(SEARCH(Kamus!$G$3:$G$75,$I154)),0)),"Pemberian Umum / Tanpa Konteks"))</f>
        <v>(tidak diisi)</v>
      </c>
      <c r="V154" s="106" t="str">
        <f t="shared" si="6"/>
        <v>(tidak diisi)</v>
      </c>
      <c r="W154" s="106" t="str" cm="1">
        <f t="array" ref="W154">IF(TRIM($K154)="","(tidak diisi)",IFERROR(INDEX(Kamus!$K$3:$K$118,MATCH(TRUE,ISNUMBER(SEARCH(Kamus!$J$3:$J$118,$K154)),0)),"Individu / Perorangan"))</f>
        <v>(tidak diisi)</v>
      </c>
      <c r="X154" s="106" t="str">
        <f t="shared" si="7"/>
        <v>(tidak diisi)</v>
      </c>
      <c r="Y154" s="106" t="str" cm="1">
        <f t="array" ref="Y154">IFERROR(INDEX(Kamus!$N$3:$N$111,MATCH(TRUE,ISNUMBER(SEARCH(Kamus!$M$3:$M$111,$I154)),0)),"")</f>
        <v/>
      </c>
      <c r="Z154" s="106" t="str">
        <f>IF(AND(OR($X154="02",$X154="03",$X154="04"),OR($T154="Parsel/Bingkisan (tidak dirinci)",$T154="Makanan &amp; Minuman",$T154="Peralatan Rumah Tangga / Pecah Belah",$T154="Pakaian &amp; Kain")),"Momen Hari Raya (dugaan musiman)",IFERROR(VLOOKUP($W154,Kamus!$P$3:$Q$14,2,FALSE),"Tidak Teridentifikasi"))</f>
        <v>Tidak Teridentifikasi</v>
      </c>
      <c r="AA154" s="106" t="str">
        <f t="shared" si="8"/>
        <v>Tidak Teridentifikasi</v>
      </c>
    </row>
    <row r="155" spans="1:27">
      <c r="A155" s="106">
        <v>154</v>
      </c>
      <c r="B155" s="106" t="s">
        <v>1884</v>
      </c>
      <c r="C155" s="107" t="s">
        <v>1885</v>
      </c>
      <c r="D155" s="106" t="s">
        <v>1042</v>
      </c>
      <c r="E155" s="106" t="s">
        <v>1489</v>
      </c>
      <c r="F155" s="106" t="s">
        <v>1886</v>
      </c>
      <c r="G155" s="106" t="s">
        <v>1006</v>
      </c>
      <c r="H155" s="106" t="s">
        <v>1371</v>
      </c>
      <c r="I155" s="106" t="s">
        <v>1887</v>
      </c>
      <c r="J155" s="106">
        <v>569950</v>
      </c>
      <c r="K155" s="106" t="s">
        <v>1888</v>
      </c>
      <c r="L155" s="106" t="s">
        <v>1889</v>
      </c>
      <c r="M155" s="106" t="s">
        <v>1171</v>
      </c>
      <c r="N155" s="106" t="s">
        <v>1890</v>
      </c>
      <c r="O155" s="106" t="s">
        <v>274</v>
      </c>
      <c r="P155" s="106" t="s">
        <v>1495</v>
      </c>
      <c r="Q155" s="106" t="s">
        <v>428</v>
      </c>
      <c r="S155" s="106" t="str" cm="1">
        <f t="array" ref="S155">IF(TRIM($D155)="","(tidak diisi)",IFERROR(INDEX(Kamus!$B$3:$B$28,MATCH(TRUE,ISNUMBER(SEARCH(Kamus!$A$3:$A$28,$D155)),0)),"Jabatan Lainnya"))</f>
        <v>Ketua Pengadilan</v>
      </c>
      <c r="T155" s="106" t="str" cm="1">
        <f t="array" ref="T155">IF(TRIM($I155)="","(tidak diisi)",IFERROR(INDEX(Kamus!$E$3:$E$162,MATCH(TRUE,ISNUMBER(SEARCH(Kamus!$D$3:$D$162,$I155)),0)),"Barang Lain / Tidak Terinci"))</f>
        <v>Parsel/Bingkisan (tidak dirinci)</v>
      </c>
      <c r="U155" s="106" t="str" cm="1">
        <f t="array" ref="U155">IF(TRIM($I155)="","(tidak diisi)",IFERROR(INDEX(Kamus!$H$3:$H$75,MATCH(TRUE,ISNUMBER(SEARCH(Kamus!$G$3:$G$75,$I155)),0)),"Pemberian Umum / Tanpa Konteks"))</f>
        <v>Bingkisan Hari Raya / Keagamaan</v>
      </c>
      <c r="V155" s="106" t="str">
        <f t="shared" si="6"/>
        <v>2025</v>
      </c>
      <c r="W155" s="106" t="str" cm="1">
        <f t="array" ref="W155">IF(TRIM($K155)="","(tidak diisi)",IFERROR(INDEX(Kamus!$K$3:$K$118,MATCH(TRUE,ISNUMBER(SEARCH(Kamus!$J$3:$J$118,$K155)),0)),"Individu / Perorangan"))</f>
        <v>Individu / Perorangan</v>
      </c>
      <c r="X155" s="106" t="str">
        <f t="shared" si="7"/>
        <v>03</v>
      </c>
      <c r="Y155" s="106" t="str" cm="1">
        <f t="array" ref="Y155">IFERROR(INDEX(Kamus!$N$3:$N$111,MATCH(TRUE,ISNUMBER(SEARCH(Kamus!$M$3:$M$111,$I155)),0)),"")</f>
        <v>Momen Hari Raya (Ramadan/Idulfitri)</v>
      </c>
      <c r="Z155" s="106" t="str">
        <f>IF(AND(OR($X155="02",$X155="03",$X155="04"),OR($T155="Parsel/Bingkisan (tidak dirinci)",$T155="Makanan &amp; Minuman",$T155="Peralatan Rumah Tangga / Pecah Belah",$T155="Pakaian &amp; Kain")),"Momen Hari Raya (dugaan musiman)",IFERROR(VLOOKUP($W155,Kamus!$P$3:$Q$14,2,FALSE),"Tidak Teridentifikasi"))</f>
        <v>Momen Hari Raya (dugaan musiman)</v>
      </c>
      <c r="AA155" s="106" t="str">
        <f t="shared" si="8"/>
        <v>Momen Hari Raya (Ramadan/Idulfitri)</v>
      </c>
    </row>
    <row r="156" spans="1:27">
      <c r="A156" s="106">
        <v>155</v>
      </c>
      <c r="B156" s="106" t="s">
        <v>1891</v>
      </c>
      <c r="C156" s="107" t="s">
        <v>1892</v>
      </c>
      <c r="D156" s="106" t="s">
        <v>1893</v>
      </c>
      <c r="E156" s="106" t="s">
        <v>1894</v>
      </c>
      <c r="F156" s="106" t="s">
        <v>1895</v>
      </c>
      <c r="G156" s="106" t="s">
        <v>1006</v>
      </c>
      <c r="H156" s="106" t="s">
        <v>1371</v>
      </c>
      <c r="I156" s="106" t="s">
        <v>1896</v>
      </c>
      <c r="J156" s="106">
        <v>491850</v>
      </c>
      <c r="K156" s="106" t="s">
        <v>1897</v>
      </c>
      <c r="L156" s="106" t="s">
        <v>1898</v>
      </c>
      <c r="M156" s="106" t="s">
        <v>1171</v>
      </c>
      <c r="N156" s="106" t="s">
        <v>1899</v>
      </c>
      <c r="O156" s="106" t="s">
        <v>274</v>
      </c>
      <c r="P156" s="106" t="s">
        <v>514</v>
      </c>
      <c r="Q156" s="106" t="s">
        <v>308</v>
      </c>
      <c r="S156" s="106" t="str" cm="1">
        <f t="array" ref="S156">IF(TRIM($D156)="","(tidak diisi)",IFERROR(INDEX(Kamus!$B$3:$B$28,MATCH(TRUE,ISNUMBER(SEARCH(Kamus!$A$3:$A$28,$D156)),0)),"Jabatan Lainnya"))</f>
        <v>Ketua Pengadilan</v>
      </c>
      <c r="T156" s="106" t="str" cm="1">
        <f t="array" ref="T156">IF(TRIM($I156)="","(tidak diisi)",IFERROR(INDEX(Kamus!$E$3:$E$162,MATCH(TRUE,ISNUMBER(SEARCH(Kamus!$D$3:$D$162,$I156)),0)),"Barang Lain / Tidak Terinci"))</f>
        <v>Peralatan Rumah Tangga / Pecah Belah</v>
      </c>
      <c r="U156" s="106" t="str" cm="1">
        <f t="array" ref="U156">IF(TRIM($I156)="","(tidak diisi)",IFERROR(INDEX(Kamus!$H$3:$H$75,MATCH(TRUE,ISNUMBER(SEARCH(Kamus!$G$3:$G$75,$I156)),0)),"Pemberian Umum / Tanpa Konteks"))</f>
        <v>Parsel/Bingkisan Umum (non-hari raya)</v>
      </c>
      <c r="V156" s="106" t="str">
        <f t="shared" si="6"/>
        <v>2025</v>
      </c>
      <c r="W156" s="106" t="str" cm="1">
        <f t="array" ref="W156">IF(TRIM($K156)="","(tidak diisi)",IFERROR(INDEX(Kamus!$K$3:$K$118,MATCH(TRUE,ISNUMBER(SEARCH(Kamus!$J$3:$J$118,$K156)),0)),"Individu / Perorangan"))</f>
        <v>Pemerintah Daerah</v>
      </c>
      <c r="X156" s="106" t="str">
        <f t="shared" si="7"/>
        <v>03</v>
      </c>
      <c r="Y156" s="106" t="str" cm="1">
        <f t="array" ref="Y156">IFERROR(INDEX(Kamus!$N$3:$N$111,MATCH(TRUE,ISNUMBER(SEARCH(Kamus!$M$3:$M$111,$I156)),0)),"")</f>
        <v/>
      </c>
      <c r="Z156" s="106" t="str">
        <f>IF(AND(OR($X156="02",$X156="03",$X156="04"),OR($T156="Parsel/Bingkisan (tidak dirinci)",$T156="Makanan &amp; Minuman",$T156="Peralatan Rumah Tangga / Pecah Belah",$T156="Pakaian &amp; Kain")),"Momen Hari Raya (dugaan musiman)",IFERROR(VLOOKUP($W156,Kamus!$P$3:$Q$14,2,FALSE),"Tidak Teridentifikasi"))</f>
        <v>Momen Hari Raya (dugaan musiman)</v>
      </c>
      <c r="AA156" s="106" t="str">
        <f t="shared" si="8"/>
        <v>Momen Hari Raya (dugaan musiman)</v>
      </c>
    </row>
    <row r="157" spans="1:27">
      <c r="A157" s="106">
        <v>156</v>
      </c>
      <c r="B157" s="106" t="s">
        <v>1900</v>
      </c>
      <c r="C157" s="107" t="s">
        <v>1901</v>
      </c>
      <c r="D157" s="106" t="s">
        <v>1902</v>
      </c>
      <c r="E157" s="106" t="s">
        <v>1903</v>
      </c>
      <c r="F157" s="106" t="s">
        <v>1904</v>
      </c>
      <c r="G157" s="106" t="s">
        <v>1006</v>
      </c>
      <c r="H157" s="106" t="s">
        <v>1788</v>
      </c>
      <c r="I157" s="106" t="s">
        <v>1887</v>
      </c>
      <c r="J157" s="106">
        <v>250000</v>
      </c>
      <c r="K157" s="106" t="s">
        <v>1905</v>
      </c>
      <c r="L157" s="106" t="s">
        <v>1906</v>
      </c>
      <c r="M157" s="106" t="s">
        <v>1360</v>
      </c>
      <c r="O157" s="106" t="s">
        <v>274</v>
      </c>
      <c r="P157" s="106" t="s">
        <v>1907</v>
      </c>
      <c r="Q157" s="106" t="s">
        <v>404</v>
      </c>
      <c r="S157" s="106" t="str" cm="1">
        <f t="array" ref="S157">IF(TRIM($D157)="","(tidak diisi)",IFERROR(INDEX(Kamus!$B$3:$B$28,MATCH(TRUE,ISNUMBER(SEARCH(Kamus!$A$3:$A$28,$D157)),0)),"Jabatan Lainnya"))</f>
        <v>Ketua Pengadilan</v>
      </c>
      <c r="T157" s="106" t="str" cm="1">
        <f t="array" ref="T157">IF(TRIM($I157)="","(tidak diisi)",IFERROR(INDEX(Kamus!$E$3:$E$162,MATCH(TRUE,ISNUMBER(SEARCH(Kamus!$D$3:$D$162,$I157)),0)),"Barang Lain / Tidak Terinci"))</f>
        <v>Parsel/Bingkisan (tidak dirinci)</v>
      </c>
      <c r="U157" s="106" t="str" cm="1">
        <f t="array" ref="U157">IF(TRIM($I157)="","(tidak diisi)",IFERROR(INDEX(Kamus!$H$3:$H$75,MATCH(TRUE,ISNUMBER(SEARCH(Kamus!$G$3:$G$75,$I157)),0)),"Pemberian Umum / Tanpa Konteks"))</f>
        <v>Bingkisan Hari Raya / Keagamaan</v>
      </c>
      <c r="V157" s="106" t="str">
        <f t="shared" si="6"/>
        <v>2025</v>
      </c>
      <c r="W157" s="106" t="str" cm="1">
        <f t="array" ref="W157">IF(TRIM($K157)="","(tidak diisi)",IFERROR(INDEX(Kamus!$K$3:$K$118,MATCH(TRUE,ISNUMBER(SEARCH(Kamus!$J$3:$J$118,$K157)),0)),"Individu / Perorangan"))</f>
        <v>Perusahaan / Vendor</v>
      </c>
      <c r="X157" s="106" t="str">
        <f t="shared" si="7"/>
        <v>03</v>
      </c>
      <c r="Y157" s="106" t="str" cm="1">
        <f t="array" ref="Y157">IFERROR(INDEX(Kamus!$N$3:$N$111,MATCH(TRUE,ISNUMBER(SEARCH(Kamus!$M$3:$M$111,$I157)),0)),"")</f>
        <v>Momen Hari Raya (Ramadan/Idulfitri)</v>
      </c>
      <c r="Z157" s="106" t="str">
        <f>IF(AND(OR($X157="02",$X157="03",$X157="04"),OR($T157="Parsel/Bingkisan (tidak dirinci)",$T157="Makanan &amp; Minuman",$T157="Peralatan Rumah Tangga / Pecah Belah",$T157="Pakaian &amp; Kain")),"Momen Hari Raya (dugaan musiman)",IFERROR(VLOOKUP($W157,Kamus!$P$3:$Q$14,2,FALSE),"Tidak Teridentifikasi"))</f>
        <v>Momen Hari Raya (dugaan musiman)</v>
      </c>
      <c r="AA157" s="106" t="str">
        <f t="shared" si="8"/>
        <v>Momen Hari Raya (Ramadan/Idulfitri)</v>
      </c>
    </row>
    <row r="158" spans="1:27">
      <c r="A158" s="106">
        <v>157</v>
      </c>
      <c r="B158" s="106" t="s">
        <v>1900</v>
      </c>
      <c r="C158" s="107" t="s">
        <v>1901</v>
      </c>
      <c r="D158" s="106" t="s">
        <v>1902</v>
      </c>
      <c r="E158" s="106" t="s">
        <v>1903</v>
      </c>
      <c r="F158" s="106" t="s">
        <v>1904</v>
      </c>
      <c r="G158" s="106" t="s">
        <v>1006</v>
      </c>
      <c r="H158" s="106" t="s">
        <v>1788</v>
      </c>
      <c r="I158" s="106" t="s">
        <v>1887</v>
      </c>
      <c r="J158" s="106">
        <v>250000</v>
      </c>
      <c r="K158" s="106" t="s">
        <v>1908</v>
      </c>
      <c r="L158" s="106" t="s">
        <v>1906</v>
      </c>
      <c r="M158" s="106" t="s">
        <v>1360</v>
      </c>
      <c r="O158" s="106" t="s">
        <v>274</v>
      </c>
      <c r="P158" s="106" t="s">
        <v>1907</v>
      </c>
      <c r="Q158" s="106" t="s">
        <v>404</v>
      </c>
      <c r="S158" s="106" t="str" cm="1">
        <f t="array" ref="S158">IF(TRIM($D158)="","(tidak diisi)",IFERROR(INDEX(Kamus!$B$3:$B$28,MATCH(TRUE,ISNUMBER(SEARCH(Kamus!$A$3:$A$28,$D158)),0)),"Jabatan Lainnya"))</f>
        <v>Ketua Pengadilan</v>
      </c>
      <c r="T158" s="106" t="str" cm="1">
        <f t="array" ref="T158">IF(TRIM($I158)="","(tidak diisi)",IFERROR(INDEX(Kamus!$E$3:$E$162,MATCH(TRUE,ISNUMBER(SEARCH(Kamus!$D$3:$D$162,$I158)),0)),"Barang Lain / Tidak Terinci"))</f>
        <v>Parsel/Bingkisan (tidak dirinci)</v>
      </c>
      <c r="U158" s="106" t="str" cm="1">
        <f t="array" ref="U158">IF(TRIM($I158)="","(tidak diisi)",IFERROR(INDEX(Kamus!$H$3:$H$75,MATCH(TRUE,ISNUMBER(SEARCH(Kamus!$G$3:$G$75,$I158)),0)),"Pemberian Umum / Tanpa Konteks"))</f>
        <v>Bingkisan Hari Raya / Keagamaan</v>
      </c>
      <c r="V158" s="106" t="str">
        <f t="shared" si="6"/>
        <v>2025</v>
      </c>
      <c r="W158" s="106" t="str" cm="1">
        <f t="array" ref="W158">IF(TRIM($K158)="","(tidak diisi)",IFERROR(INDEX(Kamus!$K$3:$K$118,MATCH(TRUE,ISNUMBER(SEARCH(Kamus!$J$3:$J$118,$K158)),0)),"Individu / Perorangan"))</f>
        <v>Aparat/Instansi Penegak Hukum &amp; Vertikal</v>
      </c>
      <c r="X158" s="106" t="str">
        <f t="shared" si="7"/>
        <v>03</v>
      </c>
      <c r="Y158" s="106" t="str" cm="1">
        <f t="array" ref="Y158">IFERROR(INDEX(Kamus!$N$3:$N$111,MATCH(TRUE,ISNUMBER(SEARCH(Kamus!$M$3:$M$111,$I158)),0)),"")</f>
        <v>Momen Hari Raya (Ramadan/Idulfitri)</v>
      </c>
      <c r="Z158" s="106" t="str">
        <f>IF(AND(OR($X158="02",$X158="03",$X158="04"),OR($T158="Parsel/Bingkisan (tidak dirinci)",$T158="Makanan &amp; Minuman",$T158="Peralatan Rumah Tangga / Pecah Belah",$T158="Pakaian &amp; Kain")),"Momen Hari Raya (dugaan musiman)",IFERROR(VLOOKUP($W158,Kamus!$P$3:$Q$14,2,FALSE),"Tidak Teridentifikasi"))</f>
        <v>Momen Hari Raya (dugaan musiman)</v>
      </c>
      <c r="AA158" s="106" t="str">
        <f t="shared" si="8"/>
        <v>Momen Hari Raya (Ramadan/Idulfitri)</v>
      </c>
    </row>
    <row r="159" spans="1:27">
      <c r="A159" s="106">
        <v>158</v>
      </c>
      <c r="B159" s="106" t="s">
        <v>1909</v>
      </c>
      <c r="C159" s="107" t="s">
        <v>1910</v>
      </c>
      <c r="D159" s="106" t="s">
        <v>1042</v>
      </c>
      <c r="E159" s="106" t="s">
        <v>1911</v>
      </c>
      <c r="F159" s="106" t="s">
        <v>1912</v>
      </c>
      <c r="G159" s="106" t="s">
        <v>1006</v>
      </c>
      <c r="H159" s="106" t="s">
        <v>1371</v>
      </c>
      <c r="I159" s="106" t="s">
        <v>1913</v>
      </c>
      <c r="J159" s="106">
        <v>300000</v>
      </c>
      <c r="K159" s="106" t="s">
        <v>1914</v>
      </c>
      <c r="L159" s="106" t="s">
        <v>1915</v>
      </c>
      <c r="M159" s="106" t="s">
        <v>1039</v>
      </c>
      <c r="O159" s="106" t="s">
        <v>274</v>
      </c>
      <c r="P159" s="106" t="s">
        <v>1916</v>
      </c>
      <c r="Q159" s="106" t="s">
        <v>423</v>
      </c>
      <c r="S159" s="106" t="str" cm="1">
        <f t="array" ref="S159">IF(TRIM($D159)="","(tidak diisi)",IFERROR(INDEX(Kamus!$B$3:$B$28,MATCH(TRUE,ISNUMBER(SEARCH(Kamus!$A$3:$A$28,$D159)),0)),"Jabatan Lainnya"))</f>
        <v>Ketua Pengadilan</v>
      </c>
      <c r="T159" s="106" t="str" cm="1">
        <f t="array" ref="T159">IF(TRIM($I159)="","(tidak diisi)",IFERROR(INDEX(Kamus!$E$3:$E$162,MATCH(TRUE,ISNUMBER(SEARCH(Kamus!$D$3:$D$162,$I159)),0)),"Barang Lain / Tidak Terinci"))</f>
        <v>Peralatan Rumah Tangga / Pecah Belah</v>
      </c>
      <c r="U159" s="106" t="str" cm="1">
        <f t="array" ref="U159">IF(TRIM($I159)="","(tidak diisi)",IFERROR(INDEX(Kamus!$H$3:$H$75,MATCH(TRUE,ISNUMBER(SEARCH(Kamus!$G$3:$G$75,$I159)),0)),"Pemberian Umum / Tanpa Konteks"))</f>
        <v>Parsel/Bingkisan Umum (non-hari raya)</v>
      </c>
      <c r="V159" s="106" t="str">
        <f t="shared" si="6"/>
        <v>2025</v>
      </c>
      <c r="W159" s="106" t="str" cm="1">
        <f t="array" ref="W159">IF(TRIM($K159)="","(tidak diisi)",IFERROR(INDEX(Kamus!$K$3:$K$118,MATCH(TRUE,ISNUMBER(SEARCH(Kamus!$J$3:$J$118,$K159)),0)),"Individu / Perorangan"))</f>
        <v>Bank &amp; Lembaga Keuangan</v>
      </c>
      <c r="X159" s="106" t="str">
        <f t="shared" si="7"/>
        <v>03</v>
      </c>
      <c r="Y159" s="106" t="str" cm="1">
        <f t="array" ref="Y159">IFERROR(INDEX(Kamus!$N$3:$N$111,MATCH(TRUE,ISNUMBER(SEARCH(Kamus!$M$3:$M$111,$I159)),0)),"")</f>
        <v/>
      </c>
      <c r="Z159" s="106" t="str">
        <f>IF(AND(OR($X159="02",$X159="03",$X159="04"),OR($T159="Parsel/Bingkisan (tidak dirinci)",$T159="Makanan &amp; Minuman",$T159="Peralatan Rumah Tangga / Pecah Belah",$T159="Pakaian &amp; Kain")),"Momen Hari Raya (dugaan musiman)",IFERROR(VLOOKUP($W159,Kamus!$P$3:$Q$14,2,FALSE),"Tidak Teridentifikasi"))</f>
        <v>Momen Hari Raya (dugaan musiman)</v>
      </c>
      <c r="AA159" s="106" t="str">
        <f t="shared" si="8"/>
        <v>Momen Hari Raya (dugaan musiman)</v>
      </c>
    </row>
    <row r="160" spans="1:27">
      <c r="A160" s="106">
        <v>159</v>
      </c>
      <c r="B160" s="106" t="s">
        <v>1105</v>
      </c>
      <c r="C160" s="107" t="s">
        <v>1106</v>
      </c>
      <c r="D160" s="106" t="s">
        <v>1042</v>
      </c>
      <c r="E160" s="106" t="s">
        <v>1014</v>
      </c>
      <c r="F160" s="106" t="s">
        <v>1917</v>
      </c>
      <c r="G160" s="106" t="s">
        <v>1006</v>
      </c>
      <c r="H160" s="106" t="s">
        <v>1918</v>
      </c>
      <c r="I160" s="106" t="s">
        <v>1919</v>
      </c>
      <c r="J160" s="106">
        <v>1000000</v>
      </c>
      <c r="K160" s="106" t="s">
        <v>1920</v>
      </c>
      <c r="L160" s="106" t="s">
        <v>1921</v>
      </c>
      <c r="M160" s="106" t="s">
        <v>1360</v>
      </c>
      <c r="O160" s="106" t="s">
        <v>274</v>
      </c>
      <c r="P160" s="106" t="s">
        <v>1021</v>
      </c>
      <c r="Q160" s="106" t="s">
        <v>428</v>
      </c>
      <c r="S160" s="106" t="str" cm="1">
        <f t="array" ref="S160">IF(TRIM($D160)="","(tidak diisi)",IFERROR(INDEX(Kamus!$B$3:$B$28,MATCH(TRUE,ISNUMBER(SEARCH(Kamus!$A$3:$A$28,$D160)),0)),"Jabatan Lainnya"))</f>
        <v>Ketua Pengadilan</v>
      </c>
      <c r="T160" s="106" t="str" cm="1">
        <f t="array" ref="T160">IF(TRIM($I160)="","(tidak diisi)",IFERROR(INDEX(Kamus!$E$3:$E$162,MATCH(TRUE,ISNUMBER(SEARCH(Kamus!$D$3:$D$162,$I160)),0)),"Barang Lain / Tidak Terinci"))</f>
        <v>Peralatan Rumah Tangga / Pecah Belah</v>
      </c>
      <c r="U160" s="106" t="str" cm="1">
        <f t="array" ref="U160">IF(TRIM($I160)="","(tidak diisi)",IFERROR(INDEX(Kamus!$H$3:$H$75,MATCH(TRUE,ISNUMBER(SEARCH(Kamus!$G$3:$G$75,$I160)),0)),"Pemberian Umum / Tanpa Konteks"))</f>
        <v>Pemberian Umum / Tanpa Konteks</v>
      </c>
      <c r="V160" s="106" t="str">
        <f t="shared" si="6"/>
        <v>2025</v>
      </c>
      <c r="W160" s="106" t="str" cm="1">
        <f t="array" ref="W160">IF(TRIM($K160)="","(tidak diisi)",IFERROR(INDEX(Kamus!$K$3:$K$118,MATCH(TRUE,ISNUMBER(SEARCH(Kamus!$J$3:$J$118,$K160)),0)),"Individu / Perorangan"))</f>
        <v>Individu / Perorangan</v>
      </c>
      <c r="X160" s="106" t="str">
        <f t="shared" si="7"/>
        <v>03</v>
      </c>
      <c r="Y160" s="106" t="str" cm="1">
        <f t="array" ref="Y160">IFERROR(INDEX(Kamus!$N$3:$N$111,MATCH(TRUE,ISNUMBER(SEARCH(Kamus!$M$3:$M$111,$I160)),0)),"")</f>
        <v/>
      </c>
      <c r="Z160" s="106" t="str">
        <f>IF(AND(OR($X160="02",$X160="03",$X160="04"),OR($T160="Parsel/Bingkisan (tidak dirinci)",$T160="Makanan &amp; Minuman",$T160="Peralatan Rumah Tangga / Pecah Belah",$T160="Pakaian &amp; Kain")),"Momen Hari Raya (dugaan musiman)",IFERROR(VLOOKUP($W160,Kamus!$P$3:$Q$14,2,FALSE),"Tidak Teridentifikasi"))</f>
        <v>Momen Hari Raya (dugaan musiman)</v>
      </c>
      <c r="AA160" s="106" t="str">
        <f t="shared" si="8"/>
        <v>Momen Hari Raya (dugaan musiman)</v>
      </c>
    </row>
    <row r="161" spans="1:27">
      <c r="A161" s="106">
        <v>160</v>
      </c>
      <c r="B161" s="106" t="s">
        <v>1532</v>
      </c>
      <c r="C161" s="107" t="s">
        <v>1533</v>
      </c>
      <c r="D161" s="106" t="s">
        <v>1534</v>
      </c>
      <c r="E161" s="106" t="s">
        <v>1166</v>
      </c>
      <c r="F161" s="106" t="s">
        <v>1922</v>
      </c>
      <c r="G161" s="106" t="s">
        <v>1006</v>
      </c>
      <c r="H161" s="106" t="s">
        <v>1371</v>
      </c>
      <c r="I161" s="106" t="s">
        <v>1923</v>
      </c>
      <c r="J161" s="106">
        <v>816000</v>
      </c>
      <c r="K161" s="106" t="s">
        <v>1924</v>
      </c>
      <c r="L161" s="106" t="s">
        <v>1925</v>
      </c>
      <c r="M161" s="106" t="s">
        <v>1171</v>
      </c>
      <c r="N161" s="106" t="s">
        <v>1926</v>
      </c>
      <c r="O161" s="106" t="s">
        <v>274</v>
      </c>
      <c r="P161" s="106" t="s">
        <v>1173</v>
      </c>
      <c r="Q161" s="106" t="s">
        <v>431</v>
      </c>
      <c r="S161" s="106" t="str" cm="1">
        <f t="array" ref="S161">IF(TRIM($D161)="","(tidak diisi)",IFERROR(INDEX(Kamus!$B$3:$B$28,MATCH(TRUE,ISNUMBER(SEARCH(Kamus!$A$3:$A$28,$D161)),0)),"Jabatan Lainnya"))</f>
        <v>Ketua Pengadilan</v>
      </c>
      <c r="T161" s="106" t="str" cm="1">
        <f t="array" ref="T161">IF(TRIM($I161)="","(tidak diisi)",IFERROR(INDEX(Kamus!$E$3:$E$162,MATCH(TRUE,ISNUMBER(SEARCH(Kamus!$D$3:$D$162,$I161)),0)),"Barang Lain / Tidak Terinci"))</f>
        <v>Peralatan Rumah Tangga / Pecah Belah</v>
      </c>
      <c r="U161" s="106" t="str" cm="1">
        <f t="array" ref="U161">IF(TRIM($I161)="","(tidak diisi)",IFERROR(INDEX(Kamus!$H$3:$H$75,MATCH(TRUE,ISNUMBER(SEARCH(Kamus!$G$3:$G$75,$I161)),0)),"Pemberian Umum / Tanpa Konteks"))</f>
        <v>Pemberian Umum / Tanpa Konteks</v>
      </c>
      <c r="V161" s="106" t="str">
        <f t="shared" si="6"/>
        <v>2025</v>
      </c>
      <c r="W161" s="106" t="str" cm="1">
        <f t="array" ref="W161">IF(TRIM($K161)="","(tidak diisi)",IFERROR(INDEX(Kamus!$K$3:$K$118,MATCH(TRUE,ISNUMBER(SEARCH(Kamus!$J$3:$J$118,$K161)),0)),"Individu / Perorangan"))</f>
        <v>Bank &amp; Lembaga Keuangan</v>
      </c>
      <c r="X161" s="106" t="str">
        <f t="shared" si="7"/>
        <v>03</v>
      </c>
      <c r="Y161" s="106" t="str" cm="1">
        <f t="array" ref="Y161">IFERROR(INDEX(Kamus!$N$3:$N$111,MATCH(TRUE,ISNUMBER(SEARCH(Kamus!$M$3:$M$111,$I161)),0)),"")</f>
        <v/>
      </c>
      <c r="Z161" s="106" t="str">
        <f>IF(AND(OR($X161="02",$X161="03",$X161="04"),OR($T161="Parsel/Bingkisan (tidak dirinci)",$T161="Makanan &amp; Minuman",$T161="Peralatan Rumah Tangga / Pecah Belah",$T161="Pakaian &amp; Kain")),"Momen Hari Raya (dugaan musiman)",IFERROR(VLOOKUP($W161,Kamus!$P$3:$Q$14,2,FALSE),"Tidak Teridentifikasi"))</f>
        <v>Momen Hari Raya (dugaan musiman)</v>
      </c>
      <c r="AA161" s="106" t="str">
        <f t="shared" si="8"/>
        <v>Momen Hari Raya (dugaan musiman)</v>
      </c>
    </row>
    <row r="162" spans="1:27">
      <c r="A162" s="106">
        <v>161</v>
      </c>
      <c r="B162" s="106" t="s">
        <v>1532</v>
      </c>
      <c r="C162" s="107" t="s">
        <v>1533</v>
      </c>
      <c r="D162" s="106" t="s">
        <v>1534</v>
      </c>
      <c r="E162" s="106" t="s">
        <v>1166</v>
      </c>
      <c r="F162" s="106" t="s">
        <v>1922</v>
      </c>
      <c r="G162" s="106" t="s">
        <v>1006</v>
      </c>
      <c r="H162" s="106" t="s">
        <v>1371</v>
      </c>
      <c r="I162" s="106" t="s">
        <v>1927</v>
      </c>
      <c r="J162" s="106">
        <v>599000</v>
      </c>
      <c r="K162" s="106" t="s">
        <v>1924</v>
      </c>
      <c r="L162" s="106" t="s">
        <v>1925</v>
      </c>
      <c r="M162" s="106" t="s">
        <v>1171</v>
      </c>
      <c r="N162" s="106" t="s">
        <v>1926</v>
      </c>
      <c r="O162" s="106" t="s">
        <v>274</v>
      </c>
      <c r="P162" s="106" t="s">
        <v>1173</v>
      </c>
      <c r="Q162" s="106" t="s">
        <v>431</v>
      </c>
      <c r="S162" s="106" t="str" cm="1">
        <f t="array" ref="S162">IF(TRIM($D162)="","(tidak diisi)",IFERROR(INDEX(Kamus!$B$3:$B$28,MATCH(TRUE,ISNUMBER(SEARCH(Kamus!$A$3:$A$28,$D162)),0)),"Jabatan Lainnya"))</f>
        <v>Ketua Pengadilan</v>
      </c>
      <c r="T162" s="106" t="str" cm="1">
        <f t="array" ref="T162">IF(TRIM($I162)="","(tidak diisi)",IFERROR(INDEX(Kamus!$E$3:$E$162,MATCH(TRUE,ISNUMBER(SEARCH(Kamus!$D$3:$D$162,$I162)),0)),"Barang Lain / Tidak Terinci"))</f>
        <v>Suvenir &amp; Merchandise</v>
      </c>
      <c r="U162" s="106" t="str" cm="1">
        <f t="array" ref="U162">IF(TRIM($I162)="","(tidak diisi)",IFERROR(INDEX(Kamus!$H$3:$H$75,MATCH(TRUE,ISNUMBER(SEARCH(Kamus!$G$3:$G$75,$I162)),0)),"Pemberian Umum / Tanpa Konteks"))</f>
        <v>Bingkisan Hari Raya / Keagamaan</v>
      </c>
      <c r="V162" s="106" t="str">
        <f t="shared" si="6"/>
        <v>2025</v>
      </c>
      <c r="W162" s="106" t="str" cm="1">
        <f t="array" ref="W162">IF(TRIM($K162)="","(tidak diisi)",IFERROR(INDEX(Kamus!$K$3:$K$118,MATCH(TRUE,ISNUMBER(SEARCH(Kamus!$J$3:$J$118,$K162)),0)),"Individu / Perorangan"))</f>
        <v>Bank &amp; Lembaga Keuangan</v>
      </c>
      <c r="X162" s="106" t="str">
        <f t="shared" si="7"/>
        <v>03</v>
      </c>
      <c r="Y162" s="106" t="str" cm="1">
        <f t="array" ref="Y162">IFERROR(INDEX(Kamus!$N$3:$N$111,MATCH(TRUE,ISNUMBER(SEARCH(Kamus!$M$3:$M$111,$I162)),0)),"")</f>
        <v>Momen Hari Raya (Ramadan/Idulfitri)</v>
      </c>
      <c r="Z162" s="106" t="str">
        <f>IF(AND(OR($X162="02",$X162="03",$X162="04"),OR($T162="Parsel/Bingkisan (tidak dirinci)",$T162="Makanan &amp; Minuman",$T162="Peralatan Rumah Tangga / Pecah Belah",$T162="Pakaian &amp; Kain")),"Momen Hari Raya (dugaan musiman)",IFERROR(VLOOKUP($W162,Kamus!$P$3:$Q$14,2,FALSE),"Tidak Teridentifikasi"))</f>
        <v>Relasi Layanan/Kerja Sama Perbankan (dugaan)</v>
      </c>
      <c r="AA162" s="106" t="str">
        <f t="shared" si="8"/>
        <v>Momen Hari Raya (Ramadan/Idulfitri)</v>
      </c>
    </row>
    <row r="163" spans="1:27">
      <c r="A163" s="106">
        <v>162</v>
      </c>
      <c r="B163" s="106" t="s">
        <v>1532</v>
      </c>
      <c r="C163" s="107" t="s">
        <v>1533</v>
      </c>
      <c r="D163" s="106" t="s">
        <v>1534</v>
      </c>
      <c r="E163" s="106" t="s">
        <v>1166</v>
      </c>
      <c r="F163" s="106" t="s">
        <v>1922</v>
      </c>
      <c r="G163" s="106" t="s">
        <v>1006</v>
      </c>
      <c r="H163" s="106" t="s">
        <v>1371</v>
      </c>
      <c r="I163" s="106" t="s">
        <v>1928</v>
      </c>
      <c r="J163" s="106">
        <v>585000</v>
      </c>
      <c r="K163" s="106" t="s">
        <v>1924</v>
      </c>
      <c r="L163" s="106" t="s">
        <v>1925</v>
      </c>
      <c r="M163" s="106" t="s">
        <v>1360</v>
      </c>
      <c r="N163" s="106" t="s">
        <v>1926</v>
      </c>
      <c r="O163" s="106" t="s">
        <v>274</v>
      </c>
      <c r="P163" s="106" t="s">
        <v>1173</v>
      </c>
      <c r="Q163" s="106" t="s">
        <v>431</v>
      </c>
      <c r="S163" s="106" t="str" cm="1">
        <f t="array" ref="S163">IF(TRIM($D163)="","(tidak diisi)",IFERROR(INDEX(Kamus!$B$3:$B$28,MATCH(TRUE,ISNUMBER(SEARCH(Kamus!$A$3:$A$28,$D163)),0)),"Jabatan Lainnya"))</f>
        <v>Ketua Pengadilan</v>
      </c>
      <c r="T163" s="106" t="str" cm="1">
        <f t="array" ref="T163">IF(TRIM($I163)="","(tidak diisi)",IFERROR(INDEX(Kamus!$E$3:$E$162,MATCH(TRUE,ISNUMBER(SEARCH(Kamus!$D$3:$D$162,$I163)),0)),"Barang Lain / Tidak Terinci"))</f>
        <v>Peralatan Rumah Tangga / Pecah Belah</v>
      </c>
      <c r="U163" s="106" t="str" cm="1">
        <f t="array" ref="U163">IF(TRIM($I163)="","(tidak diisi)",IFERROR(INDEX(Kamus!$H$3:$H$75,MATCH(TRUE,ISNUMBER(SEARCH(Kamus!$G$3:$G$75,$I163)),0)),"Pemberian Umum / Tanpa Konteks"))</f>
        <v>Pemberian Umum / Tanpa Konteks</v>
      </c>
      <c r="V163" s="106" t="str">
        <f t="shared" si="6"/>
        <v>2025</v>
      </c>
      <c r="W163" s="106" t="str" cm="1">
        <f t="array" ref="W163">IF(TRIM($K163)="","(tidak diisi)",IFERROR(INDEX(Kamus!$K$3:$K$118,MATCH(TRUE,ISNUMBER(SEARCH(Kamus!$J$3:$J$118,$K163)),0)),"Individu / Perorangan"))</f>
        <v>Bank &amp; Lembaga Keuangan</v>
      </c>
      <c r="X163" s="106" t="str">
        <f t="shared" si="7"/>
        <v>03</v>
      </c>
      <c r="Y163" s="106" t="str" cm="1">
        <f t="array" ref="Y163">IFERROR(INDEX(Kamus!$N$3:$N$111,MATCH(TRUE,ISNUMBER(SEARCH(Kamus!$M$3:$M$111,$I163)),0)),"")</f>
        <v/>
      </c>
      <c r="Z163" s="106" t="str">
        <f>IF(AND(OR($X163="02",$X163="03",$X163="04"),OR($T163="Parsel/Bingkisan (tidak dirinci)",$T163="Makanan &amp; Minuman",$T163="Peralatan Rumah Tangga / Pecah Belah",$T163="Pakaian &amp; Kain")),"Momen Hari Raya (dugaan musiman)",IFERROR(VLOOKUP($W163,Kamus!$P$3:$Q$14,2,FALSE),"Tidak Teridentifikasi"))</f>
        <v>Momen Hari Raya (dugaan musiman)</v>
      </c>
      <c r="AA163" s="106" t="str">
        <f t="shared" si="8"/>
        <v>Momen Hari Raya (dugaan musiman)</v>
      </c>
    </row>
    <row r="164" spans="1:27">
      <c r="A164" s="106">
        <v>163</v>
      </c>
      <c r="B164" s="106" t="s">
        <v>1304</v>
      </c>
      <c r="C164" s="107" t="s">
        <v>1305</v>
      </c>
      <c r="D164" s="106" t="s">
        <v>1306</v>
      </c>
      <c r="E164" s="106" t="s">
        <v>1307</v>
      </c>
      <c r="F164" s="106" t="s">
        <v>1929</v>
      </c>
      <c r="G164" s="106" t="s">
        <v>1006</v>
      </c>
      <c r="H164" s="106" t="s">
        <v>1918</v>
      </c>
      <c r="I164" s="106" t="s">
        <v>1930</v>
      </c>
      <c r="J164" s="106">
        <v>90000</v>
      </c>
      <c r="K164" s="106" t="s">
        <v>1332</v>
      </c>
      <c r="L164" s="106" t="s">
        <v>1931</v>
      </c>
      <c r="M164" s="106" t="s">
        <v>1039</v>
      </c>
      <c r="O164" s="106" t="s">
        <v>274</v>
      </c>
      <c r="P164" s="106" t="s">
        <v>597</v>
      </c>
      <c r="Q164" s="106" t="s">
        <v>427</v>
      </c>
      <c r="S164" s="106" t="str" cm="1">
        <f t="array" ref="S164">IF(TRIM($D164)="","(tidak diisi)",IFERROR(INDEX(Kamus!$B$3:$B$28,MATCH(TRUE,ISNUMBER(SEARCH(Kamus!$A$3:$A$28,$D164)),0)),"Jabatan Lainnya"))</f>
        <v>Pejabat Struktural (Kasubbag/Kabag)</v>
      </c>
      <c r="T164" s="106" t="str" cm="1">
        <f t="array" ref="T164">IF(TRIM($I164)="","(tidak diisi)",IFERROR(INDEX(Kamus!$E$3:$E$162,MATCH(TRUE,ISNUMBER(SEARCH(Kamus!$D$3:$D$162,$I164)),0)),"Barang Lain / Tidak Terinci"))</f>
        <v>Parsel/Bingkisan (tidak dirinci)</v>
      </c>
      <c r="U164" s="106" t="str" cm="1">
        <f t="array" ref="U164">IF(TRIM($I164)="","(tidak diisi)",IFERROR(INDEX(Kamus!$H$3:$H$75,MATCH(TRUE,ISNUMBER(SEARCH(Kamus!$G$3:$G$75,$I164)),0)),"Pemberian Umum / Tanpa Konteks"))</f>
        <v>Bingkisan Hari Raya / Keagamaan</v>
      </c>
      <c r="V164" s="106" t="str">
        <f t="shared" si="6"/>
        <v>2025</v>
      </c>
      <c r="W164" s="106" t="str" cm="1">
        <f t="array" ref="W164">IF(TRIM($K164)="","(tidak diisi)",IFERROR(INDEX(Kamus!$K$3:$K$118,MATCH(TRUE,ISNUMBER(SEARCH(Kamus!$J$3:$J$118,$K164)),0)),"Individu / Perorangan"))</f>
        <v>Individu / Perorangan</v>
      </c>
      <c r="X164" s="106" t="str">
        <f t="shared" si="7"/>
        <v>03</v>
      </c>
      <c r="Y164" s="106" t="str" cm="1">
        <f t="array" ref="Y164">IFERROR(INDEX(Kamus!$N$3:$N$111,MATCH(TRUE,ISNUMBER(SEARCH(Kamus!$M$3:$M$111,$I164)),0)),"")</f>
        <v>Momen Hari Raya (Ramadan/Idulfitri)</v>
      </c>
      <c r="Z164" s="106" t="str">
        <f>IF(AND(OR($X164="02",$X164="03",$X164="04"),OR($T164="Parsel/Bingkisan (tidak dirinci)",$T164="Makanan &amp; Minuman",$T164="Peralatan Rumah Tangga / Pecah Belah",$T164="Pakaian &amp; Kain")),"Momen Hari Raya (dugaan musiman)",IFERROR(VLOOKUP($W164,Kamus!$P$3:$Q$14,2,FALSE),"Tidak Teridentifikasi"))</f>
        <v>Momen Hari Raya (dugaan musiman)</v>
      </c>
      <c r="AA164" s="106" t="str">
        <f t="shared" si="8"/>
        <v>Momen Hari Raya (Ramadan/Idulfitri)</v>
      </c>
    </row>
    <row r="165" spans="1:27">
      <c r="A165" s="106">
        <v>164</v>
      </c>
      <c r="B165" s="106" t="s">
        <v>1932</v>
      </c>
      <c r="C165" s="107" t="s">
        <v>1933</v>
      </c>
      <c r="D165" s="106" t="s">
        <v>1033</v>
      </c>
      <c r="E165" s="106" t="s">
        <v>1934</v>
      </c>
      <c r="F165" s="106" t="s">
        <v>1935</v>
      </c>
      <c r="G165" s="106" t="s">
        <v>1006</v>
      </c>
      <c r="H165" s="106" t="s">
        <v>1918</v>
      </c>
      <c r="I165" s="106" t="s">
        <v>1936</v>
      </c>
      <c r="K165" s="106" t="s">
        <v>1937</v>
      </c>
      <c r="L165" s="106" t="s">
        <v>1938</v>
      </c>
      <c r="O165" s="106" t="s">
        <v>274</v>
      </c>
      <c r="P165" s="106" t="s">
        <v>1939</v>
      </c>
      <c r="Q165" s="106" t="s">
        <v>423</v>
      </c>
      <c r="S165" s="106" t="str" cm="1">
        <f t="array" ref="S165">IF(TRIM($D165)="","(tidak diisi)",IFERROR(INDEX(Kamus!$B$3:$B$28,MATCH(TRUE,ISNUMBER(SEARCH(Kamus!$A$3:$A$28,$D165)),0)),"Jabatan Lainnya"))</f>
        <v>Hakim</v>
      </c>
      <c r="T165" s="106" t="str" cm="1">
        <f t="array" ref="T165">IF(TRIM($I165)="","(tidak diisi)",IFERROR(INDEX(Kamus!$E$3:$E$162,MATCH(TRUE,ISNUMBER(SEARCH(Kamus!$D$3:$D$162,$I165)),0)),"Barang Lain / Tidak Terinci"))</f>
        <v>Makanan &amp; Minuman</v>
      </c>
      <c r="U165" s="106" t="str" cm="1">
        <f t="array" ref="U165">IF(TRIM($I165)="","(tidak diisi)",IFERROR(INDEX(Kamus!$H$3:$H$75,MATCH(TRUE,ISNUMBER(SEARCH(Kamus!$G$3:$G$75,$I165)),0)),"Pemberian Umum / Tanpa Konteks"))</f>
        <v>Parsel/Bingkisan Umum (non-hari raya)</v>
      </c>
      <c r="V165" s="106" t="str">
        <f t="shared" si="6"/>
        <v>2025</v>
      </c>
      <c r="W165" s="106" t="str" cm="1">
        <f t="array" ref="W165">IF(TRIM($K165)="","(tidak diisi)",IFERROR(INDEX(Kamus!$K$3:$K$118,MATCH(TRUE,ISNUMBER(SEARCH(Kamus!$J$3:$J$118,$K165)),0)),"Individu / Perorangan"))</f>
        <v>Individu / Perorangan</v>
      </c>
      <c r="X165" s="106" t="str">
        <f t="shared" si="7"/>
        <v>03</v>
      </c>
      <c r="Y165" s="106" t="str" cm="1">
        <f t="array" ref="Y165">IFERROR(INDEX(Kamus!$N$3:$N$111,MATCH(TRUE,ISNUMBER(SEARCH(Kamus!$M$3:$M$111,$I165)),0)),"")</f>
        <v/>
      </c>
      <c r="Z165" s="106" t="str">
        <f>IF(AND(OR($X165="02",$X165="03",$X165="04"),OR($T165="Parsel/Bingkisan (tidak dirinci)",$T165="Makanan &amp; Minuman",$T165="Peralatan Rumah Tangga / Pecah Belah",$T165="Pakaian &amp; Kain")),"Momen Hari Raya (dugaan musiman)",IFERROR(VLOOKUP($W165,Kamus!$P$3:$Q$14,2,FALSE),"Tidak Teridentifikasi"))</f>
        <v>Momen Hari Raya (dugaan musiman)</v>
      </c>
      <c r="AA165" s="106" t="str">
        <f t="shared" si="8"/>
        <v>Momen Hari Raya (dugaan musiman)</v>
      </c>
    </row>
    <row r="166" spans="1:27">
      <c r="A166" s="106">
        <v>165</v>
      </c>
      <c r="B166" s="106" t="s">
        <v>1940</v>
      </c>
      <c r="C166" s="107" t="s">
        <v>1941</v>
      </c>
      <c r="D166" s="106" t="s">
        <v>1042</v>
      </c>
      <c r="E166" s="106" t="s">
        <v>1942</v>
      </c>
      <c r="F166" s="106" t="s">
        <v>1943</v>
      </c>
      <c r="G166" s="106" t="s">
        <v>1006</v>
      </c>
      <c r="H166" s="106" t="s">
        <v>1944</v>
      </c>
      <c r="I166" s="106" t="s">
        <v>1945</v>
      </c>
      <c r="K166" s="106" t="s">
        <v>1946</v>
      </c>
      <c r="L166" s="106" t="s">
        <v>1947</v>
      </c>
      <c r="O166" s="106" t="s">
        <v>274</v>
      </c>
      <c r="P166" s="106" t="s">
        <v>1948</v>
      </c>
      <c r="Q166" s="106" t="s">
        <v>402</v>
      </c>
      <c r="S166" s="106" t="str" cm="1">
        <f t="array" ref="S166">IF(TRIM($D166)="","(tidak diisi)",IFERROR(INDEX(Kamus!$B$3:$B$28,MATCH(TRUE,ISNUMBER(SEARCH(Kamus!$A$3:$A$28,$D166)),0)),"Jabatan Lainnya"))</f>
        <v>Ketua Pengadilan</v>
      </c>
      <c r="T166" s="106" t="str" cm="1">
        <f t="array" ref="T166">IF(TRIM($I166)="","(tidak diisi)",IFERROR(INDEX(Kamus!$E$3:$E$162,MATCH(TRUE,ISNUMBER(SEARCH(Kamus!$D$3:$D$162,$I166)),0)),"Barang Lain / Tidak Terinci"))</f>
        <v>Makanan &amp; Minuman</v>
      </c>
      <c r="U166" s="106" t="str" cm="1">
        <f t="array" ref="U166">IF(TRIM($I166)="","(tidak diisi)",IFERROR(INDEX(Kamus!$H$3:$H$75,MATCH(TRUE,ISNUMBER(SEARCH(Kamus!$G$3:$G$75,$I166)),0)),"Pemberian Umum / Tanpa Konteks"))</f>
        <v>Pemberian Umum / Tanpa Konteks</v>
      </c>
      <c r="V166" s="106" t="str">
        <f t="shared" si="6"/>
        <v>2025</v>
      </c>
      <c r="W166" s="106" t="str" cm="1">
        <f t="array" ref="W166">IF(TRIM($K166)="","(tidak diisi)",IFERROR(INDEX(Kamus!$K$3:$K$118,MATCH(TRUE,ISNUMBER(SEARCH(Kamus!$J$3:$J$118,$K166)),0)),"Individu / Perorangan"))</f>
        <v>Individu / Perorangan</v>
      </c>
      <c r="X166" s="106" t="str">
        <f t="shared" si="7"/>
        <v>03</v>
      </c>
      <c r="Y166" s="106" t="str" cm="1">
        <f t="array" ref="Y166">IFERROR(INDEX(Kamus!$N$3:$N$111,MATCH(TRUE,ISNUMBER(SEARCH(Kamus!$M$3:$M$111,$I166)),0)),"")</f>
        <v/>
      </c>
      <c r="Z166" s="106" t="str">
        <f>IF(AND(OR($X166="02",$X166="03",$X166="04"),OR($T166="Parsel/Bingkisan (tidak dirinci)",$T166="Makanan &amp; Minuman",$T166="Peralatan Rumah Tangga / Pecah Belah",$T166="Pakaian &amp; Kain")),"Momen Hari Raya (dugaan musiman)",IFERROR(VLOOKUP($W166,Kamus!$P$3:$Q$14,2,FALSE),"Tidak Teridentifikasi"))</f>
        <v>Momen Hari Raya (dugaan musiman)</v>
      </c>
      <c r="AA166" s="106" t="str">
        <f t="shared" si="8"/>
        <v>Momen Hari Raya (dugaan musiman)</v>
      </c>
    </row>
    <row r="167" spans="1:27">
      <c r="A167" s="106">
        <v>166</v>
      </c>
      <c r="B167" s="106" t="s">
        <v>1940</v>
      </c>
      <c r="C167" s="107" t="s">
        <v>1941</v>
      </c>
      <c r="D167" s="106" t="s">
        <v>1042</v>
      </c>
      <c r="E167" s="106" t="s">
        <v>1942</v>
      </c>
      <c r="F167" s="106" t="s">
        <v>1943</v>
      </c>
      <c r="G167" s="106" t="s">
        <v>1006</v>
      </c>
      <c r="H167" s="106" t="s">
        <v>1944</v>
      </c>
      <c r="I167" s="106" t="s">
        <v>1949</v>
      </c>
      <c r="K167" s="106" t="s">
        <v>1946</v>
      </c>
      <c r="L167" s="106" t="s">
        <v>1947</v>
      </c>
      <c r="O167" s="106" t="s">
        <v>274</v>
      </c>
      <c r="P167" s="106" t="s">
        <v>1948</v>
      </c>
      <c r="Q167" s="106" t="s">
        <v>402</v>
      </c>
      <c r="S167" s="106" t="str" cm="1">
        <f t="array" ref="S167">IF(TRIM($D167)="","(tidak diisi)",IFERROR(INDEX(Kamus!$B$3:$B$28,MATCH(TRUE,ISNUMBER(SEARCH(Kamus!$A$3:$A$28,$D167)),0)),"Jabatan Lainnya"))</f>
        <v>Ketua Pengadilan</v>
      </c>
      <c r="T167" s="106" t="str" cm="1">
        <f t="array" ref="T167">IF(TRIM($I167)="","(tidak diisi)",IFERROR(INDEX(Kamus!$E$3:$E$162,MATCH(TRUE,ISNUMBER(SEARCH(Kamus!$D$3:$D$162,$I167)),0)),"Barang Lain / Tidak Terinci"))</f>
        <v>Peralatan Rumah Tangga / Pecah Belah</v>
      </c>
      <c r="U167" s="106" t="str" cm="1">
        <f t="array" ref="U167">IF(TRIM($I167)="","(tidak diisi)",IFERROR(INDEX(Kamus!$H$3:$H$75,MATCH(TRUE,ISNUMBER(SEARCH(Kamus!$G$3:$G$75,$I167)),0)),"Pemberian Umum / Tanpa Konteks"))</f>
        <v>Suvenir / Merchandise Kegiatan &amp; Kunjungan</v>
      </c>
      <c r="V167" s="106" t="str">
        <f t="shared" si="6"/>
        <v>2025</v>
      </c>
      <c r="W167" s="106" t="str" cm="1">
        <f t="array" ref="W167">IF(TRIM($K167)="","(tidak diisi)",IFERROR(INDEX(Kamus!$K$3:$K$118,MATCH(TRUE,ISNUMBER(SEARCH(Kamus!$J$3:$J$118,$K167)),0)),"Individu / Perorangan"))</f>
        <v>Individu / Perorangan</v>
      </c>
      <c r="X167" s="106" t="str">
        <f t="shared" si="7"/>
        <v>03</v>
      </c>
      <c r="Y167" s="106" t="str" cm="1">
        <f t="array" ref="Y167">IFERROR(INDEX(Kamus!$N$3:$N$111,MATCH(TRUE,ISNUMBER(SEARCH(Kamus!$M$3:$M$111,$I167)),0)),"")</f>
        <v/>
      </c>
      <c r="Z167" s="106" t="str">
        <f>IF(AND(OR($X167="02",$X167="03",$X167="04"),OR($T167="Parsel/Bingkisan (tidak dirinci)",$T167="Makanan &amp; Minuman",$T167="Peralatan Rumah Tangga / Pecah Belah",$T167="Pakaian &amp; Kain")),"Momen Hari Raya (dugaan musiman)",IFERROR(VLOOKUP($W167,Kamus!$P$3:$Q$14,2,FALSE),"Tidak Teridentifikasi"))</f>
        <v>Momen Hari Raya (dugaan musiman)</v>
      </c>
      <c r="AA167" s="106" t="str">
        <f t="shared" si="8"/>
        <v>Momen Hari Raya (dugaan musiman)</v>
      </c>
    </row>
    <row r="168" spans="1:27">
      <c r="A168" s="106">
        <v>167</v>
      </c>
      <c r="B168" s="106" t="s">
        <v>1352</v>
      </c>
      <c r="C168" s="107" t="s">
        <v>1353</v>
      </c>
      <c r="D168" s="106" t="s">
        <v>1042</v>
      </c>
      <c r="E168" s="106" t="s">
        <v>1354</v>
      </c>
      <c r="F168" s="106" t="s">
        <v>1950</v>
      </c>
      <c r="G168" s="106" t="s">
        <v>1006</v>
      </c>
      <c r="H168" s="106" t="s">
        <v>1371</v>
      </c>
      <c r="I168" s="106" t="s">
        <v>1951</v>
      </c>
      <c r="J168" s="106">
        <v>279200</v>
      </c>
      <c r="K168" s="106" t="s">
        <v>1952</v>
      </c>
      <c r="L168" s="106" t="s">
        <v>1953</v>
      </c>
      <c r="M168" s="106" t="s">
        <v>1171</v>
      </c>
      <c r="N168" s="106" t="s">
        <v>1954</v>
      </c>
      <c r="O168" s="106" t="s">
        <v>274</v>
      </c>
      <c r="P168" s="106" t="s">
        <v>1361</v>
      </c>
      <c r="Q168" s="106" t="s">
        <v>427</v>
      </c>
      <c r="S168" s="106" t="str" cm="1">
        <f t="array" ref="S168">IF(TRIM($D168)="","(tidak diisi)",IFERROR(INDEX(Kamus!$B$3:$B$28,MATCH(TRUE,ISNUMBER(SEARCH(Kamus!$A$3:$A$28,$D168)),0)),"Jabatan Lainnya"))</f>
        <v>Ketua Pengadilan</v>
      </c>
      <c r="T168" s="106" t="str" cm="1">
        <f t="array" ref="T168">IF(TRIM($I168)="","(tidak diisi)",IFERROR(INDEX(Kamus!$E$3:$E$162,MATCH(TRUE,ISNUMBER(SEARCH(Kamus!$D$3:$D$162,$I168)),0)),"Barang Lain / Tidak Terinci"))</f>
        <v>Peralatan Rumah Tangga / Pecah Belah</v>
      </c>
      <c r="U168" s="106" t="str" cm="1">
        <f t="array" ref="U168">IF(TRIM($I168)="","(tidak diisi)",IFERROR(INDEX(Kamus!$H$3:$H$75,MATCH(TRUE,ISNUMBER(SEARCH(Kamus!$G$3:$G$75,$I168)),0)),"Pemberian Umum / Tanpa Konteks"))</f>
        <v>Pemberian Umum / Tanpa Konteks</v>
      </c>
      <c r="V168" s="106" t="str">
        <f t="shared" si="6"/>
        <v>2025</v>
      </c>
      <c r="W168" s="106" t="str" cm="1">
        <f t="array" ref="W168">IF(TRIM($K168)="","(tidak diisi)",IFERROR(INDEX(Kamus!$K$3:$K$118,MATCH(TRUE,ISNUMBER(SEARCH(Kamus!$J$3:$J$118,$K168)),0)),"Individu / Perorangan"))</f>
        <v>Individu / Perorangan</v>
      </c>
      <c r="X168" s="106" t="str">
        <f t="shared" si="7"/>
        <v>03</v>
      </c>
      <c r="Y168" s="106" t="str" cm="1">
        <f t="array" ref="Y168">IFERROR(INDEX(Kamus!$N$3:$N$111,MATCH(TRUE,ISNUMBER(SEARCH(Kamus!$M$3:$M$111,$I168)),0)),"")</f>
        <v/>
      </c>
      <c r="Z168" s="106" t="str">
        <f>IF(AND(OR($X168="02",$X168="03",$X168="04"),OR($T168="Parsel/Bingkisan (tidak dirinci)",$T168="Makanan &amp; Minuman",$T168="Peralatan Rumah Tangga / Pecah Belah",$T168="Pakaian &amp; Kain")),"Momen Hari Raya (dugaan musiman)",IFERROR(VLOOKUP($W168,Kamus!$P$3:$Q$14,2,FALSE),"Tidak Teridentifikasi"))</f>
        <v>Momen Hari Raya (dugaan musiman)</v>
      </c>
      <c r="AA168" s="106" t="str">
        <f t="shared" si="8"/>
        <v>Momen Hari Raya (dugaan musiman)</v>
      </c>
    </row>
    <row r="169" spans="1:27">
      <c r="A169" s="106">
        <v>168</v>
      </c>
      <c r="B169" s="106" t="s">
        <v>1841</v>
      </c>
      <c r="C169" s="107" t="s">
        <v>1842</v>
      </c>
      <c r="D169" s="106" t="s">
        <v>1843</v>
      </c>
      <c r="E169" s="106" t="s">
        <v>1844</v>
      </c>
      <c r="F169" s="106" t="s">
        <v>1955</v>
      </c>
      <c r="G169" s="106" t="s">
        <v>1006</v>
      </c>
      <c r="H169" s="106" t="s">
        <v>1918</v>
      </c>
      <c r="I169" s="106" t="s">
        <v>1956</v>
      </c>
      <c r="K169" s="106" t="s">
        <v>1957</v>
      </c>
      <c r="L169" s="106" t="s">
        <v>1958</v>
      </c>
      <c r="O169" s="106" t="s">
        <v>274</v>
      </c>
      <c r="P169" s="106" t="s">
        <v>1849</v>
      </c>
      <c r="Q169" s="106" t="s">
        <v>409</v>
      </c>
      <c r="S169" s="106" t="str" cm="1">
        <f t="array" ref="S169">IF(TRIM($D169)="","(tidak diisi)",IFERROR(INDEX(Kamus!$B$3:$B$28,MATCH(TRUE,ISNUMBER(SEARCH(Kamus!$A$3:$A$28,$D169)),0)),"Jabatan Lainnya"))</f>
        <v>Ketua Pengadilan</v>
      </c>
      <c r="T169" s="106" t="str" cm="1">
        <f t="array" ref="T169">IF(TRIM($I169)="","(tidak diisi)",IFERROR(INDEX(Kamus!$E$3:$E$162,MATCH(TRUE,ISNUMBER(SEARCH(Kamus!$D$3:$D$162,$I169)),0)),"Barang Lain / Tidak Terinci"))</f>
        <v>Parsel/Bingkisan (tidak dirinci)</v>
      </c>
      <c r="U169" s="106" t="str" cm="1">
        <f t="array" ref="U169">IF(TRIM($I169)="","(tidak diisi)",IFERROR(INDEX(Kamus!$H$3:$H$75,MATCH(TRUE,ISNUMBER(SEARCH(Kamus!$G$3:$G$75,$I169)),0)),"Pemberian Umum / Tanpa Konteks"))</f>
        <v>Bingkisan Hari Raya / Keagamaan</v>
      </c>
      <c r="V169" s="106" t="str">
        <f t="shared" si="6"/>
        <v>2025</v>
      </c>
      <c r="W169" s="106" t="str" cm="1">
        <f t="array" ref="W169">IF(TRIM($K169)="","(tidak diisi)",IFERROR(INDEX(Kamus!$K$3:$K$118,MATCH(TRUE,ISNUMBER(SEARCH(Kamus!$J$3:$J$118,$K169)),0)),"Individu / Perorangan"))</f>
        <v>Individu / Perorangan</v>
      </c>
      <c r="X169" s="106" t="str">
        <f t="shared" si="7"/>
        <v>03</v>
      </c>
      <c r="Y169" s="106" t="str" cm="1">
        <f t="array" ref="Y169">IFERROR(INDEX(Kamus!$N$3:$N$111,MATCH(TRUE,ISNUMBER(SEARCH(Kamus!$M$3:$M$111,$I169)),0)),"")</f>
        <v>Momen Hari Raya (Ramadan/Idulfitri)</v>
      </c>
      <c r="Z169" s="106" t="str">
        <f>IF(AND(OR($X169="02",$X169="03",$X169="04"),OR($T169="Parsel/Bingkisan (tidak dirinci)",$T169="Makanan &amp; Minuman",$T169="Peralatan Rumah Tangga / Pecah Belah",$T169="Pakaian &amp; Kain")),"Momen Hari Raya (dugaan musiman)",IFERROR(VLOOKUP($W169,Kamus!$P$3:$Q$14,2,FALSE),"Tidak Teridentifikasi"))</f>
        <v>Momen Hari Raya (dugaan musiman)</v>
      </c>
      <c r="AA169" s="106" t="str">
        <f t="shared" si="8"/>
        <v>Momen Hari Raya (Ramadan/Idulfitri)</v>
      </c>
    </row>
    <row r="170" spans="1:27">
      <c r="A170" s="106">
        <v>169</v>
      </c>
      <c r="B170" s="106" t="s">
        <v>1959</v>
      </c>
      <c r="C170" s="107" t="s">
        <v>1960</v>
      </c>
      <c r="D170" s="106" t="s">
        <v>1042</v>
      </c>
      <c r="E170" s="106" t="s">
        <v>1961</v>
      </c>
      <c r="G170" s="106" t="s">
        <v>1006</v>
      </c>
      <c r="L170" s="106" t="s">
        <v>1883</v>
      </c>
      <c r="O170" s="106" t="s">
        <v>274</v>
      </c>
      <c r="P170" s="106" t="s">
        <v>1962</v>
      </c>
      <c r="Q170" s="106" t="s">
        <v>428</v>
      </c>
      <c r="S170" s="106" t="str" cm="1">
        <f t="array" ref="S170">IF(TRIM($D170)="","(tidak diisi)",IFERROR(INDEX(Kamus!$B$3:$B$28,MATCH(TRUE,ISNUMBER(SEARCH(Kamus!$A$3:$A$28,$D170)),0)),"Jabatan Lainnya"))</f>
        <v>Ketua Pengadilan</v>
      </c>
      <c r="T170" s="106" t="str" cm="1">
        <f t="array" ref="T170">IF(TRIM($I170)="","(tidak diisi)",IFERROR(INDEX(Kamus!$E$3:$E$162,MATCH(TRUE,ISNUMBER(SEARCH(Kamus!$D$3:$D$162,$I170)),0)),"Barang Lain / Tidak Terinci"))</f>
        <v>(tidak diisi)</v>
      </c>
      <c r="U170" s="106" t="str" cm="1">
        <f t="array" ref="U170">IF(TRIM($I170)="","(tidak diisi)",IFERROR(INDEX(Kamus!$H$3:$H$75,MATCH(TRUE,ISNUMBER(SEARCH(Kamus!$G$3:$G$75,$I170)),0)),"Pemberian Umum / Tanpa Konteks"))</f>
        <v>(tidak diisi)</v>
      </c>
      <c r="V170" s="106" t="str">
        <f t="shared" si="6"/>
        <v>(tidak diisi)</v>
      </c>
      <c r="W170" s="106" t="str" cm="1">
        <f t="array" ref="W170">IF(TRIM($K170)="","(tidak diisi)",IFERROR(INDEX(Kamus!$K$3:$K$118,MATCH(TRUE,ISNUMBER(SEARCH(Kamus!$J$3:$J$118,$K170)),0)),"Individu / Perorangan"))</f>
        <v>(tidak diisi)</v>
      </c>
      <c r="X170" s="106" t="str">
        <f t="shared" si="7"/>
        <v>(tidak diisi)</v>
      </c>
      <c r="Y170" s="106" t="str" cm="1">
        <f t="array" ref="Y170">IFERROR(INDEX(Kamus!$N$3:$N$111,MATCH(TRUE,ISNUMBER(SEARCH(Kamus!$M$3:$M$111,$I170)),0)),"")</f>
        <v/>
      </c>
      <c r="Z170" s="106" t="str">
        <f>IF(AND(OR($X170="02",$X170="03",$X170="04"),OR($T170="Parsel/Bingkisan (tidak dirinci)",$T170="Makanan &amp; Minuman",$T170="Peralatan Rumah Tangga / Pecah Belah",$T170="Pakaian &amp; Kain")),"Momen Hari Raya (dugaan musiman)",IFERROR(VLOOKUP($W170,Kamus!$P$3:$Q$14,2,FALSE),"Tidak Teridentifikasi"))</f>
        <v>Tidak Teridentifikasi</v>
      </c>
      <c r="AA170" s="106" t="str">
        <f t="shared" si="8"/>
        <v>Tidak Teridentifikasi</v>
      </c>
    </row>
    <row r="171" spans="1:27">
      <c r="A171" s="106">
        <v>170</v>
      </c>
      <c r="B171" s="106" t="s">
        <v>1963</v>
      </c>
      <c r="C171" s="107" t="s">
        <v>1964</v>
      </c>
      <c r="D171" s="106" t="s">
        <v>1319</v>
      </c>
      <c r="E171" s="106" t="s">
        <v>1965</v>
      </c>
      <c r="G171" s="106" t="s">
        <v>1006</v>
      </c>
      <c r="L171" s="106" t="s">
        <v>1966</v>
      </c>
      <c r="O171" s="106" t="s">
        <v>274</v>
      </c>
      <c r="P171" s="106" t="s">
        <v>1967</v>
      </c>
      <c r="Q171" s="106" t="s">
        <v>428</v>
      </c>
      <c r="S171" s="106" t="str" cm="1">
        <f t="array" ref="S171">IF(TRIM($D171)="","(tidak diisi)",IFERROR(INDEX(Kamus!$B$3:$B$28,MATCH(TRUE,ISNUMBER(SEARCH(Kamus!$A$3:$A$28,$D171)),0)),"Jabatan Lainnya"))</f>
        <v>Wakil Ketua Pengadilan</v>
      </c>
      <c r="T171" s="106" t="str" cm="1">
        <f t="array" ref="T171">IF(TRIM($I171)="","(tidak diisi)",IFERROR(INDEX(Kamus!$E$3:$E$162,MATCH(TRUE,ISNUMBER(SEARCH(Kamus!$D$3:$D$162,$I171)),0)),"Barang Lain / Tidak Terinci"))</f>
        <v>(tidak diisi)</v>
      </c>
      <c r="U171" s="106" t="str" cm="1">
        <f t="array" ref="U171">IF(TRIM($I171)="","(tidak diisi)",IFERROR(INDEX(Kamus!$H$3:$H$75,MATCH(TRUE,ISNUMBER(SEARCH(Kamus!$G$3:$G$75,$I171)),0)),"Pemberian Umum / Tanpa Konteks"))</f>
        <v>(tidak diisi)</v>
      </c>
      <c r="V171" s="106" t="str">
        <f t="shared" si="6"/>
        <v>(tidak diisi)</v>
      </c>
      <c r="W171" s="106" t="str" cm="1">
        <f t="array" ref="W171">IF(TRIM($K171)="","(tidak diisi)",IFERROR(INDEX(Kamus!$K$3:$K$118,MATCH(TRUE,ISNUMBER(SEARCH(Kamus!$J$3:$J$118,$K171)),0)),"Individu / Perorangan"))</f>
        <v>(tidak diisi)</v>
      </c>
      <c r="X171" s="106" t="str">
        <f t="shared" si="7"/>
        <v>(tidak diisi)</v>
      </c>
      <c r="Y171" s="106" t="str" cm="1">
        <f t="array" ref="Y171">IFERROR(INDEX(Kamus!$N$3:$N$111,MATCH(TRUE,ISNUMBER(SEARCH(Kamus!$M$3:$M$111,$I171)),0)),"")</f>
        <v/>
      </c>
      <c r="Z171" s="106" t="str">
        <f>IF(AND(OR($X171="02",$X171="03",$X171="04"),OR($T171="Parsel/Bingkisan (tidak dirinci)",$T171="Makanan &amp; Minuman",$T171="Peralatan Rumah Tangga / Pecah Belah",$T171="Pakaian &amp; Kain")),"Momen Hari Raya (dugaan musiman)",IFERROR(VLOOKUP($W171,Kamus!$P$3:$Q$14,2,FALSE),"Tidak Teridentifikasi"))</f>
        <v>Tidak Teridentifikasi</v>
      </c>
      <c r="AA171" s="106" t="str">
        <f t="shared" si="8"/>
        <v>Tidak Teridentifikasi</v>
      </c>
    </row>
    <row r="172" spans="1:27">
      <c r="A172" s="106">
        <v>171</v>
      </c>
      <c r="B172" s="106" t="s">
        <v>1735</v>
      </c>
      <c r="C172" s="107" t="s">
        <v>1736</v>
      </c>
      <c r="D172" s="106" t="s">
        <v>1737</v>
      </c>
      <c r="E172" s="106" t="s">
        <v>1738</v>
      </c>
      <c r="F172" s="106" t="s">
        <v>1968</v>
      </c>
      <c r="G172" s="106" t="s">
        <v>1006</v>
      </c>
      <c r="H172" s="106" t="s">
        <v>1788</v>
      </c>
      <c r="I172" s="106" t="s">
        <v>1969</v>
      </c>
      <c r="K172" s="106" t="s">
        <v>1970</v>
      </c>
      <c r="L172" s="106" t="s">
        <v>1971</v>
      </c>
      <c r="O172" s="106" t="s">
        <v>274</v>
      </c>
      <c r="P172" s="106" t="s">
        <v>1743</v>
      </c>
      <c r="Q172" s="106" t="s">
        <v>428</v>
      </c>
      <c r="S172" s="106" t="str" cm="1">
        <f t="array" ref="S172">IF(TRIM($D172)="","(tidak diisi)",IFERROR(INDEX(Kamus!$B$3:$B$28,MATCH(TRUE,ISNUMBER(SEARCH(Kamus!$A$3:$A$28,$D172)),0)),"Jabatan Lainnya"))</f>
        <v>Ketua Pengadilan</v>
      </c>
      <c r="T172" s="106" t="str" cm="1">
        <f t="array" ref="T172">IF(TRIM($I172)="","(tidak diisi)",IFERROR(INDEX(Kamus!$E$3:$E$162,MATCH(TRUE,ISNUMBER(SEARCH(Kamus!$D$3:$D$162,$I172)),0)),"Barang Lain / Tidak Terinci"))</f>
        <v>Makanan &amp; Minuman</v>
      </c>
      <c r="U172" s="106" t="str" cm="1">
        <f t="array" ref="U172">IF(TRIM($I172)="","(tidak diisi)",IFERROR(INDEX(Kamus!$H$3:$H$75,MATCH(TRUE,ISNUMBER(SEARCH(Kamus!$G$3:$G$75,$I172)),0)),"Pemberian Umum / Tanpa Konteks"))</f>
        <v>Parsel/Bingkisan Umum (non-hari raya)</v>
      </c>
      <c r="V172" s="106" t="str">
        <f t="shared" si="6"/>
        <v>2025</v>
      </c>
      <c r="W172" s="106" t="str" cm="1">
        <f t="array" ref="W172">IF(TRIM($K172)="","(tidak diisi)",IFERROR(INDEX(Kamus!$K$3:$K$118,MATCH(TRUE,ISNUMBER(SEARCH(Kamus!$J$3:$J$118,$K172)),0)),"Individu / Perorangan"))</f>
        <v>Individu / Perorangan</v>
      </c>
      <c r="X172" s="106" t="str">
        <f t="shared" si="7"/>
        <v>03</v>
      </c>
      <c r="Y172" s="106" t="str" cm="1">
        <f t="array" ref="Y172">IFERROR(INDEX(Kamus!$N$3:$N$111,MATCH(TRUE,ISNUMBER(SEARCH(Kamus!$M$3:$M$111,$I172)),0)),"")</f>
        <v/>
      </c>
      <c r="Z172" s="106" t="str">
        <f>IF(AND(OR($X172="02",$X172="03",$X172="04"),OR($T172="Parsel/Bingkisan (tidak dirinci)",$T172="Makanan &amp; Minuman",$T172="Peralatan Rumah Tangga / Pecah Belah",$T172="Pakaian &amp; Kain")),"Momen Hari Raya (dugaan musiman)",IFERROR(VLOOKUP($W172,Kamus!$P$3:$Q$14,2,FALSE),"Tidak Teridentifikasi"))</f>
        <v>Momen Hari Raya (dugaan musiman)</v>
      </c>
      <c r="AA172" s="106" t="str">
        <f t="shared" si="8"/>
        <v>Momen Hari Raya (dugaan musiman)</v>
      </c>
    </row>
    <row r="173" spans="1:27">
      <c r="A173" s="106">
        <v>172</v>
      </c>
      <c r="B173" s="106" t="s">
        <v>1972</v>
      </c>
      <c r="C173" s="107" t="s">
        <v>1973</v>
      </c>
      <c r="D173" s="106" t="s">
        <v>1033</v>
      </c>
      <c r="E173" s="106" t="s">
        <v>1974</v>
      </c>
      <c r="F173" s="106" t="s">
        <v>1975</v>
      </c>
      <c r="G173" s="106" t="s">
        <v>1006</v>
      </c>
      <c r="H173" s="106" t="s">
        <v>1918</v>
      </c>
      <c r="I173" s="106" t="s">
        <v>1976</v>
      </c>
      <c r="J173" s="106">
        <v>300000</v>
      </c>
      <c r="K173" s="106" t="s">
        <v>1977</v>
      </c>
      <c r="L173" s="106" t="s">
        <v>1978</v>
      </c>
      <c r="M173" s="106" t="s">
        <v>1171</v>
      </c>
      <c r="N173" s="106" t="s">
        <v>1979</v>
      </c>
      <c r="O173" s="106" t="s">
        <v>274</v>
      </c>
      <c r="P173" s="106" t="s">
        <v>1980</v>
      </c>
      <c r="Q173" s="106" t="s">
        <v>428</v>
      </c>
      <c r="S173" s="106" t="str" cm="1">
        <f t="array" ref="S173">IF(TRIM($D173)="","(tidak diisi)",IFERROR(INDEX(Kamus!$B$3:$B$28,MATCH(TRUE,ISNUMBER(SEARCH(Kamus!$A$3:$A$28,$D173)),0)),"Jabatan Lainnya"))</f>
        <v>Hakim</v>
      </c>
      <c r="T173" s="106" t="str" cm="1">
        <f t="array" ref="T173">IF(TRIM($I173)="","(tidak diisi)",IFERROR(INDEX(Kamus!$E$3:$E$162,MATCH(TRUE,ISNUMBER(SEARCH(Kamus!$D$3:$D$162,$I173)),0)),"Barang Lain / Tidak Terinci"))</f>
        <v>Peralatan Rumah Tangga / Pecah Belah</v>
      </c>
      <c r="U173" s="106" t="str" cm="1">
        <f t="array" ref="U173">IF(TRIM($I173)="","(tidak diisi)",IFERROR(INDEX(Kamus!$H$3:$H$75,MATCH(TRUE,ISNUMBER(SEARCH(Kamus!$G$3:$G$75,$I173)),0)),"Pemberian Umum / Tanpa Konteks"))</f>
        <v>Parsel/Bingkisan Umum (non-hari raya)</v>
      </c>
      <c r="V173" s="106" t="str">
        <f t="shared" si="6"/>
        <v>2025</v>
      </c>
      <c r="W173" s="106" t="str" cm="1">
        <f t="array" ref="W173">IF(TRIM($K173)="","(tidak diisi)",IFERROR(INDEX(Kamus!$K$3:$K$118,MATCH(TRUE,ISNUMBER(SEARCH(Kamus!$J$3:$J$118,$K173)),0)),"Individu / Perorangan"))</f>
        <v>Bank &amp; Lembaga Keuangan</v>
      </c>
      <c r="X173" s="106" t="str">
        <f t="shared" si="7"/>
        <v>03</v>
      </c>
      <c r="Y173" s="106" t="str" cm="1">
        <f t="array" ref="Y173">IFERROR(INDEX(Kamus!$N$3:$N$111,MATCH(TRUE,ISNUMBER(SEARCH(Kamus!$M$3:$M$111,$I173)),0)),"")</f>
        <v/>
      </c>
      <c r="Z173" s="106" t="str">
        <f>IF(AND(OR($X173="02",$X173="03",$X173="04"),OR($T173="Parsel/Bingkisan (tidak dirinci)",$T173="Makanan &amp; Minuman",$T173="Peralatan Rumah Tangga / Pecah Belah",$T173="Pakaian &amp; Kain")),"Momen Hari Raya (dugaan musiman)",IFERROR(VLOOKUP($W173,Kamus!$P$3:$Q$14,2,FALSE),"Tidak Teridentifikasi"))</f>
        <v>Momen Hari Raya (dugaan musiman)</v>
      </c>
      <c r="AA173" s="106" t="str">
        <f t="shared" si="8"/>
        <v>Momen Hari Raya (dugaan musiman)</v>
      </c>
    </row>
    <row r="174" spans="1:27">
      <c r="A174" s="106">
        <v>173</v>
      </c>
      <c r="B174" s="106" t="s">
        <v>1972</v>
      </c>
      <c r="C174" s="107" t="s">
        <v>1973</v>
      </c>
      <c r="D174" s="106" t="s">
        <v>1033</v>
      </c>
      <c r="E174" s="106" t="s">
        <v>1974</v>
      </c>
      <c r="F174" s="106" t="s">
        <v>1975</v>
      </c>
      <c r="G174" s="106" t="s">
        <v>1006</v>
      </c>
      <c r="H174" s="106" t="s">
        <v>1918</v>
      </c>
      <c r="I174" s="106" t="s">
        <v>1981</v>
      </c>
      <c r="J174" s="106">
        <v>150000</v>
      </c>
      <c r="K174" s="106" t="s">
        <v>1982</v>
      </c>
      <c r="L174" s="106" t="s">
        <v>1978</v>
      </c>
      <c r="M174" s="106" t="s">
        <v>1171</v>
      </c>
      <c r="N174" s="106" t="s">
        <v>1979</v>
      </c>
      <c r="O174" s="106" t="s">
        <v>274</v>
      </c>
      <c r="P174" s="106" t="s">
        <v>1980</v>
      </c>
      <c r="Q174" s="106" t="s">
        <v>428</v>
      </c>
      <c r="S174" s="106" t="str" cm="1">
        <f t="array" ref="S174">IF(TRIM($D174)="","(tidak diisi)",IFERROR(INDEX(Kamus!$B$3:$B$28,MATCH(TRUE,ISNUMBER(SEARCH(Kamus!$A$3:$A$28,$D174)),0)),"Jabatan Lainnya"))</f>
        <v>Hakim</v>
      </c>
      <c r="T174" s="106" t="str" cm="1">
        <f t="array" ref="T174">IF(TRIM($I174)="","(tidak diisi)",IFERROR(INDEX(Kamus!$E$3:$E$162,MATCH(TRUE,ISNUMBER(SEARCH(Kamus!$D$3:$D$162,$I174)),0)),"Barang Lain / Tidak Terinci"))</f>
        <v>Peralatan Rumah Tangga / Pecah Belah</v>
      </c>
      <c r="U174" s="106" t="str" cm="1">
        <f t="array" ref="U174">IF(TRIM($I174)="","(tidak diisi)",IFERROR(INDEX(Kamus!$H$3:$H$75,MATCH(TRUE,ISNUMBER(SEARCH(Kamus!$G$3:$G$75,$I174)),0)),"Pemberian Umum / Tanpa Konteks"))</f>
        <v>Parsel/Bingkisan Umum (non-hari raya)</v>
      </c>
      <c r="V174" s="106" t="str">
        <f t="shared" si="6"/>
        <v>2025</v>
      </c>
      <c r="W174" s="106" t="str" cm="1">
        <f t="array" ref="W174">IF(TRIM($K174)="","(tidak diisi)",IFERROR(INDEX(Kamus!$K$3:$K$118,MATCH(TRUE,ISNUMBER(SEARCH(Kamus!$J$3:$J$118,$K174)),0)),"Individu / Perorangan"))</f>
        <v>Organisasi / Panitia Kegiatan</v>
      </c>
      <c r="X174" s="106" t="str">
        <f t="shared" si="7"/>
        <v>03</v>
      </c>
      <c r="Y174" s="106" t="str" cm="1">
        <f t="array" ref="Y174">IFERROR(INDEX(Kamus!$N$3:$N$111,MATCH(TRUE,ISNUMBER(SEARCH(Kamus!$M$3:$M$111,$I174)),0)),"")</f>
        <v/>
      </c>
      <c r="Z174" s="106" t="str">
        <f>IF(AND(OR($X174="02",$X174="03",$X174="04"),OR($T174="Parsel/Bingkisan (tidak dirinci)",$T174="Makanan &amp; Minuman",$T174="Peralatan Rumah Tangga / Pecah Belah",$T174="Pakaian &amp; Kain")),"Momen Hari Raya (dugaan musiman)",IFERROR(VLOOKUP($W174,Kamus!$P$3:$Q$14,2,FALSE),"Tidak Teridentifikasi"))</f>
        <v>Momen Hari Raya (dugaan musiman)</v>
      </c>
      <c r="AA174" s="106" t="str">
        <f t="shared" si="8"/>
        <v>Momen Hari Raya (dugaan musiman)</v>
      </c>
    </row>
    <row r="175" spans="1:27">
      <c r="A175" s="106">
        <v>174</v>
      </c>
      <c r="B175" s="106" t="s">
        <v>1983</v>
      </c>
      <c r="C175" s="107" t="s">
        <v>1984</v>
      </c>
      <c r="D175" s="106" t="s">
        <v>1042</v>
      </c>
      <c r="E175" s="106" t="s">
        <v>1965</v>
      </c>
      <c r="G175" s="106" t="s">
        <v>1006</v>
      </c>
      <c r="H175" s="106" t="s">
        <v>1753</v>
      </c>
      <c r="I175" s="106" t="s">
        <v>1985</v>
      </c>
      <c r="K175" s="106" t="s">
        <v>1986</v>
      </c>
      <c r="L175" s="106" t="s">
        <v>1966</v>
      </c>
      <c r="O175" s="106" t="s">
        <v>274</v>
      </c>
      <c r="P175" s="106" t="s">
        <v>1967</v>
      </c>
      <c r="Q175" s="106" t="s">
        <v>428</v>
      </c>
      <c r="S175" s="106" t="str" cm="1">
        <f t="array" ref="S175">IF(TRIM($D175)="","(tidak diisi)",IFERROR(INDEX(Kamus!$B$3:$B$28,MATCH(TRUE,ISNUMBER(SEARCH(Kamus!$A$3:$A$28,$D175)),0)),"Jabatan Lainnya"))</f>
        <v>Ketua Pengadilan</v>
      </c>
      <c r="T175" s="106" t="str" cm="1">
        <f t="array" ref="T175">IF(TRIM($I175)="","(tidak diisi)",IFERROR(INDEX(Kamus!$E$3:$E$162,MATCH(TRUE,ISNUMBER(SEARCH(Kamus!$D$3:$D$162,$I175)),0)),"Barang Lain / Tidak Terinci"))</f>
        <v>Makanan &amp; Minuman</v>
      </c>
      <c r="U175" s="106" t="str" cm="1">
        <f t="array" ref="U175">IF(TRIM($I175)="","(tidak diisi)",IFERROR(INDEX(Kamus!$H$3:$H$75,MATCH(TRUE,ISNUMBER(SEARCH(Kamus!$G$3:$G$75,$I175)),0)),"Pemberian Umum / Tanpa Konteks"))</f>
        <v>Bingkisan Hari Raya / Keagamaan</v>
      </c>
      <c r="V175" s="106" t="str">
        <f t="shared" si="6"/>
        <v>2025</v>
      </c>
      <c r="W175" s="106" t="str" cm="1">
        <f t="array" ref="W175">IF(TRIM($K175)="","(tidak diisi)",IFERROR(INDEX(Kamus!$K$3:$K$118,MATCH(TRUE,ISNUMBER(SEARCH(Kamus!$J$3:$J$118,$K175)),0)),"Individu / Perorangan"))</f>
        <v>Bank &amp; Lembaga Keuangan</v>
      </c>
      <c r="X175" s="106" t="str">
        <f t="shared" si="7"/>
        <v>03</v>
      </c>
      <c r="Y175" s="106" t="str" cm="1">
        <f t="array" ref="Y175">IFERROR(INDEX(Kamus!$N$3:$N$111,MATCH(TRUE,ISNUMBER(SEARCH(Kamus!$M$3:$M$111,$I175)),0)),"")</f>
        <v>Momen Hari Raya (Ramadan/Idulfitri)</v>
      </c>
      <c r="Z175" s="106" t="str">
        <f>IF(AND(OR($X175="02",$X175="03",$X175="04"),OR($T175="Parsel/Bingkisan (tidak dirinci)",$T175="Makanan &amp; Minuman",$T175="Peralatan Rumah Tangga / Pecah Belah",$T175="Pakaian &amp; Kain")),"Momen Hari Raya (dugaan musiman)",IFERROR(VLOOKUP($W175,Kamus!$P$3:$Q$14,2,FALSE),"Tidak Teridentifikasi"))</f>
        <v>Momen Hari Raya (dugaan musiman)</v>
      </c>
      <c r="AA175" s="106" t="str">
        <f t="shared" si="8"/>
        <v>Momen Hari Raya (Ramadan/Idulfitri)</v>
      </c>
    </row>
    <row r="176" spans="1:27">
      <c r="A176" s="106">
        <v>175</v>
      </c>
      <c r="B176" s="106" t="s">
        <v>1987</v>
      </c>
      <c r="C176" s="107" t="s">
        <v>1988</v>
      </c>
      <c r="D176" s="106" t="s">
        <v>1042</v>
      </c>
      <c r="E176" s="106" t="s">
        <v>1989</v>
      </c>
      <c r="F176" s="106" t="s">
        <v>1990</v>
      </c>
      <c r="G176" s="106" t="s">
        <v>1006</v>
      </c>
      <c r="H176" s="106" t="s">
        <v>1991</v>
      </c>
      <c r="I176" s="106" t="s">
        <v>1251</v>
      </c>
      <c r="J176" s="106">
        <v>150000</v>
      </c>
      <c r="K176" s="106" t="s">
        <v>1992</v>
      </c>
      <c r="L176" s="106" t="s">
        <v>1993</v>
      </c>
      <c r="M176" s="106" t="s">
        <v>1171</v>
      </c>
      <c r="N176" s="106" t="s">
        <v>1994</v>
      </c>
      <c r="O176" s="106" t="s">
        <v>274</v>
      </c>
      <c r="P176" s="106" t="s">
        <v>1995</v>
      </c>
      <c r="Q176" s="106" t="s">
        <v>436</v>
      </c>
      <c r="S176" s="106" t="str" cm="1">
        <f t="array" ref="S176">IF(TRIM($D176)="","(tidak diisi)",IFERROR(INDEX(Kamus!$B$3:$B$28,MATCH(TRUE,ISNUMBER(SEARCH(Kamus!$A$3:$A$28,$D176)),0)),"Jabatan Lainnya"))</f>
        <v>Ketua Pengadilan</v>
      </c>
      <c r="T176" s="106" t="str" cm="1">
        <f t="array" ref="T176">IF(TRIM($I176)="","(tidak diisi)",IFERROR(INDEX(Kamus!$E$3:$E$162,MATCH(TRUE,ISNUMBER(SEARCH(Kamus!$D$3:$D$162,$I176)),0)),"Barang Lain / Tidak Terinci"))</f>
        <v>Peralatan Rumah Tangga / Pecah Belah</v>
      </c>
      <c r="U176" s="106" t="str" cm="1">
        <f t="array" ref="U176">IF(TRIM($I176)="","(tidak diisi)",IFERROR(INDEX(Kamus!$H$3:$H$75,MATCH(TRUE,ISNUMBER(SEARCH(Kamus!$G$3:$G$75,$I176)),0)),"Pemberian Umum / Tanpa Konteks"))</f>
        <v>Parsel/Bingkisan Umum (non-hari raya)</v>
      </c>
      <c r="V176" s="106" t="str">
        <f t="shared" si="6"/>
        <v>2025</v>
      </c>
      <c r="W176" s="106" t="str" cm="1">
        <f t="array" ref="W176">IF(TRIM($K176)="","(tidak diisi)",IFERROR(INDEX(Kamus!$K$3:$K$118,MATCH(TRUE,ISNUMBER(SEARCH(Kamus!$J$3:$J$118,$K176)),0)),"Individu / Perorangan"))</f>
        <v>Bank &amp; Lembaga Keuangan</v>
      </c>
      <c r="X176" s="106" t="str">
        <f t="shared" si="7"/>
        <v>03</v>
      </c>
      <c r="Y176" s="106" t="str" cm="1">
        <f t="array" ref="Y176">IFERROR(INDEX(Kamus!$N$3:$N$111,MATCH(TRUE,ISNUMBER(SEARCH(Kamus!$M$3:$M$111,$I176)),0)),"")</f>
        <v/>
      </c>
      <c r="Z176" s="106" t="str">
        <f>IF(AND(OR($X176="02",$X176="03",$X176="04"),OR($T176="Parsel/Bingkisan (tidak dirinci)",$T176="Makanan &amp; Minuman",$T176="Peralatan Rumah Tangga / Pecah Belah",$T176="Pakaian &amp; Kain")),"Momen Hari Raya (dugaan musiman)",IFERROR(VLOOKUP($W176,Kamus!$P$3:$Q$14,2,FALSE),"Tidak Teridentifikasi"))</f>
        <v>Momen Hari Raya (dugaan musiman)</v>
      </c>
      <c r="AA176" s="106" t="str">
        <f t="shared" si="8"/>
        <v>Momen Hari Raya (dugaan musiman)</v>
      </c>
    </row>
    <row r="177" spans="1:27">
      <c r="A177" s="106">
        <v>176</v>
      </c>
      <c r="B177" s="106" t="s">
        <v>1779</v>
      </c>
      <c r="C177" s="107" t="s">
        <v>1780</v>
      </c>
      <c r="D177" s="106" t="s">
        <v>1781</v>
      </c>
      <c r="E177" s="106" t="s">
        <v>1782</v>
      </c>
      <c r="F177" s="106" t="s">
        <v>1996</v>
      </c>
      <c r="G177" s="106" t="s">
        <v>1006</v>
      </c>
      <c r="H177" s="106" t="s">
        <v>1991</v>
      </c>
      <c r="I177" s="106" t="s">
        <v>1997</v>
      </c>
      <c r="J177" s="106">
        <v>300000</v>
      </c>
      <c r="K177" s="106" t="s">
        <v>1998</v>
      </c>
      <c r="L177" s="106" t="s">
        <v>1999</v>
      </c>
      <c r="M177" s="106" t="s">
        <v>1171</v>
      </c>
      <c r="N177" s="106" t="s">
        <v>2000</v>
      </c>
      <c r="O177" s="106" t="s">
        <v>274</v>
      </c>
      <c r="P177" s="106" t="s">
        <v>1786</v>
      </c>
      <c r="Q177" s="106" t="s">
        <v>431</v>
      </c>
      <c r="S177" s="106" t="str" cm="1">
        <f t="array" ref="S177">IF(TRIM($D177)="","(tidak diisi)",IFERROR(INDEX(Kamus!$B$3:$B$28,MATCH(TRUE,ISNUMBER(SEARCH(Kamus!$A$3:$A$28,$D177)),0)),"Jabatan Lainnya"))</f>
        <v>Ketua Pengadilan</v>
      </c>
      <c r="T177" s="106" t="str" cm="1">
        <f t="array" ref="T177">IF(TRIM($I177)="","(tidak diisi)",IFERROR(INDEX(Kamus!$E$3:$E$162,MATCH(TRUE,ISNUMBER(SEARCH(Kamus!$D$3:$D$162,$I177)),0)),"Barang Lain / Tidak Terinci"))</f>
        <v>Peralatan Rumah Tangga / Pecah Belah</v>
      </c>
      <c r="U177" s="106" t="str" cm="1">
        <f t="array" ref="U177">IF(TRIM($I177)="","(tidak diisi)",IFERROR(INDEX(Kamus!$H$3:$H$75,MATCH(TRUE,ISNUMBER(SEARCH(Kamus!$G$3:$G$75,$I177)),0)),"Pemberian Umum / Tanpa Konteks"))</f>
        <v>Bingkisan Hari Raya / Keagamaan</v>
      </c>
      <c r="V177" s="106" t="str">
        <f t="shared" si="6"/>
        <v>2025</v>
      </c>
      <c r="W177" s="106" t="str" cm="1">
        <f t="array" ref="W177">IF(TRIM($K177)="","(tidak diisi)",IFERROR(INDEX(Kamus!$K$3:$K$118,MATCH(TRUE,ISNUMBER(SEARCH(Kamus!$J$3:$J$118,$K177)),0)),"Individu / Perorangan"))</f>
        <v>Bank &amp; Lembaga Keuangan</v>
      </c>
      <c r="X177" s="106" t="str">
        <f t="shared" si="7"/>
        <v>03</v>
      </c>
      <c r="Y177" s="106" t="str" cm="1">
        <f t="array" ref="Y177">IFERROR(INDEX(Kamus!$N$3:$N$111,MATCH(TRUE,ISNUMBER(SEARCH(Kamus!$M$3:$M$111,$I177)),0)),"")</f>
        <v>Momen Hari Raya (Ramadan/Idulfitri)</v>
      </c>
      <c r="Z177" s="106" t="str">
        <f>IF(AND(OR($X177="02",$X177="03",$X177="04"),OR($T177="Parsel/Bingkisan (tidak dirinci)",$T177="Makanan &amp; Minuman",$T177="Peralatan Rumah Tangga / Pecah Belah",$T177="Pakaian &amp; Kain")),"Momen Hari Raya (dugaan musiman)",IFERROR(VLOOKUP($W177,Kamus!$P$3:$Q$14,2,FALSE),"Tidak Teridentifikasi"))</f>
        <v>Momen Hari Raya (dugaan musiman)</v>
      </c>
      <c r="AA177" s="106" t="str">
        <f t="shared" si="8"/>
        <v>Momen Hari Raya (Ramadan/Idulfitri)</v>
      </c>
    </row>
    <row r="178" spans="1:27">
      <c r="A178" s="106">
        <v>177</v>
      </c>
      <c r="B178" s="106" t="s">
        <v>1629</v>
      </c>
      <c r="C178" s="107" t="s">
        <v>1630</v>
      </c>
      <c r="D178" s="106" t="s">
        <v>1631</v>
      </c>
      <c r="E178" s="106" t="s">
        <v>1632</v>
      </c>
      <c r="F178" s="106" t="s">
        <v>2001</v>
      </c>
      <c r="G178" s="106" t="s">
        <v>1074</v>
      </c>
      <c r="H178" s="106" t="s">
        <v>1991</v>
      </c>
      <c r="I178" s="106" t="s">
        <v>2002</v>
      </c>
      <c r="K178" s="106" t="s">
        <v>2003</v>
      </c>
      <c r="L178" s="106" t="s">
        <v>2004</v>
      </c>
      <c r="O178" s="106" t="s">
        <v>274</v>
      </c>
      <c r="P178" s="106" t="s">
        <v>472</v>
      </c>
      <c r="Q178" s="106" t="s">
        <v>402</v>
      </c>
      <c r="S178" s="106" t="str" cm="1">
        <f t="array" ref="S178">IF(TRIM($D178)="","(tidak diisi)",IFERROR(INDEX(Kamus!$B$3:$B$28,MATCH(TRUE,ISNUMBER(SEARCH(Kamus!$A$3:$A$28,$D178)),0)),"Jabatan Lainnya"))</f>
        <v>Ketua Pengadilan</v>
      </c>
      <c r="T178" s="106" t="str" cm="1">
        <f t="array" ref="T178">IF(TRIM($I178)="","(tidak diisi)",IFERROR(INDEX(Kamus!$E$3:$E$162,MATCH(TRUE,ISNUMBER(SEARCH(Kamus!$D$3:$D$162,$I178)),0)),"Barang Lain / Tidak Terinci"))</f>
        <v>Parsel/Bingkisan (tidak dirinci)</v>
      </c>
      <c r="U178" s="106" t="str" cm="1">
        <f t="array" ref="U178">IF(TRIM($I178)="","(tidak diisi)",IFERROR(INDEX(Kamus!$H$3:$H$75,MATCH(TRUE,ISNUMBER(SEARCH(Kamus!$G$3:$G$75,$I178)),0)),"Pemberian Umum / Tanpa Konteks"))</f>
        <v>Bingkisan Hari Raya / Keagamaan</v>
      </c>
      <c r="V178" s="106" t="str">
        <f t="shared" si="6"/>
        <v>2025</v>
      </c>
      <c r="W178" s="106" t="str" cm="1">
        <f t="array" ref="W178">IF(TRIM($K178)="","(tidak diisi)",IFERROR(INDEX(Kamus!$K$3:$K$118,MATCH(TRUE,ISNUMBER(SEARCH(Kamus!$J$3:$J$118,$K178)),0)),"Individu / Perorangan"))</f>
        <v>Individu / Perorangan</v>
      </c>
      <c r="X178" s="106" t="str">
        <f t="shared" si="7"/>
        <v>03</v>
      </c>
      <c r="Y178" s="106" t="str" cm="1">
        <f t="array" ref="Y178">IFERROR(INDEX(Kamus!$N$3:$N$111,MATCH(TRUE,ISNUMBER(SEARCH(Kamus!$M$3:$M$111,$I178)),0)),"")</f>
        <v>Momen Hari Raya (Ramadan/Idulfitri)</v>
      </c>
      <c r="Z178" s="106" t="str">
        <f>IF(AND(OR($X178="02",$X178="03",$X178="04"),OR($T178="Parsel/Bingkisan (tidak dirinci)",$T178="Makanan &amp; Minuman",$T178="Peralatan Rumah Tangga / Pecah Belah",$T178="Pakaian &amp; Kain")),"Momen Hari Raya (dugaan musiman)",IFERROR(VLOOKUP($W178,Kamus!$P$3:$Q$14,2,FALSE),"Tidak Teridentifikasi"))</f>
        <v>Momen Hari Raya (dugaan musiman)</v>
      </c>
      <c r="AA178" s="106" t="str">
        <f t="shared" si="8"/>
        <v>Momen Hari Raya (Ramadan/Idulfitri)</v>
      </c>
    </row>
    <row r="179" spans="1:27">
      <c r="A179" s="106">
        <v>178</v>
      </c>
      <c r="B179" s="106" t="s">
        <v>2005</v>
      </c>
      <c r="C179" s="107" t="s">
        <v>2006</v>
      </c>
      <c r="D179" s="106" t="s">
        <v>1843</v>
      </c>
      <c r="E179" s="106" t="s">
        <v>2007</v>
      </c>
      <c r="F179" s="106" t="s">
        <v>2008</v>
      </c>
      <c r="G179" s="106" t="s">
        <v>1006</v>
      </c>
      <c r="H179" s="106" t="s">
        <v>1991</v>
      </c>
      <c r="I179" s="106" t="s">
        <v>2009</v>
      </c>
      <c r="K179" s="106" t="s">
        <v>2010</v>
      </c>
      <c r="L179" s="106" t="s">
        <v>2011</v>
      </c>
      <c r="O179" s="106" t="s">
        <v>274</v>
      </c>
      <c r="P179" s="106" t="s">
        <v>2012</v>
      </c>
      <c r="Q179" s="106" t="s">
        <v>402</v>
      </c>
      <c r="S179" s="106" t="str" cm="1">
        <f t="array" ref="S179">IF(TRIM($D179)="","(tidak diisi)",IFERROR(INDEX(Kamus!$B$3:$B$28,MATCH(TRUE,ISNUMBER(SEARCH(Kamus!$A$3:$A$28,$D179)),0)),"Jabatan Lainnya"))</f>
        <v>Ketua Pengadilan</v>
      </c>
      <c r="T179" s="106" t="str" cm="1">
        <f t="array" ref="T179">IF(TRIM($I179)="","(tidak diisi)",IFERROR(INDEX(Kamus!$E$3:$E$162,MATCH(TRUE,ISNUMBER(SEARCH(Kamus!$D$3:$D$162,$I179)),0)),"Barang Lain / Tidak Terinci"))</f>
        <v>Makanan &amp; Minuman</v>
      </c>
      <c r="U179" s="106" t="str" cm="1">
        <f t="array" ref="U179">IF(TRIM($I179)="","(tidak diisi)",IFERROR(INDEX(Kamus!$H$3:$H$75,MATCH(TRUE,ISNUMBER(SEARCH(Kamus!$G$3:$G$75,$I179)),0)),"Pemberian Umum / Tanpa Konteks"))</f>
        <v>Bingkisan Hari Raya / Keagamaan</v>
      </c>
      <c r="V179" s="106" t="str">
        <f t="shared" si="6"/>
        <v>2025</v>
      </c>
      <c r="W179" s="106" t="str" cm="1">
        <f t="array" ref="W179">IF(TRIM($K179)="","(tidak diisi)",IFERROR(INDEX(Kamus!$K$3:$K$118,MATCH(TRUE,ISNUMBER(SEARCH(Kamus!$J$3:$J$118,$K179)),0)),"Individu / Perorangan"))</f>
        <v>Individu / Perorangan</v>
      </c>
      <c r="X179" s="106" t="str">
        <f t="shared" si="7"/>
        <v>03</v>
      </c>
      <c r="Y179" s="106" t="str" cm="1">
        <f t="array" ref="Y179">IFERROR(INDEX(Kamus!$N$3:$N$111,MATCH(TRUE,ISNUMBER(SEARCH(Kamus!$M$3:$M$111,$I179)),0)),"")</f>
        <v>Momen Hari Raya (Ramadan/Idulfitri)</v>
      </c>
      <c r="Z179" s="106" t="str">
        <f>IF(AND(OR($X179="02",$X179="03",$X179="04"),OR($T179="Parsel/Bingkisan (tidak dirinci)",$T179="Makanan &amp; Minuman",$T179="Peralatan Rumah Tangga / Pecah Belah",$T179="Pakaian &amp; Kain")),"Momen Hari Raya (dugaan musiman)",IFERROR(VLOOKUP($W179,Kamus!$P$3:$Q$14,2,FALSE),"Tidak Teridentifikasi"))</f>
        <v>Momen Hari Raya (dugaan musiman)</v>
      </c>
      <c r="AA179" s="106" t="str">
        <f t="shared" si="8"/>
        <v>Momen Hari Raya (Ramadan/Idulfitri)</v>
      </c>
    </row>
    <row r="180" spans="1:27">
      <c r="A180" s="106">
        <v>179</v>
      </c>
      <c r="B180" s="106" t="s">
        <v>2013</v>
      </c>
      <c r="C180" s="107" t="s">
        <v>2014</v>
      </c>
      <c r="D180" s="106" t="s">
        <v>2015</v>
      </c>
      <c r="E180" s="106" t="s">
        <v>2016</v>
      </c>
      <c r="G180" s="106" t="s">
        <v>1074</v>
      </c>
      <c r="L180" s="106" t="s">
        <v>1966</v>
      </c>
      <c r="O180" s="106" t="s">
        <v>274</v>
      </c>
      <c r="P180" s="106" t="s">
        <v>2017</v>
      </c>
      <c r="Q180" s="106" t="s">
        <v>430</v>
      </c>
      <c r="S180" s="106" t="str" cm="1">
        <f t="array" ref="S180">IF(TRIM($D180)="","(tidak diisi)",IFERROR(INDEX(Kamus!$B$3:$B$28,MATCH(TRUE,ISNUMBER(SEARCH(Kamus!$A$3:$A$28,$D180)),0)),"Jabatan Lainnya"))</f>
        <v>Ketua Pengadilan</v>
      </c>
      <c r="T180" s="106" t="str" cm="1">
        <f t="array" ref="T180">IF(TRIM($I180)="","(tidak diisi)",IFERROR(INDEX(Kamus!$E$3:$E$162,MATCH(TRUE,ISNUMBER(SEARCH(Kamus!$D$3:$D$162,$I180)),0)),"Barang Lain / Tidak Terinci"))</f>
        <v>(tidak diisi)</v>
      </c>
      <c r="U180" s="106" t="str" cm="1">
        <f t="array" ref="U180">IF(TRIM($I180)="","(tidak diisi)",IFERROR(INDEX(Kamus!$H$3:$H$75,MATCH(TRUE,ISNUMBER(SEARCH(Kamus!$G$3:$G$75,$I180)),0)),"Pemberian Umum / Tanpa Konteks"))</f>
        <v>(tidak diisi)</v>
      </c>
      <c r="V180" s="106" t="str">
        <f t="shared" si="6"/>
        <v>(tidak diisi)</v>
      </c>
      <c r="W180" s="106" t="str" cm="1">
        <f t="array" ref="W180">IF(TRIM($K180)="","(tidak diisi)",IFERROR(INDEX(Kamus!$K$3:$K$118,MATCH(TRUE,ISNUMBER(SEARCH(Kamus!$J$3:$J$118,$K180)),0)),"Individu / Perorangan"))</f>
        <v>(tidak diisi)</v>
      </c>
      <c r="X180" s="106" t="str">
        <f t="shared" si="7"/>
        <v>(tidak diisi)</v>
      </c>
      <c r="Y180" s="106" t="str" cm="1">
        <f t="array" ref="Y180">IFERROR(INDEX(Kamus!$N$3:$N$111,MATCH(TRUE,ISNUMBER(SEARCH(Kamus!$M$3:$M$111,$I180)),0)),"")</f>
        <v/>
      </c>
      <c r="Z180" s="106" t="str">
        <f>IF(AND(OR($X180="02",$X180="03",$X180="04"),OR($T180="Parsel/Bingkisan (tidak dirinci)",$T180="Makanan &amp; Minuman",$T180="Peralatan Rumah Tangga / Pecah Belah",$T180="Pakaian &amp; Kain")),"Momen Hari Raya (dugaan musiman)",IFERROR(VLOOKUP($W180,Kamus!$P$3:$Q$14,2,FALSE),"Tidak Teridentifikasi"))</f>
        <v>Tidak Teridentifikasi</v>
      </c>
      <c r="AA180" s="106" t="str">
        <f t="shared" si="8"/>
        <v>Tidak Teridentifikasi</v>
      </c>
    </row>
    <row r="181" spans="1:27">
      <c r="A181" s="106">
        <v>180</v>
      </c>
      <c r="B181" s="106" t="s">
        <v>2018</v>
      </c>
      <c r="C181" s="107" t="s">
        <v>2019</v>
      </c>
      <c r="D181" s="106" t="s">
        <v>1319</v>
      </c>
      <c r="E181" s="106" t="s">
        <v>2020</v>
      </c>
      <c r="F181" s="106" t="s">
        <v>2021</v>
      </c>
      <c r="G181" s="106" t="s">
        <v>1006</v>
      </c>
      <c r="H181" s="106" t="s">
        <v>1371</v>
      </c>
      <c r="I181" s="106" t="s">
        <v>2022</v>
      </c>
      <c r="K181" s="106" t="s">
        <v>2023</v>
      </c>
      <c r="L181" s="106" t="s">
        <v>2024</v>
      </c>
      <c r="O181" s="106" t="s">
        <v>274</v>
      </c>
      <c r="P181" s="106" t="s">
        <v>2025</v>
      </c>
      <c r="Q181" s="106" t="s">
        <v>439</v>
      </c>
      <c r="S181" s="106" t="str" cm="1">
        <f t="array" ref="S181">IF(TRIM($D181)="","(tidak diisi)",IFERROR(INDEX(Kamus!$B$3:$B$28,MATCH(TRUE,ISNUMBER(SEARCH(Kamus!$A$3:$A$28,$D181)),0)),"Jabatan Lainnya"))</f>
        <v>Wakil Ketua Pengadilan</v>
      </c>
      <c r="T181" s="106" t="str" cm="1">
        <f t="array" ref="T181">IF(TRIM($I181)="","(tidak diisi)",IFERROR(INDEX(Kamus!$E$3:$E$162,MATCH(TRUE,ISNUMBER(SEARCH(Kamus!$D$3:$D$162,$I181)),0)),"Barang Lain / Tidak Terinci"))</f>
        <v>Makanan &amp; Minuman</v>
      </c>
      <c r="U181" s="106" t="str" cm="1">
        <f t="array" ref="U181">IF(TRIM($I181)="","(tidak diisi)",IFERROR(INDEX(Kamus!$H$3:$H$75,MATCH(TRUE,ISNUMBER(SEARCH(Kamus!$G$3:$G$75,$I181)),0)),"Pemberian Umum / Tanpa Konteks"))</f>
        <v>Parsel/Bingkisan Umum (non-hari raya)</v>
      </c>
      <c r="V181" s="106" t="str">
        <f t="shared" si="6"/>
        <v>2025</v>
      </c>
      <c r="W181" s="106" t="str" cm="1">
        <f t="array" ref="W181">IF(TRIM($K181)="","(tidak diisi)",IFERROR(INDEX(Kamus!$K$3:$K$118,MATCH(TRUE,ISNUMBER(SEARCH(Kamus!$J$3:$J$118,$K181)),0)),"Individu / Perorangan"))</f>
        <v>Individu / Perorangan</v>
      </c>
      <c r="X181" s="106" t="str">
        <f t="shared" si="7"/>
        <v>03</v>
      </c>
      <c r="Y181" s="106" t="str" cm="1">
        <f t="array" ref="Y181">IFERROR(INDEX(Kamus!$N$3:$N$111,MATCH(TRUE,ISNUMBER(SEARCH(Kamus!$M$3:$M$111,$I181)),0)),"")</f>
        <v/>
      </c>
      <c r="Z181" s="106" t="str">
        <f>IF(AND(OR($X181="02",$X181="03",$X181="04"),OR($T181="Parsel/Bingkisan (tidak dirinci)",$T181="Makanan &amp; Minuman",$T181="Peralatan Rumah Tangga / Pecah Belah",$T181="Pakaian &amp; Kain")),"Momen Hari Raya (dugaan musiman)",IFERROR(VLOOKUP($W181,Kamus!$P$3:$Q$14,2,FALSE),"Tidak Teridentifikasi"))</f>
        <v>Momen Hari Raya (dugaan musiman)</v>
      </c>
      <c r="AA181" s="106" t="str">
        <f t="shared" si="8"/>
        <v>Momen Hari Raya (dugaan musiman)</v>
      </c>
    </row>
    <row r="182" spans="1:27">
      <c r="A182" s="106">
        <v>181</v>
      </c>
      <c r="B182" s="106" t="s">
        <v>2026</v>
      </c>
      <c r="C182" s="107" t="s">
        <v>2027</v>
      </c>
      <c r="D182" s="106" t="s">
        <v>2028</v>
      </c>
      <c r="E182" s="106" t="s">
        <v>1005</v>
      </c>
      <c r="F182" s="106" t="s">
        <v>2029</v>
      </c>
      <c r="G182" s="106" t="s">
        <v>1074</v>
      </c>
      <c r="H182" s="106" t="s">
        <v>1918</v>
      </c>
      <c r="I182" s="106" t="s">
        <v>2030</v>
      </c>
      <c r="K182" s="106" t="s">
        <v>2031</v>
      </c>
      <c r="L182" s="106" t="s">
        <v>2032</v>
      </c>
      <c r="O182" s="106" t="s">
        <v>274</v>
      </c>
      <c r="S182" s="106" t="str" cm="1">
        <f t="array" ref="S182">IF(TRIM($D182)="","(tidak diisi)",IFERROR(INDEX(Kamus!$B$3:$B$28,MATCH(TRUE,ISNUMBER(SEARCH(Kamus!$A$3:$A$28,$D182)),0)),"Jabatan Lainnya"))</f>
        <v>Ketua Pengadilan</v>
      </c>
      <c r="T182" s="106" t="str" cm="1">
        <f t="array" ref="T182">IF(TRIM($I182)="","(tidak diisi)",IFERROR(INDEX(Kamus!$E$3:$E$162,MATCH(TRUE,ISNUMBER(SEARCH(Kamus!$D$3:$D$162,$I182)),0)),"Barang Lain / Tidak Terinci"))</f>
        <v>Uang &amp; Setara Uang</v>
      </c>
      <c r="U182" s="106" t="str" cm="1">
        <f t="array" ref="U182">IF(TRIM($I182)="","(tidak diisi)",IFERROR(INDEX(Kamus!$H$3:$H$75,MATCH(TRUE,ISNUMBER(SEARCH(Kamus!$G$3:$G$75,$I182)),0)),"Pemberian Umum / Tanpa Konteks"))</f>
        <v>Pemberian Uang Langsung</v>
      </c>
      <c r="V182" s="106" t="str">
        <f t="shared" si="6"/>
        <v>2025</v>
      </c>
      <c r="W182" s="106" t="str" cm="1">
        <f t="array" ref="W182">IF(TRIM($K182)="","(tidak diisi)",IFERROR(INDEX(Kamus!$K$3:$K$118,MATCH(TRUE,ISNUMBER(SEARCH(Kamus!$J$3:$J$118,$K182)),0)),"Individu / Perorangan"))</f>
        <v>Bank &amp; Lembaga Keuangan</v>
      </c>
      <c r="X182" s="106" t="str">
        <f t="shared" si="7"/>
        <v>03</v>
      </c>
      <c r="Y182" s="106" t="str" cm="1">
        <f t="array" ref="Y182">IFERROR(INDEX(Kamus!$N$3:$N$111,MATCH(TRUE,ISNUMBER(SEARCH(Kamus!$M$3:$M$111,$I182)),0)),"")</f>
        <v/>
      </c>
      <c r="Z182" s="106" t="str">
        <f>IF(AND(OR($X182="02",$X182="03",$X182="04"),OR($T182="Parsel/Bingkisan (tidak dirinci)",$T182="Makanan &amp; Minuman",$T182="Peralatan Rumah Tangga / Pecah Belah",$T182="Pakaian &amp; Kain")),"Momen Hari Raya (dugaan musiman)",IFERROR(VLOOKUP($W182,Kamus!$P$3:$Q$14,2,FALSE),"Tidak Teridentifikasi"))</f>
        <v>Relasi Layanan/Kerja Sama Perbankan (dugaan)</v>
      </c>
      <c r="AA182" s="106" t="str">
        <f t="shared" si="8"/>
        <v>Relasi Layanan/Kerja Sama Perbankan (dugaan)</v>
      </c>
    </row>
    <row r="183" spans="1:27">
      <c r="A183" s="106">
        <v>182</v>
      </c>
      <c r="B183" s="106" t="s">
        <v>2033</v>
      </c>
      <c r="C183" s="107" t="s">
        <v>2034</v>
      </c>
      <c r="D183" s="106" t="s">
        <v>2035</v>
      </c>
      <c r="E183" s="106" t="s">
        <v>1005</v>
      </c>
      <c r="F183" s="106" t="s">
        <v>2036</v>
      </c>
      <c r="G183" s="106" t="s">
        <v>1074</v>
      </c>
      <c r="H183" s="106" t="s">
        <v>2037</v>
      </c>
      <c r="I183" s="106" t="s">
        <v>2038</v>
      </c>
      <c r="K183" s="106" t="s">
        <v>2039</v>
      </c>
      <c r="L183" s="106" t="s">
        <v>2040</v>
      </c>
      <c r="O183" s="106" t="s">
        <v>274</v>
      </c>
      <c r="S183" s="106" t="str" cm="1">
        <f t="array" ref="S183">IF(TRIM($D183)="","(tidak diisi)",IFERROR(INDEX(Kamus!$B$3:$B$28,MATCH(TRUE,ISNUMBER(SEARCH(Kamus!$A$3:$A$28,$D183)),0)),"Jabatan Lainnya"))</f>
        <v>Ketua Pengadilan</v>
      </c>
      <c r="T183" s="106" t="str" cm="1">
        <f t="array" ref="T183">IF(TRIM($I183)="","(tidak diisi)",IFERROR(INDEX(Kamus!$E$3:$E$162,MATCH(TRUE,ISNUMBER(SEARCH(Kamus!$D$3:$D$162,$I183)),0)),"Barang Lain / Tidak Terinci"))</f>
        <v>Peralatan Rumah Tangga / Pecah Belah</v>
      </c>
      <c r="U183" s="106" t="str" cm="1">
        <f t="array" ref="U183">IF(TRIM($I183)="","(tidak diisi)",IFERROR(INDEX(Kamus!$H$3:$H$75,MATCH(TRUE,ISNUMBER(SEARCH(Kamus!$G$3:$G$75,$I183)),0)),"Pemberian Umum / Tanpa Konteks"))</f>
        <v>Pemberian Umum / Tanpa Konteks</v>
      </c>
      <c r="V183" s="106" t="str">
        <f t="shared" si="6"/>
        <v>2025</v>
      </c>
      <c r="W183" s="106" t="str" cm="1">
        <f t="array" ref="W183">IF(TRIM($K183)="","(tidak diisi)",IFERROR(INDEX(Kamus!$K$3:$K$118,MATCH(TRUE,ISNUMBER(SEARCH(Kamus!$J$3:$J$118,$K183)),0)),"Individu / Perorangan"))</f>
        <v>Individu / Perorangan</v>
      </c>
      <c r="X183" s="106" t="str">
        <f t="shared" si="7"/>
        <v>03</v>
      </c>
      <c r="Y183" s="106" t="str" cm="1">
        <f t="array" ref="Y183">IFERROR(INDEX(Kamus!$N$3:$N$111,MATCH(TRUE,ISNUMBER(SEARCH(Kamus!$M$3:$M$111,$I183)),0)),"")</f>
        <v/>
      </c>
      <c r="Z183" s="106" t="str">
        <f>IF(AND(OR($X183="02",$X183="03",$X183="04"),OR($T183="Parsel/Bingkisan (tidak dirinci)",$T183="Makanan &amp; Minuman",$T183="Peralatan Rumah Tangga / Pecah Belah",$T183="Pakaian &amp; Kain")),"Momen Hari Raya (dugaan musiman)",IFERROR(VLOOKUP($W183,Kamus!$P$3:$Q$14,2,FALSE),"Tidak Teridentifikasi"))</f>
        <v>Momen Hari Raya (dugaan musiman)</v>
      </c>
      <c r="AA183" s="106" t="str">
        <f t="shared" si="8"/>
        <v>Momen Hari Raya (dugaan musiman)</v>
      </c>
    </row>
    <row r="184" spans="1:27">
      <c r="A184" s="106">
        <v>183</v>
      </c>
      <c r="B184" s="106" t="s">
        <v>1629</v>
      </c>
      <c r="C184" s="107" t="s">
        <v>1630</v>
      </c>
      <c r="D184" s="106" t="s">
        <v>1631</v>
      </c>
      <c r="E184" s="106" t="s">
        <v>1632</v>
      </c>
      <c r="F184" s="106" t="s">
        <v>2041</v>
      </c>
      <c r="G184" s="106" t="s">
        <v>1074</v>
      </c>
      <c r="H184" s="106" t="s">
        <v>2037</v>
      </c>
      <c r="I184" s="106" t="s">
        <v>2042</v>
      </c>
      <c r="K184" s="106" t="s">
        <v>2043</v>
      </c>
      <c r="L184" s="106" t="s">
        <v>2044</v>
      </c>
      <c r="O184" s="106" t="s">
        <v>274</v>
      </c>
      <c r="P184" s="106" t="s">
        <v>472</v>
      </c>
      <c r="Q184" s="106" t="s">
        <v>402</v>
      </c>
      <c r="S184" s="106" t="str" cm="1">
        <f t="array" ref="S184">IF(TRIM($D184)="","(tidak diisi)",IFERROR(INDEX(Kamus!$B$3:$B$28,MATCH(TRUE,ISNUMBER(SEARCH(Kamus!$A$3:$A$28,$D184)),0)),"Jabatan Lainnya"))</f>
        <v>Ketua Pengadilan</v>
      </c>
      <c r="T184" s="106" t="str" cm="1">
        <f t="array" ref="T184">IF(TRIM($I184)="","(tidak diisi)",IFERROR(INDEX(Kamus!$E$3:$E$162,MATCH(TRUE,ISNUMBER(SEARCH(Kamus!$D$3:$D$162,$I184)),0)),"Barang Lain / Tidak Terinci"))</f>
        <v>Makanan &amp; Minuman</v>
      </c>
      <c r="U184" s="106" t="str" cm="1">
        <f t="array" ref="U184">IF(TRIM($I184)="","(tidak diisi)",IFERROR(INDEX(Kamus!$H$3:$H$75,MATCH(TRUE,ISNUMBER(SEARCH(Kamus!$G$3:$G$75,$I184)),0)),"Pemberian Umum / Tanpa Konteks"))</f>
        <v>Bingkisan Hari Raya / Keagamaan</v>
      </c>
      <c r="V184" s="106" t="str">
        <f t="shared" si="6"/>
        <v>2025</v>
      </c>
      <c r="W184" s="106" t="str" cm="1">
        <f t="array" ref="W184">IF(TRIM($K184)="","(tidak diisi)",IFERROR(INDEX(Kamus!$K$3:$K$118,MATCH(TRUE,ISNUMBER(SEARCH(Kamus!$J$3:$J$118,$K184)),0)),"Individu / Perorangan"))</f>
        <v>Individu / Perorangan</v>
      </c>
      <c r="X184" s="106" t="str">
        <f t="shared" si="7"/>
        <v>03</v>
      </c>
      <c r="Y184" s="106" t="str" cm="1">
        <f t="array" ref="Y184">IFERROR(INDEX(Kamus!$N$3:$N$111,MATCH(TRUE,ISNUMBER(SEARCH(Kamus!$M$3:$M$111,$I184)),0)),"")</f>
        <v>Momen Hari Raya (Ramadan/Idulfitri)</v>
      </c>
      <c r="Z184" s="106" t="str">
        <f>IF(AND(OR($X184="02",$X184="03",$X184="04"),OR($T184="Parsel/Bingkisan (tidak dirinci)",$T184="Makanan &amp; Minuman",$T184="Peralatan Rumah Tangga / Pecah Belah",$T184="Pakaian &amp; Kain")),"Momen Hari Raya (dugaan musiman)",IFERROR(VLOOKUP($W184,Kamus!$P$3:$Q$14,2,FALSE),"Tidak Teridentifikasi"))</f>
        <v>Momen Hari Raya (dugaan musiman)</v>
      </c>
      <c r="AA184" s="106" t="str">
        <f t="shared" si="8"/>
        <v>Momen Hari Raya (Ramadan/Idulfitri)</v>
      </c>
    </row>
    <row r="185" spans="1:27">
      <c r="A185" s="106">
        <v>184</v>
      </c>
      <c r="B185" s="106" t="s">
        <v>1629</v>
      </c>
      <c r="C185" s="107" t="s">
        <v>1630</v>
      </c>
      <c r="D185" s="106" t="s">
        <v>1631</v>
      </c>
      <c r="E185" s="106" t="s">
        <v>1632</v>
      </c>
      <c r="F185" s="106" t="s">
        <v>2045</v>
      </c>
      <c r="G185" s="106" t="s">
        <v>1074</v>
      </c>
      <c r="H185" s="106" t="s">
        <v>2037</v>
      </c>
      <c r="I185" s="106" t="s">
        <v>2046</v>
      </c>
      <c r="K185" s="106" t="s">
        <v>2047</v>
      </c>
      <c r="L185" s="106" t="s">
        <v>2048</v>
      </c>
      <c r="O185" s="106" t="s">
        <v>274</v>
      </c>
      <c r="P185" s="106" t="s">
        <v>472</v>
      </c>
      <c r="Q185" s="106" t="s">
        <v>402</v>
      </c>
      <c r="S185" s="106" t="str" cm="1">
        <f t="array" ref="S185">IF(TRIM($D185)="","(tidak diisi)",IFERROR(INDEX(Kamus!$B$3:$B$28,MATCH(TRUE,ISNUMBER(SEARCH(Kamus!$A$3:$A$28,$D185)),0)),"Jabatan Lainnya"))</f>
        <v>Ketua Pengadilan</v>
      </c>
      <c r="T185" s="106" t="str" cm="1">
        <f t="array" ref="T185">IF(TRIM($I185)="","(tidak diisi)",IFERROR(INDEX(Kamus!$E$3:$E$162,MATCH(TRUE,ISNUMBER(SEARCH(Kamus!$D$3:$D$162,$I185)),0)),"Barang Lain / Tidak Terinci"))</f>
        <v>Peralatan Rumah Tangga / Pecah Belah</v>
      </c>
      <c r="U185" s="106" t="str" cm="1">
        <f t="array" ref="U185">IF(TRIM($I185)="","(tidak diisi)",IFERROR(INDEX(Kamus!$H$3:$H$75,MATCH(TRUE,ISNUMBER(SEARCH(Kamus!$G$3:$G$75,$I185)),0)),"Pemberian Umum / Tanpa Konteks"))</f>
        <v>Parsel/Bingkisan Umum (non-hari raya)</v>
      </c>
      <c r="V185" s="106" t="str">
        <f t="shared" si="6"/>
        <v>2025</v>
      </c>
      <c r="W185" s="106" t="str" cm="1">
        <f t="array" ref="W185">IF(TRIM($K185)="","(tidak diisi)",IFERROR(INDEX(Kamus!$K$3:$K$118,MATCH(TRUE,ISNUMBER(SEARCH(Kamus!$J$3:$J$118,$K185)),0)),"Individu / Perorangan"))</f>
        <v>Individu / Perorangan</v>
      </c>
      <c r="X185" s="106" t="str">
        <f t="shared" si="7"/>
        <v>03</v>
      </c>
      <c r="Y185" s="106" t="str" cm="1">
        <f t="array" ref="Y185">IFERROR(INDEX(Kamus!$N$3:$N$111,MATCH(TRUE,ISNUMBER(SEARCH(Kamus!$M$3:$M$111,$I185)),0)),"")</f>
        <v/>
      </c>
      <c r="Z185" s="106" t="str">
        <f>IF(AND(OR($X185="02",$X185="03",$X185="04"),OR($T185="Parsel/Bingkisan (tidak dirinci)",$T185="Makanan &amp; Minuman",$T185="Peralatan Rumah Tangga / Pecah Belah",$T185="Pakaian &amp; Kain")),"Momen Hari Raya (dugaan musiman)",IFERROR(VLOOKUP($W185,Kamus!$P$3:$Q$14,2,FALSE),"Tidak Teridentifikasi"))</f>
        <v>Momen Hari Raya (dugaan musiman)</v>
      </c>
      <c r="AA185" s="106" t="str">
        <f t="shared" si="8"/>
        <v>Momen Hari Raya (dugaan musiman)</v>
      </c>
    </row>
    <row r="186" spans="1:27">
      <c r="A186" s="106">
        <v>185</v>
      </c>
      <c r="B186" s="106" t="s">
        <v>2049</v>
      </c>
      <c r="C186" s="107" t="s">
        <v>2050</v>
      </c>
      <c r="D186" s="106" t="s">
        <v>2051</v>
      </c>
      <c r="E186" s="106" t="s">
        <v>2052</v>
      </c>
      <c r="F186" s="106" t="s">
        <v>2053</v>
      </c>
      <c r="G186" s="106" t="s">
        <v>1074</v>
      </c>
      <c r="H186" s="106" t="s">
        <v>2054</v>
      </c>
      <c r="I186" s="106" t="s">
        <v>2055</v>
      </c>
      <c r="K186" s="106" t="s">
        <v>2056</v>
      </c>
      <c r="L186" s="106" t="s">
        <v>2057</v>
      </c>
      <c r="O186" s="106" t="s">
        <v>274</v>
      </c>
      <c r="P186" s="106" t="s">
        <v>2058</v>
      </c>
      <c r="Q186" s="106" t="s">
        <v>300</v>
      </c>
      <c r="S186" s="106" t="str" cm="1">
        <f t="array" ref="S186">IF(TRIM($D186)="","(tidak diisi)",IFERROR(INDEX(Kamus!$B$3:$B$28,MATCH(TRUE,ISNUMBER(SEARCH(Kamus!$A$3:$A$28,$D186)),0)),"Jabatan Lainnya"))</f>
        <v>Hakim</v>
      </c>
      <c r="T186" s="106" t="str" cm="1">
        <f t="array" ref="T186">IF(TRIM($I186)="","(tidak diisi)",IFERROR(INDEX(Kamus!$E$3:$E$162,MATCH(TRUE,ISNUMBER(SEARCH(Kamus!$D$3:$D$162,$I186)),0)),"Barang Lain / Tidak Terinci"))</f>
        <v>Makanan &amp; Minuman</v>
      </c>
      <c r="U186" s="106" t="str" cm="1">
        <f t="array" ref="U186">IF(TRIM($I186)="","(tidak diisi)",IFERROR(INDEX(Kamus!$H$3:$H$75,MATCH(TRUE,ISNUMBER(SEARCH(Kamus!$G$3:$G$75,$I186)),0)),"Pemberian Umum / Tanpa Konteks"))</f>
        <v>Parsel/Bingkisan Umum (non-hari raya)</v>
      </c>
      <c r="V186" s="106" t="str">
        <f t="shared" si="6"/>
        <v>2025</v>
      </c>
      <c r="W186" s="106" t="str" cm="1">
        <f t="array" ref="W186">IF(TRIM($K186)="","(tidak diisi)",IFERROR(INDEX(Kamus!$K$3:$K$118,MATCH(TRUE,ISNUMBER(SEARCH(Kamus!$J$3:$J$118,$K186)),0)),"Individu / Perorangan"))</f>
        <v>Individu / Perorangan</v>
      </c>
      <c r="X186" s="106" t="str">
        <f t="shared" si="7"/>
        <v>03</v>
      </c>
      <c r="Y186" s="106" t="str" cm="1">
        <f t="array" ref="Y186">IFERROR(INDEX(Kamus!$N$3:$N$111,MATCH(TRUE,ISNUMBER(SEARCH(Kamus!$M$3:$M$111,$I186)),0)),"")</f>
        <v/>
      </c>
      <c r="Z186" s="106" t="str">
        <f>IF(AND(OR($X186="02",$X186="03",$X186="04"),OR($T186="Parsel/Bingkisan (tidak dirinci)",$T186="Makanan &amp; Minuman",$T186="Peralatan Rumah Tangga / Pecah Belah",$T186="Pakaian &amp; Kain")),"Momen Hari Raya (dugaan musiman)",IFERROR(VLOOKUP($W186,Kamus!$P$3:$Q$14,2,FALSE),"Tidak Teridentifikasi"))</f>
        <v>Momen Hari Raya (dugaan musiman)</v>
      </c>
      <c r="AA186" s="106" t="str">
        <f t="shared" si="8"/>
        <v>Momen Hari Raya (dugaan musiman)</v>
      </c>
    </row>
    <row r="187" spans="1:27">
      <c r="A187" s="106">
        <v>186</v>
      </c>
      <c r="B187" s="106" t="s">
        <v>1543</v>
      </c>
      <c r="C187" s="107" t="s">
        <v>1544</v>
      </c>
      <c r="D187" s="106" t="s">
        <v>1033</v>
      </c>
      <c r="E187" s="106" t="s">
        <v>1545</v>
      </c>
      <c r="F187" s="106" t="s">
        <v>2059</v>
      </c>
      <c r="G187" s="106" t="s">
        <v>1006</v>
      </c>
      <c r="H187" s="106" t="s">
        <v>1918</v>
      </c>
      <c r="I187" s="106" t="s">
        <v>1251</v>
      </c>
      <c r="J187" s="106">
        <v>200000</v>
      </c>
      <c r="K187" s="106" t="s">
        <v>2060</v>
      </c>
      <c r="L187" s="106" t="s">
        <v>2061</v>
      </c>
      <c r="M187" s="106" t="s">
        <v>1039</v>
      </c>
      <c r="O187" s="106" t="s">
        <v>274</v>
      </c>
      <c r="P187" s="106" t="s">
        <v>1552</v>
      </c>
      <c r="Q187" s="106" t="s">
        <v>423</v>
      </c>
      <c r="S187" s="106" t="str" cm="1">
        <f t="array" ref="S187">IF(TRIM($D187)="","(tidak diisi)",IFERROR(INDEX(Kamus!$B$3:$B$28,MATCH(TRUE,ISNUMBER(SEARCH(Kamus!$A$3:$A$28,$D187)),0)),"Jabatan Lainnya"))</f>
        <v>Hakim</v>
      </c>
      <c r="T187" s="106" t="str" cm="1">
        <f t="array" ref="T187">IF(TRIM($I187)="","(tidak diisi)",IFERROR(INDEX(Kamus!$E$3:$E$162,MATCH(TRUE,ISNUMBER(SEARCH(Kamus!$D$3:$D$162,$I187)),0)),"Barang Lain / Tidak Terinci"))</f>
        <v>Peralatan Rumah Tangga / Pecah Belah</v>
      </c>
      <c r="U187" s="106" t="str" cm="1">
        <f t="array" ref="U187">IF(TRIM($I187)="","(tidak diisi)",IFERROR(INDEX(Kamus!$H$3:$H$75,MATCH(TRUE,ISNUMBER(SEARCH(Kamus!$G$3:$G$75,$I187)),0)),"Pemberian Umum / Tanpa Konteks"))</f>
        <v>Parsel/Bingkisan Umum (non-hari raya)</v>
      </c>
      <c r="V187" s="106" t="str">
        <f t="shared" si="6"/>
        <v>2025</v>
      </c>
      <c r="W187" s="106" t="str" cm="1">
        <f t="array" ref="W187">IF(TRIM($K187)="","(tidak diisi)",IFERROR(INDEX(Kamus!$K$3:$K$118,MATCH(TRUE,ISNUMBER(SEARCH(Kamus!$J$3:$J$118,$K187)),0)),"Individu / Perorangan"))</f>
        <v>Individu / Perorangan</v>
      </c>
      <c r="X187" s="106" t="str">
        <f t="shared" si="7"/>
        <v>03</v>
      </c>
      <c r="Y187" s="106" t="str" cm="1">
        <f t="array" ref="Y187">IFERROR(INDEX(Kamus!$N$3:$N$111,MATCH(TRUE,ISNUMBER(SEARCH(Kamus!$M$3:$M$111,$I187)),0)),"")</f>
        <v/>
      </c>
      <c r="Z187" s="106" t="str">
        <f>IF(AND(OR($X187="02",$X187="03",$X187="04"),OR($T187="Parsel/Bingkisan (tidak dirinci)",$T187="Makanan &amp; Minuman",$T187="Peralatan Rumah Tangga / Pecah Belah",$T187="Pakaian &amp; Kain")),"Momen Hari Raya (dugaan musiman)",IFERROR(VLOOKUP($W187,Kamus!$P$3:$Q$14,2,FALSE),"Tidak Teridentifikasi"))</f>
        <v>Momen Hari Raya (dugaan musiman)</v>
      </c>
      <c r="AA187" s="106" t="str">
        <f t="shared" si="8"/>
        <v>Momen Hari Raya (dugaan musiman)</v>
      </c>
    </row>
    <row r="188" spans="1:27">
      <c r="A188" s="106">
        <v>187</v>
      </c>
      <c r="B188" s="106" t="s">
        <v>1543</v>
      </c>
      <c r="C188" s="107" t="s">
        <v>1544</v>
      </c>
      <c r="D188" s="106" t="s">
        <v>1033</v>
      </c>
      <c r="E188" s="106" t="s">
        <v>1545</v>
      </c>
      <c r="F188" s="106" t="s">
        <v>2062</v>
      </c>
      <c r="G188" s="106" t="s">
        <v>1006</v>
      </c>
      <c r="H188" s="106" t="s">
        <v>1991</v>
      </c>
      <c r="I188" s="106" t="s">
        <v>2063</v>
      </c>
      <c r="J188" s="106">
        <v>600000</v>
      </c>
      <c r="K188" s="106" t="s">
        <v>2064</v>
      </c>
      <c r="L188" s="106" t="s">
        <v>2065</v>
      </c>
      <c r="M188" s="106" t="s">
        <v>1360</v>
      </c>
      <c r="O188" s="106" t="s">
        <v>274</v>
      </c>
      <c r="P188" s="106" t="s">
        <v>1552</v>
      </c>
      <c r="Q188" s="106" t="s">
        <v>423</v>
      </c>
      <c r="S188" s="106" t="str" cm="1">
        <f t="array" ref="S188">IF(TRIM($D188)="","(tidak diisi)",IFERROR(INDEX(Kamus!$B$3:$B$28,MATCH(TRUE,ISNUMBER(SEARCH(Kamus!$A$3:$A$28,$D188)),0)),"Jabatan Lainnya"))</f>
        <v>Hakim</v>
      </c>
      <c r="T188" s="106" t="str" cm="1">
        <f t="array" ref="T188">IF(TRIM($I188)="","(tidak diisi)",IFERROR(INDEX(Kamus!$E$3:$E$162,MATCH(TRUE,ISNUMBER(SEARCH(Kamus!$D$3:$D$162,$I188)),0)),"Barang Lain / Tidak Terinci"))</f>
        <v>Peralatan Rumah Tangga / Pecah Belah</v>
      </c>
      <c r="U188" s="106" t="str" cm="1">
        <f t="array" ref="U188">IF(TRIM($I188)="","(tidak diisi)",IFERROR(INDEX(Kamus!$H$3:$H$75,MATCH(TRUE,ISNUMBER(SEARCH(Kamus!$G$3:$G$75,$I188)),0)),"Pemberian Umum / Tanpa Konteks"))</f>
        <v>Pemberian Umum / Tanpa Konteks</v>
      </c>
      <c r="V188" s="106" t="str">
        <f t="shared" si="6"/>
        <v>2025</v>
      </c>
      <c r="W188" s="106" t="str" cm="1">
        <f t="array" ref="W188">IF(TRIM($K188)="","(tidak diisi)",IFERROR(INDEX(Kamus!$K$3:$K$118,MATCH(TRUE,ISNUMBER(SEARCH(Kamus!$J$3:$J$118,$K188)),0)),"Individu / Perorangan"))</f>
        <v>Individu / Perorangan</v>
      </c>
      <c r="X188" s="106" t="str">
        <f t="shared" si="7"/>
        <v>03</v>
      </c>
      <c r="Y188" s="106" t="str" cm="1">
        <f t="array" ref="Y188">IFERROR(INDEX(Kamus!$N$3:$N$111,MATCH(TRUE,ISNUMBER(SEARCH(Kamus!$M$3:$M$111,$I188)),0)),"")</f>
        <v/>
      </c>
      <c r="Z188" s="106" t="str">
        <f>IF(AND(OR($X188="02",$X188="03",$X188="04"),OR($T188="Parsel/Bingkisan (tidak dirinci)",$T188="Makanan &amp; Minuman",$T188="Peralatan Rumah Tangga / Pecah Belah",$T188="Pakaian &amp; Kain")),"Momen Hari Raya (dugaan musiman)",IFERROR(VLOOKUP($W188,Kamus!$P$3:$Q$14,2,FALSE),"Tidak Teridentifikasi"))</f>
        <v>Momen Hari Raya (dugaan musiman)</v>
      </c>
      <c r="AA188" s="106" t="str">
        <f t="shared" si="8"/>
        <v>Momen Hari Raya (dugaan musiman)</v>
      </c>
    </row>
    <row r="189" spans="1:27">
      <c r="A189" s="106">
        <v>188</v>
      </c>
      <c r="B189" s="106" t="s">
        <v>1841</v>
      </c>
      <c r="C189" s="107" t="s">
        <v>1842</v>
      </c>
      <c r="D189" s="106" t="s">
        <v>1843</v>
      </c>
      <c r="E189" s="106" t="s">
        <v>1844</v>
      </c>
      <c r="F189" s="106" t="s">
        <v>2066</v>
      </c>
      <c r="G189" s="106" t="s">
        <v>1006</v>
      </c>
      <c r="H189" s="106" t="s">
        <v>2037</v>
      </c>
      <c r="I189" s="106" t="s">
        <v>1756</v>
      </c>
      <c r="K189" s="106" t="s">
        <v>2067</v>
      </c>
      <c r="L189" s="106" t="s">
        <v>2068</v>
      </c>
      <c r="O189" s="106" t="s">
        <v>274</v>
      </c>
      <c r="P189" s="106" t="s">
        <v>1849</v>
      </c>
      <c r="Q189" s="106" t="s">
        <v>409</v>
      </c>
      <c r="S189" s="106" t="str" cm="1">
        <f t="array" ref="S189">IF(TRIM($D189)="","(tidak diisi)",IFERROR(INDEX(Kamus!$B$3:$B$28,MATCH(TRUE,ISNUMBER(SEARCH(Kamus!$A$3:$A$28,$D189)),0)),"Jabatan Lainnya"))</f>
        <v>Ketua Pengadilan</v>
      </c>
      <c r="T189" s="106" t="str" cm="1">
        <f t="array" ref="T189">IF(TRIM($I189)="","(tidak diisi)",IFERROR(INDEX(Kamus!$E$3:$E$162,MATCH(TRUE,ISNUMBER(SEARCH(Kamus!$D$3:$D$162,$I189)),0)),"Barang Lain / Tidak Terinci"))</f>
        <v>Makanan &amp; Minuman</v>
      </c>
      <c r="U189" s="106" t="str" cm="1">
        <f t="array" ref="U189">IF(TRIM($I189)="","(tidak diisi)",IFERROR(INDEX(Kamus!$H$3:$H$75,MATCH(TRUE,ISNUMBER(SEARCH(Kamus!$G$3:$G$75,$I189)),0)),"Pemberian Umum / Tanpa Konteks"))</f>
        <v>Parsel/Bingkisan Umum (non-hari raya)</v>
      </c>
      <c r="V189" s="106" t="str">
        <f t="shared" si="6"/>
        <v>2025</v>
      </c>
      <c r="W189" s="106" t="str" cm="1">
        <f t="array" ref="W189">IF(TRIM($K189)="","(tidak diisi)",IFERROR(INDEX(Kamus!$K$3:$K$118,MATCH(TRUE,ISNUMBER(SEARCH(Kamus!$J$3:$J$118,$K189)),0)),"Individu / Perorangan"))</f>
        <v>Individu / Perorangan</v>
      </c>
      <c r="X189" s="106" t="str">
        <f t="shared" si="7"/>
        <v>03</v>
      </c>
      <c r="Y189" s="106" t="str" cm="1">
        <f t="array" ref="Y189">IFERROR(INDEX(Kamus!$N$3:$N$111,MATCH(TRUE,ISNUMBER(SEARCH(Kamus!$M$3:$M$111,$I189)),0)),"")</f>
        <v/>
      </c>
      <c r="Z189" s="106" t="str">
        <f>IF(AND(OR($X189="02",$X189="03",$X189="04"),OR($T189="Parsel/Bingkisan (tidak dirinci)",$T189="Makanan &amp; Minuman",$T189="Peralatan Rumah Tangga / Pecah Belah",$T189="Pakaian &amp; Kain")),"Momen Hari Raya (dugaan musiman)",IFERROR(VLOOKUP($W189,Kamus!$P$3:$Q$14,2,FALSE),"Tidak Teridentifikasi"))</f>
        <v>Momen Hari Raya (dugaan musiman)</v>
      </c>
      <c r="AA189" s="106" t="str">
        <f t="shared" si="8"/>
        <v>Momen Hari Raya (dugaan musiman)</v>
      </c>
    </row>
    <row r="190" spans="1:27">
      <c r="A190" s="106">
        <v>189</v>
      </c>
      <c r="B190" s="106" t="s">
        <v>1105</v>
      </c>
      <c r="C190" s="107" t="s">
        <v>1106</v>
      </c>
      <c r="D190" s="106" t="s">
        <v>1042</v>
      </c>
      <c r="E190" s="106" t="s">
        <v>1014</v>
      </c>
      <c r="F190" s="106" t="s">
        <v>2069</v>
      </c>
      <c r="G190" s="106" t="s">
        <v>1006</v>
      </c>
      <c r="H190" s="106" t="s">
        <v>2037</v>
      </c>
      <c r="I190" s="106" t="s">
        <v>1255</v>
      </c>
      <c r="J190" s="106">
        <v>300000</v>
      </c>
      <c r="K190" s="106" t="s">
        <v>2070</v>
      </c>
      <c r="L190" s="106" t="s">
        <v>2071</v>
      </c>
      <c r="M190" s="106" t="s">
        <v>1360</v>
      </c>
      <c r="O190" s="106" t="s">
        <v>274</v>
      </c>
      <c r="P190" s="106" t="s">
        <v>1021</v>
      </c>
      <c r="Q190" s="106" t="s">
        <v>428</v>
      </c>
      <c r="S190" s="106" t="str" cm="1">
        <f t="array" ref="S190">IF(TRIM($D190)="","(tidak diisi)",IFERROR(INDEX(Kamus!$B$3:$B$28,MATCH(TRUE,ISNUMBER(SEARCH(Kamus!$A$3:$A$28,$D190)),0)),"Jabatan Lainnya"))</f>
        <v>Ketua Pengadilan</v>
      </c>
      <c r="T190" s="106" t="str" cm="1">
        <f t="array" ref="T190">IF(TRIM($I190)="","(tidak diisi)",IFERROR(INDEX(Kamus!$E$3:$E$162,MATCH(TRUE,ISNUMBER(SEARCH(Kamus!$D$3:$D$162,$I190)),0)),"Barang Lain / Tidak Terinci"))</f>
        <v>Makanan &amp; Minuman</v>
      </c>
      <c r="U190" s="106" t="str" cm="1">
        <f t="array" ref="U190">IF(TRIM($I190)="","(tidak diisi)",IFERROR(INDEX(Kamus!$H$3:$H$75,MATCH(TRUE,ISNUMBER(SEARCH(Kamus!$G$3:$G$75,$I190)),0)),"Pemberian Umum / Tanpa Konteks"))</f>
        <v>Parsel/Bingkisan Umum (non-hari raya)</v>
      </c>
      <c r="V190" s="106" t="str">
        <f t="shared" si="6"/>
        <v>2025</v>
      </c>
      <c r="W190" s="106" t="str" cm="1">
        <f t="array" ref="W190">IF(TRIM($K190)="","(tidak diisi)",IFERROR(INDEX(Kamus!$K$3:$K$118,MATCH(TRUE,ISNUMBER(SEARCH(Kamus!$J$3:$J$118,$K190)),0)),"Individu / Perorangan"))</f>
        <v>Individu / Perorangan</v>
      </c>
      <c r="X190" s="106" t="str">
        <f t="shared" si="7"/>
        <v>03</v>
      </c>
      <c r="Y190" s="106" t="str" cm="1">
        <f t="array" ref="Y190">IFERROR(INDEX(Kamus!$N$3:$N$111,MATCH(TRUE,ISNUMBER(SEARCH(Kamus!$M$3:$M$111,$I190)),0)),"")</f>
        <v/>
      </c>
      <c r="Z190" s="106" t="str">
        <f>IF(AND(OR($X190="02",$X190="03",$X190="04"),OR($T190="Parsel/Bingkisan (tidak dirinci)",$T190="Makanan &amp; Minuman",$T190="Peralatan Rumah Tangga / Pecah Belah",$T190="Pakaian &amp; Kain")),"Momen Hari Raya (dugaan musiman)",IFERROR(VLOOKUP($W190,Kamus!$P$3:$Q$14,2,FALSE),"Tidak Teridentifikasi"))</f>
        <v>Momen Hari Raya (dugaan musiman)</v>
      </c>
      <c r="AA190" s="106" t="str">
        <f t="shared" si="8"/>
        <v>Momen Hari Raya (dugaan musiman)</v>
      </c>
    </row>
    <row r="191" spans="1:27">
      <c r="A191" s="106">
        <v>190</v>
      </c>
      <c r="B191" s="106" t="s">
        <v>2072</v>
      </c>
      <c r="C191" s="107" t="s">
        <v>2073</v>
      </c>
      <c r="D191" s="106" t="s">
        <v>1319</v>
      </c>
      <c r="E191" s="106" t="s">
        <v>2074</v>
      </c>
      <c r="F191" s="106" t="s">
        <v>2075</v>
      </c>
      <c r="G191" s="106" t="s">
        <v>1074</v>
      </c>
      <c r="H191" s="106" t="s">
        <v>2037</v>
      </c>
      <c r="I191" s="106" t="s">
        <v>2076</v>
      </c>
      <c r="K191" s="106" t="s">
        <v>2077</v>
      </c>
      <c r="L191" s="106" t="s">
        <v>2078</v>
      </c>
      <c r="O191" s="106" t="s">
        <v>274</v>
      </c>
      <c r="P191" s="106" t="s">
        <v>2079</v>
      </c>
      <c r="Q191" s="106" t="s">
        <v>407</v>
      </c>
      <c r="S191" s="106" t="str" cm="1">
        <f t="array" ref="S191">IF(TRIM($D191)="","(tidak diisi)",IFERROR(INDEX(Kamus!$B$3:$B$28,MATCH(TRUE,ISNUMBER(SEARCH(Kamus!$A$3:$A$28,$D191)),0)),"Jabatan Lainnya"))</f>
        <v>Wakil Ketua Pengadilan</v>
      </c>
      <c r="T191" s="106" t="str" cm="1">
        <f t="array" ref="T191">IF(TRIM($I191)="","(tidak diisi)",IFERROR(INDEX(Kamus!$E$3:$E$162,MATCH(TRUE,ISNUMBER(SEARCH(Kamus!$D$3:$D$162,$I191)),0)),"Barang Lain / Tidak Terinci"))</f>
        <v>Peralatan Rumah Tangga / Pecah Belah</v>
      </c>
      <c r="U191" s="106" t="str" cm="1">
        <f t="array" ref="U191">IF(TRIM($I191)="","(tidak diisi)",IFERROR(INDEX(Kamus!$H$3:$H$75,MATCH(TRUE,ISNUMBER(SEARCH(Kamus!$G$3:$G$75,$I191)),0)),"Pemberian Umum / Tanpa Konteks"))</f>
        <v>Parsel/Bingkisan Umum (non-hari raya)</v>
      </c>
      <c r="V191" s="106" t="str">
        <f t="shared" si="6"/>
        <v>2025</v>
      </c>
      <c r="W191" s="106" t="str" cm="1">
        <f t="array" ref="W191">IF(TRIM($K191)="","(tidak diisi)",IFERROR(INDEX(Kamus!$K$3:$K$118,MATCH(TRUE,ISNUMBER(SEARCH(Kamus!$J$3:$J$118,$K191)),0)),"Individu / Perorangan"))</f>
        <v>Individu / Perorangan</v>
      </c>
      <c r="X191" s="106" t="str">
        <f t="shared" si="7"/>
        <v>03</v>
      </c>
      <c r="Y191" s="106" t="str" cm="1">
        <f t="array" ref="Y191">IFERROR(INDEX(Kamus!$N$3:$N$111,MATCH(TRUE,ISNUMBER(SEARCH(Kamus!$M$3:$M$111,$I191)),0)),"")</f>
        <v/>
      </c>
      <c r="Z191" s="106" t="str">
        <f>IF(AND(OR($X191="02",$X191="03",$X191="04"),OR($T191="Parsel/Bingkisan (tidak dirinci)",$T191="Makanan &amp; Minuman",$T191="Peralatan Rumah Tangga / Pecah Belah",$T191="Pakaian &amp; Kain")),"Momen Hari Raya (dugaan musiman)",IFERROR(VLOOKUP($W191,Kamus!$P$3:$Q$14,2,FALSE),"Tidak Teridentifikasi"))</f>
        <v>Momen Hari Raya (dugaan musiman)</v>
      </c>
      <c r="AA191" s="106" t="str">
        <f t="shared" si="8"/>
        <v>Momen Hari Raya (dugaan musiman)</v>
      </c>
    </row>
    <row r="192" spans="1:27">
      <c r="A192" s="106">
        <v>191</v>
      </c>
      <c r="B192" s="106" t="s">
        <v>2080</v>
      </c>
      <c r="C192" s="107" t="s">
        <v>2081</v>
      </c>
      <c r="D192" s="106" t="s">
        <v>1144</v>
      </c>
      <c r="E192" s="106" t="s">
        <v>2082</v>
      </c>
      <c r="F192" s="106" t="s">
        <v>2083</v>
      </c>
      <c r="G192" s="106" t="s">
        <v>1006</v>
      </c>
      <c r="H192" s="106" t="s">
        <v>2084</v>
      </c>
      <c r="I192" s="106" t="s">
        <v>2085</v>
      </c>
      <c r="J192" s="106">
        <v>350000</v>
      </c>
      <c r="K192" s="106" t="s">
        <v>2086</v>
      </c>
      <c r="L192" s="106" t="s">
        <v>2087</v>
      </c>
      <c r="M192" s="106" t="s">
        <v>1039</v>
      </c>
      <c r="O192" s="106" t="s">
        <v>274</v>
      </c>
      <c r="P192" s="106" t="s">
        <v>2088</v>
      </c>
      <c r="Q192" s="106" t="s">
        <v>337</v>
      </c>
      <c r="S192" s="106" t="str" cm="1">
        <f t="array" ref="S192">IF(TRIM($D192)="","(tidak diisi)",IFERROR(INDEX(Kamus!$B$3:$B$28,MATCH(TRUE,ISNUMBER(SEARCH(Kamus!$A$3:$A$28,$D192)),0)),"Jabatan Lainnya"))</f>
        <v>Ketua Pengadilan</v>
      </c>
      <c r="T192" s="106" t="str" cm="1">
        <f t="array" ref="T192">IF(TRIM($I192)="","(tidak diisi)",IFERROR(INDEX(Kamus!$E$3:$E$162,MATCH(TRUE,ISNUMBER(SEARCH(Kamus!$D$3:$D$162,$I192)),0)),"Barang Lain / Tidak Terinci"))</f>
        <v>Elektronik &amp; Gadget</v>
      </c>
      <c r="U192" s="106" t="str" cm="1">
        <f t="array" ref="U192">IF(TRIM($I192)="","(tidak diisi)",IFERROR(INDEX(Kamus!$H$3:$H$75,MATCH(TRUE,ISNUMBER(SEARCH(Kamus!$G$3:$G$75,$I192)),0)),"Pemberian Umum / Tanpa Konteks"))</f>
        <v>Suvenir / Merchandise Kegiatan &amp; Kunjungan</v>
      </c>
      <c r="V192" s="106" t="str">
        <f t="shared" si="6"/>
        <v>2024</v>
      </c>
      <c r="W192" s="106" t="str" cm="1">
        <f t="array" ref="W192">IF(TRIM($K192)="","(tidak diisi)",IFERROR(INDEX(Kamus!$K$3:$K$118,MATCH(TRUE,ISNUMBER(SEARCH(Kamus!$J$3:$J$118,$K192)),0)),"Individu / Perorangan"))</f>
        <v>Organisasi / Panitia Kegiatan</v>
      </c>
      <c r="X192" s="106" t="str">
        <f t="shared" si="7"/>
        <v>12</v>
      </c>
      <c r="Y192" s="106" t="str" cm="1">
        <f t="array" ref="Y192">IFERROR(INDEX(Kamus!$N$3:$N$111,MATCH(TRUE,ISNUMBER(SEARCH(Kamus!$M$3:$M$111,$I192)),0)),"")</f>
        <v/>
      </c>
      <c r="Z192" s="106" t="str">
        <f>IF(AND(OR($X192="02",$X192="03",$X192="04"),OR($T192="Parsel/Bingkisan (tidak dirinci)",$T192="Makanan &amp; Minuman",$T192="Peralatan Rumah Tangga / Pecah Belah",$T192="Pakaian &amp; Kain")),"Momen Hari Raya (dugaan musiman)",IFERROR(VLOOKUP($W192,Kamus!$P$3:$Q$14,2,FALSE),"Tidak Teridentifikasi"))</f>
        <v>Kegiatan Organisasi/Panitia (dugaan)</v>
      </c>
      <c r="AA192" s="106" t="str">
        <f t="shared" si="8"/>
        <v>Kegiatan Organisasi/Panitia (dugaan)</v>
      </c>
    </row>
    <row r="193" spans="1:27">
      <c r="A193" s="106">
        <v>192</v>
      </c>
      <c r="B193" s="106" t="s">
        <v>2080</v>
      </c>
      <c r="C193" s="107" t="s">
        <v>2081</v>
      </c>
      <c r="D193" s="106" t="s">
        <v>1144</v>
      </c>
      <c r="E193" s="106" t="s">
        <v>2082</v>
      </c>
      <c r="F193" s="106" t="s">
        <v>2089</v>
      </c>
      <c r="G193" s="106" t="s">
        <v>1006</v>
      </c>
      <c r="H193" s="106" t="s">
        <v>2090</v>
      </c>
      <c r="I193" s="106" t="s">
        <v>2091</v>
      </c>
      <c r="J193" s="106">
        <v>475000</v>
      </c>
      <c r="K193" s="106" t="s">
        <v>2092</v>
      </c>
      <c r="L193" s="106" t="s">
        <v>2093</v>
      </c>
      <c r="M193" s="106" t="s">
        <v>1171</v>
      </c>
      <c r="N193" s="106" t="s">
        <v>2094</v>
      </c>
      <c r="O193" s="106" t="s">
        <v>274</v>
      </c>
      <c r="P193" s="106" t="s">
        <v>2088</v>
      </c>
      <c r="Q193" s="106" t="s">
        <v>337</v>
      </c>
      <c r="S193" s="106" t="str" cm="1">
        <f t="array" ref="S193">IF(TRIM($D193)="","(tidak diisi)",IFERROR(INDEX(Kamus!$B$3:$B$28,MATCH(TRUE,ISNUMBER(SEARCH(Kamus!$A$3:$A$28,$D193)),0)),"Jabatan Lainnya"))</f>
        <v>Ketua Pengadilan</v>
      </c>
      <c r="T193" s="106" t="str" cm="1">
        <f t="array" ref="T193">IF(TRIM($I193)="","(tidak diisi)",IFERROR(INDEX(Kamus!$E$3:$E$162,MATCH(TRUE,ISNUMBER(SEARCH(Kamus!$D$3:$D$162,$I193)),0)),"Barang Lain / Tidak Terinci"))</f>
        <v>Pakaian &amp; Kain</v>
      </c>
      <c r="U193" s="106" t="str" cm="1">
        <f t="array" ref="U193">IF(TRIM($I193)="","(tidak diisi)",IFERROR(INDEX(Kamus!$H$3:$H$75,MATCH(TRUE,ISNUMBER(SEARCH(Kamus!$G$3:$G$75,$I193)),0)),"Pemberian Umum / Tanpa Konteks"))</f>
        <v>Pemberian Umum / Tanpa Konteks</v>
      </c>
      <c r="V193" s="106" t="str">
        <f t="shared" si="6"/>
        <v>2025</v>
      </c>
      <c r="W193" s="106" t="str" cm="1">
        <f t="array" ref="W193">IF(TRIM($K193)="","(tidak diisi)",IFERROR(INDEX(Kamus!$K$3:$K$118,MATCH(TRUE,ISNUMBER(SEARCH(Kamus!$J$3:$J$118,$K193)),0)),"Individu / Perorangan"))</f>
        <v>Individu / Perorangan</v>
      </c>
      <c r="X193" s="106" t="str">
        <f t="shared" si="7"/>
        <v>01</v>
      </c>
      <c r="Y193" s="106" t="str" cm="1">
        <f t="array" ref="Y193">IFERROR(INDEX(Kamus!$N$3:$N$111,MATCH(TRUE,ISNUMBER(SEARCH(Kamus!$M$3:$M$111,$I193)),0)),"")</f>
        <v/>
      </c>
      <c r="Z193" s="106" t="str">
        <f>IF(AND(OR($X193="02",$X193="03",$X193="04"),OR($T193="Parsel/Bingkisan (tidak dirinci)",$T193="Makanan &amp; Minuman",$T193="Peralatan Rumah Tangga / Pecah Belah",$T193="Pakaian &amp; Kain")),"Momen Hari Raya (dugaan musiman)",IFERROR(VLOOKUP($W193,Kamus!$P$3:$Q$14,2,FALSE),"Tidak Teridentifikasi"))</f>
        <v>Relasi Personal / Tidak Teridentifikasi</v>
      </c>
      <c r="AA193" s="106" t="str">
        <f t="shared" si="8"/>
        <v>Relasi Personal / Tidak Teridentifikasi</v>
      </c>
    </row>
    <row r="194" spans="1:27">
      <c r="A194" s="106">
        <v>193</v>
      </c>
      <c r="B194" s="106" t="s">
        <v>1932</v>
      </c>
      <c r="C194" s="107" t="s">
        <v>1933</v>
      </c>
      <c r="D194" s="106" t="s">
        <v>1033</v>
      </c>
      <c r="E194" s="106" t="s">
        <v>1934</v>
      </c>
      <c r="F194" s="106" t="s">
        <v>2095</v>
      </c>
      <c r="G194" s="106" t="s">
        <v>1006</v>
      </c>
      <c r="H194" s="106" t="s">
        <v>2037</v>
      </c>
      <c r="I194" s="106" t="s">
        <v>2096</v>
      </c>
      <c r="K194" s="106" t="s">
        <v>2097</v>
      </c>
      <c r="L194" s="106" t="s">
        <v>2098</v>
      </c>
      <c r="O194" s="106" t="s">
        <v>274</v>
      </c>
      <c r="P194" s="106" t="s">
        <v>1939</v>
      </c>
      <c r="Q194" s="106" t="s">
        <v>423</v>
      </c>
      <c r="S194" s="106" t="str" cm="1">
        <f t="array" ref="S194">IF(TRIM($D194)="","(tidak diisi)",IFERROR(INDEX(Kamus!$B$3:$B$28,MATCH(TRUE,ISNUMBER(SEARCH(Kamus!$A$3:$A$28,$D194)),0)),"Jabatan Lainnya"))</f>
        <v>Hakim</v>
      </c>
      <c r="T194" s="106" t="str" cm="1">
        <f t="array" ref="T194">IF(TRIM($I194)="","(tidak diisi)",IFERROR(INDEX(Kamus!$E$3:$E$162,MATCH(TRUE,ISNUMBER(SEARCH(Kamus!$D$3:$D$162,$I194)),0)),"Barang Lain / Tidak Terinci"))</f>
        <v>Parsel/Bingkisan (tidak dirinci)</v>
      </c>
      <c r="U194" s="106" t="str" cm="1">
        <f t="array" ref="U194">IF(TRIM($I194)="","(tidak diisi)",IFERROR(INDEX(Kamus!$H$3:$H$75,MATCH(TRUE,ISNUMBER(SEARCH(Kamus!$G$3:$G$75,$I194)),0)),"Pemberian Umum / Tanpa Konteks"))</f>
        <v>Bingkisan Hari Raya / Keagamaan</v>
      </c>
      <c r="V194" s="106" t="str">
        <f t="shared" si="6"/>
        <v>2025</v>
      </c>
      <c r="W194" s="106" t="str" cm="1">
        <f t="array" ref="W194">IF(TRIM($K194)="","(tidak diisi)",IFERROR(INDEX(Kamus!$K$3:$K$118,MATCH(TRUE,ISNUMBER(SEARCH(Kamus!$J$3:$J$118,$K194)),0)),"Individu / Perorangan"))</f>
        <v>Individu / Perorangan</v>
      </c>
      <c r="X194" s="106" t="str">
        <f t="shared" si="7"/>
        <v>03</v>
      </c>
      <c r="Y194" s="106" t="str" cm="1">
        <f t="array" ref="Y194">IFERROR(INDEX(Kamus!$N$3:$N$111,MATCH(TRUE,ISNUMBER(SEARCH(Kamus!$M$3:$M$111,$I194)),0)),"")</f>
        <v>Momen Hari Raya (Ramadan/Idulfitri)</v>
      </c>
      <c r="Z194" s="106" t="str">
        <f>IF(AND(OR($X194="02",$X194="03",$X194="04"),OR($T194="Parsel/Bingkisan (tidak dirinci)",$T194="Makanan &amp; Minuman",$T194="Peralatan Rumah Tangga / Pecah Belah",$T194="Pakaian &amp; Kain")),"Momen Hari Raya (dugaan musiman)",IFERROR(VLOOKUP($W194,Kamus!$P$3:$Q$14,2,FALSE),"Tidak Teridentifikasi"))</f>
        <v>Momen Hari Raya (dugaan musiman)</v>
      </c>
      <c r="AA194" s="106" t="str">
        <f t="shared" si="8"/>
        <v>Momen Hari Raya (Ramadan/Idulfitri)</v>
      </c>
    </row>
    <row r="195" spans="1:27">
      <c r="A195" s="106">
        <v>194</v>
      </c>
      <c r="B195" s="106" t="s">
        <v>1619</v>
      </c>
      <c r="C195" s="107" t="s">
        <v>1620</v>
      </c>
      <c r="D195" s="106" t="s">
        <v>1621</v>
      </c>
      <c r="E195" s="106" t="s">
        <v>1622</v>
      </c>
      <c r="F195" s="106" t="s">
        <v>2099</v>
      </c>
      <c r="G195" s="106" t="s">
        <v>1006</v>
      </c>
      <c r="H195" s="106" t="s">
        <v>2037</v>
      </c>
      <c r="I195" s="106" t="s">
        <v>2100</v>
      </c>
      <c r="K195" s="106" t="s">
        <v>2101</v>
      </c>
      <c r="L195" s="106" t="s">
        <v>2102</v>
      </c>
      <c r="O195" s="106" t="s">
        <v>274</v>
      </c>
      <c r="P195" s="106" t="s">
        <v>1628</v>
      </c>
      <c r="Q195" s="106" t="s">
        <v>404</v>
      </c>
      <c r="S195" s="106" t="str" cm="1">
        <f t="array" ref="S195">IF(TRIM($D195)="","(tidak diisi)",IFERROR(INDEX(Kamus!$B$3:$B$28,MATCH(TRUE,ISNUMBER(SEARCH(Kamus!$A$3:$A$28,$D195)),0)),"Jabatan Lainnya"))</f>
        <v>Ketua Pengadilan</v>
      </c>
      <c r="T195" s="106" t="str" cm="1">
        <f t="array" ref="T195">IF(TRIM($I195)="","(tidak diisi)",IFERROR(INDEX(Kamus!$E$3:$E$162,MATCH(TRUE,ISNUMBER(SEARCH(Kamus!$D$3:$D$162,$I195)),0)),"Barang Lain / Tidak Terinci"))</f>
        <v>Makanan &amp; Minuman</v>
      </c>
      <c r="U195" s="106" t="str" cm="1">
        <f t="array" ref="U195">IF(TRIM($I195)="","(tidak diisi)",IFERROR(INDEX(Kamus!$H$3:$H$75,MATCH(TRUE,ISNUMBER(SEARCH(Kamus!$G$3:$G$75,$I195)),0)),"Pemberian Umum / Tanpa Konteks"))</f>
        <v>Jamuan / Konsumsi Rapat &amp; Kegiatan</v>
      </c>
      <c r="V195" s="106" t="str">
        <f t="shared" ref="V195:V258" si="9">IF($H195="","(tidak diisi)",IF(ISNUMBER($H195),TEXT(YEAR($H195),"0"),LEFT($H195,4)))</f>
        <v>2025</v>
      </c>
      <c r="W195" s="106" t="str" cm="1">
        <f t="array" ref="W195">IF(TRIM($K195)="","(tidak diisi)",IFERROR(INDEX(Kamus!$K$3:$K$118,MATCH(TRUE,ISNUMBER(SEARCH(Kamus!$J$3:$J$118,$K195)),0)),"Individu / Perorangan"))</f>
        <v>Perusahaan / Vendor</v>
      </c>
      <c r="X195" s="106" t="str">
        <f t="shared" ref="X195:X258" si="10">IF($H195="","(tidak diisi)",IF(ISNUMBER($H195),TEXT(MONTH($H195),"00"),MID($H195,6,2)))</f>
        <v>03</v>
      </c>
      <c r="Y195" s="106" t="str" cm="1">
        <f t="array" ref="Y195">IFERROR(INDEX(Kamus!$N$3:$N$111,MATCH(TRUE,ISNUMBER(SEARCH(Kamus!$M$3:$M$111,$I195)),0)),"")</f>
        <v/>
      </c>
      <c r="Z195" s="106" t="str">
        <f>IF(AND(OR($X195="02",$X195="03",$X195="04"),OR($T195="Parsel/Bingkisan (tidak dirinci)",$T195="Makanan &amp; Minuman",$T195="Peralatan Rumah Tangga / Pecah Belah",$T195="Pakaian &amp; Kain")),"Momen Hari Raya (dugaan musiman)",IFERROR(VLOOKUP($W195,Kamus!$P$3:$Q$14,2,FALSE),"Tidak Teridentifikasi"))</f>
        <v>Momen Hari Raya (dugaan musiman)</v>
      </c>
      <c r="AA195" s="106" t="str">
        <f t="shared" ref="AA195:AA258" si="11">IF($Y195="",$Z195,$Y195)</f>
        <v>Momen Hari Raya (dugaan musiman)</v>
      </c>
    </row>
    <row r="196" spans="1:27">
      <c r="A196" s="106">
        <v>195</v>
      </c>
      <c r="B196" s="106" t="s">
        <v>2103</v>
      </c>
      <c r="C196" s="107" t="s">
        <v>2104</v>
      </c>
      <c r="D196" s="106" t="s">
        <v>1024</v>
      </c>
      <c r="E196" s="106" t="s">
        <v>2105</v>
      </c>
      <c r="F196" s="106" t="s">
        <v>2106</v>
      </c>
      <c r="G196" s="106" t="s">
        <v>1006</v>
      </c>
      <c r="H196" s="106" t="s">
        <v>2037</v>
      </c>
      <c r="I196" s="106" t="s">
        <v>2107</v>
      </c>
      <c r="K196" s="106" t="s">
        <v>2108</v>
      </c>
      <c r="L196" s="106" t="s">
        <v>2109</v>
      </c>
      <c r="O196" s="106" t="s">
        <v>274</v>
      </c>
      <c r="P196" s="106" t="s">
        <v>2110</v>
      </c>
      <c r="Q196" s="106" t="s">
        <v>429</v>
      </c>
      <c r="S196" s="106" t="str" cm="1">
        <f t="array" ref="S196">IF(TRIM($D196)="","(tidak diisi)",IFERROR(INDEX(Kamus!$B$3:$B$28,MATCH(TRUE,ISNUMBER(SEARCH(Kamus!$A$3:$A$28,$D196)),0)),"Jabatan Lainnya"))</f>
        <v>Sekretaris</v>
      </c>
      <c r="T196" s="106" t="str" cm="1">
        <f t="array" ref="T196">IF(TRIM($I196)="","(tidak diisi)",IFERROR(INDEX(Kamus!$E$3:$E$162,MATCH(TRUE,ISNUMBER(SEARCH(Kamus!$D$3:$D$162,$I196)),0)),"Barang Lain / Tidak Terinci"))</f>
        <v>Makanan &amp; Minuman</v>
      </c>
      <c r="U196" s="106" t="str" cm="1">
        <f t="array" ref="U196">IF(TRIM($I196)="","(tidak diisi)",IFERROR(INDEX(Kamus!$H$3:$H$75,MATCH(TRUE,ISNUMBER(SEARCH(Kamus!$G$3:$G$75,$I196)),0)),"Pemberian Umum / Tanpa Konteks"))</f>
        <v>Pemberian Umum / Tanpa Konteks</v>
      </c>
      <c r="V196" s="106" t="str">
        <f t="shared" si="9"/>
        <v>2025</v>
      </c>
      <c r="W196" s="106" t="str" cm="1">
        <f t="array" ref="W196">IF(TRIM($K196)="","(tidak diisi)",IFERROR(INDEX(Kamus!$K$3:$K$118,MATCH(TRUE,ISNUMBER(SEARCH(Kamus!$J$3:$J$118,$K196)),0)),"Individu / Perorangan"))</f>
        <v>Individu / Perorangan</v>
      </c>
      <c r="X196" s="106" t="str">
        <f t="shared" si="10"/>
        <v>03</v>
      </c>
      <c r="Y196" s="106" t="str" cm="1">
        <f t="array" ref="Y196">IFERROR(INDEX(Kamus!$N$3:$N$111,MATCH(TRUE,ISNUMBER(SEARCH(Kamus!$M$3:$M$111,$I196)),0)),"")</f>
        <v/>
      </c>
      <c r="Z196" s="106" t="str">
        <f>IF(AND(OR($X196="02",$X196="03",$X196="04"),OR($T196="Parsel/Bingkisan (tidak dirinci)",$T196="Makanan &amp; Minuman",$T196="Peralatan Rumah Tangga / Pecah Belah",$T196="Pakaian &amp; Kain")),"Momen Hari Raya (dugaan musiman)",IFERROR(VLOOKUP($W196,Kamus!$P$3:$Q$14,2,FALSE),"Tidak Teridentifikasi"))</f>
        <v>Momen Hari Raya (dugaan musiman)</v>
      </c>
      <c r="AA196" s="106" t="str">
        <f t="shared" si="11"/>
        <v>Momen Hari Raya (dugaan musiman)</v>
      </c>
    </row>
    <row r="197" spans="1:27">
      <c r="A197" s="106">
        <v>196</v>
      </c>
      <c r="B197" s="106" t="s">
        <v>1174</v>
      </c>
      <c r="C197" s="107" t="s">
        <v>1175</v>
      </c>
      <c r="D197" s="106" t="s">
        <v>1042</v>
      </c>
      <c r="E197" s="106" t="s">
        <v>1176</v>
      </c>
      <c r="F197" s="106" t="s">
        <v>2111</v>
      </c>
      <c r="G197" s="106" t="s">
        <v>1006</v>
      </c>
      <c r="H197" s="106" t="s">
        <v>2037</v>
      </c>
      <c r="I197" s="106" t="s">
        <v>2112</v>
      </c>
      <c r="J197" s="106">
        <v>399000</v>
      </c>
      <c r="K197" s="106" t="s">
        <v>2113</v>
      </c>
      <c r="L197" s="106" t="s">
        <v>2114</v>
      </c>
      <c r="M197" s="106" t="s">
        <v>1171</v>
      </c>
      <c r="N197" s="106" t="s">
        <v>2115</v>
      </c>
      <c r="O197" s="106" t="s">
        <v>274</v>
      </c>
      <c r="P197" s="106" t="s">
        <v>1181</v>
      </c>
      <c r="Q197" s="106" t="s">
        <v>429</v>
      </c>
      <c r="S197" s="106" t="str" cm="1">
        <f t="array" ref="S197">IF(TRIM($D197)="","(tidak diisi)",IFERROR(INDEX(Kamus!$B$3:$B$28,MATCH(TRUE,ISNUMBER(SEARCH(Kamus!$A$3:$A$28,$D197)),0)),"Jabatan Lainnya"))</f>
        <v>Ketua Pengadilan</v>
      </c>
      <c r="T197" s="106" t="str" cm="1">
        <f t="array" ref="T197">IF(TRIM($I197)="","(tidak diisi)",IFERROR(INDEX(Kamus!$E$3:$E$162,MATCH(TRUE,ISNUMBER(SEARCH(Kamus!$D$3:$D$162,$I197)),0)),"Barang Lain / Tidak Terinci"))</f>
        <v>Peralatan Rumah Tangga / Pecah Belah</v>
      </c>
      <c r="U197" s="106" t="str" cm="1">
        <f t="array" ref="U197">IF(TRIM($I197)="","(tidak diisi)",IFERROR(INDEX(Kamus!$H$3:$H$75,MATCH(TRUE,ISNUMBER(SEARCH(Kamus!$G$3:$G$75,$I197)),0)),"Pemberian Umum / Tanpa Konteks"))</f>
        <v>Bingkisan Hari Raya / Keagamaan</v>
      </c>
      <c r="V197" s="106" t="str">
        <f t="shared" si="9"/>
        <v>2025</v>
      </c>
      <c r="W197" s="106" t="str" cm="1">
        <f t="array" ref="W197">IF(TRIM($K197)="","(tidak diisi)",IFERROR(INDEX(Kamus!$K$3:$K$118,MATCH(TRUE,ISNUMBER(SEARCH(Kamus!$J$3:$J$118,$K197)),0)),"Individu / Perorangan"))</f>
        <v>Individu / Perorangan</v>
      </c>
      <c r="X197" s="106" t="str">
        <f t="shared" si="10"/>
        <v>03</v>
      </c>
      <c r="Y197" s="106" t="str" cm="1">
        <f t="array" ref="Y197">IFERROR(INDEX(Kamus!$N$3:$N$111,MATCH(TRUE,ISNUMBER(SEARCH(Kamus!$M$3:$M$111,$I197)),0)),"")</f>
        <v>Momen Hari Raya (Ramadan/Idulfitri)</v>
      </c>
      <c r="Z197" s="106" t="str">
        <f>IF(AND(OR($X197="02",$X197="03",$X197="04"),OR($T197="Parsel/Bingkisan (tidak dirinci)",$T197="Makanan &amp; Minuman",$T197="Peralatan Rumah Tangga / Pecah Belah",$T197="Pakaian &amp; Kain")),"Momen Hari Raya (dugaan musiman)",IFERROR(VLOOKUP($W197,Kamus!$P$3:$Q$14,2,FALSE),"Tidak Teridentifikasi"))</f>
        <v>Momen Hari Raya (dugaan musiman)</v>
      </c>
      <c r="AA197" s="106" t="str">
        <f t="shared" si="11"/>
        <v>Momen Hari Raya (Ramadan/Idulfitri)</v>
      </c>
    </row>
    <row r="198" spans="1:27">
      <c r="A198" s="106">
        <v>197</v>
      </c>
      <c r="B198" s="106" t="s">
        <v>1174</v>
      </c>
      <c r="C198" s="107" t="s">
        <v>1175</v>
      </c>
      <c r="D198" s="106" t="s">
        <v>1042</v>
      </c>
      <c r="E198" s="106" t="s">
        <v>1176</v>
      </c>
      <c r="F198" s="106" t="s">
        <v>2111</v>
      </c>
      <c r="G198" s="106" t="s">
        <v>1006</v>
      </c>
      <c r="H198" s="106" t="s">
        <v>2037</v>
      </c>
      <c r="I198" s="106" t="s">
        <v>2116</v>
      </c>
      <c r="J198" s="106">
        <v>345940</v>
      </c>
      <c r="K198" s="106" t="s">
        <v>2113</v>
      </c>
      <c r="L198" s="106" t="s">
        <v>2114</v>
      </c>
      <c r="M198" s="106" t="s">
        <v>1171</v>
      </c>
      <c r="N198" s="106" t="s">
        <v>2115</v>
      </c>
      <c r="O198" s="106" t="s">
        <v>274</v>
      </c>
      <c r="P198" s="106" t="s">
        <v>1181</v>
      </c>
      <c r="Q198" s="106" t="s">
        <v>429</v>
      </c>
      <c r="S198" s="106" t="str" cm="1">
        <f t="array" ref="S198">IF(TRIM($D198)="","(tidak diisi)",IFERROR(INDEX(Kamus!$B$3:$B$28,MATCH(TRUE,ISNUMBER(SEARCH(Kamus!$A$3:$A$28,$D198)),0)),"Jabatan Lainnya"))</f>
        <v>Ketua Pengadilan</v>
      </c>
      <c r="T198" s="106" t="str" cm="1">
        <f t="array" ref="T198">IF(TRIM($I198)="","(tidak diisi)",IFERROR(INDEX(Kamus!$E$3:$E$162,MATCH(TRUE,ISNUMBER(SEARCH(Kamus!$D$3:$D$162,$I198)),0)),"Barang Lain / Tidak Terinci"))</f>
        <v>Peralatan Rumah Tangga / Pecah Belah</v>
      </c>
      <c r="U198" s="106" t="str" cm="1">
        <f t="array" ref="U198">IF(TRIM($I198)="","(tidak diisi)",IFERROR(INDEX(Kamus!$H$3:$H$75,MATCH(TRUE,ISNUMBER(SEARCH(Kamus!$G$3:$G$75,$I198)),0)),"Pemberian Umum / Tanpa Konteks"))</f>
        <v>Bingkisan Hari Raya / Keagamaan</v>
      </c>
      <c r="V198" s="106" t="str">
        <f t="shared" si="9"/>
        <v>2025</v>
      </c>
      <c r="W198" s="106" t="str" cm="1">
        <f t="array" ref="W198">IF(TRIM($K198)="","(tidak diisi)",IFERROR(INDEX(Kamus!$K$3:$K$118,MATCH(TRUE,ISNUMBER(SEARCH(Kamus!$J$3:$J$118,$K198)),0)),"Individu / Perorangan"))</f>
        <v>Individu / Perorangan</v>
      </c>
      <c r="X198" s="106" t="str">
        <f t="shared" si="10"/>
        <v>03</v>
      </c>
      <c r="Y198" s="106" t="str" cm="1">
        <f t="array" ref="Y198">IFERROR(INDEX(Kamus!$N$3:$N$111,MATCH(TRUE,ISNUMBER(SEARCH(Kamus!$M$3:$M$111,$I198)),0)),"")</f>
        <v>Momen Hari Raya (Ramadan/Idulfitri)</v>
      </c>
      <c r="Z198" s="106" t="str">
        <f>IF(AND(OR($X198="02",$X198="03",$X198="04"),OR($T198="Parsel/Bingkisan (tidak dirinci)",$T198="Makanan &amp; Minuman",$T198="Peralatan Rumah Tangga / Pecah Belah",$T198="Pakaian &amp; Kain")),"Momen Hari Raya (dugaan musiman)",IFERROR(VLOOKUP($W198,Kamus!$P$3:$Q$14,2,FALSE),"Tidak Teridentifikasi"))</f>
        <v>Momen Hari Raya (dugaan musiman)</v>
      </c>
      <c r="AA198" s="106" t="str">
        <f t="shared" si="11"/>
        <v>Momen Hari Raya (Ramadan/Idulfitri)</v>
      </c>
    </row>
    <row r="199" spans="1:27">
      <c r="A199" s="106">
        <v>198</v>
      </c>
      <c r="B199" s="106" t="s">
        <v>1174</v>
      </c>
      <c r="C199" s="107" t="s">
        <v>1175</v>
      </c>
      <c r="D199" s="106" t="s">
        <v>1042</v>
      </c>
      <c r="E199" s="106" t="s">
        <v>1176</v>
      </c>
      <c r="F199" s="106" t="s">
        <v>2111</v>
      </c>
      <c r="G199" s="106" t="s">
        <v>1006</v>
      </c>
      <c r="H199" s="106" t="s">
        <v>2037</v>
      </c>
      <c r="I199" s="106" t="s">
        <v>2117</v>
      </c>
      <c r="J199" s="106">
        <v>300000</v>
      </c>
      <c r="K199" s="106" t="s">
        <v>2113</v>
      </c>
      <c r="L199" s="106" t="s">
        <v>2114</v>
      </c>
      <c r="M199" s="106" t="s">
        <v>1171</v>
      </c>
      <c r="N199" s="106" t="s">
        <v>2115</v>
      </c>
      <c r="O199" s="106" t="s">
        <v>274</v>
      </c>
      <c r="P199" s="106" t="s">
        <v>1181</v>
      </c>
      <c r="Q199" s="106" t="s">
        <v>429</v>
      </c>
      <c r="S199" s="106" t="str" cm="1">
        <f t="array" ref="S199">IF(TRIM($D199)="","(tidak diisi)",IFERROR(INDEX(Kamus!$B$3:$B$28,MATCH(TRUE,ISNUMBER(SEARCH(Kamus!$A$3:$A$28,$D199)),0)),"Jabatan Lainnya"))</f>
        <v>Ketua Pengadilan</v>
      </c>
      <c r="T199" s="106" t="str" cm="1">
        <f t="array" ref="T199">IF(TRIM($I199)="","(tidak diisi)",IFERROR(INDEX(Kamus!$E$3:$E$162,MATCH(TRUE,ISNUMBER(SEARCH(Kamus!$D$3:$D$162,$I199)),0)),"Barang Lain / Tidak Terinci"))</f>
        <v>Peralatan Rumah Tangga / Pecah Belah</v>
      </c>
      <c r="U199" s="106" t="str" cm="1">
        <f t="array" ref="U199">IF(TRIM($I199)="","(tidak diisi)",IFERROR(INDEX(Kamus!$H$3:$H$75,MATCH(TRUE,ISNUMBER(SEARCH(Kamus!$G$3:$G$75,$I199)),0)),"Pemberian Umum / Tanpa Konteks"))</f>
        <v>Bingkisan Hari Raya / Keagamaan</v>
      </c>
      <c r="V199" s="106" t="str">
        <f t="shared" si="9"/>
        <v>2025</v>
      </c>
      <c r="W199" s="106" t="str" cm="1">
        <f t="array" ref="W199">IF(TRIM($K199)="","(tidak diisi)",IFERROR(INDEX(Kamus!$K$3:$K$118,MATCH(TRUE,ISNUMBER(SEARCH(Kamus!$J$3:$J$118,$K199)),0)),"Individu / Perorangan"))</f>
        <v>Individu / Perorangan</v>
      </c>
      <c r="X199" s="106" t="str">
        <f t="shared" si="10"/>
        <v>03</v>
      </c>
      <c r="Y199" s="106" t="str" cm="1">
        <f t="array" ref="Y199">IFERROR(INDEX(Kamus!$N$3:$N$111,MATCH(TRUE,ISNUMBER(SEARCH(Kamus!$M$3:$M$111,$I199)),0)),"")</f>
        <v>Momen Hari Raya (Ramadan/Idulfitri)</v>
      </c>
      <c r="Z199" s="106" t="str">
        <f>IF(AND(OR($X199="02",$X199="03",$X199="04"),OR($T199="Parsel/Bingkisan (tidak dirinci)",$T199="Makanan &amp; Minuman",$T199="Peralatan Rumah Tangga / Pecah Belah",$T199="Pakaian &amp; Kain")),"Momen Hari Raya (dugaan musiman)",IFERROR(VLOOKUP($W199,Kamus!$P$3:$Q$14,2,FALSE),"Tidak Teridentifikasi"))</f>
        <v>Momen Hari Raya (dugaan musiman)</v>
      </c>
      <c r="AA199" s="106" t="str">
        <f t="shared" si="11"/>
        <v>Momen Hari Raya (Ramadan/Idulfitri)</v>
      </c>
    </row>
    <row r="200" spans="1:27">
      <c r="A200" s="106">
        <v>199</v>
      </c>
      <c r="B200" s="106" t="s">
        <v>2118</v>
      </c>
      <c r="C200" s="107" t="s">
        <v>2119</v>
      </c>
      <c r="D200" s="106" t="s">
        <v>1319</v>
      </c>
      <c r="E200" s="106" t="s">
        <v>2105</v>
      </c>
      <c r="F200" s="106" t="s">
        <v>2120</v>
      </c>
      <c r="G200" s="106" t="s">
        <v>1006</v>
      </c>
      <c r="H200" s="106" t="s">
        <v>2037</v>
      </c>
      <c r="I200" s="106" t="s">
        <v>2107</v>
      </c>
      <c r="K200" s="106" t="s">
        <v>2121</v>
      </c>
      <c r="L200" s="106" t="s">
        <v>2122</v>
      </c>
      <c r="O200" s="106" t="s">
        <v>274</v>
      </c>
      <c r="P200" s="106" t="s">
        <v>2110</v>
      </c>
      <c r="Q200" s="106" t="s">
        <v>429</v>
      </c>
      <c r="S200" s="106" t="str" cm="1">
        <f t="array" ref="S200">IF(TRIM($D200)="","(tidak diisi)",IFERROR(INDEX(Kamus!$B$3:$B$28,MATCH(TRUE,ISNUMBER(SEARCH(Kamus!$A$3:$A$28,$D200)),0)),"Jabatan Lainnya"))</f>
        <v>Wakil Ketua Pengadilan</v>
      </c>
      <c r="T200" s="106" t="str" cm="1">
        <f t="array" ref="T200">IF(TRIM($I200)="","(tidak diisi)",IFERROR(INDEX(Kamus!$E$3:$E$162,MATCH(TRUE,ISNUMBER(SEARCH(Kamus!$D$3:$D$162,$I200)),0)),"Barang Lain / Tidak Terinci"))</f>
        <v>Makanan &amp; Minuman</v>
      </c>
      <c r="U200" s="106" t="str" cm="1">
        <f t="array" ref="U200">IF(TRIM($I200)="","(tidak diisi)",IFERROR(INDEX(Kamus!$H$3:$H$75,MATCH(TRUE,ISNUMBER(SEARCH(Kamus!$G$3:$G$75,$I200)),0)),"Pemberian Umum / Tanpa Konteks"))</f>
        <v>Pemberian Umum / Tanpa Konteks</v>
      </c>
      <c r="V200" s="106" t="str">
        <f t="shared" si="9"/>
        <v>2025</v>
      </c>
      <c r="W200" s="106" t="str" cm="1">
        <f t="array" ref="W200">IF(TRIM($K200)="","(tidak diisi)",IFERROR(INDEX(Kamus!$K$3:$K$118,MATCH(TRUE,ISNUMBER(SEARCH(Kamus!$J$3:$J$118,$K200)),0)),"Individu / Perorangan"))</f>
        <v>Bank &amp; Lembaga Keuangan</v>
      </c>
      <c r="X200" s="106" t="str">
        <f t="shared" si="10"/>
        <v>03</v>
      </c>
      <c r="Y200" s="106" t="str" cm="1">
        <f t="array" ref="Y200">IFERROR(INDEX(Kamus!$N$3:$N$111,MATCH(TRUE,ISNUMBER(SEARCH(Kamus!$M$3:$M$111,$I200)),0)),"")</f>
        <v/>
      </c>
      <c r="Z200" s="106" t="str">
        <f>IF(AND(OR($X200="02",$X200="03",$X200="04"),OR($T200="Parsel/Bingkisan (tidak dirinci)",$T200="Makanan &amp; Minuman",$T200="Peralatan Rumah Tangga / Pecah Belah",$T200="Pakaian &amp; Kain")),"Momen Hari Raya (dugaan musiman)",IFERROR(VLOOKUP($W200,Kamus!$P$3:$Q$14,2,FALSE),"Tidak Teridentifikasi"))</f>
        <v>Momen Hari Raya (dugaan musiman)</v>
      </c>
      <c r="AA200" s="106" t="str">
        <f t="shared" si="11"/>
        <v>Momen Hari Raya (dugaan musiman)</v>
      </c>
    </row>
    <row r="201" spans="1:27">
      <c r="A201" s="106">
        <v>200</v>
      </c>
      <c r="B201" s="106" t="s">
        <v>2123</v>
      </c>
      <c r="C201" s="107" t="s">
        <v>2124</v>
      </c>
      <c r="D201" s="106" t="s">
        <v>1024</v>
      </c>
      <c r="E201" s="106" t="s">
        <v>2082</v>
      </c>
      <c r="F201" s="106" t="s">
        <v>2125</v>
      </c>
      <c r="G201" s="106" t="s">
        <v>1006</v>
      </c>
      <c r="H201" s="106" t="s">
        <v>2054</v>
      </c>
      <c r="I201" s="106" t="s">
        <v>2126</v>
      </c>
      <c r="J201" s="106">
        <v>238000</v>
      </c>
      <c r="K201" s="106" t="s">
        <v>2127</v>
      </c>
      <c r="L201" s="106" t="s">
        <v>2128</v>
      </c>
      <c r="M201" s="106" t="s">
        <v>1360</v>
      </c>
      <c r="N201" s="106" t="s">
        <v>2129</v>
      </c>
      <c r="O201" s="106" t="s">
        <v>274</v>
      </c>
      <c r="P201" s="106" t="s">
        <v>2088</v>
      </c>
      <c r="Q201" s="106" t="s">
        <v>337</v>
      </c>
      <c r="S201" s="106" t="str" cm="1">
        <f t="array" ref="S201">IF(TRIM($D201)="","(tidak diisi)",IFERROR(INDEX(Kamus!$B$3:$B$28,MATCH(TRUE,ISNUMBER(SEARCH(Kamus!$A$3:$A$28,$D201)),0)),"Jabatan Lainnya"))</f>
        <v>Sekretaris</v>
      </c>
      <c r="T201" s="106" t="str" cm="1">
        <f t="array" ref="T201">IF(TRIM($I201)="","(tidak diisi)",IFERROR(INDEX(Kamus!$E$3:$E$162,MATCH(TRUE,ISNUMBER(SEARCH(Kamus!$D$3:$D$162,$I201)),0)),"Barang Lain / Tidak Terinci"))</f>
        <v>Makanan &amp; Minuman</v>
      </c>
      <c r="U201" s="106" t="str" cm="1">
        <f t="array" ref="U201">IF(TRIM($I201)="","(tidak diisi)",IFERROR(INDEX(Kamus!$H$3:$H$75,MATCH(TRUE,ISNUMBER(SEARCH(Kamus!$G$3:$G$75,$I201)),0)),"Pemberian Umum / Tanpa Konteks"))</f>
        <v>Pemberian Umum / Tanpa Konteks</v>
      </c>
      <c r="V201" s="106" t="str">
        <f t="shared" si="9"/>
        <v>2025</v>
      </c>
      <c r="W201" s="106" t="str" cm="1">
        <f t="array" ref="W201">IF(TRIM($K201)="","(tidak diisi)",IFERROR(INDEX(Kamus!$K$3:$K$118,MATCH(TRUE,ISNUMBER(SEARCH(Kamus!$J$3:$J$118,$K201)),0)),"Individu / Perorangan"))</f>
        <v>Individu / Perorangan</v>
      </c>
      <c r="X201" s="106" t="str">
        <f t="shared" si="10"/>
        <v>03</v>
      </c>
      <c r="Y201" s="106" t="str" cm="1">
        <f t="array" ref="Y201">IFERROR(INDEX(Kamus!$N$3:$N$111,MATCH(TRUE,ISNUMBER(SEARCH(Kamus!$M$3:$M$111,$I201)),0)),"")</f>
        <v/>
      </c>
      <c r="Z201" s="106" t="str">
        <f>IF(AND(OR($X201="02",$X201="03",$X201="04"),OR($T201="Parsel/Bingkisan (tidak dirinci)",$T201="Makanan &amp; Minuman",$T201="Peralatan Rumah Tangga / Pecah Belah",$T201="Pakaian &amp; Kain")),"Momen Hari Raya (dugaan musiman)",IFERROR(VLOOKUP($W201,Kamus!$P$3:$Q$14,2,FALSE),"Tidak Teridentifikasi"))</f>
        <v>Momen Hari Raya (dugaan musiman)</v>
      </c>
      <c r="AA201" s="106" t="str">
        <f t="shared" si="11"/>
        <v>Momen Hari Raya (dugaan musiman)</v>
      </c>
    </row>
    <row r="202" spans="1:27">
      <c r="A202" s="106">
        <v>201</v>
      </c>
      <c r="B202" s="106" t="s">
        <v>2123</v>
      </c>
      <c r="C202" s="107" t="s">
        <v>2124</v>
      </c>
      <c r="D202" s="106" t="s">
        <v>1024</v>
      </c>
      <c r="E202" s="106" t="s">
        <v>2082</v>
      </c>
      <c r="F202" s="106" t="s">
        <v>2125</v>
      </c>
      <c r="G202" s="106" t="s">
        <v>1006</v>
      </c>
      <c r="H202" s="106" t="s">
        <v>2054</v>
      </c>
      <c r="I202" s="106" t="s">
        <v>2130</v>
      </c>
      <c r="J202" s="106">
        <v>700000</v>
      </c>
      <c r="K202" s="106" t="s">
        <v>2127</v>
      </c>
      <c r="L202" s="106" t="s">
        <v>2128</v>
      </c>
      <c r="M202" s="106" t="s">
        <v>1171</v>
      </c>
      <c r="N202" s="106" t="s">
        <v>2129</v>
      </c>
      <c r="O202" s="106" t="s">
        <v>274</v>
      </c>
      <c r="P202" s="106" t="s">
        <v>2088</v>
      </c>
      <c r="Q202" s="106" t="s">
        <v>337</v>
      </c>
      <c r="S202" s="106" t="str" cm="1">
        <f t="array" ref="S202">IF(TRIM($D202)="","(tidak diisi)",IFERROR(INDEX(Kamus!$B$3:$B$28,MATCH(TRUE,ISNUMBER(SEARCH(Kamus!$A$3:$A$28,$D202)),0)),"Jabatan Lainnya"))</f>
        <v>Sekretaris</v>
      </c>
      <c r="T202" s="106" t="str" cm="1">
        <f t="array" ref="T202">IF(TRIM($I202)="","(tidak diisi)",IFERROR(INDEX(Kamus!$E$3:$E$162,MATCH(TRUE,ISNUMBER(SEARCH(Kamus!$D$3:$D$162,$I202)),0)),"Barang Lain / Tidak Terinci"))</f>
        <v>Peralatan Rumah Tangga / Pecah Belah</v>
      </c>
      <c r="U202" s="106" t="str" cm="1">
        <f t="array" ref="U202">IF(TRIM($I202)="","(tidak diisi)",IFERROR(INDEX(Kamus!$H$3:$H$75,MATCH(TRUE,ISNUMBER(SEARCH(Kamus!$G$3:$G$75,$I202)),0)),"Pemberian Umum / Tanpa Konteks"))</f>
        <v>Pemberian Umum / Tanpa Konteks</v>
      </c>
      <c r="V202" s="106" t="str">
        <f t="shared" si="9"/>
        <v>2025</v>
      </c>
      <c r="W202" s="106" t="str" cm="1">
        <f t="array" ref="W202">IF(TRIM($K202)="","(tidak diisi)",IFERROR(INDEX(Kamus!$K$3:$K$118,MATCH(TRUE,ISNUMBER(SEARCH(Kamus!$J$3:$J$118,$K202)),0)),"Individu / Perorangan"))</f>
        <v>Individu / Perorangan</v>
      </c>
      <c r="X202" s="106" t="str">
        <f t="shared" si="10"/>
        <v>03</v>
      </c>
      <c r="Y202" s="106" t="str" cm="1">
        <f t="array" ref="Y202">IFERROR(INDEX(Kamus!$N$3:$N$111,MATCH(TRUE,ISNUMBER(SEARCH(Kamus!$M$3:$M$111,$I202)),0)),"")</f>
        <v/>
      </c>
      <c r="Z202" s="106" t="str">
        <f>IF(AND(OR($X202="02",$X202="03",$X202="04"),OR($T202="Parsel/Bingkisan (tidak dirinci)",$T202="Makanan &amp; Minuman",$T202="Peralatan Rumah Tangga / Pecah Belah",$T202="Pakaian &amp; Kain")),"Momen Hari Raya (dugaan musiman)",IFERROR(VLOOKUP($W202,Kamus!$P$3:$Q$14,2,FALSE),"Tidak Teridentifikasi"))</f>
        <v>Momen Hari Raya (dugaan musiman)</v>
      </c>
      <c r="AA202" s="106" t="str">
        <f t="shared" si="11"/>
        <v>Momen Hari Raya (dugaan musiman)</v>
      </c>
    </row>
    <row r="203" spans="1:27">
      <c r="A203" s="106">
        <v>202</v>
      </c>
      <c r="B203" s="106" t="s">
        <v>2131</v>
      </c>
      <c r="C203" s="107" t="s">
        <v>2132</v>
      </c>
      <c r="D203" s="106" t="s">
        <v>1336</v>
      </c>
      <c r="E203" s="106" t="s">
        <v>1176</v>
      </c>
      <c r="F203" s="106" t="s">
        <v>2133</v>
      </c>
      <c r="G203" s="106" t="s">
        <v>1006</v>
      </c>
      <c r="H203" s="106" t="s">
        <v>2037</v>
      </c>
      <c r="I203" s="106" t="s">
        <v>2134</v>
      </c>
      <c r="J203" s="106">
        <v>400000</v>
      </c>
      <c r="K203" s="106" t="s">
        <v>2135</v>
      </c>
      <c r="L203" s="106" t="s">
        <v>2136</v>
      </c>
      <c r="M203" s="106" t="s">
        <v>1171</v>
      </c>
      <c r="N203" s="106" t="s">
        <v>2137</v>
      </c>
      <c r="O203" s="106" t="s">
        <v>274</v>
      </c>
      <c r="P203" s="106" t="s">
        <v>1181</v>
      </c>
      <c r="Q203" s="106" t="s">
        <v>429</v>
      </c>
      <c r="S203" s="106" t="str" cm="1">
        <f t="array" ref="S203">IF(TRIM($D203)="","(tidak diisi)",IFERROR(INDEX(Kamus!$B$3:$B$28,MATCH(TRUE,ISNUMBER(SEARCH(Kamus!$A$3:$A$28,$D203)),0)),"Jabatan Lainnya"))</f>
        <v>Panitera</v>
      </c>
      <c r="T203" s="106" t="str" cm="1">
        <f t="array" ref="T203">IF(TRIM($I203)="","(tidak diisi)",IFERROR(INDEX(Kamus!$E$3:$E$162,MATCH(TRUE,ISNUMBER(SEARCH(Kamus!$D$3:$D$162,$I203)),0)),"Barang Lain / Tidak Terinci"))</f>
        <v>Peralatan Rumah Tangga / Pecah Belah</v>
      </c>
      <c r="U203" s="106" t="str" cm="1">
        <f t="array" ref="U203">IF(TRIM($I203)="","(tidak diisi)",IFERROR(INDEX(Kamus!$H$3:$H$75,MATCH(TRUE,ISNUMBER(SEARCH(Kamus!$G$3:$G$75,$I203)),0)),"Pemberian Umum / Tanpa Konteks"))</f>
        <v>Bingkisan Hari Raya / Keagamaan</v>
      </c>
      <c r="V203" s="106" t="str">
        <f t="shared" si="9"/>
        <v>2025</v>
      </c>
      <c r="W203" s="106" t="str" cm="1">
        <f t="array" ref="W203">IF(TRIM($K203)="","(tidak diisi)",IFERROR(INDEX(Kamus!$K$3:$K$118,MATCH(TRUE,ISNUMBER(SEARCH(Kamus!$J$3:$J$118,$K203)),0)),"Individu / Perorangan"))</f>
        <v>Pemerintah Daerah</v>
      </c>
      <c r="X203" s="106" t="str">
        <f t="shared" si="10"/>
        <v>03</v>
      </c>
      <c r="Y203" s="106" t="str" cm="1">
        <f t="array" ref="Y203">IFERROR(INDEX(Kamus!$N$3:$N$111,MATCH(TRUE,ISNUMBER(SEARCH(Kamus!$M$3:$M$111,$I203)),0)),"")</f>
        <v>Momen Hari Raya (Ramadan/Idulfitri)</v>
      </c>
      <c r="Z203" s="106" t="str">
        <f>IF(AND(OR($X203="02",$X203="03",$X203="04"),OR($T203="Parsel/Bingkisan (tidak dirinci)",$T203="Makanan &amp; Minuman",$T203="Peralatan Rumah Tangga / Pecah Belah",$T203="Pakaian &amp; Kain")),"Momen Hari Raya (dugaan musiman)",IFERROR(VLOOKUP($W203,Kamus!$P$3:$Q$14,2,FALSE),"Tidak Teridentifikasi"))</f>
        <v>Momen Hari Raya (dugaan musiman)</v>
      </c>
      <c r="AA203" s="106" t="str">
        <f t="shared" si="11"/>
        <v>Momen Hari Raya (Ramadan/Idulfitri)</v>
      </c>
    </row>
    <row r="204" spans="1:27">
      <c r="A204" s="106">
        <v>203</v>
      </c>
      <c r="B204" s="106" t="s">
        <v>2138</v>
      </c>
      <c r="C204" s="107" t="s">
        <v>2139</v>
      </c>
      <c r="D204" s="106" t="s">
        <v>1024</v>
      </c>
      <c r="E204" s="106" t="s">
        <v>1176</v>
      </c>
      <c r="F204" s="106" t="s">
        <v>2140</v>
      </c>
      <c r="G204" s="106" t="s">
        <v>1006</v>
      </c>
      <c r="H204" s="106" t="s">
        <v>2037</v>
      </c>
      <c r="I204" s="106" t="s">
        <v>2141</v>
      </c>
      <c r="J204" s="106">
        <v>60000</v>
      </c>
      <c r="K204" s="106" t="s">
        <v>2142</v>
      </c>
      <c r="L204" s="106" t="s">
        <v>2143</v>
      </c>
      <c r="M204" s="106" t="s">
        <v>1171</v>
      </c>
      <c r="N204" s="106" t="s">
        <v>2144</v>
      </c>
      <c r="O204" s="106" t="s">
        <v>274</v>
      </c>
      <c r="P204" s="106" t="s">
        <v>1181</v>
      </c>
      <c r="Q204" s="106" t="s">
        <v>429</v>
      </c>
      <c r="S204" s="106" t="str" cm="1">
        <f t="array" ref="S204">IF(TRIM($D204)="","(tidak diisi)",IFERROR(INDEX(Kamus!$B$3:$B$28,MATCH(TRUE,ISNUMBER(SEARCH(Kamus!$A$3:$A$28,$D204)),0)),"Jabatan Lainnya"))</f>
        <v>Sekretaris</v>
      </c>
      <c r="T204" s="106" t="str" cm="1">
        <f t="array" ref="T204">IF(TRIM($I204)="","(tidak diisi)",IFERROR(INDEX(Kamus!$E$3:$E$162,MATCH(TRUE,ISNUMBER(SEARCH(Kamus!$D$3:$D$162,$I204)),0)),"Barang Lain / Tidak Terinci"))</f>
        <v>Peralatan Rumah Tangga / Pecah Belah</v>
      </c>
      <c r="U204" s="106" t="str" cm="1">
        <f t="array" ref="U204">IF(TRIM($I204)="","(tidak diisi)",IFERROR(INDEX(Kamus!$H$3:$H$75,MATCH(TRUE,ISNUMBER(SEARCH(Kamus!$G$3:$G$75,$I204)),0)),"Pemberian Umum / Tanpa Konteks"))</f>
        <v>Parsel/Bingkisan Umum (non-hari raya)</v>
      </c>
      <c r="V204" s="106" t="str">
        <f t="shared" si="9"/>
        <v>2025</v>
      </c>
      <c r="W204" s="106" t="str" cm="1">
        <f t="array" ref="W204">IF(TRIM($K204)="","(tidak diisi)",IFERROR(INDEX(Kamus!$K$3:$K$118,MATCH(TRUE,ISNUMBER(SEARCH(Kamus!$J$3:$J$118,$K204)),0)),"Individu / Perorangan"))</f>
        <v>Bank &amp; Lembaga Keuangan</v>
      </c>
      <c r="X204" s="106" t="str">
        <f t="shared" si="10"/>
        <v>03</v>
      </c>
      <c r="Y204" s="106" t="str" cm="1">
        <f t="array" ref="Y204">IFERROR(INDEX(Kamus!$N$3:$N$111,MATCH(TRUE,ISNUMBER(SEARCH(Kamus!$M$3:$M$111,$I204)),0)),"")</f>
        <v/>
      </c>
      <c r="Z204" s="106" t="str">
        <f>IF(AND(OR($X204="02",$X204="03",$X204="04"),OR($T204="Parsel/Bingkisan (tidak dirinci)",$T204="Makanan &amp; Minuman",$T204="Peralatan Rumah Tangga / Pecah Belah",$T204="Pakaian &amp; Kain")),"Momen Hari Raya (dugaan musiman)",IFERROR(VLOOKUP($W204,Kamus!$P$3:$Q$14,2,FALSE),"Tidak Teridentifikasi"))</f>
        <v>Momen Hari Raya (dugaan musiman)</v>
      </c>
      <c r="AA204" s="106" t="str">
        <f t="shared" si="11"/>
        <v>Momen Hari Raya (dugaan musiman)</v>
      </c>
    </row>
    <row r="205" spans="1:27">
      <c r="A205" s="106">
        <v>204</v>
      </c>
      <c r="B205" s="106" t="s">
        <v>2005</v>
      </c>
      <c r="C205" s="107" t="s">
        <v>2006</v>
      </c>
      <c r="D205" s="106" t="s">
        <v>1843</v>
      </c>
      <c r="E205" s="106" t="s">
        <v>2007</v>
      </c>
      <c r="F205" s="106" t="s">
        <v>2145</v>
      </c>
      <c r="G205" s="106" t="s">
        <v>1006</v>
      </c>
      <c r="H205" s="106" t="s">
        <v>2054</v>
      </c>
      <c r="I205" s="106" t="s">
        <v>2055</v>
      </c>
      <c r="K205" s="106" t="s">
        <v>2146</v>
      </c>
      <c r="L205" s="106" t="s">
        <v>2147</v>
      </c>
      <c r="O205" s="106" t="s">
        <v>274</v>
      </c>
      <c r="P205" s="106" t="s">
        <v>2012</v>
      </c>
      <c r="Q205" s="106" t="s">
        <v>402</v>
      </c>
      <c r="S205" s="106" t="str" cm="1">
        <f t="array" ref="S205">IF(TRIM($D205)="","(tidak diisi)",IFERROR(INDEX(Kamus!$B$3:$B$28,MATCH(TRUE,ISNUMBER(SEARCH(Kamus!$A$3:$A$28,$D205)),0)),"Jabatan Lainnya"))</f>
        <v>Ketua Pengadilan</v>
      </c>
      <c r="T205" s="106" t="str" cm="1">
        <f t="array" ref="T205">IF(TRIM($I205)="","(tidak diisi)",IFERROR(INDEX(Kamus!$E$3:$E$162,MATCH(TRUE,ISNUMBER(SEARCH(Kamus!$D$3:$D$162,$I205)),0)),"Barang Lain / Tidak Terinci"))</f>
        <v>Makanan &amp; Minuman</v>
      </c>
      <c r="U205" s="106" t="str" cm="1">
        <f t="array" ref="U205">IF(TRIM($I205)="","(tidak diisi)",IFERROR(INDEX(Kamus!$H$3:$H$75,MATCH(TRUE,ISNUMBER(SEARCH(Kamus!$G$3:$G$75,$I205)),0)),"Pemberian Umum / Tanpa Konteks"))</f>
        <v>Parsel/Bingkisan Umum (non-hari raya)</v>
      </c>
      <c r="V205" s="106" t="str">
        <f t="shared" si="9"/>
        <v>2025</v>
      </c>
      <c r="W205" s="106" t="str" cm="1">
        <f t="array" ref="W205">IF(TRIM($K205)="","(tidak diisi)",IFERROR(INDEX(Kamus!$K$3:$K$118,MATCH(TRUE,ISNUMBER(SEARCH(Kamus!$J$3:$J$118,$K205)),0)),"Individu / Perorangan"))</f>
        <v>Bank &amp; Lembaga Keuangan</v>
      </c>
      <c r="X205" s="106" t="str">
        <f t="shared" si="10"/>
        <v>03</v>
      </c>
      <c r="Y205" s="106" t="str" cm="1">
        <f t="array" ref="Y205">IFERROR(INDEX(Kamus!$N$3:$N$111,MATCH(TRUE,ISNUMBER(SEARCH(Kamus!$M$3:$M$111,$I205)),0)),"")</f>
        <v/>
      </c>
      <c r="Z205" s="106" t="str">
        <f>IF(AND(OR($X205="02",$X205="03",$X205="04"),OR($T205="Parsel/Bingkisan (tidak dirinci)",$T205="Makanan &amp; Minuman",$T205="Peralatan Rumah Tangga / Pecah Belah",$T205="Pakaian &amp; Kain")),"Momen Hari Raya (dugaan musiman)",IFERROR(VLOOKUP($W205,Kamus!$P$3:$Q$14,2,FALSE),"Tidak Teridentifikasi"))</f>
        <v>Momen Hari Raya (dugaan musiman)</v>
      </c>
      <c r="AA205" s="106" t="str">
        <f t="shared" si="11"/>
        <v>Momen Hari Raya (dugaan musiman)</v>
      </c>
    </row>
    <row r="206" spans="1:27">
      <c r="A206" s="106">
        <v>205</v>
      </c>
      <c r="B206" s="106" t="s">
        <v>2148</v>
      </c>
      <c r="C206" s="107" t="s">
        <v>2149</v>
      </c>
      <c r="D206" s="106" t="s">
        <v>1600</v>
      </c>
      <c r="E206" s="106" t="s">
        <v>2150</v>
      </c>
      <c r="F206" s="106" t="s">
        <v>2151</v>
      </c>
      <c r="G206" s="106" t="s">
        <v>1006</v>
      </c>
      <c r="H206" s="106" t="s">
        <v>1918</v>
      </c>
      <c r="I206" s="106" t="s">
        <v>1945</v>
      </c>
      <c r="K206" s="106" t="s">
        <v>468</v>
      </c>
      <c r="L206" s="106" t="s">
        <v>2152</v>
      </c>
      <c r="O206" s="106" t="s">
        <v>274</v>
      </c>
      <c r="P206" s="106" t="s">
        <v>604</v>
      </c>
      <c r="Q206" s="106" t="s">
        <v>429</v>
      </c>
      <c r="S206" s="106" t="str" cm="1">
        <f t="array" ref="S206">IF(TRIM($D206)="","(tidak diisi)",IFERROR(INDEX(Kamus!$B$3:$B$28,MATCH(TRUE,ISNUMBER(SEARCH(Kamus!$A$3:$A$28,$D206)),0)),"Jabatan Lainnya"))</f>
        <v>Staf/Pegawai Pelaksana</v>
      </c>
      <c r="T206" s="106" t="str" cm="1">
        <f t="array" ref="T206">IF(TRIM($I206)="","(tidak diisi)",IFERROR(INDEX(Kamus!$E$3:$E$162,MATCH(TRUE,ISNUMBER(SEARCH(Kamus!$D$3:$D$162,$I206)),0)),"Barang Lain / Tidak Terinci"))</f>
        <v>Makanan &amp; Minuman</v>
      </c>
      <c r="U206" s="106" t="str" cm="1">
        <f t="array" ref="U206">IF(TRIM($I206)="","(tidak diisi)",IFERROR(INDEX(Kamus!$H$3:$H$75,MATCH(TRUE,ISNUMBER(SEARCH(Kamus!$G$3:$G$75,$I206)),0)),"Pemberian Umum / Tanpa Konteks"))</f>
        <v>Pemberian Umum / Tanpa Konteks</v>
      </c>
      <c r="V206" s="106" t="str">
        <f t="shared" si="9"/>
        <v>2025</v>
      </c>
      <c r="W206" s="106" t="str" cm="1">
        <f t="array" ref="W206">IF(TRIM($K206)="","(tidak diisi)",IFERROR(INDEX(Kamus!$K$3:$K$118,MATCH(TRUE,ISNUMBER(SEARCH(Kamus!$J$3:$J$118,$K206)),0)),"Individu / Perorangan"))</f>
        <v>Individu / Perorangan</v>
      </c>
      <c r="X206" s="106" t="str">
        <f t="shared" si="10"/>
        <v>03</v>
      </c>
      <c r="Y206" s="106" t="str" cm="1">
        <f t="array" ref="Y206">IFERROR(INDEX(Kamus!$N$3:$N$111,MATCH(TRUE,ISNUMBER(SEARCH(Kamus!$M$3:$M$111,$I206)),0)),"")</f>
        <v/>
      </c>
      <c r="Z206" s="106" t="str">
        <f>IF(AND(OR($X206="02",$X206="03",$X206="04"),OR($T206="Parsel/Bingkisan (tidak dirinci)",$T206="Makanan &amp; Minuman",$T206="Peralatan Rumah Tangga / Pecah Belah",$T206="Pakaian &amp; Kain")),"Momen Hari Raya (dugaan musiman)",IFERROR(VLOOKUP($W206,Kamus!$P$3:$Q$14,2,FALSE),"Tidak Teridentifikasi"))</f>
        <v>Momen Hari Raya (dugaan musiman)</v>
      </c>
      <c r="AA206" s="106" t="str">
        <f t="shared" si="11"/>
        <v>Momen Hari Raya (dugaan musiman)</v>
      </c>
    </row>
    <row r="207" spans="1:27">
      <c r="A207" s="106">
        <v>206</v>
      </c>
      <c r="B207" s="106" t="s">
        <v>1366</v>
      </c>
      <c r="C207" s="107" t="s">
        <v>1367</v>
      </c>
      <c r="D207" s="106" t="s">
        <v>1368</v>
      </c>
      <c r="E207" s="106" t="s">
        <v>1369</v>
      </c>
      <c r="F207" s="106" t="s">
        <v>2153</v>
      </c>
      <c r="G207" s="106" t="s">
        <v>1006</v>
      </c>
      <c r="H207" s="106" t="s">
        <v>2037</v>
      </c>
      <c r="I207" s="106" t="s">
        <v>2154</v>
      </c>
      <c r="J207" s="106">
        <v>145000</v>
      </c>
      <c r="K207" s="106" t="s">
        <v>2155</v>
      </c>
      <c r="L207" s="106" t="s">
        <v>2156</v>
      </c>
      <c r="M207" s="106" t="s">
        <v>1171</v>
      </c>
      <c r="N207" s="106" t="s">
        <v>2157</v>
      </c>
      <c r="O207" s="106" t="s">
        <v>274</v>
      </c>
      <c r="P207" s="106" t="s">
        <v>1376</v>
      </c>
      <c r="Q207" s="106" t="s">
        <v>427</v>
      </c>
      <c r="S207" s="106" t="str" cm="1">
        <f t="array" ref="S207">IF(TRIM($D207)="","(tidak diisi)",IFERROR(INDEX(Kamus!$B$3:$B$28,MATCH(TRUE,ISNUMBER(SEARCH(Kamus!$A$3:$A$28,$D207)),0)),"Jabatan Lainnya"))</f>
        <v>Sekretaris</v>
      </c>
      <c r="T207" s="106" t="str" cm="1">
        <f t="array" ref="T207">IF(TRIM($I207)="","(tidak diisi)",IFERROR(INDEX(Kamus!$E$3:$E$162,MATCH(TRUE,ISNUMBER(SEARCH(Kamus!$D$3:$D$162,$I207)),0)),"Barang Lain / Tidak Terinci"))</f>
        <v>Peralatan Rumah Tangga / Pecah Belah</v>
      </c>
      <c r="U207" s="106" t="str" cm="1">
        <f t="array" ref="U207">IF(TRIM($I207)="","(tidak diisi)",IFERROR(INDEX(Kamus!$H$3:$H$75,MATCH(TRUE,ISNUMBER(SEARCH(Kamus!$G$3:$G$75,$I207)),0)),"Pemberian Umum / Tanpa Konteks"))</f>
        <v>Parsel/Bingkisan Umum (non-hari raya)</v>
      </c>
      <c r="V207" s="106" t="str">
        <f t="shared" si="9"/>
        <v>2025</v>
      </c>
      <c r="W207" s="106" t="str" cm="1">
        <f t="array" ref="W207">IF(TRIM($K207)="","(tidak diisi)",IFERROR(INDEX(Kamus!$K$3:$K$118,MATCH(TRUE,ISNUMBER(SEARCH(Kamus!$J$3:$J$118,$K207)),0)),"Individu / Perorangan"))</f>
        <v>Bank &amp; Lembaga Keuangan</v>
      </c>
      <c r="X207" s="106" t="str">
        <f t="shared" si="10"/>
        <v>03</v>
      </c>
      <c r="Y207" s="106" t="str" cm="1">
        <f t="array" ref="Y207">IFERROR(INDEX(Kamus!$N$3:$N$111,MATCH(TRUE,ISNUMBER(SEARCH(Kamus!$M$3:$M$111,$I207)),0)),"")</f>
        <v/>
      </c>
      <c r="Z207" s="106" t="str">
        <f>IF(AND(OR($X207="02",$X207="03",$X207="04"),OR($T207="Parsel/Bingkisan (tidak dirinci)",$T207="Makanan &amp; Minuman",$T207="Peralatan Rumah Tangga / Pecah Belah",$T207="Pakaian &amp; Kain")),"Momen Hari Raya (dugaan musiman)",IFERROR(VLOOKUP($W207,Kamus!$P$3:$Q$14,2,FALSE),"Tidak Teridentifikasi"))</f>
        <v>Momen Hari Raya (dugaan musiman)</v>
      </c>
      <c r="AA207" s="106" t="str">
        <f t="shared" si="11"/>
        <v>Momen Hari Raya (dugaan musiman)</v>
      </c>
    </row>
    <row r="208" spans="1:27">
      <c r="A208" s="106">
        <v>207</v>
      </c>
      <c r="B208" s="106" t="s">
        <v>1727</v>
      </c>
      <c r="C208" s="107" t="s">
        <v>1728</v>
      </c>
      <c r="D208" s="106" t="s">
        <v>1042</v>
      </c>
      <c r="E208" s="106" t="s">
        <v>1729</v>
      </c>
      <c r="F208" s="106" t="s">
        <v>2158</v>
      </c>
      <c r="G208" s="106" t="s">
        <v>1006</v>
      </c>
      <c r="H208" s="106" t="s">
        <v>2054</v>
      </c>
      <c r="I208" s="106" t="s">
        <v>2159</v>
      </c>
      <c r="J208" s="106">
        <v>723170</v>
      </c>
      <c r="K208" s="106" t="s">
        <v>2160</v>
      </c>
      <c r="L208" s="106" t="s">
        <v>2161</v>
      </c>
      <c r="M208" s="106" t="s">
        <v>1171</v>
      </c>
      <c r="N208" s="106" t="s">
        <v>2162</v>
      </c>
      <c r="O208" s="106" t="s">
        <v>274</v>
      </c>
      <c r="Q208" s="106" t="s">
        <v>329</v>
      </c>
      <c r="S208" s="106" t="str" cm="1">
        <f t="array" ref="S208">IF(TRIM($D208)="","(tidak diisi)",IFERROR(INDEX(Kamus!$B$3:$B$28,MATCH(TRUE,ISNUMBER(SEARCH(Kamus!$A$3:$A$28,$D208)),0)),"Jabatan Lainnya"))</f>
        <v>Ketua Pengadilan</v>
      </c>
      <c r="T208" s="106" t="str" cm="1">
        <f t="array" ref="T208">IF(TRIM($I208)="","(tidak diisi)",IFERROR(INDEX(Kamus!$E$3:$E$162,MATCH(TRUE,ISNUMBER(SEARCH(Kamus!$D$3:$D$162,$I208)),0)),"Barang Lain / Tidak Terinci"))</f>
        <v>Peralatan Rumah Tangga / Pecah Belah</v>
      </c>
      <c r="U208" s="106" t="str" cm="1">
        <f t="array" ref="U208">IF(TRIM($I208)="","(tidak diisi)",IFERROR(INDEX(Kamus!$H$3:$H$75,MATCH(TRUE,ISNUMBER(SEARCH(Kamus!$G$3:$G$75,$I208)),0)),"Pemberian Umum / Tanpa Konteks"))</f>
        <v>Pemberian Umum / Tanpa Konteks</v>
      </c>
      <c r="V208" s="106" t="str">
        <f t="shared" si="9"/>
        <v>2025</v>
      </c>
      <c r="W208" s="106" t="str" cm="1">
        <f t="array" ref="W208">IF(TRIM($K208)="","(tidak diisi)",IFERROR(INDEX(Kamus!$K$3:$K$118,MATCH(TRUE,ISNUMBER(SEARCH(Kamus!$J$3:$J$118,$K208)),0)),"Individu / Perorangan"))</f>
        <v>Pemerintah Daerah</v>
      </c>
      <c r="X208" s="106" t="str">
        <f t="shared" si="10"/>
        <v>03</v>
      </c>
      <c r="Y208" s="106" t="str" cm="1">
        <f t="array" ref="Y208">IFERROR(INDEX(Kamus!$N$3:$N$111,MATCH(TRUE,ISNUMBER(SEARCH(Kamus!$M$3:$M$111,$I208)),0)),"")</f>
        <v/>
      </c>
      <c r="Z208" s="106" t="str">
        <f>IF(AND(OR($X208="02",$X208="03",$X208="04"),OR($T208="Parsel/Bingkisan (tidak dirinci)",$T208="Makanan &amp; Minuman",$T208="Peralatan Rumah Tangga / Pecah Belah",$T208="Pakaian &amp; Kain")),"Momen Hari Raya (dugaan musiman)",IFERROR(VLOOKUP($W208,Kamus!$P$3:$Q$14,2,FALSE),"Tidak Teridentifikasi"))</f>
        <v>Momen Hari Raya (dugaan musiman)</v>
      </c>
      <c r="AA208" s="106" t="str">
        <f t="shared" si="11"/>
        <v>Momen Hari Raya (dugaan musiman)</v>
      </c>
    </row>
    <row r="209" spans="1:27">
      <c r="A209" s="106">
        <v>208</v>
      </c>
      <c r="B209" s="106" t="s">
        <v>1629</v>
      </c>
      <c r="C209" s="107" t="s">
        <v>1630</v>
      </c>
      <c r="D209" s="106" t="s">
        <v>1631</v>
      </c>
      <c r="E209" s="106" t="s">
        <v>1632</v>
      </c>
      <c r="F209" s="106" t="s">
        <v>2163</v>
      </c>
      <c r="G209" s="106" t="s">
        <v>1074</v>
      </c>
      <c r="H209" s="106" t="s">
        <v>2164</v>
      </c>
      <c r="I209" s="106" t="s">
        <v>2165</v>
      </c>
      <c r="K209" s="106" t="s">
        <v>2166</v>
      </c>
      <c r="L209" s="106" t="s">
        <v>2167</v>
      </c>
      <c r="O209" s="106" t="s">
        <v>274</v>
      </c>
      <c r="P209" s="106" t="s">
        <v>472</v>
      </c>
      <c r="Q209" s="106" t="s">
        <v>402</v>
      </c>
      <c r="S209" s="106" t="str" cm="1">
        <f t="array" ref="S209">IF(TRIM($D209)="","(tidak diisi)",IFERROR(INDEX(Kamus!$B$3:$B$28,MATCH(TRUE,ISNUMBER(SEARCH(Kamus!$A$3:$A$28,$D209)),0)),"Jabatan Lainnya"))</f>
        <v>Ketua Pengadilan</v>
      </c>
      <c r="T209" s="106" t="str" cm="1">
        <f t="array" ref="T209">IF(TRIM($I209)="","(tidak diisi)",IFERROR(INDEX(Kamus!$E$3:$E$162,MATCH(TRUE,ISNUMBER(SEARCH(Kamus!$D$3:$D$162,$I209)),0)),"Barang Lain / Tidak Terinci"))</f>
        <v>Makanan &amp; Minuman</v>
      </c>
      <c r="U209" s="106" t="str" cm="1">
        <f t="array" ref="U209">IF(TRIM($I209)="","(tidak diisi)",IFERROR(INDEX(Kamus!$H$3:$H$75,MATCH(TRUE,ISNUMBER(SEARCH(Kamus!$G$3:$G$75,$I209)),0)),"Pemberian Umum / Tanpa Konteks"))</f>
        <v>Bingkisan Hari Raya / Keagamaan</v>
      </c>
      <c r="V209" s="106" t="str">
        <f t="shared" si="9"/>
        <v>2025</v>
      </c>
      <c r="W209" s="106" t="str" cm="1">
        <f t="array" ref="W209">IF(TRIM($K209)="","(tidak diisi)",IFERROR(INDEX(Kamus!$K$3:$K$118,MATCH(TRUE,ISNUMBER(SEARCH(Kamus!$J$3:$J$118,$K209)),0)),"Individu / Perorangan"))</f>
        <v>Individu / Perorangan</v>
      </c>
      <c r="X209" s="106" t="str">
        <f t="shared" si="10"/>
        <v>03</v>
      </c>
      <c r="Y209" s="106" t="str" cm="1">
        <f t="array" ref="Y209">IFERROR(INDEX(Kamus!$N$3:$N$111,MATCH(TRUE,ISNUMBER(SEARCH(Kamus!$M$3:$M$111,$I209)),0)),"")</f>
        <v>Momen Hari Raya (Ramadan/Idulfitri)</v>
      </c>
      <c r="Z209" s="106" t="str">
        <f>IF(AND(OR($X209="02",$X209="03",$X209="04"),OR($T209="Parsel/Bingkisan (tidak dirinci)",$T209="Makanan &amp; Minuman",$T209="Peralatan Rumah Tangga / Pecah Belah",$T209="Pakaian &amp; Kain")),"Momen Hari Raya (dugaan musiman)",IFERROR(VLOOKUP($W209,Kamus!$P$3:$Q$14,2,FALSE),"Tidak Teridentifikasi"))</f>
        <v>Momen Hari Raya (dugaan musiman)</v>
      </c>
      <c r="AA209" s="106" t="str">
        <f t="shared" si="11"/>
        <v>Momen Hari Raya (Ramadan/Idulfitri)</v>
      </c>
    </row>
    <row r="210" spans="1:27">
      <c r="A210" s="106">
        <v>209</v>
      </c>
      <c r="B210" s="106" t="s">
        <v>2168</v>
      </c>
      <c r="C210" s="107" t="s">
        <v>2169</v>
      </c>
      <c r="D210" s="106" t="s">
        <v>2170</v>
      </c>
      <c r="E210" s="106" t="s">
        <v>1005</v>
      </c>
      <c r="F210" s="106" t="s">
        <v>2171</v>
      </c>
      <c r="G210" s="106" t="s">
        <v>1006</v>
      </c>
      <c r="H210" s="106" t="s">
        <v>2037</v>
      </c>
      <c r="I210" s="106" t="s">
        <v>2172</v>
      </c>
      <c r="J210" s="106">
        <v>251000</v>
      </c>
      <c r="K210" s="106" t="s">
        <v>2173</v>
      </c>
      <c r="L210" s="106" t="s">
        <v>2174</v>
      </c>
      <c r="M210" s="106" t="s">
        <v>1360</v>
      </c>
      <c r="N210" s="106" t="s">
        <v>2175</v>
      </c>
      <c r="O210" s="106" t="s">
        <v>274</v>
      </c>
      <c r="S210" s="106" t="str" cm="1">
        <f t="array" ref="S210">IF(TRIM($D210)="","(tidak diisi)",IFERROR(INDEX(Kamus!$B$3:$B$28,MATCH(TRUE,ISNUMBER(SEARCH(Kamus!$A$3:$A$28,$D210)),0)),"Jabatan Lainnya"))</f>
        <v>Pejabat Struktural (Kasubbag/Kabag)</v>
      </c>
      <c r="T210" s="106" t="str" cm="1">
        <f t="array" ref="T210">IF(TRIM($I210)="","(tidak diisi)",IFERROR(INDEX(Kamus!$E$3:$E$162,MATCH(TRUE,ISNUMBER(SEARCH(Kamus!$D$3:$D$162,$I210)),0)),"Barang Lain / Tidak Terinci"))</f>
        <v>Makanan &amp; Minuman</v>
      </c>
      <c r="U210" s="106" t="str" cm="1">
        <f t="array" ref="U210">IF(TRIM($I210)="","(tidak diisi)",IFERROR(INDEX(Kamus!$H$3:$H$75,MATCH(TRUE,ISNUMBER(SEARCH(Kamus!$G$3:$G$75,$I210)),0)),"Pemberian Umum / Tanpa Konteks"))</f>
        <v>Bingkisan Hari Raya / Keagamaan</v>
      </c>
      <c r="V210" s="106" t="str">
        <f t="shared" si="9"/>
        <v>2025</v>
      </c>
      <c r="W210" s="106" t="str" cm="1">
        <f t="array" ref="W210">IF(TRIM($K210)="","(tidak diisi)",IFERROR(INDEX(Kamus!$K$3:$K$118,MATCH(TRUE,ISNUMBER(SEARCH(Kamus!$J$3:$J$118,$K210)),0)),"Individu / Perorangan"))</f>
        <v>Pemerintah Daerah</v>
      </c>
      <c r="X210" s="106" t="str">
        <f t="shared" si="10"/>
        <v>03</v>
      </c>
      <c r="Y210" s="106" t="str" cm="1">
        <f t="array" ref="Y210">IFERROR(INDEX(Kamus!$N$3:$N$111,MATCH(TRUE,ISNUMBER(SEARCH(Kamus!$M$3:$M$111,$I210)),0)),"")</f>
        <v>Momen Hari Raya (Ramadan/Idulfitri)</v>
      </c>
      <c r="Z210" s="106" t="str">
        <f>IF(AND(OR($X210="02",$X210="03",$X210="04"),OR($T210="Parsel/Bingkisan (tidak dirinci)",$T210="Makanan &amp; Minuman",$T210="Peralatan Rumah Tangga / Pecah Belah",$T210="Pakaian &amp; Kain")),"Momen Hari Raya (dugaan musiman)",IFERROR(VLOOKUP($W210,Kamus!$P$3:$Q$14,2,FALSE),"Tidak Teridentifikasi"))</f>
        <v>Momen Hari Raya (dugaan musiman)</v>
      </c>
      <c r="AA210" s="106" t="str">
        <f t="shared" si="11"/>
        <v>Momen Hari Raya (Ramadan/Idulfitri)</v>
      </c>
    </row>
    <row r="211" spans="1:27">
      <c r="A211" s="106">
        <v>210</v>
      </c>
      <c r="B211" s="106" t="s">
        <v>2168</v>
      </c>
      <c r="C211" s="107" t="s">
        <v>2169</v>
      </c>
      <c r="D211" s="106" t="s">
        <v>2170</v>
      </c>
      <c r="E211" s="106" t="s">
        <v>1005</v>
      </c>
      <c r="F211" s="106" t="s">
        <v>2171</v>
      </c>
      <c r="G211" s="106" t="s">
        <v>1006</v>
      </c>
      <c r="H211" s="106" t="s">
        <v>2037</v>
      </c>
      <c r="I211" s="106" t="s">
        <v>2176</v>
      </c>
      <c r="J211" s="106">
        <v>249000</v>
      </c>
      <c r="K211" s="106" t="s">
        <v>2173</v>
      </c>
      <c r="L211" s="106" t="s">
        <v>2174</v>
      </c>
      <c r="M211" s="106" t="s">
        <v>1171</v>
      </c>
      <c r="N211" s="106" t="s">
        <v>2175</v>
      </c>
      <c r="O211" s="106" t="s">
        <v>274</v>
      </c>
      <c r="S211" s="106" t="str" cm="1">
        <f t="array" ref="S211">IF(TRIM($D211)="","(tidak diisi)",IFERROR(INDEX(Kamus!$B$3:$B$28,MATCH(TRUE,ISNUMBER(SEARCH(Kamus!$A$3:$A$28,$D211)),0)),"Jabatan Lainnya"))</f>
        <v>Pejabat Struktural (Kasubbag/Kabag)</v>
      </c>
      <c r="T211" s="106" t="str" cm="1">
        <f t="array" ref="T211">IF(TRIM($I211)="","(tidak diisi)",IFERROR(INDEX(Kamus!$E$3:$E$162,MATCH(TRUE,ISNUMBER(SEARCH(Kamus!$D$3:$D$162,$I211)),0)),"Barang Lain / Tidak Terinci"))</f>
        <v>Peralatan Rumah Tangga / Pecah Belah</v>
      </c>
      <c r="U211" s="106" t="str" cm="1">
        <f t="array" ref="U211">IF(TRIM($I211)="","(tidak diisi)",IFERROR(INDEX(Kamus!$H$3:$H$75,MATCH(TRUE,ISNUMBER(SEARCH(Kamus!$G$3:$G$75,$I211)),0)),"Pemberian Umum / Tanpa Konteks"))</f>
        <v>Parsel/Bingkisan Umum (non-hari raya)</v>
      </c>
      <c r="V211" s="106" t="str">
        <f t="shared" si="9"/>
        <v>2025</v>
      </c>
      <c r="W211" s="106" t="str" cm="1">
        <f t="array" ref="W211">IF(TRIM($K211)="","(tidak diisi)",IFERROR(INDEX(Kamus!$K$3:$K$118,MATCH(TRUE,ISNUMBER(SEARCH(Kamus!$J$3:$J$118,$K211)),0)),"Individu / Perorangan"))</f>
        <v>Pemerintah Daerah</v>
      </c>
      <c r="X211" s="106" t="str">
        <f t="shared" si="10"/>
        <v>03</v>
      </c>
      <c r="Y211" s="106" t="str" cm="1">
        <f t="array" ref="Y211">IFERROR(INDEX(Kamus!$N$3:$N$111,MATCH(TRUE,ISNUMBER(SEARCH(Kamus!$M$3:$M$111,$I211)),0)),"")</f>
        <v/>
      </c>
      <c r="Z211" s="106" t="str">
        <f>IF(AND(OR($X211="02",$X211="03",$X211="04"),OR($T211="Parsel/Bingkisan (tidak dirinci)",$T211="Makanan &amp; Minuman",$T211="Peralatan Rumah Tangga / Pecah Belah",$T211="Pakaian &amp; Kain")),"Momen Hari Raya (dugaan musiman)",IFERROR(VLOOKUP($W211,Kamus!$P$3:$Q$14,2,FALSE),"Tidak Teridentifikasi"))</f>
        <v>Momen Hari Raya (dugaan musiman)</v>
      </c>
      <c r="AA211" s="106" t="str">
        <f t="shared" si="11"/>
        <v>Momen Hari Raya (dugaan musiman)</v>
      </c>
    </row>
    <row r="212" spans="1:27">
      <c r="A212" s="106">
        <v>211</v>
      </c>
      <c r="B212" s="106" t="s">
        <v>2177</v>
      </c>
      <c r="C212" s="107" t="s">
        <v>2178</v>
      </c>
      <c r="D212" s="106" t="s">
        <v>1033</v>
      </c>
      <c r="E212" s="106" t="s">
        <v>2179</v>
      </c>
      <c r="F212" s="106" t="s">
        <v>2180</v>
      </c>
      <c r="G212" s="106" t="s">
        <v>1006</v>
      </c>
      <c r="H212" s="106" t="s">
        <v>2054</v>
      </c>
      <c r="I212" s="106" t="s">
        <v>2181</v>
      </c>
      <c r="J212" s="106">
        <v>285000</v>
      </c>
      <c r="K212" s="106" t="s">
        <v>2182</v>
      </c>
      <c r="L212" s="106" t="s">
        <v>2183</v>
      </c>
      <c r="M212" s="106" t="s">
        <v>1360</v>
      </c>
      <c r="O212" s="106" t="s">
        <v>274</v>
      </c>
      <c r="P212" s="106" t="s">
        <v>2184</v>
      </c>
      <c r="Q212" s="106" t="s">
        <v>350</v>
      </c>
      <c r="S212" s="106" t="str" cm="1">
        <f t="array" ref="S212">IF(TRIM($D212)="","(tidak diisi)",IFERROR(INDEX(Kamus!$B$3:$B$28,MATCH(TRUE,ISNUMBER(SEARCH(Kamus!$A$3:$A$28,$D212)),0)),"Jabatan Lainnya"))</f>
        <v>Hakim</v>
      </c>
      <c r="T212" s="106" t="str" cm="1">
        <f t="array" ref="T212">IF(TRIM($I212)="","(tidak diisi)",IFERROR(INDEX(Kamus!$E$3:$E$162,MATCH(TRUE,ISNUMBER(SEARCH(Kamus!$D$3:$D$162,$I212)),0)),"Barang Lain / Tidak Terinci"))</f>
        <v>Peralatan Rumah Tangga / Pecah Belah</v>
      </c>
      <c r="U212" s="106" t="str" cm="1">
        <f t="array" ref="U212">IF(TRIM($I212)="","(tidak diisi)",IFERROR(INDEX(Kamus!$H$3:$H$75,MATCH(TRUE,ISNUMBER(SEARCH(Kamus!$G$3:$G$75,$I212)),0)),"Pemberian Umum / Tanpa Konteks"))</f>
        <v>Bingkisan Hari Raya / Keagamaan</v>
      </c>
      <c r="V212" s="106" t="str">
        <f t="shared" si="9"/>
        <v>2025</v>
      </c>
      <c r="W212" s="106" t="str" cm="1">
        <f t="array" ref="W212">IF(TRIM($K212)="","(tidak diisi)",IFERROR(INDEX(Kamus!$K$3:$K$118,MATCH(TRUE,ISNUMBER(SEARCH(Kamus!$J$3:$J$118,$K212)),0)),"Individu / Perorangan"))</f>
        <v>Individu / Perorangan</v>
      </c>
      <c r="X212" s="106" t="str">
        <f t="shared" si="10"/>
        <v>03</v>
      </c>
      <c r="Y212" s="106" t="str" cm="1">
        <f t="array" ref="Y212">IFERROR(INDEX(Kamus!$N$3:$N$111,MATCH(TRUE,ISNUMBER(SEARCH(Kamus!$M$3:$M$111,$I212)),0)),"")</f>
        <v>Momen Hari Raya (Ramadan/Idulfitri)</v>
      </c>
      <c r="Z212" s="106" t="str">
        <f>IF(AND(OR($X212="02",$X212="03",$X212="04"),OR($T212="Parsel/Bingkisan (tidak dirinci)",$T212="Makanan &amp; Minuman",$T212="Peralatan Rumah Tangga / Pecah Belah",$T212="Pakaian &amp; Kain")),"Momen Hari Raya (dugaan musiman)",IFERROR(VLOOKUP($W212,Kamus!$P$3:$Q$14,2,FALSE),"Tidak Teridentifikasi"))</f>
        <v>Momen Hari Raya (dugaan musiman)</v>
      </c>
      <c r="AA212" s="106" t="str">
        <f t="shared" si="11"/>
        <v>Momen Hari Raya (Ramadan/Idulfitri)</v>
      </c>
    </row>
    <row r="213" spans="1:27">
      <c r="A213" s="106">
        <v>212</v>
      </c>
      <c r="B213" s="106" t="s">
        <v>2185</v>
      </c>
      <c r="C213" s="107" t="s">
        <v>2186</v>
      </c>
      <c r="D213" s="106" t="s">
        <v>1319</v>
      </c>
      <c r="E213" s="106" t="s">
        <v>2187</v>
      </c>
      <c r="F213" s="106" t="s">
        <v>2188</v>
      </c>
      <c r="G213" s="106" t="s">
        <v>1006</v>
      </c>
      <c r="H213" s="106" t="s">
        <v>2054</v>
      </c>
      <c r="I213" s="106" t="s">
        <v>2055</v>
      </c>
      <c r="K213" s="106" t="s">
        <v>2189</v>
      </c>
      <c r="L213" s="106" t="s">
        <v>2190</v>
      </c>
      <c r="O213" s="106" t="s">
        <v>274</v>
      </c>
      <c r="P213" s="106" t="s">
        <v>2191</v>
      </c>
      <c r="Q213" s="106" t="s">
        <v>314</v>
      </c>
      <c r="S213" s="106" t="str" cm="1">
        <f t="array" ref="S213">IF(TRIM($D213)="","(tidak diisi)",IFERROR(INDEX(Kamus!$B$3:$B$28,MATCH(TRUE,ISNUMBER(SEARCH(Kamus!$A$3:$A$28,$D213)),0)),"Jabatan Lainnya"))</f>
        <v>Wakil Ketua Pengadilan</v>
      </c>
      <c r="T213" s="106" t="str" cm="1">
        <f t="array" ref="T213">IF(TRIM($I213)="","(tidak diisi)",IFERROR(INDEX(Kamus!$E$3:$E$162,MATCH(TRUE,ISNUMBER(SEARCH(Kamus!$D$3:$D$162,$I213)),0)),"Barang Lain / Tidak Terinci"))</f>
        <v>Makanan &amp; Minuman</v>
      </c>
      <c r="U213" s="106" t="str" cm="1">
        <f t="array" ref="U213">IF(TRIM($I213)="","(tidak diisi)",IFERROR(INDEX(Kamus!$H$3:$H$75,MATCH(TRUE,ISNUMBER(SEARCH(Kamus!$G$3:$G$75,$I213)),0)),"Pemberian Umum / Tanpa Konteks"))</f>
        <v>Parsel/Bingkisan Umum (non-hari raya)</v>
      </c>
      <c r="V213" s="106" t="str">
        <f t="shared" si="9"/>
        <v>2025</v>
      </c>
      <c r="W213" s="106" t="str" cm="1">
        <f t="array" ref="W213">IF(TRIM($K213)="","(tidak diisi)",IFERROR(INDEX(Kamus!$K$3:$K$118,MATCH(TRUE,ISNUMBER(SEARCH(Kamus!$J$3:$J$118,$K213)),0)),"Individu / Perorangan"))</f>
        <v>Individu / Perorangan</v>
      </c>
      <c r="X213" s="106" t="str">
        <f t="shared" si="10"/>
        <v>03</v>
      </c>
      <c r="Y213" s="106" t="str" cm="1">
        <f t="array" ref="Y213">IFERROR(INDEX(Kamus!$N$3:$N$111,MATCH(TRUE,ISNUMBER(SEARCH(Kamus!$M$3:$M$111,$I213)),0)),"")</f>
        <v/>
      </c>
      <c r="Z213" s="106" t="str">
        <f>IF(AND(OR($X213="02",$X213="03",$X213="04"),OR($T213="Parsel/Bingkisan (tidak dirinci)",$T213="Makanan &amp; Minuman",$T213="Peralatan Rumah Tangga / Pecah Belah",$T213="Pakaian &amp; Kain")),"Momen Hari Raya (dugaan musiman)",IFERROR(VLOOKUP($W213,Kamus!$P$3:$Q$14,2,FALSE),"Tidak Teridentifikasi"))</f>
        <v>Momen Hari Raya (dugaan musiman)</v>
      </c>
      <c r="AA213" s="106" t="str">
        <f t="shared" si="11"/>
        <v>Momen Hari Raya (dugaan musiman)</v>
      </c>
    </row>
    <row r="214" spans="1:27">
      <c r="A214" s="106">
        <v>213</v>
      </c>
      <c r="B214" s="106" t="s">
        <v>1662</v>
      </c>
      <c r="C214" s="107" t="s">
        <v>1663</v>
      </c>
      <c r="D214" s="106" t="s">
        <v>1664</v>
      </c>
      <c r="E214" s="106" t="s">
        <v>1166</v>
      </c>
      <c r="F214" s="106" t="s">
        <v>2192</v>
      </c>
      <c r="G214" s="106" t="s">
        <v>1006</v>
      </c>
      <c r="H214" s="106" t="s">
        <v>2193</v>
      </c>
      <c r="I214" s="106" t="s">
        <v>1017</v>
      </c>
      <c r="J214" s="106">
        <v>50000</v>
      </c>
      <c r="K214" s="106" t="s">
        <v>2194</v>
      </c>
      <c r="L214" s="106" t="s">
        <v>2195</v>
      </c>
      <c r="M214" s="106" t="s">
        <v>1020</v>
      </c>
      <c r="O214" s="106" t="s">
        <v>274</v>
      </c>
      <c r="P214" s="106" t="s">
        <v>1173</v>
      </c>
      <c r="Q214" s="106" t="s">
        <v>431</v>
      </c>
      <c r="S214" s="106" t="str" cm="1">
        <f t="array" ref="S214">IF(TRIM($D214)="","(tidak diisi)",IFERROR(INDEX(Kamus!$B$3:$B$28,MATCH(TRUE,ISNUMBER(SEARCH(Kamus!$A$3:$A$28,$D214)),0)),"Jabatan Lainnya"))</f>
        <v>Staf/Pegawai Pelaksana</v>
      </c>
      <c r="T214" s="106" t="str" cm="1">
        <f t="array" ref="T214">IF(TRIM($I214)="","(tidak diisi)",IFERROR(INDEX(Kamus!$E$3:$E$162,MATCH(TRUE,ISNUMBER(SEARCH(Kamus!$D$3:$D$162,$I214)),0)),"Barang Lain / Tidak Terinci"))</f>
        <v>Uang &amp; Setara Uang</v>
      </c>
      <c r="U214" s="106" t="str" cm="1">
        <f t="array" ref="U214">IF(TRIM($I214)="","(tidak diisi)",IFERROR(INDEX(Kamus!$H$3:$H$75,MATCH(TRUE,ISNUMBER(SEARCH(Kamus!$G$3:$G$75,$I214)),0)),"Pemberian Umum / Tanpa Konteks"))</f>
        <v>Pemberian Uang Langsung</v>
      </c>
      <c r="V214" s="106" t="str">
        <f t="shared" si="9"/>
        <v>2025</v>
      </c>
      <c r="W214" s="106" t="str" cm="1">
        <f t="array" ref="W214">IF(TRIM($K214)="","(tidak diisi)",IFERROR(INDEX(Kamus!$K$3:$K$118,MATCH(TRUE,ISNUMBER(SEARCH(Kamus!$J$3:$J$118,$K214)),0)),"Individu / Perorangan"))</f>
        <v>Aparat/Instansi Penegak Hukum &amp; Vertikal</v>
      </c>
      <c r="X214" s="106" t="str">
        <f t="shared" si="10"/>
        <v>03</v>
      </c>
      <c r="Y214" s="106" t="str" cm="1">
        <f t="array" ref="Y214">IFERROR(INDEX(Kamus!$N$3:$N$111,MATCH(TRUE,ISNUMBER(SEARCH(Kamus!$M$3:$M$111,$I214)),0)),"")</f>
        <v/>
      </c>
      <c r="Z214" s="106" t="str">
        <f>IF(AND(OR($X214="02",$X214="03",$X214="04"),OR($T214="Parsel/Bingkisan (tidak dirinci)",$T214="Makanan &amp; Minuman",$T214="Peralatan Rumah Tangga / Pecah Belah",$T214="Pakaian &amp; Kain")),"Momen Hari Raya (dugaan musiman)",IFERROR(VLOOKUP($W214,Kamus!$P$3:$Q$14,2,FALSE),"Tidak Teridentifikasi"))</f>
        <v>Koordinasi Antarinstansi (dugaan)</v>
      </c>
      <c r="AA214" s="106" t="str">
        <f t="shared" si="11"/>
        <v>Koordinasi Antarinstansi (dugaan)</v>
      </c>
    </row>
    <row r="215" spans="1:27">
      <c r="A215" s="106">
        <v>214</v>
      </c>
      <c r="B215" s="106" t="s">
        <v>2196</v>
      </c>
      <c r="C215" s="107" t="s">
        <v>2197</v>
      </c>
      <c r="D215" s="106" t="s">
        <v>2198</v>
      </c>
      <c r="E215" s="106" t="s">
        <v>2199</v>
      </c>
      <c r="F215" s="106" t="s">
        <v>2200</v>
      </c>
      <c r="G215" s="106" t="s">
        <v>1006</v>
      </c>
      <c r="H215" s="106" t="s">
        <v>2193</v>
      </c>
      <c r="I215" s="106" t="s">
        <v>2201</v>
      </c>
      <c r="K215" s="106" t="s">
        <v>2202</v>
      </c>
      <c r="L215" s="106" t="s">
        <v>2203</v>
      </c>
      <c r="O215" s="106" t="s">
        <v>274</v>
      </c>
      <c r="Q215" s="106" t="s">
        <v>335</v>
      </c>
      <c r="S215" s="106" t="str" cm="1">
        <f t="array" ref="S215">IF(TRIM($D215)="","(tidak diisi)",IFERROR(INDEX(Kamus!$B$3:$B$28,MATCH(TRUE,ISNUMBER(SEARCH(Kamus!$A$3:$A$28,$D215)),0)),"Jabatan Lainnya"))</f>
        <v>Wakil Ketua Pengadilan</v>
      </c>
      <c r="T215" s="106" t="str" cm="1">
        <f t="array" ref="T215">IF(TRIM($I215)="","(tidak diisi)",IFERROR(INDEX(Kamus!$E$3:$E$162,MATCH(TRUE,ISNUMBER(SEARCH(Kamus!$D$3:$D$162,$I215)),0)),"Barang Lain / Tidak Terinci"))</f>
        <v>Makanan &amp; Minuman</v>
      </c>
      <c r="U215" s="106" t="str" cm="1">
        <f t="array" ref="U215">IF(TRIM($I215)="","(tidak diisi)",IFERROR(INDEX(Kamus!$H$3:$H$75,MATCH(TRUE,ISNUMBER(SEARCH(Kamus!$G$3:$G$75,$I215)),0)),"Pemberian Umum / Tanpa Konteks"))</f>
        <v>Pemberian Umum / Tanpa Konteks</v>
      </c>
      <c r="V215" s="106" t="str">
        <f t="shared" si="9"/>
        <v>2025</v>
      </c>
      <c r="W215" s="106" t="str" cm="1">
        <f t="array" ref="W215">IF(TRIM($K215)="","(tidak diisi)",IFERROR(INDEX(Kamus!$K$3:$K$118,MATCH(TRUE,ISNUMBER(SEARCH(Kamus!$J$3:$J$118,$K215)),0)),"Individu / Perorangan"))</f>
        <v>Individu / Perorangan</v>
      </c>
      <c r="X215" s="106" t="str">
        <f t="shared" si="10"/>
        <v>03</v>
      </c>
      <c r="Y215" s="106" t="str" cm="1">
        <f t="array" ref="Y215">IFERROR(INDEX(Kamus!$N$3:$N$111,MATCH(TRUE,ISNUMBER(SEARCH(Kamus!$M$3:$M$111,$I215)),0)),"")</f>
        <v/>
      </c>
      <c r="Z215" s="106" t="str">
        <f>IF(AND(OR($X215="02",$X215="03",$X215="04"),OR($T215="Parsel/Bingkisan (tidak dirinci)",$T215="Makanan &amp; Minuman",$T215="Peralatan Rumah Tangga / Pecah Belah",$T215="Pakaian &amp; Kain")),"Momen Hari Raya (dugaan musiman)",IFERROR(VLOOKUP($W215,Kamus!$P$3:$Q$14,2,FALSE),"Tidak Teridentifikasi"))</f>
        <v>Momen Hari Raya (dugaan musiman)</v>
      </c>
      <c r="AA215" s="106" t="str">
        <f t="shared" si="11"/>
        <v>Momen Hari Raya (dugaan musiman)</v>
      </c>
    </row>
    <row r="216" spans="1:27">
      <c r="A216" s="106">
        <v>215</v>
      </c>
      <c r="B216" s="106" t="s">
        <v>1452</v>
      </c>
      <c r="C216" s="107" t="s">
        <v>1453</v>
      </c>
      <c r="D216" s="106" t="s">
        <v>1454</v>
      </c>
      <c r="E216" s="106" t="s">
        <v>1166</v>
      </c>
      <c r="F216" s="106" t="s">
        <v>2204</v>
      </c>
      <c r="G216" s="106" t="s">
        <v>1006</v>
      </c>
      <c r="H216" s="106" t="s">
        <v>2193</v>
      </c>
      <c r="I216" s="106" t="s">
        <v>2205</v>
      </c>
      <c r="J216" s="106">
        <v>365000</v>
      </c>
      <c r="K216" s="106" t="s">
        <v>2206</v>
      </c>
      <c r="L216" s="106" t="s">
        <v>2207</v>
      </c>
      <c r="M216" s="106" t="s">
        <v>1020</v>
      </c>
      <c r="O216" s="106" t="s">
        <v>274</v>
      </c>
      <c r="P216" s="106" t="s">
        <v>1173</v>
      </c>
      <c r="Q216" s="106" t="s">
        <v>431</v>
      </c>
      <c r="S216" s="106" t="str" cm="1">
        <f t="array" ref="S216">IF(TRIM($D216)="","(tidak diisi)",IFERROR(INDEX(Kamus!$B$3:$B$28,MATCH(TRUE,ISNUMBER(SEARCH(Kamus!$A$3:$A$28,$D216)),0)),"Jabatan Lainnya"))</f>
        <v>Panitera</v>
      </c>
      <c r="T216" s="106" t="str" cm="1">
        <f t="array" ref="T216">IF(TRIM($I216)="","(tidak diisi)",IFERROR(INDEX(Kamus!$E$3:$E$162,MATCH(TRUE,ISNUMBER(SEARCH(Kamus!$D$3:$D$162,$I216)),0)),"Barang Lain / Tidak Terinci"))</f>
        <v>Uang &amp; Setara Uang</v>
      </c>
      <c r="U216" s="106" t="str" cm="1">
        <f t="array" ref="U216">IF(TRIM($I216)="","(tidak diisi)",IFERROR(INDEX(Kamus!$H$3:$H$75,MATCH(TRUE,ISNUMBER(SEARCH(Kamus!$G$3:$G$75,$I216)),0)),"Pemberian Umum / Tanpa Konteks"))</f>
        <v>Honor / Uang Kegiatan</v>
      </c>
      <c r="V216" s="106" t="str">
        <f t="shared" si="9"/>
        <v>2025</v>
      </c>
      <c r="W216" s="106" t="str" cm="1">
        <f t="array" ref="W216">IF(TRIM($K216)="","(tidak diisi)",IFERROR(INDEX(Kamus!$K$3:$K$118,MATCH(TRUE,ISNUMBER(SEARCH(Kamus!$J$3:$J$118,$K216)),0)),"Individu / Perorangan"))</f>
        <v>Individu / Perorangan</v>
      </c>
      <c r="X216" s="106" t="str">
        <f t="shared" si="10"/>
        <v>03</v>
      </c>
      <c r="Y216" s="106" t="str" cm="1">
        <f t="array" ref="Y216">IFERROR(INDEX(Kamus!$N$3:$N$111,MATCH(TRUE,ISNUMBER(SEARCH(Kamus!$M$3:$M$111,$I216)),0)),"")</f>
        <v>Kegiatan Keagamaan Dinas (Rukyatul Hilal)</v>
      </c>
      <c r="Z216" s="106" t="str">
        <f>IF(AND(OR($X216="02",$X216="03",$X216="04"),OR($T216="Parsel/Bingkisan (tidak dirinci)",$T216="Makanan &amp; Minuman",$T216="Peralatan Rumah Tangga / Pecah Belah",$T216="Pakaian &amp; Kain")),"Momen Hari Raya (dugaan musiman)",IFERROR(VLOOKUP($W216,Kamus!$P$3:$Q$14,2,FALSE),"Tidak Teridentifikasi"))</f>
        <v>Relasi Personal / Tidak Teridentifikasi</v>
      </c>
      <c r="AA216" s="106" t="str">
        <f t="shared" si="11"/>
        <v>Kegiatan Keagamaan Dinas (Rukyatul Hilal)</v>
      </c>
    </row>
    <row r="217" spans="1:27">
      <c r="A217" s="106">
        <v>216</v>
      </c>
      <c r="B217" s="106" t="s">
        <v>2208</v>
      </c>
      <c r="C217" s="107" t="s">
        <v>2209</v>
      </c>
      <c r="D217" s="106" t="s">
        <v>2210</v>
      </c>
      <c r="E217" s="106" t="s">
        <v>2211</v>
      </c>
      <c r="F217" s="106" t="s">
        <v>2212</v>
      </c>
      <c r="G217" s="106" t="s">
        <v>1006</v>
      </c>
      <c r="H217" s="106" t="s">
        <v>2213</v>
      </c>
      <c r="I217" s="106" t="s">
        <v>2214</v>
      </c>
      <c r="K217" s="106" t="s">
        <v>2215</v>
      </c>
      <c r="L217" s="106" t="s">
        <v>2216</v>
      </c>
      <c r="O217" s="106" t="s">
        <v>274</v>
      </c>
      <c r="P217" s="106" t="s">
        <v>2217</v>
      </c>
      <c r="Q217" s="106" t="s">
        <v>439</v>
      </c>
      <c r="S217" s="106" t="str" cm="1">
        <f t="array" ref="S217">IF(TRIM($D217)="","(tidak diisi)",IFERROR(INDEX(Kamus!$B$3:$B$28,MATCH(TRUE,ISNUMBER(SEARCH(Kamus!$A$3:$A$28,$D217)),0)),"Jabatan Lainnya"))</f>
        <v>Ketua Pengadilan</v>
      </c>
      <c r="T217" s="106" t="str" cm="1">
        <f t="array" ref="T217">IF(TRIM($I217)="","(tidak diisi)",IFERROR(INDEX(Kamus!$E$3:$E$162,MATCH(TRUE,ISNUMBER(SEARCH(Kamus!$D$3:$D$162,$I217)),0)),"Barang Lain / Tidak Terinci"))</f>
        <v>Parsel/Bingkisan (tidak dirinci)</v>
      </c>
      <c r="U217" s="106" t="str" cm="1">
        <f t="array" ref="U217">IF(TRIM($I217)="","(tidak diisi)",IFERROR(INDEX(Kamus!$H$3:$H$75,MATCH(TRUE,ISNUMBER(SEARCH(Kamus!$G$3:$G$75,$I217)),0)),"Pemberian Umum / Tanpa Konteks"))</f>
        <v>Bingkisan Hari Raya / Keagamaan</v>
      </c>
      <c r="V217" s="106" t="str">
        <f t="shared" si="9"/>
        <v>2025</v>
      </c>
      <c r="W217" s="106" t="str" cm="1">
        <f t="array" ref="W217">IF(TRIM($K217)="","(tidak diisi)",IFERROR(INDEX(Kamus!$K$3:$K$118,MATCH(TRUE,ISNUMBER(SEARCH(Kamus!$J$3:$J$118,$K217)),0)),"Individu / Perorangan"))</f>
        <v>Bank &amp; Lembaga Keuangan</v>
      </c>
      <c r="X217" s="106" t="str">
        <f t="shared" si="10"/>
        <v>04</v>
      </c>
      <c r="Y217" s="106" t="str" cm="1">
        <f t="array" ref="Y217">IFERROR(INDEX(Kamus!$N$3:$N$111,MATCH(TRUE,ISNUMBER(SEARCH(Kamus!$M$3:$M$111,$I217)),0)),"")</f>
        <v>Momen Hari Raya (Ramadan/Idulfitri)</v>
      </c>
      <c r="Z217" s="106" t="str">
        <f>IF(AND(OR($X217="02",$X217="03",$X217="04"),OR($T217="Parsel/Bingkisan (tidak dirinci)",$T217="Makanan &amp; Minuman",$T217="Peralatan Rumah Tangga / Pecah Belah",$T217="Pakaian &amp; Kain")),"Momen Hari Raya (dugaan musiman)",IFERROR(VLOOKUP($W217,Kamus!$P$3:$Q$14,2,FALSE),"Tidak Teridentifikasi"))</f>
        <v>Momen Hari Raya (dugaan musiman)</v>
      </c>
      <c r="AA217" s="106" t="str">
        <f t="shared" si="11"/>
        <v>Momen Hari Raya (Ramadan/Idulfitri)</v>
      </c>
    </row>
    <row r="218" spans="1:27">
      <c r="A218" s="106">
        <v>217</v>
      </c>
      <c r="B218" s="106" t="s">
        <v>2218</v>
      </c>
      <c r="C218" s="107" t="s">
        <v>2219</v>
      </c>
      <c r="D218" s="106" t="s">
        <v>1042</v>
      </c>
      <c r="E218" s="106" t="s">
        <v>2220</v>
      </c>
      <c r="F218" s="106" t="s">
        <v>2221</v>
      </c>
      <c r="G218" s="106" t="s">
        <v>1006</v>
      </c>
      <c r="H218" s="106" t="s">
        <v>1991</v>
      </c>
      <c r="I218" s="106" t="s">
        <v>2222</v>
      </c>
      <c r="J218" s="106">
        <v>276400</v>
      </c>
      <c r="K218" s="106" t="s">
        <v>2223</v>
      </c>
      <c r="L218" s="106" t="s">
        <v>2224</v>
      </c>
      <c r="M218" s="106" t="s">
        <v>1360</v>
      </c>
      <c r="N218" s="106" t="s">
        <v>2225</v>
      </c>
      <c r="O218" s="106" t="s">
        <v>274</v>
      </c>
      <c r="P218" s="106" t="s">
        <v>2226</v>
      </c>
      <c r="Q218" s="106" t="s">
        <v>427</v>
      </c>
      <c r="S218" s="106" t="str" cm="1">
        <f t="array" ref="S218">IF(TRIM($D218)="","(tidak diisi)",IFERROR(INDEX(Kamus!$B$3:$B$28,MATCH(TRUE,ISNUMBER(SEARCH(Kamus!$A$3:$A$28,$D218)),0)),"Jabatan Lainnya"))</f>
        <v>Ketua Pengadilan</v>
      </c>
      <c r="T218" s="106" t="str" cm="1">
        <f t="array" ref="T218">IF(TRIM($I218)="","(tidak diisi)",IFERROR(INDEX(Kamus!$E$3:$E$162,MATCH(TRUE,ISNUMBER(SEARCH(Kamus!$D$3:$D$162,$I218)),0)),"Barang Lain / Tidak Terinci"))</f>
        <v>Makanan &amp; Minuman</v>
      </c>
      <c r="U218" s="106" t="str" cm="1">
        <f t="array" ref="U218">IF(TRIM($I218)="","(tidak diisi)",IFERROR(INDEX(Kamus!$H$3:$H$75,MATCH(TRUE,ISNUMBER(SEARCH(Kamus!$G$3:$G$75,$I218)),0)),"Pemberian Umum / Tanpa Konteks"))</f>
        <v>Pemberian Umum / Tanpa Konteks</v>
      </c>
      <c r="V218" s="106" t="str">
        <f t="shared" si="9"/>
        <v>2025</v>
      </c>
      <c r="W218" s="106" t="str" cm="1">
        <f t="array" ref="W218">IF(TRIM($K218)="","(tidak diisi)",IFERROR(INDEX(Kamus!$K$3:$K$118,MATCH(TRUE,ISNUMBER(SEARCH(Kamus!$J$3:$J$118,$K218)),0)),"Individu / Perorangan"))</f>
        <v>Pemerintah Daerah</v>
      </c>
      <c r="X218" s="106" t="str">
        <f t="shared" si="10"/>
        <v>03</v>
      </c>
      <c r="Y218" s="106" t="str" cm="1">
        <f t="array" ref="Y218">IFERROR(INDEX(Kamus!$N$3:$N$111,MATCH(TRUE,ISNUMBER(SEARCH(Kamus!$M$3:$M$111,$I218)),0)),"")</f>
        <v/>
      </c>
      <c r="Z218" s="106" t="str">
        <f>IF(AND(OR($X218="02",$X218="03",$X218="04"),OR($T218="Parsel/Bingkisan (tidak dirinci)",$T218="Makanan &amp; Minuman",$T218="Peralatan Rumah Tangga / Pecah Belah",$T218="Pakaian &amp; Kain")),"Momen Hari Raya (dugaan musiman)",IFERROR(VLOOKUP($W218,Kamus!$P$3:$Q$14,2,FALSE),"Tidak Teridentifikasi"))</f>
        <v>Momen Hari Raya (dugaan musiman)</v>
      </c>
      <c r="AA218" s="106" t="str">
        <f t="shared" si="11"/>
        <v>Momen Hari Raya (dugaan musiman)</v>
      </c>
    </row>
    <row r="219" spans="1:27">
      <c r="A219" s="106">
        <v>218</v>
      </c>
      <c r="B219" s="106" t="s">
        <v>2218</v>
      </c>
      <c r="C219" s="107" t="s">
        <v>2219</v>
      </c>
      <c r="D219" s="106" t="s">
        <v>1042</v>
      </c>
      <c r="E219" s="106" t="s">
        <v>2220</v>
      </c>
      <c r="F219" s="106" t="s">
        <v>2221</v>
      </c>
      <c r="G219" s="106" t="s">
        <v>1006</v>
      </c>
      <c r="H219" s="106" t="s">
        <v>1991</v>
      </c>
      <c r="I219" s="106" t="s">
        <v>2227</v>
      </c>
      <c r="J219" s="106">
        <v>100000</v>
      </c>
      <c r="K219" s="106" t="s">
        <v>2228</v>
      </c>
      <c r="L219" s="106" t="s">
        <v>2224</v>
      </c>
      <c r="M219" s="106" t="s">
        <v>1171</v>
      </c>
      <c r="N219" s="106" t="s">
        <v>2225</v>
      </c>
      <c r="O219" s="106" t="s">
        <v>274</v>
      </c>
      <c r="P219" s="106" t="s">
        <v>2226</v>
      </c>
      <c r="Q219" s="106" t="s">
        <v>427</v>
      </c>
      <c r="S219" s="106" t="str" cm="1">
        <f t="array" ref="S219">IF(TRIM($D219)="","(tidak diisi)",IFERROR(INDEX(Kamus!$B$3:$B$28,MATCH(TRUE,ISNUMBER(SEARCH(Kamus!$A$3:$A$28,$D219)),0)),"Jabatan Lainnya"))</f>
        <v>Ketua Pengadilan</v>
      </c>
      <c r="T219" s="106" t="str" cm="1">
        <f t="array" ref="T219">IF(TRIM($I219)="","(tidak diisi)",IFERROR(INDEX(Kamus!$E$3:$E$162,MATCH(TRUE,ISNUMBER(SEARCH(Kamus!$D$3:$D$162,$I219)),0)),"Barang Lain / Tidak Terinci"))</f>
        <v>Pakaian &amp; Kain</v>
      </c>
      <c r="U219" s="106" t="str" cm="1">
        <f t="array" ref="U219">IF(TRIM($I219)="","(tidak diisi)",IFERROR(INDEX(Kamus!$H$3:$H$75,MATCH(TRUE,ISNUMBER(SEARCH(Kamus!$G$3:$G$75,$I219)),0)),"Pemberian Umum / Tanpa Konteks"))</f>
        <v>Pemberian Umum / Tanpa Konteks</v>
      </c>
      <c r="V219" s="106" t="str">
        <f t="shared" si="9"/>
        <v>2025</v>
      </c>
      <c r="W219" s="106" t="str" cm="1">
        <f t="array" ref="W219">IF(TRIM($K219)="","(tidak diisi)",IFERROR(INDEX(Kamus!$K$3:$K$118,MATCH(TRUE,ISNUMBER(SEARCH(Kamus!$J$3:$J$118,$K219)),0)),"Individu / Perorangan"))</f>
        <v>Individu / Perorangan</v>
      </c>
      <c r="X219" s="106" t="str">
        <f t="shared" si="10"/>
        <v>03</v>
      </c>
      <c r="Y219" s="106" t="str" cm="1">
        <f t="array" ref="Y219">IFERROR(INDEX(Kamus!$N$3:$N$111,MATCH(TRUE,ISNUMBER(SEARCH(Kamus!$M$3:$M$111,$I219)),0)),"")</f>
        <v/>
      </c>
      <c r="Z219" s="106" t="str">
        <f>IF(AND(OR($X219="02",$X219="03",$X219="04"),OR($T219="Parsel/Bingkisan (tidak dirinci)",$T219="Makanan &amp; Minuman",$T219="Peralatan Rumah Tangga / Pecah Belah",$T219="Pakaian &amp; Kain")),"Momen Hari Raya (dugaan musiman)",IFERROR(VLOOKUP($W219,Kamus!$P$3:$Q$14,2,FALSE),"Tidak Teridentifikasi"))</f>
        <v>Momen Hari Raya (dugaan musiman)</v>
      </c>
      <c r="AA219" s="106" t="str">
        <f t="shared" si="11"/>
        <v>Momen Hari Raya (dugaan musiman)</v>
      </c>
    </row>
    <row r="220" spans="1:27">
      <c r="A220" s="106">
        <v>219</v>
      </c>
      <c r="B220" s="106" t="s">
        <v>2218</v>
      </c>
      <c r="C220" s="107" t="s">
        <v>2219</v>
      </c>
      <c r="D220" s="106" t="s">
        <v>1042</v>
      </c>
      <c r="E220" s="106" t="s">
        <v>2220</v>
      </c>
      <c r="F220" s="106" t="s">
        <v>2221</v>
      </c>
      <c r="G220" s="106" t="s">
        <v>1006</v>
      </c>
      <c r="H220" s="106" t="s">
        <v>1861</v>
      </c>
      <c r="I220" s="106" t="s">
        <v>2229</v>
      </c>
      <c r="J220" s="106">
        <v>150000</v>
      </c>
      <c r="K220" s="106" t="s">
        <v>2230</v>
      </c>
      <c r="L220" s="106" t="s">
        <v>2224</v>
      </c>
      <c r="M220" s="106" t="s">
        <v>1360</v>
      </c>
      <c r="N220" s="106" t="s">
        <v>2225</v>
      </c>
      <c r="O220" s="106" t="s">
        <v>274</v>
      </c>
      <c r="P220" s="106" t="s">
        <v>2226</v>
      </c>
      <c r="Q220" s="106" t="s">
        <v>427</v>
      </c>
      <c r="S220" s="106" t="str" cm="1">
        <f t="array" ref="S220">IF(TRIM($D220)="","(tidak diisi)",IFERROR(INDEX(Kamus!$B$3:$B$28,MATCH(TRUE,ISNUMBER(SEARCH(Kamus!$A$3:$A$28,$D220)),0)),"Jabatan Lainnya"))</f>
        <v>Ketua Pengadilan</v>
      </c>
      <c r="T220" s="106" t="str" cm="1">
        <f t="array" ref="T220">IF(TRIM($I220)="","(tidak diisi)",IFERROR(INDEX(Kamus!$E$3:$E$162,MATCH(TRUE,ISNUMBER(SEARCH(Kamus!$D$3:$D$162,$I220)),0)),"Barang Lain / Tidak Terinci"))</f>
        <v>Makanan &amp; Minuman</v>
      </c>
      <c r="U220" s="106" t="str" cm="1">
        <f t="array" ref="U220">IF(TRIM($I220)="","(tidak diisi)",IFERROR(INDEX(Kamus!$H$3:$H$75,MATCH(TRUE,ISNUMBER(SEARCH(Kamus!$G$3:$G$75,$I220)),0)),"Pemberian Umum / Tanpa Konteks"))</f>
        <v>Pemberian Umum / Tanpa Konteks</v>
      </c>
      <c r="V220" s="106" t="str">
        <f t="shared" si="9"/>
        <v>2025</v>
      </c>
      <c r="W220" s="106" t="str" cm="1">
        <f t="array" ref="W220">IF(TRIM($K220)="","(tidak diisi)",IFERROR(INDEX(Kamus!$K$3:$K$118,MATCH(TRUE,ISNUMBER(SEARCH(Kamus!$J$3:$J$118,$K220)),0)),"Individu / Perorangan"))</f>
        <v>Bank &amp; Lembaga Keuangan</v>
      </c>
      <c r="X220" s="106" t="str">
        <f t="shared" si="10"/>
        <v>03</v>
      </c>
      <c r="Y220" s="106" t="str" cm="1">
        <f t="array" ref="Y220">IFERROR(INDEX(Kamus!$N$3:$N$111,MATCH(TRUE,ISNUMBER(SEARCH(Kamus!$M$3:$M$111,$I220)),0)),"")</f>
        <v/>
      </c>
      <c r="Z220" s="106" t="str">
        <f>IF(AND(OR($X220="02",$X220="03",$X220="04"),OR($T220="Parsel/Bingkisan (tidak dirinci)",$T220="Makanan &amp; Minuman",$T220="Peralatan Rumah Tangga / Pecah Belah",$T220="Pakaian &amp; Kain")),"Momen Hari Raya (dugaan musiman)",IFERROR(VLOOKUP($W220,Kamus!$P$3:$Q$14,2,FALSE),"Tidak Teridentifikasi"))</f>
        <v>Momen Hari Raya (dugaan musiman)</v>
      </c>
      <c r="AA220" s="106" t="str">
        <f t="shared" si="11"/>
        <v>Momen Hari Raya (dugaan musiman)</v>
      </c>
    </row>
    <row r="221" spans="1:27">
      <c r="A221" s="106">
        <v>220</v>
      </c>
      <c r="B221" s="106" t="s">
        <v>2218</v>
      </c>
      <c r="C221" s="107" t="s">
        <v>2219</v>
      </c>
      <c r="D221" s="106" t="s">
        <v>1042</v>
      </c>
      <c r="E221" s="106" t="s">
        <v>2220</v>
      </c>
      <c r="F221" s="106" t="s">
        <v>2221</v>
      </c>
      <c r="G221" s="106" t="s">
        <v>1006</v>
      </c>
      <c r="H221" s="106" t="s">
        <v>1991</v>
      </c>
      <c r="I221" s="106" t="s">
        <v>2231</v>
      </c>
      <c r="J221" s="106">
        <v>150000</v>
      </c>
      <c r="K221" s="106" t="s">
        <v>2228</v>
      </c>
      <c r="L221" s="106" t="s">
        <v>2224</v>
      </c>
      <c r="M221" s="106" t="s">
        <v>1360</v>
      </c>
      <c r="N221" s="106" t="s">
        <v>2225</v>
      </c>
      <c r="O221" s="106" t="s">
        <v>274</v>
      </c>
      <c r="P221" s="106" t="s">
        <v>2226</v>
      </c>
      <c r="Q221" s="106" t="s">
        <v>427</v>
      </c>
      <c r="S221" s="106" t="str" cm="1">
        <f t="array" ref="S221">IF(TRIM($D221)="","(tidak diisi)",IFERROR(INDEX(Kamus!$B$3:$B$28,MATCH(TRUE,ISNUMBER(SEARCH(Kamus!$A$3:$A$28,$D221)),0)),"Jabatan Lainnya"))</f>
        <v>Ketua Pengadilan</v>
      </c>
      <c r="T221" s="106" t="str" cm="1">
        <f t="array" ref="T221">IF(TRIM($I221)="","(tidak diisi)",IFERROR(INDEX(Kamus!$E$3:$E$162,MATCH(TRUE,ISNUMBER(SEARCH(Kamus!$D$3:$D$162,$I221)),0)),"Barang Lain / Tidak Terinci"))</f>
        <v>Makanan &amp; Minuman</v>
      </c>
      <c r="U221" s="106" t="str" cm="1">
        <f t="array" ref="U221">IF(TRIM($I221)="","(tidak diisi)",IFERROR(INDEX(Kamus!$H$3:$H$75,MATCH(TRUE,ISNUMBER(SEARCH(Kamus!$G$3:$G$75,$I221)),0)),"Pemberian Umum / Tanpa Konteks"))</f>
        <v>Pemberian Umum / Tanpa Konteks</v>
      </c>
      <c r="V221" s="106" t="str">
        <f t="shared" si="9"/>
        <v>2025</v>
      </c>
      <c r="W221" s="106" t="str" cm="1">
        <f t="array" ref="W221">IF(TRIM($K221)="","(tidak diisi)",IFERROR(INDEX(Kamus!$K$3:$K$118,MATCH(TRUE,ISNUMBER(SEARCH(Kamus!$J$3:$J$118,$K221)),0)),"Individu / Perorangan"))</f>
        <v>Individu / Perorangan</v>
      </c>
      <c r="X221" s="106" t="str">
        <f t="shared" si="10"/>
        <v>03</v>
      </c>
      <c r="Y221" s="106" t="str" cm="1">
        <f t="array" ref="Y221">IFERROR(INDEX(Kamus!$N$3:$N$111,MATCH(TRUE,ISNUMBER(SEARCH(Kamus!$M$3:$M$111,$I221)),0)),"")</f>
        <v/>
      </c>
      <c r="Z221" s="106" t="str">
        <f>IF(AND(OR($X221="02",$X221="03",$X221="04"),OR($T221="Parsel/Bingkisan (tidak dirinci)",$T221="Makanan &amp; Minuman",$T221="Peralatan Rumah Tangga / Pecah Belah",$T221="Pakaian &amp; Kain")),"Momen Hari Raya (dugaan musiman)",IFERROR(VLOOKUP($W221,Kamus!$P$3:$Q$14,2,FALSE),"Tidak Teridentifikasi"))</f>
        <v>Momen Hari Raya (dugaan musiman)</v>
      </c>
      <c r="AA221" s="106" t="str">
        <f t="shared" si="11"/>
        <v>Momen Hari Raya (dugaan musiman)</v>
      </c>
    </row>
    <row r="222" spans="1:27">
      <c r="A222" s="106">
        <v>221</v>
      </c>
      <c r="B222" s="106" t="s">
        <v>2218</v>
      </c>
      <c r="C222" s="107" t="s">
        <v>2219</v>
      </c>
      <c r="D222" s="106" t="s">
        <v>1042</v>
      </c>
      <c r="E222" s="106" t="s">
        <v>2220</v>
      </c>
      <c r="F222" s="106" t="s">
        <v>2221</v>
      </c>
      <c r="G222" s="106" t="s">
        <v>1006</v>
      </c>
      <c r="H222" s="106" t="s">
        <v>1991</v>
      </c>
      <c r="I222" s="106" t="s">
        <v>2232</v>
      </c>
      <c r="J222" s="106">
        <v>223600</v>
      </c>
      <c r="K222" s="106" t="s">
        <v>2223</v>
      </c>
      <c r="L222" s="106" t="s">
        <v>2224</v>
      </c>
      <c r="M222" s="106" t="s">
        <v>1171</v>
      </c>
      <c r="N222" s="106" t="s">
        <v>2225</v>
      </c>
      <c r="O222" s="106" t="s">
        <v>274</v>
      </c>
      <c r="P222" s="106" t="s">
        <v>2226</v>
      </c>
      <c r="Q222" s="106" t="s">
        <v>427</v>
      </c>
      <c r="S222" s="106" t="str" cm="1">
        <f t="array" ref="S222">IF(TRIM($D222)="","(tidak diisi)",IFERROR(INDEX(Kamus!$B$3:$B$28,MATCH(TRUE,ISNUMBER(SEARCH(Kamus!$A$3:$A$28,$D222)),0)),"Jabatan Lainnya"))</f>
        <v>Ketua Pengadilan</v>
      </c>
      <c r="T222" s="106" t="str" cm="1">
        <f t="array" ref="T222">IF(TRIM($I222)="","(tidak diisi)",IFERROR(INDEX(Kamus!$E$3:$E$162,MATCH(TRUE,ISNUMBER(SEARCH(Kamus!$D$3:$D$162,$I222)),0)),"Barang Lain / Tidak Terinci"))</f>
        <v>Pakaian &amp; Kain</v>
      </c>
      <c r="U222" s="106" t="str" cm="1">
        <f t="array" ref="U222">IF(TRIM($I222)="","(tidak diisi)",IFERROR(INDEX(Kamus!$H$3:$H$75,MATCH(TRUE,ISNUMBER(SEARCH(Kamus!$G$3:$G$75,$I222)),0)),"Pemberian Umum / Tanpa Konteks"))</f>
        <v>Pemberian Umum / Tanpa Konteks</v>
      </c>
      <c r="V222" s="106" t="str">
        <f t="shared" si="9"/>
        <v>2025</v>
      </c>
      <c r="W222" s="106" t="str" cm="1">
        <f t="array" ref="W222">IF(TRIM($K222)="","(tidak diisi)",IFERROR(INDEX(Kamus!$K$3:$K$118,MATCH(TRUE,ISNUMBER(SEARCH(Kamus!$J$3:$J$118,$K222)),0)),"Individu / Perorangan"))</f>
        <v>Pemerintah Daerah</v>
      </c>
      <c r="X222" s="106" t="str">
        <f t="shared" si="10"/>
        <v>03</v>
      </c>
      <c r="Y222" s="106" t="str" cm="1">
        <f t="array" ref="Y222">IFERROR(INDEX(Kamus!$N$3:$N$111,MATCH(TRUE,ISNUMBER(SEARCH(Kamus!$M$3:$M$111,$I222)),0)),"")</f>
        <v/>
      </c>
      <c r="Z222" s="106" t="str">
        <f>IF(AND(OR($X222="02",$X222="03",$X222="04"),OR($T222="Parsel/Bingkisan (tidak dirinci)",$T222="Makanan &amp; Minuman",$T222="Peralatan Rumah Tangga / Pecah Belah",$T222="Pakaian &amp; Kain")),"Momen Hari Raya (dugaan musiman)",IFERROR(VLOOKUP($W222,Kamus!$P$3:$Q$14,2,FALSE),"Tidak Teridentifikasi"))</f>
        <v>Momen Hari Raya (dugaan musiman)</v>
      </c>
      <c r="AA222" s="106" t="str">
        <f t="shared" si="11"/>
        <v>Momen Hari Raya (dugaan musiman)</v>
      </c>
    </row>
    <row r="223" spans="1:27">
      <c r="A223" s="106">
        <v>222</v>
      </c>
      <c r="B223" s="106" t="s">
        <v>2233</v>
      </c>
      <c r="C223" s="107" t="s">
        <v>2234</v>
      </c>
      <c r="D223" s="106" t="s">
        <v>1024</v>
      </c>
      <c r="E223" s="106" t="s">
        <v>2235</v>
      </c>
      <c r="F223" s="106" t="s">
        <v>2236</v>
      </c>
      <c r="G223" s="106" t="s">
        <v>1006</v>
      </c>
      <c r="H223" s="106" t="s">
        <v>2037</v>
      </c>
      <c r="I223" s="106" t="s">
        <v>2237</v>
      </c>
      <c r="K223" s="106" t="s">
        <v>2238</v>
      </c>
      <c r="L223" s="106" t="s">
        <v>2239</v>
      </c>
      <c r="O223" s="106" t="s">
        <v>274</v>
      </c>
      <c r="P223" s="106" t="s">
        <v>508</v>
      </c>
      <c r="Q223" s="106" t="s">
        <v>407</v>
      </c>
      <c r="S223" s="106" t="str" cm="1">
        <f t="array" ref="S223">IF(TRIM($D223)="","(tidak diisi)",IFERROR(INDEX(Kamus!$B$3:$B$28,MATCH(TRUE,ISNUMBER(SEARCH(Kamus!$A$3:$A$28,$D223)),0)),"Jabatan Lainnya"))</f>
        <v>Sekretaris</v>
      </c>
      <c r="T223" s="106" t="str" cm="1">
        <f t="array" ref="T223">IF(TRIM($I223)="","(tidak diisi)",IFERROR(INDEX(Kamus!$E$3:$E$162,MATCH(TRUE,ISNUMBER(SEARCH(Kamus!$D$3:$D$162,$I223)),0)),"Barang Lain / Tidak Terinci"))</f>
        <v>Makanan &amp; Minuman</v>
      </c>
      <c r="U223" s="106" t="str" cm="1">
        <f t="array" ref="U223">IF(TRIM($I223)="","(tidak diisi)",IFERROR(INDEX(Kamus!$H$3:$H$75,MATCH(TRUE,ISNUMBER(SEARCH(Kamus!$G$3:$G$75,$I223)),0)),"Pemberian Umum / Tanpa Konteks"))</f>
        <v>Pemberian Umum / Tanpa Konteks</v>
      </c>
      <c r="V223" s="106" t="str">
        <f t="shared" si="9"/>
        <v>2025</v>
      </c>
      <c r="W223" s="106" t="str" cm="1">
        <f t="array" ref="W223">IF(TRIM($K223)="","(tidak diisi)",IFERROR(INDEX(Kamus!$K$3:$K$118,MATCH(TRUE,ISNUMBER(SEARCH(Kamus!$J$3:$J$118,$K223)),0)),"Individu / Perorangan"))</f>
        <v>Bank &amp; Lembaga Keuangan</v>
      </c>
      <c r="X223" s="106" t="str">
        <f t="shared" si="10"/>
        <v>03</v>
      </c>
      <c r="Y223" s="106" t="str" cm="1">
        <f t="array" ref="Y223">IFERROR(INDEX(Kamus!$N$3:$N$111,MATCH(TRUE,ISNUMBER(SEARCH(Kamus!$M$3:$M$111,$I223)),0)),"")</f>
        <v/>
      </c>
      <c r="Z223" s="106" t="str">
        <f>IF(AND(OR($X223="02",$X223="03",$X223="04"),OR($T223="Parsel/Bingkisan (tidak dirinci)",$T223="Makanan &amp; Minuman",$T223="Peralatan Rumah Tangga / Pecah Belah",$T223="Pakaian &amp; Kain")),"Momen Hari Raya (dugaan musiman)",IFERROR(VLOOKUP($W223,Kamus!$P$3:$Q$14,2,FALSE),"Tidak Teridentifikasi"))</f>
        <v>Momen Hari Raya (dugaan musiman)</v>
      </c>
      <c r="AA223" s="106" t="str">
        <f t="shared" si="11"/>
        <v>Momen Hari Raya (dugaan musiman)</v>
      </c>
    </row>
    <row r="224" spans="1:27">
      <c r="A224" s="106">
        <v>223</v>
      </c>
      <c r="B224" s="106" t="s">
        <v>2240</v>
      </c>
      <c r="C224" s="107" t="s">
        <v>2241</v>
      </c>
      <c r="D224" s="106" t="s">
        <v>1319</v>
      </c>
      <c r="E224" s="106" t="s">
        <v>2242</v>
      </c>
      <c r="F224" s="106" t="s">
        <v>2243</v>
      </c>
      <c r="G224" s="106" t="s">
        <v>1074</v>
      </c>
      <c r="H224" s="106" t="s">
        <v>2037</v>
      </c>
      <c r="I224" s="106" t="s">
        <v>2244</v>
      </c>
      <c r="J224" s="106">
        <v>200000</v>
      </c>
      <c r="K224" s="106" t="s">
        <v>2245</v>
      </c>
      <c r="L224" s="106" t="s">
        <v>2246</v>
      </c>
      <c r="M224" s="106" t="s">
        <v>2247</v>
      </c>
      <c r="O224" s="106" t="s">
        <v>274</v>
      </c>
      <c r="P224" s="106" t="s">
        <v>2248</v>
      </c>
      <c r="Q224" s="106" t="s">
        <v>428</v>
      </c>
      <c r="S224" s="106" t="str" cm="1">
        <f t="array" ref="S224">IF(TRIM($D224)="","(tidak diisi)",IFERROR(INDEX(Kamus!$B$3:$B$28,MATCH(TRUE,ISNUMBER(SEARCH(Kamus!$A$3:$A$28,$D224)),0)),"Jabatan Lainnya"))</f>
        <v>Wakil Ketua Pengadilan</v>
      </c>
      <c r="T224" s="106" t="str" cm="1">
        <f t="array" ref="T224">IF(TRIM($I224)="","(tidak diisi)",IFERROR(INDEX(Kamus!$E$3:$E$162,MATCH(TRUE,ISNUMBER(SEARCH(Kamus!$D$3:$D$162,$I224)),0)),"Barang Lain / Tidak Terinci"))</f>
        <v>Peralatan Rumah Tangga / Pecah Belah</v>
      </c>
      <c r="U224" s="106" t="str" cm="1">
        <f t="array" ref="U224">IF(TRIM($I224)="","(tidak diisi)",IFERROR(INDEX(Kamus!$H$3:$H$75,MATCH(TRUE,ISNUMBER(SEARCH(Kamus!$G$3:$G$75,$I224)),0)),"Pemberian Umum / Tanpa Konteks"))</f>
        <v>Pemberian Umum / Tanpa Konteks</v>
      </c>
      <c r="V224" s="106" t="str">
        <f t="shared" si="9"/>
        <v>2025</v>
      </c>
      <c r="W224" s="106" t="str" cm="1">
        <f t="array" ref="W224">IF(TRIM($K224)="","(tidak diisi)",IFERROR(INDEX(Kamus!$K$3:$K$118,MATCH(TRUE,ISNUMBER(SEARCH(Kamus!$J$3:$J$118,$K224)),0)),"Individu / Perorangan"))</f>
        <v>Individu / Perorangan</v>
      </c>
      <c r="X224" s="106" t="str">
        <f t="shared" si="10"/>
        <v>03</v>
      </c>
      <c r="Y224" s="106" t="str" cm="1">
        <f t="array" ref="Y224">IFERROR(INDEX(Kamus!$N$3:$N$111,MATCH(TRUE,ISNUMBER(SEARCH(Kamus!$M$3:$M$111,$I224)),0)),"")</f>
        <v/>
      </c>
      <c r="Z224" s="106" t="str">
        <f>IF(AND(OR($X224="02",$X224="03",$X224="04"),OR($T224="Parsel/Bingkisan (tidak dirinci)",$T224="Makanan &amp; Minuman",$T224="Peralatan Rumah Tangga / Pecah Belah",$T224="Pakaian &amp; Kain")),"Momen Hari Raya (dugaan musiman)",IFERROR(VLOOKUP($W224,Kamus!$P$3:$Q$14,2,FALSE),"Tidak Teridentifikasi"))</f>
        <v>Momen Hari Raya (dugaan musiman)</v>
      </c>
      <c r="AA224" s="106" t="str">
        <f t="shared" si="11"/>
        <v>Momen Hari Raya (dugaan musiman)</v>
      </c>
    </row>
    <row r="225" spans="1:27">
      <c r="A225" s="106">
        <v>224</v>
      </c>
      <c r="B225" s="106" t="s">
        <v>2249</v>
      </c>
      <c r="C225" s="107" t="s">
        <v>2250</v>
      </c>
      <c r="D225" s="106" t="s">
        <v>2251</v>
      </c>
      <c r="E225" s="106" t="s">
        <v>1294</v>
      </c>
      <c r="F225" s="106" t="s">
        <v>2252</v>
      </c>
      <c r="G225" s="106" t="s">
        <v>1006</v>
      </c>
      <c r="H225" s="106" t="s">
        <v>2253</v>
      </c>
      <c r="I225" s="106" t="s">
        <v>2254</v>
      </c>
      <c r="K225" s="106" t="s">
        <v>2255</v>
      </c>
      <c r="L225" s="106" t="s">
        <v>2256</v>
      </c>
      <c r="O225" s="106" t="s">
        <v>274</v>
      </c>
      <c r="P225" s="106" t="s">
        <v>1298</v>
      </c>
      <c r="Q225" s="106" t="s">
        <v>428</v>
      </c>
      <c r="S225" s="106" t="str" cm="1">
        <f t="array" ref="S225">IF(TRIM($D225)="","(tidak diisi)",IFERROR(INDEX(Kamus!$B$3:$B$28,MATCH(TRUE,ISNUMBER(SEARCH(Kamus!$A$3:$A$28,$D225)),0)),"Jabatan Lainnya"))</f>
        <v>Wakil Ketua Pengadilan</v>
      </c>
      <c r="T225" s="106" t="str" cm="1">
        <f t="array" ref="T225">IF(TRIM($I225)="","(tidak diisi)",IFERROR(INDEX(Kamus!$E$3:$E$162,MATCH(TRUE,ISNUMBER(SEARCH(Kamus!$D$3:$D$162,$I225)),0)),"Barang Lain / Tidak Terinci"))</f>
        <v>Parsel/Bingkisan (tidak dirinci)</v>
      </c>
      <c r="U225" s="106" t="str" cm="1">
        <f t="array" ref="U225">IF(TRIM($I225)="","(tidak diisi)",IFERROR(INDEX(Kamus!$H$3:$H$75,MATCH(TRUE,ISNUMBER(SEARCH(Kamus!$G$3:$G$75,$I225)),0)),"Pemberian Umum / Tanpa Konteks"))</f>
        <v>Bingkisan Hari Raya / Keagamaan</v>
      </c>
      <c r="V225" s="106" t="str">
        <f t="shared" si="9"/>
        <v>2025</v>
      </c>
      <c r="W225" s="106" t="str" cm="1">
        <f t="array" ref="W225">IF(TRIM($K225)="","(tidak diisi)",IFERROR(INDEX(Kamus!$K$3:$K$118,MATCH(TRUE,ISNUMBER(SEARCH(Kamus!$J$3:$J$118,$K225)),0)),"Individu / Perorangan"))</f>
        <v>Bank &amp; Lembaga Keuangan</v>
      </c>
      <c r="X225" s="106" t="str">
        <f t="shared" si="10"/>
        <v>03</v>
      </c>
      <c r="Y225" s="106" t="str" cm="1">
        <f t="array" ref="Y225">IFERROR(INDEX(Kamus!$N$3:$N$111,MATCH(TRUE,ISNUMBER(SEARCH(Kamus!$M$3:$M$111,$I225)),0)),"")</f>
        <v>Momen Hari Raya (Ramadan/Idulfitri)</v>
      </c>
      <c r="Z225" s="106" t="str">
        <f>IF(AND(OR($X225="02",$X225="03",$X225="04"),OR($T225="Parsel/Bingkisan (tidak dirinci)",$T225="Makanan &amp; Minuman",$T225="Peralatan Rumah Tangga / Pecah Belah",$T225="Pakaian &amp; Kain")),"Momen Hari Raya (dugaan musiman)",IFERROR(VLOOKUP($W225,Kamus!$P$3:$Q$14,2,FALSE),"Tidak Teridentifikasi"))</f>
        <v>Momen Hari Raya (dugaan musiman)</v>
      </c>
      <c r="AA225" s="106" t="str">
        <f t="shared" si="11"/>
        <v>Momen Hari Raya (Ramadan/Idulfitri)</v>
      </c>
    </row>
    <row r="226" spans="1:27">
      <c r="A226" s="106">
        <v>225</v>
      </c>
      <c r="B226" s="106" t="s">
        <v>2257</v>
      </c>
      <c r="C226" s="107" t="s">
        <v>2258</v>
      </c>
      <c r="D226" s="106" t="s">
        <v>2259</v>
      </c>
      <c r="E226" s="106" t="s">
        <v>2260</v>
      </c>
      <c r="F226" s="106" t="s">
        <v>2261</v>
      </c>
      <c r="G226" s="106" t="s">
        <v>1006</v>
      </c>
      <c r="H226" s="106" t="s">
        <v>2037</v>
      </c>
      <c r="I226" s="106" t="s">
        <v>2262</v>
      </c>
      <c r="K226" s="106" t="s">
        <v>2263</v>
      </c>
      <c r="L226" s="106" t="s">
        <v>2264</v>
      </c>
      <c r="O226" s="106" t="s">
        <v>274</v>
      </c>
      <c r="P226" s="106" t="s">
        <v>2265</v>
      </c>
      <c r="Q226" s="106" t="s">
        <v>428</v>
      </c>
      <c r="S226" s="106" t="str" cm="1">
        <f t="array" ref="S226">IF(TRIM($D226)="","(tidak diisi)",IFERROR(INDEX(Kamus!$B$3:$B$28,MATCH(TRUE,ISNUMBER(SEARCH(Kamus!$A$3:$A$28,$D226)),0)),"Jabatan Lainnya"))</f>
        <v>Staf/Pegawai Pelaksana</v>
      </c>
      <c r="T226" s="106" t="str" cm="1">
        <f t="array" ref="T226">IF(TRIM($I226)="","(tidak diisi)",IFERROR(INDEX(Kamus!$E$3:$E$162,MATCH(TRUE,ISNUMBER(SEARCH(Kamus!$D$3:$D$162,$I226)),0)),"Barang Lain / Tidak Terinci"))</f>
        <v>Peralatan Rumah Tangga / Pecah Belah</v>
      </c>
      <c r="U226" s="106" t="str" cm="1">
        <f t="array" ref="U226">IF(TRIM($I226)="","(tidak diisi)",IFERROR(INDEX(Kamus!$H$3:$H$75,MATCH(TRUE,ISNUMBER(SEARCH(Kamus!$G$3:$G$75,$I226)),0)),"Pemberian Umum / Tanpa Konteks"))</f>
        <v>Pemberian Umum / Tanpa Konteks</v>
      </c>
      <c r="V226" s="106" t="str">
        <f t="shared" si="9"/>
        <v>2025</v>
      </c>
      <c r="W226" s="106" t="str" cm="1">
        <f t="array" ref="W226">IF(TRIM($K226)="","(tidak diisi)",IFERROR(INDEX(Kamus!$K$3:$K$118,MATCH(TRUE,ISNUMBER(SEARCH(Kamus!$J$3:$J$118,$K226)),0)),"Individu / Perorangan"))</f>
        <v>Individu / Perorangan</v>
      </c>
      <c r="X226" s="106" t="str">
        <f t="shared" si="10"/>
        <v>03</v>
      </c>
      <c r="Y226" s="106" t="str" cm="1">
        <f t="array" ref="Y226">IFERROR(INDEX(Kamus!$N$3:$N$111,MATCH(TRUE,ISNUMBER(SEARCH(Kamus!$M$3:$M$111,$I226)),0)),"")</f>
        <v/>
      </c>
      <c r="Z226" s="106" t="str">
        <f>IF(AND(OR($X226="02",$X226="03",$X226="04"),OR($T226="Parsel/Bingkisan (tidak dirinci)",$T226="Makanan &amp; Minuman",$T226="Peralatan Rumah Tangga / Pecah Belah",$T226="Pakaian &amp; Kain")),"Momen Hari Raya (dugaan musiman)",IFERROR(VLOOKUP($W226,Kamus!$P$3:$Q$14,2,FALSE),"Tidak Teridentifikasi"))</f>
        <v>Momen Hari Raya (dugaan musiman)</v>
      </c>
      <c r="AA226" s="106" t="str">
        <f t="shared" si="11"/>
        <v>Momen Hari Raya (dugaan musiman)</v>
      </c>
    </row>
    <row r="227" spans="1:27">
      <c r="A227" s="106">
        <v>226</v>
      </c>
      <c r="B227" s="106" t="s">
        <v>2249</v>
      </c>
      <c r="C227" s="107" t="s">
        <v>2250</v>
      </c>
      <c r="D227" s="106" t="s">
        <v>2251</v>
      </c>
      <c r="E227" s="106" t="s">
        <v>1294</v>
      </c>
      <c r="F227" s="106" t="s">
        <v>2266</v>
      </c>
      <c r="G227" s="106" t="s">
        <v>1006</v>
      </c>
      <c r="H227" s="106" t="s">
        <v>1753</v>
      </c>
      <c r="I227" s="106" t="s">
        <v>2267</v>
      </c>
      <c r="K227" s="106" t="s">
        <v>2268</v>
      </c>
      <c r="L227" s="106" t="s">
        <v>2269</v>
      </c>
      <c r="O227" s="106" t="s">
        <v>274</v>
      </c>
      <c r="P227" s="106" t="s">
        <v>1298</v>
      </c>
      <c r="Q227" s="106" t="s">
        <v>428</v>
      </c>
      <c r="S227" s="106" t="str" cm="1">
        <f t="array" ref="S227">IF(TRIM($D227)="","(tidak diisi)",IFERROR(INDEX(Kamus!$B$3:$B$28,MATCH(TRUE,ISNUMBER(SEARCH(Kamus!$A$3:$A$28,$D227)),0)),"Jabatan Lainnya"))</f>
        <v>Wakil Ketua Pengadilan</v>
      </c>
      <c r="T227" s="106" t="str" cm="1">
        <f t="array" ref="T227">IF(TRIM($I227)="","(tidak diisi)",IFERROR(INDEX(Kamus!$E$3:$E$162,MATCH(TRUE,ISNUMBER(SEARCH(Kamus!$D$3:$D$162,$I227)),0)),"Barang Lain / Tidak Terinci"))</f>
        <v>Makanan &amp; Minuman</v>
      </c>
      <c r="U227" s="106" t="str" cm="1">
        <f t="array" ref="U227">IF(TRIM($I227)="","(tidak diisi)",IFERROR(INDEX(Kamus!$H$3:$H$75,MATCH(TRUE,ISNUMBER(SEARCH(Kamus!$G$3:$G$75,$I227)),0)),"Pemberian Umum / Tanpa Konteks"))</f>
        <v>Pemberian Umum / Tanpa Konteks</v>
      </c>
      <c r="V227" s="106" t="str">
        <f t="shared" si="9"/>
        <v>2025</v>
      </c>
      <c r="W227" s="106" t="str" cm="1">
        <f t="array" ref="W227">IF(TRIM($K227)="","(tidak diisi)",IFERROR(INDEX(Kamus!$K$3:$K$118,MATCH(TRUE,ISNUMBER(SEARCH(Kamus!$J$3:$J$118,$K227)),0)),"Individu / Perorangan"))</f>
        <v>Perusahaan / Vendor</v>
      </c>
      <c r="X227" s="106" t="str">
        <f t="shared" si="10"/>
        <v>03</v>
      </c>
      <c r="Y227" s="106" t="str" cm="1">
        <f t="array" ref="Y227">IFERROR(INDEX(Kamus!$N$3:$N$111,MATCH(TRUE,ISNUMBER(SEARCH(Kamus!$M$3:$M$111,$I227)),0)),"")</f>
        <v/>
      </c>
      <c r="Z227" s="106" t="str">
        <f>IF(AND(OR($X227="02",$X227="03",$X227="04"),OR($T227="Parsel/Bingkisan (tidak dirinci)",$T227="Makanan &amp; Minuman",$T227="Peralatan Rumah Tangga / Pecah Belah",$T227="Pakaian &amp; Kain")),"Momen Hari Raya (dugaan musiman)",IFERROR(VLOOKUP($W227,Kamus!$P$3:$Q$14,2,FALSE),"Tidak Teridentifikasi"))</f>
        <v>Momen Hari Raya (dugaan musiman)</v>
      </c>
      <c r="AA227" s="106" t="str">
        <f t="shared" si="11"/>
        <v>Momen Hari Raya (dugaan musiman)</v>
      </c>
    </row>
    <row r="228" spans="1:27">
      <c r="A228" s="106">
        <v>227</v>
      </c>
      <c r="B228" s="106" t="s">
        <v>2249</v>
      </c>
      <c r="C228" s="107" t="s">
        <v>2250</v>
      </c>
      <c r="D228" s="106" t="s">
        <v>2251</v>
      </c>
      <c r="E228" s="106" t="s">
        <v>1294</v>
      </c>
      <c r="F228" s="106" t="s">
        <v>2270</v>
      </c>
      <c r="G228" s="106" t="s">
        <v>1006</v>
      </c>
      <c r="H228" s="106" t="s">
        <v>1371</v>
      </c>
      <c r="I228" s="106" t="s">
        <v>2254</v>
      </c>
      <c r="K228" s="106" t="s">
        <v>2271</v>
      </c>
      <c r="L228" s="106" t="s">
        <v>2272</v>
      </c>
      <c r="O228" s="106" t="s">
        <v>274</v>
      </c>
      <c r="P228" s="106" t="s">
        <v>1298</v>
      </c>
      <c r="Q228" s="106" t="s">
        <v>428</v>
      </c>
      <c r="S228" s="106" t="str" cm="1">
        <f t="array" ref="S228">IF(TRIM($D228)="","(tidak diisi)",IFERROR(INDEX(Kamus!$B$3:$B$28,MATCH(TRUE,ISNUMBER(SEARCH(Kamus!$A$3:$A$28,$D228)),0)),"Jabatan Lainnya"))</f>
        <v>Wakil Ketua Pengadilan</v>
      </c>
      <c r="T228" s="106" t="str" cm="1">
        <f t="array" ref="T228">IF(TRIM($I228)="","(tidak diisi)",IFERROR(INDEX(Kamus!$E$3:$E$162,MATCH(TRUE,ISNUMBER(SEARCH(Kamus!$D$3:$D$162,$I228)),0)),"Barang Lain / Tidak Terinci"))</f>
        <v>Parsel/Bingkisan (tidak dirinci)</v>
      </c>
      <c r="U228" s="106" t="str" cm="1">
        <f t="array" ref="U228">IF(TRIM($I228)="","(tidak diisi)",IFERROR(INDEX(Kamus!$H$3:$H$75,MATCH(TRUE,ISNUMBER(SEARCH(Kamus!$G$3:$G$75,$I228)),0)),"Pemberian Umum / Tanpa Konteks"))</f>
        <v>Bingkisan Hari Raya / Keagamaan</v>
      </c>
      <c r="V228" s="106" t="str">
        <f t="shared" si="9"/>
        <v>2025</v>
      </c>
      <c r="W228" s="106" t="str" cm="1">
        <f t="array" ref="W228">IF(TRIM($K228)="","(tidak diisi)",IFERROR(INDEX(Kamus!$K$3:$K$118,MATCH(TRUE,ISNUMBER(SEARCH(Kamus!$J$3:$J$118,$K228)),0)),"Individu / Perorangan"))</f>
        <v>Internal Peradilan / Instansi Sendiri</v>
      </c>
      <c r="X228" s="106" t="str">
        <f t="shared" si="10"/>
        <v>03</v>
      </c>
      <c r="Y228" s="106" t="str" cm="1">
        <f t="array" ref="Y228">IFERROR(INDEX(Kamus!$N$3:$N$111,MATCH(TRUE,ISNUMBER(SEARCH(Kamus!$M$3:$M$111,$I228)),0)),"")</f>
        <v>Momen Hari Raya (Ramadan/Idulfitri)</v>
      </c>
      <c r="Z228" s="106" t="str">
        <f>IF(AND(OR($X228="02",$X228="03",$X228="04"),OR($T228="Parsel/Bingkisan (tidak dirinci)",$T228="Makanan &amp; Minuman",$T228="Peralatan Rumah Tangga / Pecah Belah",$T228="Pakaian &amp; Kain")),"Momen Hari Raya (dugaan musiman)",IFERROR(VLOOKUP($W228,Kamus!$P$3:$Q$14,2,FALSE),"Tidak Teridentifikasi"))</f>
        <v>Momen Hari Raya (dugaan musiman)</v>
      </c>
      <c r="AA228" s="106" t="str">
        <f t="shared" si="11"/>
        <v>Momen Hari Raya (Ramadan/Idulfitri)</v>
      </c>
    </row>
    <row r="229" spans="1:27">
      <c r="A229" s="106">
        <v>228</v>
      </c>
      <c r="B229" s="106" t="s">
        <v>2249</v>
      </c>
      <c r="C229" s="107" t="s">
        <v>2250</v>
      </c>
      <c r="D229" s="106" t="s">
        <v>2251</v>
      </c>
      <c r="E229" s="106" t="s">
        <v>1294</v>
      </c>
      <c r="F229" s="106" t="s">
        <v>2273</v>
      </c>
      <c r="G229" s="106" t="s">
        <v>1006</v>
      </c>
      <c r="H229" s="106" t="s">
        <v>1861</v>
      </c>
      <c r="I229" s="106" t="s">
        <v>2274</v>
      </c>
      <c r="K229" s="106" t="s">
        <v>2275</v>
      </c>
      <c r="L229" s="106" t="s">
        <v>2276</v>
      </c>
      <c r="O229" s="106" t="s">
        <v>274</v>
      </c>
      <c r="P229" s="106" t="s">
        <v>1298</v>
      </c>
      <c r="Q229" s="106" t="s">
        <v>428</v>
      </c>
      <c r="S229" s="106" t="str" cm="1">
        <f t="array" ref="S229">IF(TRIM($D229)="","(tidak diisi)",IFERROR(INDEX(Kamus!$B$3:$B$28,MATCH(TRUE,ISNUMBER(SEARCH(Kamus!$A$3:$A$28,$D229)),0)),"Jabatan Lainnya"))</f>
        <v>Wakil Ketua Pengadilan</v>
      </c>
      <c r="T229" s="106" t="str" cm="1">
        <f t="array" ref="T229">IF(TRIM($I229)="","(tidak diisi)",IFERROR(INDEX(Kamus!$E$3:$E$162,MATCH(TRUE,ISNUMBER(SEARCH(Kamus!$D$3:$D$162,$I229)),0)),"Barang Lain / Tidak Terinci"))</f>
        <v>Makanan &amp; Minuman</v>
      </c>
      <c r="U229" s="106" t="str" cm="1">
        <f t="array" ref="U229">IF(TRIM($I229)="","(tidak diisi)",IFERROR(INDEX(Kamus!$H$3:$H$75,MATCH(TRUE,ISNUMBER(SEARCH(Kamus!$G$3:$G$75,$I229)),0)),"Pemberian Umum / Tanpa Konteks"))</f>
        <v>Pemberian Umum / Tanpa Konteks</v>
      </c>
      <c r="V229" s="106" t="str">
        <f t="shared" si="9"/>
        <v>2025</v>
      </c>
      <c r="W229" s="106" t="str" cm="1">
        <f t="array" ref="W229">IF(TRIM($K229)="","(tidak diisi)",IFERROR(INDEX(Kamus!$K$3:$K$118,MATCH(TRUE,ISNUMBER(SEARCH(Kamus!$J$3:$J$118,$K229)),0)),"Individu / Perorangan"))</f>
        <v>Individu / Perorangan</v>
      </c>
      <c r="X229" s="106" t="str">
        <f t="shared" si="10"/>
        <v>03</v>
      </c>
      <c r="Y229" s="106" t="str" cm="1">
        <f t="array" ref="Y229">IFERROR(INDEX(Kamus!$N$3:$N$111,MATCH(TRUE,ISNUMBER(SEARCH(Kamus!$M$3:$M$111,$I229)),0)),"")</f>
        <v/>
      </c>
      <c r="Z229" s="106" t="str">
        <f>IF(AND(OR($X229="02",$X229="03",$X229="04"),OR($T229="Parsel/Bingkisan (tidak dirinci)",$T229="Makanan &amp; Minuman",$T229="Peralatan Rumah Tangga / Pecah Belah",$T229="Pakaian &amp; Kain")),"Momen Hari Raya (dugaan musiman)",IFERROR(VLOOKUP($W229,Kamus!$P$3:$Q$14,2,FALSE),"Tidak Teridentifikasi"))</f>
        <v>Momen Hari Raya (dugaan musiman)</v>
      </c>
      <c r="AA229" s="106" t="str">
        <f t="shared" si="11"/>
        <v>Momen Hari Raya (dugaan musiman)</v>
      </c>
    </row>
    <row r="230" spans="1:27">
      <c r="A230" s="106">
        <v>229</v>
      </c>
      <c r="B230" s="106" t="s">
        <v>2249</v>
      </c>
      <c r="C230" s="107" t="s">
        <v>2250</v>
      </c>
      <c r="D230" s="106" t="s">
        <v>2251</v>
      </c>
      <c r="E230" s="106" t="s">
        <v>1294</v>
      </c>
      <c r="F230" s="106" t="s">
        <v>2277</v>
      </c>
      <c r="G230" s="106" t="s">
        <v>1006</v>
      </c>
      <c r="H230" s="106" t="s">
        <v>1753</v>
      </c>
      <c r="I230" s="106" t="s">
        <v>2278</v>
      </c>
      <c r="K230" s="106" t="s">
        <v>2279</v>
      </c>
      <c r="L230" s="106" t="s">
        <v>2280</v>
      </c>
      <c r="O230" s="106" t="s">
        <v>274</v>
      </c>
      <c r="P230" s="106" t="s">
        <v>1298</v>
      </c>
      <c r="Q230" s="106" t="s">
        <v>428</v>
      </c>
      <c r="S230" s="106" t="str" cm="1">
        <f t="array" ref="S230">IF(TRIM($D230)="","(tidak diisi)",IFERROR(INDEX(Kamus!$B$3:$B$28,MATCH(TRUE,ISNUMBER(SEARCH(Kamus!$A$3:$A$28,$D230)),0)),"Jabatan Lainnya"))</f>
        <v>Wakil Ketua Pengadilan</v>
      </c>
      <c r="T230" s="106" t="str" cm="1">
        <f t="array" ref="T230">IF(TRIM($I230)="","(tidak diisi)",IFERROR(INDEX(Kamus!$E$3:$E$162,MATCH(TRUE,ISNUMBER(SEARCH(Kamus!$D$3:$D$162,$I230)),0)),"Barang Lain / Tidak Terinci"))</f>
        <v>Peralatan Rumah Tangga / Pecah Belah</v>
      </c>
      <c r="U230" s="106" t="str" cm="1">
        <f t="array" ref="U230">IF(TRIM($I230)="","(tidak diisi)",IFERROR(INDEX(Kamus!$H$3:$H$75,MATCH(TRUE,ISNUMBER(SEARCH(Kamus!$G$3:$G$75,$I230)),0)),"Pemberian Umum / Tanpa Konteks"))</f>
        <v>Pemberian Umum / Tanpa Konteks</v>
      </c>
      <c r="V230" s="106" t="str">
        <f t="shared" si="9"/>
        <v>2025</v>
      </c>
      <c r="W230" s="106" t="str" cm="1">
        <f t="array" ref="W230">IF(TRIM($K230)="","(tidak diisi)",IFERROR(INDEX(Kamus!$K$3:$K$118,MATCH(TRUE,ISNUMBER(SEARCH(Kamus!$J$3:$J$118,$K230)),0)),"Individu / Perorangan"))</f>
        <v>Individu / Perorangan</v>
      </c>
      <c r="X230" s="106" t="str">
        <f t="shared" si="10"/>
        <v>03</v>
      </c>
      <c r="Y230" s="106" t="str" cm="1">
        <f t="array" ref="Y230">IFERROR(INDEX(Kamus!$N$3:$N$111,MATCH(TRUE,ISNUMBER(SEARCH(Kamus!$M$3:$M$111,$I230)),0)),"")</f>
        <v/>
      </c>
      <c r="Z230" s="106" t="str">
        <f>IF(AND(OR($X230="02",$X230="03",$X230="04"),OR($T230="Parsel/Bingkisan (tidak dirinci)",$T230="Makanan &amp; Minuman",$T230="Peralatan Rumah Tangga / Pecah Belah",$T230="Pakaian &amp; Kain")),"Momen Hari Raya (dugaan musiman)",IFERROR(VLOOKUP($W230,Kamus!$P$3:$Q$14,2,FALSE),"Tidak Teridentifikasi"))</f>
        <v>Momen Hari Raya (dugaan musiman)</v>
      </c>
      <c r="AA230" s="106" t="str">
        <f t="shared" si="11"/>
        <v>Momen Hari Raya (dugaan musiman)</v>
      </c>
    </row>
    <row r="231" spans="1:27">
      <c r="A231" s="106">
        <v>230</v>
      </c>
      <c r="B231" s="106" t="s">
        <v>2249</v>
      </c>
      <c r="C231" s="107" t="s">
        <v>2250</v>
      </c>
      <c r="D231" s="106" t="s">
        <v>2251</v>
      </c>
      <c r="E231" s="106" t="s">
        <v>1294</v>
      </c>
      <c r="F231" s="106" t="s">
        <v>2281</v>
      </c>
      <c r="G231" s="106" t="s">
        <v>1006</v>
      </c>
      <c r="H231" s="106" t="s">
        <v>2282</v>
      </c>
      <c r="I231" s="106" t="s">
        <v>2283</v>
      </c>
      <c r="K231" s="106" t="s">
        <v>2284</v>
      </c>
      <c r="L231" s="106" t="s">
        <v>2285</v>
      </c>
      <c r="O231" s="106" t="s">
        <v>274</v>
      </c>
      <c r="P231" s="106" t="s">
        <v>1298</v>
      </c>
      <c r="Q231" s="106" t="s">
        <v>428</v>
      </c>
      <c r="S231" s="106" t="str" cm="1">
        <f t="array" ref="S231">IF(TRIM($D231)="","(tidak diisi)",IFERROR(INDEX(Kamus!$B$3:$B$28,MATCH(TRUE,ISNUMBER(SEARCH(Kamus!$A$3:$A$28,$D231)),0)),"Jabatan Lainnya"))</f>
        <v>Wakil Ketua Pengadilan</v>
      </c>
      <c r="T231" s="106" t="str" cm="1">
        <f t="array" ref="T231">IF(TRIM($I231)="","(tidak diisi)",IFERROR(INDEX(Kamus!$E$3:$E$162,MATCH(TRUE,ISNUMBER(SEARCH(Kamus!$D$3:$D$162,$I231)),0)),"Barang Lain / Tidak Terinci"))</f>
        <v>Makanan &amp; Minuman</v>
      </c>
      <c r="U231" s="106" t="str" cm="1">
        <f t="array" ref="U231">IF(TRIM($I231)="","(tidak diisi)",IFERROR(INDEX(Kamus!$H$3:$H$75,MATCH(TRUE,ISNUMBER(SEARCH(Kamus!$G$3:$G$75,$I231)),0)),"Pemberian Umum / Tanpa Konteks"))</f>
        <v>Jamuan / Konsumsi Rapat &amp; Kegiatan</v>
      </c>
      <c r="V231" s="106" t="str">
        <f t="shared" si="9"/>
        <v>2025</v>
      </c>
      <c r="W231" s="106" t="str" cm="1">
        <f t="array" ref="W231">IF(TRIM($K231)="","(tidak diisi)",IFERROR(INDEX(Kamus!$K$3:$K$118,MATCH(TRUE,ISNUMBER(SEARCH(Kamus!$J$3:$J$118,$K231)),0)),"Individu / Perorangan"))</f>
        <v>Individu / Perorangan</v>
      </c>
      <c r="X231" s="106" t="str">
        <f t="shared" si="10"/>
        <v>03</v>
      </c>
      <c r="Y231" s="106" t="str" cm="1">
        <f t="array" ref="Y231">IFERROR(INDEX(Kamus!$N$3:$N$111,MATCH(TRUE,ISNUMBER(SEARCH(Kamus!$M$3:$M$111,$I231)),0)),"")</f>
        <v>Rapat / Jamuan Dinas</v>
      </c>
      <c r="Z231" s="106" t="str">
        <f>IF(AND(OR($X231="02",$X231="03",$X231="04"),OR($T231="Parsel/Bingkisan (tidak dirinci)",$T231="Makanan &amp; Minuman",$T231="Peralatan Rumah Tangga / Pecah Belah",$T231="Pakaian &amp; Kain")),"Momen Hari Raya (dugaan musiman)",IFERROR(VLOOKUP($W231,Kamus!$P$3:$Q$14,2,FALSE),"Tidak Teridentifikasi"))</f>
        <v>Momen Hari Raya (dugaan musiman)</v>
      </c>
      <c r="AA231" s="106" t="str">
        <f t="shared" si="11"/>
        <v>Rapat / Jamuan Dinas</v>
      </c>
    </row>
    <row r="232" spans="1:27">
      <c r="A232" s="106">
        <v>231</v>
      </c>
      <c r="B232" s="106" t="s">
        <v>2249</v>
      </c>
      <c r="C232" s="107" t="s">
        <v>2250</v>
      </c>
      <c r="D232" s="106" t="s">
        <v>2251</v>
      </c>
      <c r="E232" s="106" t="s">
        <v>1294</v>
      </c>
      <c r="F232" s="106" t="s">
        <v>2286</v>
      </c>
      <c r="G232" s="106" t="s">
        <v>1006</v>
      </c>
      <c r="H232" s="106" t="s">
        <v>2287</v>
      </c>
      <c r="I232" s="106" t="s">
        <v>2288</v>
      </c>
      <c r="K232" s="106" t="s">
        <v>2289</v>
      </c>
      <c r="L232" s="106" t="s">
        <v>2290</v>
      </c>
      <c r="O232" s="106" t="s">
        <v>274</v>
      </c>
      <c r="P232" s="106" t="s">
        <v>1298</v>
      </c>
      <c r="Q232" s="106" t="s">
        <v>428</v>
      </c>
      <c r="S232" s="106" t="str" cm="1">
        <f t="array" ref="S232">IF(TRIM($D232)="","(tidak diisi)",IFERROR(INDEX(Kamus!$B$3:$B$28,MATCH(TRUE,ISNUMBER(SEARCH(Kamus!$A$3:$A$28,$D232)),0)),"Jabatan Lainnya"))</f>
        <v>Wakil Ketua Pengadilan</v>
      </c>
      <c r="T232" s="106" t="str" cm="1">
        <f t="array" ref="T232">IF(TRIM($I232)="","(tidak diisi)",IFERROR(INDEX(Kamus!$E$3:$E$162,MATCH(TRUE,ISNUMBER(SEARCH(Kamus!$D$3:$D$162,$I232)),0)),"Barang Lain / Tidak Terinci"))</f>
        <v>Makanan &amp; Minuman</v>
      </c>
      <c r="U232" s="106" t="str" cm="1">
        <f t="array" ref="U232">IF(TRIM($I232)="","(tidak diisi)",IFERROR(INDEX(Kamus!$H$3:$H$75,MATCH(TRUE,ISNUMBER(SEARCH(Kamus!$G$3:$G$75,$I232)),0)),"Pemberian Umum / Tanpa Konteks"))</f>
        <v>Jamuan / Konsumsi Rapat &amp; Kegiatan</v>
      </c>
      <c r="V232" s="106" t="str">
        <f t="shared" si="9"/>
        <v>2025</v>
      </c>
      <c r="W232" s="106" t="str" cm="1">
        <f t="array" ref="W232">IF(TRIM($K232)="","(tidak diisi)",IFERROR(INDEX(Kamus!$K$3:$K$118,MATCH(TRUE,ISNUMBER(SEARCH(Kamus!$J$3:$J$118,$K232)),0)),"Individu / Perorangan"))</f>
        <v>Individu / Perorangan</v>
      </c>
      <c r="X232" s="106" t="str">
        <f t="shared" si="10"/>
        <v>03</v>
      </c>
      <c r="Y232" s="106" t="str" cm="1">
        <f t="array" ref="Y232">IFERROR(INDEX(Kamus!$N$3:$N$111,MATCH(TRUE,ISNUMBER(SEARCH(Kamus!$M$3:$M$111,$I232)),0)),"")</f>
        <v>Rapat / Jamuan Dinas</v>
      </c>
      <c r="Z232" s="106" t="str">
        <f>IF(AND(OR($X232="02",$X232="03",$X232="04"),OR($T232="Parsel/Bingkisan (tidak dirinci)",$T232="Makanan &amp; Minuman",$T232="Peralatan Rumah Tangga / Pecah Belah",$T232="Pakaian &amp; Kain")),"Momen Hari Raya (dugaan musiman)",IFERROR(VLOOKUP($W232,Kamus!$P$3:$Q$14,2,FALSE),"Tidak Teridentifikasi"))</f>
        <v>Momen Hari Raya (dugaan musiman)</v>
      </c>
      <c r="AA232" s="106" t="str">
        <f t="shared" si="11"/>
        <v>Rapat / Jamuan Dinas</v>
      </c>
    </row>
    <row r="233" spans="1:27">
      <c r="A233" s="106">
        <v>232</v>
      </c>
      <c r="B233" s="106" t="s">
        <v>2249</v>
      </c>
      <c r="C233" s="107" t="s">
        <v>2250</v>
      </c>
      <c r="D233" s="106" t="s">
        <v>2251</v>
      </c>
      <c r="E233" s="106" t="s">
        <v>1294</v>
      </c>
      <c r="F233" s="106" t="s">
        <v>2291</v>
      </c>
      <c r="G233" s="106" t="s">
        <v>1006</v>
      </c>
      <c r="H233" s="106" t="s">
        <v>1434</v>
      </c>
      <c r="I233" s="106" t="s">
        <v>2292</v>
      </c>
      <c r="J233" s="106">
        <v>1500000</v>
      </c>
      <c r="K233" s="106" t="s">
        <v>2293</v>
      </c>
      <c r="L233" s="106" t="s">
        <v>2294</v>
      </c>
      <c r="M233" s="106" t="s">
        <v>1039</v>
      </c>
      <c r="O233" s="106" t="s">
        <v>274</v>
      </c>
      <c r="P233" s="106" t="s">
        <v>1298</v>
      </c>
      <c r="Q233" s="106" t="s">
        <v>428</v>
      </c>
      <c r="S233" s="106" t="str" cm="1">
        <f t="array" ref="S233">IF(TRIM($D233)="","(tidak diisi)",IFERROR(INDEX(Kamus!$B$3:$B$28,MATCH(TRUE,ISNUMBER(SEARCH(Kamus!$A$3:$A$28,$D233)),0)),"Jabatan Lainnya"))</f>
        <v>Wakil Ketua Pengadilan</v>
      </c>
      <c r="T233" s="106" t="str" cm="1">
        <f t="array" ref="T233">IF(TRIM($I233)="","(tidak diisi)",IFERROR(INDEX(Kamus!$E$3:$E$162,MATCH(TRUE,ISNUMBER(SEARCH(Kamus!$D$3:$D$162,$I233)),0)),"Barang Lain / Tidak Terinci"))</f>
        <v>Buku &amp; Publikasi</v>
      </c>
      <c r="U233" s="106" t="str" cm="1">
        <f t="array" ref="U233">IF(TRIM($I233)="","(tidak diisi)",IFERROR(INDEX(Kamus!$H$3:$H$75,MATCH(TRUE,ISNUMBER(SEARCH(Kamus!$G$3:$G$75,$I233)),0)),"Pemberian Umum / Tanpa Konteks"))</f>
        <v>Pemberian Umum / Tanpa Konteks</v>
      </c>
      <c r="V233" s="106" t="str">
        <f t="shared" si="9"/>
        <v>2025</v>
      </c>
      <c r="W233" s="106" t="str" cm="1">
        <f t="array" ref="W233">IF(TRIM($K233)="","(tidak diisi)",IFERROR(INDEX(Kamus!$K$3:$K$118,MATCH(TRUE,ISNUMBER(SEARCH(Kamus!$J$3:$J$118,$K233)),0)),"Individu / Perorangan"))</f>
        <v>Aparat/Instansi Penegak Hukum &amp; Vertikal</v>
      </c>
      <c r="X233" s="106" t="str">
        <f t="shared" si="10"/>
        <v>02</v>
      </c>
      <c r="Y233" s="106" t="str" cm="1">
        <f t="array" ref="Y233">IFERROR(INDEX(Kamus!$N$3:$N$111,MATCH(TRUE,ISNUMBER(SEARCH(Kamus!$M$3:$M$111,$I233)),0)),"")</f>
        <v/>
      </c>
      <c r="Z233" s="106" t="str">
        <f>IF(AND(OR($X233="02",$X233="03",$X233="04"),OR($T233="Parsel/Bingkisan (tidak dirinci)",$T233="Makanan &amp; Minuman",$T233="Peralatan Rumah Tangga / Pecah Belah",$T233="Pakaian &amp; Kain")),"Momen Hari Raya (dugaan musiman)",IFERROR(VLOOKUP($W233,Kamus!$P$3:$Q$14,2,FALSE),"Tidak Teridentifikasi"))</f>
        <v>Koordinasi Antarinstansi (dugaan)</v>
      </c>
      <c r="AA233" s="106" t="str">
        <f t="shared" si="11"/>
        <v>Koordinasi Antarinstansi (dugaan)</v>
      </c>
    </row>
    <row r="234" spans="1:27">
      <c r="A234" s="106">
        <v>233</v>
      </c>
      <c r="B234" s="106" t="s">
        <v>2249</v>
      </c>
      <c r="C234" s="107" t="s">
        <v>2250</v>
      </c>
      <c r="D234" s="106" t="s">
        <v>2251</v>
      </c>
      <c r="E234" s="106" t="s">
        <v>1294</v>
      </c>
      <c r="F234" s="106" t="s">
        <v>2295</v>
      </c>
      <c r="G234" s="106" t="s">
        <v>1006</v>
      </c>
      <c r="H234" s="106" t="s">
        <v>2296</v>
      </c>
      <c r="I234" s="106" t="s">
        <v>2297</v>
      </c>
      <c r="J234" s="106">
        <v>300000</v>
      </c>
      <c r="K234" s="106" t="s">
        <v>2298</v>
      </c>
      <c r="L234" s="106" t="s">
        <v>2299</v>
      </c>
      <c r="M234" s="106" t="s">
        <v>2300</v>
      </c>
      <c r="O234" s="106" t="s">
        <v>274</v>
      </c>
      <c r="P234" s="106" t="s">
        <v>1298</v>
      </c>
      <c r="Q234" s="106" t="s">
        <v>428</v>
      </c>
      <c r="S234" s="106" t="str" cm="1">
        <f t="array" ref="S234">IF(TRIM($D234)="","(tidak diisi)",IFERROR(INDEX(Kamus!$B$3:$B$28,MATCH(TRUE,ISNUMBER(SEARCH(Kamus!$A$3:$A$28,$D234)),0)),"Jabatan Lainnya"))</f>
        <v>Wakil Ketua Pengadilan</v>
      </c>
      <c r="T234" s="106" t="str" cm="1">
        <f t="array" ref="T234">IF(TRIM($I234)="","(tidak diisi)",IFERROR(INDEX(Kamus!$E$3:$E$162,MATCH(TRUE,ISNUMBER(SEARCH(Kamus!$D$3:$D$162,$I234)),0)),"Barang Lain / Tidak Terinci"))</f>
        <v>Fasilitas &amp; Jasa</v>
      </c>
      <c r="U234" s="106" t="str" cm="1">
        <f t="array" ref="U234">IF(TRIM($I234)="","(tidak diisi)",IFERROR(INDEX(Kamus!$H$3:$H$75,MATCH(TRUE,ISNUMBER(SEARCH(Kamus!$G$3:$G$75,$I234)),0)),"Pemberian Umum / Tanpa Konteks"))</f>
        <v>Pemberian Umum / Tanpa Konteks</v>
      </c>
      <c r="V234" s="106" t="str">
        <f t="shared" si="9"/>
        <v>2025</v>
      </c>
      <c r="W234" s="106" t="str" cm="1">
        <f t="array" ref="W234">IF(TRIM($K234)="","(tidak diisi)",IFERROR(INDEX(Kamus!$K$3:$K$118,MATCH(TRUE,ISNUMBER(SEARCH(Kamus!$J$3:$J$118,$K234)),0)),"Individu / Perorangan"))</f>
        <v>Individu / Perorangan</v>
      </c>
      <c r="X234" s="106" t="str">
        <f t="shared" si="10"/>
        <v>04</v>
      </c>
      <c r="Y234" s="106" t="str" cm="1">
        <f t="array" ref="Y234">IFERROR(INDEX(Kamus!$N$3:$N$111,MATCH(TRUE,ISNUMBER(SEARCH(Kamus!$M$3:$M$111,$I234)),0)),"")</f>
        <v/>
      </c>
      <c r="Z234" s="106" t="str">
        <f>IF(AND(OR($X234="02",$X234="03",$X234="04"),OR($T234="Parsel/Bingkisan (tidak dirinci)",$T234="Makanan &amp; Minuman",$T234="Peralatan Rumah Tangga / Pecah Belah",$T234="Pakaian &amp; Kain")),"Momen Hari Raya (dugaan musiman)",IFERROR(VLOOKUP($W234,Kamus!$P$3:$Q$14,2,FALSE),"Tidak Teridentifikasi"))</f>
        <v>Relasi Personal / Tidak Teridentifikasi</v>
      </c>
      <c r="AA234" s="106" t="str">
        <f t="shared" si="11"/>
        <v>Relasi Personal / Tidak Teridentifikasi</v>
      </c>
    </row>
    <row r="235" spans="1:27">
      <c r="A235" s="106">
        <v>234</v>
      </c>
      <c r="B235" s="106" t="s">
        <v>1532</v>
      </c>
      <c r="C235" s="107" t="s">
        <v>1533</v>
      </c>
      <c r="D235" s="106" t="s">
        <v>1534</v>
      </c>
      <c r="E235" s="106" t="s">
        <v>1166</v>
      </c>
      <c r="F235" s="106" t="s">
        <v>2301</v>
      </c>
      <c r="G235" s="106" t="s">
        <v>1006</v>
      </c>
      <c r="H235" s="106" t="s">
        <v>2193</v>
      </c>
      <c r="I235" s="106" t="s">
        <v>2302</v>
      </c>
      <c r="J235" s="106">
        <v>365000</v>
      </c>
      <c r="K235" s="106" t="s">
        <v>1540</v>
      </c>
      <c r="L235" s="106" t="s">
        <v>2303</v>
      </c>
      <c r="M235" s="106" t="s">
        <v>1020</v>
      </c>
      <c r="O235" s="106" t="s">
        <v>274</v>
      </c>
      <c r="P235" s="106" t="s">
        <v>1173</v>
      </c>
      <c r="Q235" s="106" t="s">
        <v>431</v>
      </c>
      <c r="S235" s="106" t="str" cm="1">
        <f t="array" ref="S235">IF(TRIM($D235)="","(tidak diisi)",IFERROR(INDEX(Kamus!$B$3:$B$28,MATCH(TRUE,ISNUMBER(SEARCH(Kamus!$A$3:$A$28,$D235)),0)),"Jabatan Lainnya"))</f>
        <v>Ketua Pengadilan</v>
      </c>
      <c r="T235" s="106" t="str" cm="1">
        <f t="array" ref="T235">IF(TRIM($I235)="","(tidak diisi)",IFERROR(INDEX(Kamus!$E$3:$E$162,MATCH(TRUE,ISNUMBER(SEARCH(Kamus!$D$3:$D$162,$I235)),0)),"Barang Lain / Tidak Terinci"))</f>
        <v>Uang &amp; Setara Uang</v>
      </c>
      <c r="U235" s="106" t="str" cm="1">
        <f t="array" ref="U235">IF(TRIM($I235)="","(tidak diisi)",IFERROR(INDEX(Kamus!$H$3:$H$75,MATCH(TRUE,ISNUMBER(SEARCH(Kamus!$G$3:$G$75,$I235)),0)),"Pemberian Umum / Tanpa Konteks"))</f>
        <v>Pemberian Uang Langsung</v>
      </c>
      <c r="V235" s="106" t="str">
        <f t="shared" si="9"/>
        <v>2025</v>
      </c>
      <c r="W235" s="106" t="str" cm="1">
        <f t="array" ref="W235">IF(TRIM($K235)="","(tidak diisi)",IFERROR(INDEX(Kamus!$K$3:$K$118,MATCH(TRUE,ISNUMBER(SEARCH(Kamus!$J$3:$J$118,$K235)),0)),"Individu / Perorangan"))</f>
        <v>Individu / Perorangan</v>
      </c>
      <c r="X235" s="106" t="str">
        <f t="shared" si="10"/>
        <v>03</v>
      </c>
      <c r="Y235" s="106" t="str" cm="1">
        <f t="array" ref="Y235">IFERROR(INDEX(Kamus!$N$3:$N$111,MATCH(TRUE,ISNUMBER(SEARCH(Kamus!$M$3:$M$111,$I235)),0)),"")</f>
        <v/>
      </c>
      <c r="Z235" s="106" t="str">
        <f>IF(AND(OR($X235="02",$X235="03",$X235="04"),OR($T235="Parsel/Bingkisan (tidak dirinci)",$T235="Makanan &amp; Minuman",$T235="Peralatan Rumah Tangga / Pecah Belah",$T235="Pakaian &amp; Kain")),"Momen Hari Raya (dugaan musiman)",IFERROR(VLOOKUP($W235,Kamus!$P$3:$Q$14,2,FALSE),"Tidak Teridentifikasi"))</f>
        <v>Relasi Personal / Tidak Teridentifikasi</v>
      </c>
      <c r="AA235" s="106" t="str">
        <f t="shared" si="11"/>
        <v>Relasi Personal / Tidak Teridentifikasi</v>
      </c>
    </row>
    <row r="236" spans="1:27">
      <c r="A236" s="106">
        <v>235</v>
      </c>
      <c r="B236" s="106" t="s">
        <v>2304</v>
      </c>
      <c r="C236" s="107" t="s">
        <v>2305</v>
      </c>
      <c r="D236" s="106" t="s">
        <v>2306</v>
      </c>
      <c r="E236" s="106" t="s">
        <v>2307</v>
      </c>
      <c r="F236" s="106" t="s">
        <v>2308</v>
      </c>
      <c r="G236" s="106" t="s">
        <v>1006</v>
      </c>
      <c r="H236" s="106" t="s">
        <v>2309</v>
      </c>
      <c r="I236" s="106" t="s">
        <v>2310</v>
      </c>
      <c r="K236" s="106" t="s">
        <v>2311</v>
      </c>
      <c r="L236" s="106" t="s">
        <v>2312</v>
      </c>
      <c r="O236" s="106" t="s">
        <v>274</v>
      </c>
      <c r="P236" s="106" t="s">
        <v>427</v>
      </c>
      <c r="Q236" s="106" t="s">
        <v>427</v>
      </c>
      <c r="S236" s="106" t="str" cm="1">
        <f t="array" ref="S236">IF(TRIM($D236)="","(tidak diisi)",IFERROR(INDEX(Kamus!$B$3:$B$28,MATCH(TRUE,ISNUMBER(SEARCH(Kamus!$A$3:$A$28,$D236)),0)),"Jabatan Lainnya"))</f>
        <v>Pejabat Struktural (Kasubbag/Kabag)</v>
      </c>
      <c r="T236" s="106" t="str" cm="1">
        <f t="array" ref="T236">IF(TRIM($I236)="","(tidak diisi)",IFERROR(INDEX(Kamus!$E$3:$E$162,MATCH(TRUE,ISNUMBER(SEARCH(Kamus!$D$3:$D$162,$I236)),0)),"Barang Lain / Tidak Terinci"))</f>
        <v>Makanan &amp; Minuman</v>
      </c>
      <c r="U236" s="106" t="str" cm="1">
        <f t="array" ref="U236">IF(TRIM($I236)="","(tidak diisi)",IFERROR(INDEX(Kamus!$H$3:$H$75,MATCH(TRUE,ISNUMBER(SEARCH(Kamus!$G$3:$G$75,$I236)),0)),"Pemberian Umum / Tanpa Konteks"))</f>
        <v>Pemberian Umum / Tanpa Konteks</v>
      </c>
      <c r="V236" s="106" t="str">
        <f t="shared" si="9"/>
        <v>2025</v>
      </c>
      <c r="W236" s="106" t="str" cm="1">
        <f t="array" ref="W236">IF(TRIM($K236)="","(tidak diisi)",IFERROR(INDEX(Kamus!$K$3:$K$118,MATCH(TRUE,ISNUMBER(SEARCH(Kamus!$J$3:$J$118,$K236)),0)),"Individu / Perorangan"))</f>
        <v>Individu / Perorangan</v>
      </c>
      <c r="X236" s="106" t="str">
        <f t="shared" si="10"/>
        <v>04</v>
      </c>
      <c r="Y236" s="106" t="str" cm="1">
        <f t="array" ref="Y236">IFERROR(INDEX(Kamus!$N$3:$N$111,MATCH(TRUE,ISNUMBER(SEARCH(Kamus!$M$3:$M$111,$I236)),0)),"")</f>
        <v/>
      </c>
      <c r="Z236" s="106" t="str">
        <f>IF(AND(OR($X236="02",$X236="03",$X236="04"),OR($T236="Parsel/Bingkisan (tidak dirinci)",$T236="Makanan &amp; Minuman",$T236="Peralatan Rumah Tangga / Pecah Belah",$T236="Pakaian &amp; Kain")),"Momen Hari Raya (dugaan musiman)",IFERROR(VLOOKUP($W236,Kamus!$P$3:$Q$14,2,FALSE),"Tidak Teridentifikasi"))</f>
        <v>Momen Hari Raya (dugaan musiman)</v>
      </c>
      <c r="AA236" s="106" t="str">
        <f t="shared" si="11"/>
        <v>Momen Hari Raya (dugaan musiman)</v>
      </c>
    </row>
    <row r="237" spans="1:27">
      <c r="A237" s="106">
        <v>236</v>
      </c>
      <c r="B237" s="106" t="s">
        <v>2313</v>
      </c>
      <c r="C237" s="107" t="s">
        <v>2314</v>
      </c>
      <c r="D237" s="106" t="s">
        <v>1498</v>
      </c>
      <c r="E237" s="106" t="s">
        <v>2315</v>
      </c>
      <c r="G237" s="106" t="s">
        <v>1006</v>
      </c>
      <c r="L237" s="106" t="s">
        <v>2316</v>
      </c>
      <c r="O237" s="106" t="s">
        <v>274</v>
      </c>
      <c r="P237" s="106" t="s">
        <v>2317</v>
      </c>
      <c r="Q237" s="106" t="s">
        <v>432</v>
      </c>
      <c r="S237" s="106" t="str" cm="1">
        <f t="array" ref="S237">IF(TRIM($D237)="","(tidak diisi)",IFERROR(INDEX(Kamus!$B$3:$B$28,MATCH(TRUE,ISNUMBER(SEARCH(Kamus!$A$3:$A$28,$D237)),0)),"Jabatan Lainnya"))</f>
        <v>Staf/Pegawai Pelaksana</v>
      </c>
      <c r="T237" s="106" t="str" cm="1">
        <f t="array" ref="T237">IF(TRIM($I237)="","(tidak diisi)",IFERROR(INDEX(Kamus!$E$3:$E$162,MATCH(TRUE,ISNUMBER(SEARCH(Kamus!$D$3:$D$162,$I237)),0)),"Barang Lain / Tidak Terinci"))</f>
        <v>(tidak diisi)</v>
      </c>
      <c r="U237" s="106" t="str" cm="1">
        <f t="array" ref="U237">IF(TRIM($I237)="","(tidak diisi)",IFERROR(INDEX(Kamus!$H$3:$H$75,MATCH(TRUE,ISNUMBER(SEARCH(Kamus!$G$3:$G$75,$I237)),0)),"Pemberian Umum / Tanpa Konteks"))</f>
        <v>(tidak diisi)</v>
      </c>
      <c r="V237" s="106" t="str">
        <f t="shared" si="9"/>
        <v>(tidak diisi)</v>
      </c>
      <c r="W237" s="106" t="str" cm="1">
        <f t="array" ref="W237">IF(TRIM($K237)="","(tidak diisi)",IFERROR(INDEX(Kamus!$K$3:$K$118,MATCH(TRUE,ISNUMBER(SEARCH(Kamus!$J$3:$J$118,$K237)),0)),"Individu / Perorangan"))</f>
        <v>(tidak diisi)</v>
      </c>
      <c r="X237" s="106" t="str">
        <f t="shared" si="10"/>
        <v>(tidak diisi)</v>
      </c>
      <c r="Y237" s="106" t="str" cm="1">
        <f t="array" ref="Y237">IFERROR(INDEX(Kamus!$N$3:$N$111,MATCH(TRUE,ISNUMBER(SEARCH(Kamus!$M$3:$M$111,$I237)),0)),"")</f>
        <v/>
      </c>
      <c r="Z237" s="106" t="str">
        <f>IF(AND(OR($X237="02",$X237="03",$X237="04"),OR($T237="Parsel/Bingkisan (tidak dirinci)",$T237="Makanan &amp; Minuman",$T237="Peralatan Rumah Tangga / Pecah Belah",$T237="Pakaian &amp; Kain")),"Momen Hari Raya (dugaan musiman)",IFERROR(VLOOKUP($W237,Kamus!$P$3:$Q$14,2,FALSE),"Tidak Teridentifikasi"))</f>
        <v>Tidak Teridentifikasi</v>
      </c>
      <c r="AA237" s="106" t="str">
        <f t="shared" si="11"/>
        <v>Tidak Teridentifikasi</v>
      </c>
    </row>
    <row r="238" spans="1:27">
      <c r="A238" s="106">
        <v>237</v>
      </c>
      <c r="B238" s="106" t="s">
        <v>2318</v>
      </c>
      <c r="C238" s="107" t="s">
        <v>2319</v>
      </c>
      <c r="D238" s="106" t="s">
        <v>1042</v>
      </c>
      <c r="E238" s="106" t="s">
        <v>1025</v>
      </c>
      <c r="F238" s="106" t="s">
        <v>2320</v>
      </c>
      <c r="G238" s="106" t="s">
        <v>1006</v>
      </c>
      <c r="H238" s="106" t="s">
        <v>2321</v>
      </c>
      <c r="I238" s="106" t="s">
        <v>2322</v>
      </c>
      <c r="K238" s="106" t="s">
        <v>2323</v>
      </c>
      <c r="L238" s="106" t="s">
        <v>2324</v>
      </c>
      <c r="O238" s="106" t="s">
        <v>274</v>
      </c>
      <c r="P238" s="106" t="s">
        <v>561</v>
      </c>
      <c r="Q238" s="106" t="s">
        <v>428</v>
      </c>
      <c r="S238" s="106" t="str" cm="1">
        <f t="array" ref="S238">IF(TRIM($D238)="","(tidak diisi)",IFERROR(INDEX(Kamus!$B$3:$B$28,MATCH(TRUE,ISNUMBER(SEARCH(Kamus!$A$3:$A$28,$D238)),0)),"Jabatan Lainnya"))</f>
        <v>Ketua Pengadilan</v>
      </c>
      <c r="T238" s="106" t="str" cm="1">
        <f t="array" ref="T238">IF(TRIM($I238)="","(tidak diisi)",IFERROR(INDEX(Kamus!$E$3:$E$162,MATCH(TRUE,ISNUMBER(SEARCH(Kamus!$D$3:$D$162,$I238)),0)),"Barang Lain / Tidak Terinci"))</f>
        <v>Parsel/Bingkisan (tidak dirinci)</v>
      </c>
      <c r="U238" s="106" t="str" cm="1">
        <f t="array" ref="U238">IF(TRIM($I238)="","(tidak diisi)",IFERROR(INDEX(Kamus!$H$3:$H$75,MATCH(TRUE,ISNUMBER(SEARCH(Kamus!$G$3:$G$75,$I238)),0)),"Pemberian Umum / Tanpa Konteks"))</f>
        <v>Bingkisan Hari Raya / Keagamaan</v>
      </c>
      <c r="V238" s="106" t="str">
        <f t="shared" si="9"/>
        <v>2025</v>
      </c>
      <c r="W238" s="106" t="str" cm="1">
        <f t="array" ref="W238">IF(TRIM($K238)="","(tidak diisi)",IFERROR(INDEX(Kamus!$K$3:$K$118,MATCH(TRUE,ISNUMBER(SEARCH(Kamus!$J$3:$J$118,$K238)),0)),"Individu / Perorangan"))</f>
        <v>Individu / Perorangan</v>
      </c>
      <c r="X238" s="106" t="str">
        <f t="shared" si="10"/>
        <v>04</v>
      </c>
      <c r="Y238" s="106" t="str" cm="1">
        <f t="array" ref="Y238">IFERROR(INDEX(Kamus!$N$3:$N$111,MATCH(TRUE,ISNUMBER(SEARCH(Kamus!$M$3:$M$111,$I238)),0)),"")</f>
        <v>Momen Hari Raya (Ramadan/Idulfitri)</v>
      </c>
      <c r="Z238" s="106" t="str">
        <f>IF(AND(OR($X238="02",$X238="03",$X238="04"),OR($T238="Parsel/Bingkisan (tidak dirinci)",$T238="Makanan &amp; Minuman",$T238="Peralatan Rumah Tangga / Pecah Belah",$T238="Pakaian &amp; Kain")),"Momen Hari Raya (dugaan musiman)",IFERROR(VLOOKUP($W238,Kamus!$P$3:$Q$14,2,FALSE),"Tidak Teridentifikasi"))</f>
        <v>Momen Hari Raya (dugaan musiman)</v>
      </c>
      <c r="AA238" s="106" t="str">
        <f t="shared" si="11"/>
        <v>Momen Hari Raya (Ramadan/Idulfitri)</v>
      </c>
    </row>
    <row r="239" spans="1:27">
      <c r="A239" s="106">
        <v>238</v>
      </c>
      <c r="B239" s="106" t="s">
        <v>2318</v>
      </c>
      <c r="C239" s="107" t="s">
        <v>2319</v>
      </c>
      <c r="D239" s="106" t="s">
        <v>1042</v>
      </c>
      <c r="E239" s="106" t="s">
        <v>1025</v>
      </c>
      <c r="F239" s="106" t="s">
        <v>2325</v>
      </c>
      <c r="G239" s="106" t="s">
        <v>1006</v>
      </c>
      <c r="H239" s="106" t="s">
        <v>2213</v>
      </c>
      <c r="I239" s="106" t="s">
        <v>2326</v>
      </c>
      <c r="K239" s="106" t="s">
        <v>2327</v>
      </c>
      <c r="L239" s="106" t="s">
        <v>2328</v>
      </c>
      <c r="O239" s="106" t="s">
        <v>274</v>
      </c>
      <c r="P239" s="106" t="s">
        <v>561</v>
      </c>
      <c r="Q239" s="106" t="s">
        <v>428</v>
      </c>
      <c r="S239" s="106" t="str" cm="1">
        <f t="array" ref="S239">IF(TRIM($D239)="","(tidak diisi)",IFERROR(INDEX(Kamus!$B$3:$B$28,MATCH(TRUE,ISNUMBER(SEARCH(Kamus!$A$3:$A$28,$D239)),0)),"Jabatan Lainnya"))</f>
        <v>Ketua Pengadilan</v>
      </c>
      <c r="T239" s="106" t="str" cm="1">
        <f t="array" ref="T239">IF(TRIM($I239)="","(tidak diisi)",IFERROR(INDEX(Kamus!$E$3:$E$162,MATCH(TRUE,ISNUMBER(SEARCH(Kamus!$D$3:$D$162,$I239)),0)),"Barang Lain / Tidak Terinci"))</f>
        <v>Makanan &amp; Minuman</v>
      </c>
      <c r="U239" s="106" t="str" cm="1">
        <f t="array" ref="U239">IF(TRIM($I239)="","(tidak diisi)",IFERROR(INDEX(Kamus!$H$3:$H$75,MATCH(TRUE,ISNUMBER(SEARCH(Kamus!$G$3:$G$75,$I239)),0)),"Pemberian Umum / Tanpa Konteks"))</f>
        <v>Pemberian Umum / Tanpa Konteks</v>
      </c>
      <c r="V239" s="106" t="str">
        <f t="shared" si="9"/>
        <v>2025</v>
      </c>
      <c r="W239" s="106" t="str" cm="1">
        <f t="array" ref="W239">IF(TRIM($K239)="","(tidak diisi)",IFERROR(INDEX(Kamus!$K$3:$K$118,MATCH(TRUE,ISNUMBER(SEARCH(Kamus!$J$3:$J$118,$K239)),0)),"Individu / Perorangan"))</f>
        <v>Individu / Perorangan</v>
      </c>
      <c r="X239" s="106" t="str">
        <f t="shared" si="10"/>
        <v>04</v>
      </c>
      <c r="Y239" s="106" t="str" cm="1">
        <f t="array" ref="Y239">IFERROR(INDEX(Kamus!$N$3:$N$111,MATCH(TRUE,ISNUMBER(SEARCH(Kamus!$M$3:$M$111,$I239)),0)),"")</f>
        <v/>
      </c>
      <c r="Z239" s="106" t="str">
        <f>IF(AND(OR($X239="02",$X239="03",$X239="04"),OR($T239="Parsel/Bingkisan (tidak dirinci)",$T239="Makanan &amp; Minuman",$T239="Peralatan Rumah Tangga / Pecah Belah",$T239="Pakaian &amp; Kain")),"Momen Hari Raya (dugaan musiman)",IFERROR(VLOOKUP($W239,Kamus!$P$3:$Q$14,2,FALSE),"Tidak Teridentifikasi"))</f>
        <v>Momen Hari Raya (dugaan musiman)</v>
      </c>
      <c r="AA239" s="106" t="str">
        <f t="shared" si="11"/>
        <v>Momen Hari Raya (dugaan musiman)</v>
      </c>
    </row>
    <row r="240" spans="1:27">
      <c r="A240" s="106">
        <v>239</v>
      </c>
      <c r="B240" s="106" t="s">
        <v>2318</v>
      </c>
      <c r="C240" s="107" t="s">
        <v>2319</v>
      </c>
      <c r="D240" s="106" t="s">
        <v>1042</v>
      </c>
      <c r="E240" s="106" t="s">
        <v>1025</v>
      </c>
      <c r="F240" s="106" t="s">
        <v>2329</v>
      </c>
      <c r="G240" s="106" t="s">
        <v>1006</v>
      </c>
      <c r="H240" s="106" t="s">
        <v>2321</v>
      </c>
      <c r="I240" s="106" t="s">
        <v>2322</v>
      </c>
      <c r="K240" s="106" t="s">
        <v>2330</v>
      </c>
      <c r="L240" s="106" t="s">
        <v>2331</v>
      </c>
      <c r="O240" s="106" t="s">
        <v>274</v>
      </c>
      <c r="P240" s="106" t="s">
        <v>561</v>
      </c>
      <c r="Q240" s="106" t="s">
        <v>428</v>
      </c>
      <c r="S240" s="106" t="str" cm="1">
        <f t="array" ref="S240">IF(TRIM($D240)="","(tidak diisi)",IFERROR(INDEX(Kamus!$B$3:$B$28,MATCH(TRUE,ISNUMBER(SEARCH(Kamus!$A$3:$A$28,$D240)),0)),"Jabatan Lainnya"))</f>
        <v>Ketua Pengadilan</v>
      </c>
      <c r="T240" s="106" t="str" cm="1">
        <f t="array" ref="T240">IF(TRIM($I240)="","(tidak diisi)",IFERROR(INDEX(Kamus!$E$3:$E$162,MATCH(TRUE,ISNUMBER(SEARCH(Kamus!$D$3:$D$162,$I240)),0)),"Barang Lain / Tidak Terinci"))</f>
        <v>Parsel/Bingkisan (tidak dirinci)</v>
      </c>
      <c r="U240" s="106" t="str" cm="1">
        <f t="array" ref="U240">IF(TRIM($I240)="","(tidak diisi)",IFERROR(INDEX(Kamus!$H$3:$H$75,MATCH(TRUE,ISNUMBER(SEARCH(Kamus!$G$3:$G$75,$I240)),0)),"Pemberian Umum / Tanpa Konteks"))</f>
        <v>Bingkisan Hari Raya / Keagamaan</v>
      </c>
      <c r="V240" s="106" t="str">
        <f t="shared" si="9"/>
        <v>2025</v>
      </c>
      <c r="W240" s="106" t="str" cm="1">
        <f t="array" ref="W240">IF(TRIM($K240)="","(tidak diisi)",IFERROR(INDEX(Kamus!$K$3:$K$118,MATCH(TRUE,ISNUMBER(SEARCH(Kamus!$J$3:$J$118,$K240)),0)),"Individu / Perorangan"))</f>
        <v>Bank &amp; Lembaga Keuangan</v>
      </c>
      <c r="X240" s="106" t="str">
        <f t="shared" si="10"/>
        <v>04</v>
      </c>
      <c r="Y240" s="106" t="str" cm="1">
        <f t="array" ref="Y240">IFERROR(INDEX(Kamus!$N$3:$N$111,MATCH(TRUE,ISNUMBER(SEARCH(Kamus!$M$3:$M$111,$I240)),0)),"")</f>
        <v>Momen Hari Raya (Ramadan/Idulfitri)</v>
      </c>
      <c r="Z240" s="106" t="str">
        <f>IF(AND(OR($X240="02",$X240="03",$X240="04"),OR($T240="Parsel/Bingkisan (tidak dirinci)",$T240="Makanan &amp; Minuman",$T240="Peralatan Rumah Tangga / Pecah Belah",$T240="Pakaian &amp; Kain")),"Momen Hari Raya (dugaan musiman)",IFERROR(VLOOKUP($W240,Kamus!$P$3:$Q$14,2,FALSE),"Tidak Teridentifikasi"))</f>
        <v>Momen Hari Raya (dugaan musiman)</v>
      </c>
      <c r="AA240" s="106" t="str">
        <f t="shared" si="11"/>
        <v>Momen Hari Raya (Ramadan/Idulfitri)</v>
      </c>
    </row>
    <row r="241" spans="1:27">
      <c r="A241" s="106">
        <v>240</v>
      </c>
      <c r="B241" s="106" t="s">
        <v>2005</v>
      </c>
      <c r="C241" s="107" t="s">
        <v>2006</v>
      </c>
      <c r="D241" s="106" t="s">
        <v>1843</v>
      </c>
      <c r="E241" s="106" t="s">
        <v>2007</v>
      </c>
      <c r="F241" s="106" t="s">
        <v>2332</v>
      </c>
      <c r="G241" s="106" t="s">
        <v>1006</v>
      </c>
      <c r="H241" s="106" t="s">
        <v>2321</v>
      </c>
      <c r="I241" s="106" t="s">
        <v>2333</v>
      </c>
      <c r="K241" s="106" t="s">
        <v>2334</v>
      </c>
      <c r="L241" s="106" t="s">
        <v>2335</v>
      </c>
      <c r="O241" s="106" t="s">
        <v>274</v>
      </c>
      <c r="P241" s="106" t="s">
        <v>2012</v>
      </c>
      <c r="Q241" s="106" t="s">
        <v>402</v>
      </c>
      <c r="S241" s="106" t="str" cm="1">
        <f t="array" ref="S241">IF(TRIM($D241)="","(tidak diisi)",IFERROR(INDEX(Kamus!$B$3:$B$28,MATCH(TRUE,ISNUMBER(SEARCH(Kamus!$A$3:$A$28,$D241)),0)),"Jabatan Lainnya"))</f>
        <v>Ketua Pengadilan</v>
      </c>
      <c r="T241" s="106" t="str" cm="1">
        <f t="array" ref="T241">IF(TRIM($I241)="","(tidak diisi)",IFERROR(INDEX(Kamus!$E$3:$E$162,MATCH(TRUE,ISNUMBER(SEARCH(Kamus!$D$3:$D$162,$I241)),0)),"Barang Lain / Tidak Terinci"))</f>
        <v>Makanan &amp; Minuman</v>
      </c>
      <c r="U241" s="106" t="str" cm="1">
        <f t="array" ref="U241">IF(TRIM($I241)="","(tidak diisi)",IFERROR(INDEX(Kamus!$H$3:$H$75,MATCH(TRUE,ISNUMBER(SEARCH(Kamus!$G$3:$G$75,$I241)),0)),"Pemberian Umum / Tanpa Konteks"))</f>
        <v>Pemberian Umum / Tanpa Konteks</v>
      </c>
      <c r="V241" s="106" t="str">
        <f t="shared" si="9"/>
        <v>2025</v>
      </c>
      <c r="W241" s="106" t="str" cm="1">
        <f t="array" ref="W241">IF(TRIM($K241)="","(tidak diisi)",IFERROR(INDEX(Kamus!$K$3:$K$118,MATCH(TRUE,ISNUMBER(SEARCH(Kamus!$J$3:$J$118,$K241)),0)),"Individu / Perorangan"))</f>
        <v>Bank &amp; Lembaga Keuangan</v>
      </c>
      <c r="X241" s="106" t="str">
        <f t="shared" si="10"/>
        <v>04</v>
      </c>
      <c r="Y241" s="106" t="str" cm="1">
        <f t="array" ref="Y241">IFERROR(INDEX(Kamus!$N$3:$N$111,MATCH(TRUE,ISNUMBER(SEARCH(Kamus!$M$3:$M$111,$I241)),0)),"")</f>
        <v/>
      </c>
      <c r="Z241" s="106" t="str">
        <f>IF(AND(OR($X241="02",$X241="03",$X241="04"),OR($T241="Parsel/Bingkisan (tidak dirinci)",$T241="Makanan &amp; Minuman",$T241="Peralatan Rumah Tangga / Pecah Belah",$T241="Pakaian &amp; Kain")),"Momen Hari Raya (dugaan musiman)",IFERROR(VLOOKUP($W241,Kamus!$P$3:$Q$14,2,FALSE),"Tidak Teridentifikasi"))</f>
        <v>Momen Hari Raya (dugaan musiman)</v>
      </c>
      <c r="AA241" s="106" t="str">
        <f t="shared" si="11"/>
        <v>Momen Hari Raya (dugaan musiman)</v>
      </c>
    </row>
    <row r="242" spans="1:27">
      <c r="A242" s="106">
        <v>241</v>
      </c>
      <c r="B242" s="106" t="s">
        <v>2336</v>
      </c>
      <c r="C242" s="107" t="s">
        <v>2337</v>
      </c>
      <c r="D242" s="106" t="s">
        <v>2338</v>
      </c>
      <c r="E242" s="106" t="s">
        <v>2339</v>
      </c>
      <c r="F242" s="106" t="s">
        <v>2340</v>
      </c>
      <c r="G242" s="106" t="s">
        <v>1006</v>
      </c>
      <c r="H242" s="106" t="s">
        <v>1918</v>
      </c>
      <c r="I242" s="106" t="s">
        <v>2341</v>
      </c>
      <c r="J242" s="106">
        <v>100000</v>
      </c>
      <c r="K242" s="106" t="s">
        <v>2342</v>
      </c>
      <c r="L242" s="106" t="s">
        <v>2343</v>
      </c>
      <c r="M242" s="106" t="s">
        <v>1171</v>
      </c>
      <c r="N242" s="106" t="s">
        <v>2344</v>
      </c>
      <c r="O242" s="106" t="s">
        <v>274</v>
      </c>
      <c r="P242" s="106" t="s">
        <v>2345</v>
      </c>
      <c r="Q242" s="106" t="s">
        <v>352</v>
      </c>
      <c r="S242" s="106" t="str" cm="1">
        <f t="array" ref="S242">IF(TRIM($D242)="","(tidak diisi)",IFERROR(INDEX(Kamus!$B$3:$B$28,MATCH(TRUE,ISNUMBER(SEARCH(Kamus!$A$3:$A$28,$D242)),0)),"Jabatan Lainnya"))</f>
        <v>Ketua Pengadilan</v>
      </c>
      <c r="T242" s="106" t="str" cm="1">
        <f t="array" ref="T242">IF(TRIM($I242)="","(tidak diisi)",IFERROR(INDEX(Kamus!$E$3:$E$162,MATCH(TRUE,ISNUMBER(SEARCH(Kamus!$D$3:$D$162,$I242)),0)),"Barang Lain / Tidak Terinci"))</f>
        <v>Pakaian &amp; Kain</v>
      </c>
      <c r="U242" s="106" t="str" cm="1">
        <f t="array" ref="U242">IF(TRIM($I242)="","(tidak diisi)",IFERROR(INDEX(Kamus!$H$3:$H$75,MATCH(TRUE,ISNUMBER(SEARCH(Kamus!$G$3:$G$75,$I242)),0)),"Pemberian Umum / Tanpa Konteks"))</f>
        <v>Suvenir / Merchandise Kegiatan &amp; Kunjungan</v>
      </c>
      <c r="V242" s="106" t="str">
        <f t="shared" si="9"/>
        <v>2025</v>
      </c>
      <c r="W242" s="106" t="str" cm="1">
        <f t="array" ref="W242">IF(TRIM($K242)="","(tidak diisi)",IFERROR(INDEX(Kamus!$K$3:$K$118,MATCH(TRUE,ISNUMBER(SEARCH(Kamus!$J$3:$J$118,$K242)),0)),"Individu / Perorangan"))</f>
        <v>Bank &amp; Lembaga Keuangan</v>
      </c>
      <c r="X242" s="106" t="str">
        <f t="shared" si="10"/>
        <v>03</v>
      </c>
      <c r="Y242" s="106" t="str" cm="1">
        <f t="array" ref="Y242">IFERROR(INDEX(Kamus!$N$3:$N$111,MATCH(TRUE,ISNUMBER(SEARCH(Kamus!$M$3:$M$111,$I242)),0)),"")</f>
        <v/>
      </c>
      <c r="Z242" s="106" t="str">
        <f>IF(AND(OR($X242="02",$X242="03",$X242="04"),OR($T242="Parsel/Bingkisan (tidak dirinci)",$T242="Makanan &amp; Minuman",$T242="Peralatan Rumah Tangga / Pecah Belah",$T242="Pakaian &amp; Kain")),"Momen Hari Raya (dugaan musiman)",IFERROR(VLOOKUP($W242,Kamus!$P$3:$Q$14,2,FALSE),"Tidak Teridentifikasi"))</f>
        <v>Momen Hari Raya (dugaan musiman)</v>
      </c>
      <c r="AA242" s="106" t="str">
        <f t="shared" si="11"/>
        <v>Momen Hari Raya (dugaan musiman)</v>
      </c>
    </row>
    <row r="243" spans="1:27">
      <c r="A243" s="106">
        <v>242</v>
      </c>
      <c r="B243" s="106" t="s">
        <v>2336</v>
      </c>
      <c r="C243" s="107" t="s">
        <v>2337</v>
      </c>
      <c r="D243" s="106" t="s">
        <v>2338</v>
      </c>
      <c r="E243" s="106" t="s">
        <v>2339</v>
      </c>
      <c r="F243" s="106" t="s">
        <v>2340</v>
      </c>
      <c r="G243" s="106" t="s">
        <v>1006</v>
      </c>
      <c r="H243" s="106" t="s">
        <v>1918</v>
      </c>
      <c r="I243" s="106" t="s">
        <v>2346</v>
      </c>
      <c r="J243" s="106">
        <v>100000</v>
      </c>
      <c r="K243" s="106" t="s">
        <v>2342</v>
      </c>
      <c r="L243" s="106" t="s">
        <v>2343</v>
      </c>
      <c r="M243" s="106" t="s">
        <v>1360</v>
      </c>
      <c r="N243" s="106" t="s">
        <v>2344</v>
      </c>
      <c r="O243" s="106" t="s">
        <v>274</v>
      </c>
      <c r="P243" s="106" t="s">
        <v>2345</v>
      </c>
      <c r="Q243" s="106" t="s">
        <v>352</v>
      </c>
      <c r="S243" s="106" t="str" cm="1">
        <f t="array" ref="S243">IF(TRIM($D243)="","(tidak diisi)",IFERROR(INDEX(Kamus!$B$3:$B$28,MATCH(TRUE,ISNUMBER(SEARCH(Kamus!$A$3:$A$28,$D243)),0)),"Jabatan Lainnya"))</f>
        <v>Ketua Pengadilan</v>
      </c>
      <c r="T243" s="106" t="str" cm="1">
        <f t="array" ref="T243">IF(TRIM($I243)="","(tidak diisi)",IFERROR(INDEX(Kamus!$E$3:$E$162,MATCH(TRUE,ISNUMBER(SEARCH(Kamus!$D$3:$D$162,$I243)),0)),"Barang Lain / Tidak Terinci"))</f>
        <v>Peralatan Rumah Tangga / Pecah Belah</v>
      </c>
      <c r="U243" s="106" t="str" cm="1">
        <f t="array" ref="U243">IF(TRIM($I243)="","(tidak diisi)",IFERROR(INDEX(Kamus!$H$3:$H$75,MATCH(TRUE,ISNUMBER(SEARCH(Kamus!$G$3:$G$75,$I243)),0)),"Pemberian Umum / Tanpa Konteks"))</f>
        <v>Parsel/Bingkisan Umum (non-hari raya)</v>
      </c>
      <c r="V243" s="106" t="str">
        <f t="shared" si="9"/>
        <v>2025</v>
      </c>
      <c r="W243" s="106" t="str" cm="1">
        <f t="array" ref="W243">IF(TRIM($K243)="","(tidak diisi)",IFERROR(INDEX(Kamus!$K$3:$K$118,MATCH(TRUE,ISNUMBER(SEARCH(Kamus!$J$3:$J$118,$K243)),0)),"Individu / Perorangan"))</f>
        <v>Bank &amp; Lembaga Keuangan</v>
      </c>
      <c r="X243" s="106" t="str">
        <f t="shared" si="10"/>
        <v>03</v>
      </c>
      <c r="Y243" s="106" t="str" cm="1">
        <f t="array" ref="Y243">IFERROR(INDEX(Kamus!$N$3:$N$111,MATCH(TRUE,ISNUMBER(SEARCH(Kamus!$M$3:$M$111,$I243)),0)),"")</f>
        <v/>
      </c>
      <c r="Z243" s="106" t="str">
        <f>IF(AND(OR($X243="02",$X243="03",$X243="04"),OR($T243="Parsel/Bingkisan (tidak dirinci)",$T243="Makanan &amp; Minuman",$T243="Peralatan Rumah Tangga / Pecah Belah",$T243="Pakaian &amp; Kain")),"Momen Hari Raya (dugaan musiman)",IFERROR(VLOOKUP($W243,Kamus!$P$3:$Q$14,2,FALSE),"Tidak Teridentifikasi"))</f>
        <v>Momen Hari Raya (dugaan musiman)</v>
      </c>
      <c r="AA243" s="106" t="str">
        <f t="shared" si="11"/>
        <v>Momen Hari Raya (dugaan musiman)</v>
      </c>
    </row>
    <row r="244" spans="1:27">
      <c r="A244" s="106">
        <v>243</v>
      </c>
      <c r="B244" s="106" t="s">
        <v>1197</v>
      </c>
      <c r="C244" s="107" t="s">
        <v>1198</v>
      </c>
      <c r="D244" s="106" t="s">
        <v>1199</v>
      </c>
      <c r="E244" s="106" t="s">
        <v>1200</v>
      </c>
      <c r="F244" s="106" t="s">
        <v>2347</v>
      </c>
      <c r="G244" s="106" t="s">
        <v>1074</v>
      </c>
      <c r="H244" s="106" t="s">
        <v>2348</v>
      </c>
      <c r="I244" s="106" t="s">
        <v>1017</v>
      </c>
      <c r="J244" s="106">
        <v>5000000</v>
      </c>
      <c r="K244" s="106" t="s">
        <v>2349</v>
      </c>
      <c r="L244" s="106" t="s">
        <v>2350</v>
      </c>
      <c r="M244" s="106" t="s">
        <v>2247</v>
      </c>
      <c r="O244" s="106" t="s">
        <v>274</v>
      </c>
      <c r="P244" s="106" t="s">
        <v>1205</v>
      </c>
      <c r="Q244" s="106" t="s">
        <v>366</v>
      </c>
      <c r="S244" s="106" t="str" cm="1">
        <f t="array" ref="S244">IF(TRIM($D244)="","(tidak diisi)",IFERROR(INDEX(Kamus!$B$3:$B$28,MATCH(TRUE,ISNUMBER(SEARCH(Kamus!$A$3:$A$28,$D244)),0)),"Jabatan Lainnya"))</f>
        <v>Pimpinan Satker/Direktorat</v>
      </c>
      <c r="T244" s="106" t="str" cm="1">
        <f t="array" ref="T244">IF(TRIM($I244)="","(tidak diisi)",IFERROR(INDEX(Kamus!$E$3:$E$162,MATCH(TRUE,ISNUMBER(SEARCH(Kamus!$D$3:$D$162,$I244)),0)),"Barang Lain / Tidak Terinci"))</f>
        <v>Uang &amp; Setara Uang</v>
      </c>
      <c r="U244" s="106" t="str" cm="1">
        <f t="array" ref="U244">IF(TRIM($I244)="","(tidak diisi)",IFERROR(INDEX(Kamus!$H$3:$H$75,MATCH(TRUE,ISNUMBER(SEARCH(Kamus!$G$3:$G$75,$I244)),0)),"Pemberian Umum / Tanpa Konteks"))</f>
        <v>Pemberian Uang Langsung</v>
      </c>
      <c r="V244" s="106" t="str">
        <f t="shared" si="9"/>
        <v>2025</v>
      </c>
      <c r="W244" s="106" t="str" cm="1">
        <f t="array" ref="W244">IF(TRIM($K244)="","(tidak diisi)",IFERROR(INDEX(Kamus!$K$3:$K$118,MATCH(TRUE,ISNUMBER(SEARCH(Kamus!$J$3:$J$118,$K244)),0)),"Individu / Perorangan"))</f>
        <v>Individu / Perorangan</v>
      </c>
      <c r="X244" s="106" t="str">
        <f t="shared" si="10"/>
        <v>04</v>
      </c>
      <c r="Y244" s="106" t="str" cm="1">
        <f t="array" ref="Y244">IFERROR(INDEX(Kamus!$N$3:$N$111,MATCH(TRUE,ISNUMBER(SEARCH(Kamus!$M$3:$M$111,$I244)),0)),"")</f>
        <v/>
      </c>
      <c r="Z244" s="106" t="str">
        <f>IF(AND(OR($X244="02",$X244="03",$X244="04"),OR($T244="Parsel/Bingkisan (tidak dirinci)",$T244="Makanan &amp; Minuman",$T244="Peralatan Rumah Tangga / Pecah Belah",$T244="Pakaian &amp; Kain")),"Momen Hari Raya (dugaan musiman)",IFERROR(VLOOKUP($W244,Kamus!$P$3:$Q$14,2,FALSE),"Tidak Teridentifikasi"))</f>
        <v>Relasi Personal / Tidak Teridentifikasi</v>
      </c>
      <c r="AA244" s="106" t="str">
        <f t="shared" si="11"/>
        <v>Relasi Personal / Tidak Teridentifikasi</v>
      </c>
    </row>
    <row r="245" spans="1:27">
      <c r="A245" s="106">
        <v>244</v>
      </c>
      <c r="B245" s="106" t="s">
        <v>2249</v>
      </c>
      <c r="C245" s="107" t="s">
        <v>2250</v>
      </c>
      <c r="D245" s="106" t="s">
        <v>2251</v>
      </c>
      <c r="E245" s="106" t="s">
        <v>1294</v>
      </c>
      <c r="F245" s="106" t="s">
        <v>2351</v>
      </c>
      <c r="G245" s="106" t="s">
        <v>1006</v>
      </c>
      <c r="H245" s="106" t="s">
        <v>2352</v>
      </c>
      <c r="I245" s="106" t="s">
        <v>2353</v>
      </c>
      <c r="J245" s="106">
        <v>41500</v>
      </c>
      <c r="K245" s="106" t="s">
        <v>2354</v>
      </c>
      <c r="L245" s="106" t="s">
        <v>2355</v>
      </c>
      <c r="M245" s="106" t="s">
        <v>1171</v>
      </c>
      <c r="N245" s="106" t="s">
        <v>2356</v>
      </c>
      <c r="O245" s="106" t="s">
        <v>274</v>
      </c>
      <c r="P245" s="106" t="s">
        <v>1298</v>
      </c>
      <c r="Q245" s="106" t="s">
        <v>428</v>
      </c>
      <c r="S245" s="106" t="str" cm="1">
        <f t="array" ref="S245">IF(TRIM($D245)="","(tidak diisi)",IFERROR(INDEX(Kamus!$B$3:$B$28,MATCH(TRUE,ISNUMBER(SEARCH(Kamus!$A$3:$A$28,$D245)),0)),"Jabatan Lainnya"))</f>
        <v>Wakil Ketua Pengadilan</v>
      </c>
      <c r="T245" s="106" t="str" cm="1">
        <f t="array" ref="T245">IF(TRIM($I245)="","(tidak diisi)",IFERROR(INDEX(Kamus!$E$3:$E$162,MATCH(TRUE,ISNUMBER(SEARCH(Kamus!$D$3:$D$162,$I245)),0)),"Barang Lain / Tidak Terinci"))</f>
        <v>Peralatan Rumah Tangga / Pecah Belah</v>
      </c>
      <c r="U245" s="106" t="str" cm="1">
        <f t="array" ref="U245">IF(TRIM($I245)="","(tidak diisi)",IFERROR(INDEX(Kamus!$H$3:$H$75,MATCH(TRUE,ISNUMBER(SEARCH(Kamus!$G$3:$G$75,$I245)),0)),"Pemberian Umum / Tanpa Konteks"))</f>
        <v>Pemberian Umum / Tanpa Konteks</v>
      </c>
      <c r="V245" s="106" t="str">
        <f t="shared" si="9"/>
        <v>2025</v>
      </c>
      <c r="W245" s="106" t="str" cm="1">
        <f t="array" ref="W245">IF(TRIM($K245)="","(tidak diisi)",IFERROR(INDEX(Kamus!$K$3:$K$118,MATCH(TRUE,ISNUMBER(SEARCH(Kamus!$J$3:$J$118,$K245)),0)),"Individu / Perorangan"))</f>
        <v>Individu / Perorangan</v>
      </c>
      <c r="X245" s="106" t="str">
        <f t="shared" si="10"/>
        <v>04</v>
      </c>
      <c r="Y245" s="106" t="str" cm="1">
        <f t="array" ref="Y245">IFERROR(INDEX(Kamus!$N$3:$N$111,MATCH(TRUE,ISNUMBER(SEARCH(Kamus!$M$3:$M$111,$I245)),0)),"")</f>
        <v/>
      </c>
      <c r="Z245" s="106" t="str">
        <f>IF(AND(OR($X245="02",$X245="03",$X245="04"),OR($T245="Parsel/Bingkisan (tidak dirinci)",$T245="Makanan &amp; Minuman",$T245="Peralatan Rumah Tangga / Pecah Belah",$T245="Pakaian &amp; Kain")),"Momen Hari Raya (dugaan musiman)",IFERROR(VLOOKUP($W245,Kamus!$P$3:$Q$14,2,FALSE),"Tidak Teridentifikasi"))</f>
        <v>Momen Hari Raya (dugaan musiman)</v>
      </c>
      <c r="AA245" s="106" t="str">
        <f t="shared" si="11"/>
        <v>Momen Hari Raya (dugaan musiman)</v>
      </c>
    </row>
    <row r="246" spans="1:27">
      <c r="A246" s="106">
        <v>245</v>
      </c>
      <c r="B246" s="106" t="s">
        <v>1900</v>
      </c>
      <c r="C246" s="107" t="s">
        <v>1901</v>
      </c>
      <c r="D246" s="106" t="s">
        <v>1902</v>
      </c>
      <c r="E246" s="106" t="s">
        <v>1903</v>
      </c>
      <c r="F246" s="106" t="s">
        <v>2357</v>
      </c>
      <c r="G246" s="106" t="s">
        <v>1006</v>
      </c>
      <c r="H246" s="106" t="s">
        <v>2037</v>
      </c>
      <c r="I246" s="106" t="s">
        <v>1251</v>
      </c>
      <c r="J246" s="106">
        <v>300000</v>
      </c>
      <c r="K246" s="106" t="s">
        <v>2358</v>
      </c>
      <c r="L246" s="106" t="s">
        <v>2359</v>
      </c>
      <c r="M246" s="106" t="s">
        <v>1171</v>
      </c>
      <c r="N246" s="106" t="s">
        <v>2360</v>
      </c>
      <c r="O246" s="106" t="s">
        <v>274</v>
      </c>
      <c r="P246" s="106" t="s">
        <v>1907</v>
      </c>
      <c r="Q246" s="106" t="s">
        <v>404</v>
      </c>
      <c r="S246" s="106" t="str" cm="1">
        <f t="array" ref="S246">IF(TRIM($D246)="","(tidak diisi)",IFERROR(INDEX(Kamus!$B$3:$B$28,MATCH(TRUE,ISNUMBER(SEARCH(Kamus!$A$3:$A$28,$D246)),0)),"Jabatan Lainnya"))</f>
        <v>Ketua Pengadilan</v>
      </c>
      <c r="T246" s="106" t="str" cm="1">
        <f t="array" ref="T246">IF(TRIM($I246)="","(tidak diisi)",IFERROR(INDEX(Kamus!$E$3:$E$162,MATCH(TRUE,ISNUMBER(SEARCH(Kamus!$D$3:$D$162,$I246)),0)),"Barang Lain / Tidak Terinci"))</f>
        <v>Peralatan Rumah Tangga / Pecah Belah</v>
      </c>
      <c r="U246" s="106" t="str" cm="1">
        <f t="array" ref="U246">IF(TRIM($I246)="","(tidak diisi)",IFERROR(INDEX(Kamus!$H$3:$H$75,MATCH(TRUE,ISNUMBER(SEARCH(Kamus!$G$3:$G$75,$I246)),0)),"Pemberian Umum / Tanpa Konteks"))</f>
        <v>Parsel/Bingkisan Umum (non-hari raya)</v>
      </c>
      <c r="V246" s="106" t="str">
        <f t="shared" si="9"/>
        <v>2025</v>
      </c>
      <c r="W246" s="106" t="str" cm="1">
        <f t="array" ref="W246">IF(TRIM($K246)="","(tidak diisi)",IFERROR(INDEX(Kamus!$K$3:$K$118,MATCH(TRUE,ISNUMBER(SEARCH(Kamus!$J$3:$J$118,$K246)),0)),"Individu / Perorangan"))</f>
        <v>Aparat/Instansi Penegak Hukum &amp; Vertikal</v>
      </c>
      <c r="X246" s="106" t="str">
        <f t="shared" si="10"/>
        <v>03</v>
      </c>
      <c r="Y246" s="106" t="str" cm="1">
        <f t="array" ref="Y246">IFERROR(INDEX(Kamus!$N$3:$N$111,MATCH(TRUE,ISNUMBER(SEARCH(Kamus!$M$3:$M$111,$I246)),0)),"")</f>
        <v/>
      </c>
      <c r="Z246" s="106" t="str">
        <f>IF(AND(OR($X246="02",$X246="03",$X246="04"),OR($T246="Parsel/Bingkisan (tidak dirinci)",$T246="Makanan &amp; Minuman",$T246="Peralatan Rumah Tangga / Pecah Belah",$T246="Pakaian &amp; Kain")),"Momen Hari Raya (dugaan musiman)",IFERROR(VLOOKUP($W246,Kamus!$P$3:$Q$14,2,FALSE),"Tidak Teridentifikasi"))</f>
        <v>Momen Hari Raya (dugaan musiman)</v>
      </c>
      <c r="AA246" s="106" t="str">
        <f t="shared" si="11"/>
        <v>Momen Hari Raya (dugaan musiman)</v>
      </c>
    </row>
    <row r="247" spans="1:27">
      <c r="A247" s="106">
        <v>246</v>
      </c>
      <c r="B247" s="106" t="s">
        <v>2361</v>
      </c>
      <c r="C247" s="107" t="s">
        <v>2362</v>
      </c>
      <c r="D247" s="106" t="s">
        <v>1141</v>
      </c>
      <c r="E247" s="106" t="s">
        <v>2363</v>
      </c>
      <c r="F247" s="106" t="s">
        <v>2364</v>
      </c>
      <c r="G247" s="106" t="s">
        <v>1006</v>
      </c>
      <c r="H247" s="106" t="s">
        <v>1788</v>
      </c>
      <c r="I247" s="106" t="s">
        <v>2365</v>
      </c>
      <c r="K247" s="106" t="s">
        <v>2366</v>
      </c>
      <c r="L247" s="106" t="s">
        <v>2367</v>
      </c>
      <c r="O247" s="106" t="s">
        <v>274</v>
      </c>
      <c r="P247" s="106" t="s">
        <v>2368</v>
      </c>
      <c r="Q247" s="106" t="s">
        <v>439</v>
      </c>
      <c r="S247" s="106" t="str" cm="1">
        <f t="array" ref="S247">IF(TRIM($D247)="","(tidak diisi)",IFERROR(INDEX(Kamus!$B$3:$B$28,MATCH(TRUE,ISNUMBER(SEARCH(Kamus!$A$3:$A$28,$D247)),0)),"Jabatan Lainnya"))</f>
        <v>Jurusita</v>
      </c>
      <c r="T247" s="106" t="str" cm="1">
        <f t="array" ref="T247">IF(TRIM($I247)="","(tidak diisi)",IFERROR(INDEX(Kamus!$E$3:$E$162,MATCH(TRUE,ISNUMBER(SEARCH(Kamus!$D$3:$D$162,$I247)),0)),"Barang Lain / Tidak Terinci"))</f>
        <v>Makanan &amp; Minuman</v>
      </c>
      <c r="U247" s="106" t="str" cm="1">
        <f t="array" ref="U247">IF(TRIM($I247)="","(tidak diisi)",IFERROR(INDEX(Kamus!$H$3:$H$75,MATCH(TRUE,ISNUMBER(SEARCH(Kamus!$G$3:$G$75,$I247)),0)),"Pemberian Umum / Tanpa Konteks"))</f>
        <v>Pemberian Umum / Tanpa Konteks</v>
      </c>
      <c r="V247" s="106" t="str">
        <f t="shared" si="9"/>
        <v>2025</v>
      </c>
      <c r="W247" s="106" t="str" cm="1">
        <f t="array" ref="W247">IF(TRIM($K247)="","(tidak diisi)",IFERROR(INDEX(Kamus!$K$3:$K$118,MATCH(TRUE,ISNUMBER(SEARCH(Kamus!$J$3:$J$118,$K247)),0)),"Individu / Perorangan"))</f>
        <v>Individu / Perorangan</v>
      </c>
      <c r="X247" s="106" t="str">
        <f t="shared" si="10"/>
        <v>03</v>
      </c>
      <c r="Y247" s="106" t="str" cm="1">
        <f t="array" ref="Y247">IFERROR(INDEX(Kamus!$N$3:$N$111,MATCH(TRUE,ISNUMBER(SEARCH(Kamus!$M$3:$M$111,$I247)),0)),"")</f>
        <v/>
      </c>
      <c r="Z247" s="106" t="str">
        <f>IF(AND(OR($X247="02",$X247="03",$X247="04"),OR($T247="Parsel/Bingkisan (tidak dirinci)",$T247="Makanan &amp; Minuman",$T247="Peralatan Rumah Tangga / Pecah Belah",$T247="Pakaian &amp; Kain")),"Momen Hari Raya (dugaan musiman)",IFERROR(VLOOKUP($W247,Kamus!$P$3:$Q$14,2,FALSE),"Tidak Teridentifikasi"))</f>
        <v>Momen Hari Raya (dugaan musiman)</v>
      </c>
      <c r="AA247" s="106" t="str">
        <f t="shared" si="11"/>
        <v>Momen Hari Raya (dugaan musiman)</v>
      </c>
    </row>
    <row r="248" spans="1:27">
      <c r="A248" s="106">
        <v>247</v>
      </c>
      <c r="B248" s="106" t="s">
        <v>1900</v>
      </c>
      <c r="C248" s="107" t="s">
        <v>1901</v>
      </c>
      <c r="D248" s="106" t="s">
        <v>1902</v>
      </c>
      <c r="E248" s="106" t="s">
        <v>1903</v>
      </c>
      <c r="F248" s="106" t="s">
        <v>2369</v>
      </c>
      <c r="G248" s="106" t="s">
        <v>1006</v>
      </c>
      <c r="H248" s="106" t="s">
        <v>2037</v>
      </c>
      <c r="I248" s="106" t="s">
        <v>2370</v>
      </c>
      <c r="J248" s="106">
        <v>300000</v>
      </c>
      <c r="K248" s="106" t="s">
        <v>2371</v>
      </c>
      <c r="L248" s="106" t="s">
        <v>2372</v>
      </c>
      <c r="M248" s="106" t="s">
        <v>1171</v>
      </c>
      <c r="N248" s="106" t="s">
        <v>2373</v>
      </c>
      <c r="O248" s="106" t="s">
        <v>274</v>
      </c>
      <c r="P248" s="106" t="s">
        <v>1907</v>
      </c>
      <c r="Q248" s="106" t="s">
        <v>404</v>
      </c>
      <c r="S248" s="106" t="str" cm="1">
        <f t="array" ref="S248">IF(TRIM($D248)="","(tidak diisi)",IFERROR(INDEX(Kamus!$B$3:$B$28,MATCH(TRUE,ISNUMBER(SEARCH(Kamus!$A$3:$A$28,$D248)),0)),"Jabatan Lainnya"))</f>
        <v>Ketua Pengadilan</v>
      </c>
      <c r="T248" s="106" t="str" cm="1">
        <f t="array" ref="T248">IF(TRIM($I248)="","(tidak diisi)",IFERROR(INDEX(Kamus!$E$3:$E$162,MATCH(TRUE,ISNUMBER(SEARCH(Kamus!$D$3:$D$162,$I248)),0)),"Barang Lain / Tidak Terinci"))</f>
        <v>Peralatan Rumah Tangga / Pecah Belah</v>
      </c>
      <c r="U248" s="106" t="str" cm="1">
        <f t="array" ref="U248">IF(TRIM($I248)="","(tidak diisi)",IFERROR(INDEX(Kamus!$H$3:$H$75,MATCH(TRUE,ISNUMBER(SEARCH(Kamus!$G$3:$G$75,$I248)),0)),"Pemberian Umum / Tanpa Konteks"))</f>
        <v>Bingkisan Hari Raya / Keagamaan</v>
      </c>
      <c r="V248" s="106" t="str">
        <f t="shared" si="9"/>
        <v>2025</v>
      </c>
      <c r="W248" s="106" t="str" cm="1">
        <f t="array" ref="W248">IF(TRIM($K248)="","(tidak diisi)",IFERROR(INDEX(Kamus!$K$3:$K$118,MATCH(TRUE,ISNUMBER(SEARCH(Kamus!$J$3:$J$118,$K248)),0)),"Individu / Perorangan"))</f>
        <v>Bank &amp; Lembaga Keuangan</v>
      </c>
      <c r="X248" s="106" t="str">
        <f t="shared" si="10"/>
        <v>03</v>
      </c>
      <c r="Y248" s="106" t="str" cm="1">
        <f t="array" ref="Y248">IFERROR(INDEX(Kamus!$N$3:$N$111,MATCH(TRUE,ISNUMBER(SEARCH(Kamus!$M$3:$M$111,$I248)),0)),"")</f>
        <v>Momen Hari Raya (Ramadan/Idulfitri)</v>
      </c>
      <c r="Z248" s="106" t="str">
        <f>IF(AND(OR($X248="02",$X248="03",$X248="04"),OR($T248="Parsel/Bingkisan (tidak dirinci)",$T248="Makanan &amp; Minuman",$T248="Peralatan Rumah Tangga / Pecah Belah",$T248="Pakaian &amp; Kain")),"Momen Hari Raya (dugaan musiman)",IFERROR(VLOOKUP($W248,Kamus!$P$3:$Q$14,2,FALSE),"Tidak Teridentifikasi"))</f>
        <v>Momen Hari Raya (dugaan musiman)</v>
      </c>
      <c r="AA248" s="106" t="str">
        <f t="shared" si="11"/>
        <v>Momen Hari Raya (Ramadan/Idulfitri)</v>
      </c>
    </row>
    <row r="249" spans="1:27">
      <c r="A249" s="106">
        <v>248</v>
      </c>
      <c r="B249" s="106" t="s">
        <v>1900</v>
      </c>
      <c r="C249" s="107" t="s">
        <v>1901</v>
      </c>
      <c r="D249" s="106" t="s">
        <v>1902</v>
      </c>
      <c r="E249" s="106" t="s">
        <v>1903</v>
      </c>
      <c r="F249" s="106" t="s">
        <v>2369</v>
      </c>
      <c r="G249" s="106" t="s">
        <v>1006</v>
      </c>
      <c r="H249" s="106" t="s">
        <v>2037</v>
      </c>
      <c r="I249" s="106" t="s">
        <v>2374</v>
      </c>
      <c r="J249" s="106">
        <v>250000</v>
      </c>
      <c r="K249" s="106" t="s">
        <v>2375</v>
      </c>
      <c r="L249" s="106" t="s">
        <v>2372</v>
      </c>
      <c r="M249" s="106" t="s">
        <v>1360</v>
      </c>
      <c r="N249" s="106" t="s">
        <v>2373</v>
      </c>
      <c r="O249" s="106" t="s">
        <v>274</v>
      </c>
      <c r="P249" s="106" t="s">
        <v>1907</v>
      </c>
      <c r="Q249" s="106" t="s">
        <v>404</v>
      </c>
      <c r="S249" s="106" t="str" cm="1">
        <f t="array" ref="S249">IF(TRIM($D249)="","(tidak diisi)",IFERROR(INDEX(Kamus!$B$3:$B$28,MATCH(TRUE,ISNUMBER(SEARCH(Kamus!$A$3:$A$28,$D249)),0)),"Jabatan Lainnya"))</f>
        <v>Ketua Pengadilan</v>
      </c>
      <c r="T249" s="106" t="str" cm="1">
        <f t="array" ref="T249">IF(TRIM($I249)="","(tidak diisi)",IFERROR(INDEX(Kamus!$E$3:$E$162,MATCH(TRUE,ISNUMBER(SEARCH(Kamus!$D$3:$D$162,$I249)),0)),"Barang Lain / Tidak Terinci"))</f>
        <v>Makanan &amp; Minuman</v>
      </c>
      <c r="U249" s="106" t="str" cm="1">
        <f t="array" ref="U249">IF(TRIM($I249)="","(tidak diisi)",IFERROR(INDEX(Kamus!$H$3:$H$75,MATCH(TRUE,ISNUMBER(SEARCH(Kamus!$G$3:$G$75,$I249)),0)),"Pemberian Umum / Tanpa Konteks"))</f>
        <v>Parsel/Bingkisan Umum (non-hari raya)</v>
      </c>
      <c r="V249" s="106" t="str">
        <f t="shared" si="9"/>
        <v>2025</v>
      </c>
      <c r="W249" s="106" t="str" cm="1">
        <f t="array" ref="W249">IF(TRIM($K249)="","(tidak diisi)",IFERROR(INDEX(Kamus!$K$3:$K$118,MATCH(TRUE,ISNUMBER(SEARCH(Kamus!$J$3:$J$118,$K249)),0)),"Individu / Perorangan"))</f>
        <v>Perusahaan / Vendor</v>
      </c>
      <c r="X249" s="106" t="str">
        <f t="shared" si="10"/>
        <v>03</v>
      </c>
      <c r="Y249" s="106" t="str" cm="1">
        <f t="array" ref="Y249">IFERROR(INDEX(Kamus!$N$3:$N$111,MATCH(TRUE,ISNUMBER(SEARCH(Kamus!$M$3:$M$111,$I249)),0)),"")</f>
        <v/>
      </c>
      <c r="Z249" s="106" t="str">
        <f>IF(AND(OR($X249="02",$X249="03",$X249="04"),OR($T249="Parsel/Bingkisan (tidak dirinci)",$T249="Makanan &amp; Minuman",$T249="Peralatan Rumah Tangga / Pecah Belah",$T249="Pakaian &amp; Kain")),"Momen Hari Raya (dugaan musiman)",IFERROR(VLOOKUP($W249,Kamus!$P$3:$Q$14,2,FALSE),"Tidak Teridentifikasi"))</f>
        <v>Momen Hari Raya (dugaan musiman)</v>
      </c>
      <c r="AA249" s="106" t="str">
        <f t="shared" si="11"/>
        <v>Momen Hari Raya (dugaan musiman)</v>
      </c>
    </row>
    <row r="250" spans="1:27">
      <c r="A250" s="106">
        <v>249</v>
      </c>
      <c r="B250" s="106" t="s">
        <v>1383</v>
      </c>
      <c r="C250" s="107" t="s">
        <v>1384</v>
      </c>
      <c r="D250" s="106" t="s">
        <v>1042</v>
      </c>
      <c r="E250" s="106" t="s">
        <v>1385</v>
      </c>
      <c r="F250" s="106" t="s">
        <v>2376</v>
      </c>
      <c r="G250" s="106" t="s">
        <v>1006</v>
      </c>
      <c r="H250" s="106" t="s">
        <v>1991</v>
      </c>
      <c r="I250" s="106" t="s">
        <v>2377</v>
      </c>
      <c r="J250" s="106">
        <v>199000</v>
      </c>
      <c r="K250" s="106" t="s">
        <v>2378</v>
      </c>
      <c r="L250" s="106" t="s">
        <v>2379</v>
      </c>
      <c r="M250" s="106" t="s">
        <v>1171</v>
      </c>
      <c r="N250" s="106" t="s">
        <v>2380</v>
      </c>
      <c r="O250" s="106" t="s">
        <v>274</v>
      </c>
      <c r="P250" s="106" t="s">
        <v>1391</v>
      </c>
      <c r="Q250" s="106" t="s">
        <v>427</v>
      </c>
      <c r="S250" s="106" t="str" cm="1">
        <f t="array" ref="S250">IF(TRIM($D250)="","(tidak diisi)",IFERROR(INDEX(Kamus!$B$3:$B$28,MATCH(TRUE,ISNUMBER(SEARCH(Kamus!$A$3:$A$28,$D250)),0)),"Jabatan Lainnya"))</f>
        <v>Ketua Pengadilan</v>
      </c>
      <c r="T250" s="106" t="str" cm="1">
        <f t="array" ref="T250">IF(TRIM($I250)="","(tidak diisi)",IFERROR(INDEX(Kamus!$E$3:$E$162,MATCH(TRUE,ISNUMBER(SEARCH(Kamus!$D$3:$D$162,$I250)),0)),"Barang Lain / Tidak Terinci"))</f>
        <v>Peralatan Rumah Tangga / Pecah Belah</v>
      </c>
      <c r="U250" s="106" t="str" cm="1">
        <f t="array" ref="U250">IF(TRIM($I250)="","(tidak diisi)",IFERROR(INDEX(Kamus!$H$3:$H$75,MATCH(TRUE,ISNUMBER(SEARCH(Kamus!$G$3:$G$75,$I250)),0)),"Pemberian Umum / Tanpa Konteks"))</f>
        <v>Honor / Uang Kegiatan</v>
      </c>
      <c r="V250" s="106" t="str">
        <f t="shared" si="9"/>
        <v>2025</v>
      </c>
      <c r="W250" s="106" t="str" cm="1">
        <f t="array" ref="W250">IF(TRIM($K250)="","(tidak diisi)",IFERROR(INDEX(Kamus!$K$3:$K$118,MATCH(TRUE,ISNUMBER(SEARCH(Kamus!$J$3:$J$118,$K250)),0)),"Individu / Perorangan"))</f>
        <v>Internal Peradilan / Instansi Sendiri</v>
      </c>
      <c r="X250" s="106" t="str">
        <f t="shared" si="10"/>
        <v>03</v>
      </c>
      <c r="Y250" s="106" t="str" cm="1">
        <f t="array" ref="Y250">IFERROR(INDEX(Kamus!$N$3:$N$111,MATCH(TRUE,ISNUMBER(SEARCH(Kamus!$M$3:$M$111,$I250)),0)),"")</f>
        <v/>
      </c>
      <c r="Z250" s="106" t="str">
        <f>IF(AND(OR($X250="02",$X250="03",$X250="04"),OR($T250="Parsel/Bingkisan (tidak dirinci)",$T250="Makanan &amp; Minuman",$T250="Peralatan Rumah Tangga / Pecah Belah",$T250="Pakaian &amp; Kain")),"Momen Hari Raya (dugaan musiman)",IFERROR(VLOOKUP($W250,Kamus!$P$3:$Q$14,2,FALSE),"Tidak Teridentifikasi"))</f>
        <v>Momen Hari Raya (dugaan musiman)</v>
      </c>
      <c r="AA250" s="106" t="str">
        <f t="shared" si="11"/>
        <v>Momen Hari Raya (dugaan musiman)</v>
      </c>
    </row>
    <row r="251" spans="1:27">
      <c r="A251" s="106">
        <v>250</v>
      </c>
      <c r="B251" s="106" t="s">
        <v>1304</v>
      </c>
      <c r="C251" s="107" t="s">
        <v>1305</v>
      </c>
      <c r="D251" s="106" t="s">
        <v>1306</v>
      </c>
      <c r="E251" s="106" t="s">
        <v>1307</v>
      </c>
      <c r="F251" s="106" t="s">
        <v>2381</v>
      </c>
      <c r="G251" s="106" t="s">
        <v>1006</v>
      </c>
      <c r="H251" s="106" t="s">
        <v>2321</v>
      </c>
      <c r="I251" s="106" t="s">
        <v>1913</v>
      </c>
      <c r="J251" s="106">
        <v>200000</v>
      </c>
      <c r="K251" s="106" t="s">
        <v>2382</v>
      </c>
      <c r="L251" s="106" t="s">
        <v>2383</v>
      </c>
      <c r="M251" s="106" t="s">
        <v>1171</v>
      </c>
      <c r="N251" s="106" t="s">
        <v>2384</v>
      </c>
      <c r="O251" s="106" t="s">
        <v>274</v>
      </c>
      <c r="P251" s="106" t="s">
        <v>597</v>
      </c>
      <c r="Q251" s="106" t="s">
        <v>427</v>
      </c>
      <c r="S251" s="106" t="str" cm="1">
        <f t="array" ref="S251">IF(TRIM($D251)="","(tidak diisi)",IFERROR(INDEX(Kamus!$B$3:$B$28,MATCH(TRUE,ISNUMBER(SEARCH(Kamus!$A$3:$A$28,$D251)),0)),"Jabatan Lainnya"))</f>
        <v>Pejabat Struktural (Kasubbag/Kabag)</v>
      </c>
      <c r="T251" s="106" t="str" cm="1">
        <f t="array" ref="T251">IF(TRIM($I251)="","(tidak diisi)",IFERROR(INDEX(Kamus!$E$3:$E$162,MATCH(TRUE,ISNUMBER(SEARCH(Kamus!$D$3:$D$162,$I251)),0)),"Barang Lain / Tidak Terinci"))</f>
        <v>Peralatan Rumah Tangga / Pecah Belah</v>
      </c>
      <c r="U251" s="106" t="str" cm="1">
        <f t="array" ref="U251">IF(TRIM($I251)="","(tidak diisi)",IFERROR(INDEX(Kamus!$H$3:$H$75,MATCH(TRUE,ISNUMBER(SEARCH(Kamus!$G$3:$G$75,$I251)),0)),"Pemberian Umum / Tanpa Konteks"))</f>
        <v>Parsel/Bingkisan Umum (non-hari raya)</v>
      </c>
      <c r="V251" s="106" t="str">
        <f t="shared" si="9"/>
        <v>2025</v>
      </c>
      <c r="W251" s="106" t="str" cm="1">
        <f t="array" ref="W251">IF(TRIM($K251)="","(tidak diisi)",IFERROR(INDEX(Kamus!$K$3:$K$118,MATCH(TRUE,ISNUMBER(SEARCH(Kamus!$J$3:$J$118,$K251)),0)),"Individu / Perorangan"))</f>
        <v>Aparat/Instansi Penegak Hukum &amp; Vertikal</v>
      </c>
      <c r="X251" s="106" t="str">
        <f t="shared" si="10"/>
        <v>04</v>
      </c>
      <c r="Y251" s="106" t="str" cm="1">
        <f t="array" ref="Y251">IFERROR(INDEX(Kamus!$N$3:$N$111,MATCH(TRUE,ISNUMBER(SEARCH(Kamus!$M$3:$M$111,$I251)),0)),"")</f>
        <v/>
      </c>
      <c r="Z251" s="106" t="str">
        <f>IF(AND(OR($X251="02",$X251="03",$X251="04"),OR($T251="Parsel/Bingkisan (tidak dirinci)",$T251="Makanan &amp; Minuman",$T251="Peralatan Rumah Tangga / Pecah Belah",$T251="Pakaian &amp; Kain")),"Momen Hari Raya (dugaan musiman)",IFERROR(VLOOKUP($W251,Kamus!$P$3:$Q$14,2,FALSE),"Tidak Teridentifikasi"))</f>
        <v>Momen Hari Raya (dugaan musiman)</v>
      </c>
      <c r="AA251" s="106" t="str">
        <f t="shared" si="11"/>
        <v>Momen Hari Raya (dugaan musiman)</v>
      </c>
    </row>
    <row r="252" spans="1:27">
      <c r="A252" s="106">
        <v>251</v>
      </c>
      <c r="B252" s="106" t="s">
        <v>2385</v>
      </c>
      <c r="C252" s="107" t="s">
        <v>2386</v>
      </c>
      <c r="D252" s="106" t="s">
        <v>1042</v>
      </c>
      <c r="E252" s="106" t="s">
        <v>2387</v>
      </c>
      <c r="F252" s="106" t="s">
        <v>2388</v>
      </c>
      <c r="G252" s="106" t="s">
        <v>1006</v>
      </c>
      <c r="H252" s="106" t="s">
        <v>2287</v>
      </c>
      <c r="I252" s="106" t="s">
        <v>1036</v>
      </c>
      <c r="J252" s="106">
        <v>300000</v>
      </c>
      <c r="K252" s="106" t="s">
        <v>2389</v>
      </c>
      <c r="L252" s="106" t="s">
        <v>2390</v>
      </c>
      <c r="M252" s="106" t="s">
        <v>1171</v>
      </c>
      <c r="N252" s="106" t="s">
        <v>2391</v>
      </c>
      <c r="O252" s="106" t="s">
        <v>274</v>
      </c>
      <c r="P252" s="106" t="s">
        <v>2392</v>
      </c>
      <c r="Q252" s="106" t="s">
        <v>308</v>
      </c>
      <c r="S252" s="106" t="str" cm="1">
        <f t="array" ref="S252">IF(TRIM($D252)="","(tidak diisi)",IFERROR(INDEX(Kamus!$B$3:$B$28,MATCH(TRUE,ISNUMBER(SEARCH(Kamus!$A$3:$A$28,$D252)),0)),"Jabatan Lainnya"))</f>
        <v>Ketua Pengadilan</v>
      </c>
      <c r="T252" s="106" t="str" cm="1">
        <f t="array" ref="T252">IF(TRIM($I252)="","(tidak diisi)",IFERROR(INDEX(Kamus!$E$3:$E$162,MATCH(TRUE,ISNUMBER(SEARCH(Kamus!$D$3:$D$162,$I252)),0)),"Barang Lain / Tidak Terinci"))</f>
        <v>Peralatan Rumah Tangga / Pecah Belah</v>
      </c>
      <c r="U252" s="106" t="str" cm="1">
        <f t="array" ref="U252">IF(TRIM($I252)="","(tidak diisi)",IFERROR(INDEX(Kamus!$H$3:$H$75,MATCH(TRUE,ISNUMBER(SEARCH(Kamus!$G$3:$G$75,$I252)),0)),"Pemberian Umum / Tanpa Konteks"))</f>
        <v>Parsel/Bingkisan Umum (non-hari raya)</v>
      </c>
      <c r="V252" s="106" t="str">
        <f t="shared" si="9"/>
        <v>2025</v>
      </c>
      <c r="W252" s="106" t="str" cm="1">
        <f t="array" ref="W252">IF(TRIM($K252)="","(tidak diisi)",IFERROR(INDEX(Kamus!$K$3:$K$118,MATCH(TRUE,ISNUMBER(SEARCH(Kamus!$J$3:$J$118,$K252)),0)),"Individu / Perorangan"))</f>
        <v>Pemerintah Daerah</v>
      </c>
      <c r="X252" s="106" t="str">
        <f t="shared" si="10"/>
        <v>03</v>
      </c>
      <c r="Y252" s="106" t="str" cm="1">
        <f t="array" ref="Y252">IFERROR(INDEX(Kamus!$N$3:$N$111,MATCH(TRUE,ISNUMBER(SEARCH(Kamus!$M$3:$M$111,$I252)),0)),"")</f>
        <v/>
      </c>
      <c r="Z252" s="106" t="str">
        <f>IF(AND(OR($X252="02",$X252="03",$X252="04"),OR($T252="Parsel/Bingkisan (tidak dirinci)",$T252="Makanan &amp; Minuman",$T252="Peralatan Rumah Tangga / Pecah Belah",$T252="Pakaian &amp; Kain")),"Momen Hari Raya (dugaan musiman)",IFERROR(VLOOKUP($W252,Kamus!$P$3:$Q$14,2,FALSE),"Tidak Teridentifikasi"))</f>
        <v>Momen Hari Raya (dugaan musiman)</v>
      </c>
      <c r="AA252" s="106" t="str">
        <f t="shared" si="11"/>
        <v>Momen Hari Raya (dugaan musiman)</v>
      </c>
    </row>
    <row r="253" spans="1:27">
      <c r="A253" s="106">
        <v>252</v>
      </c>
      <c r="B253" s="106" t="s">
        <v>1105</v>
      </c>
      <c r="C253" s="107" t="s">
        <v>1106</v>
      </c>
      <c r="D253" s="106" t="s">
        <v>1042</v>
      </c>
      <c r="E253" s="106" t="s">
        <v>1014</v>
      </c>
      <c r="F253" s="106" t="s">
        <v>2393</v>
      </c>
      <c r="G253" s="106" t="s">
        <v>1006</v>
      </c>
      <c r="H253" s="106" t="s">
        <v>2394</v>
      </c>
      <c r="I253" s="106" t="s">
        <v>1492</v>
      </c>
      <c r="J253" s="106">
        <v>200000</v>
      </c>
      <c r="K253" s="106" t="s">
        <v>2395</v>
      </c>
      <c r="L253" s="106" t="s">
        <v>2396</v>
      </c>
      <c r="M253" s="106" t="s">
        <v>1171</v>
      </c>
      <c r="N253" s="106" t="s">
        <v>2397</v>
      </c>
      <c r="O253" s="106" t="s">
        <v>274</v>
      </c>
      <c r="P253" s="106" t="s">
        <v>1021</v>
      </c>
      <c r="Q253" s="106" t="s">
        <v>428</v>
      </c>
      <c r="S253" s="106" t="str" cm="1">
        <f t="array" ref="S253">IF(TRIM($D253)="","(tidak diisi)",IFERROR(INDEX(Kamus!$B$3:$B$28,MATCH(TRUE,ISNUMBER(SEARCH(Kamus!$A$3:$A$28,$D253)),0)),"Jabatan Lainnya"))</f>
        <v>Ketua Pengadilan</v>
      </c>
      <c r="T253" s="106" t="str" cm="1">
        <f t="array" ref="T253">IF(TRIM($I253)="","(tidak diisi)",IFERROR(INDEX(Kamus!$E$3:$E$162,MATCH(TRUE,ISNUMBER(SEARCH(Kamus!$D$3:$D$162,$I253)),0)),"Barang Lain / Tidak Terinci"))</f>
        <v>Pakaian &amp; Kain</v>
      </c>
      <c r="U253" s="106" t="str" cm="1">
        <f t="array" ref="U253">IF(TRIM($I253)="","(tidak diisi)",IFERROR(INDEX(Kamus!$H$3:$H$75,MATCH(TRUE,ISNUMBER(SEARCH(Kamus!$G$3:$G$75,$I253)),0)),"Pemberian Umum / Tanpa Konteks"))</f>
        <v>Pemberian Umum / Tanpa Konteks</v>
      </c>
      <c r="V253" s="106" t="str">
        <f t="shared" si="9"/>
        <v>2025</v>
      </c>
      <c r="W253" s="106" t="str" cm="1">
        <f t="array" ref="W253">IF(TRIM($K253)="","(tidak diisi)",IFERROR(INDEX(Kamus!$K$3:$K$118,MATCH(TRUE,ISNUMBER(SEARCH(Kamus!$J$3:$J$118,$K253)),0)),"Individu / Perorangan"))</f>
        <v>Individu / Perorangan</v>
      </c>
      <c r="X253" s="106" t="str">
        <f t="shared" si="10"/>
        <v>04</v>
      </c>
      <c r="Y253" s="106" t="str" cm="1">
        <f t="array" ref="Y253">IFERROR(INDEX(Kamus!$N$3:$N$111,MATCH(TRUE,ISNUMBER(SEARCH(Kamus!$M$3:$M$111,$I253)),0)),"")</f>
        <v/>
      </c>
      <c r="Z253" s="106" t="str">
        <f>IF(AND(OR($X253="02",$X253="03",$X253="04"),OR($T253="Parsel/Bingkisan (tidak dirinci)",$T253="Makanan &amp; Minuman",$T253="Peralatan Rumah Tangga / Pecah Belah",$T253="Pakaian &amp; Kain")),"Momen Hari Raya (dugaan musiman)",IFERROR(VLOOKUP($W253,Kamus!$P$3:$Q$14,2,FALSE),"Tidak Teridentifikasi"))</f>
        <v>Momen Hari Raya (dugaan musiman)</v>
      </c>
      <c r="AA253" s="106" t="str">
        <f t="shared" si="11"/>
        <v>Momen Hari Raya (dugaan musiman)</v>
      </c>
    </row>
    <row r="254" spans="1:27">
      <c r="A254" s="106">
        <v>253</v>
      </c>
      <c r="B254" s="106" t="s">
        <v>2398</v>
      </c>
      <c r="C254" s="107" t="s">
        <v>2399</v>
      </c>
      <c r="D254" s="106" t="s">
        <v>1033</v>
      </c>
      <c r="E254" s="106" t="s">
        <v>2400</v>
      </c>
      <c r="F254" s="106" t="s">
        <v>2401</v>
      </c>
      <c r="G254" s="106" t="s">
        <v>1006</v>
      </c>
      <c r="H254" s="106" t="s">
        <v>1788</v>
      </c>
      <c r="I254" s="106" t="s">
        <v>2402</v>
      </c>
      <c r="J254" s="106">
        <v>115000</v>
      </c>
      <c r="K254" s="106" t="s">
        <v>2403</v>
      </c>
      <c r="L254" s="106" t="s">
        <v>2404</v>
      </c>
      <c r="M254" s="106" t="s">
        <v>1171</v>
      </c>
      <c r="N254" s="106" t="s">
        <v>2405</v>
      </c>
      <c r="O254" s="106" t="s">
        <v>274</v>
      </c>
      <c r="Q254" s="106" t="s">
        <v>442</v>
      </c>
      <c r="S254" s="106" t="str" cm="1">
        <f t="array" ref="S254">IF(TRIM($D254)="","(tidak diisi)",IFERROR(INDEX(Kamus!$B$3:$B$28,MATCH(TRUE,ISNUMBER(SEARCH(Kamus!$A$3:$A$28,$D254)),0)),"Jabatan Lainnya"))</f>
        <v>Hakim</v>
      </c>
      <c r="T254" s="106" t="str" cm="1">
        <f t="array" ref="T254">IF(TRIM($I254)="","(tidak diisi)",IFERROR(INDEX(Kamus!$E$3:$E$162,MATCH(TRUE,ISNUMBER(SEARCH(Kamus!$D$3:$D$162,$I254)),0)),"Barang Lain / Tidak Terinci"))</f>
        <v>Makanan &amp; Minuman</v>
      </c>
      <c r="U254" s="106" t="str" cm="1">
        <f t="array" ref="U254">IF(TRIM($I254)="","(tidak diisi)",IFERROR(INDEX(Kamus!$H$3:$H$75,MATCH(TRUE,ISNUMBER(SEARCH(Kamus!$G$3:$G$75,$I254)),0)),"Pemberian Umum / Tanpa Konteks"))</f>
        <v>Pemberian Umum / Tanpa Konteks</v>
      </c>
      <c r="V254" s="106" t="str">
        <f t="shared" si="9"/>
        <v>2025</v>
      </c>
      <c r="W254" s="106" t="str" cm="1">
        <f t="array" ref="W254">IF(TRIM($K254)="","(tidak diisi)",IFERROR(INDEX(Kamus!$K$3:$K$118,MATCH(TRUE,ISNUMBER(SEARCH(Kamus!$J$3:$J$118,$K254)),0)),"Individu / Perorangan"))</f>
        <v>Individu / Perorangan</v>
      </c>
      <c r="X254" s="106" t="str">
        <f t="shared" si="10"/>
        <v>03</v>
      </c>
      <c r="Y254" s="106" t="str" cm="1">
        <f t="array" ref="Y254">IFERROR(INDEX(Kamus!$N$3:$N$111,MATCH(TRUE,ISNUMBER(SEARCH(Kamus!$M$3:$M$111,$I254)),0)),"")</f>
        <v/>
      </c>
      <c r="Z254" s="106" t="str">
        <f>IF(AND(OR($X254="02",$X254="03",$X254="04"),OR($T254="Parsel/Bingkisan (tidak dirinci)",$T254="Makanan &amp; Minuman",$T254="Peralatan Rumah Tangga / Pecah Belah",$T254="Pakaian &amp; Kain")),"Momen Hari Raya (dugaan musiman)",IFERROR(VLOOKUP($W254,Kamus!$P$3:$Q$14,2,FALSE),"Tidak Teridentifikasi"))</f>
        <v>Momen Hari Raya (dugaan musiman)</v>
      </c>
      <c r="AA254" s="106" t="str">
        <f t="shared" si="11"/>
        <v>Momen Hari Raya (dugaan musiman)</v>
      </c>
    </row>
    <row r="255" spans="1:27">
      <c r="A255" s="106">
        <v>254</v>
      </c>
      <c r="B255" s="106" t="s">
        <v>2398</v>
      </c>
      <c r="C255" s="107" t="s">
        <v>2399</v>
      </c>
      <c r="D255" s="106" t="s">
        <v>1033</v>
      </c>
      <c r="E255" s="106" t="s">
        <v>2400</v>
      </c>
      <c r="F255" s="106" t="s">
        <v>2401</v>
      </c>
      <c r="G255" s="106" t="s">
        <v>1006</v>
      </c>
      <c r="H255" s="106" t="s">
        <v>1788</v>
      </c>
      <c r="I255" s="106" t="s">
        <v>1251</v>
      </c>
      <c r="J255" s="106">
        <v>229000</v>
      </c>
      <c r="K255" s="106" t="s">
        <v>2403</v>
      </c>
      <c r="L255" s="106" t="s">
        <v>2404</v>
      </c>
      <c r="M255" s="106" t="s">
        <v>1171</v>
      </c>
      <c r="N255" s="106" t="s">
        <v>2405</v>
      </c>
      <c r="O255" s="106" t="s">
        <v>274</v>
      </c>
      <c r="Q255" s="106" t="s">
        <v>442</v>
      </c>
      <c r="S255" s="106" t="str" cm="1">
        <f t="array" ref="S255">IF(TRIM($D255)="","(tidak diisi)",IFERROR(INDEX(Kamus!$B$3:$B$28,MATCH(TRUE,ISNUMBER(SEARCH(Kamus!$A$3:$A$28,$D255)),0)),"Jabatan Lainnya"))</f>
        <v>Hakim</v>
      </c>
      <c r="T255" s="106" t="str" cm="1">
        <f t="array" ref="T255">IF(TRIM($I255)="","(tidak diisi)",IFERROR(INDEX(Kamus!$E$3:$E$162,MATCH(TRUE,ISNUMBER(SEARCH(Kamus!$D$3:$D$162,$I255)),0)),"Barang Lain / Tidak Terinci"))</f>
        <v>Peralatan Rumah Tangga / Pecah Belah</v>
      </c>
      <c r="U255" s="106" t="str" cm="1">
        <f t="array" ref="U255">IF(TRIM($I255)="","(tidak diisi)",IFERROR(INDEX(Kamus!$H$3:$H$75,MATCH(TRUE,ISNUMBER(SEARCH(Kamus!$G$3:$G$75,$I255)),0)),"Pemberian Umum / Tanpa Konteks"))</f>
        <v>Parsel/Bingkisan Umum (non-hari raya)</v>
      </c>
      <c r="V255" s="106" t="str">
        <f t="shared" si="9"/>
        <v>2025</v>
      </c>
      <c r="W255" s="106" t="str" cm="1">
        <f t="array" ref="W255">IF(TRIM($K255)="","(tidak diisi)",IFERROR(INDEX(Kamus!$K$3:$K$118,MATCH(TRUE,ISNUMBER(SEARCH(Kamus!$J$3:$J$118,$K255)),0)),"Individu / Perorangan"))</f>
        <v>Individu / Perorangan</v>
      </c>
      <c r="X255" s="106" t="str">
        <f t="shared" si="10"/>
        <v>03</v>
      </c>
      <c r="Y255" s="106" t="str" cm="1">
        <f t="array" ref="Y255">IFERROR(INDEX(Kamus!$N$3:$N$111,MATCH(TRUE,ISNUMBER(SEARCH(Kamus!$M$3:$M$111,$I255)),0)),"")</f>
        <v/>
      </c>
      <c r="Z255" s="106" t="str">
        <f>IF(AND(OR($X255="02",$X255="03",$X255="04"),OR($T255="Parsel/Bingkisan (tidak dirinci)",$T255="Makanan &amp; Minuman",$T255="Peralatan Rumah Tangga / Pecah Belah",$T255="Pakaian &amp; Kain")),"Momen Hari Raya (dugaan musiman)",IFERROR(VLOOKUP($W255,Kamus!$P$3:$Q$14,2,FALSE),"Tidak Teridentifikasi"))</f>
        <v>Momen Hari Raya (dugaan musiman)</v>
      </c>
      <c r="AA255" s="106" t="str">
        <f t="shared" si="11"/>
        <v>Momen Hari Raya (dugaan musiman)</v>
      </c>
    </row>
    <row r="256" spans="1:27">
      <c r="A256" s="106">
        <v>255</v>
      </c>
      <c r="B256" s="106" t="s">
        <v>2406</v>
      </c>
      <c r="C256" s="107" t="s">
        <v>2407</v>
      </c>
      <c r="D256" s="106" t="s">
        <v>1033</v>
      </c>
      <c r="E256" s="106" t="s">
        <v>2408</v>
      </c>
      <c r="F256" s="106" t="s">
        <v>2409</v>
      </c>
      <c r="G256" s="106" t="s">
        <v>1006</v>
      </c>
      <c r="H256" s="106" t="s">
        <v>2213</v>
      </c>
      <c r="I256" s="106" t="s">
        <v>2410</v>
      </c>
      <c r="K256" s="106" t="s">
        <v>2411</v>
      </c>
      <c r="L256" s="106" t="s">
        <v>2412</v>
      </c>
      <c r="O256" s="106" t="s">
        <v>274</v>
      </c>
      <c r="P256" s="106" t="s">
        <v>2413</v>
      </c>
      <c r="Q256" s="106" t="s">
        <v>407</v>
      </c>
      <c r="S256" s="106" t="str" cm="1">
        <f t="array" ref="S256">IF(TRIM($D256)="","(tidak diisi)",IFERROR(INDEX(Kamus!$B$3:$B$28,MATCH(TRUE,ISNUMBER(SEARCH(Kamus!$A$3:$A$28,$D256)),0)),"Jabatan Lainnya"))</f>
        <v>Hakim</v>
      </c>
      <c r="T256" s="106" t="str" cm="1">
        <f t="array" ref="T256">IF(TRIM($I256)="","(tidak diisi)",IFERROR(INDEX(Kamus!$E$3:$E$162,MATCH(TRUE,ISNUMBER(SEARCH(Kamus!$D$3:$D$162,$I256)),0)),"Barang Lain / Tidak Terinci"))</f>
        <v>Makanan &amp; Minuman</v>
      </c>
      <c r="U256" s="106" t="str" cm="1">
        <f t="array" ref="U256">IF(TRIM($I256)="","(tidak diisi)",IFERROR(INDEX(Kamus!$H$3:$H$75,MATCH(TRUE,ISNUMBER(SEARCH(Kamus!$G$3:$G$75,$I256)),0)),"Pemberian Umum / Tanpa Konteks"))</f>
        <v>Pemberian Umum / Tanpa Konteks</v>
      </c>
      <c r="V256" s="106" t="str">
        <f t="shared" si="9"/>
        <v>2025</v>
      </c>
      <c r="W256" s="106" t="str" cm="1">
        <f t="array" ref="W256">IF(TRIM($K256)="","(tidak diisi)",IFERROR(INDEX(Kamus!$K$3:$K$118,MATCH(TRUE,ISNUMBER(SEARCH(Kamus!$J$3:$J$118,$K256)),0)),"Individu / Perorangan"))</f>
        <v>Individu / Perorangan</v>
      </c>
      <c r="X256" s="106" t="str">
        <f t="shared" si="10"/>
        <v>04</v>
      </c>
      <c r="Y256" s="106" t="str" cm="1">
        <f t="array" ref="Y256">IFERROR(INDEX(Kamus!$N$3:$N$111,MATCH(TRUE,ISNUMBER(SEARCH(Kamus!$M$3:$M$111,$I256)),0)),"")</f>
        <v/>
      </c>
      <c r="Z256" s="106" t="str">
        <f>IF(AND(OR($X256="02",$X256="03",$X256="04"),OR($T256="Parsel/Bingkisan (tidak dirinci)",$T256="Makanan &amp; Minuman",$T256="Peralatan Rumah Tangga / Pecah Belah",$T256="Pakaian &amp; Kain")),"Momen Hari Raya (dugaan musiman)",IFERROR(VLOOKUP($W256,Kamus!$P$3:$Q$14,2,FALSE),"Tidak Teridentifikasi"))</f>
        <v>Momen Hari Raya (dugaan musiman)</v>
      </c>
      <c r="AA256" s="106" t="str">
        <f t="shared" si="11"/>
        <v>Momen Hari Raya (dugaan musiman)</v>
      </c>
    </row>
    <row r="257" spans="1:27">
      <c r="A257" s="106">
        <v>256</v>
      </c>
      <c r="B257" s="106" t="s">
        <v>2249</v>
      </c>
      <c r="C257" s="107" t="s">
        <v>2250</v>
      </c>
      <c r="D257" s="106" t="s">
        <v>2251</v>
      </c>
      <c r="E257" s="106" t="s">
        <v>1294</v>
      </c>
      <c r="F257" s="106" t="s">
        <v>2414</v>
      </c>
      <c r="G257" s="106" t="s">
        <v>1006</v>
      </c>
      <c r="H257" s="106" t="s">
        <v>2415</v>
      </c>
      <c r="I257" s="106" t="s">
        <v>2416</v>
      </c>
      <c r="J257" s="106">
        <v>100000</v>
      </c>
      <c r="K257" s="106" t="s">
        <v>2417</v>
      </c>
      <c r="L257" s="106" t="s">
        <v>2418</v>
      </c>
      <c r="M257" s="106" t="s">
        <v>1039</v>
      </c>
      <c r="O257" s="106" t="s">
        <v>274</v>
      </c>
      <c r="P257" s="106" t="s">
        <v>1298</v>
      </c>
      <c r="Q257" s="106" t="s">
        <v>428</v>
      </c>
      <c r="S257" s="106" t="str" cm="1">
        <f t="array" ref="S257">IF(TRIM($D257)="","(tidak diisi)",IFERROR(INDEX(Kamus!$B$3:$B$28,MATCH(TRUE,ISNUMBER(SEARCH(Kamus!$A$3:$A$28,$D257)),0)),"Jabatan Lainnya"))</f>
        <v>Wakil Ketua Pengadilan</v>
      </c>
      <c r="T257" s="106" t="str" cm="1">
        <f t="array" ref="T257">IF(TRIM($I257)="","(tidak diisi)",IFERROR(INDEX(Kamus!$E$3:$E$162,MATCH(TRUE,ISNUMBER(SEARCH(Kamus!$D$3:$D$162,$I257)),0)),"Barang Lain / Tidak Terinci"))</f>
        <v>Suvenir &amp; Merchandise</v>
      </c>
      <c r="U257" s="106" t="str" cm="1">
        <f t="array" ref="U257">IF(TRIM($I257)="","(tidak diisi)",IFERROR(INDEX(Kamus!$H$3:$H$75,MATCH(TRUE,ISNUMBER(SEARCH(Kamus!$G$3:$G$75,$I257)),0)),"Pemberian Umum / Tanpa Konteks"))</f>
        <v>Pemberian Umum / Tanpa Konteks</v>
      </c>
      <c r="V257" s="106" t="str">
        <f t="shared" si="9"/>
        <v>2025</v>
      </c>
      <c r="W257" s="106" t="str" cm="1">
        <f t="array" ref="W257">IF(TRIM($K257)="","(tidak diisi)",IFERROR(INDEX(Kamus!$K$3:$K$118,MATCH(TRUE,ISNUMBER(SEARCH(Kamus!$J$3:$J$118,$K257)),0)),"Individu / Perorangan"))</f>
        <v>Individu / Perorangan</v>
      </c>
      <c r="X257" s="106" t="str">
        <f t="shared" si="10"/>
        <v>04</v>
      </c>
      <c r="Y257" s="106" t="str" cm="1">
        <f t="array" ref="Y257">IFERROR(INDEX(Kamus!$N$3:$N$111,MATCH(TRUE,ISNUMBER(SEARCH(Kamus!$M$3:$M$111,$I257)),0)),"")</f>
        <v/>
      </c>
      <c r="Z257" s="106" t="str">
        <f>IF(AND(OR($X257="02",$X257="03",$X257="04"),OR($T257="Parsel/Bingkisan (tidak dirinci)",$T257="Makanan &amp; Minuman",$T257="Peralatan Rumah Tangga / Pecah Belah",$T257="Pakaian &amp; Kain")),"Momen Hari Raya (dugaan musiman)",IFERROR(VLOOKUP($W257,Kamus!$P$3:$Q$14,2,FALSE),"Tidak Teridentifikasi"))</f>
        <v>Relasi Personal / Tidak Teridentifikasi</v>
      </c>
      <c r="AA257" s="106" t="str">
        <f t="shared" si="11"/>
        <v>Relasi Personal / Tidak Teridentifikasi</v>
      </c>
    </row>
    <row r="258" spans="1:27">
      <c r="A258" s="106">
        <v>257</v>
      </c>
      <c r="B258" s="106" t="s">
        <v>2419</v>
      </c>
      <c r="C258" s="107" t="s">
        <v>2420</v>
      </c>
      <c r="D258" s="106" t="s">
        <v>1033</v>
      </c>
      <c r="E258" s="106" t="s">
        <v>2421</v>
      </c>
      <c r="F258" s="106" t="s">
        <v>2422</v>
      </c>
      <c r="G258" s="106" t="s">
        <v>1006</v>
      </c>
      <c r="H258" s="106" t="s">
        <v>2415</v>
      </c>
      <c r="I258" s="106" t="s">
        <v>1017</v>
      </c>
      <c r="J258" s="106">
        <v>500000</v>
      </c>
      <c r="K258" s="106" t="s">
        <v>2423</v>
      </c>
      <c r="L258" s="106" t="s">
        <v>2424</v>
      </c>
      <c r="M258" s="106" t="s">
        <v>1171</v>
      </c>
      <c r="N258" s="106" t="s">
        <v>2425</v>
      </c>
      <c r="O258" s="106" t="s">
        <v>274</v>
      </c>
      <c r="P258" s="106" t="s">
        <v>2426</v>
      </c>
      <c r="Q258" s="106" t="s">
        <v>406</v>
      </c>
      <c r="S258" s="106" t="str" cm="1">
        <f t="array" ref="S258">IF(TRIM($D258)="","(tidak diisi)",IFERROR(INDEX(Kamus!$B$3:$B$28,MATCH(TRUE,ISNUMBER(SEARCH(Kamus!$A$3:$A$28,$D258)),0)),"Jabatan Lainnya"))</f>
        <v>Hakim</v>
      </c>
      <c r="T258" s="106" t="str" cm="1">
        <f t="array" ref="T258">IF(TRIM($I258)="","(tidak diisi)",IFERROR(INDEX(Kamus!$E$3:$E$162,MATCH(TRUE,ISNUMBER(SEARCH(Kamus!$D$3:$D$162,$I258)),0)),"Barang Lain / Tidak Terinci"))</f>
        <v>Uang &amp; Setara Uang</v>
      </c>
      <c r="U258" s="106" t="str" cm="1">
        <f t="array" ref="U258">IF(TRIM($I258)="","(tidak diisi)",IFERROR(INDEX(Kamus!$H$3:$H$75,MATCH(TRUE,ISNUMBER(SEARCH(Kamus!$G$3:$G$75,$I258)),0)),"Pemberian Umum / Tanpa Konteks"))</f>
        <v>Pemberian Uang Langsung</v>
      </c>
      <c r="V258" s="106" t="str">
        <f t="shared" si="9"/>
        <v>2025</v>
      </c>
      <c r="W258" s="106" t="str" cm="1">
        <f t="array" ref="W258">IF(TRIM($K258)="","(tidak diisi)",IFERROR(INDEX(Kamus!$K$3:$K$118,MATCH(TRUE,ISNUMBER(SEARCH(Kamus!$J$3:$J$118,$K258)),0)),"Individu / Perorangan"))</f>
        <v>Individu / Perorangan</v>
      </c>
      <c r="X258" s="106" t="str">
        <f t="shared" si="10"/>
        <v>04</v>
      </c>
      <c r="Y258" s="106" t="str" cm="1">
        <f t="array" ref="Y258">IFERROR(INDEX(Kamus!$N$3:$N$111,MATCH(TRUE,ISNUMBER(SEARCH(Kamus!$M$3:$M$111,$I258)),0)),"")</f>
        <v/>
      </c>
      <c r="Z258" s="106" t="str">
        <f>IF(AND(OR($X258="02",$X258="03",$X258="04"),OR($T258="Parsel/Bingkisan (tidak dirinci)",$T258="Makanan &amp; Minuman",$T258="Peralatan Rumah Tangga / Pecah Belah",$T258="Pakaian &amp; Kain")),"Momen Hari Raya (dugaan musiman)",IFERROR(VLOOKUP($W258,Kamus!$P$3:$Q$14,2,FALSE),"Tidak Teridentifikasi"))</f>
        <v>Relasi Personal / Tidak Teridentifikasi</v>
      </c>
      <c r="AA258" s="106" t="str">
        <f t="shared" si="11"/>
        <v>Relasi Personal / Tidak Teridentifikasi</v>
      </c>
    </row>
    <row r="259" spans="1:27">
      <c r="A259" s="106">
        <v>258</v>
      </c>
      <c r="B259" s="106" t="s">
        <v>1088</v>
      </c>
      <c r="C259" s="107" t="s">
        <v>1089</v>
      </c>
      <c r="D259" s="106" t="s">
        <v>1033</v>
      </c>
      <c r="E259" s="106" t="s">
        <v>1090</v>
      </c>
      <c r="F259" s="106" t="s">
        <v>2427</v>
      </c>
      <c r="G259" s="106" t="s">
        <v>1006</v>
      </c>
      <c r="H259" s="106" t="s">
        <v>2428</v>
      </c>
      <c r="I259" s="106" t="s">
        <v>2429</v>
      </c>
      <c r="J259" s="106">
        <v>25000</v>
      </c>
      <c r="K259" s="106" t="s">
        <v>2430</v>
      </c>
      <c r="L259" s="106" t="s">
        <v>2431</v>
      </c>
      <c r="M259" s="106" t="s">
        <v>1039</v>
      </c>
      <c r="O259" s="106" t="s">
        <v>274</v>
      </c>
      <c r="P259" s="106" t="s">
        <v>1095</v>
      </c>
      <c r="Q259" s="106" t="s">
        <v>348</v>
      </c>
      <c r="S259" s="106" t="str" cm="1">
        <f t="array" ref="S259">IF(TRIM($D259)="","(tidak diisi)",IFERROR(INDEX(Kamus!$B$3:$B$28,MATCH(TRUE,ISNUMBER(SEARCH(Kamus!$A$3:$A$28,$D259)),0)),"Jabatan Lainnya"))</f>
        <v>Hakim</v>
      </c>
      <c r="T259" s="106" t="str" cm="1">
        <f t="array" ref="T259">IF(TRIM($I259)="","(tidak diisi)",IFERROR(INDEX(Kamus!$E$3:$E$162,MATCH(TRUE,ISNUMBER(SEARCH(Kamus!$D$3:$D$162,$I259)),0)),"Barang Lain / Tidak Terinci"))</f>
        <v>Makanan &amp; Minuman</v>
      </c>
      <c r="U259" s="106" t="str" cm="1">
        <f t="array" ref="U259">IF(TRIM($I259)="","(tidak diisi)",IFERROR(INDEX(Kamus!$H$3:$H$75,MATCH(TRUE,ISNUMBER(SEARCH(Kamus!$G$3:$G$75,$I259)),0)),"Pemberian Umum / Tanpa Konteks"))</f>
        <v>Pemberian Umum / Tanpa Konteks</v>
      </c>
      <c r="V259" s="106" t="str">
        <f t="shared" ref="V259:V322" si="12">IF($H259="","(tidak diisi)",IF(ISNUMBER($H259),TEXT(YEAR($H259),"0"),LEFT($H259,4)))</f>
        <v>2025</v>
      </c>
      <c r="W259" s="106" t="str" cm="1">
        <f t="array" ref="W259">IF(TRIM($K259)="","(tidak diisi)",IFERROR(INDEX(Kamus!$K$3:$K$118,MATCH(TRUE,ISNUMBER(SEARCH(Kamus!$J$3:$J$118,$K259)),0)),"Individu / Perorangan"))</f>
        <v>Aparat/Instansi Penegak Hukum &amp; Vertikal</v>
      </c>
      <c r="X259" s="106" t="str">
        <f t="shared" ref="X259:X322" si="13">IF($H259="","(tidak diisi)",IF(ISNUMBER($H259),TEXT(MONTH($H259),"00"),MID($H259,6,2)))</f>
        <v>04</v>
      </c>
      <c r="Y259" s="106" t="str" cm="1">
        <f t="array" ref="Y259">IFERROR(INDEX(Kamus!$N$3:$N$111,MATCH(TRUE,ISNUMBER(SEARCH(Kamus!$M$3:$M$111,$I259)),0)),"")</f>
        <v/>
      </c>
      <c r="Z259" s="106" t="str">
        <f>IF(AND(OR($X259="02",$X259="03",$X259="04"),OR($T259="Parsel/Bingkisan (tidak dirinci)",$T259="Makanan &amp; Minuman",$T259="Peralatan Rumah Tangga / Pecah Belah",$T259="Pakaian &amp; Kain")),"Momen Hari Raya (dugaan musiman)",IFERROR(VLOOKUP($W259,Kamus!$P$3:$Q$14,2,FALSE),"Tidak Teridentifikasi"))</f>
        <v>Momen Hari Raya (dugaan musiman)</v>
      </c>
      <c r="AA259" s="106" t="str">
        <f t="shared" ref="AA259:AA322" si="14">IF($Y259="",$Z259,$Y259)</f>
        <v>Momen Hari Raya (dugaan musiman)</v>
      </c>
    </row>
    <row r="260" spans="1:27">
      <c r="A260" s="106">
        <v>259</v>
      </c>
      <c r="B260" s="106" t="s">
        <v>2432</v>
      </c>
      <c r="C260" s="107" t="s">
        <v>2433</v>
      </c>
      <c r="D260" s="106" t="s">
        <v>1042</v>
      </c>
      <c r="E260" s="106" t="s">
        <v>1320</v>
      </c>
      <c r="F260" s="106" t="s">
        <v>2434</v>
      </c>
      <c r="G260" s="106" t="s">
        <v>1006</v>
      </c>
      <c r="H260" s="106" t="s">
        <v>2054</v>
      </c>
      <c r="I260" s="106" t="s">
        <v>1036</v>
      </c>
      <c r="J260" s="106">
        <v>500000</v>
      </c>
      <c r="K260" s="106" t="s">
        <v>2435</v>
      </c>
      <c r="L260" s="106" t="s">
        <v>2436</v>
      </c>
      <c r="M260" s="106" t="s">
        <v>1171</v>
      </c>
      <c r="N260" s="106" t="s">
        <v>2437</v>
      </c>
      <c r="O260" s="106" t="s">
        <v>274</v>
      </c>
      <c r="P260" s="106" t="s">
        <v>1325</v>
      </c>
      <c r="Q260" s="106" t="s">
        <v>427</v>
      </c>
      <c r="S260" s="106" t="str" cm="1">
        <f t="array" ref="S260">IF(TRIM($D260)="","(tidak diisi)",IFERROR(INDEX(Kamus!$B$3:$B$28,MATCH(TRUE,ISNUMBER(SEARCH(Kamus!$A$3:$A$28,$D260)),0)),"Jabatan Lainnya"))</f>
        <v>Ketua Pengadilan</v>
      </c>
      <c r="T260" s="106" t="str" cm="1">
        <f t="array" ref="T260">IF(TRIM($I260)="","(tidak diisi)",IFERROR(INDEX(Kamus!$E$3:$E$162,MATCH(TRUE,ISNUMBER(SEARCH(Kamus!$D$3:$D$162,$I260)),0)),"Barang Lain / Tidak Terinci"))</f>
        <v>Peralatan Rumah Tangga / Pecah Belah</v>
      </c>
      <c r="U260" s="106" t="str" cm="1">
        <f t="array" ref="U260">IF(TRIM($I260)="","(tidak diisi)",IFERROR(INDEX(Kamus!$H$3:$H$75,MATCH(TRUE,ISNUMBER(SEARCH(Kamus!$G$3:$G$75,$I260)),0)),"Pemberian Umum / Tanpa Konteks"))</f>
        <v>Parsel/Bingkisan Umum (non-hari raya)</v>
      </c>
      <c r="V260" s="106" t="str">
        <f t="shared" si="12"/>
        <v>2025</v>
      </c>
      <c r="W260" s="106" t="str" cm="1">
        <f t="array" ref="W260">IF(TRIM($K260)="","(tidak diisi)",IFERROR(INDEX(Kamus!$K$3:$K$118,MATCH(TRUE,ISNUMBER(SEARCH(Kamus!$J$3:$J$118,$K260)),0)),"Individu / Perorangan"))</f>
        <v>Individu / Perorangan</v>
      </c>
      <c r="X260" s="106" t="str">
        <f t="shared" si="13"/>
        <v>03</v>
      </c>
      <c r="Y260" s="106" t="str" cm="1">
        <f t="array" ref="Y260">IFERROR(INDEX(Kamus!$N$3:$N$111,MATCH(TRUE,ISNUMBER(SEARCH(Kamus!$M$3:$M$111,$I260)),0)),"")</f>
        <v/>
      </c>
      <c r="Z260" s="106" t="str">
        <f>IF(AND(OR($X260="02",$X260="03",$X260="04"),OR($T260="Parsel/Bingkisan (tidak dirinci)",$T260="Makanan &amp; Minuman",$T260="Peralatan Rumah Tangga / Pecah Belah",$T260="Pakaian &amp; Kain")),"Momen Hari Raya (dugaan musiman)",IFERROR(VLOOKUP($W260,Kamus!$P$3:$Q$14,2,FALSE),"Tidak Teridentifikasi"))</f>
        <v>Momen Hari Raya (dugaan musiman)</v>
      </c>
      <c r="AA260" s="106" t="str">
        <f t="shared" si="14"/>
        <v>Momen Hari Raya (dugaan musiman)</v>
      </c>
    </row>
    <row r="261" spans="1:27">
      <c r="A261" s="106">
        <v>260</v>
      </c>
      <c r="B261" s="106" t="s">
        <v>2438</v>
      </c>
      <c r="C261" s="107" t="s">
        <v>2439</v>
      </c>
      <c r="D261" s="106" t="s">
        <v>1033</v>
      </c>
      <c r="E261" s="106" t="s">
        <v>2440</v>
      </c>
      <c r="F261" s="106" t="s">
        <v>2441</v>
      </c>
      <c r="G261" s="106" t="s">
        <v>1006</v>
      </c>
      <c r="H261" s="106" t="s">
        <v>2309</v>
      </c>
      <c r="I261" s="106" t="s">
        <v>2442</v>
      </c>
      <c r="J261" s="106">
        <v>25000</v>
      </c>
      <c r="K261" s="106" t="s">
        <v>2443</v>
      </c>
      <c r="L261" s="106" t="s">
        <v>2444</v>
      </c>
      <c r="M261" s="106" t="s">
        <v>1020</v>
      </c>
      <c r="O261" s="106" t="s">
        <v>274</v>
      </c>
      <c r="P261" s="106" t="s">
        <v>2445</v>
      </c>
      <c r="Q261" s="106" t="s">
        <v>399</v>
      </c>
      <c r="S261" s="106" t="str" cm="1">
        <f t="array" ref="S261">IF(TRIM($D261)="","(tidak diisi)",IFERROR(INDEX(Kamus!$B$3:$B$28,MATCH(TRUE,ISNUMBER(SEARCH(Kamus!$A$3:$A$28,$D261)),0)),"Jabatan Lainnya"))</f>
        <v>Hakim</v>
      </c>
      <c r="T261" s="106" t="str" cm="1">
        <f t="array" ref="T261">IF(TRIM($I261)="","(tidak diisi)",IFERROR(INDEX(Kamus!$E$3:$E$162,MATCH(TRUE,ISNUMBER(SEARCH(Kamus!$D$3:$D$162,$I261)),0)),"Barang Lain / Tidak Terinci"))</f>
        <v>Fasilitas &amp; Jasa</v>
      </c>
      <c r="U261" s="106" t="str" cm="1">
        <f t="array" ref="U261">IF(TRIM($I261)="","(tidak diisi)",IFERROR(INDEX(Kamus!$H$3:$H$75,MATCH(TRUE,ISNUMBER(SEARCH(Kamus!$G$3:$G$75,$I261)),0)),"Pemberian Umum / Tanpa Konteks"))</f>
        <v>Oleh-oleh / Buah Tangan Perjalanan</v>
      </c>
      <c r="V261" s="106" t="str">
        <f t="shared" si="12"/>
        <v>2025</v>
      </c>
      <c r="W261" s="106" t="str" cm="1">
        <f t="array" ref="W261">IF(TRIM($K261)="","(tidak diisi)",IFERROR(INDEX(Kamus!$K$3:$K$118,MATCH(TRUE,ISNUMBER(SEARCH(Kamus!$J$3:$J$118,$K261)),0)),"Individu / Perorangan"))</f>
        <v>Individu / Perorangan</v>
      </c>
      <c r="X261" s="106" t="str">
        <f t="shared" si="13"/>
        <v>04</v>
      </c>
      <c r="Y261" s="106" t="str" cm="1">
        <f t="array" ref="Y261">IFERROR(INDEX(Kamus!$N$3:$N$111,MATCH(TRUE,ISNUMBER(SEARCH(Kamus!$M$3:$M$111,$I261)),0)),"")</f>
        <v/>
      </c>
      <c r="Z261" s="106" t="str">
        <f>IF(AND(OR($X261="02",$X261="03",$X261="04"),OR($T261="Parsel/Bingkisan (tidak dirinci)",$T261="Makanan &amp; Minuman",$T261="Peralatan Rumah Tangga / Pecah Belah",$T261="Pakaian &amp; Kain")),"Momen Hari Raya (dugaan musiman)",IFERROR(VLOOKUP($W261,Kamus!$P$3:$Q$14,2,FALSE),"Tidak Teridentifikasi"))</f>
        <v>Relasi Personal / Tidak Teridentifikasi</v>
      </c>
      <c r="AA261" s="106" t="str">
        <f t="shared" si="14"/>
        <v>Relasi Personal / Tidak Teridentifikasi</v>
      </c>
    </row>
    <row r="262" spans="1:27">
      <c r="A262" s="106">
        <v>261</v>
      </c>
      <c r="B262" s="106" t="s">
        <v>2438</v>
      </c>
      <c r="C262" s="107" t="s">
        <v>2439</v>
      </c>
      <c r="D262" s="106" t="s">
        <v>1033</v>
      </c>
      <c r="E262" s="106" t="s">
        <v>2440</v>
      </c>
      <c r="F262" s="106" t="s">
        <v>2446</v>
      </c>
      <c r="G262" s="106" t="s">
        <v>1006</v>
      </c>
      <c r="H262" s="106" t="s">
        <v>2428</v>
      </c>
      <c r="I262" s="106" t="s">
        <v>2447</v>
      </c>
      <c r="J262" s="106">
        <v>10000</v>
      </c>
      <c r="K262" s="106" t="s">
        <v>2448</v>
      </c>
      <c r="L262" s="106" t="s">
        <v>2449</v>
      </c>
      <c r="M262" s="106" t="s">
        <v>1020</v>
      </c>
      <c r="O262" s="106" t="s">
        <v>274</v>
      </c>
      <c r="P262" s="106" t="s">
        <v>2445</v>
      </c>
      <c r="Q262" s="106" t="s">
        <v>399</v>
      </c>
      <c r="S262" s="106" t="str" cm="1">
        <f t="array" ref="S262">IF(TRIM($D262)="","(tidak diisi)",IFERROR(INDEX(Kamus!$B$3:$B$28,MATCH(TRUE,ISNUMBER(SEARCH(Kamus!$A$3:$A$28,$D262)),0)),"Jabatan Lainnya"))</f>
        <v>Hakim</v>
      </c>
      <c r="T262" s="106" t="str" cm="1">
        <f t="array" ref="T262">IF(TRIM($I262)="","(tidak diisi)",IFERROR(INDEX(Kamus!$E$3:$E$162,MATCH(TRUE,ISNUMBER(SEARCH(Kamus!$D$3:$D$162,$I262)),0)),"Barang Lain / Tidak Terinci"))</f>
        <v>Suvenir &amp; Merchandise</v>
      </c>
      <c r="U262" s="106" t="str" cm="1">
        <f t="array" ref="U262">IF(TRIM($I262)="","(tidak diisi)",IFERROR(INDEX(Kamus!$H$3:$H$75,MATCH(TRUE,ISNUMBER(SEARCH(Kamus!$G$3:$G$75,$I262)),0)),"Pemberian Umum / Tanpa Konteks"))</f>
        <v>Suvenir / Merchandise Kegiatan &amp; Kunjungan</v>
      </c>
      <c r="V262" s="106" t="str">
        <f t="shared" si="12"/>
        <v>2025</v>
      </c>
      <c r="W262" s="106" t="str" cm="1">
        <f t="array" ref="W262">IF(TRIM($K262)="","(tidak diisi)",IFERROR(INDEX(Kamus!$K$3:$K$118,MATCH(TRUE,ISNUMBER(SEARCH(Kamus!$J$3:$J$118,$K262)),0)),"Individu / Perorangan"))</f>
        <v>Individu / Perorangan</v>
      </c>
      <c r="X262" s="106" t="str">
        <f t="shared" si="13"/>
        <v>04</v>
      </c>
      <c r="Y262" s="106" t="str" cm="1">
        <f t="array" ref="Y262">IFERROR(INDEX(Kamus!$N$3:$N$111,MATCH(TRUE,ISNUMBER(SEARCH(Kamus!$M$3:$M$111,$I262)),0)),"")</f>
        <v>Acara Personal (Pernikahan/Duka/Wisuda)</v>
      </c>
      <c r="Z262" s="106" t="str">
        <f>IF(AND(OR($X262="02",$X262="03",$X262="04"),OR($T262="Parsel/Bingkisan (tidak dirinci)",$T262="Makanan &amp; Minuman",$T262="Peralatan Rumah Tangga / Pecah Belah",$T262="Pakaian &amp; Kain")),"Momen Hari Raya (dugaan musiman)",IFERROR(VLOOKUP($W262,Kamus!$P$3:$Q$14,2,FALSE),"Tidak Teridentifikasi"))</f>
        <v>Relasi Personal / Tidak Teridentifikasi</v>
      </c>
      <c r="AA262" s="106" t="str">
        <f t="shared" si="14"/>
        <v>Acara Personal (Pernikahan/Duka/Wisuda)</v>
      </c>
    </row>
    <row r="263" spans="1:27">
      <c r="A263" s="106">
        <v>262</v>
      </c>
      <c r="B263" s="106" t="s">
        <v>2450</v>
      </c>
      <c r="C263" s="107" t="s">
        <v>2451</v>
      </c>
      <c r="D263" s="106" t="s">
        <v>1843</v>
      </c>
      <c r="E263" s="106" t="s">
        <v>1403</v>
      </c>
      <c r="F263" s="106" t="s">
        <v>2452</v>
      </c>
      <c r="G263" s="106" t="s">
        <v>1006</v>
      </c>
      <c r="H263" s="106" t="s">
        <v>2054</v>
      </c>
      <c r="I263" s="106" t="s">
        <v>1492</v>
      </c>
      <c r="J263" s="106">
        <v>500000</v>
      </c>
      <c r="K263" s="106" t="s">
        <v>2453</v>
      </c>
      <c r="L263" s="106" t="s">
        <v>2454</v>
      </c>
      <c r="M263" s="106" t="s">
        <v>1171</v>
      </c>
      <c r="N263" s="106" t="s">
        <v>2455</v>
      </c>
      <c r="O263" s="106" t="s">
        <v>274</v>
      </c>
      <c r="P263" s="106" t="s">
        <v>1410</v>
      </c>
      <c r="Q263" s="106" t="s">
        <v>403</v>
      </c>
      <c r="S263" s="106" t="str" cm="1">
        <f t="array" ref="S263">IF(TRIM($D263)="","(tidak diisi)",IFERROR(INDEX(Kamus!$B$3:$B$28,MATCH(TRUE,ISNUMBER(SEARCH(Kamus!$A$3:$A$28,$D263)),0)),"Jabatan Lainnya"))</f>
        <v>Ketua Pengadilan</v>
      </c>
      <c r="T263" s="106" t="str" cm="1">
        <f t="array" ref="T263">IF(TRIM($I263)="","(tidak diisi)",IFERROR(INDEX(Kamus!$E$3:$E$162,MATCH(TRUE,ISNUMBER(SEARCH(Kamus!$D$3:$D$162,$I263)),0)),"Barang Lain / Tidak Terinci"))</f>
        <v>Pakaian &amp; Kain</v>
      </c>
      <c r="U263" s="106" t="str" cm="1">
        <f t="array" ref="U263">IF(TRIM($I263)="","(tidak diisi)",IFERROR(INDEX(Kamus!$H$3:$H$75,MATCH(TRUE,ISNUMBER(SEARCH(Kamus!$G$3:$G$75,$I263)),0)),"Pemberian Umum / Tanpa Konteks"))</f>
        <v>Pemberian Umum / Tanpa Konteks</v>
      </c>
      <c r="V263" s="106" t="str">
        <f t="shared" si="12"/>
        <v>2025</v>
      </c>
      <c r="W263" s="106" t="str" cm="1">
        <f t="array" ref="W263">IF(TRIM($K263)="","(tidak diisi)",IFERROR(INDEX(Kamus!$K$3:$K$118,MATCH(TRUE,ISNUMBER(SEARCH(Kamus!$J$3:$J$118,$K263)),0)),"Individu / Perorangan"))</f>
        <v>Individu / Perorangan</v>
      </c>
      <c r="X263" s="106" t="str">
        <f t="shared" si="13"/>
        <v>03</v>
      </c>
      <c r="Y263" s="106" t="str" cm="1">
        <f t="array" ref="Y263">IFERROR(INDEX(Kamus!$N$3:$N$111,MATCH(TRUE,ISNUMBER(SEARCH(Kamus!$M$3:$M$111,$I263)),0)),"")</f>
        <v/>
      </c>
      <c r="Z263" s="106" t="str">
        <f>IF(AND(OR($X263="02",$X263="03",$X263="04"),OR($T263="Parsel/Bingkisan (tidak dirinci)",$T263="Makanan &amp; Minuman",$T263="Peralatan Rumah Tangga / Pecah Belah",$T263="Pakaian &amp; Kain")),"Momen Hari Raya (dugaan musiman)",IFERROR(VLOOKUP($W263,Kamus!$P$3:$Q$14,2,FALSE),"Tidak Teridentifikasi"))</f>
        <v>Momen Hari Raya (dugaan musiman)</v>
      </c>
      <c r="AA263" s="106" t="str">
        <f t="shared" si="14"/>
        <v>Momen Hari Raya (dugaan musiman)</v>
      </c>
    </row>
    <row r="264" spans="1:27">
      <c r="A264" s="106">
        <v>263</v>
      </c>
      <c r="B264" s="106" t="s">
        <v>2456</v>
      </c>
      <c r="C264" s="107" t="s">
        <v>2457</v>
      </c>
      <c r="D264" s="106" t="s">
        <v>1042</v>
      </c>
      <c r="E264" s="106" t="s">
        <v>1115</v>
      </c>
      <c r="F264" s="106" t="s">
        <v>2458</v>
      </c>
      <c r="G264" s="106" t="s">
        <v>1006</v>
      </c>
      <c r="H264" s="106" t="s">
        <v>1918</v>
      </c>
      <c r="I264" s="106" t="s">
        <v>2459</v>
      </c>
      <c r="K264" s="106" t="s">
        <v>2460</v>
      </c>
      <c r="L264" s="106" t="s">
        <v>2461</v>
      </c>
      <c r="O264" s="106" t="s">
        <v>274</v>
      </c>
      <c r="P264" s="106" t="s">
        <v>1119</v>
      </c>
      <c r="Q264" s="106" t="s">
        <v>429</v>
      </c>
      <c r="S264" s="106" t="str" cm="1">
        <f t="array" ref="S264">IF(TRIM($D264)="","(tidak diisi)",IFERROR(INDEX(Kamus!$B$3:$B$28,MATCH(TRUE,ISNUMBER(SEARCH(Kamus!$A$3:$A$28,$D264)),0)),"Jabatan Lainnya"))</f>
        <v>Ketua Pengadilan</v>
      </c>
      <c r="T264" s="106" t="str" cm="1">
        <f t="array" ref="T264">IF(TRIM($I264)="","(tidak diisi)",IFERROR(INDEX(Kamus!$E$3:$E$162,MATCH(TRUE,ISNUMBER(SEARCH(Kamus!$D$3:$D$162,$I264)),0)),"Barang Lain / Tidak Terinci"))</f>
        <v>Makanan &amp; Minuman</v>
      </c>
      <c r="U264" s="106" t="str" cm="1">
        <f t="array" ref="U264">IF(TRIM($I264)="","(tidak diisi)",IFERROR(INDEX(Kamus!$H$3:$H$75,MATCH(TRUE,ISNUMBER(SEARCH(Kamus!$G$3:$G$75,$I264)),0)),"Pemberian Umum / Tanpa Konteks"))</f>
        <v>Parsel/Bingkisan Umum (non-hari raya)</v>
      </c>
      <c r="V264" s="106" t="str">
        <f t="shared" si="12"/>
        <v>2025</v>
      </c>
      <c r="W264" s="106" t="str" cm="1">
        <f t="array" ref="W264">IF(TRIM($K264)="","(tidak diisi)",IFERROR(INDEX(Kamus!$K$3:$K$118,MATCH(TRUE,ISNUMBER(SEARCH(Kamus!$J$3:$J$118,$K264)),0)),"Individu / Perorangan"))</f>
        <v>Aparat/Instansi Penegak Hukum &amp; Vertikal</v>
      </c>
      <c r="X264" s="106" t="str">
        <f t="shared" si="13"/>
        <v>03</v>
      </c>
      <c r="Y264" s="106" t="str" cm="1">
        <f t="array" ref="Y264">IFERROR(INDEX(Kamus!$N$3:$N$111,MATCH(TRUE,ISNUMBER(SEARCH(Kamus!$M$3:$M$111,$I264)),0)),"")</f>
        <v/>
      </c>
      <c r="Z264" s="106" t="str">
        <f>IF(AND(OR($X264="02",$X264="03",$X264="04"),OR($T264="Parsel/Bingkisan (tidak dirinci)",$T264="Makanan &amp; Minuman",$T264="Peralatan Rumah Tangga / Pecah Belah",$T264="Pakaian &amp; Kain")),"Momen Hari Raya (dugaan musiman)",IFERROR(VLOOKUP($W264,Kamus!$P$3:$Q$14,2,FALSE),"Tidak Teridentifikasi"))</f>
        <v>Momen Hari Raya (dugaan musiman)</v>
      </c>
      <c r="AA264" s="106" t="str">
        <f t="shared" si="14"/>
        <v>Momen Hari Raya (dugaan musiman)</v>
      </c>
    </row>
    <row r="265" spans="1:27">
      <c r="A265" s="106">
        <v>264</v>
      </c>
      <c r="B265" s="106" t="s">
        <v>1823</v>
      </c>
      <c r="C265" s="107" t="s">
        <v>1824</v>
      </c>
      <c r="D265" s="106" t="s">
        <v>1033</v>
      </c>
      <c r="E265" s="106" t="s">
        <v>1825</v>
      </c>
      <c r="F265" s="106" t="s">
        <v>2462</v>
      </c>
      <c r="G265" s="106" t="s">
        <v>1006</v>
      </c>
      <c r="H265" s="106" t="s">
        <v>2193</v>
      </c>
      <c r="I265" s="106" t="s">
        <v>2463</v>
      </c>
      <c r="J265" s="106">
        <v>675000</v>
      </c>
      <c r="K265" s="106" t="s">
        <v>2464</v>
      </c>
      <c r="L265" s="106" t="s">
        <v>2465</v>
      </c>
      <c r="M265" s="106" t="s">
        <v>1171</v>
      </c>
      <c r="N265" s="106" t="s">
        <v>2466</v>
      </c>
      <c r="O265" s="106" t="s">
        <v>274</v>
      </c>
      <c r="P265" s="106" t="s">
        <v>1831</v>
      </c>
      <c r="Q265" s="106" t="s">
        <v>313</v>
      </c>
      <c r="S265" s="106" t="str" cm="1">
        <f t="array" ref="S265">IF(TRIM($D265)="","(tidak diisi)",IFERROR(INDEX(Kamus!$B$3:$B$28,MATCH(TRUE,ISNUMBER(SEARCH(Kamus!$A$3:$A$28,$D265)),0)),"Jabatan Lainnya"))</f>
        <v>Hakim</v>
      </c>
      <c r="T265" s="106" t="str" cm="1">
        <f t="array" ref="T265">IF(TRIM($I265)="","(tidak diisi)",IFERROR(INDEX(Kamus!$E$3:$E$162,MATCH(TRUE,ISNUMBER(SEARCH(Kamus!$D$3:$D$162,$I265)),0)),"Barang Lain / Tidak Terinci"))</f>
        <v>Buku &amp; Publikasi</v>
      </c>
      <c r="U265" s="106" t="str" cm="1">
        <f t="array" ref="U265">IF(TRIM($I265)="","(tidak diisi)",IFERROR(INDEX(Kamus!$H$3:$H$75,MATCH(TRUE,ISNUMBER(SEARCH(Kamus!$G$3:$G$75,$I265)),0)),"Pemberian Umum / Tanpa Konteks"))</f>
        <v>Pemberian Umum / Tanpa Konteks</v>
      </c>
      <c r="V265" s="106" t="str">
        <f t="shared" si="12"/>
        <v>2025</v>
      </c>
      <c r="W265" s="106" t="str" cm="1">
        <f t="array" ref="W265">IF(TRIM($K265)="","(tidak diisi)",IFERROR(INDEX(Kamus!$K$3:$K$118,MATCH(TRUE,ISNUMBER(SEARCH(Kamus!$J$3:$J$118,$K265)),0)),"Individu / Perorangan"))</f>
        <v>Individu / Perorangan</v>
      </c>
      <c r="X265" s="106" t="str">
        <f t="shared" si="13"/>
        <v>03</v>
      </c>
      <c r="Y265" s="106" t="str" cm="1">
        <f t="array" ref="Y265">IFERROR(INDEX(Kamus!$N$3:$N$111,MATCH(TRUE,ISNUMBER(SEARCH(Kamus!$M$3:$M$111,$I265)),0)),"")</f>
        <v/>
      </c>
      <c r="Z265" s="106" t="str">
        <f>IF(AND(OR($X265="02",$X265="03",$X265="04"),OR($T265="Parsel/Bingkisan (tidak dirinci)",$T265="Makanan &amp; Minuman",$T265="Peralatan Rumah Tangga / Pecah Belah",$T265="Pakaian &amp; Kain")),"Momen Hari Raya (dugaan musiman)",IFERROR(VLOOKUP($W265,Kamus!$P$3:$Q$14,2,FALSE),"Tidak Teridentifikasi"))</f>
        <v>Relasi Personal / Tidak Teridentifikasi</v>
      </c>
      <c r="AA265" s="106" t="str">
        <f t="shared" si="14"/>
        <v>Relasi Personal / Tidak Teridentifikasi</v>
      </c>
    </row>
    <row r="266" spans="1:27">
      <c r="A266" s="106">
        <v>265</v>
      </c>
      <c r="B266" s="106" t="s">
        <v>2467</v>
      </c>
      <c r="C266" s="107" t="s">
        <v>2468</v>
      </c>
      <c r="D266" s="106" t="s">
        <v>1042</v>
      </c>
      <c r="E266" s="106" t="s">
        <v>2469</v>
      </c>
      <c r="F266" s="106" t="s">
        <v>2470</v>
      </c>
      <c r="G266" s="106" t="s">
        <v>1006</v>
      </c>
      <c r="H266" s="106" t="s">
        <v>1991</v>
      </c>
      <c r="I266" s="106" t="s">
        <v>2459</v>
      </c>
      <c r="K266" s="106" t="s">
        <v>2471</v>
      </c>
      <c r="L266" s="106" t="s">
        <v>2472</v>
      </c>
      <c r="O266" s="106" t="s">
        <v>274</v>
      </c>
      <c r="Q266" s="106" t="s">
        <v>317</v>
      </c>
      <c r="S266" s="106" t="str" cm="1">
        <f t="array" ref="S266">IF(TRIM($D266)="","(tidak diisi)",IFERROR(INDEX(Kamus!$B$3:$B$28,MATCH(TRUE,ISNUMBER(SEARCH(Kamus!$A$3:$A$28,$D266)),0)),"Jabatan Lainnya"))</f>
        <v>Ketua Pengadilan</v>
      </c>
      <c r="T266" s="106" t="str" cm="1">
        <f t="array" ref="T266">IF(TRIM($I266)="","(tidak diisi)",IFERROR(INDEX(Kamus!$E$3:$E$162,MATCH(TRUE,ISNUMBER(SEARCH(Kamus!$D$3:$D$162,$I266)),0)),"Barang Lain / Tidak Terinci"))</f>
        <v>Makanan &amp; Minuman</v>
      </c>
      <c r="U266" s="106" t="str" cm="1">
        <f t="array" ref="U266">IF(TRIM($I266)="","(tidak diisi)",IFERROR(INDEX(Kamus!$H$3:$H$75,MATCH(TRUE,ISNUMBER(SEARCH(Kamus!$G$3:$G$75,$I266)),0)),"Pemberian Umum / Tanpa Konteks"))</f>
        <v>Parsel/Bingkisan Umum (non-hari raya)</v>
      </c>
      <c r="V266" s="106" t="str">
        <f t="shared" si="12"/>
        <v>2025</v>
      </c>
      <c r="W266" s="106" t="str" cm="1">
        <f t="array" ref="W266">IF(TRIM($K266)="","(tidak diisi)",IFERROR(INDEX(Kamus!$K$3:$K$118,MATCH(TRUE,ISNUMBER(SEARCH(Kamus!$J$3:$J$118,$K266)),0)),"Individu / Perorangan"))</f>
        <v>Bank &amp; Lembaga Keuangan</v>
      </c>
      <c r="X266" s="106" t="str">
        <f t="shared" si="13"/>
        <v>03</v>
      </c>
      <c r="Y266" s="106" t="str" cm="1">
        <f t="array" ref="Y266">IFERROR(INDEX(Kamus!$N$3:$N$111,MATCH(TRUE,ISNUMBER(SEARCH(Kamus!$M$3:$M$111,$I266)),0)),"")</f>
        <v/>
      </c>
      <c r="Z266" s="106" t="str">
        <f>IF(AND(OR($X266="02",$X266="03",$X266="04"),OR($T266="Parsel/Bingkisan (tidak dirinci)",$T266="Makanan &amp; Minuman",$T266="Peralatan Rumah Tangga / Pecah Belah",$T266="Pakaian &amp; Kain")),"Momen Hari Raya (dugaan musiman)",IFERROR(VLOOKUP($W266,Kamus!$P$3:$Q$14,2,FALSE),"Tidak Teridentifikasi"))</f>
        <v>Momen Hari Raya (dugaan musiman)</v>
      </c>
      <c r="AA266" s="106" t="str">
        <f t="shared" si="14"/>
        <v>Momen Hari Raya (dugaan musiman)</v>
      </c>
    </row>
    <row r="267" spans="1:27">
      <c r="A267" s="106">
        <v>266</v>
      </c>
      <c r="B267" s="106" t="s">
        <v>1317</v>
      </c>
      <c r="C267" s="107" t="s">
        <v>1318</v>
      </c>
      <c r="D267" s="106" t="s">
        <v>1319</v>
      </c>
      <c r="E267" s="106" t="s">
        <v>1320</v>
      </c>
      <c r="F267" s="106" t="s">
        <v>2473</v>
      </c>
      <c r="G267" s="106" t="s">
        <v>1006</v>
      </c>
      <c r="H267" s="106" t="s">
        <v>2474</v>
      </c>
      <c r="I267" s="106" t="s">
        <v>1036</v>
      </c>
      <c r="J267" s="106">
        <v>144300</v>
      </c>
      <c r="K267" s="106" t="s">
        <v>2435</v>
      </c>
      <c r="L267" s="106" t="s">
        <v>2475</v>
      </c>
      <c r="M267" s="106" t="s">
        <v>1171</v>
      </c>
      <c r="N267" s="106" t="s">
        <v>2476</v>
      </c>
      <c r="O267" s="106" t="s">
        <v>274</v>
      </c>
      <c r="P267" s="106" t="s">
        <v>1325</v>
      </c>
      <c r="Q267" s="106" t="s">
        <v>427</v>
      </c>
      <c r="S267" s="106" t="str" cm="1">
        <f t="array" ref="S267">IF(TRIM($D267)="","(tidak diisi)",IFERROR(INDEX(Kamus!$B$3:$B$28,MATCH(TRUE,ISNUMBER(SEARCH(Kamus!$A$3:$A$28,$D267)),0)),"Jabatan Lainnya"))</f>
        <v>Wakil Ketua Pengadilan</v>
      </c>
      <c r="T267" s="106" t="str" cm="1">
        <f t="array" ref="T267">IF(TRIM($I267)="","(tidak diisi)",IFERROR(INDEX(Kamus!$E$3:$E$162,MATCH(TRUE,ISNUMBER(SEARCH(Kamus!$D$3:$D$162,$I267)),0)),"Barang Lain / Tidak Terinci"))</f>
        <v>Peralatan Rumah Tangga / Pecah Belah</v>
      </c>
      <c r="U267" s="106" t="str" cm="1">
        <f t="array" ref="U267">IF(TRIM($I267)="","(tidak diisi)",IFERROR(INDEX(Kamus!$H$3:$H$75,MATCH(TRUE,ISNUMBER(SEARCH(Kamus!$G$3:$G$75,$I267)),0)),"Pemberian Umum / Tanpa Konteks"))</f>
        <v>Parsel/Bingkisan Umum (non-hari raya)</v>
      </c>
      <c r="V267" s="106" t="str">
        <f t="shared" si="12"/>
        <v>2025</v>
      </c>
      <c r="W267" s="106" t="str" cm="1">
        <f t="array" ref="W267">IF(TRIM($K267)="","(tidak diisi)",IFERROR(INDEX(Kamus!$K$3:$K$118,MATCH(TRUE,ISNUMBER(SEARCH(Kamus!$J$3:$J$118,$K267)),0)),"Individu / Perorangan"))</f>
        <v>Individu / Perorangan</v>
      </c>
      <c r="X267" s="106" t="str">
        <f t="shared" si="13"/>
        <v>04</v>
      </c>
      <c r="Y267" s="106" t="str" cm="1">
        <f t="array" ref="Y267">IFERROR(INDEX(Kamus!$N$3:$N$111,MATCH(TRUE,ISNUMBER(SEARCH(Kamus!$M$3:$M$111,$I267)),0)),"")</f>
        <v/>
      </c>
      <c r="Z267" s="106" t="str">
        <f>IF(AND(OR($X267="02",$X267="03",$X267="04"),OR($T267="Parsel/Bingkisan (tidak dirinci)",$T267="Makanan &amp; Minuman",$T267="Peralatan Rumah Tangga / Pecah Belah",$T267="Pakaian &amp; Kain")),"Momen Hari Raya (dugaan musiman)",IFERROR(VLOOKUP($W267,Kamus!$P$3:$Q$14,2,FALSE),"Tidak Teridentifikasi"))</f>
        <v>Momen Hari Raya (dugaan musiman)</v>
      </c>
      <c r="AA267" s="106" t="str">
        <f t="shared" si="14"/>
        <v>Momen Hari Raya (dugaan musiman)</v>
      </c>
    </row>
    <row r="268" spans="1:27">
      <c r="A268" s="106">
        <v>267</v>
      </c>
      <c r="B268" s="106" t="s">
        <v>1197</v>
      </c>
      <c r="C268" s="107" t="s">
        <v>1198</v>
      </c>
      <c r="D268" s="106" t="s">
        <v>1199</v>
      </c>
      <c r="E268" s="106" t="s">
        <v>1200</v>
      </c>
      <c r="F268" s="106" t="s">
        <v>2477</v>
      </c>
      <c r="G268" s="106" t="s">
        <v>1074</v>
      </c>
      <c r="H268" s="106" t="s">
        <v>2478</v>
      </c>
      <c r="I268" s="106" t="s">
        <v>2479</v>
      </c>
      <c r="K268" s="106" t="s">
        <v>2480</v>
      </c>
      <c r="L268" s="106" t="s">
        <v>2481</v>
      </c>
      <c r="O268" s="106" t="s">
        <v>274</v>
      </c>
      <c r="P268" s="106" t="s">
        <v>1205</v>
      </c>
      <c r="Q268" s="106" t="s">
        <v>366</v>
      </c>
      <c r="S268" s="106" t="str" cm="1">
        <f t="array" ref="S268">IF(TRIM($D268)="","(tidak diisi)",IFERROR(INDEX(Kamus!$B$3:$B$28,MATCH(TRUE,ISNUMBER(SEARCH(Kamus!$A$3:$A$28,$D268)),0)),"Jabatan Lainnya"))</f>
        <v>Pimpinan Satker/Direktorat</v>
      </c>
      <c r="T268" s="106" t="str" cm="1">
        <f t="array" ref="T268">IF(TRIM($I268)="","(tidak diisi)",IFERROR(INDEX(Kamus!$E$3:$E$162,MATCH(TRUE,ISNUMBER(SEARCH(Kamus!$D$3:$D$162,$I268)),0)),"Barang Lain / Tidak Terinci"))</f>
        <v>Makanan &amp; Minuman</v>
      </c>
      <c r="U268" s="106" t="str" cm="1">
        <f t="array" ref="U268">IF(TRIM($I268)="","(tidak diisi)",IFERROR(INDEX(Kamus!$H$3:$H$75,MATCH(TRUE,ISNUMBER(SEARCH(Kamus!$G$3:$G$75,$I268)),0)),"Pemberian Umum / Tanpa Konteks"))</f>
        <v>Oleh-oleh / Buah Tangan Perjalanan</v>
      </c>
      <c r="V268" s="106" t="str">
        <f t="shared" si="12"/>
        <v>2025</v>
      </c>
      <c r="W268" s="106" t="str" cm="1">
        <f t="array" ref="W268">IF(TRIM($K268)="","(tidak diisi)",IFERROR(INDEX(Kamus!$K$3:$K$118,MATCH(TRUE,ISNUMBER(SEARCH(Kamus!$J$3:$J$118,$K268)),0)),"Individu / Perorangan"))</f>
        <v>Individu / Perorangan</v>
      </c>
      <c r="X268" s="106" t="str">
        <f t="shared" si="13"/>
        <v>04</v>
      </c>
      <c r="Y268" s="106" t="str" cm="1">
        <f t="array" ref="Y268">IFERROR(INDEX(Kamus!$N$3:$N$111,MATCH(TRUE,ISNUMBER(SEARCH(Kamus!$M$3:$M$111,$I268)),0)),"")</f>
        <v/>
      </c>
      <c r="Z268" s="106" t="str">
        <f>IF(AND(OR($X268="02",$X268="03",$X268="04"),OR($T268="Parsel/Bingkisan (tidak dirinci)",$T268="Makanan &amp; Minuman",$T268="Peralatan Rumah Tangga / Pecah Belah",$T268="Pakaian &amp; Kain")),"Momen Hari Raya (dugaan musiman)",IFERROR(VLOOKUP($W268,Kamus!$P$3:$Q$14,2,FALSE),"Tidak Teridentifikasi"))</f>
        <v>Momen Hari Raya (dugaan musiman)</v>
      </c>
      <c r="AA268" s="106" t="str">
        <f t="shared" si="14"/>
        <v>Momen Hari Raya (dugaan musiman)</v>
      </c>
    </row>
    <row r="269" spans="1:27">
      <c r="A269" s="106">
        <v>268</v>
      </c>
      <c r="B269" s="106" t="s">
        <v>1002</v>
      </c>
      <c r="C269" s="107" t="s">
        <v>1003</v>
      </c>
      <c r="D269" s="106" t="s">
        <v>1004</v>
      </c>
      <c r="E269" s="106" t="s">
        <v>1005</v>
      </c>
      <c r="F269" s="106" t="s">
        <v>2482</v>
      </c>
      <c r="G269" s="106" t="s">
        <v>1006</v>
      </c>
      <c r="H269" s="106" t="s">
        <v>2054</v>
      </c>
      <c r="I269" s="106" t="s">
        <v>2483</v>
      </c>
      <c r="J269" s="106">
        <v>500000</v>
      </c>
      <c r="K269" s="106" t="s">
        <v>2484</v>
      </c>
      <c r="L269" s="106" t="s">
        <v>2485</v>
      </c>
      <c r="M269" s="106" t="s">
        <v>1360</v>
      </c>
      <c r="O269" s="106" t="s">
        <v>274</v>
      </c>
      <c r="S269" s="106" t="str" cm="1">
        <f t="array" ref="S269">IF(TRIM($D269)="","(tidak diisi)",IFERROR(INDEX(Kamus!$B$3:$B$28,MATCH(TRUE,ISNUMBER(SEARCH(Kamus!$A$3:$A$28,$D269)),0)),"Jabatan Lainnya"))</f>
        <v>Sekretaris</v>
      </c>
      <c r="T269" s="106" t="str" cm="1">
        <f t="array" ref="T269">IF(TRIM($I269)="","(tidak diisi)",IFERROR(INDEX(Kamus!$E$3:$E$162,MATCH(TRUE,ISNUMBER(SEARCH(Kamus!$D$3:$D$162,$I269)),0)),"Barang Lain / Tidak Terinci"))</f>
        <v>Peralatan Rumah Tangga / Pecah Belah</v>
      </c>
      <c r="U269" s="106" t="str" cm="1">
        <f t="array" ref="U269">IF(TRIM($I269)="","(tidak diisi)",IFERROR(INDEX(Kamus!$H$3:$H$75,MATCH(TRUE,ISNUMBER(SEARCH(Kamus!$G$3:$G$75,$I269)),0)),"Pemberian Umum / Tanpa Konteks"))</f>
        <v>Parsel/Bingkisan Umum (non-hari raya)</v>
      </c>
      <c r="V269" s="106" t="str">
        <f t="shared" si="12"/>
        <v>2025</v>
      </c>
      <c r="W269" s="106" t="str" cm="1">
        <f t="array" ref="W269">IF(TRIM($K269)="","(tidak diisi)",IFERROR(INDEX(Kamus!$K$3:$K$118,MATCH(TRUE,ISNUMBER(SEARCH(Kamus!$J$3:$J$118,$K269)),0)),"Individu / Perorangan"))</f>
        <v>Individu / Perorangan</v>
      </c>
      <c r="X269" s="106" t="str">
        <f t="shared" si="13"/>
        <v>03</v>
      </c>
      <c r="Y269" s="106" t="str" cm="1">
        <f t="array" ref="Y269">IFERROR(INDEX(Kamus!$N$3:$N$111,MATCH(TRUE,ISNUMBER(SEARCH(Kamus!$M$3:$M$111,$I269)),0)),"")</f>
        <v/>
      </c>
      <c r="Z269" s="106" t="str">
        <f>IF(AND(OR($X269="02",$X269="03",$X269="04"),OR($T269="Parsel/Bingkisan (tidak dirinci)",$T269="Makanan &amp; Minuman",$T269="Peralatan Rumah Tangga / Pecah Belah",$T269="Pakaian &amp; Kain")),"Momen Hari Raya (dugaan musiman)",IFERROR(VLOOKUP($W269,Kamus!$P$3:$Q$14,2,FALSE),"Tidak Teridentifikasi"))</f>
        <v>Momen Hari Raya (dugaan musiman)</v>
      </c>
      <c r="AA269" s="106" t="str">
        <f t="shared" si="14"/>
        <v>Momen Hari Raya (dugaan musiman)</v>
      </c>
    </row>
    <row r="270" spans="1:27">
      <c r="A270" s="106">
        <v>269</v>
      </c>
      <c r="B270" s="106" t="s">
        <v>1002</v>
      </c>
      <c r="C270" s="107" t="s">
        <v>1003</v>
      </c>
      <c r="D270" s="106" t="s">
        <v>1004</v>
      </c>
      <c r="E270" s="106" t="s">
        <v>1005</v>
      </c>
      <c r="F270" s="106" t="s">
        <v>2486</v>
      </c>
      <c r="G270" s="106" t="s">
        <v>1006</v>
      </c>
      <c r="H270" s="106" t="s">
        <v>2054</v>
      </c>
      <c r="I270" s="106" t="s">
        <v>2487</v>
      </c>
      <c r="J270" s="106">
        <v>500000</v>
      </c>
      <c r="K270" s="106" t="s">
        <v>2488</v>
      </c>
      <c r="L270" s="106" t="s">
        <v>2489</v>
      </c>
      <c r="M270" s="106" t="s">
        <v>1360</v>
      </c>
      <c r="O270" s="106" t="s">
        <v>274</v>
      </c>
      <c r="S270" s="106" t="str" cm="1">
        <f t="array" ref="S270">IF(TRIM($D270)="","(tidak diisi)",IFERROR(INDEX(Kamus!$B$3:$B$28,MATCH(TRUE,ISNUMBER(SEARCH(Kamus!$A$3:$A$28,$D270)),0)),"Jabatan Lainnya"))</f>
        <v>Sekretaris</v>
      </c>
      <c r="T270" s="106" t="str" cm="1">
        <f t="array" ref="T270">IF(TRIM($I270)="","(tidak diisi)",IFERROR(INDEX(Kamus!$E$3:$E$162,MATCH(TRUE,ISNUMBER(SEARCH(Kamus!$D$3:$D$162,$I270)),0)),"Barang Lain / Tidak Terinci"))</f>
        <v>Peralatan Rumah Tangga / Pecah Belah</v>
      </c>
      <c r="U270" s="106" t="str" cm="1">
        <f t="array" ref="U270">IF(TRIM($I270)="","(tidak diisi)",IFERROR(INDEX(Kamus!$H$3:$H$75,MATCH(TRUE,ISNUMBER(SEARCH(Kamus!$G$3:$G$75,$I270)),0)),"Pemberian Umum / Tanpa Konteks"))</f>
        <v>Parsel/Bingkisan Umum (non-hari raya)</v>
      </c>
      <c r="V270" s="106" t="str">
        <f t="shared" si="12"/>
        <v>2025</v>
      </c>
      <c r="W270" s="106" t="str" cm="1">
        <f t="array" ref="W270">IF(TRIM($K270)="","(tidak diisi)",IFERROR(INDEX(Kamus!$K$3:$K$118,MATCH(TRUE,ISNUMBER(SEARCH(Kamus!$J$3:$J$118,$K270)),0)),"Individu / Perorangan"))</f>
        <v>Individu / Perorangan</v>
      </c>
      <c r="X270" s="106" t="str">
        <f t="shared" si="13"/>
        <v>03</v>
      </c>
      <c r="Y270" s="106" t="str" cm="1">
        <f t="array" ref="Y270">IFERROR(INDEX(Kamus!$N$3:$N$111,MATCH(TRUE,ISNUMBER(SEARCH(Kamus!$M$3:$M$111,$I270)),0)),"")</f>
        <v/>
      </c>
      <c r="Z270" s="106" t="str">
        <f>IF(AND(OR($X270="02",$X270="03",$X270="04"),OR($T270="Parsel/Bingkisan (tidak dirinci)",$T270="Makanan &amp; Minuman",$T270="Peralatan Rumah Tangga / Pecah Belah",$T270="Pakaian &amp; Kain")),"Momen Hari Raya (dugaan musiman)",IFERROR(VLOOKUP($W270,Kamus!$P$3:$Q$14,2,FALSE),"Tidak Teridentifikasi"))</f>
        <v>Momen Hari Raya (dugaan musiman)</v>
      </c>
      <c r="AA270" s="106" t="str">
        <f t="shared" si="14"/>
        <v>Momen Hari Raya (dugaan musiman)</v>
      </c>
    </row>
    <row r="271" spans="1:27">
      <c r="A271" s="106">
        <v>270</v>
      </c>
      <c r="B271" s="106" t="s">
        <v>1002</v>
      </c>
      <c r="C271" s="107" t="s">
        <v>1003</v>
      </c>
      <c r="D271" s="106" t="s">
        <v>1004</v>
      </c>
      <c r="E271" s="106" t="s">
        <v>1005</v>
      </c>
      <c r="F271" s="106" t="s">
        <v>2490</v>
      </c>
      <c r="G271" s="106" t="s">
        <v>1006</v>
      </c>
      <c r="H271" s="106" t="s">
        <v>2054</v>
      </c>
      <c r="I271" s="106" t="s">
        <v>2459</v>
      </c>
      <c r="J271" s="106">
        <v>2000000</v>
      </c>
      <c r="K271" s="106" t="s">
        <v>2491</v>
      </c>
      <c r="L271" s="106" t="s">
        <v>2492</v>
      </c>
      <c r="M271" s="106" t="s">
        <v>1360</v>
      </c>
      <c r="O271" s="106" t="s">
        <v>274</v>
      </c>
      <c r="S271" s="106" t="str" cm="1">
        <f t="array" ref="S271">IF(TRIM($D271)="","(tidak diisi)",IFERROR(INDEX(Kamus!$B$3:$B$28,MATCH(TRUE,ISNUMBER(SEARCH(Kamus!$A$3:$A$28,$D271)),0)),"Jabatan Lainnya"))</f>
        <v>Sekretaris</v>
      </c>
      <c r="T271" s="106" t="str" cm="1">
        <f t="array" ref="T271">IF(TRIM($I271)="","(tidak diisi)",IFERROR(INDEX(Kamus!$E$3:$E$162,MATCH(TRUE,ISNUMBER(SEARCH(Kamus!$D$3:$D$162,$I271)),0)),"Barang Lain / Tidak Terinci"))</f>
        <v>Makanan &amp; Minuman</v>
      </c>
      <c r="U271" s="106" t="str" cm="1">
        <f t="array" ref="U271">IF(TRIM($I271)="","(tidak diisi)",IFERROR(INDEX(Kamus!$H$3:$H$75,MATCH(TRUE,ISNUMBER(SEARCH(Kamus!$G$3:$G$75,$I271)),0)),"Pemberian Umum / Tanpa Konteks"))</f>
        <v>Parsel/Bingkisan Umum (non-hari raya)</v>
      </c>
      <c r="V271" s="106" t="str">
        <f t="shared" si="12"/>
        <v>2025</v>
      </c>
      <c r="W271" s="106" t="str" cm="1">
        <f t="array" ref="W271">IF(TRIM($K271)="","(tidak diisi)",IFERROR(INDEX(Kamus!$K$3:$K$118,MATCH(TRUE,ISNUMBER(SEARCH(Kamus!$J$3:$J$118,$K271)),0)),"Individu / Perorangan"))</f>
        <v>Bank &amp; Lembaga Keuangan</v>
      </c>
      <c r="X271" s="106" t="str">
        <f t="shared" si="13"/>
        <v>03</v>
      </c>
      <c r="Y271" s="106" t="str" cm="1">
        <f t="array" ref="Y271">IFERROR(INDEX(Kamus!$N$3:$N$111,MATCH(TRUE,ISNUMBER(SEARCH(Kamus!$M$3:$M$111,$I271)),0)),"")</f>
        <v/>
      </c>
      <c r="Z271" s="106" t="str">
        <f>IF(AND(OR($X271="02",$X271="03",$X271="04"),OR($T271="Parsel/Bingkisan (tidak dirinci)",$T271="Makanan &amp; Minuman",$T271="Peralatan Rumah Tangga / Pecah Belah",$T271="Pakaian &amp; Kain")),"Momen Hari Raya (dugaan musiman)",IFERROR(VLOOKUP($W271,Kamus!$P$3:$Q$14,2,FALSE),"Tidak Teridentifikasi"))</f>
        <v>Momen Hari Raya (dugaan musiman)</v>
      </c>
      <c r="AA271" s="106" t="str">
        <f t="shared" si="14"/>
        <v>Momen Hari Raya (dugaan musiman)</v>
      </c>
    </row>
    <row r="272" spans="1:27">
      <c r="A272" s="106">
        <v>271</v>
      </c>
      <c r="B272" s="106" t="s">
        <v>1002</v>
      </c>
      <c r="C272" s="107" t="s">
        <v>1003</v>
      </c>
      <c r="D272" s="106" t="s">
        <v>1004</v>
      </c>
      <c r="E272" s="106" t="s">
        <v>1005</v>
      </c>
      <c r="F272" s="106" t="s">
        <v>2493</v>
      </c>
      <c r="G272" s="106" t="s">
        <v>1006</v>
      </c>
      <c r="H272" s="106" t="s">
        <v>2054</v>
      </c>
      <c r="I272" s="106" t="s">
        <v>2459</v>
      </c>
      <c r="J272" s="106">
        <v>625000</v>
      </c>
      <c r="K272" s="106" t="s">
        <v>2494</v>
      </c>
      <c r="L272" s="106" t="s">
        <v>2495</v>
      </c>
      <c r="M272" s="106" t="s">
        <v>1360</v>
      </c>
      <c r="O272" s="106" t="s">
        <v>274</v>
      </c>
      <c r="S272" s="106" t="str" cm="1">
        <f t="array" ref="S272">IF(TRIM($D272)="","(tidak diisi)",IFERROR(INDEX(Kamus!$B$3:$B$28,MATCH(TRUE,ISNUMBER(SEARCH(Kamus!$A$3:$A$28,$D272)),0)),"Jabatan Lainnya"))</f>
        <v>Sekretaris</v>
      </c>
      <c r="T272" s="106" t="str" cm="1">
        <f t="array" ref="T272">IF(TRIM($I272)="","(tidak diisi)",IFERROR(INDEX(Kamus!$E$3:$E$162,MATCH(TRUE,ISNUMBER(SEARCH(Kamus!$D$3:$D$162,$I272)),0)),"Barang Lain / Tidak Terinci"))</f>
        <v>Makanan &amp; Minuman</v>
      </c>
      <c r="U272" s="106" t="str" cm="1">
        <f t="array" ref="U272">IF(TRIM($I272)="","(tidak diisi)",IFERROR(INDEX(Kamus!$H$3:$H$75,MATCH(TRUE,ISNUMBER(SEARCH(Kamus!$G$3:$G$75,$I272)),0)),"Pemberian Umum / Tanpa Konteks"))</f>
        <v>Parsel/Bingkisan Umum (non-hari raya)</v>
      </c>
      <c r="V272" s="106" t="str">
        <f t="shared" si="12"/>
        <v>2025</v>
      </c>
      <c r="W272" s="106" t="str" cm="1">
        <f t="array" ref="W272">IF(TRIM($K272)="","(tidak diisi)",IFERROR(INDEX(Kamus!$K$3:$K$118,MATCH(TRUE,ISNUMBER(SEARCH(Kamus!$J$3:$J$118,$K272)),0)),"Individu / Perorangan"))</f>
        <v>Bank &amp; Lembaga Keuangan</v>
      </c>
      <c r="X272" s="106" t="str">
        <f t="shared" si="13"/>
        <v>03</v>
      </c>
      <c r="Y272" s="106" t="str" cm="1">
        <f t="array" ref="Y272">IFERROR(INDEX(Kamus!$N$3:$N$111,MATCH(TRUE,ISNUMBER(SEARCH(Kamus!$M$3:$M$111,$I272)),0)),"")</f>
        <v/>
      </c>
      <c r="Z272" s="106" t="str">
        <f>IF(AND(OR($X272="02",$X272="03",$X272="04"),OR($T272="Parsel/Bingkisan (tidak dirinci)",$T272="Makanan &amp; Minuman",$T272="Peralatan Rumah Tangga / Pecah Belah",$T272="Pakaian &amp; Kain")),"Momen Hari Raya (dugaan musiman)",IFERROR(VLOOKUP($W272,Kamus!$P$3:$Q$14,2,FALSE),"Tidak Teridentifikasi"))</f>
        <v>Momen Hari Raya (dugaan musiman)</v>
      </c>
      <c r="AA272" s="106" t="str">
        <f t="shared" si="14"/>
        <v>Momen Hari Raya (dugaan musiman)</v>
      </c>
    </row>
    <row r="273" spans="1:27">
      <c r="A273" s="106">
        <v>272</v>
      </c>
      <c r="B273" s="106" t="s">
        <v>1002</v>
      </c>
      <c r="C273" s="107" t="s">
        <v>1003</v>
      </c>
      <c r="D273" s="106" t="s">
        <v>1004</v>
      </c>
      <c r="E273" s="106" t="s">
        <v>1005</v>
      </c>
      <c r="F273" s="106" t="s">
        <v>2496</v>
      </c>
      <c r="G273" s="106" t="s">
        <v>1006</v>
      </c>
      <c r="H273" s="106" t="s">
        <v>2054</v>
      </c>
      <c r="I273" s="106" t="s">
        <v>2497</v>
      </c>
      <c r="J273" s="106">
        <v>1799000</v>
      </c>
      <c r="K273" s="106" t="s">
        <v>2498</v>
      </c>
      <c r="L273" s="106" t="s">
        <v>2499</v>
      </c>
      <c r="M273" s="106" t="s">
        <v>1171</v>
      </c>
      <c r="N273" s="106" t="s">
        <v>2500</v>
      </c>
      <c r="O273" s="106" t="s">
        <v>274</v>
      </c>
      <c r="S273" s="106" t="str" cm="1">
        <f t="array" ref="S273">IF(TRIM($D273)="","(tidak diisi)",IFERROR(INDEX(Kamus!$B$3:$B$28,MATCH(TRUE,ISNUMBER(SEARCH(Kamus!$A$3:$A$28,$D273)),0)),"Jabatan Lainnya"))</f>
        <v>Sekretaris</v>
      </c>
      <c r="T273" s="106" t="str" cm="1">
        <f t="array" ref="T273">IF(TRIM($I273)="","(tidak diisi)",IFERROR(INDEX(Kamus!$E$3:$E$162,MATCH(TRUE,ISNUMBER(SEARCH(Kamus!$D$3:$D$162,$I273)),0)),"Barang Lain / Tidak Terinci"))</f>
        <v>Barang Lain / Tidak Terinci</v>
      </c>
      <c r="U273" s="106" t="str" cm="1">
        <f t="array" ref="U273">IF(TRIM($I273)="","(tidak diisi)",IFERROR(INDEX(Kamus!$H$3:$H$75,MATCH(TRUE,ISNUMBER(SEARCH(Kamus!$G$3:$G$75,$I273)),0)),"Pemberian Umum / Tanpa Konteks"))</f>
        <v>Pemberian Umum / Tanpa Konteks</v>
      </c>
      <c r="V273" s="106" t="str">
        <f t="shared" si="12"/>
        <v>2025</v>
      </c>
      <c r="W273" s="106" t="str" cm="1">
        <f t="array" ref="W273">IF(TRIM($K273)="","(tidak diisi)",IFERROR(INDEX(Kamus!$K$3:$K$118,MATCH(TRUE,ISNUMBER(SEARCH(Kamus!$J$3:$J$118,$K273)),0)),"Individu / Perorangan"))</f>
        <v>Bank &amp; Lembaga Keuangan</v>
      </c>
      <c r="X273" s="106" t="str">
        <f t="shared" si="13"/>
        <v>03</v>
      </c>
      <c r="Y273" s="106" t="str" cm="1">
        <f t="array" ref="Y273">IFERROR(INDEX(Kamus!$N$3:$N$111,MATCH(TRUE,ISNUMBER(SEARCH(Kamus!$M$3:$M$111,$I273)),0)),"")</f>
        <v/>
      </c>
      <c r="Z273" s="106" t="str">
        <f>IF(AND(OR($X273="02",$X273="03",$X273="04"),OR($T273="Parsel/Bingkisan (tidak dirinci)",$T273="Makanan &amp; Minuman",$T273="Peralatan Rumah Tangga / Pecah Belah",$T273="Pakaian &amp; Kain")),"Momen Hari Raya (dugaan musiman)",IFERROR(VLOOKUP($W273,Kamus!$P$3:$Q$14,2,FALSE),"Tidak Teridentifikasi"))</f>
        <v>Relasi Layanan/Kerja Sama Perbankan (dugaan)</v>
      </c>
      <c r="AA273" s="106" t="str">
        <f t="shared" si="14"/>
        <v>Relasi Layanan/Kerja Sama Perbankan (dugaan)</v>
      </c>
    </row>
    <row r="274" spans="1:27">
      <c r="A274" s="106">
        <v>273</v>
      </c>
      <c r="B274" s="106" t="s">
        <v>1002</v>
      </c>
      <c r="C274" s="107" t="s">
        <v>1003</v>
      </c>
      <c r="D274" s="106" t="s">
        <v>1004</v>
      </c>
      <c r="E274" s="106" t="s">
        <v>1005</v>
      </c>
      <c r="F274" s="106" t="s">
        <v>2501</v>
      </c>
      <c r="G274" s="106" t="s">
        <v>1006</v>
      </c>
      <c r="H274" s="106" t="s">
        <v>2054</v>
      </c>
      <c r="I274" s="106" t="s">
        <v>2502</v>
      </c>
      <c r="J274" s="106">
        <v>2000000</v>
      </c>
      <c r="K274" s="106" t="s">
        <v>2503</v>
      </c>
      <c r="L274" s="106" t="s">
        <v>2504</v>
      </c>
      <c r="M274" s="106" t="s">
        <v>1360</v>
      </c>
      <c r="O274" s="106" t="s">
        <v>274</v>
      </c>
      <c r="S274" s="106" t="str" cm="1">
        <f t="array" ref="S274">IF(TRIM($D274)="","(tidak diisi)",IFERROR(INDEX(Kamus!$B$3:$B$28,MATCH(TRUE,ISNUMBER(SEARCH(Kamus!$A$3:$A$28,$D274)),0)),"Jabatan Lainnya"))</f>
        <v>Sekretaris</v>
      </c>
      <c r="T274" s="106" t="str" cm="1">
        <f t="array" ref="T274">IF(TRIM($I274)="","(tidak diisi)",IFERROR(INDEX(Kamus!$E$3:$E$162,MATCH(TRUE,ISNUMBER(SEARCH(Kamus!$D$3:$D$162,$I274)),0)),"Barang Lain / Tidak Terinci"))</f>
        <v>Makanan &amp; Minuman</v>
      </c>
      <c r="U274" s="106" t="str" cm="1">
        <f t="array" ref="U274">IF(TRIM($I274)="","(tidak diisi)",IFERROR(INDEX(Kamus!$H$3:$H$75,MATCH(TRUE,ISNUMBER(SEARCH(Kamus!$G$3:$G$75,$I274)),0)),"Pemberian Umum / Tanpa Konteks"))</f>
        <v>Parsel/Bingkisan Umum (non-hari raya)</v>
      </c>
      <c r="V274" s="106" t="str">
        <f t="shared" si="12"/>
        <v>2025</v>
      </c>
      <c r="W274" s="106" t="str" cm="1">
        <f t="array" ref="W274">IF(TRIM($K274)="","(tidak diisi)",IFERROR(INDEX(Kamus!$K$3:$K$118,MATCH(TRUE,ISNUMBER(SEARCH(Kamus!$J$3:$J$118,$K274)),0)),"Individu / Perorangan"))</f>
        <v>Individu / Perorangan</v>
      </c>
      <c r="X274" s="106" t="str">
        <f t="shared" si="13"/>
        <v>03</v>
      </c>
      <c r="Y274" s="106" t="str" cm="1">
        <f t="array" ref="Y274">IFERROR(INDEX(Kamus!$N$3:$N$111,MATCH(TRUE,ISNUMBER(SEARCH(Kamus!$M$3:$M$111,$I274)),0)),"")</f>
        <v/>
      </c>
      <c r="Z274" s="106" t="str">
        <f>IF(AND(OR($X274="02",$X274="03",$X274="04"),OR($T274="Parsel/Bingkisan (tidak dirinci)",$T274="Makanan &amp; Minuman",$T274="Peralatan Rumah Tangga / Pecah Belah",$T274="Pakaian &amp; Kain")),"Momen Hari Raya (dugaan musiman)",IFERROR(VLOOKUP($W274,Kamus!$P$3:$Q$14,2,FALSE),"Tidak Teridentifikasi"))</f>
        <v>Momen Hari Raya (dugaan musiman)</v>
      </c>
      <c r="AA274" s="106" t="str">
        <f t="shared" si="14"/>
        <v>Momen Hari Raya (dugaan musiman)</v>
      </c>
    </row>
    <row r="275" spans="1:27">
      <c r="A275" s="106">
        <v>274</v>
      </c>
      <c r="B275" s="106" t="s">
        <v>2467</v>
      </c>
      <c r="C275" s="107" t="s">
        <v>2468</v>
      </c>
      <c r="D275" s="106" t="s">
        <v>1042</v>
      </c>
      <c r="E275" s="106" t="s">
        <v>2469</v>
      </c>
      <c r="F275" s="106" t="s">
        <v>2505</v>
      </c>
      <c r="G275" s="106" t="s">
        <v>1006</v>
      </c>
      <c r="H275" s="106" t="s">
        <v>1991</v>
      </c>
      <c r="I275" s="106" t="s">
        <v>2231</v>
      </c>
      <c r="K275" s="106" t="s">
        <v>2506</v>
      </c>
      <c r="L275" s="106" t="s">
        <v>2507</v>
      </c>
      <c r="O275" s="106" t="s">
        <v>274</v>
      </c>
      <c r="Q275" s="106" t="s">
        <v>317</v>
      </c>
      <c r="S275" s="106" t="str" cm="1">
        <f t="array" ref="S275">IF(TRIM($D275)="","(tidak diisi)",IFERROR(INDEX(Kamus!$B$3:$B$28,MATCH(TRUE,ISNUMBER(SEARCH(Kamus!$A$3:$A$28,$D275)),0)),"Jabatan Lainnya"))</f>
        <v>Ketua Pengadilan</v>
      </c>
      <c r="T275" s="106" t="str" cm="1">
        <f t="array" ref="T275">IF(TRIM($I275)="","(tidak diisi)",IFERROR(INDEX(Kamus!$E$3:$E$162,MATCH(TRUE,ISNUMBER(SEARCH(Kamus!$D$3:$D$162,$I275)),0)),"Barang Lain / Tidak Terinci"))</f>
        <v>Makanan &amp; Minuman</v>
      </c>
      <c r="U275" s="106" t="str" cm="1">
        <f t="array" ref="U275">IF(TRIM($I275)="","(tidak diisi)",IFERROR(INDEX(Kamus!$H$3:$H$75,MATCH(TRUE,ISNUMBER(SEARCH(Kamus!$G$3:$G$75,$I275)),0)),"Pemberian Umum / Tanpa Konteks"))</f>
        <v>Pemberian Umum / Tanpa Konteks</v>
      </c>
      <c r="V275" s="106" t="str">
        <f t="shared" si="12"/>
        <v>2025</v>
      </c>
      <c r="W275" s="106" t="str" cm="1">
        <f t="array" ref="W275">IF(TRIM($K275)="","(tidak diisi)",IFERROR(INDEX(Kamus!$K$3:$K$118,MATCH(TRUE,ISNUMBER(SEARCH(Kamus!$J$3:$J$118,$K275)),0)),"Individu / Perorangan"))</f>
        <v>Individu / Perorangan</v>
      </c>
      <c r="X275" s="106" t="str">
        <f t="shared" si="13"/>
        <v>03</v>
      </c>
      <c r="Y275" s="106" t="str" cm="1">
        <f t="array" ref="Y275">IFERROR(INDEX(Kamus!$N$3:$N$111,MATCH(TRUE,ISNUMBER(SEARCH(Kamus!$M$3:$M$111,$I275)),0)),"")</f>
        <v/>
      </c>
      <c r="Z275" s="106" t="str">
        <f>IF(AND(OR($X275="02",$X275="03",$X275="04"),OR($T275="Parsel/Bingkisan (tidak dirinci)",$T275="Makanan &amp; Minuman",$T275="Peralatan Rumah Tangga / Pecah Belah",$T275="Pakaian &amp; Kain")),"Momen Hari Raya (dugaan musiman)",IFERROR(VLOOKUP($W275,Kamus!$P$3:$Q$14,2,FALSE),"Tidak Teridentifikasi"))</f>
        <v>Momen Hari Raya (dugaan musiman)</v>
      </c>
      <c r="AA275" s="106" t="str">
        <f t="shared" si="14"/>
        <v>Momen Hari Raya (dugaan musiman)</v>
      </c>
    </row>
    <row r="276" spans="1:27">
      <c r="A276" s="106">
        <v>275</v>
      </c>
      <c r="B276" s="106" t="s">
        <v>2467</v>
      </c>
      <c r="C276" s="107" t="s">
        <v>2468</v>
      </c>
      <c r="D276" s="106" t="s">
        <v>1042</v>
      </c>
      <c r="E276" s="106" t="s">
        <v>2469</v>
      </c>
      <c r="F276" s="106" t="s">
        <v>2508</v>
      </c>
      <c r="G276" s="106" t="s">
        <v>1006</v>
      </c>
      <c r="H276" s="106" t="s">
        <v>1918</v>
      </c>
      <c r="I276" s="106" t="s">
        <v>2509</v>
      </c>
      <c r="J276" s="106">
        <v>110400</v>
      </c>
      <c r="K276" s="106" t="s">
        <v>2510</v>
      </c>
      <c r="L276" s="106" t="s">
        <v>2511</v>
      </c>
      <c r="M276" s="106" t="s">
        <v>1171</v>
      </c>
      <c r="N276" s="106" t="s">
        <v>2512</v>
      </c>
      <c r="O276" s="106" t="s">
        <v>274</v>
      </c>
      <c r="Q276" s="106" t="s">
        <v>317</v>
      </c>
      <c r="S276" s="106" t="str" cm="1">
        <f t="array" ref="S276">IF(TRIM($D276)="","(tidak diisi)",IFERROR(INDEX(Kamus!$B$3:$B$28,MATCH(TRUE,ISNUMBER(SEARCH(Kamus!$A$3:$A$28,$D276)),0)),"Jabatan Lainnya"))</f>
        <v>Ketua Pengadilan</v>
      </c>
      <c r="T276" s="106" t="str" cm="1">
        <f t="array" ref="T276">IF(TRIM($I276)="","(tidak diisi)",IFERROR(INDEX(Kamus!$E$3:$E$162,MATCH(TRUE,ISNUMBER(SEARCH(Kamus!$D$3:$D$162,$I276)),0)),"Barang Lain / Tidak Terinci"))</f>
        <v>Peralatan Rumah Tangga / Pecah Belah</v>
      </c>
      <c r="U276" s="106" t="str" cm="1">
        <f t="array" ref="U276">IF(TRIM($I276)="","(tidak diisi)",IFERROR(INDEX(Kamus!$H$3:$H$75,MATCH(TRUE,ISNUMBER(SEARCH(Kamus!$G$3:$G$75,$I276)),0)),"Pemberian Umum / Tanpa Konteks"))</f>
        <v>Parsel/Bingkisan Umum (non-hari raya)</v>
      </c>
      <c r="V276" s="106" t="str">
        <f t="shared" si="12"/>
        <v>2025</v>
      </c>
      <c r="W276" s="106" t="str" cm="1">
        <f t="array" ref="W276">IF(TRIM($K276)="","(tidak diisi)",IFERROR(INDEX(Kamus!$K$3:$K$118,MATCH(TRUE,ISNUMBER(SEARCH(Kamus!$J$3:$J$118,$K276)),0)),"Individu / Perorangan"))</f>
        <v>Individu / Perorangan</v>
      </c>
      <c r="X276" s="106" t="str">
        <f t="shared" si="13"/>
        <v>03</v>
      </c>
      <c r="Y276" s="106" t="str" cm="1">
        <f t="array" ref="Y276">IFERROR(INDEX(Kamus!$N$3:$N$111,MATCH(TRUE,ISNUMBER(SEARCH(Kamus!$M$3:$M$111,$I276)),0)),"")</f>
        <v/>
      </c>
      <c r="Z276" s="106" t="str">
        <f>IF(AND(OR($X276="02",$X276="03",$X276="04"),OR($T276="Parsel/Bingkisan (tidak dirinci)",$T276="Makanan &amp; Minuman",$T276="Peralatan Rumah Tangga / Pecah Belah",$T276="Pakaian &amp; Kain")),"Momen Hari Raya (dugaan musiman)",IFERROR(VLOOKUP($W276,Kamus!$P$3:$Q$14,2,FALSE),"Tidak Teridentifikasi"))</f>
        <v>Momen Hari Raya (dugaan musiman)</v>
      </c>
      <c r="AA276" s="106" t="str">
        <f t="shared" si="14"/>
        <v>Momen Hari Raya (dugaan musiman)</v>
      </c>
    </row>
    <row r="277" spans="1:27">
      <c r="A277" s="106">
        <v>276</v>
      </c>
      <c r="B277" s="106" t="s">
        <v>1197</v>
      </c>
      <c r="C277" s="107" t="s">
        <v>1198</v>
      </c>
      <c r="D277" s="106" t="s">
        <v>1199</v>
      </c>
      <c r="E277" s="106" t="s">
        <v>1200</v>
      </c>
      <c r="F277" s="106" t="s">
        <v>2513</v>
      </c>
      <c r="G277" s="106" t="s">
        <v>1006</v>
      </c>
      <c r="H277" s="106" t="s">
        <v>1788</v>
      </c>
      <c r="I277" s="106" t="s">
        <v>2514</v>
      </c>
      <c r="J277" s="106">
        <v>150000</v>
      </c>
      <c r="K277" s="106" t="s">
        <v>2515</v>
      </c>
      <c r="L277" s="106" t="s">
        <v>2516</v>
      </c>
      <c r="M277" s="106" t="s">
        <v>1171</v>
      </c>
      <c r="N277" s="106" t="s">
        <v>2517</v>
      </c>
      <c r="O277" s="106" t="s">
        <v>274</v>
      </c>
      <c r="P277" s="106" t="s">
        <v>1205</v>
      </c>
      <c r="Q277" s="106" t="s">
        <v>366</v>
      </c>
      <c r="S277" s="106" t="str" cm="1">
        <f t="array" ref="S277">IF(TRIM($D277)="","(tidak diisi)",IFERROR(INDEX(Kamus!$B$3:$B$28,MATCH(TRUE,ISNUMBER(SEARCH(Kamus!$A$3:$A$28,$D277)),0)),"Jabatan Lainnya"))</f>
        <v>Pimpinan Satker/Direktorat</v>
      </c>
      <c r="T277" s="106" t="str" cm="1">
        <f t="array" ref="T277">IF(TRIM($I277)="","(tidak diisi)",IFERROR(INDEX(Kamus!$E$3:$E$162,MATCH(TRUE,ISNUMBER(SEARCH(Kamus!$D$3:$D$162,$I277)),0)),"Barang Lain / Tidak Terinci"))</f>
        <v>Peralatan Rumah Tangga / Pecah Belah</v>
      </c>
      <c r="U277" s="106" t="str" cm="1">
        <f t="array" ref="U277">IF(TRIM($I277)="","(tidak diisi)",IFERROR(INDEX(Kamus!$H$3:$H$75,MATCH(TRUE,ISNUMBER(SEARCH(Kamus!$G$3:$G$75,$I277)),0)),"Pemberian Umum / Tanpa Konteks"))</f>
        <v>Bingkisan Hari Raya / Keagamaan</v>
      </c>
      <c r="V277" s="106" t="str">
        <f t="shared" si="12"/>
        <v>2025</v>
      </c>
      <c r="W277" s="106" t="str" cm="1">
        <f t="array" ref="W277">IF(TRIM($K277)="","(tidak diisi)",IFERROR(INDEX(Kamus!$K$3:$K$118,MATCH(TRUE,ISNUMBER(SEARCH(Kamus!$J$3:$J$118,$K277)),0)),"Individu / Perorangan"))</f>
        <v>Individu / Perorangan</v>
      </c>
      <c r="X277" s="106" t="str">
        <f t="shared" si="13"/>
        <v>03</v>
      </c>
      <c r="Y277" s="106" t="str" cm="1">
        <f t="array" ref="Y277">IFERROR(INDEX(Kamus!$N$3:$N$111,MATCH(TRUE,ISNUMBER(SEARCH(Kamus!$M$3:$M$111,$I277)),0)),"")</f>
        <v>Momen Hari Raya (Ramadan/Idulfitri)</v>
      </c>
      <c r="Z277" s="106" t="str">
        <f>IF(AND(OR($X277="02",$X277="03",$X277="04"),OR($T277="Parsel/Bingkisan (tidak dirinci)",$T277="Makanan &amp; Minuman",$T277="Peralatan Rumah Tangga / Pecah Belah",$T277="Pakaian &amp; Kain")),"Momen Hari Raya (dugaan musiman)",IFERROR(VLOOKUP($W277,Kamus!$P$3:$Q$14,2,FALSE),"Tidak Teridentifikasi"))</f>
        <v>Momen Hari Raya (dugaan musiman)</v>
      </c>
      <c r="AA277" s="106" t="str">
        <f t="shared" si="14"/>
        <v>Momen Hari Raya (Ramadan/Idulfitri)</v>
      </c>
    </row>
    <row r="278" spans="1:27">
      <c r="A278" s="106">
        <v>277</v>
      </c>
      <c r="B278" s="106" t="s">
        <v>2456</v>
      </c>
      <c r="C278" s="107" t="s">
        <v>2457</v>
      </c>
      <c r="D278" s="106" t="s">
        <v>1042</v>
      </c>
      <c r="E278" s="106" t="s">
        <v>1115</v>
      </c>
      <c r="F278" s="106" t="s">
        <v>2518</v>
      </c>
      <c r="G278" s="106" t="s">
        <v>1006</v>
      </c>
      <c r="H278" s="106" t="s">
        <v>1918</v>
      </c>
      <c r="I278" s="106" t="s">
        <v>2459</v>
      </c>
      <c r="K278" s="106" t="s">
        <v>2519</v>
      </c>
      <c r="L278" s="106" t="s">
        <v>2520</v>
      </c>
      <c r="O278" s="106" t="s">
        <v>274</v>
      </c>
      <c r="P278" s="106" t="s">
        <v>1119</v>
      </c>
      <c r="Q278" s="106" t="s">
        <v>429</v>
      </c>
      <c r="S278" s="106" t="str" cm="1">
        <f t="array" ref="S278">IF(TRIM($D278)="","(tidak diisi)",IFERROR(INDEX(Kamus!$B$3:$B$28,MATCH(TRUE,ISNUMBER(SEARCH(Kamus!$A$3:$A$28,$D278)),0)),"Jabatan Lainnya"))</f>
        <v>Ketua Pengadilan</v>
      </c>
      <c r="T278" s="106" t="str" cm="1">
        <f t="array" ref="T278">IF(TRIM($I278)="","(tidak diisi)",IFERROR(INDEX(Kamus!$E$3:$E$162,MATCH(TRUE,ISNUMBER(SEARCH(Kamus!$D$3:$D$162,$I278)),0)),"Barang Lain / Tidak Terinci"))</f>
        <v>Makanan &amp; Minuman</v>
      </c>
      <c r="U278" s="106" t="str" cm="1">
        <f t="array" ref="U278">IF(TRIM($I278)="","(tidak diisi)",IFERROR(INDEX(Kamus!$H$3:$H$75,MATCH(TRUE,ISNUMBER(SEARCH(Kamus!$G$3:$G$75,$I278)),0)),"Pemberian Umum / Tanpa Konteks"))</f>
        <v>Parsel/Bingkisan Umum (non-hari raya)</v>
      </c>
      <c r="V278" s="106" t="str">
        <f t="shared" si="12"/>
        <v>2025</v>
      </c>
      <c r="W278" s="106" t="str" cm="1">
        <f t="array" ref="W278">IF(TRIM($K278)="","(tidak diisi)",IFERROR(INDEX(Kamus!$K$3:$K$118,MATCH(TRUE,ISNUMBER(SEARCH(Kamus!$J$3:$J$118,$K278)),0)),"Individu / Perorangan"))</f>
        <v>Bank &amp; Lembaga Keuangan</v>
      </c>
      <c r="X278" s="106" t="str">
        <f t="shared" si="13"/>
        <v>03</v>
      </c>
      <c r="Y278" s="106" t="str" cm="1">
        <f t="array" ref="Y278">IFERROR(INDEX(Kamus!$N$3:$N$111,MATCH(TRUE,ISNUMBER(SEARCH(Kamus!$M$3:$M$111,$I278)),0)),"")</f>
        <v/>
      </c>
      <c r="Z278" s="106" t="str">
        <f>IF(AND(OR($X278="02",$X278="03",$X278="04"),OR($T278="Parsel/Bingkisan (tidak dirinci)",$T278="Makanan &amp; Minuman",$T278="Peralatan Rumah Tangga / Pecah Belah",$T278="Pakaian &amp; Kain")),"Momen Hari Raya (dugaan musiman)",IFERROR(VLOOKUP($W278,Kamus!$P$3:$Q$14,2,FALSE),"Tidak Teridentifikasi"))</f>
        <v>Momen Hari Raya (dugaan musiman)</v>
      </c>
      <c r="AA278" s="106" t="str">
        <f t="shared" si="14"/>
        <v>Momen Hari Raya (dugaan musiman)</v>
      </c>
    </row>
    <row r="279" spans="1:27">
      <c r="A279" s="106">
        <v>278</v>
      </c>
      <c r="B279" s="106" t="s">
        <v>2521</v>
      </c>
      <c r="C279" s="107" t="s">
        <v>2522</v>
      </c>
      <c r="D279" s="106" t="s">
        <v>1042</v>
      </c>
      <c r="E279" s="106" t="s">
        <v>2523</v>
      </c>
      <c r="F279" s="106" t="s">
        <v>2524</v>
      </c>
      <c r="G279" s="106" t="s">
        <v>1006</v>
      </c>
      <c r="H279" s="106" t="s">
        <v>2525</v>
      </c>
      <c r="I279" s="106" t="s">
        <v>2526</v>
      </c>
      <c r="J279" s="106">
        <v>500000</v>
      </c>
      <c r="K279" s="106" t="s">
        <v>2527</v>
      </c>
      <c r="L279" s="106" t="s">
        <v>2528</v>
      </c>
      <c r="M279" s="106" t="s">
        <v>2529</v>
      </c>
      <c r="O279" s="106" t="s">
        <v>274</v>
      </c>
      <c r="P279" s="106" t="s">
        <v>2530</v>
      </c>
      <c r="Q279" s="106" t="s">
        <v>432</v>
      </c>
      <c r="S279" s="106" t="str" cm="1">
        <f t="array" ref="S279">IF(TRIM($D279)="","(tidak diisi)",IFERROR(INDEX(Kamus!$B$3:$B$28,MATCH(TRUE,ISNUMBER(SEARCH(Kamus!$A$3:$A$28,$D279)),0)),"Jabatan Lainnya"))</f>
        <v>Ketua Pengadilan</v>
      </c>
      <c r="T279" s="106" t="str" cm="1">
        <f t="array" ref="T279">IF(TRIM($I279)="","(tidak diisi)",IFERROR(INDEX(Kamus!$E$3:$E$162,MATCH(TRUE,ISNUMBER(SEARCH(Kamus!$D$3:$D$162,$I279)),0)),"Barang Lain / Tidak Terinci"))</f>
        <v>Makanan &amp; Minuman</v>
      </c>
      <c r="U279" s="106" t="str" cm="1">
        <f t="array" ref="U279">IF(TRIM($I279)="","(tidak diisi)",IFERROR(INDEX(Kamus!$H$3:$H$75,MATCH(TRUE,ISNUMBER(SEARCH(Kamus!$G$3:$G$75,$I279)),0)),"Pemberian Umum / Tanpa Konteks"))</f>
        <v>Parsel/Bingkisan Umum (non-hari raya)</v>
      </c>
      <c r="V279" s="106" t="str">
        <f t="shared" si="12"/>
        <v>2026</v>
      </c>
      <c r="W279" s="106" t="str" cm="1">
        <f t="array" ref="W279">IF(TRIM($K279)="","(tidak diisi)",IFERROR(INDEX(Kamus!$K$3:$K$118,MATCH(TRUE,ISNUMBER(SEARCH(Kamus!$J$3:$J$118,$K279)),0)),"Individu / Perorangan"))</f>
        <v>Individu / Perorangan</v>
      </c>
      <c r="X279" s="106" t="str">
        <f t="shared" si="13"/>
        <v>03</v>
      </c>
      <c r="Y279" s="106" t="str" cm="1">
        <f t="array" ref="Y279">IFERROR(INDEX(Kamus!$N$3:$N$111,MATCH(TRUE,ISNUMBER(SEARCH(Kamus!$M$3:$M$111,$I279)),0)),"")</f>
        <v/>
      </c>
      <c r="Z279" s="106" t="str">
        <f>IF(AND(OR($X279="02",$X279="03",$X279="04"),OR($T279="Parsel/Bingkisan (tidak dirinci)",$T279="Makanan &amp; Minuman",$T279="Peralatan Rumah Tangga / Pecah Belah",$T279="Pakaian &amp; Kain")),"Momen Hari Raya (dugaan musiman)",IFERROR(VLOOKUP($W279,Kamus!$P$3:$Q$14,2,FALSE),"Tidak Teridentifikasi"))</f>
        <v>Momen Hari Raya (dugaan musiman)</v>
      </c>
      <c r="AA279" s="106" t="str">
        <f t="shared" si="14"/>
        <v>Momen Hari Raya (dugaan musiman)</v>
      </c>
    </row>
    <row r="280" spans="1:27">
      <c r="A280" s="106">
        <v>279</v>
      </c>
      <c r="B280" s="106" t="s">
        <v>2521</v>
      </c>
      <c r="C280" s="107" t="s">
        <v>2522</v>
      </c>
      <c r="D280" s="106" t="s">
        <v>1042</v>
      </c>
      <c r="E280" s="106" t="s">
        <v>2523</v>
      </c>
      <c r="F280" s="106" t="s">
        <v>2524</v>
      </c>
      <c r="G280" s="106" t="s">
        <v>1006</v>
      </c>
      <c r="H280" s="106" t="s">
        <v>2525</v>
      </c>
      <c r="I280" s="106" t="s">
        <v>1036</v>
      </c>
      <c r="J280" s="106">
        <v>1000000</v>
      </c>
      <c r="K280" s="106" t="s">
        <v>2527</v>
      </c>
      <c r="L280" s="106" t="s">
        <v>2528</v>
      </c>
      <c r="M280" s="106" t="s">
        <v>1039</v>
      </c>
      <c r="O280" s="106" t="s">
        <v>274</v>
      </c>
      <c r="P280" s="106" t="s">
        <v>2530</v>
      </c>
      <c r="Q280" s="106" t="s">
        <v>432</v>
      </c>
      <c r="S280" s="106" t="str" cm="1">
        <f t="array" ref="S280">IF(TRIM($D280)="","(tidak diisi)",IFERROR(INDEX(Kamus!$B$3:$B$28,MATCH(TRUE,ISNUMBER(SEARCH(Kamus!$A$3:$A$28,$D280)),0)),"Jabatan Lainnya"))</f>
        <v>Ketua Pengadilan</v>
      </c>
      <c r="T280" s="106" t="str" cm="1">
        <f t="array" ref="T280">IF(TRIM($I280)="","(tidak diisi)",IFERROR(INDEX(Kamus!$E$3:$E$162,MATCH(TRUE,ISNUMBER(SEARCH(Kamus!$D$3:$D$162,$I280)),0)),"Barang Lain / Tidak Terinci"))</f>
        <v>Peralatan Rumah Tangga / Pecah Belah</v>
      </c>
      <c r="U280" s="106" t="str" cm="1">
        <f t="array" ref="U280">IF(TRIM($I280)="","(tidak diisi)",IFERROR(INDEX(Kamus!$H$3:$H$75,MATCH(TRUE,ISNUMBER(SEARCH(Kamus!$G$3:$G$75,$I280)),0)),"Pemberian Umum / Tanpa Konteks"))</f>
        <v>Parsel/Bingkisan Umum (non-hari raya)</v>
      </c>
      <c r="V280" s="106" t="str">
        <f t="shared" si="12"/>
        <v>2026</v>
      </c>
      <c r="W280" s="106" t="str" cm="1">
        <f t="array" ref="W280">IF(TRIM($K280)="","(tidak diisi)",IFERROR(INDEX(Kamus!$K$3:$K$118,MATCH(TRUE,ISNUMBER(SEARCH(Kamus!$J$3:$J$118,$K280)),0)),"Individu / Perorangan"))</f>
        <v>Individu / Perorangan</v>
      </c>
      <c r="X280" s="106" t="str">
        <f t="shared" si="13"/>
        <v>03</v>
      </c>
      <c r="Y280" s="106" t="str" cm="1">
        <f t="array" ref="Y280">IFERROR(INDEX(Kamus!$N$3:$N$111,MATCH(TRUE,ISNUMBER(SEARCH(Kamus!$M$3:$M$111,$I280)),0)),"")</f>
        <v/>
      </c>
      <c r="Z280" s="106" t="str">
        <f>IF(AND(OR($X280="02",$X280="03",$X280="04"),OR($T280="Parsel/Bingkisan (tidak dirinci)",$T280="Makanan &amp; Minuman",$T280="Peralatan Rumah Tangga / Pecah Belah",$T280="Pakaian &amp; Kain")),"Momen Hari Raya (dugaan musiman)",IFERROR(VLOOKUP($W280,Kamus!$P$3:$Q$14,2,FALSE),"Tidak Teridentifikasi"))</f>
        <v>Momen Hari Raya (dugaan musiman)</v>
      </c>
      <c r="AA280" s="106" t="str">
        <f t="shared" si="14"/>
        <v>Momen Hari Raya (dugaan musiman)</v>
      </c>
    </row>
    <row r="281" spans="1:27">
      <c r="A281" s="106">
        <v>280</v>
      </c>
      <c r="B281" s="106" t="s">
        <v>1088</v>
      </c>
      <c r="C281" s="107" t="s">
        <v>1089</v>
      </c>
      <c r="D281" s="106" t="s">
        <v>1033</v>
      </c>
      <c r="E281" s="106" t="s">
        <v>1090</v>
      </c>
      <c r="F281" s="106" t="s">
        <v>2531</v>
      </c>
      <c r="G281" s="106" t="s">
        <v>1074</v>
      </c>
      <c r="H281" s="106" t="s">
        <v>2532</v>
      </c>
      <c r="I281" s="106" t="s">
        <v>1017</v>
      </c>
      <c r="K281" s="106" t="s">
        <v>2533</v>
      </c>
      <c r="L281" s="106" t="s">
        <v>2534</v>
      </c>
      <c r="O281" s="106" t="s">
        <v>274</v>
      </c>
      <c r="P281" s="106" t="s">
        <v>1095</v>
      </c>
      <c r="Q281" s="106" t="s">
        <v>348</v>
      </c>
      <c r="S281" s="106" t="str" cm="1">
        <f t="array" ref="S281">IF(TRIM($D281)="","(tidak diisi)",IFERROR(INDEX(Kamus!$B$3:$B$28,MATCH(TRUE,ISNUMBER(SEARCH(Kamus!$A$3:$A$28,$D281)),0)),"Jabatan Lainnya"))</f>
        <v>Hakim</v>
      </c>
      <c r="T281" s="106" t="str" cm="1">
        <f t="array" ref="T281">IF(TRIM($I281)="","(tidak diisi)",IFERROR(INDEX(Kamus!$E$3:$E$162,MATCH(TRUE,ISNUMBER(SEARCH(Kamus!$D$3:$D$162,$I281)),0)),"Barang Lain / Tidak Terinci"))</f>
        <v>Uang &amp; Setara Uang</v>
      </c>
      <c r="U281" s="106" t="str" cm="1">
        <f t="array" ref="U281">IF(TRIM($I281)="","(tidak diisi)",IFERROR(INDEX(Kamus!$H$3:$H$75,MATCH(TRUE,ISNUMBER(SEARCH(Kamus!$G$3:$G$75,$I281)),0)),"Pemberian Umum / Tanpa Konteks"))</f>
        <v>Pemberian Uang Langsung</v>
      </c>
      <c r="V281" s="106" t="str">
        <f t="shared" si="12"/>
        <v>2025</v>
      </c>
      <c r="W281" s="106" t="str" cm="1">
        <f t="array" ref="W281">IF(TRIM($K281)="","(tidak diisi)",IFERROR(INDEX(Kamus!$K$3:$K$118,MATCH(TRUE,ISNUMBER(SEARCH(Kamus!$J$3:$J$118,$K281)),0)),"Individu / Perorangan"))</f>
        <v>Individu / Perorangan</v>
      </c>
      <c r="X281" s="106" t="str">
        <f t="shared" si="13"/>
        <v>04</v>
      </c>
      <c r="Y281" s="106" t="str" cm="1">
        <f t="array" ref="Y281">IFERROR(INDEX(Kamus!$N$3:$N$111,MATCH(TRUE,ISNUMBER(SEARCH(Kamus!$M$3:$M$111,$I281)),0)),"")</f>
        <v/>
      </c>
      <c r="Z281" s="106" t="str">
        <f>IF(AND(OR($X281="02",$X281="03",$X281="04"),OR($T281="Parsel/Bingkisan (tidak dirinci)",$T281="Makanan &amp; Minuman",$T281="Peralatan Rumah Tangga / Pecah Belah",$T281="Pakaian &amp; Kain")),"Momen Hari Raya (dugaan musiman)",IFERROR(VLOOKUP($W281,Kamus!$P$3:$Q$14,2,FALSE),"Tidak Teridentifikasi"))</f>
        <v>Relasi Personal / Tidak Teridentifikasi</v>
      </c>
      <c r="AA281" s="106" t="str">
        <f t="shared" si="14"/>
        <v>Relasi Personal / Tidak Teridentifikasi</v>
      </c>
    </row>
    <row r="282" spans="1:27">
      <c r="A282" s="106">
        <v>281</v>
      </c>
      <c r="B282" s="106" t="s">
        <v>1040</v>
      </c>
      <c r="C282" s="107" t="s">
        <v>1041</v>
      </c>
      <c r="D282" s="106" t="s">
        <v>1042</v>
      </c>
      <c r="E282" s="106" t="s">
        <v>1043</v>
      </c>
      <c r="F282" s="106" t="s">
        <v>2535</v>
      </c>
      <c r="G282" s="106" t="s">
        <v>1006</v>
      </c>
      <c r="H282" s="106" t="s">
        <v>2536</v>
      </c>
      <c r="I282" s="106" t="s">
        <v>1017</v>
      </c>
      <c r="J282" s="106">
        <v>332500</v>
      </c>
      <c r="K282" s="106" t="s">
        <v>1045</v>
      </c>
      <c r="L282" s="106" t="s">
        <v>2537</v>
      </c>
      <c r="M282" s="106" t="s">
        <v>1020</v>
      </c>
      <c r="O282" s="106" t="s">
        <v>274</v>
      </c>
      <c r="P282" s="106" t="s">
        <v>1047</v>
      </c>
      <c r="Q282" s="106" t="s">
        <v>420</v>
      </c>
      <c r="S282" s="106" t="str" cm="1">
        <f t="array" ref="S282">IF(TRIM($D282)="","(tidak diisi)",IFERROR(INDEX(Kamus!$B$3:$B$28,MATCH(TRUE,ISNUMBER(SEARCH(Kamus!$A$3:$A$28,$D282)),0)),"Jabatan Lainnya"))</f>
        <v>Ketua Pengadilan</v>
      </c>
      <c r="T282" s="106" t="str" cm="1">
        <f t="array" ref="T282">IF(TRIM($I282)="","(tidak diisi)",IFERROR(INDEX(Kamus!$E$3:$E$162,MATCH(TRUE,ISNUMBER(SEARCH(Kamus!$D$3:$D$162,$I282)),0)),"Barang Lain / Tidak Terinci"))</f>
        <v>Uang &amp; Setara Uang</v>
      </c>
      <c r="U282" s="106" t="str" cm="1">
        <f t="array" ref="U282">IF(TRIM($I282)="","(tidak diisi)",IFERROR(INDEX(Kamus!$H$3:$H$75,MATCH(TRUE,ISNUMBER(SEARCH(Kamus!$G$3:$G$75,$I282)),0)),"Pemberian Umum / Tanpa Konteks"))</f>
        <v>Pemberian Uang Langsung</v>
      </c>
      <c r="V282" s="106" t="str">
        <f t="shared" si="12"/>
        <v>2025</v>
      </c>
      <c r="W282" s="106" t="str" cm="1">
        <f t="array" ref="W282">IF(TRIM($K282)="","(tidak diisi)",IFERROR(INDEX(Kamus!$K$3:$K$118,MATCH(TRUE,ISNUMBER(SEARCH(Kamus!$J$3:$J$118,$K282)),0)),"Individu / Perorangan"))</f>
        <v>Tidak Diketahui</v>
      </c>
      <c r="X282" s="106" t="str">
        <f t="shared" si="13"/>
        <v>05</v>
      </c>
      <c r="Y282" s="106" t="str" cm="1">
        <f t="array" ref="Y282">IFERROR(INDEX(Kamus!$N$3:$N$111,MATCH(TRUE,ISNUMBER(SEARCH(Kamus!$M$3:$M$111,$I282)),0)),"")</f>
        <v/>
      </c>
      <c r="Z282" s="106" t="str">
        <f>IF(AND(OR($X282="02",$X282="03",$X282="04"),OR($T282="Parsel/Bingkisan (tidak dirinci)",$T282="Makanan &amp; Minuman",$T282="Peralatan Rumah Tangga / Pecah Belah",$T282="Pakaian &amp; Kain")),"Momen Hari Raya (dugaan musiman)",IFERROR(VLOOKUP($W282,Kamus!$P$3:$Q$14,2,FALSE),"Tidak Teridentifikasi"))</f>
        <v>Pemberi Tidak Diketahui</v>
      </c>
      <c r="AA282" s="106" t="str">
        <f t="shared" si="14"/>
        <v>Pemberi Tidak Diketahui</v>
      </c>
    </row>
    <row r="283" spans="1:27">
      <c r="A283" s="106">
        <v>282</v>
      </c>
      <c r="B283" s="106" t="s">
        <v>1197</v>
      </c>
      <c r="C283" s="107" t="s">
        <v>1198</v>
      </c>
      <c r="D283" s="106" t="s">
        <v>1199</v>
      </c>
      <c r="E283" s="106" t="s">
        <v>1200</v>
      </c>
      <c r="F283" s="106" t="s">
        <v>2538</v>
      </c>
      <c r="G283" s="106" t="s">
        <v>1006</v>
      </c>
      <c r="H283" s="106" t="s">
        <v>2539</v>
      </c>
      <c r="I283" s="106" t="s">
        <v>2540</v>
      </c>
      <c r="K283" s="106" t="s">
        <v>2541</v>
      </c>
      <c r="L283" s="106" t="s">
        <v>2542</v>
      </c>
      <c r="O283" s="106" t="s">
        <v>274</v>
      </c>
      <c r="P283" s="106" t="s">
        <v>1205</v>
      </c>
      <c r="Q283" s="106" t="s">
        <v>366</v>
      </c>
      <c r="S283" s="106" t="str" cm="1">
        <f t="array" ref="S283">IF(TRIM($D283)="","(tidak diisi)",IFERROR(INDEX(Kamus!$B$3:$B$28,MATCH(TRUE,ISNUMBER(SEARCH(Kamus!$A$3:$A$28,$D283)),0)),"Jabatan Lainnya"))</f>
        <v>Pimpinan Satker/Direktorat</v>
      </c>
      <c r="T283" s="106" t="str" cm="1">
        <f t="array" ref="T283">IF(TRIM($I283)="","(tidak diisi)",IFERROR(INDEX(Kamus!$E$3:$E$162,MATCH(TRUE,ISNUMBER(SEARCH(Kamus!$D$3:$D$162,$I283)),0)),"Barang Lain / Tidak Terinci"))</f>
        <v>Suvenir &amp; Merchandise</v>
      </c>
      <c r="U283" s="106" t="str" cm="1">
        <f t="array" ref="U283">IF(TRIM($I283)="","(tidak diisi)",IFERROR(INDEX(Kamus!$H$3:$H$75,MATCH(TRUE,ISNUMBER(SEARCH(Kamus!$G$3:$G$75,$I283)),0)),"Pemberian Umum / Tanpa Konteks"))</f>
        <v>Pemberian Umum / Tanpa Konteks</v>
      </c>
      <c r="V283" s="106" t="str">
        <f t="shared" si="12"/>
        <v>2025</v>
      </c>
      <c r="W283" s="106" t="str" cm="1">
        <f t="array" ref="W283">IF(TRIM($K283)="","(tidak diisi)",IFERROR(INDEX(Kamus!$K$3:$K$118,MATCH(TRUE,ISNUMBER(SEARCH(Kamus!$J$3:$J$118,$K283)),0)),"Individu / Perorangan"))</f>
        <v>Individu / Perorangan</v>
      </c>
      <c r="X283" s="106" t="str">
        <f t="shared" si="13"/>
        <v>04</v>
      </c>
      <c r="Y283" s="106" t="str" cm="1">
        <f t="array" ref="Y283">IFERROR(INDEX(Kamus!$N$3:$N$111,MATCH(TRUE,ISNUMBER(SEARCH(Kamus!$M$3:$M$111,$I283)),0)),"")</f>
        <v/>
      </c>
      <c r="Z283" s="106" t="str">
        <f>IF(AND(OR($X283="02",$X283="03",$X283="04"),OR($T283="Parsel/Bingkisan (tidak dirinci)",$T283="Makanan &amp; Minuman",$T283="Peralatan Rumah Tangga / Pecah Belah",$T283="Pakaian &amp; Kain")),"Momen Hari Raya (dugaan musiman)",IFERROR(VLOOKUP($W283,Kamus!$P$3:$Q$14,2,FALSE),"Tidak Teridentifikasi"))</f>
        <v>Relasi Personal / Tidak Teridentifikasi</v>
      </c>
      <c r="AA283" s="106" t="str">
        <f t="shared" si="14"/>
        <v>Relasi Personal / Tidak Teridentifikasi</v>
      </c>
    </row>
    <row r="284" spans="1:27">
      <c r="A284" s="106">
        <v>283</v>
      </c>
      <c r="B284" s="106" t="s">
        <v>2318</v>
      </c>
      <c r="C284" s="107" t="s">
        <v>2319</v>
      </c>
      <c r="D284" s="106" t="s">
        <v>1042</v>
      </c>
      <c r="E284" s="106" t="s">
        <v>1025</v>
      </c>
      <c r="F284" s="106" t="s">
        <v>2543</v>
      </c>
      <c r="G284" s="106" t="s">
        <v>1006</v>
      </c>
      <c r="H284" s="106" t="s">
        <v>2544</v>
      </c>
      <c r="I284" s="106" t="s">
        <v>2545</v>
      </c>
      <c r="K284" s="106" t="s">
        <v>2546</v>
      </c>
      <c r="L284" s="106" t="s">
        <v>2547</v>
      </c>
      <c r="O284" s="106" t="s">
        <v>274</v>
      </c>
      <c r="P284" s="106" t="s">
        <v>561</v>
      </c>
      <c r="Q284" s="106" t="s">
        <v>428</v>
      </c>
      <c r="S284" s="106" t="str" cm="1">
        <f t="array" ref="S284">IF(TRIM($D284)="","(tidak diisi)",IFERROR(INDEX(Kamus!$B$3:$B$28,MATCH(TRUE,ISNUMBER(SEARCH(Kamus!$A$3:$A$28,$D284)),0)),"Jabatan Lainnya"))</f>
        <v>Ketua Pengadilan</v>
      </c>
      <c r="T284" s="106" t="str" cm="1">
        <f t="array" ref="T284">IF(TRIM($I284)="","(tidak diisi)",IFERROR(INDEX(Kamus!$E$3:$E$162,MATCH(TRUE,ISNUMBER(SEARCH(Kamus!$D$3:$D$162,$I284)),0)),"Barang Lain / Tidak Terinci"))</f>
        <v>Makanan &amp; Minuman</v>
      </c>
      <c r="U284" s="106" t="str" cm="1">
        <f t="array" ref="U284">IF(TRIM($I284)="","(tidak diisi)",IFERROR(INDEX(Kamus!$H$3:$H$75,MATCH(TRUE,ISNUMBER(SEARCH(Kamus!$G$3:$G$75,$I284)),0)),"Pemberian Umum / Tanpa Konteks"))</f>
        <v>Pemberian Umum / Tanpa Konteks</v>
      </c>
      <c r="V284" s="106" t="str">
        <f t="shared" si="12"/>
        <v>2025</v>
      </c>
      <c r="W284" s="106" t="str" cm="1">
        <f t="array" ref="W284">IF(TRIM($K284)="","(tidak diisi)",IFERROR(INDEX(Kamus!$K$3:$K$118,MATCH(TRUE,ISNUMBER(SEARCH(Kamus!$J$3:$J$118,$K284)),0)),"Individu / Perorangan"))</f>
        <v>Organisasi / Panitia Kegiatan</v>
      </c>
      <c r="X284" s="106" t="str">
        <f t="shared" si="13"/>
        <v>05</v>
      </c>
      <c r="Y284" s="106" t="str" cm="1">
        <f t="array" ref="Y284">IFERROR(INDEX(Kamus!$N$3:$N$111,MATCH(TRUE,ISNUMBER(SEARCH(Kamus!$M$3:$M$111,$I284)),0)),"")</f>
        <v/>
      </c>
      <c r="Z284" s="106" t="str">
        <f>IF(AND(OR($X284="02",$X284="03",$X284="04"),OR($T284="Parsel/Bingkisan (tidak dirinci)",$T284="Makanan &amp; Minuman",$T284="Peralatan Rumah Tangga / Pecah Belah",$T284="Pakaian &amp; Kain")),"Momen Hari Raya (dugaan musiman)",IFERROR(VLOOKUP($W284,Kamus!$P$3:$Q$14,2,FALSE),"Tidak Teridentifikasi"))</f>
        <v>Kegiatan Organisasi/Panitia (dugaan)</v>
      </c>
      <c r="AA284" s="106" t="str">
        <f t="shared" si="14"/>
        <v>Kegiatan Organisasi/Panitia (dugaan)</v>
      </c>
    </row>
    <row r="285" spans="1:27">
      <c r="A285" s="106">
        <v>284</v>
      </c>
      <c r="B285" s="106" t="s">
        <v>2548</v>
      </c>
      <c r="C285" s="107" t="s">
        <v>2549</v>
      </c>
      <c r="D285" s="106" t="s">
        <v>1498</v>
      </c>
      <c r="E285" s="106" t="s">
        <v>2550</v>
      </c>
      <c r="F285" s="106" t="s">
        <v>2551</v>
      </c>
      <c r="G285" s="106" t="s">
        <v>1006</v>
      </c>
      <c r="H285" s="106" t="s">
        <v>2532</v>
      </c>
      <c r="I285" s="106" t="s">
        <v>1857</v>
      </c>
      <c r="K285" s="106" t="s">
        <v>2552</v>
      </c>
      <c r="L285" s="106" t="s">
        <v>2553</v>
      </c>
      <c r="O285" s="106" t="s">
        <v>274</v>
      </c>
      <c r="P285" s="106" t="s">
        <v>2554</v>
      </c>
      <c r="Q285" s="106" t="s">
        <v>372</v>
      </c>
      <c r="S285" s="106" t="str" cm="1">
        <f t="array" ref="S285">IF(TRIM($D285)="","(tidak diisi)",IFERROR(INDEX(Kamus!$B$3:$B$28,MATCH(TRUE,ISNUMBER(SEARCH(Kamus!$A$3:$A$28,$D285)),0)),"Jabatan Lainnya"))</f>
        <v>Staf/Pegawai Pelaksana</v>
      </c>
      <c r="T285" s="106" t="str" cm="1">
        <f t="array" ref="T285">IF(TRIM($I285)="","(tidak diisi)",IFERROR(INDEX(Kamus!$E$3:$E$162,MATCH(TRUE,ISNUMBER(SEARCH(Kamus!$D$3:$D$162,$I285)),0)),"Barang Lain / Tidak Terinci"))</f>
        <v>Makanan &amp; Minuman</v>
      </c>
      <c r="U285" s="106" t="str" cm="1">
        <f t="array" ref="U285">IF(TRIM($I285)="","(tidak diisi)",IFERROR(INDEX(Kamus!$H$3:$H$75,MATCH(TRUE,ISNUMBER(SEARCH(Kamus!$G$3:$G$75,$I285)),0)),"Pemberian Umum / Tanpa Konteks"))</f>
        <v>Parsel/Bingkisan Umum (non-hari raya)</v>
      </c>
      <c r="V285" s="106" t="str">
        <f t="shared" si="12"/>
        <v>2025</v>
      </c>
      <c r="W285" s="106" t="str" cm="1">
        <f t="array" ref="W285">IF(TRIM($K285)="","(tidak diisi)",IFERROR(INDEX(Kamus!$K$3:$K$118,MATCH(TRUE,ISNUMBER(SEARCH(Kamus!$J$3:$J$118,$K285)),0)),"Individu / Perorangan"))</f>
        <v>Individu / Perorangan</v>
      </c>
      <c r="X285" s="106" t="str">
        <f t="shared" si="13"/>
        <v>04</v>
      </c>
      <c r="Y285" s="106" t="str" cm="1">
        <f t="array" ref="Y285">IFERROR(INDEX(Kamus!$N$3:$N$111,MATCH(TRUE,ISNUMBER(SEARCH(Kamus!$M$3:$M$111,$I285)),0)),"")</f>
        <v/>
      </c>
      <c r="Z285" s="106" t="str">
        <f>IF(AND(OR($X285="02",$X285="03",$X285="04"),OR($T285="Parsel/Bingkisan (tidak dirinci)",$T285="Makanan &amp; Minuman",$T285="Peralatan Rumah Tangga / Pecah Belah",$T285="Pakaian &amp; Kain")),"Momen Hari Raya (dugaan musiman)",IFERROR(VLOOKUP($W285,Kamus!$P$3:$Q$14,2,FALSE),"Tidak Teridentifikasi"))</f>
        <v>Momen Hari Raya (dugaan musiman)</v>
      </c>
      <c r="AA285" s="106" t="str">
        <f t="shared" si="14"/>
        <v>Momen Hari Raya (dugaan musiman)</v>
      </c>
    </row>
    <row r="286" spans="1:27">
      <c r="A286" s="106">
        <v>285</v>
      </c>
      <c r="B286" s="106" t="s">
        <v>2555</v>
      </c>
      <c r="C286" s="107" t="s">
        <v>2556</v>
      </c>
      <c r="D286" s="106" t="s">
        <v>1024</v>
      </c>
      <c r="E286" s="106" t="s">
        <v>1307</v>
      </c>
      <c r="G286" s="106" t="s">
        <v>1074</v>
      </c>
      <c r="L286" s="106" t="s">
        <v>2557</v>
      </c>
      <c r="O286" s="106" t="s">
        <v>274</v>
      </c>
      <c r="P286" s="106" t="s">
        <v>597</v>
      </c>
      <c r="Q286" s="106" t="s">
        <v>427</v>
      </c>
      <c r="S286" s="106" t="str" cm="1">
        <f t="array" ref="S286">IF(TRIM($D286)="","(tidak diisi)",IFERROR(INDEX(Kamus!$B$3:$B$28,MATCH(TRUE,ISNUMBER(SEARCH(Kamus!$A$3:$A$28,$D286)),0)),"Jabatan Lainnya"))</f>
        <v>Sekretaris</v>
      </c>
      <c r="T286" s="106" t="str" cm="1">
        <f t="array" ref="T286">IF(TRIM($I286)="","(tidak diisi)",IFERROR(INDEX(Kamus!$E$3:$E$162,MATCH(TRUE,ISNUMBER(SEARCH(Kamus!$D$3:$D$162,$I286)),0)),"Barang Lain / Tidak Terinci"))</f>
        <v>(tidak diisi)</v>
      </c>
      <c r="U286" s="106" t="str" cm="1">
        <f t="array" ref="U286">IF(TRIM($I286)="","(tidak diisi)",IFERROR(INDEX(Kamus!$H$3:$H$75,MATCH(TRUE,ISNUMBER(SEARCH(Kamus!$G$3:$G$75,$I286)),0)),"Pemberian Umum / Tanpa Konteks"))</f>
        <v>(tidak diisi)</v>
      </c>
      <c r="V286" s="106" t="str">
        <f t="shared" si="12"/>
        <v>(tidak diisi)</v>
      </c>
      <c r="W286" s="106" t="str" cm="1">
        <f t="array" ref="W286">IF(TRIM($K286)="","(tidak diisi)",IFERROR(INDEX(Kamus!$K$3:$K$118,MATCH(TRUE,ISNUMBER(SEARCH(Kamus!$J$3:$J$118,$K286)),0)),"Individu / Perorangan"))</f>
        <v>(tidak diisi)</v>
      </c>
      <c r="X286" s="106" t="str">
        <f t="shared" si="13"/>
        <v>(tidak diisi)</v>
      </c>
      <c r="Y286" s="106" t="str" cm="1">
        <f t="array" ref="Y286">IFERROR(INDEX(Kamus!$N$3:$N$111,MATCH(TRUE,ISNUMBER(SEARCH(Kamus!$M$3:$M$111,$I286)),0)),"")</f>
        <v/>
      </c>
      <c r="Z286" s="106" t="str">
        <f>IF(AND(OR($X286="02",$X286="03",$X286="04"),OR($T286="Parsel/Bingkisan (tidak dirinci)",$T286="Makanan &amp; Minuman",$T286="Peralatan Rumah Tangga / Pecah Belah",$T286="Pakaian &amp; Kain")),"Momen Hari Raya (dugaan musiman)",IFERROR(VLOOKUP($W286,Kamus!$P$3:$Q$14,2,FALSE),"Tidak Teridentifikasi"))</f>
        <v>Tidak Teridentifikasi</v>
      </c>
      <c r="AA286" s="106" t="str">
        <f t="shared" si="14"/>
        <v>Tidak Teridentifikasi</v>
      </c>
    </row>
    <row r="287" spans="1:27">
      <c r="A287" s="106">
        <v>286</v>
      </c>
      <c r="B287" s="106" t="s">
        <v>2555</v>
      </c>
      <c r="C287" s="107" t="s">
        <v>2556</v>
      </c>
      <c r="D287" s="106" t="s">
        <v>1024</v>
      </c>
      <c r="E287" s="106" t="s">
        <v>1307</v>
      </c>
      <c r="F287" s="106" t="s">
        <v>2558</v>
      </c>
      <c r="G287" s="106" t="s">
        <v>1074</v>
      </c>
      <c r="H287" s="106" t="s">
        <v>2559</v>
      </c>
      <c r="I287" s="106" t="s">
        <v>2560</v>
      </c>
      <c r="K287" s="106" t="s">
        <v>2561</v>
      </c>
      <c r="L287" s="106" t="s">
        <v>2562</v>
      </c>
      <c r="O287" s="106" t="s">
        <v>274</v>
      </c>
      <c r="P287" s="106" t="s">
        <v>597</v>
      </c>
      <c r="Q287" s="106" t="s">
        <v>427</v>
      </c>
      <c r="S287" s="106" t="str" cm="1">
        <f t="array" ref="S287">IF(TRIM($D287)="","(tidak diisi)",IFERROR(INDEX(Kamus!$B$3:$B$28,MATCH(TRUE,ISNUMBER(SEARCH(Kamus!$A$3:$A$28,$D287)),0)),"Jabatan Lainnya"))</f>
        <v>Sekretaris</v>
      </c>
      <c r="T287" s="106" t="str" cm="1">
        <f t="array" ref="T287">IF(TRIM($I287)="","(tidak diisi)",IFERROR(INDEX(Kamus!$E$3:$E$162,MATCH(TRUE,ISNUMBER(SEARCH(Kamus!$D$3:$D$162,$I287)),0)),"Barang Lain / Tidak Terinci"))</f>
        <v>Makanan &amp; Minuman</v>
      </c>
      <c r="U287" s="106" t="str" cm="1">
        <f t="array" ref="U287">IF(TRIM($I287)="","(tidak diisi)",IFERROR(INDEX(Kamus!$H$3:$H$75,MATCH(TRUE,ISNUMBER(SEARCH(Kamus!$G$3:$G$75,$I287)),0)),"Pemberian Umum / Tanpa Konteks"))</f>
        <v>Parsel/Bingkisan Umum (non-hari raya)</v>
      </c>
      <c r="V287" s="106" t="str">
        <f t="shared" si="12"/>
        <v>2025</v>
      </c>
      <c r="W287" s="106" t="str" cm="1">
        <f t="array" ref="W287">IF(TRIM($K287)="","(tidak diisi)",IFERROR(INDEX(Kamus!$K$3:$K$118,MATCH(TRUE,ISNUMBER(SEARCH(Kamus!$J$3:$J$118,$K287)),0)),"Individu / Perorangan"))</f>
        <v>Individu / Perorangan</v>
      </c>
      <c r="X287" s="106" t="str">
        <f t="shared" si="13"/>
        <v>05</v>
      </c>
      <c r="Y287" s="106" t="str" cm="1">
        <f t="array" ref="Y287">IFERROR(INDEX(Kamus!$N$3:$N$111,MATCH(TRUE,ISNUMBER(SEARCH(Kamus!$M$3:$M$111,$I287)),0)),"")</f>
        <v/>
      </c>
      <c r="Z287" s="106" t="str">
        <f>IF(AND(OR($X287="02",$X287="03",$X287="04"),OR($T287="Parsel/Bingkisan (tidak dirinci)",$T287="Makanan &amp; Minuman",$T287="Peralatan Rumah Tangga / Pecah Belah",$T287="Pakaian &amp; Kain")),"Momen Hari Raya (dugaan musiman)",IFERROR(VLOOKUP($W287,Kamus!$P$3:$Q$14,2,FALSE),"Tidak Teridentifikasi"))</f>
        <v>Relasi Personal / Tidak Teridentifikasi</v>
      </c>
      <c r="AA287" s="106" t="str">
        <f t="shared" si="14"/>
        <v>Relasi Personal / Tidak Teridentifikasi</v>
      </c>
    </row>
    <row r="288" spans="1:27">
      <c r="A288" s="106">
        <v>287</v>
      </c>
      <c r="B288" s="106" t="s">
        <v>1264</v>
      </c>
      <c r="C288" s="107" t="s">
        <v>1265</v>
      </c>
      <c r="D288" s="106" t="s">
        <v>1081</v>
      </c>
      <c r="E288" s="106" t="s">
        <v>1266</v>
      </c>
      <c r="F288" s="106" t="s">
        <v>2563</v>
      </c>
      <c r="G288" s="106" t="s">
        <v>1006</v>
      </c>
      <c r="H288" s="106" t="s">
        <v>2564</v>
      </c>
      <c r="I288" s="106" t="s">
        <v>1076</v>
      </c>
      <c r="K288" s="106" t="s">
        <v>2565</v>
      </c>
      <c r="L288" s="106" t="s">
        <v>2566</v>
      </c>
      <c r="O288" s="106" t="s">
        <v>274</v>
      </c>
      <c r="P288" s="106" t="s">
        <v>1273</v>
      </c>
      <c r="Q288" s="106" t="s">
        <v>416</v>
      </c>
      <c r="S288" s="106" t="str" cm="1">
        <f t="array" ref="S288">IF(TRIM($D288)="","(tidak diisi)",IFERROR(INDEX(Kamus!$B$3:$B$28,MATCH(TRUE,ISNUMBER(SEARCH(Kamus!$A$3:$A$28,$D288)),0)),"Jabatan Lainnya"))</f>
        <v>Hakim</v>
      </c>
      <c r="T288" s="106" t="str" cm="1">
        <f t="array" ref="T288">IF(TRIM($I288)="","(tidak diisi)",IFERROR(INDEX(Kamus!$E$3:$E$162,MATCH(TRUE,ISNUMBER(SEARCH(Kamus!$D$3:$D$162,$I288)),0)),"Barang Lain / Tidak Terinci"))</f>
        <v>Makanan &amp; Minuman</v>
      </c>
      <c r="U288" s="106" t="str" cm="1">
        <f t="array" ref="U288">IF(TRIM($I288)="","(tidak diisi)",IFERROR(INDEX(Kamus!$H$3:$H$75,MATCH(TRUE,ISNUMBER(SEARCH(Kamus!$G$3:$G$75,$I288)),0)),"Pemberian Umum / Tanpa Konteks"))</f>
        <v>Jamuan / Konsumsi Rapat &amp; Kegiatan</v>
      </c>
      <c r="V288" s="106" t="str">
        <f t="shared" si="12"/>
        <v>2025</v>
      </c>
      <c r="W288" s="106" t="str" cm="1">
        <f t="array" ref="W288">IF(TRIM($K288)="","(tidak diisi)",IFERROR(INDEX(Kamus!$K$3:$K$118,MATCH(TRUE,ISNUMBER(SEARCH(Kamus!$J$3:$J$118,$K288)),0)),"Individu / Perorangan"))</f>
        <v>Individu / Perorangan</v>
      </c>
      <c r="X288" s="106" t="str">
        <f t="shared" si="13"/>
        <v>05</v>
      </c>
      <c r="Y288" s="106" t="str" cm="1">
        <f t="array" ref="Y288">IFERROR(INDEX(Kamus!$N$3:$N$111,MATCH(TRUE,ISNUMBER(SEARCH(Kamus!$M$3:$M$111,$I288)),0)),"")</f>
        <v>Rapat / Jamuan Dinas</v>
      </c>
      <c r="Z288" s="106" t="str">
        <f>IF(AND(OR($X288="02",$X288="03",$X288="04"),OR($T288="Parsel/Bingkisan (tidak dirinci)",$T288="Makanan &amp; Minuman",$T288="Peralatan Rumah Tangga / Pecah Belah",$T288="Pakaian &amp; Kain")),"Momen Hari Raya (dugaan musiman)",IFERROR(VLOOKUP($W288,Kamus!$P$3:$Q$14,2,FALSE),"Tidak Teridentifikasi"))</f>
        <v>Relasi Personal / Tidak Teridentifikasi</v>
      </c>
      <c r="AA288" s="106" t="str">
        <f t="shared" si="14"/>
        <v>Rapat / Jamuan Dinas</v>
      </c>
    </row>
    <row r="289" spans="1:27">
      <c r="A289" s="106">
        <v>288</v>
      </c>
      <c r="B289" s="106" t="s">
        <v>2567</v>
      </c>
      <c r="C289" s="107" t="s">
        <v>2568</v>
      </c>
      <c r="D289" s="106" t="s">
        <v>2569</v>
      </c>
      <c r="E289" s="106" t="s">
        <v>2570</v>
      </c>
      <c r="F289" s="106" t="s">
        <v>2571</v>
      </c>
      <c r="G289" s="106" t="s">
        <v>1006</v>
      </c>
      <c r="H289" s="106" t="s">
        <v>1220</v>
      </c>
      <c r="I289" s="106" t="s">
        <v>2572</v>
      </c>
      <c r="J289" s="106">
        <v>300000</v>
      </c>
      <c r="K289" s="106" t="s">
        <v>2573</v>
      </c>
      <c r="L289" s="106" t="s">
        <v>2574</v>
      </c>
      <c r="M289" s="106" t="s">
        <v>1171</v>
      </c>
      <c r="N289" s="106" t="s">
        <v>2575</v>
      </c>
      <c r="O289" s="106" t="s">
        <v>274</v>
      </c>
      <c r="P289" s="106" t="s">
        <v>2576</v>
      </c>
      <c r="Q289" s="106" t="s">
        <v>361</v>
      </c>
      <c r="S289" s="106" t="str" cm="1">
        <f t="array" ref="S289">IF(TRIM($D289)="","(tidak diisi)",IFERROR(INDEX(Kamus!$B$3:$B$28,MATCH(TRUE,ISNUMBER(SEARCH(Kamus!$A$3:$A$28,$D289)),0)),"Jabatan Lainnya"))</f>
        <v>Jabatan Lainnya</v>
      </c>
      <c r="T289" s="106" t="str" cm="1">
        <f t="array" ref="T289">IF(TRIM($I289)="","(tidak diisi)",IFERROR(INDEX(Kamus!$E$3:$E$162,MATCH(TRUE,ISNUMBER(SEARCH(Kamus!$D$3:$D$162,$I289)),0)),"Barang Lain / Tidak Terinci"))</f>
        <v>Pakaian &amp; Kain</v>
      </c>
      <c r="U289" s="106" t="str" cm="1">
        <f t="array" ref="U289">IF(TRIM($I289)="","(tidak diisi)",IFERROR(INDEX(Kamus!$H$3:$H$75,MATCH(TRUE,ISNUMBER(SEARCH(Kamus!$G$3:$G$75,$I289)),0)),"Pemberian Umum / Tanpa Konteks"))</f>
        <v>Pemberian Umum / Tanpa Konteks</v>
      </c>
      <c r="V289" s="106" t="str">
        <f t="shared" si="12"/>
        <v>2025</v>
      </c>
      <c r="W289" s="106" t="str" cm="1">
        <f t="array" ref="W289">IF(TRIM($K289)="","(tidak diisi)",IFERROR(INDEX(Kamus!$K$3:$K$118,MATCH(TRUE,ISNUMBER(SEARCH(Kamus!$J$3:$J$118,$K289)),0)),"Individu / Perorangan"))</f>
        <v>Individu / Perorangan</v>
      </c>
      <c r="X289" s="106" t="str">
        <f t="shared" si="13"/>
        <v>01</v>
      </c>
      <c r="Y289" s="106" t="str" cm="1">
        <f t="array" ref="Y289">IFERROR(INDEX(Kamus!$N$3:$N$111,MATCH(TRUE,ISNUMBER(SEARCH(Kamus!$M$3:$M$111,$I289)),0)),"")</f>
        <v/>
      </c>
      <c r="Z289" s="106" t="str">
        <f>IF(AND(OR($X289="02",$X289="03",$X289="04"),OR($T289="Parsel/Bingkisan (tidak dirinci)",$T289="Makanan &amp; Minuman",$T289="Peralatan Rumah Tangga / Pecah Belah",$T289="Pakaian &amp; Kain")),"Momen Hari Raya (dugaan musiman)",IFERROR(VLOOKUP($W289,Kamus!$P$3:$Q$14,2,FALSE),"Tidak Teridentifikasi"))</f>
        <v>Relasi Personal / Tidak Teridentifikasi</v>
      </c>
      <c r="AA289" s="106" t="str">
        <f t="shared" si="14"/>
        <v>Relasi Personal / Tidak Teridentifikasi</v>
      </c>
    </row>
    <row r="290" spans="1:27">
      <c r="A290" s="106">
        <v>289</v>
      </c>
      <c r="B290" s="106" t="s">
        <v>2567</v>
      </c>
      <c r="C290" s="107" t="s">
        <v>2568</v>
      </c>
      <c r="D290" s="106" t="s">
        <v>2569</v>
      </c>
      <c r="E290" s="106" t="s">
        <v>2570</v>
      </c>
      <c r="F290" s="106" t="s">
        <v>2577</v>
      </c>
      <c r="G290" s="106" t="s">
        <v>1006</v>
      </c>
      <c r="H290" s="106" t="s">
        <v>1602</v>
      </c>
      <c r="I290" s="106" t="s">
        <v>2578</v>
      </c>
      <c r="J290" s="106">
        <v>52000</v>
      </c>
      <c r="K290" s="106" t="s">
        <v>2579</v>
      </c>
      <c r="L290" s="106" t="s">
        <v>2580</v>
      </c>
      <c r="M290" s="106" t="s">
        <v>1110</v>
      </c>
      <c r="N290" s="106" t="s">
        <v>2581</v>
      </c>
      <c r="O290" s="106" t="s">
        <v>274</v>
      </c>
      <c r="P290" s="106" t="s">
        <v>2576</v>
      </c>
      <c r="Q290" s="106" t="s">
        <v>361</v>
      </c>
      <c r="S290" s="106" t="str" cm="1">
        <f t="array" ref="S290">IF(TRIM($D290)="","(tidak diisi)",IFERROR(INDEX(Kamus!$B$3:$B$28,MATCH(TRUE,ISNUMBER(SEARCH(Kamus!$A$3:$A$28,$D290)),0)),"Jabatan Lainnya"))</f>
        <v>Jabatan Lainnya</v>
      </c>
      <c r="T290" s="106" t="str" cm="1">
        <f t="array" ref="T290">IF(TRIM($I290)="","(tidak diisi)",IFERROR(INDEX(Kamus!$E$3:$E$162,MATCH(TRUE,ISNUMBER(SEARCH(Kamus!$D$3:$D$162,$I290)),0)),"Barang Lain / Tidak Terinci"))</f>
        <v>Barang Lain / Tidak Terinci</v>
      </c>
      <c r="U290" s="106" t="str" cm="1">
        <f t="array" ref="U290">IF(TRIM($I290)="","(tidak diisi)",IFERROR(INDEX(Kamus!$H$3:$H$75,MATCH(TRUE,ISNUMBER(SEARCH(Kamus!$G$3:$G$75,$I290)),0)),"Pemberian Umum / Tanpa Konteks"))</f>
        <v>Pemberian Umum / Tanpa Konteks</v>
      </c>
      <c r="V290" s="106" t="str">
        <f t="shared" si="12"/>
        <v>2025</v>
      </c>
      <c r="W290" s="106" t="str" cm="1">
        <f t="array" ref="W290">IF(TRIM($K290)="","(tidak diisi)",IFERROR(INDEX(Kamus!$K$3:$K$118,MATCH(TRUE,ISNUMBER(SEARCH(Kamus!$J$3:$J$118,$K290)),0)),"Individu / Perorangan"))</f>
        <v>Individu / Perorangan</v>
      </c>
      <c r="X290" s="106" t="str">
        <f t="shared" si="13"/>
        <v>03</v>
      </c>
      <c r="Y290" s="106" t="str" cm="1">
        <f t="array" ref="Y290">IFERROR(INDEX(Kamus!$N$3:$N$111,MATCH(TRUE,ISNUMBER(SEARCH(Kamus!$M$3:$M$111,$I290)),0)),"")</f>
        <v/>
      </c>
      <c r="Z290" s="106" t="str">
        <f>IF(AND(OR($X290="02",$X290="03",$X290="04"),OR($T290="Parsel/Bingkisan (tidak dirinci)",$T290="Makanan &amp; Minuman",$T290="Peralatan Rumah Tangga / Pecah Belah",$T290="Pakaian &amp; Kain")),"Momen Hari Raya (dugaan musiman)",IFERROR(VLOOKUP($W290,Kamus!$P$3:$Q$14,2,FALSE),"Tidak Teridentifikasi"))</f>
        <v>Relasi Personal / Tidak Teridentifikasi</v>
      </c>
      <c r="AA290" s="106" t="str">
        <f t="shared" si="14"/>
        <v>Relasi Personal / Tidak Teridentifikasi</v>
      </c>
    </row>
    <row r="291" spans="1:27">
      <c r="A291" s="106">
        <v>290</v>
      </c>
      <c r="B291" s="106" t="s">
        <v>2582</v>
      </c>
      <c r="C291" s="107" t="s">
        <v>2583</v>
      </c>
      <c r="D291" s="106" t="s">
        <v>1208</v>
      </c>
      <c r="E291" s="106" t="s">
        <v>1005</v>
      </c>
      <c r="G291" s="106" t="s">
        <v>1074</v>
      </c>
      <c r="L291" s="106" t="s">
        <v>2584</v>
      </c>
      <c r="O291" s="106" t="s">
        <v>274</v>
      </c>
      <c r="S291" s="106" t="str" cm="1">
        <f t="array" ref="S291">IF(TRIM($D291)="","(tidak diisi)",IFERROR(INDEX(Kamus!$B$3:$B$28,MATCH(TRUE,ISNUMBER(SEARCH(Kamus!$A$3:$A$28,$D291)),0)),"Jabatan Lainnya"))</f>
        <v>Staf/Pegawai Pelaksana</v>
      </c>
      <c r="T291" s="106" t="str" cm="1">
        <f t="array" ref="T291">IF(TRIM($I291)="","(tidak diisi)",IFERROR(INDEX(Kamus!$E$3:$E$162,MATCH(TRUE,ISNUMBER(SEARCH(Kamus!$D$3:$D$162,$I291)),0)),"Barang Lain / Tidak Terinci"))</f>
        <v>(tidak diisi)</v>
      </c>
      <c r="U291" s="106" t="str" cm="1">
        <f t="array" ref="U291">IF(TRIM($I291)="","(tidak diisi)",IFERROR(INDEX(Kamus!$H$3:$H$75,MATCH(TRUE,ISNUMBER(SEARCH(Kamus!$G$3:$G$75,$I291)),0)),"Pemberian Umum / Tanpa Konteks"))</f>
        <v>(tidak diisi)</v>
      </c>
      <c r="V291" s="106" t="str">
        <f t="shared" si="12"/>
        <v>(tidak diisi)</v>
      </c>
      <c r="W291" s="106" t="str" cm="1">
        <f t="array" ref="W291">IF(TRIM($K291)="","(tidak diisi)",IFERROR(INDEX(Kamus!$K$3:$K$118,MATCH(TRUE,ISNUMBER(SEARCH(Kamus!$J$3:$J$118,$K291)),0)),"Individu / Perorangan"))</f>
        <v>(tidak diisi)</v>
      </c>
      <c r="X291" s="106" t="str">
        <f t="shared" si="13"/>
        <v>(tidak diisi)</v>
      </c>
      <c r="Y291" s="106" t="str" cm="1">
        <f t="array" ref="Y291">IFERROR(INDEX(Kamus!$N$3:$N$111,MATCH(TRUE,ISNUMBER(SEARCH(Kamus!$M$3:$M$111,$I291)),0)),"")</f>
        <v/>
      </c>
      <c r="Z291" s="106" t="str">
        <f>IF(AND(OR($X291="02",$X291="03",$X291="04"),OR($T291="Parsel/Bingkisan (tidak dirinci)",$T291="Makanan &amp; Minuman",$T291="Peralatan Rumah Tangga / Pecah Belah",$T291="Pakaian &amp; Kain")),"Momen Hari Raya (dugaan musiman)",IFERROR(VLOOKUP($W291,Kamus!$P$3:$Q$14,2,FALSE),"Tidak Teridentifikasi"))</f>
        <v>Tidak Teridentifikasi</v>
      </c>
      <c r="AA291" s="106" t="str">
        <f t="shared" si="14"/>
        <v>Tidak Teridentifikasi</v>
      </c>
    </row>
    <row r="292" spans="1:27">
      <c r="A292" s="106">
        <v>291</v>
      </c>
      <c r="B292" s="106" t="s">
        <v>2582</v>
      </c>
      <c r="C292" s="107" t="s">
        <v>2583</v>
      </c>
      <c r="D292" s="106" t="s">
        <v>1208</v>
      </c>
      <c r="E292" s="106" t="s">
        <v>1005</v>
      </c>
      <c r="G292" s="106" t="s">
        <v>1074</v>
      </c>
      <c r="L292" s="106" t="s">
        <v>2584</v>
      </c>
      <c r="O292" s="106" t="s">
        <v>274</v>
      </c>
      <c r="S292" s="106" t="str" cm="1">
        <f t="array" ref="S292">IF(TRIM($D292)="","(tidak diisi)",IFERROR(INDEX(Kamus!$B$3:$B$28,MATCH(TRUE,ISNUMBER(SEARCH(Kamus!$A$3:$A$28,$D292)),0)),"Jabatan Lainnya"))</f>
        <v>Staf/Pegawai Pelaksana</v>
      </c>
      <c r="T292" s="106" t="str" cm="1">
        <f t="array" ref="T292">IF(TRIM($I292)="","(tidak diisi)",IFERROR(INDEX(Kamus!$E$3:$E$162,MATCH(TRUE,ISNUMBER(SEARCH(Kamus!$D$3:$D$162,$I292)),0)),"Barang Lain / Tidak Terinci"))</f>
        <v>(tidak diisi)</v>
      </c>
      <c r="U292" s="106" t="str" cm="1">
        <f t="array" ref="U292">IF(TRIM($I292)="","(tidak diisi)",IFERROR(INDEX(Kamus!$H$3:$H$75,MATCH(TRUE,ISNUMBER(SEARCH(Kamus!$G$3:$G$75,$I292)),0)),"Pemberian Umum / Tanpa Konteks"))</f>
        <v>(tidak diisi)</v>
      </c>
      <c r="V292" s="106" t="str">
        <f t="shared" si="12"/>
        <v>(tidak diisi)</v>
      </c>
      <c r="W292" s="106" t="str" cm="1">
        <f t="array" ref="W292">IF(TRIM($K292)="","(tidak diisi)",IFERROR(INDEX(Kamus!$K$3:$K$118,MATCH(TRUE,ISNUMBER(SEARCH(Kamus!$J$3:$J$118,$K292)),0)),"Individu / Perorangan"))</f>
        <v>(tidak diisi)</v>
      </c>
      <c r="X292" s="106" t="str">
        <f t="shared" si="13"/>
        <v>(tidak diisi)</v>
      </c>
      <c r="Y292" s="106" t="str" cm="1">
        <f t="array" ref="Y292">IFERROR(INDEX(Kamus!$N$3:$N$111,MATCH(TRUE,ISNUMBER(SEARCH(Kamus!$M$3:$M$111,$I292)),0)),"")</f>
        <v/>
      </c>
      <c r="Z292" s="106" t="str">
        <f>IF(AND(OR($X292="02",$X292="03",$X292="04"),OR($T292="Parsel/Bingkisan (tidak dirinci)",$T292="Makanan &amp; Minuman",$T292="Peralatan Rumah Tangga / Pecah Belah",$T292="Pakaian &amp; Kain")),"Momen Hari Raya (dugaan musiman)",IFERROR(VLOOKUP($W292,Kamus!$P$3:$Q$14,2,FALSE),"Tidak Teridentifikasi"))</f>
        <v>Tidak Teridentifikasi</v>
      </c>
      <c r="AA292" s="106" t="str">
        <f t="shared" si="14"/>
        <v>Tidak Teridentifikasi</v>
      </c>
    </row>
    <row r="293" spans="1:27">
      <c r="A293" s="106">
        <v>292</v>
      </c>
      <c r="B293" s="106" t="s">
        <v>1060</v>
      </c>
      <c r="C293" s="107" t="s">
        <v>1061</v>
      </c>
      <c r="D293" s="106" t="s">
        <v>1033</v>
      </c>
      <c r="E293" s="106" t="s">
        <v>1062</v>
      </c>
      <c r="F293" s="106" t="s">
        <v>2585</v>
      </c>
      <c r="G293" s="106" t="s">
        <v>1006</v>
      </c>
      <c r="H293" s="106" t="s">
        <v>1753</v>
      </c>
      <c r="I293" s="106" t="s">
        <v>2586</v>
      </c>
      <c r="K293" s="106" t="s">
        <v>2587</v>
      </c>
      <c r="L293" s="106" t="s">
        <v>2588</v>
      </c>
      <c r="O293" s="106" t="s">
        <v>274</v>
      </c>
      <c r="P293" s="106" t="s">
        <v>1067</v>
      </c>
      <c r="Q293" s="106" t="s">
        <v>350</v>
      </c>
      <c r="S293" s="106" t="str" cm="1">
        <f t="array" ref="S293">IF(TRIM($D293)="","(tidak diisi)",IFERROR(INDEX(Kamus!$B$3:$B$28,MATCH(TRUE,ISNUMBER(SEARCH(Kamus!$A$3:$A$28,$D293)),0)),"Jabatan Lainnya"))</f>
        <v>Hakim</v>
      </c>
      <c r="T293" s="106" t="str" cm="1">
        <f t="array" ref="T293">IF(TRIM($I293)="","(tidak diisi)",IFERROR(INDEX(Kamus!$E$3:$E$162,MATCH(TRUE,ISNUMBER(SEARCH(Kamus!$D$3:$D$162,$I293)),0)),"Barang Lain / Tidak Terinci"))</f>
        <v>Peralatan Rumah Tangga / Pecah Belah</v>
      </c>
      <c r="U293" s="106" t="str" cm="1">
        <f t="array" ref="U293">IF(TRIM($I293)="","(tidak diisi)",IFERROR(INDEX(Kamus!$H$3:$H$75,MATCH(TRUE,ISNUMBER(SEARCH(Kamus!$G$3:$G$75,$I293)),0)),"Pemberian Umum / Tanpa Konteks"))</f>
        <v>Pemberian Umum / Tanpa Konteks</v>
      </c>
      <c r="V293" s="106" t="str">
        <f t="shared" si="12"/>
        <v>2025</v>
      </c>
      <c r="W293" s="106" t="str" cm="1">
        <f t="array" ref="W293">IF(TRIM($K293)="","(tidak diisi)",IFERROR(INDEX(Kamus!$K$3:$K$118,MATCH(TRUE,ISNUMBER(SEARCH(Kamus!$J$3:$J$118,$K293)),0)),"Individu / Perorangan"))</f>
        <v>Individu / Perorangan</v>
      </c>
      <c r="X293" s="106" t="str">
        <f t="shared" si="13"/>
        <v>03</v>
      </c>
      <c r="Y293" s="106" t="str" cm="1">
        <f t="array" ref="Y293">IFERROR(INDEX(Kamus!$N$3:$N$111,MATCH(TRUE,ISNUMBER(SEARCH(Kamus!$M$3:$M$111,$I293)),0)),"")</f>
        <v/>
      </c>
      <c r="Z293" s="106" t="str">
        <f>IF(AND(OR($X293="02",$X293="03",$X293="04"),OR($T293="Parsel/Bingkisan (tidak dirinci)",$T293="Makanan &amp; Minuman",$T293="Peralatan Rumah Tangga / Pecah Belah",$T293="Pakaian &amp; Kain")),"Momen Hari Raya (dugaan musiman)",IFERROR(VLOOKUP($W293,Kamus!$P$3:$Q$14,2,FALSE),"Tidak Teridentifikasi"))</f>
        <v>Momen Hari Raya (dugaan musiman)</v>
      </c>
      <c r="AA293" s="106" t="str">
        <f t="shared" si="14"/>
        <v>Momen Hari Raya (dugaan musiman)</v>
      </c>
    </row>
    <row r="294" spans="1:27">
      <c r="A294" s="106">
        <v>293</v>
      </c>
      <c r="B294" s="106" t="s">
        <v>1040</v>
      </c>
      <c r="C294" s="107" t="s">
        <v>1041</v>
      </c>
      <c r="D294" s="106" t="s">
        <v>1042</v>
      </c>
      <c r="E294" s="106" t="s">
        <v>1043</v>
      </c>
      <c r="F294" s="106" t="s">
        <v>2589</v>
      </c>
      <c r="G294" s="106" t="s">
        <v>1006</v>
      </c>
      <c r="H294" s="106" t="s">
        <v>2590</v>
      </c>
      <c r="I294" s="106" t="s">
        <v>1017</v>
      </c>
      <c r="J294" s="106">
        <v>510000</v>
      </c>
      <c r="K294" s="106" t="s">
        <v>1045</v>
      </c>
      <c r="L294" s="106" t="s">
        <v>2591</v>
      </c>
      <c r="M294" s="106" t="s">
        <v>1020</v>
      </c>
      <c r="O294" s="106" t="s">
        <v>274</v>
      </c>
      <c r="P294" s="106" t="s">
        <v>1047</v>
      </c>
      <c r="Q294" s="106" t="s">
        <v>420</v>
      </c>
      <c r="S294" s="106" t="str" cm="1">
        <f t="array" ref="S294">IF(TRIM($D294)="","(tidak diisi)",IFERROR(INDEX(Kamus!$B$3:$B$28,MATCH(TRUE,ISNUMBER(SEARCH(Kamus!$A$3:$A$28,$D294)),0)),"Jabatan Lainnya"))</f>
        <v>Ketua Pengadilan</v>
      </c>
      <c r="T294" s="106" t="str" cm="1">
        <f t="array" ref="T294">IF(TRIM($I294)="","(tidak diisi)",IFERROR(INDEX(Kamus!$E$3:$E$162,MATCH(TRUE,ISNUMBER(SEARCH(Kamus!$D$3:$D$162,$I294)),0)),"Barang Lain / Tidak Terinci"))</f>
        <v>Uang &amp; Setara Uang</v>
      </c>
      <c r="U294" s="106" t="str" cm="1">
        <f t="array" ref="U294">IF(TRIM($I294)="","(tidak diisi)",IFERROR(INDEX(Kamus!$H$3:$H$75,MATCH(TRUE,ISNUMBER(SEARCH(Kamus!$G$3:$G$75,$I294)),0)),"Pemberian Umum / Tanpa Konteks"))</f>
        <v>Pemberian Uang Langsung</v>
      </c>
      <c r="V294" s="106" t="str">
        <f t="shared" si="12"/>
        <v>2025</v>
      </c>
      <c r="W294" s="106" t="str" cm="1">
        <f t="array" ref="W294">IF(TRIM($K294)="","(tidak diisi)",IFERROR(INDEX(Kamus!$K$3:$K$118,MATCH(TRUE,ISNUMBER(SEARCH(Kamus!$J$3:$J$118,$K294)),0)),"Individu / Perorangan"))</f>
        <v>Tidak Diketahui</v>
      </c>
      <c r="X294" s="106" t="str">
        <f t="shared" si="13"/>
        <v>05</v>
      </c>
      <c r="Y294" s="106" t="str" cm="1">
        <f t="array" ref="Y294">IFERROR(INDEX(Kamus!$N$3:$N$111,MATCH(TRUE,ISNUMBER(SEARCH(Kamus!$M$3:$M$111,$I294)),0)),"")</f>
        <v/>
      </c>
      <c r="Z294" s="106" t="str">
        <f>IF(AND(OR($X294="02",$X294="03",$X294="04"),OR($T294="Parsel/Bingkisan (tidak dirinci)",$T294="Makanan &amp; Minuman",$T294="Peralatan Rumah Tangga / Pecah Belah",$T294="Pakaian &amp; Kain")),"Momen Hari Raya (dugaan musiman)",IFERROR(VLOOKUP($W294,Kamus!$P$3:$Q$14,2,FALSE),"Tidak Teridentifikasi"))</f>
        <v>Pemberi Tidak Diketahui</v>
      </c>
      <c r="AA294" s="106" t="str">
        <f t="shared" si="14"/>
        <v>Pemberi Tidak Diketahui</v>
      </c>
    </row>
    <row r="295" spans="1:27">
      <c r="A295" s="106">
        <v>294</v>
      </c>
      <c r="B295" s="106" t="s">
        <v>2592</v>
      </c>
      <c r="C295" s="107" t="s">
        <v>2593</v>
      </c>
      <c r="D295" s="106" t="s">
        <v>1336</v>
      </c>
      <c r="E295" s="106" t="s">
        <v>1043</v>
      </c>
      <c r="F295" s="106" t="s">
        <v>2594</v>
      </c>
      <c r="G295" s="106" t="s">
        <v>1006</v>
      </c>
      <c r="H295" s="106" t="s">
        <v>2590</v>
      </c>
      <c r="I295" s="106" t="s">
        <v>1017</v>
      </c>
      <c r="J295" s="106">
        <v>425000</v>
      </c>
      <c r="K295" s="106" t="s">
        <v>2595</v>
      </c>
      <c r="L295" s="106" t="s">
        <v>2596</v>
      </c>
      <c r="M295" s="106" t="s">
        <v>1020</v>
      </c>
      <c r="O295" s="106" t="s">
        <v>274</v>
      </c>
      <c r="P295" s="106" t="s">
        <v>1047</v>
      </c>
      <c r="Q295" s="106" t="s">
        <v>420</v>
      </c>
      <c r="S295" s="106" t="str" cm="1">
        <f t="array" ref="S295">IF(TRIM($D295)="","(tidak diisi)",IFERROR(INDEX(Kamus!$B$3:$B$28,MATCH(TRUE,ISNUMBER(SEARCH(Kamus!$A$3:$A$28,$D295)),0)),"Jabatan Lainnya"))</f>
        <v>Panitera</v>
      </c>
      <c r="T295" s="106" t="str" cm="1">
        <f t="array" ref="T295">IF(TRIM($I295)="","(tidak diisi)",IFERROR(INDEX(Kamus!$E$3:$E$162,MATCH(TRUE,ISNUMBER(SEARCH(Kamus!$D$3:$D$162,$I295)),0)),"Barang Lain / Tidak Terinci"))</f>
        <v>Uang &amp; Setara Uang</v>
      </c>
      <c r="U295" s="106" t="str" cm="1">
        <f t="array" ref="U295">IF(TRIM($I295)="","(tidak diisi)",IFERROR(INDEX(Kamus!$H$3:$H$75,MATCH(TRUE,ISNUMBER(SEARCH(Kamus!$G$3:$G$75,$I295)),0)),"Pemberian Umum / Tanpa Konteks"))</f>
        <v>Pemberian Uang Langsung</v>
      </c>
      <c r="V295" s="106" t="str">
        <f t="shared" si="12"/>
        <v>2025</v>
      </c>
      <c r="W295" s="106" t="str" cm="1">
        <f t="array" ref="W295">IF(TRIM($K295)="","(tidak diisi)",IFERROR(INDEX(Kamus!$K$3:$K$118,MATCH(TRUE,ISNUMBER(SEARCH(Kamus!$J$3:$J$118,$K295)),0)),"Individu / Perorangan"))</f>
        <v>Kampus &amp; Sekolah</v>
      </c>
      <c r="X295" s="106" t="str">
        <f t="shared" si="13"/>
        <v>05</v>
      </c>
      <c r="Y295" s="106" t="str" cm="1">
        <f t="array" ref="Y295">IFERROR(INDEX(Kamus!$N$3:$N$111,MATCH(TRUE,ISNUMBER(SEARCH(Kamus!$M$3:$M$111,$I295)),0)),"")</f>
        <v/>
      </c>
      <c r="Z295" s="106" t="str">
        <f>IF(AND(OR($X295="02",$X295="03",$X295="04"),OR($T295="Parsel/Bingkisan (tidak dirinci)",$T295="Makanan &amp; Minuman",$T295="Peralatan Rumah Tangga / Pecah Belah",$T295="Pakaian &amp; Kain")),"Momen Hari Raya (dugaan musiman)",IFERROR(VLOOKUP($W295,Kamus!$P$3:$Q$14,2,FALSE),"Tidak Teridentifikasi"))</f>
        <v>Kerja Sama Pendidikan/PKL (dugaan)</v>
      </c>
      <c r="AA295" s="106" t="str">
        <f t="shared" si="14"/>
        <v>Kerja Sama Pendidikan/PKL (dugaan)</v>
      </c>
    </row>
    <row r="296" spans="1:27">
      <c r="A296" s="106">
        <v>295</v>
      </c>
      <c r="B296" s="106" t="s">
        <v>2249</v>
      </c>
      <c r="C296" s="107" t="s">
        <v>2250</v>
      </c>
      <c r="D296" s="106" t="s">
        <v>2251</v>
      </c>
      <c r="E296" s="106" t="s">
        <v>1294</v>
      </c>
      <c r="F296" s="106" t="s">
        <v>2597</v>
      </c>
      <c r="G296" s="106" t="s">
        <v>1006</v>
      </c>
      <c r="H296" s="106" t="s">
        <v>2598</v>
      </c>
      <c r="I296" s="106" t="s">
        <v>2599</v>
      </c>
      <c r="K296" s="106" t="s">
        <v>2600</v>
      </c>
      <c r="L296" s="106" t="s">
        <v>2601</v>
      </c>
      <c r="O296" s="106" t="s">
        <v>274</v>
      </c>
      <c r="P296" s="106" t="s">
        <v>1298</v>
      </c>
      <c r="Q296" s="106" t="s">
        <v>428</v>
      </c>
      <c r="S296" s="106" t="str" cm="1">
        <f t="array" ref="S296">IF(TRIM($D296)="","(tidak diisi)",IFERROR(INDEX(Kamus!$B$3:$B$28,MATCH(TRUE,ISNUMBER(SEARCH(Kamus!$A$3:$A$28,$D296)),0)),"Jabatan Lainnya"))</f>
        <v>Wakil Ketua Pengadilan</v>
      </c>
      <c r="T296" s="106" t="str" cm="1">
        <f t="array" ref="T296">IF(TRIM($I296)="","(tidak diisi)",IFERROR(INDEX(Kamus!$E$3:$E$162,MATCH(TRUE,ISNUMBER(SEARCH(Kamus!$D$3:$D$162,$I296)),0)),"Barang Lain / Tidak Terinci"))</f>
        <v>Makanan &amp; Minuman</v>
      </c>
      <c r="U296" s="106" t="str" cm="1">
        <f t="array" ref="U296">IF(TRIM($I296)="","(tidak diisi)",IFERROR(INDEX(Kamus!$H$3:$H$75,MATCH(TRUE,ISNUMBER(SEARCH(Kamus!$G$3:$G$75,$I296)),0)),"Pemberian Umum / Tanpa Konteks"))</f>
        <v>Hadiah Acara Personal</v>
      </c>
      <c r="V296" s="106" t="str">
        <f t="shared" si="12"/>
        <v>2025</v>
      </c>
      <c r="W296" s="106" t="str" cm="1">
        <f t="array" ref="W296">IF(TRIM($K296)="","(tidak diisi)",IFERROR(INDEX(Kamus!$K$3:$K$118,MATCH(TRUE,ISNUMBER(SEARCH(Kamus!$J$3:$J$118,$K296)),0)),"Individu / Perorangan"))</f>
        <v>Individu / Perorangan</v>
      </c>
      <c r="X296" s="106" t="str">
        <f t="shared" si="13"/>
        <v>05</v>
      </c>
      <c r="Y296" s="106" t="str" cm="1">
        <f t="array" ref="Y296">IFERROR(INDEX(Kamus!$N$3:$N$111,MATCH(TRUE,ISNUMBER(SEARCH(Kamus!$M$3:$M$111,$I296)),0)),"")</f>
        <v>Acara Personal (Pernikahan/Duka/Wisuda)</v>
      </c>
      <c r="Z296" s="106" t="str">
        <f>IF(AND(OR($X296="02",$X296="03",$X296="04"),OR($T296="Parsel/Bingkisan (tidak dirinci)",$T296="Makanan &amp; Minuman",$T296="Peralatan Rumah Tangga / Pecah Belah",$T296="Pakaian &amp; Kain")),"Momen Hari Raya (dugaan musiman)",IFERROR(VLOOKUP($W296,Kamus!$P$3:$Q$14,2,FALSE),"Tidak Teridentifikasi"))</f>
        <v>Relasi Personal / Tidak Teridentifikasi</v>
      </c>
      <c r="AA296" s="106" t="str">
        <f t="shared" si="14"/>
        <v>Acara Personal (Pernikahan/Duka/Wisuda)</v>
      </c>
    </row>
    <row r="297" spans="1:27">
      <c r="A297" s="106">
        <v>296</v>
      </c>
      <c r="B297" s="106" t="s">
        <v>1105</v>
      </c>
      <c r="C297" s="107" t="s">
        <v>1106</v>
      </c>
      <c r="D297" s="106" t="s">
        <v>1042</v>
      </c>
      <c r="E297" s="106" t="s">
        <v>1014</v>
      </c>
      <c r="F297" s="106" t="s">
        <v>2602</v>
      </c>
      <c r="G297" s="106" t="s">
        <v>1074</v>
      </c>
      <c r="H297" s="106" t="s">
        <v>2598</v>
      </c>
      <c r="I297" s="106" t="s">
        <v>1017</v>
      </c>
      <c r="K297" s="106" t="s">
        <v>2603</v>
      </c>
      <c r="L297" s="106" t="s">
        <v>2604</v>
      </c>
      <c r="O297" s="106" t="s">
        <v>274</v>
      </c>
      <c r="P297" s="106" t="s">
        <v>1021</v>
      </c>
      <c r="Q297" s="106" t="s">
        <v>428</v>
      </c>
      <c r="S297" s="106" t="str" cm="1">
        <f t="array" ref="S297">IF(TRIM($D297)="","(tidak diisi)",IFERROR(INDEX(Kamus!$B$3:$B$28,MATCH(TRUE,ISNUMBER(SEARCH(Kamus!$A$3:$A$28,$D297)),0)),"Jabatan Lainnya"))</f>
        <v>Ketua Pengadilan</v>
      </c>
      <c r="T297" s="106" t="str" cm="1">
        <f t="array" ref="T297">IF(TRIM($I297)="","(tidak diisi)",IFERROR(INDEX(Kamus!$E$3:$E$162,MATCH(TRUE,ISNUMBER(SEARCH(Kamus!$D$3:$D$162,$I297)),0)),"Barang Lain / Tidak Terinci"))</f>
        <v>Uang &amp; Setara Uang</v>
      </c>
      <c r="U297" s="106" t="str" cm="1">
        <f t="array" ref="U297">IF(TRIM($I297)="","(tidak diisi)",IFERROR(INDEX(Kamus!$H$3:$H$75,MATCH(TRUE,ISNUMBER(SEARCH(Kamus!$G$3:$G$75,$I297)),0)),"Pemberian Umum / Tanpa Konteks"))</f>
        <v>Pemberian Uang Langsung</v>
      </c>
      <c r="V297" s="106" t="str">
        <f t="shared" si="12"/>
        <v>2025</v>
      </c>
      <c r="W297" s="106" t="str" cm="1">
        <f t="array" ref="W297">IF(TRIM($K297)="","(tidak diisi)",IFERROR(INDEX(Kamus!$K$3:$K$118,MATCH(TRUE,ISNUMBER(SEARCH(Kamus!$J$3:$J$118,$K297)),0)),"Individu / Perorangan"))</f>
        <v>Organisasi / Panitia Kegiatan</v>
      </c>
      <c r="X297" s="106" t="str">
        <f t="shared" si="13"/>
        <v>05</v>
      </c>
      <c r="Y297" s="106" t="str" cm="1">
        <f t="array" ref="Y297">IFERROR(INDEX(Kamus!$N$3:$N$111,MATCH(TRUE,ISNUMBER(SEARCH(Kamus!$M$3:$M$111,$I297)),0)),"")</f>
        <v/>
      </c>
      <c r="Z297" s="106" t="str">
        <f>IF(AND(OR($X297="02",$X297="03",$X297="04"),OR($T297="Parsel/Bingkisan (tidak dirinci)",$T297="Makanan &amp; Minuman",$T297="Peralatan Rumah Tangga / Pecah Belah",$T297="Pakaian &amp; Kain")),"Momen Hari Raya (dugaan musiman)",IFERROR(VLOOKUP($W297,Kamus!$P$3:$Q$14,2,FALSE),"Tidak Teridentifikasi"))</f>
        <v>Kegiatan Organisasi/Panitia (dugaan)</v>
      </c>
      <c r="AA297" s="106" t="str">
        <f t="shared" si="14"/>
        <v>Kegiatan Organisasi/Panitia (dugaan)</v>
      </c>
    </row>
    <row r="298" spans="1:27">
      <c r="A298" s="106">
        <v>297</v>
      </c>
      <c r="B298" s="106" t="s">
        <v>1088</v>
      </c>
      <c r="C298" s="107" t="s">
        <v>1089</v>
      </c>
      <c r="D298" s="106" t="s">
        <v>1033</v>
      </c>
      <c r="E298" s="106" t="s">
        <v>1090</v>
      </c>
      <c r="F298" s="106" t="s">
        <v>2605</v>
      </c>
      <c r="G298" s="106" t="s">
        <v>1006</v>
      </c>
      <c r="H298" s="106" t="s">
        <v>2606</v>
      </c>
      <c r="I298" s="106" t="s">
        <v>2607</v>
      </c>
      <c r="J298" s="106">
        <v>194600</v>
      </c>
      <c r="K298" s="106" t="s">
        <v>2608</v>
      </c>
      <c r="L298" s="106" t="s">
        <v>2609</v>
      </c>
      <c r="M298" s="106" t="s">
        <v>1020</v>
      </c>
      <c r="O298" s="106" t="s">
        <v>274</v>
      </c>
      <c r="P298" s="106" t="s">
        <v>1095</v>
      </c>
      <c r="Q298" s="106" t="s">
        <v>348</v>
      </c>
      <c r="S298" s="106" t="str" cm="1">
        <f t="array" ref="S298">IF(TRIM($D298)="","(tidak diisi)",IFERROR(INDEX(Kamus!$B$3:$B$28,MATCH(TRUE,ISNUMBER(SEARCH(Kamus!$A$3:$A$28,$D298)),0)),"Jabatan Lainnya"))</f>
        <v>Hakim</v>
      </c>
      <c r="T298" s="106" t="str" cm="1">
        <f t="array" ref="T298">IF(TRIM($I298)="","(tidak diisi)",IFERROR(INDEX(Kamus!$E$3:$E$162,MATCH(TRUE,ISNUMBER(SEARCH(Kamus!$D$3:$D$162,$I298)),0)),"Barang Lain / Tidak Terinci"))</f>
        <v>Buku &amp; Publikasi</v>
      </c>
      <c r="U298" s="106" t="str" cm="1">
        <f t="array" ref="U298">IF(TRIM($I298)="","(tidak diisi)",IFERROR(INDEX(Kamus!$H$3:$H$75,MATCH(TRUE,ISNUMBER(SEARCH(Kamus!$G$3:$G$75,$I298)),0)),"Pemberian Umum / Tanpa Konteks"))</f>
        <v>Pemberian Umum / Tanpa Konteks</v>
      </c>
      <c r="V298" s="106" t="str">
        <f t="shared" si="12"/>
        <v>2025</v>
      </c>
      <c r="W298" s="106" t="str" cm="1">
        <f t="array" ref="W298">IF(TRIM($K298)="","(tidak diisi)",IFERROR(INDEX(Kamus!$K$3:$K$118,MATCH(TRUE,ISNUMBER(SEARCH(Kamus!$J$3:$J$118,$K298)),0)),"Individu / Perorangan"))</f>
        <v>Individu / Perorangan</v>
      </c>
      <c r="X298" s="106" t="str">
        <f t="shared" si="13"/>
        <v>05</v>
      </c>
      <c r="Y298" s="106" t="str" cm="1">
        <f t="array" ref="Y298">IFERROR(INDEX(Kamus!$N$3:$N$111,MATCH(TRUE,ISNUMBER(SEARCH(Kamus!$M$3:$M$111,$I298)),0)),"")</f>
        <v/>
      </c>
      <c r="Z298" s="106" t="str">
        <f>IF(AND(OR($X298="02",$X298="03",$X298="04"),OR($T298="Parsel/Bingkisan (tidak dirinci)",$T298="Makanan &amp; Minuman",$T298="Peralatan Rumah Tangga / Pecah Belah",$T298="Pakaian &amp; Kain")),"Momen Hari Raya (dugaan musiman)",IFERROR(VLOOKUP($W298,Kamus!$P$3:$Q$14,2,FALSE),"Tidak Teridentifikasi"))</f>
        <v>Relasi Personal / Tidak Teridentifikasi</v>
      </c>
      <c r="AA298" s="106" t="str">
        <f t="shared" si="14"/>
        <v>Relasi Personal / Tidak Teridentifikasi</v>
      </c>
    </row>
    <row r="299" spans="1:27">
      <c r="A299" s="106">
        <v>298</v>
      </c>
      <c r="B299" s="106" t="s">
        <v>1264</v>
      </c>
      <c r="C299" s="107" t="s">
        <v>1265</v>
      </c>
      <c r="D299" s="106" t="s">
        <v>1081</v>
      </c>
      <c r="E299" s="106" t="s">
        <v>1266</v>
      </c>
      <c r="F299" s="106" t="s">
        <v>2610</v>
      </c>
      <c r="G299" s="106" t="s">
        <v>1006</v>
      </c>
      <c r="H299" s="106" t="s">
        <v>2611</v>
      </c>
      <c r="I299" s="106" t="s">
        <v>2612</v>
      </c>
      <c r="J299" s="106">
        <v>100000</v>
      </c>
      <c r="K299" s="106" t="s">
        <v>2613</v>
      </c>
      <c r="L299" s="106" t="s">
        <v>2614</v>
      </c>
      <c r="M299" s="106" t="s">
        <v>1020</v>
      </c>
      <c r="O299" s="106" t="s">
        <v>274</v>
      </c>
      <c r="P299" s="106" t="s">
        <v>1273</v>
      </c>
      <c r="Q299" s="106" t="s">
        <v>416</v>
      </c>
      <c r="S299" s="106" t="str" cm="1">
        <f t="array" ref="S299">IF(TRIM($D299)="","(tidak diisi)",IFERROR(INDEX(Kamus!$B$3:$B$28,MATCH(TRUE,ISNUMBER(SEARCH(Kamus!$A$3:$A$28,$D299)),0)),"Jabatan Lainnya"))</f>
        <v>Hakim</v>
      </c>
      <c r="T299" s="106" t="str" cm="1">
        <f t="array" ref="T299">IF(TRIM($I299)="","(tidak diisi)",IFERROR(INDEX(Kamus!$E$3:$E$162,MATCH(TRUE,ISNUMBER(SEARCH(Kamus!$D$3:$D$162,$I299)),0)),"Barang Lain / Tidak Terinci"))</f>
        <v>Suvenir &amp; Merchandise</v>
      </c>
      <c r="U299" s="106" t="str" cm="1">
        <f t="array" ref="U299">IF(TRIM($I299)="","(tidak diisi)",IFERROR(INDEX(Kamus!$H$3:$H$75,MATCH(TRUE,ISNUMBER(SEARCH(Kamus!$G$3:$G$75,$I299)),0)),"Pemberian Umum / Tanpa Konteks"))</f>
        <v>Pemberian Umum / Tanpa Konteks</v>
      </c>
      <c r="V299" s="106" t="str">
        <f t="shared" si="12"/>
        <v>2025</v>
      </c>
      <c r="W299" s="106" t="str" cm="1">
        <f t="array" ref="W299">IF(TRIM($K299)="","(tidak diisi)",IFERROR(INDEX(Kamus!$K$3:$K$118,MATCH(TRUE,ISNUMBER(SEARCH(Kamus!$J$3:$J$118,$K299)),0)),"Individu / Perorangan"))</f>
        <v>Advokat/Notaris/Profesi Hukum</v>
      </c>
      <c r="X299" s="106" t="str">
        <f t="shared" si="13"/>
        <v>05</v>
      </c>
      <c r="Y299" s="106" t="str" cm="1">
        <f t="array" ref="Y299">IFERROR(INDEX(Kamus!$N$3:$N$111,MATCH(TRUE,ISNUMBER(SEARCH(Kamus!$M$3:$M$111,$I299)),0)),"")</f>
        <v/>
      </c>
      <c r="Z299" s="106" t="str">
        <f>IF(AND(OR($X299="02",$X299="03",$X299="04"),OR($T299="Parsel/Bingkisan (tidak dirinci)",$T299="Makanan &amp; Minuman",$T299="Peralatan Rumah Tangga / Pecah Belah",$T299="Pakaian &amp; Kain")),"Momen Hari Raya (dugaan musiman)",IFERROR(VLOOKUP($W299,Kamus!$P$3:$Q$14,2,FALSE),"Tidak Teridentifikasi"))</f>
        <v>Relasi Profesi Hukum/Perkara (dugaan)</v>
      </c>
      <c r="AA299" s="106" t="str">
        <f t="shared" si="14"/>
        <v>Relasi Profesi Hukum/Perkara (dugaan)</v>
      </c>
    </row>
    <row r="300" spans="1:27">
      <c r="A300" s="106">
        <v>299</v>
      </c>
      <c r="B300" s="106" t="s">
        <v>2072</v>
      </c>
      <c r="C300" s="107" t="s">
        <v>2073</v>
      </c>
      <c r="D300" s="106" t="s">
        <v>1319</v>
      </c>
      <c r="E300" s="106" t="s">
        <v>2074</v>
      </c>
      <c r="F300" s="106" t="s">
        <v>2615</v>
      </c>
      <c r="G300" s="106" t="s">
        <v>1006</v>
      </c>
      <c r="H300" s="106" t="s">
        <v>2616</v>
      </c>
      <c r="I300" s="106" t="s">
        <v>2617</v>
      </c>
      <c r="K300" s="106" t="s">
        <v>2618</v>
      </c>
      <c r="L300" s="106" t="s">
        <v>2619</v>
      </c>
      <c r="O300" s="106" t="s">
        <v>274</v>
      </c>
      <c r="P300" s="106" t="s">
        <v>2079</v>
      </c>
      <c r="Q300" s="106" t="s">
        <v>407</v>
      </c>
      <c r="S300" s="106" t="str" cm="1">
        <f t="array" ref="S300">IF(TRIM($D300)="","(tidak diisi)",IFERROR(INDEX(Kamus!$B$3:$B$28,MATCH(TRUE,ISNUMBER(SEARCH(Kamus!$A$3:$A$28,$D300)),0)),"Jabatan Lainnya"))</f>
        <v>Wakil Ketua Pengadilan</v>
      </c>
      <c r="T300" s="106" t="str" cm="1">
        <f t="array" ref="T300">IF(TRIM($I300)="","(tidak diisi)",IFERROR(INDEX(Kamus!$E$3:$E$162,MATCH(TRUE,ISNUMBER(SEARCH(Kamus!$D$3:$D$162,$I300)),0)),"Barang Lain / Tidak Terinci"))</f>
        <v>Makanan &amp; Minuman</v>
      </c>
      <c r="U300" s="106" t="str" cm="1">
        <f t="array" ref="U300">IF(TRIM($I300)="","(tidak diisi)",IFERROR(INDEX(Kamus!$H$3:$H$75,MATCH(TRUE,ISNUMBER(SEARCH(Kamus!$G$3:$G$75,$I300)),0)),"Pemberian Umum / Tanpa Konteks"))</f>
        <v>Pemberian Umum / Tanpa Konteks</v>
      </c>
      <c r="V300" s="106" t="str">
        <f t="shared" si="12"/>
        <v>2025</v>
      </c>
      <c r="W300" s="106" t="str" cm="1">
        <f t="array" ref="W300">IF(TRIM($K300)="","(tidak diisi)",IFERROR(INDEX(Kamus!$K$3:$K$118,MATCH(TRUE,ISNUMBER(SEARCH(Kamus!$J$3:$J$118,$K300)),0)),"Individu / Perorangan"))</f>
        <v>Aparat/Instansi Penegak Hukum &amp; Vertikal</v>
      </c>
      <c r="X300" s="106" t="str">
        <f t="shared" si="13"/>
        <v>05</v>
      </c>
      <c r="Y300" s="106" t="str" cm="1">
        <f t="array" ref="Y300">IFERROR(INDEX(Kamus!$N$3:$N$111,MATCH(TRUE,ISNUMBER(SEARCH(Kamus!$M$3:$M$111,$I300)),0)),"")</f>
        <v/>
      </c>
      <c r="Z300" s="106" t="str">
        <f>IF(AND(OR($X300="02",$X300="03",$X300="04"),OR($T300="Parsel/Bingkisan (tidak dirinci)",$T300="Makanan &amp; Minuman",$T300="Peralatan Rumah Tangga / Pecah Belah",$T300="Pakaian &amp; Kain")),"Momen Hari Raya (dugaan musiman)",IFERROR(VLOOKUP($W300,Kamus!$P$3:$Q$14,2,FALSE),"Tidak Teridentifikasi"))</f>
        <v>Koordinasi Antarinstansi (dugaan)</v>
      </c>
      <c r="AA300" s="106" t="str">
        <f t="shared" si="14"/>
        <v>Koordinasi Antarinstansi (dugaan)</v>
      </c>
    </row>
    <row r="301" spans="1:27">
      <c r="A301" s="106">
        <v>300</v>
      </c>
      <c r="B301" s="106" t="s">
        <v>1650</v>
      </c>
      <c r="C301" s="107" t="s">
        <v>1651</v>
      </c>
      <c r="D301" s="106" t="s">
        <v>1652</v>
      </c>
      <c r="E301" s="106" t="s">
        <v>1166</v>
      </c>
      <c r="F301" s="106" t="s">
        <v>2620</v>
      </c>
      <c r="G301" s="106" t="s">
        <v>1006</v>
      </c>
      <c r="H301" s="106" t="s">
        <v>2621</v>
      </c>
      <c r="I301" s="106" t="s">
        <v>1017</v>
      </c>
      <c r="J301" s="106">
        <v>110000</v>
      </c>
      <c r="K301" s="106" t="s">
        <v>2622</v>
      </c>
      <c r="L301" s="106" t="s">
        <v>2623</v>
      </c>
      <c r="M301" s="106" t="s">
        <v>1020</v>
      </c>
      <c r="O301" s="106" t="s">
        <v>274</v>
      </c>
      <c r="P301" s="106" t="s">
        <v>1173</v>
      </c>
      <c r="Q301" s="106" t="s">
        <v>431</v>
      </c>
      <c r="S301" s="106" t="str" cm="1">
        <f t="array" ref="S301">IF(TRIM($D301)="","(tidak diisi)",IFERROR(INDEX(Kamus!$B$3:$B$28,MATCH(TRUE,ISNUMBER(SEARCH(Kamus!$A$3:$A$28,$D301)),0)),"Jabatan Lainnya"))</f>
        <v>Panitera</v>
      </c>
      <c r="T301" s="106" t="str" cm="1">
        <f t="array" ref="T301">IF(TRIM($I301)="","(tidak diisi)",IFERROR(INDEX(Kamus!$E$3:$E$162,MATCH(TRUE,ISNUMBER(SEARCH(Kamus!$D$3:$D$162,$I301)),0)),"Barang Lain / Tidak Terinci"))</f>
        <v>Uang &amp; Setara Uang</v>
      </c>
      <c r="U301" s="106" t="str" cm="1">
        <f t="array" ref="U301">IF(TRIM($I301)="","(tidak diisi)",IFERROR(INDEX(Kamus!$H$3:$H$75,MATCH(TRUE,ISNUMBER(SEARCH(Kamus!$G$3:$G$75,$I301)),0)),"Pemberian Umum / Tanpa Konteks"))</f>
        <v>Pemberian Uang Langsung</v>
      </c>
      <c r="V301" s="106" t="str">
        <f t="shared" si="12"/>
        <v>2025</v>
      </c>
      <c r="W301" s="106" t="str" cm="1">
        <f t="array" ref="W301">IF(TRIM($K301)="","(tidak diisi)",IFERROR(INDEX(Kamus!$K$3:$K$118,MATCH(TRUE,ISNUMBER(SEARCH(Kamus!$J$3:$J$118,$K301)),0)),"Individu / Perorangan"))</f>
        <v>Aparat/Instansi Penegak Hukum &amp; Vertikal</v>
      </c>
      <c r="X301" s="106" t="str">
        <f t="shared" si="13"/>
        <v>05</v>
      </c>
      <c r="Y301" s="106" t="str" cm="1">
        <f t="array" ref="Y301">IFERROR(INDEX(Kamus!$N$3:$N$111,MATCH(TRUE,ISNUMBER(SEARCH(Kamus!$M$3:$M$111,$I301)),0)),"")</f>
        <v/>
      </c>
      <c r="Z301" s="106" t="str">
        <f>IF(AND(OR($X301="02",$X301="03",$X301="04"),OR($T301="Parsel/Bingkisan (tidak dirinci)",$T301="Makanan &amp; Minuman",$T301="Peralatan Rumah Tangga / Pecah Belah",$T301="Pakaian &amp; Kain")),"Momen Hari Raya (dugaan musiman)",IFERROR(VLOOKUP($W301,Kamus!$P$3:$Q$14,2,FALSE),"Tidak Teridentifikasi"))</f>
        <v>Koordinasi Antarinstansi (dugaan)</v>
      </c>
      <c r="AA301" s="106" t="str">
        <f t="shared" si="14"/>
        <v>Koordinasi Antarinstansi (dugaan)</v>
      </c>
    </row>
    <row r="302" spans="1:27">
      <c r="A302" s="106">
        <v>301</v>
      </c>
      <c r="B302" s="106" t="s">
        <v>1650</v>
      </c>
      <c r="C302" s="107" t="s">
        <v>1651</v>
      </c>
      <c r="D302" s="106" t="s">
        <v>1652</v>
      </c>
      <c r="E302" s="106" t="s">
        <v>1166</v>
      </c>
      <c r="F302" s="106" t="s">
        <v>2620</v>
      </c>
      <c r="G302" s="106" t="s">
        <v>1006</v>
      </c>
      <c r="H302" s="106" t="s">
        <v>2621</v>
      </c>
      <c r="I302" s="106" t="s">
        <v>1017</v>
      </c>
      <c r="J302" s="106">
        <v>255000</v>
      </c>
      <c r="K302" s="106" t="s">
        <v>2622</v>
      </c>
      <c r="L302" s="106" t="s">
        <v>2623</v>
      </c>
      <c r="M302" s="106" t="s">
        <v>1020</v>
      </c>
      <c r="O302" s="106" t="s">
        <v>274</v>
      </c>
      <c r="P302" s="106" t="s">
        <v>1173</v>
      </c>
      <c r="Q302" s="106" t="s">
        <v>431</v>
      </c>
      <c r="S302" s="106" t="str" cm="1">
        <f t="array" ref="S302">IF(TRIM($D302)="","(tidak diisi)",IFERROR(INDEX(Kamus!$B$3:$B$28,MATCH(TRUE,ISNUMBER(SEARCH(Kamus!$A$3:$A$28,$D302)),0)),"Jabatan Lainnya"))</f>
        <v>Panitera</v>
      </c>
      <c r="T302" s="106" t="str" cm="1">
        <f t="array" ref="T302">IF(TRIM($I302)="","(tidak diisi)",IFERROR(INDEX(Kamus!$E$3:$E$162,MATCH(TRUE,ISNUMBER(SEARCH(Kamus!$D$3:$D$162,$I302)),0)),"Barang Lain / Tidak Terinci"))</f>
        <v>Uang &amp; Setara Uang</v>
      </c>
      <c r="U302" s="106" t="str" cm="1">
        <f t="array" ref="U302">IF(TRIM($I302)="","(tidak diisi)",IFERROR(INDEX(Kamus!$H$3:$H$75,MATCH(TRUE,ISNUMBER(SEARCH(Kamus!$G$3:$G$75,$I302)),0)),"Pemberian Umum / Tanpa Konteks"))</f>
        <v>Pemberian Uang Langsung</v>
      </c>
      <c r="V302" s="106" t="str">
        <f t="shared" si="12"/>
        <v>2025</v>
      </c>
      <c r="W302" s="106" t="str" cm="1">
        <f t="array" ref="W302">IF(TRIM($K302)="","(tidak diisi)",IFERROR(INDEX(Kamus!$K$3:$K$118,MATCH(TRUE,ISNUMBER(SEARCH(Kamus!$J$3:$J$118,$K302)),0)),"Individu / Perorangan"))</f>
        <v>Aparat/Instansi Penegak Hukum &amp; Vertikal</v>
      </c>
      <c r="X302" s="106" t="str">
        <f t="shared" si="13"/>
        <v>05</v>
      </c>
      <c r="Y302" s="106" t="str" cm="1">
        <f t="array" ref="Y302">IFERROR(INDEX(Kamus!$N$3:$N$111,MATCH(TRUE,ISNUMBER(SEARCH(Kamus!$M$3:$M$111,$I302)),0)),"")</f>
        <v/>
      </c>
      <c r="Z302" s="106" t="str">
        <f>IF(AND(OR($X302="02",$X302="03",$X302="04"),OR($T302="Parsel/Bingkisan (tidak dirinci)",$T302="Makanan &amp; Minuman",$T302="Peralatan Rumah Tangga / Pecah Belah",$T302="Pakaian &amp; Kain")),"Momen Hari Raya (dugaan musiman)",IFERROR(VLOOKUP($W302,Kamus!$P$3:$Q$14,2,FALSE),"Tidak Teridentifikasi"))</f>
        <v>Koordinasi Antarinstansi (dugaan)</v>
      </c>
      <c r="AA302" s="106" t="str">
        <f t="shared" si="14"/>
        <v>Koordinasi Antarinstansi (dugaan)</v>
      </c>
    </row>
    <row r="303" spans="1:27">
      <c r="A303" s="106">
        <v>302</v>
      </c>
      <c r="B303" s="106" t="s">
        <v>2624</v>
      </c>
      <c r="C303" s="107" t="s">
        <v>2625</v>
      </c>
      <c r="D303" s="106" t="s">
        <v>1033</v>
      </c>
      <c r="E303" s="106" t="s">
        <v>2626</v>
      </c>
      <c r="G303" s="106" t="s">
        <v>1074</v>
      </c>
      <c r="H303" s="106" t="s">
        <v>2627</v>
      </c>
      <c r="I303" s="106" t="s">
        <v>2628</v>
      </c>
      <c r="K303" s="106" t="s">
        <v>2629</v>
      </c>
      <c r="L303" s="106" t="s">
        <v>2630</v>
      </c>
      <c r="O303" s="106" t="s">
        <v>274</v>
      </c>
      <c r="P303" s="106" t="s">
        <v>2631</v>
      </c>
      <c r="Q303" s="106" t="s">
        <v>402</v>
      </c>
      <c r="S303" s="106" t="str" cm="1">
        <f t="array" ref="S303">IF(TRIM($D303)="","(tidak diisi)",IFERROR(INDEX(Kamus!$B$3:$B$28,MATCH(TRUE,ISNUMBER(SEARCH(Kamus!$A$3:$A$28,$D303)),0)),"Jabatan Lainnya"))</f>
        <v>Hakim</v>
      </c>
      <c r="T303" s="106" t="str" cm="1">
        <f t="array" ref="T303">IF(TRIM($I303)="","(tidak diisi)",IFERROR(INDEX(Kamus!$E$3:$E$162,MATCH(TRUE,ISNUMBER(SEARCH(Kamus!$D$3:$D$162,$I303)),0)),"Barang Lain / Tidak Terinci"))</f>
        <v>Makanan &amp; Minuman</v>
      </c>
      <c r="U303" s="106" t="str" cm="1">
        <f t="array" ref="U303">IF(TRIM($I303)="","(tidak diisi)",IFERROR(INDEX(Kamus!$H$3:$H$75,MATCH(TRUE,ISNUMBER(SEARCH(Kamus!$G$3:$G$75,$I303)),0)),"Pemberian Umum / Tanpa Konteks"))</f>
        <v>Pemberian Umum / Tanpa Konteks</v>
      </c>
      <c r="V303" s="106" t="str">
        <f t="shared" si="12"/>
        <v>2025</v>
      </c>
      <c r="W303" s="106" t="str" cm="1">
        <f t="array" ref="W303">IF(TRIM($K303)="","(tidak diisi)",IFERROR(INDEX(Kamus!$K$3:$K$118,MATCH(TRUE,ISNUMBER(SEARCH(Kamus!$J$3:$J$118,$K303)),0)),"Individu / Perorangan"))</f>
        <v>Individu / Perorangan</v>
      </c>
      <c r="X303" s="106" t="str">
        <f t="shared" si="13"/>
        <v>05</v>
      </c>
      <c r="Y303" s="106" t="str" cm="1">
        <f t="array" ref="Y303">IFERROR(INDEX(Kamus!$N$3:$N$111,MATCH(TRUE,ISNUMBER(SEARCH(Kamus!$M$3:$M$111,$I303)),0)),"")</f>
        <v/>
      </c>
      <c r="Z303" s="106" t="str">
        <f>IF(AND(OR($X303="02",$X303="03",$X303="04"),OR($T303="Parsel/Bingkisan (tidak dirinci)",$T303="Makanan &amp; Minuman",$T303="Peralatan Rumah Tangga / Pecah Belah",$T303="Pakaian &amp; Kain")),"Momen Hari Raya (dugaan musiman)",IFERROR(VLOOKUP($W303,Kamus!$P$3:$Q$14,2,FALSE),"Tidak Teridentifikasi"))</f>
        <v>Relasi Personal / Tidak Teridentifikasi</v>
      </c>
      <c r="AA303" s="106" t="str">
        <f t="shared" si="14"/>
        <v>Relasi Personal / Tidak Teridentifikasi</v>
      </c>
    </row>
    <row r="304" spans="1:27">
      <c r="A304" s="106">
        <v>303</v>
      </c>
      <c r="B304" s="106" t="s">
        <v>1088</v>
      </c>
      <c r="C304" s="107" t="s">
        <v>1089</v>
      </c>
      <c r="D304" s="106" t="s">
        <v>1033</v>
      </c>
      <c r="E304" s="106" t="s">
        <v>1090</v>
      </c>
      <c r="F304" s="106" t="s">
        <v>2632</v>
      </c>
      <c r="G304" s="106" t="s">
        <v>1006</v>
      </c>
      <c r="H304" s="106" t="s">
        <v>2633</v>
      </c>
      <c r="I304" s="106" t="s">
        <v>2634</v>
      </c>
      <c r="J304" s="106">
        <v>15000</v>
      </c>
      <c r="K304" s="106" t="s">
        <v>2635</v>
      </c>
      <c r="L304" s="106" t="s">
        <v>2636</v>
      </c>
      <c r="M304" s="106" t="s">
        <v>1171</v>
      </c>
      <c r="N304" s="106" t="s">
        <v>2637</v>
      </c>
      <c r="O304" s="106" t="s">
        <v>274</v>
      </c>
      <c r="P304" s="106" t="s">
        <v>1095</v>
      </c>
      <c r="Q304" s="106" t="s">
        <v>348</v>
      </c>
      <c r="S304" s="106" t="str" cm="1">
        <f t="array" ref="S304">IF(TRIM($D304)="","(tidak diisi)",IFERROR(INDEX(Kamus!$B$3:$B$28,MATCH(TRUE,ISNUMBER(SEARCH(Kamus!$A$3:$A$28,$D304)),0)),"Jabatan Lainnya"))</f>
        <v>Hakim</v>
      </c>
      <c r="T304" s="106" t="str" cm="1">
        <f t="array" ref="T304">IF(TRIM($I304)="","(tidak diisi)",IFERROR(INDEX(Kamus!$E$3:$E$162,MATCH(TRUE,ISNUMBER(SEARCH(Kamus!$D$3:$D$162,$I304)),0)),"Barang Lain / Tidak Terinci"))</f>
        <v>Makanan &amp; Minuman</v>
      </c>
      <c r="U304" s="106" t="str" cm="1">
        <f t="array" ref="U304">IF(TRIM($I304)="","(tidak diisi)",IFERROR(INDEX(Kamus!$H$3:$H$75,MATCH(TRUE,ISNUMBER(SEARCH(Kamus!$G$3:$G$75,$I304)),0)),"Pemberian Umum / Tanpa Konteks"))</f>
        <v>Pemberian Umum / Tanpa Konteks</v>
      </c>
      <c r="V304" s="106" t="str">
        <f t="shared" si="12"/>
        <v>2025</v>
      </c>
      <c r="W304" s="106" t="str" cm="1">
        <f t="array" ref="W304">IF(TRIM($K304)="","(tidak diisi)",IFERROR(INDEX(Kamus!$K$3:$K$118,MATCH(TRUE,ISNUMBER(SEARCH(Kamus!$J$3:$J$118,$K304)),0)),"Individu / Perorangan"))</f>
        <v>Individu / Perorangan</v>
      </c>
      <c r="X304" s="106" t="str">
        <f t="shared" si="13"/>
        <v>05</v>
      </c>
      <c r="Y304" s="106" t="str" cm="1">
        <f t="array" ref="Y304">IFERROR(INDEX(Kamus!$N$3:$N$111,MATCH(TRUE,ISNUMBER(SEARCH(Kamus!$M$3:$M$111,$I304)),0)),"")</f>
        <v/>
      </c>
      <c r="Z304" s="106" t="str">
        <f>IF(AND(OR($X304="02",$X304="03",$X304="04"),OR($T304="Parsel/Bingkisan (tidak dirinci)",$T304="Makanan &amp; Minuman",$T304="Peralatan Rumah Tangga / Pecah Belah",$T304="Pakaian &amp; Kain")),"Momen Hari Raya (dugaan musiman)",IFERROR(VLOOKUP($W304,Kamus!$P$3:$Q$14,2,FALSE),"Tidak Teridentifikasi"))</f>
        <v>Relasi Personal / Tidak Teridentifikasi</v>
      </c>
      <c r="AA304" s="106" t="str">
        <f t="shared" si="14"/>
        <v>Relasi Personal / Tidak Teridentifikasi</v>
      </c>
    </row>
    <row r="305" spans="1:27">
      <c r="A305" s="106">
        <v>304</v>
      </c>
      <c r="B305" s="106" t="s">
        <v>2638</v>
      </c>
      <c r="C305" s="107" t="s">
        <v>2639</v>
      </c>
      <c r="D305" s="106" t="s">
        <v>2640</v>
      </c>
      <c r="E305" s="106" t="s">
        <v>2641</v>
      </c>
      <c r="F305" s="106" t="s">
        <v>2642</v>
      </c>
      <c r="G305" s="106" t="s">
        <v>1006</v>
      </c>
      <c r="H305" s="106" t="s">
        <v>1991</v>
      </c>
      <c r="I305" s="106" t="s">
        <v>2643</v>
      </c>
      <c r="J305" s="106">
        <v>47750</v>
      </c>
      <c r="K305" s="106" t="s">
        <v>2644</v>
      </c>
      <c r="L305" s="106" t="s">
        <v>2645</v>
      </c>
      <c r="M305" s="106" t="s">
        <v>1110</v>
      </c>
      <c r="N305" s="106" t="s">
        <v>2646</v>
      </c>
      <c r="O305" s="106" t="s">
        <v>274</v>
      </c>
      <c r="P305" s="106" t="s">
        <v>2647</v>
      </c>
      <c r="Q305" s="106" t="s">
        <v>398</v>
      </c>
      <c r="S305" s="106" t="str" cm="1">
        <f t="array" ref="S305">IF(TRIM($D305)="","(tidak diisi)",IFERROR(INDEX(Kamus!$B$3:$B$28,MATCH(TRUE,ISNUMBER(SEARCH(Kamus!$A$3:$A$28,$D305)),0)),"Jabatan Lainnya"))</f>
        <v>Jabatan Lainnya</v>
      </c>
      <c r="T305" s="106" t="str" cm="1">
        <f t="array" ref="T305">IF(TRIM($I305)="","(tidak diisi)",IFERROR(INDEX(Kamus!$E$3:$E$162,MATCH(TRUE,ISNUMBER(SEARCH(Kamus!$D$3:$D$162,$I305)),0)),"Barang Lain / Tidak Terinci"))</f>
        <v>Pakaian &amp; Kain</v>
      </c>
      <c r="U305" s="106" t="str" cm="1">
        <f t="array" ref="U305">IF(TRIM($I305)="","(tidak diisi)",IFERROR(INDEX(Kamus!$H$3:$H$75,MATCH(TRUE,ISNUMBER(SEARCH(Kamus!$G$3:$G$75,$I305)),0)),"Pemberian Umum / Tanpa Konteks"))</f>
        <v>Pemberian Umum / Tanpa Konteks</v>
      </c>
      <c r="V305" s="106" t="str">
        <f t="shared" si="12"/>
        <v>2025</v>
      </c>
      <c r="W305" s="106" t="str" cm="1">
        <f t="array" ref="W305">IF(TRIM($K305)="","(tidak diisi)",IFERROR(INDEX(Kamus!$K$3:$K$118,MATCH(TRUE,ISNUMBER(SEARCH(Kamus!$J$3:$J$118,$K305)),0)),"Individu / Perorangan"))</f>
        <v>Individu / Perorangan</v>
      </c>
      <c r="X305" s="106" t="str">
        <f t="shared" si="13"/>
        <v>03</v>
      </c>
      <c r="Y305" s="106" t="str" cm="1">
        <f t="array" ref="Y305">IFERROR(INDEX(Kamus!$N$3:$N$111,MATCH(TRUE,ISNUMBER(SEARCH(Kamus!$M$3:$M$111,$I305)),0)),"")</f>
        <v/>
      </c>
      <c r="Z305" s="106" t="str">
        <f>IF(AND(OR($X305="02",$X305="03",$X305="04"),OR($T305="Parsel/Bingkisan (tidak dirinci)",$T305="Makanan &amp; Minuman",$T305="Peralatan Rumah Tangga / Pecah Belah",$T305="Pakaian &amp; Kain")),"Momen Hari Raya (dugaan musiman)",IFERROR(VLOOKUP($W305,Kamus!$P$3:$Q$14,2,FALSE),"Tidak Teridentifikasi"))</f>
        <v>Momen Hari Raya (dugaan musiman)</v>
      </c>
      <c r="AA305" s="106" t="str">
        <f t="shared" si="14"/>
        <v>Momen Hari Raya (dugaan musiman)</v>
      </c>
    </row>
    <row r="306" spans="1:27">
      <c r="A306" s="106">
        <v>305</v>
      </c>
      <c r="B306" s="106" t="s">
        <v>1532</v>
      </c>
      <c r="C306" s="107" t="s">
        <v>1533</v>
      </c>
      <c r="D306" s="106" t="s">
        <v>1534</v>
      </c>
      <c r="E306" s="106" t="s">
        <v>1166</v>
      </c>
      <c r="F306" s="106" t="s">
        <v>2648</v>
      </c>
      <c r="G306" s="106" t="s">
        <v>1006</v>
      </c>
      <c r="H306" s="106" t="s">
        <v>2621</v>
      </c>
      <c r="I306" s="106" t="s">
        <v>1017</v>
      </c>
      <c r="J306" s="106">
        <v>365000</v>
      </c>
      <c r="K306" s="106" t="s">
        <v>2649</v>
      </c>
      <c r="L306" s="106" t="s">
        <v>2650</v>
      </c>
      <c r="M306" s="106" t="s">
        <v>1020</v>
      </c>
      <c r="O306" s="106" t="s">
        <v>274</v>
      </c>
      <c r="P306" s="106" t="s">
        <v>1173</v>
      </c>
      <c r="Q306" s="106" t="s">
        <v>431</v>
      </c>
      <c r="S306" s="106" t="str" cm="1">
        <f t="array" ref="S306">IF(TRIM($D306)="","(tidak diisi)",IFERROR(INDEX(Kamus!$B$3:$B$28,MATCH(TRUE,ISNUMBER(SEARCH(Kamus!$A$3:$A$28,$D306)),0)),"Jabatan Lainnya"))</f>
        <v>Ketua Pengadilan</v>
      </c>
      <c r="T306" s="106" t="str" cm="1">
        <f t="array" ref="T306">IF(TRIM($I306)="","(tidak diisi)",IFERROR(INDEX(Kamus!$E$3:$E$162,MATCH(TRUE,ISNUMBER(SEARCH(Kamus!$D$3:$D$162,$I306)),0)),"Barang Lain / Tidak Terinci"))</f>
        <v>Uang &amp; Setara Uang</v>
      </c>
      <c r="U306" s="106" t="str" cm="1">
        <f t="array" ref="U306">IF(TRIM($I306)="","(tidak diisi)",IFERROR(INDEX(Kamus!$H$3:$H$75,MATCH(TRUE,ISNUMBER(SEARCH(Kamus!$G$3:$G$75,$I306)),0)),"Pemberian Umum / Tanpa Konteks"))</f>
        <v>Pemberian Uang Langsung</v>
      </c>
      <c r="V306" s="106" t="str">
        <f t="shared" si="12"/>
        <v>2025</v>
      </c>
      <c r="W306" s="106" t="str" cm="1">
        <f t="array" ref="W306">IF(TRIM($K306)="","(tidak diisi)",IFERROR(INDEX(Kamus!$K$3:$K$118,MATCH(TRUE,ISNUMBER(SEARCH(Kamus!$J$3:$J$118,$K306)),0)),"Individu / Perorangan"))</f>
        <v>Aparat/Instansi Penegak Hukum &amp; Vertikal</v>
      </c>
      <c r="X306" s="106" t="str">
        <f t="shared" si="13"/>
        <v>05</v>
      </c>
      <c r="Y306" s="106" t="str" cm="1">
        <f t="array" ref="Y306">IFERROR(INDEX(Kamus!$N$3:$N$111,MATCH(TRUE,ISNUMBER(SEARCH(Kamus!$M$3:$M$111,$I306)),0)),"")</f>
        <v/>
      </c>
      <c r="Z306" s="106" t="str">
        <f>IF(AND(OR($X306="02",$X306="03",$X306="04"),OR($T306="Parsel/Bingkisan (tidak dirinci)",$T306="Makanan &amp; Minuman",$T306="Peralatan Rumah Tangga / Pecah Belah",$T306="Pakaian &amp; Kain")),"Momen Hari Raya (dugaan musiman)",IFERROR(VLOOKUP($W306,Kamus!$P$3:$Q$14,2,FALSE),"Tidak Teridentifikasi"))</f>
        <v>Koordinasi Antarinstansi (dugaan)</v>
      </c>
      <c r="AA306" s="106" t="str">
        <f t="shared" si="14"/>
        <v>Koordinasi Antarinstansi (dugaan)</v>
      </c>
    </row>
    <row r="307" spans="1:27">
      <c r="A307" s="106">
        <v>306</v>
      </c>
      <c r="B307" s="106" t="s">
        <v>1430</v>
      </c>
      <c r="C307" s="107" t="s">
        <v>1431</v>
      </c>
      <c r="D307" s="106" t="s">
        <v>1432</v>
      </c>
      <c r="E307" s="106" t="s">
        <v>1166</v>
      </c>
      <c r="F307" s="106" t="s">
        <v>2651</v>
      </c>
      <c r="G307" s="106" t="s">
        <v>1006</v>
      </c>
      <c r="H307" s="106" t="s">
        <v>2621</v>
      </c>
      <c r="I307" s="106" t="s">
        <v>1017</v>
      </c>
      <c r="J307" s="106">
        <v>365000</v>
      </c>
      <c r="K307" s="106" t="s">
        <v>2649</v>
      </c>
      <c r="L307" s="106" t="s">
        <v>2652</v>
      </c>
      <c r="M307" s="106" t="s">
        <v>1020</v>
      </c>
      <c r="O307" s="106" t="s">
        <v>274</v>
      </c>
      <c r="P307" s="106" t="s">
        <v>1173</v>
      </c>
      <c r="Q307" s="106" t="s">
        <v>431</v>
      </c>
      <c r="S307" s="106" t="str" cm="1">
        <f t="array" ref="S307">IF(TRIM($D307)="","(tidak diisi)",IFERROR(INDEX(Kamus!$B$3:$B$28,MATCH(TRUE,ISNUMBER(SEARCH(Kamus!$A$3:$A$28,$D307)),0)),"Jabatan Lainnya"))</f>
        <v>Hakim</v>
      </c>
      <c r="T307" s="106" t="str" cm="1">
        <f t="array" ref="T307">IF(TRIM($I307)="","(tidak diisi)",IFERROR(INDEX(Kamus!$E$3:$E$162,MATCH(TRUE,ISNUMBER(SEARCH(Kamus!$D$3:$D$162,$I307)),0)),"Barang Lain / Tidak Terinci"))</f>
        <v>Uang &amp; Setara Uang</v>
      </c>
      <c r="U307" s="106" t="str" cm="1">
        <f t="array" ref="U307">IF(TRIM($I307)="","(tidak diisi)",IFERROR(INDEX(Kamus!$H$3:$H$75,MATCH(TRUE,ISNUMBER(SEARCH(Kamus!$G$3:$G$75,$I307)),0)),"Pemberian Umum / Tanpa Konteks"))</f>
        <v>Pemberian Uang Langsung</v>
      </c>
      <c r="V307" s="106" t="str">
        <f t="shared" si="12"/>
        <v>2025</v>
      </c>
      <c r="W307" s="106" t="str" cm="1">
        <f t="array" ref="W307">IF(TRIM($K307)="","(tidak diisi)",IFERROR(INDEX(Kamus!$K$3:$K$118,MATCH(TRUE,ISNUMBER(SEARCH(Kamus!$J$3:$J$118,$K307)),0)),"Individu / Perorangan"))</f>
        <v>Aparat/Instansi Penegak Hukum &amp; Vertikal</v>
      </c>
      <c r="X307" s="106" t="str">
        <f t="shared" si="13"/>
        <v>05</v>
      </c>
      <c r="Y307" s="106" t="str" cm="1">
        <f t="array" ref="Y307">IFERROR(INDEX(Kamus!$N$3:$N$111,MATCH(TRUE,ISNUMBER(SEARCH(Kamus!$M$3:$M$111,$I307)),0)),"")</f>
        <v/>
      </c>
      <c r="Z307" s="106" t="str">
        <f>IF(AND(OR($X307="02",$X307="03",$X307="04"),OR($T307="Parsel/Bingkisan (tidak dirinci)",$T307="Makanan &amp; Minuman",$T307="Peralatan Rumah Tangga / Pecah Belah",$T307="Pakaian &amp; Kain")),"Momen Hari Raya (dugaan musiman)",IFERROR(VLOOKUP($W307,Kamus!$P$3:$Q$14,2,FALSE),"Tidak Teridentifikasi"))</f>
        <v>Koordinasi Antarinstansi (dugaan)</v>
      </c>
      <c r="AA307" s="106" t="str">
        <f t="shared" si="14"/>
        <v>Koordinasi Antarinstansi (dugaan)</v>
      </c>
    </row>
    <row r="308" spans="1:27">
      <c r="A308" s="106">
        <v>307</v>
      </c>
      <c r="B308" s="106" t="s">
        <v>1972</v>
      </c>
      <c r="C308" s="107" t="s">
        <v>1973</v>
      </c>
      <c r="D308" s="106" t="s">
        <v>1033</v>
      </c>
      <c r="E308" s="106" t="s">
        <v>1974</v>
      </c>
      <c r="F308" s="106" t="s">
        <v>2653</v>
      </c>
      <c r="G308" s="106" t="s">
        <v>1006</v>
      </c>
      <c r="H308" s="106" t="s">
        <v>1918</v>
      </c>
      <c r="I308" s="106" t="s">
        <v>1036</v>
      </c>
      <c r="J308" s="106">
        <v>300000</v>
      </c>
      <c r="K308" s="106" t="s">
        <v>1977</v>
      </c>
      <c r="L308" s="106" t="s">
        <v>2654</v>
      </c>
      <c r="M308" s="106" t="s">
        <v>1171</v>
      </c>
      <c r="N308" s="106" t="s">
        <v>2655</v>
      </c>
      <c r="O308" s="106" t="s">
        <v>274</v>
      </c>
      <c r="P308" s="106" t="s">
        <v>1980</v>
      </c>
      <c r="Q308" s="106" t="s">
        <v>428</v>
      </c>
      <c r="S308" s="106" t="str" cm="1">
        <f t="array" ref="S308">IF(TRIM($D308)="","(tidak diisi)",IFERROR(INDEX(Kamus!$B$3:$B$28,MATCH(TRUE,ISNUMBER(SEARCH(Kamus!$A$3:$A$28,$D308)),0)),"Jabatan Lainnya"))</f>
        <v>Hakim</v>
      </c>
      <c r="T308" s="106" t="str" cm="1">
        <f t="array" ref="T308">IF(TRIM($I308)="","(tidak diisi)",IFERROR(INDEX(Kamus!$E$3:$E$162,MATCH(TRUE,ISNUMBER(SEARCH(Kamus!$D$3:$D$162,$I308)),0)),"Barang Lain / Tidak Terinci"))</f>
        <v>Peralatan Rumah Tangga / Pecah Belah</v>
      </c>
      <c r="U308" s="106" t="str" cm="1">
        <f t="array" ref="U308">IF(TRIM($I308)="","(tidak diisi)",IFERROR(INDEX(Kamus!$H$3:$H$75,MATCH(TRUE,ISNUMBER(SEARCH(Kamus!$G$3:$G$75,$I308)),0)),"Pemberian Umum / Tanpa Konteks"))</f>
        <v>Parsel/Bingkisan Umum (non-hari raya)</v>
      </c>
      <c r="V308" s="106" t="str">
        <f t="shared" si="12"/>
        <v>2025</v>
      </c>
      <c r="W308" s="106" t="str" cm="1">
        <f t="array" ref="W308">IF(TRIM($K308)="","(tidak diisi)",IFERROR(INDEX(Kamus!$K$3:$K$118,MATCH(TRUE,ISNUMBER(SEARCH(Kamus!$J$3:$J$118,$K308)),0)),"Individu / Perorangan"))</f>
        <v>Bank &amp; Lembaga Keuangan</v>
      </c>
      <c r="X308" s="106" t="str">
        <f t="shared" si="13"/>
        <v>03</v>
      </c>
      <c r="Y308" s="106" t="str" cm="1">
        <f t="array" ref="Y308">IFERROR(INDEX(Kamus!$N$3:$N$111,MATCH(TRUE,ISNUMBER(SEARCH(Kamus!$M$3:$M$111,$I308)),0)),"")</f>
        <v/>
      </c>
      <c r="Z308" s="106" t="str">
        <f>IF(AND(OR($X308="02",$X308="03",$X308="04"),OR($T308="Parsel/Bingkisan (tidak dirinci)",$T308="Makanan &amp; Minuman",$T308="Peralatan Rumah Tangga / Pecah Belah",$T308="Pakaian &amp; Kain")),"Momen Hari Raya (dugaan musiman)",IFERROR(VLOOKUP($W308,Kamus!$P$3:$Q$14,2,FALSE),"Tidak Teridentifikasi"))</f>
        <v>Momen Hari Raya (dugaan musiman)</v>
      </c>
      <c r="AA308" s="106" t="str">
        <f t="shared" si="14"/>
        <v>Momen Hari Raya (dugaan musiman)</v>
      </c>
    </row>
    <row r="309" spans="1:27">
      <c r="A309" s="106">
        <v>308</v>
      </c>
      <c r="B309" s="106" t="s">
        <v>1835</v>
      </c>
      <c r="C309" s="107" t="s">
        <v>1836</v>
      </c>
      <c r="D309" s="106" t="s">
        <v>1042</v>
      </c>
      <c r="E309" s="106" t="s">
        <v>1425</v>
      </c>
      <c r="F309" s="106" t="s">
        <v>2656</v>
      </c>
      <c r="G309" s="106" t="s">
        <v>1006</v>
      </c>
      <c r="H309" s="106" t="s">
        <v>2657</v>
      </c>
      <c r="I309" s="106" t="s">
        <v>2658</v>
      </c>
      <c r="K309" s="106" t="s">
        <v>2659</v>
      </c>
      <c r="L309" s="106" t="s">
        <v>2660</v>
      </c>
      <c r="O309" s="106" t="s">
        <v>274</v>
      </c>
      <c r="P309" s="106" t="s">
        <v>1429</v>
      </c>
      <c r="Q309" s="106" t="s">
        <v>427</v>
      </c>
      <c r="S309" s="106" t="str" cm="1">
        <f t="array" ref="S309">IF(TRIM($D309)="","(tidak diisi)",IFERROR(INDEX(Kamus!$B$3:$B$28,MATCH(TRUE,ISNUMBER(SEARCH(Kamus!$A$3:$A$28,$D309)),0)),"Jabatan Lainnya"))</f>
        <v>Ketua Pengadilan</v>
      </c>
      <c r="T309" s="106" t="str" cm="1">
        <f t="array" ref="T309">IF(TRIM($I309)="","(tidak diisi)",IFERROR(INDEX(Kamus!$E$3:$E$162,MATCH(TRUE,ISNUMBER(SEARCH(Kamus!$D$3:$D$162,$I309)),0)),"Barang Lain / Tidak Terinci"))</f>
        <v>Suvenir &amp; Merchandise</v>
      </c>
      <c r="U309" s="106" t="str" cm="1">
        <f t="array" ref="U309">IF(TRIM($I309)="","(tidak diisi)",IFERROR(INDEX(Kamus!$H$3:$H$75,MATCH(TRUE,ISNUMBER(SEARCH(Kamus!$G$3:$G$75,$I309)),0)),"Pemberian Umum / Tanpa Konteks"))</f>
        <v>Suvenir / Merchandise Kegiatan &amp; Kunjungan</v>
      </c>
      <c r="V309" s="106" t="str">
        <f t="shared" si="12"/>
        <v>2025</v>
      </c>
      <c r="W309" s="106" t="str" cm="1">
        <f t="array" ref="W309">IF(TRIM($K309)="","(tidak diisi)",IFERROR(INDEX(Kamus!$K$3:$K$118,MATCH(TRUE,ISNUMBER(SEARCH(Kamus!$J$3:$J$118,$K309)),0)),"Individu / Perorangan"))</f>
        <v>Bank &amp; Lembaga Keuangan</v>
      </c>
      <c r="X309" s="106" t="str">
        <f t="shared" si="13"/>
        <v>06</v>
      </c>
      <c r="Y309" s="106" t="str" cm="1">
        <f t="array" ref="Y309">IFERROR(INDEX(Kamus!$N$3:$N$111,MATCH(TRUE,ISNUMBER(SEARCH(Kamus!$M$3:$M$111,$I309)),0)),"")</f>
        <v/>
      </c>
      <c r="Z309" s="106" t="str">
        <f>IF(AND(OR($X309="02",$X309="03",$X309="04"),OR($T309="Parsel/Bingkisan (tidak dirinci)",$T309="Makanan &amp; Minuman",$T309="Peralatan Rumah Tangga / Pecah Belah",$T309="Pakaian &amp; Kain")),"Momen Hari Raya (dugaan musiman)",IFERROR(VLOOKUP($W309,Kamus!$P$3:$Q$14,2,FALSE),"Tidak Teridentifikasi"))</f>
        <v>Relasi Layanan/Kerja Sama Perbankan (dugaan)</v>
      </c>
      <c r="AA309" s="106" t="str">
        <f t="shared" si="14"/>
        <v>Relasi Layanan/Kerja Sama Perbankan (dugaan)</v>
      </c>
    </row>
    <row r="310" spans="1:27">
      <c r="A310" s="106">
        <v>309</v>
      </c>
      <c r="B310" s="106" t="s">
        <v>2661</v>
      </c>
      <c r="C310" s="107" t="s">
        <v>2662</v>
      </c>
      <c r="D310" s="106" t="s">
        <v>1033</v>
      </c>
      <c r="E310" s="106" t="s">
        <v>2663</v>
      </c>
      <c r="F310" s="106" t="s">
        <v>2664</v>
      </c>
      <c r="G310" s="106" t="s">
        <v>1006</v>
      </c>
      <c r="H310" s="106" t="s">
        <v>2559</v>
      </c>
      <c r="I310" s="106" t="s">
        <v>2288</v>
      </c>
      <c r="J310" s="106">
        <v>64000</v>
      </c>
      <c r="K310" s="106" t="s">
        <v>2665</v>
      </c>
      <c r="L310" s="106" t="s">
        <v>2666</v>
      </c>
      <c r="M310" s="106" t="s">
        <v>1171</v>
      </c>
      <c r="N310" s="106" t="s">
        <v>2667</v>
      </c>
      <c r="O310" s="106" t="s">
        <v>274</v>
      </c>
      <c r="P310" s="106" t="s">
        <v>2668</v>
      </c>
      <c r="Q310" s="106" t="s">
        <v>395</v>
      </c>
      <c r="S310" s="106" t="str" cm="1">
        <f t="array" ref="S310">IF(TRIM($D310)="","(tidak diisi)",IFERROR(INDEX(Kamus!$B$3:$B$28,MATCH(TRUE,ISNUMBER(SEARCH(Kamus!$A$3:$A$28,$D310)),0)),"Jabatan Lainnya"))</f>
        <v>Hakim</v>
      </c>
      <c r="T310" s="106" t="str" cm="1">
        <f t="array" ref="T310">IF(TRIM($I310)="","(tidak diisi)",IFERROR(INDEX(Kamus!$E$3:$E$162,MATCH(TRUE,ISNUMBER(SEARCH(Kamus!$D$3:$D$162,$I310)),0)),"Barang Lain / Tidak Terinci"))</f>
        <v>Makanan &amp; Minuman</v>
      </c>
      <c r="U310" s="106" t="str" cm="1">
        <f t="array" ref="U310">IF(TRIM($I310)="","(tidak diisi)",IFERROR(INDEX(Kamus!$H$3:$H$75,MATCH(TRUE,ISNUMBER(SEARCH(Kamus!$G$3:$G$75,$I310)),0)),"Pemberian Umum / Tanpa Konteks"))</f>
        <v>Jamuan / Konsumsi Rapat &amp; Kegiatan</v>
      </c>
      <c r="V310" s="106" t="str">
        <f t="shared" si="12"/>
        <v>2025</v>
      </c>
      <c r="W310" s="106" t="str" cm="1">
        <f t="array" ref="W310">IF(TRIM($K310)="","(tidak diisi)",IFERROR(INDEX(Kamus!$K$3:$K$118,MATCH(TRUE,ISNUMBER(SEARCH(Kamus!$J$3:$J$118,$K310)),0)),"Individu / Perorangan"))</f>
        <v>Individu / Perorangan</v>
      </c>
      <c r="X310" s="106" t="str">
        <f t="shared" si="13"/>
        <v>05</v>
      </c>
      <c r="Y310" s="106" t="str" cm="1">
        <f t="array" ref="Y310">IFERROR(INDEX(Kamus!$N$3:$N$111,MATCH(TRUE,ISNUMBER(SEARCH(Kamus!$M$3:$M$111,$I310)),0)),"")</f>
        <v>Rapat / Jamuan Dinas</v>
      </c>
      <c r="Z310" s="106" t="str">
        <f>IF(AND(OR($X310="02",$X310="03",$X310="04"),OR($T310="Parsel/Bingkisan (tidak dirinci)",$T310="Makanan &amp; Minuman",$T310="Peralatan Rumah Tangga / Pecah Belah",$T310="Pakaian &amp; Kain")),"Momen Hari Raya (dugaan musiman)",IFERROR(VLOOKUP($W310,Kamus!$P$3:$Q$14,2,FALSE),"Tidak Teridentifikasi"))</f>
        <v>Relasi Personal / Tidak Teridentifikasi</v>
      </c>
      <c r="AA310" s="106" t="str">
        <f t="shared" si="14"/>
        <v>Rapat / Jamuan Dinas</v>
      </c>
    </row>
    <row r="311" spans="1:27">
      <c r="A311" s="106">
        <v>310</v>
      </c>
      <c r="B311" s="106" t="s">
        <v>2661</v>
      </c>
      <c r="C311" s="107" t="s">
        <v>2662</v>
      </c>
      <c r="D311" s="106" t="s">
        <v>1033</v>
      </c>
      <c r="E311" s="106" t="s">
        <v>2663</v>
      </c>
      <c r="F311" s="106" t="s">
        <v>2669</v>
      </c>
      <c r="G311" s="106" t="s">
        <v>1074</v>
      </c>
      <c r="H311" s="106" t="s">
        <v>2559</v>
      </c>
      <c r="I311" s="106" t="s">
        <v>1017</v>
      </c>
      <c r="K311" s="106" t="s">
        <v>2670</v>
      </c>
      <c r="L311" s="106" t="s">
        <v>2671</v>
      </c>
      <c r="O311" s="106" t="s">
        <v>274</v>
      </c>
      <c r="P311" s="106" t="s">
        <v>2668</v>
      </c>
      <c r="Q311" s="106" t="s">
        <v>395</v>
      </c>
      <c r="S311" s="106" t="str" cm="1">
        <f t="array" ref="S311">IF(TRIM($D311)="","(tidak diisi)",IFERROR(INDEX(Kamus!$B$3:$B$28,MATCH(TRUE,ISNUMBER(SEARCH(Kamus!$A$3:$A$28,$D311)),0)),"Jabatan Lainnya"))</f>
        <v>Hakim</v>
      </c>
      <c r="T311" s="106" t="str" cm="1">
        <f t="array" ref="T311">IF(TRIM($I311)="","(tidak diisi)",IFERROR(INDEX(Kamus!$E$3:$E$162,MATCH(TRUE,ISNUMBER(SEARCH(Kamus!$D$3:$D$162,$I311)),0)),"Barang Lain / Tidak Terinci"))</f>
        <v>Uang &amp; Setara Uang</v>
      </c>
      <c r="U311" s="106" t="str" cm="1">
        <f t="array" ref="U311">IF(TRIM($I311)="","(tidak diisi)",IFERROR(INDEX(Kamus!$H$3:$H$75,MATCH(TRUE,ISNUMBER(SEARCH(Kamus!$G$3:$G$75,$I311)),0)),"Pemberian Umum / Tanpa Konteks"))</f>
        <v>Pemberian Uang Langsung</v>
      </c>
      <c r="V311" s="106" t="str">
        <f t="shared" si="12"/>
        <v>2025</v>
      </c>
      <c r="W311" s="106" t="str" cm="1">
        <f t="array" ref="W311">IF(TRIM($K311)="","(tidak diisi)",IFERROR(INDEX(Kamus!$K$3:$K$118,MATCH(TRUE,ISNUMBER(SEARCH(Kamus!$J$3:$J$118,$K311)),0)),"Individu / Perorangan"))</f>
        <v>Individu / Perorangan</v>
      </c>
      <c r="X311" s="106" t="str">
        <f t="shared" si="13"/>
        <v>05</v>
      </c>
      <c r="Y311" s="106" t="str" cm="1">
        <f t="array" ref="Y311">IFERROR(INDEX(Kamus!$N$3:$N$111,MATCH(TRUE,ISNUMBER(SEARCH(Kamus!$M$3:$M$111,$I311)),0)),"")</f>
        <v/>
      </c>
      <c r="Z311" s="106" t="str">
        <f>IF(AND(OR($X311="02",$X311="03",$X311="04"),OR($T311="Parsel/Bingkisan (tidak dirinci)",$T311="Makanan &amp; Minuman",$T311="Peralatan Rumah Tangga / Pecah Belah",$T311="Pakaian &amp; Kain")),"Momen Hari Raya (dugaan musiman)",IFERROR(VLOOKUP($W311,Kamus!$P$3:$Q$14,2,FALSE),"Tidak Teridentifikasi"))</f>
        <v>Relasi Personal / Tidak Teridentifikasi</v>
      </c>
      <c r="AA311" s="106" t="str">
        <f t="shared" si="14"/>
        <v>Relasi Personal / Tidak Teridentifikasi</v>
      </c>
    </row>
    <row r="312" spans="1:27">
      <c r="A312" s="106">
        <v>311</v>
      </c>
      <c r="B312" s="106" t="s">
        <v>2661</v>
      </c>
      <c r="C312" s="107" t="s">
        <v>2662</v>
      </c>
      <c r="D312" s="106" t="s">
        <v>1033</v>
      </c>
      <c r="E312" s="106" t="s">
        <v>2663</v>
      </c>
      <c r="F312" s="106" t="s">
        <v>2672</v>
      </c>
      <c r="G312" s="106" t="s">
        <v>1006</v>
      </c>
      <c r="H312" s="106" t="s">
        <v>2590</v>
      </c>
      <c r="I312" s="106" t="s">
        <v>1017</v>
      </c>
      <c r="J312" s="106">
        <v>2696000</v>
      </c>
      <c r="K312" s="106" t="s">
        <v>2673</v>
      </c>
      <c r="L312" s="106" t="s">
        <v>2674</v>
      </c>
      <c r="M312" s="106" t="s">
        <v>1020</v>
      </c>
      <c r="O312" s="106" t="s">
        <v>274</v>
      </c>
      <c r="P312" s="106" t="s">
        <v>2668</v>
      </c>
      <c r="Q312" s="106" t="s">
        <v>395</v>
      </c>
      <c r="S312" s="106" t="str" cm="1">
        <f t="array" ref="S312">IF(TRIM($D312)="","(tidak diisi)",IFERROR(INDEX(Kamus!$B$3:$B$28,MATCH(TRUE,ISNUMBER(SEARCH(Kamus!$A$3:$A$28,$D312)),0)),"Jabatan Lainnya"))</f>
        <v>Hakim</v>
      </c>
      <c r="T312" s="106" t="str" cm="1">
        <f t="array" ref="T312">IF(TRIM($I312)="","(tidak diisi)",IFERROR(INDEX(Kamus!$E$3:$E$162,MATCH(TRUE,ISNUMBER(SEARCH(Kamus!$D$3:$D$162,$I312)),0)),"Barang Lain / Tidak Terinci"))</f>
        <v>Uang &amp; Setara Uang</v>
      </c>
      <c r="U312" s="106" t="str" cm="1">
        <f t="array" ref="U312">IF(TRIM($I312)="","(tidak diisi)",IFERROR(INDEX(Kamus!$H$3:$H$75,MATCH(TRUE,ISNUMBER(SEARCH(Kamus!$G$3:$G$75,$I312)),0)),"Pemberian Umum / Tanpa Konteks"))</f>
        <v>Pemberian Uang Langsung</v>
      </c>
      <c r="V312" s="106" t="str">
        <f t="shared" si="12"/>
        <v>2025</v>
      </c>
      <c r="W312" s="106" t="str" cm="1">
        <f t="array" ref="W312">IF(TRIM($K312)="","(tidak diisi)",IFERROR(INDEX(Kamus!$K$3:$K$118,MATCH(TRUE,ISNUMBER(SEARCH(Kamus!$J$3:$J$118,$K312)),0)),"Individu / Perorangan"))</f>
        <v>Individu / Perorangan</v>
      </c>
      <c r="X312" s="106" t="str">
        <f t="shared" si="13"/>
        <v>05</v>
      </c>
      <c r="Y312" s="106" t="str" cm="1">
        <f t="array" ref="Y312">IFERROR(INDEX(Kamus!$N$3:$N$111,MATCH(TRUE,ISNUMBER(SEARCH(Kamus!$M$3:$M$111,$I312)),0)),"")</f>
        <v/>
      </c>
      <c r="Z312" s="106" t="str">
        <f>IF(AND(OR($X312="02",$X312="03",$X312="04"),OR($T312="Parsel/Bingkisan (tidak dirinci)",$T312="Makanan &amp; Minuman",$T312="Peralatan Rumah Tangga / Pecah Belah",$T312="Pakaian &amp; Kain")),"Momen Hari Raya (dugaan musiman)",IFERROR(VLOOKUP($W312,Kamus!$P$3:$Q$14,2,FALSE),"Tidak Teridentifikasi"))</f>
        <v>Relasi Personal / Tidak Teridentifikasi</v>
      </c>
      <c r="AA312" s="106" t="str">
        <f t="shared" si="14"/>
        <v>Relasi Personal / Tidak Teridentifikasi</v>
      </c>
    </row>
    <row r="313" spans="1:27">
      <c r="A313" s="106">
        <v>312</v>
      </c>
      <c r="B313" s="106" t="s">
        <v>2661</v>
      </c>
      <c r="C313" s="107" t="s">
        <v>2662</v>
      </c>
      <c r="D313" s="106" t="s">
        <v>1033</v>
      </c>
      <c r="E313" s="106" t="s">
        <v>2663</v>
      </c>
      <c r="F313" s="106" t="s">
        <v>2675</v>
      </c>
      <c r="G313" s="106" t="s">
        <v>1006</v>
      </c>
      <c r="H313" s="106" t="s">
        <v>2676</v>
      </c>
      <c r="I313" s="106" t="s">
        <v>1017</v>
      </c>
      <c r="J313" s="106">
        <v>1000000</v>
      </c>
      <c r="K313" s="106" t="s">
        <v>2677</v>
      </c>
      <c r="L313" s="106" t="s">
        <v>2678</v>
      </c>
      <c r="M313" s="106" t="s">
        <v>1171</v>
      </c>
      <c r="N313" s="106" t="s">
        <v>2679</v>
      </c>
      <c r="O313" s="106" t="s">
        <v>274</v>
      </c>
      <c r="P313" s="106" t="s">
        <v>2668</v>
      </c>
      <c r="Q313" s="106" t="s">
        <v>395</v>
      </c>
      <c r="S313" s="106" t="str" cm="1">
        <f t="array" ref="S313">IF(TRIM($D313)="","(tidak diisi)",IFERROR(INDEX(Kamus!$B$3:$B$28,MATCH(TRUE,ISNUMBER(SEARCH(Kamus!$A$3:$A$28,$D313)),0)),"Jabatan Lainnya"))</f>
        <v>Hakim</v>
      </c>
      <c r="T313" s="106" t="str" cm="1">
        <f t="array" ref="T313">IF(TRIM($I313)="","(tidak diisi)",IFERROR(INDEX(Kamus!$E$3:$E$162,MATCH(TRUE,ISNUMBER(SEARCH(Kamus!$D$3:$D$162,$I313)),0)),"Barang Lain / Tidak Terinci"))</f>
        <v>Uang &amp; Setara Uang</v>
      </c>
      <c r="U313" s="106" t="str" cm="1">
        <f t="array" ref="U313">IF(TRIM($I313)="","(tidak diisi)",IFERROR(INDEX(Kamus!$H$3:$H$75,MATCH(TRUE,ISNUMBER(SEARCH(Kamus!$G$3:$G$75,$I313)),0)),"Pemberian Umum / Tanpa Konteks"))</f>
        <v>Pemberian Uang Langsung</v>
      </c>
      <c r="V313" s="106" t="str">
        <f t="shared" si="12"/>
        <v>2025</v>
      </c>
      <c r="W313" s="106" t="str" cm="1">
        <f t="array" ref="W313">IF(TRIM($K313)="","(tidak diisi)",IFERROR(INDEX(Kamus!$K$3:$K$118,MATCH(TRUE,ISNUMBER(SEARCH(Kamus!$J$3:$J$118,$K313)),0)),"Individu / Perorangan"))</f>
        <v>Individu / Perorangan</v>
      </c>
      <c r="X313" s="106" t="str">
        <f t="shared" si="13"/>
        <v>02</v>
      </c>
      <c r="Y313" s="106" t="str" cm="1">
        <f t="array" ref="Y313">IFERROR(INDEX(Kamus!$N$3:$N$111,MATCH(TRUE,ISNUMBER(SEARCH(Kamus!$M$3:$M$111,$I313)),0)),"")</f>
        <v/>
      </c>
      <c r="Z313" s="106" t="str">
        <f>IF(AND(OR($X313="02",$X313="03",$X313="04"),OR($T313="Parsel/Bingkisan (tidak dirinci)",$T313="Makanan &amp; Minuman",$T313="Peralatan Rumah Tangga / Pecah Belah",$T313="Pakaian &amp; Kain")),"Momen Hari Raya (dugaan musiman)",IFERROR(VLOOKUP($W313,Kamus!$P$3:$Q$14,2,FALSE),"Tidak Teridentifikasi"))</f>
        <v>Relasi Personal / Tidak Teridentifikasi</v>
      </c>
      <c r="AA313" s="106" t="str">
        <f t="shared" si="14"/>
        <v>Relasi Personal / Tidak Teridentifikasi</v>
      </c>
    </row>
    <row r="314" spans="1:27">
      <c r="A314" s="106">
        <v>313</v>
      </c>
      <c r="B314" s="106" t="s">
        <v>2336</v>
      </c>
      <c r="C314" s="107" t="s">
        <v>2337</v>
      </c>
      <c r="D314" s="106" t="s">
        <v>2338</v>
      </c>
      <c r="E314" s="106" t="s">
        <v>2339</v>
      </c>
      <c r="F314" s="106" t="s">
        <v>2680</v>
      </c>
      <c r="G314" s="106" t="s">
        <v>1006</v>
      </c>
      <c r="H314" s="106" t="s">
        <v>2621</v>
      </c>
      <c r="I314" s="106" t="s">
        <v>1017</v>
      </c>
      <c r="J314" s="106">
        <v>11217100</v>
      </c>
      <c r="K314" s="106" t="s">
        <v>2681</v>
      </c>
      <c r="L314" s="106" t="s">
        <v>2682</v>
      </c>
      <c r="M314" s="106" t="s">
        <v>1020</v>
      </c>
      <c r="O314" s="106" t="s">
        <v>274</v>
      </c>
      <c r="P314" s="106" t="s">
        <v>2345</v>
      </c>
      <c r="Q314" s="106" t="s">
        <v>352</v>
      </c>
      <c r="S314" s="106" t="str" cm="1">
        <f t="array" ref="S314">IF(TRIM($D314)="","(tidak diisi)",IFERROR(INDEX(Kamus!$B$3:$B$28,MATCH(TRUE,ISNUMBER(SEARCH(Kamus!$A$3:$A$28,$D314)),0)),"Jabatan Lainnya"))</f>
        <v>Ketua Pengadilan</v>
      </c>
      <c r="T314" s="106" t="str" cm="1">
        <f t="array" ref="T314">IF(TRIM($I314)="","(tidak diisi)",IFERROR(INDEX(Kamus!$E$3:$E$162,MATCH(TRUE,ISNUMBER(SEARCH(Kamus!$D$3:$D$162,$I314)),0)),"Barang Lain / Tidak Terinci"))</f>
        <v>Uang &amp; Setara Uang</v>
      </c>
      <c r="U314" s="106" t="str" cm="1">
        <f t="array" ref="U314">IF(TRIM($I314)="","(tidak diisi)",IFERROR(INDEX(Kamus!$H$3:$H$75,MATCH(TRUE,ISNUMBER(SEARCH(Kamus!$G$3:$G$75,$I314)),0)),"Pemberian Umum / Tanpa Konteks"))</f>
        <v>Pemberian Uang Langsung</v>
      </c>
      <c r="V314" s="106" t="str">
        <f t="shared" si="12"/>
        <v>2025</v>
      </c>
      <c r="W314" s="106" t="str" cm="1">
        <f t="array" ref="W314">IF(TRIM($K314)="","(tidak diisi)",IFERROR(INDEX(Kamus!$K$3:$K$118,MATCH(TRUE,ISNUMBER(SEARCH(Kamus!$J$3:$J$118,$K314)),0)),"Individu / Perorangan"))</f>
        <v>Pemerintah Daerah</v>
      </c>
      <c r="X314" s="106" t="str">
        <f t="shared" si="13"/>
        <v>05</v>
      </c>
      <c r="Y314" s="106" t="str" cm="1">
        <f t="array" ref="Y314">IFERROR(INDEX(Kamus!$N$3:$N$111,MATCH(TRUE,ISNUMBER(SEARCH(Kamus!$M$3:$M$111,$I314)),0)),"")</f>
        <v/>
      </c>
      <c r="Z314" s="106" t="str">
        <f>IF(AND(OR($X314="02",$X314="03",$X314="04"),OR($T314="Parsel/Bingkisan (tidak dirinci)",$T314="Makanan &amp; Minuman",$T314="Peralatan Rumah Tangga / Pecah Belah",$T314="Pakaian &amp; Kain")),"Momen Hari Raya (dugaan musiman)",IFERROR(VLOOKUP($W314,Kamus!$P$3:$Q$14,2,FALSE),"Tidak Teridentifikasi"))</f>
        <v>Koordinasi Antarinstansi (dugaan)</v>
      </c>
      <c r="AA314" s="106" t="str">
        <f t="shared" si="14"/>
        <v>Koordinasi Antarinstansi (dugaan)</v>
      </c>
    </row>
    <row r="315" spans="1:27">
      <c r="A315" s="106">
        <v>314</v>
      </c>
      <c r="B315" s="106" t="s">
        <v>2683</v>
      </c>
      <c r="C315" s="107" t="s">
        <v>2684</v>
      </c>
      <c r="D315" s="106" t="s">
        <v>2685</v>
      </c>
      <c r="E315" s="106" t="s">
        <v>2686</v>
      </c>
      <c r="G315" s="106" t="s">
        <v>1006</v>
      </c>
      <c r="H315" s="106" t="s">
        <v>2687</v>
      </c>
      <c r="I315" s="106" t="s">
        <v>2688</v>
      </c>
      <c r="K315" s="106" t="s">
        <v>2689</v>
      </c>
      <c r="L315" s="106" t="s">
        <v>2690</v>
      </c>
      <c r="O315" s="106" t="s">
        <v>274</v>
      </c>
      <c r="P315" s="106" t="s">
        <v>1948</v>
      </c>
      <c r="Q315" s="106" t="s">
        <v>308</v>
      </c>
      <c r="S315" s="106" t="str" cm="1">
        <f t="array" ref="S315">IF(TRIM($D315)="","(tidak diisi)",IFERROR(INDEX(Kamus!$B$3:$B$28,MATCH(TRUE,ISNUMBER(SEARCH(Kamus!$A$3:$A$28,$D315)),0)),"Jabatan Lainnya"))</f>
        <v>Jabatan Lainnya</v>
      </c>
      <c r="T315" s="106" t="str" cm="1">
        <f t="array" ref="T315">IF(TRIM($I315)="","(tidak diisi)",IFERROR(INDEX(Kamus!$E$3:$E$162,MATCH(TRUE,ISNUMBER(SEARCH(Kamus!$D$3:$D$162,$I315)),0)),"Barang Lain / Tidak Terinci"))</f>
        <v>Barang Lain / Tidak Terinci</v>
      </c>
      <c r="U315" s="106" t="str" cm="1">
        <f t="array" ref="U315">IF(TRIM($I315)="","(tidak diisi)",IFERROR(INDEX(Kamus!$H$3:$H$75,MATCH(TRUE,ISNUMBER(SEARCH(Kamus!$G$3:$G$75,$I315)),0)),"Pemberian Umum / Tanpa Konteks"))</f>
        <v>Pemberian Umum / Tanpa Konteks</v>
      </c>
      <c r="V315" s="106" t="str">
        <f t="shared" si="12"/>
        <v>2025</v>
      </c>
      <c r="W315" s="106" t="str" cm="1">
        <f t="array" ref="W315">IF(TRIM($K315)="","(tidak diisi)",IFERROR(INDEX(Kamus!$K$3:$K$118,MATCH(TRUE,ISNUMBER(SEARCH(Kamus!$J$3:$J$118,$K315)),0)),"Individu / Perorangan"))</f>
        <v>Individu / Perorangan</v>
      </c>
      <c r="X315" s="106" t="str">
        <f t="shared" si="13"/>
        <v>06</v>
      </c>
      <c r="Y315" s="106" t="str" cm="1">
        <f t="array" ref="Y315">IFERROR(INDEX(Kamus!$N$3:$N$111,MATCH(TRUE,ISNUMBER(SEARCH(Kamus!$M$3:$M$111,$I315)),0)),"")</f>
        <v/>
      </c>
      <c r="Z315" s="106" t="str">
        <f>IF(AND(OR($X315="02",$X315="03",$X315="04"),OR($T315="Parsel/Bingkisan (tidak dirinci)",$T315="Makanan &amp; Minuman",$T315="Peralatan Rumah Tangga / Pecah Belah",$T315="Pakaian &amp; Kain")),"Momen Hari Raya (dugaan musiman)",IFERROR(VLOOKUP($W315,Kamus!$P$3:$Q$14,2,FALSE),"Tidak Teridentifikasi"))</f>
        <v>Relasi Personal / Tidak Teridentifikasi</v>
      </c>
      <c r="AA315" s="106" t="str">
        <f t="shared" si="14"/>
        <v>Relasi Personal / Tidak Teridentifikasi</v>
      </c>
    </row>
    <row r="316" spans="1:27">
      <c r="A316" s="106">
        <v>315</v>
      </c>
      <c r="B316" s="106" t="s">
        <v>1486</v>
      </c>
      <c r="C316" s="107" t="s">
        <v>1487</v>
      </c>
      <c r="D316" s="106" t="s">
        <v>1488</v>
      </c>
      <c r="E316" s="106" t="s">
        <v>1489</v>
      </c>
      <c r="F316" s="106" t="s">
        <v>2691</v>
      </c>
      <c r="G316" s="106" t="s">
        <v>1074</v>
      </c>
      <c r="H316" s="106" t="s">
        <v>2692</v>
      </c>
      <c r="I316" s="106" t="s">
        <v>2693</v>
      </c>
      <c r="K316" s="106" t="s">
        <v>1493</v>
      </c>
      <c r="L316" s="106" t="s">
        <v>2694</v>
      </c>
      <c r="O316" s="106" t="s">
        <v>274</v>
      </c>
      <c r="P316" s="106" t="s">
        <v>1495</v>
      </c>
      <c r="Q316" s="106" t="s">
        <v>428</v>
      </c>
      <c r="S316" s="106" t="str" cm="1">
        <f t="array" ref="S316">IF(TRIM($D316)="","(tidak diisi)",IFERROR(INDEX(Kamus!$B$3:$B$28,MATCH(TRUE,ISNUMBER(SEARCH(Kamus!$A$3:$A$28,$D316)),0)),"Jabatan Lainnya"))</f>
        <v>Pejabat Struktural (Kasubbag/Kabag)</v>
      </c>
      <c r="T316" s="106" t="str" cm="1">
        <f t="array" ref="T316">IF(TRIM($I316)="","(tidak diisi)",IFERROR(INDEX(Kamus!$E$3:$E$162,MATCH(TRUE,ISNUMBER(SEARCH(Kamus!$D$3:$D$162,$I316)),0)),"Barang Lain / Tidak Terinci"))</f>
        <v>Makanan &amp; Minuman</v>
      </c>
      <c r="U316" s="106" t="str" cm="1">
        <f t="array" ref="U316">IF(TRIM($I316)="","(tidak diisi)",IFERROR(INDEX(Kamus!$H$3:$H$75,MATCH(TRUE,ISNUMBER(SEARCH(Kamus!$G$3:$G$75,$I316)),0)),"Pemberian Umum / Tanpa Konteks"))</f>
        <v>Pemberian Umum / Tanpa Konteks</v>
      </c>
      <c r="V316" s="106" t="str">
        <f t="shared" si="12"/>
        <v>2025</v>
      </c>
      <c r="W316" s="106" t="str" cm="1">
        <f t="array" ref="W316">IF(TRIM($K316)="","(tidak diisi)",IFERROR(INDEX(Kamus!$K$3:$K$118,MATCH(TRUE,ISNUMBER(SEARCH(Kamus!$J$3:$J$118,$K316)),0)),"Individu / Perorangan"))</f>
        <v>Individu / Perorangan</v>
      </c>
      <c r="X316" s="106" t="str">
        <f t="shared" si="13"/>
        <v>06</v>
      </c>
      <c r="Y316" s="106" t="str" cm="1">
        <f t="array" ref="Y316">IFERROR(INDEX(Kamus!$N$3:$N$111,MATCH(TRUE,ISNUMBER(SEARCH(Kamus!$M$3:$M$111,$I316)),0)),"")</f>
        <v/>
      </c>
      <c r="Z316" s="106" t="str">
        <f>IF(AND(OR($X316="02",$X316="03",$X316="04"),OR($T316="Parsel/Bingkisan (tidak dirinci)",$T316="Makanan &amp; Minuman",$T316="Peralatan Rumah Tangga / Pecah Belah",$T316="Pakaian &amp; Kain")),"Momen Hari Raya (dugaan musiman)",IFERROR(VLOOKUP($W316,Kamus!$P$3:$Q$14,2,FALSE),"Tidak Teridentifikasi"))</f>
        <v>Relasi Personal / Tidak Teridentifikasi</v>
      </c>
      <c r="AA316" s="106" t="str">
        <f t="shared" si="14"/>
        <v>Relasi Personal / Tidak Teridentifikasi</v>
      </c>
    </row>
    <row r="317" spans="1:27">
      <c r="A317" s="106">
        <v>316</v>
      </c>
      <c r="B317" s="106" t="s">
        <v>1096</v>
      </c>
      <c r="C317" s="107" t="s">
        <v>1097</v>
      </c>
      <c r="D317" s="106" t="s">
        <v>1042</v>
      </c>
      <c r="E317" s="106" t="s">
        <v>1098</v>
      </c>
      <c r="F317" s="106" t="s">
        <v>2695</v>
      </c>
      <c r="G317" s="106" t="s">
        <v>1006</v>
      </c>
      <c r="H317" s="106" t="s">
        <v>2696</v>
      </c>
      <c r="I317" s="106" t="s">
        <v>2697</v>
      </c>
      <c r="J317" s="106">
        <v>100000</v>
      </c>
      <c r="K317" s="106" t="s">
        <v>2698</v>
      </c>
      <c r="L317" s="106" t="s">
        <v>2699</v>
      </c>
      <c r="M317" s="106" t="s">
        <v>1020</v>
      </c>
      <c r="O317" s="106" t="s">
        <v>274</v>
      </c>
      <c r="P317" s="106" t="s">
        <v>1103</v>
      </c>
      <c r="Q317" s="106" t="s">
        <v>415</v>
      </c>
      <c r="S317" s="106" t="str" cm="1">
        <f t="array" ref="S317">IF(TRIM($D317)="","(tidak diisi)",IFERROR(INDEX(Kamus!$B$3:$B$28,MATCH(TRUE,ISNUMBER(SEARCH(Kamus!$A$3:$A$28,$D317)),0)),"Jabatan Lainnya"))</f>
        <v>Ketua Pengadilan</v>
      </c>
      <c r="T317" s="106" t="str" cm="1">
        <f t="array" ref="T317">IF(TRIM($I317)="","(tidak diisi)",IFERROR(INDEX(Kamus!$E$3:$E$162,MATCH(TRUE,ISNUMBER(SEARCH(Kamus!$D$3:$D$162,$I317)),0)),"Barang Lain / Tidak Terinci"))</f>
        <v>Pakaian &amp; Kain</v>
      </c>
      <c r="U317" s="106" t="str" cm="1">
        <f t="array" ref="U317">IF(TRIM($I317)="","(tidak diisi)",IFERROR(INDEX(Kamus!$H$3:$H$75,MATCH(TRUE,ISNUMBER(SEARCH(Kamus!$G$3:$G$75,$I317)),0)),"Pemberian Umum / Tanpa Konteks"))</f>
        <v>Pemberian Umum / Tanpa Konteks</v>
      </c>
      <c r="V317" s="106" t="str">
        <f t="shared" si="12"/>
        <v>2025</v>
      </c>
      <c r="W317" s="106" t="str" cm="1">
        <f t="array" ref="W317">IF(TRIM($K317)="","(tidak diisi)",IFERROR(INDEX(Kamus!$K$3:$K$118,MATCH(TRUE,ISNUMBER(SEARCH(Kamus!$J$3:$J$118,$K317)),0)),"Individu / Perorangan"))</f>
        <v>Individu / Perorangan</v>
      </c>
      <c r="X317" s="106" t="str">
        <f t="shared" si="13"/>
        <v>06</v>
      </c>
      <c r="Y317" s="106" t="str" cm="1">
        <f t="array" ref="Y317">IFERROR(INDEX(Kamus!$N$3:$N$111,MATCH(TRUE,ISNUMBER(SEARCH(Kamus!$M$3:$M$111,$I317)),0)),"")</f>
        <v/>
      </c>
      <c r="Z317" s="106" t="str">
        <f>IF(AND(OR($X317="02",$X317="03",$X317="04"),OR($T317="Parsel/Bingkisan (tidak dirinci)",$T317="Makanan &amp; Minuman",$T317="Peralatan Rumah Tangga / Pecah Belah",$T317="Pakaian &amp; Kain")),"Momen Hari Raya (dugaan musiman)",IFERROR(VLOOKUP($W317,Kamus!$P$3:$Q$14,2,FALSE),"Tidak Teridentifikasi"))</f>
        <v>Relasi Personal / Tidak Teridentifikasi</v>
      </c>
      <c r="AA317" s="106" t="str">
        <f t="shared" si="14"/>
        <v>Relasi Personal / Tidak Teridentifikasi</v>
      </c>
    </row>
    <row r="318" spans="1:27">
      <c r="A318" s="106">
        <v>317</v>
      </c>
      <c r="B318" s="106" t="s">
        <v>1096</v>
      </c>
      <c r="C318" s="107" t="s">
        <v>1097</v>
      </c>
      <c r="D318" s="106" t="s">
        <v>1042</v>
      </c>
      <c r="E318" s="106" t="s">
        <v>1098</v>
      </c>
      <c r="F318" s="106" t="s">
        <v>2695</v>
      </c>
      <c r="G318" s="106" t="s">
        <v>1006</v>
      </c>
      <c r="H318" s="106" t="s">
        <v>2696</v>
      </c>
      <c r="I318" s="106" t="s">
        <v>2700</v>
      </c>
      <c r="J318" s="106">
        <v>250000</v>
      </c>
      <c r="K318" s="106" t="s">
        <v>2701</v>
      </c>
      <c r="L318" s="106" t="s">
        <v>2699</v>
      </c>
      <c r="M318" s="106" t="s">
        <v>1020</v>
      </c>
      <c r="O318" s="106" t="s">
        <v>274</v>
      </c>
      <c r="P318" s="106" t="s">
        <v>1103</v>
      </c>
      <c r="Q318" s="106" t="s">
        <v>415</v>
      </c>
      <c r="S318" s="106" t="str" cm="1">
        <f t="array" ref="S318">IF(TRIM($D318)="","(tidak diisi)",IFERROR(INDEX(Kamus!$B$3:$B$28,MATCH(TRUE,ISNUMBER(SEARCH(Kamus!$A$3:$A$28,$D318)),0)),"Jabatan Lainnya"))</f>
        <v>Ketua Pengadilan</v>
      </c>
      <c r="T318" s="106" t="str" cm="1">
        <f t="array" ref="T318">IF(TRIM($I318)="","(tidak diisi)",IFERROR(INDEX(Kamus!$E$3:$E$162,MATCH(TRUE,ISNUMBER(SEARCH(Kamus!$D$3:$D$162,$I318)),0)),"Barang Lain / Tidak Terinci"))</f>
        <v>Pakaian &amp; Kain</v>
      </c>
      <c r="U318" s="106" t="str" cm="1">
        <f t="array" ref="U318">IF(TRIM($I318)="","(tidak diisi)",IFERROR(INDEX(Kamus!$H$3:$H$75,MATCH(TRUE,ISNUMBER(SEARCH(Kamus!$G$3:$G$75,$I318)),0)),"Pemberian Umum / Tanpa Konteks"))</f>
        <v>Pemberian Umum / Tanpa Konteks</v>
      </c>
      <c r="V318" s="106" t="str">
        <f t="shared" si="12"/>
        <v>2025</v>
      </c>
      <c r="W318" s="106" t="str" cm="1">
        <f t="array" ref="W318">IF(TRIM($K318)="","(tidak diisi)",IFERROR(INDEX(Kamus!$K$3:$K$118,MATCH(TRUE,ISNUMBER(SEARCH(Kamus!$J$3:$J$118,$K318)),0)),"Individu / Perorangan"))</f>
        <v>Tidak Diketahui</v>
      </c>
      <c r="X318" s="106" t="str">
        <f t="shared" si="13"/>
        <v>06</v>
      </c>
      <c r="Y318" s="106" t="str" cm="1">
        <f t="array" ref="Y318">IFERROR(INDEX(Kamus!$N$3:$N$111,MATCH(TRUE,ISNUMBER(SEARCH(Kamus!$M$3:$M$111,$I318)),0)),"")</f>
        <v/>
      </c>
      <c r="Z318" s="106" t="str">
        <f>IF(AND(OR($X318="02",$X318="03",$X318="04"),OR($T318="Parsel/Bingkisan (tidak dirinci)",$T318="Makanan &amp; Minuman",$T318="Peralatan Rumah Tangga / Pecah Belah",$T318="Pakaian &amp; Kain")),"Momen Hari Raya (dugaan musiman)",IFERROR(VLOOKUP($W318,Kamus!$P$3:$Q$14,2,FALSE),"Tidak Teridentifikasi"))</f>
        <v>Pemberi Tidak Diketahui</v>
      </c>
      <c r="AA318" s="106" t="str">
        <f t="shared" si="14"/>
        <v>Pemberi Tidak Diketahui</v>
      </c>
    </row>
    <row r="319" spans="1:27">
      <c r="A319" s="106">
        <v>318</v>
      </c>
      <c r="B319" s="106" t="s">
        <v>1096</v>
      </c>
      <c r="C319" s="107" t="s">
        <v>1097</v>
      </c>
      <c r="D319" s="106" t="s">
        <v>1042</v>
      </c>
      <c r="E319" s="106" t="s">
        <v>1098</v>
      </c>
      <c r="F319" s="106" t="s">
        <v>2695</v>
      </c>
      <c r="G319" s="106" t="s">
        <v>1006</v>
      </c>
      <c r="H319" s="106" t="s">
        <v>2696</v>
      </c>
      <c r="I319" s="106" t="s">
        <v>2702</v>
      </c>
      <c r="J319" s="106">
        <v>100000</v>
      </c>
      <c r="K319" s="106" t="s">
        <v>2703</v>
      </c>
      <c r="L319" s="106" t="s">
        <v>2699</v>
      </c>
      <c r="M319" s="106" t="s">
        <v>1020</v>
      </c>
      <c r="O319" s="106" t="s">
        <v>274</v>
      </c>
      <c r="P319" s="106" t="s">
        <v>1103</v>
      </c>
      <c r="Q319" s="106" t="s">
        <v>415</v>
      </c>
      <c r="S319" s="106" t="str" cm="1">
        <f t="array" ref="S319">IF(TRIM($D319)="","(tidak diisi)",IFERROR(INDEX(Kamus!$B$3:$B$28,MATCH(TRUE,ISNUMBER(SEARCH(Kamus!$A$3:$A$28,$D319)),0)),"Jabatan Lainnya"))</f>
        <v>Ketua Pengadilan</v>
      </c>
      <c r="T319" s="106" t="str" cm="1">
        <f t="array" ref="T319">IF(TRIM($I319)="","(tidak diisi)",IFERROR(INDEX(Kamus!$E$3:$E$162,MATCH(TRUE,ISNUMBER(SEARCH(Kamus!$D$3:$D$162,$I319)),0)),"Barang Lain / Tidak Terinci"))</f>
        <v>Suvenir &amp; Merchandise</v>
      </c>
      <c r="U319" s="106" t="str" cm="1">
        <f t="array" ref="U319">IF(TRIM($I319)="","(tidak diisi)",IFERROR(INDEX(Kamus!$H$3:$H$75,MATCH(TRUE,ISNUMBER(SEARCH(Kamus!$G$3:$G$75,$I319)),0)),"Pemberian Umum / Tanpa Konteks"))</f>
        <v>Suvenir / Merchandise Kegiatan &amp; Kunjungan</v>
      </c>
      <c r="V319" s="106" t="str">
        <f t="shared" si="12"/>
        <v>2025</v>
      </c>
      <c r="W319" s="106" t="str" cm="1">
        <f t="array" ref="W319">IF(TRIM($K319)="","(tidak diisi)",IFERROR(INDEX(Kamus!$K$3:$K$118,MATCH(TRUE,ISNUMBER(SEARCH(Kamus!$J$3:$J$118,$K319)),0)),"Individu / Perorangan"))</f>
        <v>Individu / Perorangan</v>
      </c>
      <c r="X319" s="106" t="str">
        <f t="shared" si="13"/>
        <v>06</v>
      </c>
      <c r="Y319" s="106" t="str" cm="1">
        <f t="array" ref="Y319">IFERROR(INDEX(Kamus!$N$3:$N$111,MATCH(TRUE,ISNUMBER(SEARCH(Kamus!$M$3:$M$111,$I319)),0)),"")</f>
        <v/>
      </c>
      <c r="Z319" s="106" t="str">
        <f>IF(AND(OR($X319="02",$X319="03",$X319="04"),OR($T319="Parsel/Bingkisan (tidak dirinci)",$T319="Makanan &amp; Minuman",$T319="Peralatan Rumah Tangga / Pecah Belah",$T319="Pakaian &amp; Kain")),"Momen Hari Raya (dugaan musiman)",IFERROR(VLOOKUP($W319,Kamus!$P$3:$Q$14,2,FALSE),"Tidak Teridentifikasi"))</f>
        <v>Relasi Personal / Tidak Teridentifikasi</v>
      </c>
      <c r="AA319" s="106" t="str">
        <f t="shared" si="14"/>
        <v>Relasi Personal / Tidak Teridentifikasi</v>
      </c>
    </row>
    <row r="320" spans="1:27">
      <c r="A320" s="106">
        <v>319</v>
      </c>
      <c r="B320" s="106" t="s">
        <v>1096</v>
      </c>
      <c r="C320" s="107" t="s">
        <v>1097</v>
      </c>
      <c r="D320" s="106" t="s">
        <v>1042</v>
      </c>
      <c r="E320" s="106" t="s">
        <v>1098</v>
      </c>
      <c r="F320" s="106" t="s">
        <v>2695</v>
      </c>
      <c r="G320" s="106" t="s">
        <v>1006</v>
      </c>
      <c r="H320" s="106" t="s">
        <v>2696</v>
      </c>
      <c r="I320" s="106" t="s">
        <v>2704</v>
      </c>
      <c r="J320" s="106">
        <v>219000</v>
      </c>
      <c r="K320" s="106" t="s">
        <v>2705</v>
      </c>
      <c r="L320" s="106" t="s">
        <v>2699</v>
      </c>
      <c r="M320" s="106" t="s">
        <v>1020</v>
      </c>
      <c r="O320" s="106" t="s">
        <v>274</v>
      </c>
      <c r="P320" s="106" t="s">
        <v>1103</v>
      </c>
      <c r="Q320" s="106" t="s">
        <v>415</v>
      </c>
      <c r="S320" s="106" t="str" cm="1">
        <f t="array" ref="S320">IF(TRIM($D320)="","(tidak diisi)",IFERROR(INDEX(Kamus!$B$3:$B$28,MATCH(TRUE,ISNUMBER(SEARCH(Kamus!$A$3:$A$28,$D320)),0)),"Jabatan Lainnya"))</f>
        <v>Ketua Pengadilan</v>
      </c>
      <c r="T320" s="106" t="str" cm="1">
        <f t="array" ref="T320">IF(TRIM($I320)="","(tidak diisi)",IFERROR(INDEX(Kamus!$E$3:$E$162,MATCH(TRUE,ISNUMBER(SEARCH(Kamus!$D$3:$D$162,$I320)),0)),"Barang Lain / Tidak Terinci"))</f>
        <v>Suvenir &amp; Merchandise</v>
      </c>
      <c r="U320" s="106" t="str" cm="1">
        <f t="array" ref="U320">IF(TRIM($I320)="","(tidak diisi)",IFERROR(INDEX(Kamus!$H$3:$H$75,MATCH(TRUE,ISNUMBER(SEARCH(Kamus!$G$3:$G$75,$I320)),0)),"Pemberian Umum / Tanpa Konteks"))</f>
        <v>Pemberian Umum / Tanpa Konteks</v>
      </c>
      <c r="V320" s="106" t="str">
        <f t="shared" si="12"/>
        <v>2025</v>
      </c>
      <c r="W320" s="106" t="str" cm="1">
        <f t="array" ref="W320">IF(TRIM($K320)="","(tidak diisi)",IFERROR(INDEX(Kamus!$K$3:$K$118,MATCH(TRUE,ISNUMBER(SEARCH(Kamus!$J$3:$J$118,$K320)),0)),"Individu / Perorangan"))</f>
        <v>Individu / Perorangan</v>
      </c>
      <c r="X320" s="106" t="str">
        <f t="shared" si="13"/>
        <v>06</v>
      </c>
      <c r="Y320" s="106" t="str" cm="1">
        <f t="array" ref="Y320">IFERROR(INDEX(Kamus!$N$3:$N$111,MATCH(TRUE,ISNUMBER(SEARCH(Kamus!$M$3:$M$111,$I320)),0)),"")</f>
        <v/>
      </c>
      <c r="Z320" s="106" t="str">
        <f>IF(AND(OR($X320="02",$X320="03",$X320="04"),OR($T320="Parsel/Bingkisan (tidak dirinci)",$T320="Makanan &amp; Minuman",$T320="Peralatan Rumah Tangga / Pecah Belah",$T320="Pakaian &amp; Kain")),"Momen Hari Raya (dugaan musiman)",IFERROR(VLOOKUP($W320,Kamus!$P$3:$Q$14,2,FALSE),"Tidak Teridentifikasi"))</f>
        <v>Relasi Personal / Tidak Teridentifikasi</v>
      </c>
      <c r="AA320" s="106" t="str">
        <f t="shared" si="14"/>
        <v>Relasi Personal / Tidak Teridentifikasi</v>
      </c>
    </row>
    <row r="321" spans="1:27">
      <c r="A321" s="106">
        <v>320</v>
      </c>
      <c r="B321" s="106" t="s">
        <v>1096</v>
      </c>
      <c r="C321" s="107" t="s">
        <v>1097</v>
      </c>
      <c r="D321" s="106" t="s">
        <v>1042</v>
      </c>
      <c r="E321" s="106" t="s">
        <v>1098</v>
      </c>
      <c r="F321" s="106" t="s">
        <v>2695</v>
      </c>
      <c r="G321" s="106" t="s">
        <v>1006</v>
      </c>
      <c r="H321" s="106" t="s">
        <v>2696</v>
      </c>
      <c r="I321" s="106" t="s">
        <v>2706</v>
      </c>
      <c r="J321" s="106">
        <v>209300</v>
      </c>
      <c r="K321" s="106" t="s">
        <v>2701</v>
      </c>
      <c r="L321" s="106" t="s">
        <v>2699</v>
      </c>
      <c r="M321" s="106" t="s">
        <v>1020</v>
      </c>
      <c r="O321" s="106" t="s">
        <v>274</v>
      </c>
      <c r="P321" s="106" t="s">
        <v>1103</v>
      </c>
      <c r="Q321" s="106" t="s">
        <v>415</v>
      </c>
      <c r="S321" s="106" t="str" cm="1">
        <f t="array" ref="S321">IF(TRIM($D321)="","(tidak diisi)",IFERROR(INDEX(Kamus!$B$3:$B$28,MATCH(TRUE,ISNUMBER(SEARCH(Kamus!$A$3:$A$28,$D321)),0)),"Jabatan Lainnya"))</f>
        <v>Ketua Pengadilan</v>
      </c>
      <c r="T321" s="106" t="str" cm="1">
        <f t="array" ref="T321">IF(TRIM($I321)="","(tidak diisi)",IFERROR(INDEX(Kamus!$E$3:$E$162,MATCH(TRUE,ISNUMBER(SEARCH(Kamus!$D$3:$D$162,$I321)),0)),"Barang Lain / Tidak Terinci"))</f>
        <v>Pakaian &amp; Kain</v>
      </c>
      <c r="U321" s="106" t="str" cm="1">
        <f t="array" ref="U321">IF(TRIM($I321)="","(tidak diisi)",IFERROR(INDEX(Kamus!$H$3:$H$75,MATCH(TRUE,ISNUMBER(SEARCH(Kamus!$G$3:$G$75,$I321)),0)),"Pemberian Umum / Tanpa Konteks"))</f>
        <v>Pemberian Umum / Tanpa Konteks</v>
      </c>
      <c r="V321" s="106" t="str">
        <f t="shared" si="12"/>
        <v>2025</v>
      </c>
      <c r="W321" s="106" t="str" cm="1">
        <f t="array" ref="W321">IF(TRIM($K321)="","(tidak diisi)",IFERROR(INDEX(Kamus!$K$3:$K$118,MATCH(TRUE,ISNUMBER(SEARCH(Kamus!$J$3:$J$118,$K321)),0)),"Individu / Perorangan"))</f>
        <v>Tidak Diketahui</v>
      </c>
      <c r="X321" s="106" t="str">
        <f t="shared" si="13"/>
        <v>06</v>
      </c>
      <c r="Y321" s="106" t="str" cm="1">
        <f t="array" ref="Y321">IFERROR(INDEX(Kamus!$N$3:$N$111,MATCH(TRUE,ISNUMBER(SEARCH(Kamus!$M$3:$M$111,$I321)),0)),"")</f>
        <v/>
      </c>
      <c r="Z321" s="106" t="str">
        <f>IF(AND(OR($X321="02",$X321="03",$X321="04"),OR($T321="Parsel/Bingkisan (tidak dirinci)",$T321="Makanan &amp; Minuman",$T321="Peralatan Rumah Tangga / Pecah Belah",$T321="Pakaian &amp; Kain")),"Momen Hari Raya (dugaan musiman)",IFERROR(VLOOKUP($W321,Kamus!$P$3:$Q$14,2,FALSE),"Tidak Teridentifikasi"))</f>
        <v>Pemberi Tidak Diketahui</v>
      </c>
      <c r="AA321" s="106" t="str">
        <f t="shared" si="14"/>
        <v>Pemberi Tidak Diketahui</v>
      </c>
    </row>
    <row r="322" spans="1:27">
      <c r="A322" s="106">
        <v>321</v>
      </c>
      <c r="B322" s="106" t="s">
        <v>1096</v>
      </c>
      <c r="C322" s="107" t="s">
        <v>1097</v>
      </c>
      <c r="D322" s="106" t="s">
        <v>1042</v>
      </c>
      <c r="E322" s="106" t="s">
        <v>1098</v>
      </c>
      <c r="F322" s="106" t="s">
        <v>2695</v>
      </c>
      <c r="G322" s="106" t="s">
        <v>1006</v>
      </c>
      <c r="H322" s="106" t="s">
        <v>2696</v>
      </c>
      <c r="I322" s="106" t="s">
        <v>2707</v>
      </c>
      <c r="J322" s="106">
        <v>292000</v>
      </c>
      <c r="K322" s="106" t="s">
        <v>2708</v>
      </c>
      <c r="L322" s="106" t="s">
        <v>2699</v>
      </c>
      <c r="M322" s="106" t="s">
        <v>1020</v>
      </c>
      <c r="O322" s="106" t="s">
        <v>274</v>
      </c>
      <c r="P322" s="106" t="s">
        <v>1103</v>
      </c>
      <c r="Q322" s="106" t="s">
        <v>415</v>
      </c>
      <c r="S322" s="106" t="str" cm="1">
        <f t="array" ref="S322">IF(TRIM($D322)="","(tidak diisi)",IFERROR(INDEX(Kamus!$B$3:$B$28,MATCH(TRUE,ISNUMBER(SEARCH(Kamus!$A$3:$A$28,$D322)),0)),"Jabatan Lainnya"))</f>
        <v>Ketua Pengadilan</v>
      </c>
      <c r="T322" s="106" t="str" cm="1">
        <f t="array" ref="T322">IF(TRIM($I322)="","(tidak diisi)",IFERROR(INDEX(Kamus!$E$3:$E$162,MATCH(TRUE,ISNUMBER(SEARCH(Kamus!$D$3:$D$162,$I322)),0)),"Barang Lain / Tidak Terinci"))</f>
        <v>Barang Lain / Tidak Terinci</v>
      </c>
      <c r="U322" s="106" t="str" cm="1">
        <f t="array" ref="U322">IF(TRIM($I322)="","(tidak diisi)",IFERROR(INDEX(Kamus!$H$3:$H$75,MATCH(TRUE,ISNUMBER(SEARCH(Kamus!$G$3:$G$75,$I322)),0)),"Pemberian Umum / Tanpa Konteks"))</f>
        <v>Pemberian Umum / Tanpa Konteks</v>
      </c>
      <c r="V322" s="106" t="str">
        <f t="shared" si="12"/>
        <v>2025</v>
      </c>
      <c r="W322" s="106" t="str" cm="1">
        <f t="array" ref="W322">IF(TRIM($K322)="","(tidak diisi)",IFERROR(INDEX(Kamus!$K$3:$K$118,MATCH(TRUE,ISNUMBER(SEARCH(Kamus!$J$3:$J$118,$K322)),0)),"Individu / Perorangan"))</f>
        <v>Individu / Perorangan</v>
      </c>
      <c r="X322" s="106" t="str">
        <f t="shared" si="13"/>
        <v>06</v>
      </c>
      <c r="Y322" s="106" t="str" cm="1">
        <f t="array" ref="Y322">IFERROR(INDEX(Kamus!$N$3:$N$111,MATCH(TRUE,ISNUMBER(SEARCH(Kamus!$M$3:$M$111,$I322)),0)),"")</f>
        <v/>
      </c>
      <c r="Z322" s="106" t="str">
        <f>IF(AND(OR($X322="02",$X322="03",$X322="04"),OR($T322="Parsel/Bingkisan (tidak dirinci)",$T322="Makanan &amp; Minuman",$T322="Peralatan Rumah Tangga / Pecah Belah",$T322="Pakaian &amp; Kain")),"Momen Hari Raya (dugaan musiman)",IFERROR(VLOOKUP($W322,Kamus!$P$3:$Q$14,2,FALSE),"Tidak Teridentifikasi"))</f>
        <v>Relasi Personal / Tidak Teridentifikasi</v>
      </c>
      <c r="AA322" s="106" t="str">
        <f t="shared" si="14"/>
        <v>Relasi Personal / Tidak Teridentifikasi</v>
      </c>
    </row>
    <row r="323" spans="1:27">
      <c r="A323" s="106">
        <v>322</v>
      </c>
      <c r="B323" s="106" t="s">
        <v>1096</v>
      </c>
      <c r="C323" s="107" t="s">
        <v>1097</v>
      </c>
      <c r="D323" s="106" t="s">
        <v>1042</v>
      </c>
      <c r="E323" s="106" t="s">
        <v>1098</v>
      </c>
      <c r="F323" s="106" t="s">
        <v>2695</v>
      </c>
      <c r="G323" s="106" t="s">
        <v>1006</v>
      </c>
      <c r="H323" s="106" t="s">
        <v>2696</v>
      </c>
      <c r="I323" s="106" t="s">
        <v>2709</v>
      </c>
      <c r="J323" s="106">
        <v>130000</v>
      </c>
      <c r="K323" s="106" t="s">
        <v>2710</v>
      </c>
      <c r="L323" s="106" t="s">
        <v>2699</v>
      </c>
      <c r="M323" s="106" t="s">
        <v>1020</v>
      </c>
      <c r="O323" s="106" t="s">
        <v>274</v>
      </c>
      <c r="P323" s="106" t="s">
        <v>1103</v>
      </c>
      <c r="Q323" s="106" t="s">
        <v>415</v>
      </c>
      <c r="S323" s="106" t="str" cm="1">
        <f t="array" ref="S323">IF(TRIM($D323)="","(tidak diisi)",IFERROR(INDEX(Kamus!$B$3:$B$28,MATCH(TRUE,ISNUMBER(SEARCH(Kamus!$A$3:$A$28,$D323)),0)),"Jabatan Lainnya"))</f>
        <v>Ketua Pengadilan</v>
      </c>
      <c r="T323" s="106" t="str" cm="1">
        <f t="array" ref="T323">IF(TRIM($I323)="","(tidak diisi)",IFERROR(INDEX(Kamus!$E$3:$E$162,MATCH(TRUE,ISNUMBER(SEARCH(Kamus!$D$3:$D$162,$I323)),0)),"Barang Lain / Tidak Terinci"))</f>
        <v>Makanan &amp; Minuman</v>
      </c>
      <c r="U323" s="106" t="str" cm="1">
        <f t="array" ref="U323">IF(TRIM($I323)="","(tidak diisi)",IFERROR(INDEX(Kamus!$H$3:$H$75,MATCH(TRUE,ISNUMBER(SEARCH(Kamus!$G$3:$G$75,$I323)),0)),"Pemberian Umum / Tanpa Konteks"))</f>
        <v>Pemberian Umum / Tanpa Konteks</v>
      </c>
      <c r="V323" s="106" t="str">
        <f t="shared" ref="V323:V386" si="15">IF($H323="","(tidak diisi)",IF(ISNUMBER($H323),TEXT(YEAR($H323),"0"),LEFT($H323,4)))</f>
        <v>2025</v>
      </c>
      <c r="W323" s="106" t="str" cm="1">
        <f t="array" ref="W323">IF(TRIM($K323)="","(tidak diisi)",IFERROR(INDEX(Kamus!$K$3:$K$118,MATCH(TRUE,ISNUMBER(SEARCH(Kamus!$J$3:$J$118,$K323)),0)),"Individu / Perorangan"))</f>
        <v>Individu / Perorangan</v>
      </c>
      <c r="X323" s="106" t="str">
        <f t="shared" ref="X323:X386" si="16">IF($H323="","(tidak diisi)",IF(ISNUMBER($H323),TEXT(MONTH($H323),"00"),MID($H323,6,2)))</f>
        <v>06</v>
      </c>
      <c r="Y323" s="106" t="str" cm="1">
        <f t="array" ref="Y323">IFERROR(INDEX(Kamus!$N$3:$N$111,MATCH(TRUE,ISNUMBER(SEARCH(Kamus!$M$3:$M$111,$I323)),0)),"")</f>
        <v/>
      </c>
      <c r="Z323" s="106" t="str">
        <f>IF(AND(OR($X323="02",$X323="03",$X323="04"),OR($T323="Parsel/Bingkisan (tidak dirinci)",$T323="Makanan &amp; Minuman",$T323="Peralatan Rumah Tangga / Pecah Belah",$T323="Pakaian &amp; Kain")),"Momen Hari Raya (dugaan musiman)",IFERROR(VLOOKUP($W323,Kamus!$P$3:$Q$14,2,FALSE),"Tidak Teridentifikasi"))</f>
        <v>Relasi Personal / Tidak Teridentifikasi</v>
      </c>
      <c r="AA323" s="106" t="str">
        <f t="shared" ref="AA323:AA386" si="17">IF($Y323="",$Z323,$Y323)</f>
        <v>Relasi Personal / Tidak Teridentifikasi</v>
      </c>
    </row>
    <row r="324" spans="1:27">
      <c r="A324" s="106">
        <v>323</v>
      </c>
      <c r="B324" s="106" t="s">
        <v>1096</v>
      </c>
      <c r="C324" s="107" t="s">
        <v>1097</v>
      </c>
      <c r="D324" s="106" t="s">
        <v>1042</v>
      </c>
      <c r="E324" s="106" t="s">
        <v>1098</v>
      </c>
      <c r="F324" s="106" t="s">
        <v>2695</v>
      </c>
      <c r="G324" s="106" t="s">
        <v>1006</v>
      </c>
      <c r="H324" s="106" t="s">
        <v>2696</v>
      </c>
      <c r="I324" s="106" t="s">
        <v>2711</v>
      </c>
      <c r="J324" s="106">
        <v>80000</v>
      </c>
      <c r="K324" s="106" t="s">
        <v>2712</v>
      </c>
      <c r="L324" s="106" t="s">
        <v>2699</v>
      </c>
      <c r="M324" s="106" t="s">
        <v>1020</v>
      </c>
      <c r="O324" s="106" t="s">
        <v>274</v>
      </c>
      <c r="P324" s="106" t="s">
        <v>1103</v>
      </c>
      <c r="Q324" s="106" t="s">
        <v>415</v>
      </c>
      <c r="S324" s="106" t="str" cm="1">
        <f t="array" ref="S324">IF(TRIM($D324)="","(tidak diisi)",IFERROR(INDEX(Kamus!$B$3:$B$28,MATCH(TRUE,ISNUMBER(SEARCH(Kamus!$A$3:$A$28,$D324)),0)),"Jabatan Lainnya"))</f>
        <v>Ketua Pengadilan</v>
      </c>
      <c r="T324" s="106" t="str" cm="1">
        <f t="array" ref="T324">IF(TRIM($I324)="","(tidak diisi)",IFERROR(INDEX(Kamus!$E$3:$E$162,MATCH(TRUE,ISNUMBER(SEARCH(Kamus!$D$3:$D$162,$I324)),0)),"Barang Lain / Tidak Terinci"))</f>
        <v>Makanan &amp; Minuman</v>
      </c>
      <c r="U324" s="106" t="str" cm="1">
        <f t="array" ref="U324">IF(TRIM($I324)="","(tidak diisi)",IFERROR(INDEX(Kamus!$H$3:$H$75,MATCH(TRUE,ISNUMBER(SEARCH(Kamus!$G$3:$G$75,$I324)),0)),"Pemberian Umum / Tanpa Konteks"))</f>
        <v>Pemberian Umum / Tanpa Konteks</v>
      </c>
      <c r="V324" s="106" t="str">
        <f t="shared" si="15"/>
        <v>2025</v>
      </c>
      <c r="W324" s="106" t="str" cm="1">
        <f t="array" ref="W324">IF(TRIM($K324)="","(tidak diisi)",IFERROR(INDEX(Kamus!$K$3:$K$118,MATCH(TRUE,ISNUMBER(SEARCH(Kamus!$J$3:$J$118,$K324)),0)),"Individu / Perorangan"))</f>
        <v>Individu / Perorangan</v>
      </c>
      <c r="X324" s="106" t="str">
        <f t="shared" si="16"/>
        <v>06</v>
      </c>
      <c r="Y324" s="106" t="str" cm="1">
        <f t="array" ref="Y324">IFERROR(INDEX(Kamus!$N$3:$N$111,MATCH(TRUE,ISNUMBER(SEARCH(Kamus!$M$3:$M$111,$I324)),0)),"")</f>
        <v/>
      </c>
      <c r="Z324" s="106" t="str">
        <f>IF(AND(OR($X324="02",$X324="03",$X324="04"),OR($T324="Parsel/Bingkisan (tidak dirinci)",$T324="Makanan &amp; Minuman",$T324="Peralatan Rumah Tangga / Pecah Belah",$T324="Pakaian &amp; Kain")),"Momen Hari Raya (dugaan musiman)",IFERROR(VLOOKUP($W324,Kamus!$P$3:$Q$14,2,FALSE),"Tidak Teridentifikasi"))</f>
        <v>Relasi Personal / Tidak Teridentifikasi</v>
      </c>
      <c r="AA324" s="106" t="str">
        <f t="shared" si="17"/>
        <v>Relasi Personal / Tidak Teridentifikasi</v>
      </c>
    </row>
    <row r="325" spans="1:27">
      <c r="A325" s="106">
        <v>324</v>
      </c>
      <c r="B325" s="106" t="s">
        <v>1096</v>
      </c>
      <c r="C325" s="107" t="s">
        <v>1097</v>
      </c>
      <c r="D325" s="106" t="s">
        <v>1042</v>
      </c>
      <c r="E325" s="106" t="s">
        <v>1098</v>
      </c>
      <c r="F325" s="106" t="s">
        <v>2695</v>
      </c>
      <c r="G325" s="106" t="s">
        <v>1006</v>
      </c>
      <c r="H325" s="106" t="s">
        <v>2696</v>
      </c>
      <c r="I325" s="106" t="s">
        <v>2713</v>
      </c>
      <c r="J325" s="106">
        <v>86000</v>
      </c>
      <c r="K325" s="106" t="s">
        <v>2714</v>
      </c>
      <c r="L325" s="106" t="s">
        <v>2699</v>
      </c>
      <c r="M325" s="106" t="s">
        <v>1020</v>
      </c>
      <c r="O325" s="106" t="s">
        <v>274</v>
      </c>
      <c r="P325" s="106" t="s">
        <v>1103</v>
      </c>
      <c r="Q325" s="106" t="s">
        <v>415</v>
      </c>
      <c r="S325" s="106" t="str" cm="1">
        <f t="array" ref="S325">IF(TRIM($D325)="","(tidak diisi)",IFERROR(INDEX(Kamus!$B$3:$B$28,MATCH(TRUE,ISNUMBER(SEARCH(Kamus!$A$3:$A$28,$D325)),0)),"Jabatan Lainnya"))</f>
        <v>Ketua Pengadilan</v>
      </c>
      <c r="T325" s="106" t="str" cm="1">
        <f t="array" ref="T325">IF(TRIM($I325)="","(tidak diisi)",IFERROR(INDEX(Kamus!$E$3:$E$162,MATCH(TRUE,ISNUMBER(SEARCH(Kamus!$D$3:$D$162,$I325)),0)),"Barang Lain / Tidak Terinci"))</f>
        <v>Buku &amp; Publikasi</v>
      </c>
      <c r="U325" s="106" t="str" cm="1">
        <f t="array" ref="U325">IF(TRIM($I325)="","(tidak diisi)",IFERROR(INDEX(Kamus!$H$3:$H$75,MATCH(TRUE,ISNUMBER(SEARCH(Kamus!$G$3:$G$75,$I325)),0)),"Pemberian Umum / Tanpa Konteks"))</f>
        <v>Pemberian Umum / Tanpa Konteks</v>
      </c>
      <c r="V325" s="106" t="str">
        <f t="shared" si="15"/>
        <v>2025</v>
      </c>
      <c r="W325" s="106" t="str" cm="1">
        <f t="array" ref="W325">IF(TRIM($K325)="","(tidak diisi)",IFERROR(INDEX(Kamus!$K$3:$K$118,MATCH(TRUE,ISNUMBER(SEARCH(Kamus!$J$3:$J$118,$K325)),0)),"Individu / Perorangan"))</f>
        <v>Individu / Perorangan</v>
      </c>
      <c r="X325" s="106" t="str">
        <f t="shared" si="16"/>
        <v>06</v>
      </c>
      <c r="Y325" s="106" t="str" cm="1">
        <f t="array" ref="Y325">IFERROR(INDEX(Kamus!$N$3:$N$111,MATCH(TRUE,ISNUMBER(SEARCH(Kamus!$M$3:$M$111,$I325)),0)),"")</f>
        <v/>
      </c>
      <c r="Z325" s="106" t="str">
        <f>IF(AND(OR($X325="02",$X325="03",$X325="04"),OR($T325="Parsel/Bingkisan (tidak dirinci)",$T325="Makanan &amp; Minuman",$T325="Peralatan Rumah Tangga / Pecah Belah",$T325="Pakaian &amp; Kain")),"Momen Hari Raya (dugaan musiman)",IFERROR(VLOOKUP($W325,Kamus!$P$3:$Q$14,2,FALSE),"Tidak Teridentifikasi"))</f>
        <v>Relasi Personal / Tidak Teridentifikasi</v>
      </c>
      <c r="AA325" s="106" t="str">
        <f t="shared" si="17"/>
        <v>Relasi Personal / Tidak Teridentifikasi</v>
      </c>
    </row>
    <row r="326" spans="1:27">
      <c r="A326" s="106">
        <v>325</v>
      </c>
      <c r="B326" s="106" t="s">
        <v>2138</v>
      </c>
      <c r="C326" s="107" t="s">
        <v>2139</v>
      </c>
      <c r="D326" s="106" t="s">
        <v>1024</v>
      </c>
      <c r="E326" s="106" t="s">
        <v>1176</v>
      </c>
      <c r="F326" s="106" t="s">
        <v>2715</v>
      </c>
      <c r="G326" s="106" t="s">
        <v>1006</v>
      </c>
      <c r="H326" s="106" t="s">
        <v>2716</v>
      </c>
      <c r="I326" s="106" t="s">
        <v>1017</v>
      </c>
      <c r="J326" s="106">
        <v>194000</v>
      </c>
      <c r="K326" s="106" t="s">
        <v>2717</v>
      </c>
      <c r="L326" s="106" t="s">
        <v>2718</v>
      </c>
      <c r="M326" s="106" t="s">
        <v>1039</v>
      </c>
      <c r="O326" s="106" t="s">
        <v>274</v>
      </c>
      <c r="P326" s="106" t="s">
        <v>1181</v>
      </c>
      <c r="Q326" s="106" t="s">
        <v>429</v>
      </c>
      <c r="S326" s="106" t="str" cm="1">
        <f t="array" ref="S326">IF(TRIM($D326)="","(tidak diisi)",IFERROR(INDEX(Kamus!$B$3:$B$28,MATCH(TRUE,ISNUMBER(SEARCH(Kamus!$A$3:$A$28,$D326)),0)),"Jabatan Lainnya"))</f>
        <v>Sekretaris</v>
      </c>
      <c r="T326" s="106" t="str" cm="1">
        <f t="array" ref="T326">IF(TRIM($I326)="","(tidak diisi)",IFERROR(INDEX(Kamus!$E$3:$E$162,MATCH(TRUE,ISNUMBER(SEARCH(Kamus!$D$3:$D$162,$I326)),0)),"Barang Lain / Tidak Terinci"))</f>
        <v>Uang &amp; Setara Uang</v>
      </c>
      <c r="U326" s="106" t="str" cm="1">
        <f t="array" ref="U326">IF(TRIM($I326)="","(tidak diisi)",IFERROR(INDEX(Kamus!$H$3:$H$75,MATCH(TRUE,ISNUMBER(SEARCH(Kamus!$G$3:$G$75,$I326)),0)),"Pemberian Umum / Tanpa Konteks"))</f>
        <v>Pemberian Uang Langsung</v>
      </c>
      <c r="V326" s="106" t="str">
        <f t="shared" si="15"/>
        <v>2025</v>
      </c>
      <c r="W326" s="106" t="str" cm="1">
        <f t="array" ref="W326">IF(TRIM($K326)="","(tidak diisi)",IFERROR(INDEX(Kamus!$K$3:$K$118,MATCH(TRUE,ISNUMBER(SEARCH(Kamus!$J$3:$J$118,$K326)),0)),"Individu / Perorangan"))</f>
        <v>Individu / Perorangan</v>
      </c>
      <c r="X326" s="106" t="str">
        <f t="shared" si="16"/>
        <v>06</v>
      </c>
      <c r="Y326" s="106" t="str" cm="1">
        <f t="array" ref="Y326">IFERROR(INDEX(Kamus!$N$3:$N$111,MATCH(TRUE,ISNUMBER(SEARCH(Kamus!$M$3:$M$111,$I326)),0)),"")</f>
        <v/>
      </c>
      <c r="Z326" s="106" t="str">
        <f>IF(AND(OR($X326="02",$X326="03",$X326="04"),OR($T326="Parsel/Bingkisan (tidak dirinci)",$T326="Makanan &amp; Minuman",$T326="Peralatan Rumah Tangga / Pecah Belah",$T326="Pakaian &amp; Kain")),"Momen Hari Raya (dugaan musiman)",IFERROR(VLOOKUP($W326,Kamus!$P$3:$Q$14,2,FALSE),"Tidak Teridentifikasi"))</f>
        <v>Relasi Personal / Tidak Teridentifikasi</v>
      </c>
      <c r="AA326" s="106" t="str">
        <f t="shared" si="17"/>
        <v>Relasi Personal / Tidak Teridentifikasi</v>
      </c>
    </row>
    <row r="327" spans="1:27">
      <c r="A327" s="106">
        <v>326</v>
      </c>
      <c r="B327" s="106" t="s">
        <v>2661</v>
      </c>
      <c r="C327" s="107" t="s">
        <v>2662</v>
      </c>
      <c r="D327" s="106" t="s">
        <v>1033</v>
      </c>
      <c r="E327" s="106" t="s">
        <v>2663</v>
      </c>
      <c r="F327" s="106" t="s">
        <v>2719</v>
      </c>
      <c r="G327" s="106" t="s">
        <v>1074</v>
      </c>
      <c r="H327" s="106" t="s">
        <v>2720</v>
      </c>
      <c r="I327" s="106" t="s">
        <v>2721</v>
      </c>
      <c r="K327" s="106" t="s">
        <v>2722</v>
      </c>
      <c r="L327" s="106" t="s">
        <v>2723</v>
      </c>
      <c r="O327" s="106" t="s">
        <v>274</v>
      </c>
      <c r="P327" s="106" t="s">
        <v>2668</v>
      </c>
      <c r="Q327" s="106" t="s">
        <v>395</v>
      </c>
      <c r="S327" s="106" t="str" cm="1">
        <f t="array" ref="S327">IF(TRIM($D327)="","(tidak diisi)",IFERROR(INDEX(Kamus!$B$3:$B$28,MATCH(TRUE,ISNUMBER(SEARCH(Kamus!$A$3:$A$28,$D327)),0)),"Jabatan Lainnya"))</f>
        <v>Hakim</v>
      </c>
      <c r="T327" s="106" t="str" cm="1">
        <f t="array" ref="T327">IF(TRIM($I327)="","(tidak diisi)",IFERROR(INDEX(Kamus!$E$3:$E$162,MATCH(TRUE,ISNUMBER(SEARCH(Kamus!$D$3:$D$162,$I327)),0)),"Barang Lain / Tidak Terinci"))</f>
        <v>Makanan &amp; Minuman</v>
      </c>
      <c r="U327" s="106" t="str" cm="1">
        <f t="array" ref="U327">IF(TRIM($I327)="","(tidak diisi)",IFERROR(INDEX(Kamus!$H$3:$H$75,MATCH(TRUE,ISNUMBER(SEARCH(Kamus!$G$3:$G$75,$I327)),0)),"Pemberian Umum / Tanpa Konteks"))</f>
        <v>Jamuan / Konsumsi Rapat &amp; Kegiatan</v>
      </c>
      <c r="V327" s="106" t="str">
        <f t="shared" si="15"/>
        <v>2025</v>
      </c>
      <c r="W327" s="106" t="str" cm="1">
        <f t="array" ref="W327">IF(TRIM($K327)="","(tidak diisi)",IFERROR(INDEX(Kamus!$K$3:$K$118,MATCH(TRUE,ISNUMBER(SEARCH(Kamus!$J$3:$J$118,$K327)),0)),"Individu / Perorangan"))</f>
        <v>Individu / Perorangan</v>
      </c>
      <c r="X327" s="106" t="str">
        <f t="shared" si="16"/>
        <v>05</v>
      </c>
      <c r="Y327" s="106" t="str" cm="1">
        <f t="array" ref="Y327">IFERROR(INDEX(Kamus!$N$3:$N$111,MATCH(TRUE,ISNUMBER(SEARCH(Kamus!$M$3:$M$111,$I327)),0)),"")</f>
        <v>Rapat / Jamuan Dinas</v>
      </c>
      <c r="Z327" s="106" t="str">
        <f>IF(AND(OR($X327="02",$X327="03",$X327="04"),OR($T327="Parsel/Bingkisan (tidak dirinci)",$T327="Makanan &amp; Minuman",$T327="Peralatan Rumah Tangga / Pecah Belah",$T327="Pakaian &amp; Kain")),"Momen Hari Raya (dugaan musiman)",IFERROR(VLOOKUP($W327,Kamus!$P$3:$Q$14,2,FALSE),"Tidak Teridentifikasi"))</f>
        <v>Relasi Personal / Tidak Teridentifikasi</v>
      </c>
      <c r="AA327" s="106" t="str">
        <f t="shared" si="17"/>
        <v>Rapat / Jamuan Dinas</v>
      </c>
    </row>
    <row r="328" spans="1:27">
      <c r="A328" s="106">
        <v>327</v>
      </c>
      <c r="B328" s="106" t="s">
        <v>2724</v>
      </c>
      <c r="C328" s="107" t="s">
        <v>2725</v>
      </c>
      <c r="D328" s="106" t="s">
        <v>1042</v>
      </c>
      <c r="E328" s="106" t="s">
        <v>2726</v>
      </c>
      <c r="F328" s="106" t="s">
        <v>2727</v>
      </c>
      <c r="G328" s="106" t="s">
        <v>1006</v>
      </c>
      <c r="H328" s="106" t="s">
        <v>2728</v>
      </c>
      <c r="I328" s="106" t="s">
        <v>2729</v>
      </c>
      <c r="K328" s="106" t="s">
        <v>2730</v>
      </c>
      <c r="L328" s="106" t="s">
        <v>2731</v>
      </c>
      <c r="O328" s="106" t="s">
        <v>274</v>
      </c>
      <c r="P328" s="106" t="s">
        <v>2732</v>
      </c>
      <c r="Q328" s="106" t="s">
        <v>428</v>
      </c>
      <c r="S328" s="106" t="str" cm="1">
        <f t="array" ref="S328">IF(TRIM($D328)="","(tidak diisi)",IFERROR(INDEX(Kamus!$B$3:$B$28,MATCH(TRUE,ISNUMBER(SEARCH(Kamus!$A$3:$A$28,$D328)),0)),"Jabatan Lainnya"))</f>
        <v>Ketua Pengadilan</v>
      </c>
      <c r="T328" s="106" t="str" cm="1">
        <f t="array" ref="T328">IF(TRIM($I328)="","(tidak diisi)",IFERROR(INDEX(Kamus!$E$3:$E$162,MATCH(TRUE,ISNUMBER(SEARCH(Kamus!$D$3:$D$162,$I328)),0)),"Barang Lain / Tidak Terinci"))</f>
        <v>Suvenir &amp; Merchandise</v>
      </c>
      <c r="U328" s="106" t="str" cm="1">
        <f t="array" ref="U328">IF(TRIM($I328)="","(tidak diisi)",IFERROR(INDEX(Kamus!$H$3:$H$75,MATCH(TRUE,ISNUMBER(SEARCH(Kamus!$G$3:$G$75,$I328)),0)),"Pemberian Umum / Tanpa Konteks"))</f>
        <v>Pemberian Umum / Tanpa Konteks</v>
      </c>
      <c r="V328" s="106" t="str">
        <f t="shared" si="15"/>
        <v>2025</v>
      </c>
      <c r="W328" s="106" t="str" cm="1">
        <f t="array" ref="W328">IF(TRIM($K328)="","(tidak diisi)",IFERROR(INDEX(Kamus!$K$3:$K$118,MATCH(TRUE,ISNUMBER(SEARCH(Kamus!$J$3:$J$118,$K328)),0)),"Individu / Perorangan"))</f>
        <v>Individu / Perorangan</v>
      </c>
      <c r="X328" s="106" t="str">
        <f t="shared" si="16"/>
        <v>06</v>
      </c>
      <c r="Y328" s="106" t="str" cm="1">
        <f t="array" ref="Y328">IFERROR(INDEX(Kamus!$N$3:$N$111,MATCH(TRUE,ISNUMBER(SEARCH(Kamus!$M$3:$M$111,$I328)),0)),"")</f>
        <v/>
      </c>
      <c r="Z328" s="106" t="str">
        <f>IF(AND(OR($X328="02",$X328="03",$X328="04"),OR($T328="Parsel/Bingkisan (tidak dirinci)",$T328="Makanan &amp; Minuman",$T328="Peralatan Rumah Tangga / Pecah Belah",$T328="Pakaian &amp; Kain")),"Momen Hari Raya (dugaan musiman)",IFERROR(VLOOKUP($W328,Kamus!$P$3:$Q$14,2,FALSE),"Tidak Teridentifikasi"))</f>
        <v>Relasi Personal / Tidak Teridentifikasi</v>
      </c>
      <c r="AA328" s="106" t="str">
        <f t="shared" si="17"/>
        <v>Relasi Personal / Tidak Teridentifikasi</v>
      </c>
    </row>
    <row r="329" spans="1:27">
      <c r="A329" s="106">
        <v>328</v>
      </c>
      <c r="B329" s="106" t="s">
        <v>1727</v>
      </c>
      <c r="C329" s="107" t="s">
        <v>1728</v>
      </c>
      <c r="D329" s="106" t="s">
        <v>1144</v>
      </c>
      <c r="E329" s="106" t="s">
        <v>2733</v>
      </c>
      <c r="F329" s="106" t="s">
        <v>2734</v>
      </c>
      <c r="G329" s="106" t="s">
        <v>1006</v>
      </c>
      <c r="H329" s="106" t="s">
        <v>2735</v>
      </c>
      <c r="I329" s="106" t="s">
        <v>2736</v>
      </c>
      <c r="J329" s="106">
        <v>250000</v>
      </c>
      <c r="K329" s="106" t="s">
        <v>2737</v>
      </c>
      <c r="L329" s="106" t="s">
        <v>2738</v>
      </c>
      <c r="M329" s="106" t="s">
        <v>1039</v>
      </c>
      <c r="O329" s="106" t="s">
        <v>274</v>
      </c>
      <c r="Q329" s="106" t="s">
        <v>447</v>
      </c>
      <c r="S329" s="106" t="str" cm="1">
        <f t="array" ref="S329">IF(TRIM($D329)="","(tidak diisi)",IFERROR(INDEX(Kamus!$B$3:$B$28,MATCH(TRUE,ISNUMBER(SEARCH(Kamus!$A$3:$A$28,$D329)),0)),"Jabatan Lainnya"))</f>
        <v>Ketua Pengadilan</v>
      </c>
      <c r="T329" s="106" t="str" cm="1">
        <f t="array" ref="T329">IF(TRIM($I329)="","(tidak diisi)",IFERROR(INDEX(Kamus!$E$3:$E$162,MATCH(TRUE,ISNUMBER(SEARCH(Kamus!$D$3:$D$162,$I329)),0)),"Barang Lain / Tidak Terinci"))</f>
        <v>Buku &amp; Publikasi</v>
      </c>
      <c r="U329" s="106" t="str" cm="1">
        <f t="array" ref="U329">IF(TRIM($I329)="","(tidak diisi)",IFERROR(INDEX(Kamus!$H$3:$H$75,MATCH(TRUE,ISNUMBER(SEARCH(Kamus!$G$3:$G$75,$I329)),0)),"Pemberian Umum / Tanpa Konteks"))</f>
        <v>Pemberian Umum / Tanpa Konteks</v>
      </c>
      <c r="V329" s="106" t="str">
        <f t="shared" si="15"/>
        <v>2025</v>
      </c>
      <c r="W329" s="106" t="str" cm="1">
        <f t="array" ref="W329">IF(TRIM($K329)="","(tidak diisi)",IFERROR(INDEX(Kamus!$K$3:$K$118,MATCH(TRUE,ISNUMBER(SEARCH(Kamus!$J$3:$J$118,$K329)),0)),"Individu / Perorangan"))</f>
        <v>Individu / Perorangan</v>
      </c>
      <c r="X329" s="106" t="str">
        <f t="shared" si="16"/>
        <v>06</v>
      </c>
      <c r="Y329" s="106" t="str" cm="1">
        <f t="array" ref="Y329">IFERROR(INDEX(Kamus!$N$3:$N$111,MATCH(TRUE,ISNUMBER(SEARCH(Kamus!$M$3:$M$111,$I329)),0)),"")</f>
        <v/>
      </c>
      <c r="Z329" s="106" t="str">
        <f>IF(AND(OR($X329="02",$X329="03",$X329="04"),OR($T329="Parsel/Bingkisan (tidak dirinci)",$T329="Makanan &amp; Minuman",$T329="Peralatan Rumah Tangga / Pecah Belah",$T329="Pakaian &amp; Kain")),"Momen Hari Raya (dugaan musiman)",IFERROR(VLOOKUP($W329,Kamus!$P$3:$Q$14,2,FALSE),"Tidak Teridentifikasi"))</f>
        <v>Relasi Personal / Tidak Teridentifikasi</v>
      </c>
      <c r="AA329" s="106" t="str">
        <f t="shared" si="17"/>
        <v>Relasi Personal / Tidak Teridentifikasi</v>
      </c>
    </row>
    <row r="330" spans="1:27">
      <c r="A330" s="106">
        <v>329</v>
      </c>
      <c r="B330" s="106" t="s">
        <v>2739</v>
      </c>
      <c r="C330" s="107" t="s">
        <v>2740</v>
      </c>
      <c r="D330" s="106" t="s">
        <v>1144</v>
      </c>
      <c r="E330" s="106" t="s">
        <v>2741</v>
      </c>
      <c r="G330" s="106" t="s">
        <v>1074</v>
      </c>
      <c r="L330" s="106" t="s">
        <v>2742</v>
      </c>
      <c r="O330" s="106" t="s">
        <v>274</v>
      </c>
      <c r="Q330" s="106" t="s">
        <v>438</v>
      </c>
      <c r="S330" s="106" t="str" cm="1">
        <f t="array" ref="S330">IF(TRIM($D330)="","(tidak diisi)",IFERROR(INDEX(Kamus!$B$3:$B$28,MATCH(TRUE,ISNUMBER(SEARCH(Kamus!$A$3:$A$28,$D330)),0)),"Jabatan Lainnya"))</f>
        <v>Ketua Pengadilan</v>
      </c>
      <c r="T330" s="106" t="str" cm="1">
        <f t="array" ref="T330">IF(TRIM($I330)="","(tidak diisi)",IFERROR(INDEX(Kamus!$E$3:$E$162,MATCH(TRUE,ISNUMBER(SEARCH(Kamus!$D$3:$D$162,$I330)),0)),"Barang Lain / Tidak Terinci"))</f>
        <v>(tidak diisi)</v>
      </c>
      <c r="U330" s="106" t="str" cm="1">
        <f t="array" ref="U330">IF(TRIM($I330)="","(tidak diisi)",IFERROR(INDEX(Kamus!$H$3:$H$75,MATCH(TRUE,ISNUMBER(SEARCH(Kamus!$G$3:$G$75,$I330)),0)),"Pemberian Umum / Tanpa Konteks"))</f>
        <v>(tidak diisi)</v>
      </c>
      <c r="V330" s="106" t="str">
        <f t="shared" si="15"/>
        <v>(tidak diisi)</v>
      </c>
      <c r="W330" s="106" t="str" cm="1">
        <f t="array" ref="W330">IF(TRIM($K330)="","(tidak diisi)",IFERROR(INDEX(Kamus!$K$3:$K$118,MATCH(TRUE,ISNUMBER(SEARCH(Kamus!$J$3:$J$118,$K330)),0)),"Individu / Perorangan"))</f>
        <v>(tidak diisi)</v>
      </c>
      <c r="X330" s="106" t="str">
        <f t="shared" si="16"/>
        <v>(tidak diisi)</v>
      </c>
      <c r="Y330" s="106" t="str" cm="1">
        <f t="array" ref="Y330">IFERROR(INDEX(Kamus!$N$3:$N$111,MATCH(TRUE,ISNUMBER(SEARCH(Kamus!$M$3:$M$111,$I330)),0)),"")</f>
        <v/>
      </c>
      <c r="Z330" s="106" t="str">
        <f>IF(AND(OR($X330="02",$X330="03",$X330="04"),OR($T330="Parsel/Bingkisan (tidak dirinci)",$T330="Makanan &amp; Minuman",$T330="Peralatan Rumah Tangga / Pecah Belah",$T330="Pakaian &amp; Kain")),"Momen Hari Raya (dugaan musiman)",IFERROR(VLOOKUP($W330,Kamus!$P$3:$Q$14,2,FALSE),"Tidak Teridentifikasi"))</f>
        <v>Tidak Teridentifikasi</v>
      </c>
      <c r="AA330" s="106" t="str">
        <f t="shared" si="17"/>
        <v>Tidak Teridentifikasi</v>
      </c>
    </row>
    <row r="331" spans="1:27">
      <c r="A331" s="106">
        <v>330</v>
      </c>
      <c r="B331" s="106" t="s">
        <v>2743</v>
      </c>
      <c r="C331" s="107" t="s">
        <v>2744</v>
      </c>
      <c r="D331" s="106" t="s">
        <v>1319</v>
      </c>
      <c r="E331" s="106" t="s">
        <v>2150</v>
      </c>
      <c r="F331" s="106" t="s">
        <v>2745</v>
      </c>
      <c r="G331" s="106" t="s">
        <v>1006</v>
      </c>
      <c r="H331" s="106" t="s">
        <v>2746</v>
      </c>
      <c r="I331" s="106" t="s">
        <v>2747</v>
      </c>
      <c r="J331" s="106">
        <v>200000</v>
      </c>
      <c r="K331" s="106" t="s">
        <v>2748</v>
      </c>
      <c r="L331" s="106" t="s">
        <v>2749</v>
      </c>
      <c r="M331" s="106" t="s">
        <v>1039</v>
      </c>
      <c r="O331" s="106" t="s">
        <v>274</v>
      </c>
      <c r="P331" s="106" t="s">
        <v>604</v>
      </c>
      <c r="Q331" s="106" t="s">
        <v>429</v>
      </c>
      <c r="S331" s="106" t="str" cm="1">
        <f t="array" ref="S331">IF(TRIM($D331)="","(tidak diisi)",IFERROR(INDEX(Kamus!$B$3:$B$28,MATCH(TRUE,ISNUMBER(SEARCH(Kamus!$A$3:$A$28,$D331)),0)),"Jabatan Lainnya"))</f>
        <v>Wakil Ketua Pengadilan</v>
      </c>
      <c r="T331" s="106" t="str" cm="1">
        <f t="array" ref="T331">IF(TRIM($I331)="","(tidak diisi)",IFERROR(INDEX(Kamus!$E$3:$E$162,MATCH(TRUE,ISNUMBER(SEARCH(Kamus!$D$3:$D$162,$I331)),0)),"Barang Lain / Tidak Terinci"))</f>
        <v>Pakaian &amp; Kain</v>
      </c>
      <c r="U331" s="106" t="str" cm="1">
        <f t="array" ref="U331">IF(TRIM($I331)="","(tidak diisi)",IFERROR(INDEX(Kamus!$H$3:$H$75,MATCH(TRUE,ISNUMBER(SEARCH(Kamus!$G$3:$G$75,$I331)),0)),"Pemberian Umum / Tanpa Konteks"))</f>
        <v>Pemberian Umum / Tanpa Konteks</v>
      </c>
      <c r="V331" s="106" t="str">
        <f t="shared" si="15"/>
        <v>2025</v>
      </c>
      <c r="W331" s="106" t="str" cm="1">
        <f t="array" ref="W331">IF(TRIM($K331)="","(tidak diisi)",IFERROR(INDEX(Kamus!$K$3:$K$118,MATCH(TRUE,ISNUMBER(SEARCH(Kamus!$J$3:$J$118,$K331)),0)),"Individu / Perorangan"))</f>
        <v>Individu / Perorangan</v>
      </c>
      <c r="X331" s="106" t="str">
        <f t="shared" si="16"/>
        <v>06</v>
      </c>
      <c r="Y331" s="106" t="str" cm="1">
        <f t="array" ref="Y331">IFERROR(INDEX(Kamus!$N$3:$N$111,MATCH(TRUE,ISNUMBER(SEARCH(Kamus!$M$3:$M$111,$I331)),0)),"")</f>
        <v/>
      </c>
      <c r="Z331" s="106" t="str">
        <f>IF(AND(OR($X331="02",$X331="03",$X331="04"),OR($T331="Parsel/Bingkisan (tidak dirinci)",$T331="Makanan &amp; Minuman",$T331="Peralatan Rumah Tangga / Pecah Belah",$T331="Pakaian &amp; Kain")),"Momen Hari Raya (dugaan musiman)",IFERROR(VLOOKUP($W331,Kamus!$P$3:$Q$14,2,FALSE),"Tidak Teridentifikasi"))</f>
        <v>Relasi Personal / Tidak Teridentifikasi</v>
      </c>
      <c r="AA331" s="106" t="str">
        <f t="shared" si="17"/>
        <v>Relasi Personal / Tidak Teridentifikasi</v>
      </c>
    </row>
    <row r="332" spans="1:27">
      <c r="A332" s="106">
        <v>331</v>
      </c>
      <c r="B332" s="106" t="s">
        <v>1022</v>
      </c>
      <c r="C332" s="107" t="s">
        <v>1023</v>
      </c>
      <c r="D332" s="106" t="s">
        <v>1024</v>
      </c>
      <c r="E332" s="106" t="s">
        <v>1025</v>
      </c>
      <c r="F332" s="106" t="s">
        <v>2750</v>
      </c>
      <c r="G332" s="106" t="s">
        <v>1006</v>
      </c>
      <c r="H332" s="106" t="s">
        <v>2751</v>
      </c>
      <c r="I332" s="106" t="s">
        <v>2752</v>
      </c>
      <c r="J332" s="106">
        <v>50000</v>
      </c>
      <c r="K332" s="106" t="s">
        <v>468</v>
      </c>
      <c r="L332" s="106" t="s">
        <v>2753</v>
      </c>
      <c r="M332" s="106" t="s">
        <v>1039</v>
      </c>
      <c r="O332" s="106" t="s">
        <v>274</v>
      </c>
      <c r="P332" s="106" t="s">
        <v>561</v>
      </c>
      <c r="Q332" s="106" t="s">
        <v>428</v>
      </c>
      <c r="S332" s="106" t="str" cm="1">
        <f t="array" ref="S332">IF(TRIM($D332)="","(tidak diisi)",IFERROR(INDEX(Kamus!$B$3:$B$28,MATCH(TRUE,ISNUMBER(SEARCH(Kamus!$A$3:$A$28,$D332)),0)),"Jabatan Lainnya"))</f>
        <v>Sekretaris</v>
      </c>
      <c r="T332" s="106" t="str" cm="1">
        <f t="array" ref="T332">IF(TRIM($I332)="","(tidak diisi)",IFERROR(INDEX(Kamus!$E$3:$E$162,MATCH(TRUE,ISNUMBER(SEARCH(Kamus!$D$3:$D$162,$I332)),0)),"Barang Lain / Tidak Terinci"))</f>
        <v>Suvenir &amp; Merchandise</v>
      </c>
      <c r="U332" s="106" t="str" cm="1">
        <f t="array" ref="U332">IF(TRIM($I332)="","(tidak diisi)",IFERROR(INDEX(Kamus!$H$3:$H$75,MATCH(TRUE,ISNUMBER(SEARCH(Kamus!$G$3:$G$75,$I332)),0)),"Pemberian Umum / Tanpa Konteks"))</f>
        <v>Pemberian Umum / Tanpa Konteks</v>
      </c>
      <c r="V332" s="106" t="str">
        <f t="shared" si="15"/>
        <v>2025</v>
      </c>
      <c r="W332" s="106" t="str" cm="1">
        <f t="array" ref="W332">IF(TRIM($K332)="","(tidak diisi)",IFERROR(INDEX(Kamus!$K$3:$K$118,MATCH(TRUE,ISNUMBER(SEARCH(Kamus!$J$3:$J$118,$K332)),0)),"Individu / Perorangan"))</f>
        <v>Individu / Perorangan</v>
      </c>
      <c r="X332" s="106" t="str">
        <f t="shared" si="16"/>
        <v>06</v>
      </c>
      <c r="Y332" s="106" t="str" cm="1">
        <f t="array" ref="Y332">IFERROR(INDEX(Kamus!$N$3:$N$111,MATCH(TRUE,ISNUMBER(SEARCH(Kamus!$M$3:$M$111,$I332)),0)),"")</f>
        <v/>
      </c>
      <c r="Z332" s="106" t="str">
        <f>IF(AND(OR($X332="02",$X332="03",$X332="04"),OR($T332="Parsel/Bingkisan (tidak dirinci)",$T332="Makanan &amp; Minuman",$T332="Peralatan Rumah Tangga / Pecah Belah",$T332="Pakaian &amp; Kain")),"Momen Hari Raya (dugaan musiman)",IFERROR(VLOOKUP($W332,Kamus!$P$3:$Q$14,2,FALSE),"Tidak Teridentifikasi"))</f>
        <v>Relasi Personal / Tidak Teridentifikasi</v>
      </c>
      <c r="AA332" s="106" t="str">
        <f t="shared" si="17"/>
        <v>Relasi Personal / Tidak Teridentifikasi</v>
      </c>
    </row>
    <row r="333" spans="1:27">
      <c r="A333" s="106">
        <v>332</v>
      </c>
      <c r="B333" s="106" t="s">
        <v>1174</v>
      </c>
      <c r="C333" s="107" t="s">
        <v>1175</v>
      </c>
      <c r="D333" s="106" t="s">
        <v>1042</v>
      </c>
      <c r="E333" s="106" t="s">
        <v>1176</v>
      </c>
      <c r="F333" s="106" t="s">
        <v>2754</v>
      </c>
      <c r="G333" s="106" t="s">
        <v>1006</v>
      </c>
      <c r="H333" s="106" t="s">
        <v>2755</v>
      </c>
      <c r="I333" s="106" t="s">
        <v>1017</v>
      </c>
      <c r="J333" s="106">
        <v>500000</v>
      </c>
      <c r="K333" s="106" t="s">
        <v>2756</v>
      </c>
      <c r="L333" s="106" t="s">
        <v>2757</v>
      </c>
      <c r="M333" s="106" t="s">
        <v>1020</v>
      </c>
      <c r="O333" s="106" t="s">
        <v>274</v>
      </c>
      <c r="P333" s="106" t="s">
        <v>1181</v>
      </c>
      <c r="Q333" s="106" t="s">
        <v>429</v>
      </c>
      <c r="S333" s="106" t="str" cm="1">
        <f t="array" ref="S333">IF(TRIM($D333)="","(tidak diisi)",IFERROR(INDEX(Kamus!$B$3:$B$28,MATCH(TRUE,ISNUMBER(SEARCH(Kamus!$A$3:$A$28,$D333)),0)),"Jabatan Lainnya"))</f>
        <v>Ketua Pengadilan</v>
      </c>
      <c r="T333" s="106" t="str" cm="1">
        <f t="array" ref="T333">IF(TRIM($I333)="","(tidak diisi)",IFERROR(INDEX(Kamus!$E$3:$E$162,MATCH(TRUE,ISNUMBER(SEARCH(Kamus!$D$3:$D$162,$I333)),0)),"Barang Lain / Tidak Terinci"))</f>
        <v>Uang &amp; Setara Uang</v>
      </c>
      <c r="U333" s="106" t="str" cm="1">
        <f t="array" ref="U333">IF(TRIM($I333)="","(tidak diisi)",IFERROR(INDEX(Kamus!$H$3:$H$75,MATCH(TRUE,ISNUMBER(SEARCH(Kamus!$G$3:$G$75,$I333)),0)),"Pemberian Umum / Tanpa Konteks"))</f>
        <v>Pemberian Uang Langsung</v>
      </c>
      <c r="V333" s="106" t="str">
        <f t="shared" si="15"/>
        <v>2025</v>
      </c>
      <c r="W333" s="106" t="str" cm="1">
        <f t="array" ref="W333">IF(TRIM($K333)="","(tidak diisi)",IFERROR(INDEX(Kamus!$K$3:$K$118,MATCH(TRUE,ISNUMBER(SEARCH(Kamus!$J$3:$J$118,$K333)),0)),"Individu / Perorangan"))</f>
        <v>Individu / Perorangan</v>
      </c>
      <c r="X333" s="106" t="str">
        <f t="shared" si="16"/>
        <v>06</v>
      </c>
      <c r="Y333" s="106" t="str" cm="1">
        <f t="array" ref="Y333">IFERROR(INDEX(Kamus!$N$3:$N$111,MATCH(TRUE,ISNUMBER(SEARCH(Kamus!$M$3:$M$111,$I333)),0)),"")</f>
        <v/>
      </c>
      <c r="Z333" s="106" t="str">
        <f>IF(AND(OR($X333="02",$X333="03",$X333="04"),OR($T333="Parsel/Bingkisan (tidak dirinci)",$T333="Makanan &amp; Minuman",$T333="Peralatan Rumah Tangga / Pecah Belah",$T333="Pakaian &amp; Kain")),"Momen Hari Raya (dugaan musiman)",IFERROR(VLOOKUP($W333,Kamus!$P$3:$Q$14,2,FALSE),"Tidak Teridentifikasi"))</f>
        <v>Relasi Personal / Tidak Teridentifikasi</v>
      </c>
      <c r="AA333" s="106" t="str">
        <f t="shared" si="17"/>
        <v>Relasi Personal / Tidak Teridentifikasi</v>
      </c>
    </row>
    <row r="334" spans="1:27">
      <c r="A334" s="106">
        <v>333</v>
      </c>
      <c r="B334" s="106" t="s">
        <v>2318</v>
      </c>
      <c r="C334" s="107" t="s">
        <v>2319</v>
      </c>
      <c r="D334" s="106" t="s">
        <v>1042</v>
      </c>
      <c r="E334" s="106" t="s">
        <v>1025</v>
      </c>
      <c r="F334" s="106" t="s">
        <v>2758</v>
      </c>
      <c r="G334" s="106" t="s">
        <v>1006</v>
      </c>
      <c r="H334" s="106" t="s">
        <v>2759</v>
      </c>
      <c r="I334" s="106" t="s">
        <v>2760</v>
      </c>
      <c r="K334" s="106" t="s">
        <v>2761</v>
      </c>
      <c r="L334" s="106" t="s">
        <v>2762</v>
      </c>
      <c r="O334" s="106" t="s">
        <v>274</v>
      </c>
      <c r="P334" s="106" t="s">
        <v>561</v>
      </c>
      <c r="Q334" s="106" t="s">
        <v>428</v>
      </c>
      <c r="S334" s="106" t="str" cm="1">
        <f t="array" ref="S334">IF(TRIM($D334)="","(tidak diisi)",IFERROR(INDEX(Kamus!$B$3:$B$28,MATCH(TRUE,ISNUMBER(SEARCH(Kamus!$A$3:$A$28,$D334)),0)),"Jabatan Lainnya"))</f>
        <v>Ketua Pengadilan</v>
      </c>
      <c r="T334" s="106" t="str" cm="1">
        <f t="array" ref="T334">IF(TRIM($I334)="","(tidak diisi)",IFERROR(INDEX(Kamus!$E$3:$E$162,MATCH(TRUE,ISNUMBER(SEARCH(Kamus!$D$3:$D$162,$I334)),0)),"Barang Lain / Tidak Terinci"))</f>
        <v>Peralatan Rumah Tangga / Pecah Belah</v>
      </c>
      <c r="U334" s="106" t="str" cm="1">
        <f t="array" ref="U334">IF(TRIM($I334)="","(tidak diisi)",IFERROR(INDEX(Kamus!$H$3:$H$75,MATCH(TRUE,ISNUMBER(SEARCH(Kamus!$G$3:$G$75,$I334)),0)),"Pemberian Umum / Tanpa Konteks"))</f>
        <v>Pemberian Umum / Tanpa Konteks</v>
      </c>
      <c r="V334" s="106" t="str">
        <f t="shared" si="15"/>
        <v>2025</v>
      </c>
      <c r="W334" s="106" t="str" cm="1">
        <f t="array" ref="W334">IF(TRIM($K334)="","(tidak diisi)",IFERROR(INDEX(Kamus!$K$3:$K$118,MATCH(TRUE,ISNUMBER(SEARCH(Kamus!$J$3:$J$118,$K334)),0)),"Individu / Perorangan"))</f>
        <v>Individu / Perorangan</v>
      </c>
      <c r="X334" s="106" t="str">
        <f t="shared" si="16"/>
        <v>06</v>
      </c>
      <c r="Y334" s="106" t="str" cm="1">
        <f t="array" ref="Y334">IFERROR(INDEX(Kamus!$N$3:$N$111,MATCH(TRUE,ISNUMBER(SEARCH(Kamus!$M$3:$M$111,$I334)),0)),"")</f>
        <v/>
      </c>
      <c r="Z334" s="106" t="str">
        <f>IF(AND(OR($X334="02",$X334="03",$X334="04"),OR($T334="Parsel/Bingkisan (tidak dirinci)",$T334="Makanan &amp; Minuman",$T334="Peralatan Rumah Tangga / Pecah Belah",$T334="Pakaian &amp; Kain")),"Momen Hari Raya (dugaan musiman)",IFERROR(VLOOKUP($W334,Kamus!$P$3:$Q$14,2,FALSE),"Tidak Teridentifikasi"))</f>
        <v>Relasi Personal / Tidak Teridentifikasi</v>
      </c>
      <c r="AA334" s="106" t="str">
        <f t="shared" si="17"/>
        <v>Relasi Personal / Tidak Teridentifikasi</v>
      </c>
    </row>
    <row r="335" spans="1:27">
      <c r="A335" s="106">
        <v>334</v>
      </c>
      <c r="B335" s="106" t="s">
        <v>2318</v>
      </c>
      <c r="C335" s="107" t="s">
        <v>2319</v>
      </c>
      <c r="D335" s="106" t="s">
        <v>1042</v>
      </c>
      <c r="E335" s="106" t="s">
        <v>1025</v>
      </c>
      <c r="F335" s="106" t="s">
        <v>2763</v>
      </c>
      <c r="G335" s="106" t="s">
        <v>1074</v>
      </c>
      <c r="H335" s="106" t="s">
        <v>2751</v>
      </c>
      <c r="I335" s="106" t="s">
        <v>1017</v>
      </c>
      <c r="K335" s="106" t="s">
        <v>2764</v>
      </c>
      <c r="L335" s="106" t="s">
        <v>2765</v>
      </c>
      <c r="O335" s="106" t="s">
        <v>274</v>
      </c>
      <c r="P335" s="106" t="s">
        <v>561</v>
      </c>
      <c r="Q335" s="106" t="s">
        <v>428</v>
      </c>
      <c r="S335" s="106" t="str" cm="1">
        <f t="array" ref="S335">IF(TRIM($D335)="","(tidak diisi)",IFERROR(INDEX(Kamus!$B$3:$B$28,MATCH(TRUE,ISNUMBER(SEARCH(Kamus!$A$3:$A$28,$D335)),0)),"Jabatan Lainnya"))</f>
        <v>Ketua Pengadilan</v>
      </c>
      <c r="T335" s="106" t="str" cm="1">
        <f t="array" ref="T335">IF(TRIM($I335)="","(tidak diisi)",IFERROR(INDEX(Kamus!$E$3:$E$162,MATCH(TRUE,ISNUMBER(SEARCH(Kamus!$D$3:$D$162,$I335)),0)),"Barang Lain / Tidak Terinci"))</f>
        <v>Uang &amp; Setara Uang</v>
      </c>
      <c r="U335" s="106" t="str" cm="1">
        <f t="array" ref="U335">IF(TRIM($I335)="","(tidak diisi)",IFERROR(INDEX(Kamus!$H$3:$H$75,MATCH(TRUE,ISNUMBER(SEARCH(Kamus!$G$3:$G$75,$I335)),0)),"Pemberian Umum / Tanpa Konteks"))</f>
        <v>Pemberian Uang Langsung</v>
      </c>
      <c r="V335" s="106" t="str">
        <f t="shared" si="15"/>
        <v>2025</v>
      </c>
      <c r="W335" s="106" t="str" cm="1">
        <f t="array" ref="W335">IF(TRIM($K335)="","(tidak diisi)",IFERROR(INDEX(Kamus!$K$3:$K$118,MATCH(TRUE,ISNUMBER(SEARCH(Kamus!$J$3:$J$118,$K335)),0)),"Individu / Perorangan"))</f>
        <v>Individu / Perorangan</v>
      </c>
      <c r="X335" s="106" t="str">
        <f t="shared" si="16"/>
        <v>06</v>
      </c>
      <c r="Y335" s="106" t="str" cm="1">
        <f t="array" ref="Y335">IFERROR(INDEX(Kamus!$N$3:$N$111,MATCH(TRUE,ISNUMBER(SEARCH(Kamus!$M$3:$M$111,$I335)),0)),"")</f>
        <v/>
      </c>
      <c r="Z335" s="106" t="str">
        <f>IF(AND(OR($X335="02",$X335="03",$X335="04"),OR($T335="Parsel/Bingkisan (tidak dirinci)",$T335="Makanan &amp; Minuman",$T335="Peralatan Rumah Tangga / Pecah Belah",$T335="Pakaian &amp; Kain")),"Momen Hari Raya (dugaan musiman)",IFERROR(VLOOKUP($W335,Kamus!$P$3:$Q$14,2,FALSE),"Tidak Teridentifikasi"))</f>
        <v>Relasi Personal / Tidak Teridentifikasi</v>
      </c>
      <c r="AA335" s="106" t="str">
        <f t="shared" si="17"/>
        <v>Relasi Personal / Tidak Teridentifikasi</v>
      </c>
    </row>
    <row r="336" spans="1:27">
      <c r="A336" s="106">
        <v>335</v>
      </c>
      <c r="B336" s="106" t="s">
        <v>2318</v>
      </c>
      <c r="C336" s="107" t="s">
        <v>2319</v>
      </c>
      <c r="D336" s="106" t="s">
        <v>1042</v>
      </c>
      <c r="E336" s="106" t="s">
        <v>1025</v>
      </c>
      <c r="F336" s="106" t="s">
        <v>2766</v>
      </c>
      <c r="G336" s="106" t="s">
        <v>1074</v>
      </c>
      <c r="H336" s="106" t="s">
        <v>2767</v>
      </c>
      <c r="I336" s="106" t="s">
        <v>1017</v>
      </c>
      <c r="K336" s="106" t="s">
        <v>2768</v>
      </c>
      <c r="L336" s="106" t="s">
        <v>2769</v>
      </c>
      <c r="O336" s="106" t="s">
        <v>274</v>
      </c>
      <c r="P336" s="106" t="s">
        <v>561</v>
      </c>
      <c r="Q336" s="106" t="s">
        <v>428</v>
      </c>
      <c r="S336" s="106" t="str" cm="1">
        <f t="array" ref="S336">IF(TRIM($D336)="","(tidak diisi)",IFERROR(INDEX(Kamus!$B$3:$B$28,MATCH(TRUE,ISNUMBER(SEARCH(Kamus!$A$3:$A$28,$D336)),0)),"Jabatan Lainnya"))</f>
        <v>Ketua Pengadilan</v>
      </c>
      <c r="T336" s="106" t="str" cm="1">
        <f t="array" ref="T336">IF(TRIM($I336)="","(tidak diisi)",IFERROR(INDEX(Kamus!$E$3:$E$162,MATCH(TRUE,ISNUMBER(SEARCH(Kamus!$D$3:$D$162,$I336)),0)),"Barang Lain / Tidak Terinci"))</f>
        <v>Uang &amp; Setara Uang</v>
      </c>
      <c r="U336" s="106" t="str" cm="1">
        <f t="array" ref="U336">IF(TRIM($I336)="","(tidak diisi)",IFERROR(INDEX(Kamus!$H$3:$H$75,MATCH(TRUE,ISNUMBER(SEARCH(Kamus!$G$3:$G$75,$I336)),0)),"Pemberian Umum / Tanpa Konteks"))</f>
        <v>Pemberian Uang Langsung</v>
      </c>
      <c r="V336" s="106" t="str">
        <f t="shared" si="15"/>
        <v>2025</v>
      </c>
      <c r="W336" s="106" t="str" cm="1">
        <f t="array" ref="W336">IF(TRIM($K336)="","(tidak diisi)",IFERROR(INDEX(Kamus!$K$3:$K$118,MATCH(TRUE,ISNUMBER(SEARCH(Kamus!$J$3:$J$118,$K336)),0)),"Individu / Perorangan"))</f>
        <v>Individu / Perorangan</v>
      </c>
      <c r="X336" s="106" t="str">
        <f t="shared" si="16"/>
        <v>06</v>
      </c>
      <c r="Y336" s="106" t="str" cm="1">
        <f t="array" ref="Y336">IFERROR(INDEX(Kamus!$N$3:$N$111,MATCH(TRUE,ISNUMBER(SEARCH(Kamus!$M$3:$M$111,$I336)),0)),"")</f>
        <v/>
      </c>
      <c r="Z336" s="106" t="str">
        <f>IF(AND(OR($X336="02",$X336="03",$X336="04"),OR($T336="Parsel/Bingkisan (tidak dirinci)",$T336="Makanan &amp; Minuman",$T336="Peralatan Rumah Tangga / Pecah Belah",$T336="Pakaian &amp; Kain")),"Momen Hari Raya (dugaan musiman)",IFERROR(VLOOKUP($W336,Kamus!$P$3:$Q$14,2,FALSE),"Tidak Teridentifikasi"))</f>
        <v>Relasi Personal / Tidak Teridentifikasi</v>
      </c>
      <c r="AA336" s="106" t="str">
        <f t="shared" si="17"/>
        <v>Relasi Personal / Tidak Teridentifikasi</v>
      </c>
    </row>
    <row r="337" spans="1:27">
      <c r="A337" s="106">
        <v>336</v>
      </c>
      <c r="B337" s="106" t="s">
        <v>2770</v>
      </c>
      <c r="C337" s="107" t="s">
        <v>2771</v>
      </c>
      <c r="D337" s="106" t="s">
        <v>1033</v>
      </c>
      <c r="E337" s="106" t="s">
        <v>1380</v>
      </c>
      <c r="F337" s="106" t="s">
        <v>2772</v>
      </c>
      <c r="G337" s="106" t="s">
        <v>1006</v>
      </c>
      <c r="H337" s="106" t="s">
        <v>2759</v>
      </c>
      <c r="I337" s="106" t="s">
        <v>2773</v>
      </c>
      <c r="J337" s="106">
        <v>40000</v>
      </c>
      <c r="K337" s="106" t="s">
        <v>2774</v>
      </c>
      <c r="L337" s="106" t="s">
        <v>2775</v>
      </c>
      <c r="M337" s="106" t="s">
        <v>1171</v>
      </c>
      <c r="N337" s="106" t="s">
        <v>2776</v>
      </c>
      <c r="O337" s="106" t="s">
        <v>274</v>
      </c>
      <c r="P337" s="106" t="s">
        <v>1382</v>
      </c>
      <c r="Q337" s="106" t="s">
        <v>427</v>
      </c>
      <c r="S337" s="106" t="str" cm="1">
        <f t="array" ref="S337">IF(TRIM($D337)="","(tidak diisi)",IFERROR(INDEX(Kamus!$B$3:$B$28,MATCH(TRUE,ISNUMBER(SEARCH(Kamus!$A$3:$A$28,$D337)),0)),"Jabatan Lainnya"))</f>
        <v>Hakim</v>
      </c>
      <c r="T337" s="106" t="str" cm="1">
        <f t="array" ref="T337">IF(TRIM($I337)="","(tidak diisi)",IFERROR(INDEX(Kamus!$E$3:$E$162,MATCH(TRUE,ISNUMBER(SEARCH(Kamus!$D$3:$D$162,$I337)),0)),"Barang Lain / Tidak Terinci"))</f>
        <v>Barang Lain / Tidak Terinci</v>
      </c>
      <c r="U337" s="106" t="str" cm="1">
        <f t="array" ref="U337">IF(TRIM($I337)="","(tidak diisi)",IFERROR(INDEX(Kamus!$H$3:$H$75,MATCH(TRUE,ISNUMBER(SEARCH(Kamus!$G$3:$G$75,$I337)),0)),"Pemberian Umum / Tanpa Konteks"))</f>
        <v>Pemberian Umum / Tanpa Konteks</v>
      </c>
      <c r="V337" s="106" t="str">
        <f t="shared" si="15"/>
        <v>2025</v>
      </c>
      <c r="W337" s="106" t="str" cm="1">
        <f t="array" ref="W337">IF(TRIM($K337)="","(tidak diisi)",IFERROR(INDEX(Kamus!$K$3:$K$118,MATCH(TRUE,ISNUMBER(SEARCH(Kamus!$J$3:$J$118,$K337)),0)),"Individu / Perorangan"))</f>
        <v>Individu / Perorangan</v>
      </c>
      <c r="X337" s="106" t="str">
        <f t="shared" si="16"/>
        <v>06</v>
      </c>
      <c r="Y337" s="106" t="str" cm="1">
        <f t="array" ref="Y337">IFERROR(INDEX(Kamus!$N$3:$N$111,MATCH(TRUE,ISNUMBER(SEARCH(Kamus!$M$3:$M$111,$I337)),0)),"")</f>
        <v/>
      </c>
      <c r="Z337" s="106" t="str">
        <f>IF(AND(OR($X337="02",$X337="03",$X337="04"),OR($T337="Parsel/Bingkisan (tidak dirinci)",$T337="Makanan &amp; Minuman",$T337="Peralatan Rumah Tangga / Pecah Belah",$T337="Pakaian &amp; Kain")),"Momen Hari Raya (dugaan musiman)",IFERROR(VLOOKUP($W337,Kamus!$P$3:$Q$14,2,FALSE),"Tidak Teridentifikasi"))</f>
        <v>Relasi Personal / Tidak Teridentifikasi</v>
      </c>
      <c r="AA337" s="106" t="str">
        <f t="shared" si="17"/>
        <v>Relasi Personal / Tidak Teridentifikasi</v>
      </c>
    </row>
    <row r="338" spans="1:27">
      <c r="A338" s="106">
        <v>337</v>
      </c>
      <c r="B338" s="106" t="s">
        <v>2456</v>
      </c>
      <c r="C338" s="107" t="s">
        <v>2457</v>
      </c>
      <c r="D338" s="106" t="s">
        <v>1042</v>
      </c>
      <c r="E338" s="106" t="s">
        <v>1115</v>
      </c>
      <c r="F338" s="106" t="s">
        <v>2777</v>
      </c>
      <c r="G338" s="106" t="s">
        <v>1006</v>
      </c>
      <c r="H338" s="106" t="s">
        <v>2759</v>
      </c>
      <c r="I338" s="106" t="s">
        <v>2778</v>
      </c>
      <c r="J338" s="106">
        <v>89970</v>
      </c>
      <c r="K338" s="106" t="s">
        <v>2779</v>
      </c>
      <c r="L338" s="106" t="s">
        <v>2780</v>
      </c>
      <c r="M338" s="106" t="s">
        <v>1171</v>
      </c>
      <c r="N338" s="106" t="s">
        <v>2781</v>
      </c>
      <c r="O338" s="106" t="s">
        <v>274</v>
      </c>
      <c r="P338" s="106" t="s">
        <v>1119</v>
      </c>
      <c r="Q338" s="106" t="s">
        <v>429</v>
      </c>
      <c r="S338" s="106" t="str" cm="1">
        <f t="array" ref="S338">IF(TRIM($D338)="","(tidak diisi)",IFERROR(INDEX(Kamus!$B$3:$B$28,MATCH(TRUE,ISNUMBER(SEARCH(Kamus!$A$3:$A$28,$D338)),0)),"Jabatan Lainnya"))</f>
        <v>Ketua Pengadilan</v>
      </c>
      <c r="T338" s="106" t="str" cm="1">
        <f t="array" ref="T338">IF(TRIM($I338)="","(tidak diisi)",IFERROR(INDEX(Kamus!$E$3:$E$162,MATCH(TRUE,ISNUMBER(SEARCH(Kamus!$D$3:$D$162,$I338)),0)),"Barang Lain / Tidak Terinci"))</f>
        <v>Peralatan Rumah Tangga / Pecah Belah</v>
      </c>
      <c r="U338" s="106" t="str" cm="1">
        <f t="array" ref="U338">IF(TRIM($I338)="","(tidak diisi)",IFERROR(INDEX(Kamus!$H$3:$H$75,MATCH(TRUE,ISNUMBER(SEARCH(Kamus!$G$3:$G$75,$I338)),0)),"Pemberian Umum / Tanpa Konteks"))</f>
        <v>Pemberian Umum / Tanpa Konteks</v>
      </c>
      <c r="V338" s="106" t="str">
        <f t="shared" si="15"/>
        <v>2025</v>
      </c>
      <c r="W338" s="106" t="str" cm="1">
        <f t="array" ref="W338">IF(TRIM($K338)="","(tidak diisi)",IFERROR(INDEX(Kamus!$K$3:$K$118,MATCH(TRUE,ISNUMBER(SEARCH(Kamus!$J$3:$J$118,$K338)),0)),"Individu / Perorangan"))</f>
        <v>Individu / Perorangan</v>
      </c>
      <c r="X338" s="106" t="str">
        <f t="shared" si="16"/>
        <v>06</v>
      </c>
      <c r="Y338" s="106" t="str" cm="1">
        <f t="array" ref="Y338">IFERROR(INDEX(Kamus!$N$3:$N$111,MATCH(TRUE,ISNUMBER(SEARCH(Kamus!$M$3:$M$111,$I338)),0)),"")</f>
        <v/>
      </c>
      <c r="Z338" s="106" t="str">
        <f>IF(AND(OR($X338="02",$X338="03",$X338="04"),OR($T338="Parsel/Bingkisan (tidak dirinci)",$T338="Makanan &amp; Minuman",$T338="Peralatan Rumah Tangga / Pecah Belah",$T338="Pakaian &amp; Kain")),"Momen Hari Raya (dugaan musiman)",IFERROR(VLOOKUP($W338,Kamus!$P$3:$Q$14,2,FALSE),"Tidak Teridentifikasi"))</f>
        <v>Relasi Personal / Tidak Teridentifikasi</v>
      </c>
      <c r="AA338" s="106" t="str">
        <f t="shared" si="17"/>
        <v>Relasi Personal / Tidak Teridentifikasi</v>
      </c>
    </row>
    <row r="339" spans="1:27">
      <c r="A339" s="106">
        <v>338</v>
      </c>
      <c r="B339" s="106" t="s">
        <v>1088</v>
      </c>
      <c r="C339" s="107" t="s">
        <v>1089</v>
      </c>
      <c r="D339" s="106" t="s">
        <v>1033</v>
      </c>
      <c r="E339" s="106" t="s">
        <v>1090</v>
      </c>
      <c r="F339" s="106" t="s">
        <v>2782</v>
      </c>
      <c r="G339" s="106" t="s">
        <v>1006</v>
      </c>
      <c r="H339" s="106" t="s">
        <v>2783</v>
      </c>
      <c r="I339" s="106" t="s">
        <v>2784</v>
      </c>
      <c r="J339" s="106">
        <v>90300</v>
      </c>
      <c r="K339" s="106" t="s">
        <v>2785</v>
      </c>
      <c r="L339" s="106" t="s">
        <v>2786</v>
      </c>
      <c r="M339" s="106" t="s">
        <v>1020</v>
      </c>
      <c r="O339" s="106" t="s">
        <v>274</v>
      </c>
      <c r="P339" s="106" t="s">
        <v>1095</v>
      </c>
      <c r="Q339" s="106" t="s">
        <v>348</v>
      </c>
      <c r="S339" s="106" t="str" cm="1">
        <f t="array" ref="S339">IF(TRIM($D339)="","(tidak diisi)",IFERROR(INDEX(Kamus!$B$3:$B$28,MATCH(TRUE,ISNUMBER(SEARCH(Kamus!$A$3:$A$28,$D339)),0)),"Jabatan Lainnya"))</f>
        <v>Hakim</v>
      </c>
      <c r="T339" s="106" t="str" cm="1">
        <f t="array" ref="T339">IF(TRIM($I339)="","(tidak diisi)",IFERROR(INDEX(Kamus!$E$3:$E$162,MATCH(TRUE,ISNUMBER(SEARCH(Kamus!$D$3:$D$162,$I339)),0)),"Barang Lain / Tidak Terinci"))</f>
        <v>Barang Lain / Tidak Terinci</v>
      </c>
      <c r="U339" s="106" t="str" cm="1">
        <f t="array" ref="U339">IF(TRIM($I339)="","(tidak diisi)",IFERROR(INDEX(Kamus!$H$3:$H$75,MATCH(TRUE,ISNUMBER(SEARCH(Kamus!$G$3:$G$75,$I339)),0)),"Pemberian Umum / Tanpa Konteks"))</f>
        <v>Pemberian Umum / Tanpa Konteks</v>
      </c>
      <c r="V339" s="106" t="str">
        <f t="shared" si="15"/>
        <v>2025</v>
      </c>
      <c r="W339" s="106" t="str" cm="1">
        <f t="array" ref="W339">IF(TRIM($K339)="","(tidak diisi)",IFERROR(INDEX(Kamus!$K$3:$K$118,MATCH(TRUE,ISNUMBER(SEARCH(Kamus!$J$3:$J$118,$K339)),0)),"Individu / Perorangan"))</f>
        <v>Individu / Perorangan</v>
      </c>
      <c r="X339" s="106" t="str">
        <f t="shared" si="16"/>
        <v>06</v>
      </c>
      <c r="Y339" s="106" t="str" cm="1">
        <f t="array" ref="Y339">IFERROR(INDEX(Kamus!$N$3:$N$111,MATCH(TRUE,ISNUMBER(SEARCH(Kamus!$M$3:$M$111,$I339)),0)),"")</f>
        <v/>
      </c>
      <c r="Z339" s="106" t="str">
        <f>IF(AND(OR($X339="02",$X339="03",$X339="04"),OR($T339="Parsel/Bingkisan (tidak dirinci)",$T339="Makanan &amp; Minuman",$T339="Peralatan Rumah Tangga / Pecah Belah",$T339="Pakaian &amp; Kain")),"Momen Hari Raya (dugaan musiman)",IFERROR(VLOOKUP($W339,Kamus!$P$3:$Q$14,2,FALSE),"Tidak Teridentifikasi"))</f>
        <v>Relasi Personal / Tidak Teridentifikasi</v>
      </c>
      <c r="AA339" s="106" t="str">
        <f t="shared" si="17"/>
        <v>Relasi Personal / Tidak Teridentifikasi</v>
      </c>
    </row>
    <row r="340" spans="1:27">
      <c r="A340" s="106">
        <v>339</v>
      </c>
      <c r="B340" s="106" t="s">
        <v>1850</v>
      </c>
      <c r="C340" s="107" t="s">
        <v>1851</v>
      </c>
      <c r="D340" s="106" t="s">
        <v>1319</v>
      </c>
      <c r="E340" s="106" t="s">
        <v>1025</v>
      </c>
      <c r="F340" s="106" t="s">
        <v>2787</v>
      </c>
      <c r="G340" s="106" t="s">
        <v>1006</v>
      </c>
      <c r="H340" s="106" t="s">
        <v>2751</v>
      </c>
      <c r="I340" s="106" t="s">
        <v>2788</v>
      </c>
      <c r="K340" s="106" t="s">
        <v>2789</v>
      </c>
      <c r="L340" s="106" t="s">
        <v>2790</v>
      </c>
      <c r="O340" s="106" t="s">
        <v>274</v>
      </c>
      <c r="P340" s="106" t="s">
        <v>561</v>
      </c>
      <c r="Q340" s="106" t="s">
        <v>428</v>
      </c>
      <c r="S340" s="106" t="str" cm="1">
        <f t="array" ref="S340">IF(TRIM($D340)="","(tidak diisi)",IFERROR(INDEX(Kamus!$B$3:$B$28,MATCH(TRUE,ISNUMBER(SEARCH(Kamus!$A$3:$A$28,$D340)),0)),"Jabatan Lainnya"))</f>
        <v>Wakil Ketua Pengadilan</v>
      </c>
      <c r="T340" s="106" t="str" cm="1">
        <f t="array" ref="T340">IF(TRIM($I340)="","(tidak diisi)",IFERROR(INDEX(Kamus!$E$3:$E$162,MATCH(TRUE,ISNUMBER(SEARCH(Kamus!$D$3:$D$162,$I340)),0)),"Barang Lain / Tidak Terinci"))</f>
        <v>Suvenir &amp; Merchandise</v>
      </c>
      <c r="U340" s="106" t="str" cm="1">
        <f t="array" ref="U340">IF(TRIM($I340)="","(tidak diisi)",IFERROR(INDEX(Kamus!$H$3:$H$75,MATCH(TRUE,ISNUMBER(SEARCH(Kamus!$G$3:$G$75,$I340)),0)),"Pemberian Umum / Tanpa Konteks"))</f>
        <v>Suvenir / Merchandise Kegiatan &amp; Kunjungan</v>
      </c>
      <c r="V340" s="106" t="str">
        <f t="shared" si="15"/>
        <v>2025</v>
      </c>
      <c r="W340" s="106" t="str" cm="1">
        <f t="array" ref="W340">IF(TRIM($K340)="","(tidak diisi)",IFERROR(INDEX(Kamus!$K$3:$K$118,MATCH(TRUE,ISNUMBER(SEARCH(Kamus!$J$3:$J$118,$K340)),0)),"Individu / Perorangan"))</f>
        <v>Bank &amp; Lembaga Keuangan</v>
      </c>
      <c r="X340" s="106" t="str">
        <f t="shared" si="16"/>
        <v>06</v>
      </c>
      <c r="Y340" s="106" t="str" cm="1">
        <f t="array" ref="Y340">IFERROR(INDEX(Kamus!$N$3:$N$111,MATCH(TRUE,ISNUMBER(SEARCH(Kamus!$M$3:$M$111,$I340)),0)),"")</f>
        <v/>
      </c>
      <c r="Z340" s="106" t="str">
        <f>IF(AND(OR($X340="02",$X340="03",$X340="04"),OR($T340="Parsel/Bingkisan (tidak dirinci)",$T340="Makanan &amp; Minuman",$T340="Peralatan Rumah Tangga / Pecah Belah",$T340="Pakaian &amp; Kain")),"Momen Hari Raya (dugaan musiman)",IFERROR(VLOOKUP($W340,Kamus!$P$3:$Q$14,2,FALSE),"Tidak Teridentifikasi"))</f>
        <v>Relasi Layanan/Kerja Sama Perbankan (dugaan)</v>
      </c>
      <c r="AA340" s="106" t="str">
        <f t="shared" si="17"/>
        <v>Relasi Layanan/Kerja Sama Perbankan (dugaan)</v>
      </c>
    </row>
    <row r="341" spans="1:27">
      <c r="A341" s="106">
        <v>340</v>
      </c>
      <c r="B341" s="106" t="s">
        <v>1850</v>
      </c>
      <c r="C341" s="107" t="s">
        <v>1851</v>
      </c>
      <c r="D341" s="106" t="s">
        <v>1319</v>
      </c>
      <c r="E341" s="106" t="s">
        <v>1025</v>
      </c>
      <c r="F341" s="106" t="s">
        <v>2791</v>
      </c>
      <c r="G341" s="106" t="s">
        <v>1006</v>
      </c>
      <c r="H341" s="106" t="s">
        <v>2792</v>
      </c>
      <c r="I341" s="106" t="s">
        <v>2793</v>
      </c>
      <c r="J341" s="106">
        <v>100000</v>
      </c>
      <c r="K341" s="106" t="s">
        <v>2794</v>
      </c>
      <c r="L341" s="106" t="s">
        <v>2795</v>
      </c>
      <c r="M341" s="106" t="s">
        <v>1039</v>
      </c>
      <c r="O341" s="106" t="s">
        <v>274</v>
      </c>
      <c r="P341" s="106" t="s">
        <v>561</v>
      </c>
      <c r="Q341" s="106" t="s">
        <v>428</v>
      </c>
      <c r="S341" s="106" t="str" cm="1">
        <f t="array" ref="S341">IF(TRIM($D341)="","(tidak diisi)",IFERROR(INDEX(Kamus!$B$3:$B$28,MATCH(TRUE,ISNUMBER(SEARCH(Kamus!$A$3:$A$28,$D341)),0)),"Jabatan Lainnya"))</f>
        <v>Wakil Ketua Pengadilan</v>
      </c>
      <c r="T341" s="106" t="str" cm="1">
        <f t="array" ref="T341">IF(TRIM($I341)="","(tidak diisi)",IFERROR(INDEX(Kamus!$E$3:$E$162,MATCH(TRUE,ISNUMBER(SEARCH(Kamus!$D$3:$D$162,$I341)),0)),"Barang Lain / Tidak Terinci"))</f>
        <v>Pakaian &amp; Kain</v>
      </c>
      <c r="U341" s="106" t="str" cm="1">
        <f t="array" ref="U341">IF(TRIM($I341)="","(tidak diisi)",IFERROR(INDEX(Kamus!$H$3:$H$75,MATCH(TRUE,ISNUMBER(SEARCH(Kamus!$G$3:$G$75,$I341)),0)),"Pemberian Umum / Tanpa Konteks"))</f>
        <v>Pemberian Umum / Tanpa Konteks</v>
      </c>
      <c r="V341" s="106" t="str">
        <f t="shared" si="15"/>
        <v>2025</v>
      </c>
      <c r="W341" s="106" t="str" cm="1">
        <f t="array" ref="W341">IF(TRIM($K341)="","(tidak diisi)",IFERROR(INDEX(Kamus!$K$3:$K$118,MATCH(TRUE,ISNUMBER(SEARCH(Kamus!$J$3:$J$118,$K341)),0)),"Individu / Perorangan"))</f>
        <v>Pemerintah Daerah</v>
      </c>
      <c r="X341" s="106" t="str">
        <f t="shared" si="16"/>
        <v>06</v>
      </c>
      <c r="Y341" s="106" t="str" cm="1">
        <f t="array" ref="Y341">IFERROR(INDEX(Kamus!$N$3:$N$111,MATCH(TRUE,ISNUMBER(SEARCH(Kamus!$M$3:$M$111,$I341)),0)),"")</f>
        <v/>
      </c>
      <c r="Z341" s="106" t="str">
        <f>IF(AND(OR($X341="02",$X341="03",$X341="04"),OR($T341="Parsel/Bingkisan (tidak dirinci)",$T341="Makanan &amp; Minuman",$T341="Peralatan Rumah Tangga / Pecah Belah",$T341="Pakaian &amp; Kain")),"Momen Hari Raya (dugaan musiman)",IFERROR(VLOOKUP($W341,Kamus!$P$3:$Q$14,2,FALSE),"Tidak Teridentifikasi"))</f>
        <v>Koordinasi Antarinstansi (dugaan)</v>
      </c>
      <c r="AA341" s="106" t="str">
        <f t="shared" si="17"/>
        <v>Koordinasi Antarinstansi (dugaan)</v>
      </c>
    </row>
    <row r="342" spans="1:27">
      <c r="A342" s="106">
        <v>341</v>
      </c>
      <c r="B342" s="106" t="s">
        <v>1060</v>
      </c>
      <c r="C342" s="107" t="s">
        <v>1061</v>
      </c>
      <c r="D342" s="106" t="s">
        <v>1033</v>
      </c>
      <c r="E342" s="106" t="s">
        <v>1062</v>
      </c>
      <c r="F342" s="106" t="s">
        <v>2796</v>
      </c>
      <c r="G342" s="106" t="s">
        <v>1006</v>
      </c>
      <c r="H342" s="106" t="s">
        <v>2797</v>
      </c>
      <c r="I342" s="106" t="s">
        <v>2693</v>
      </c>
      <c r="K342" s="106" t="s">
        <v>2798</v>
      </c>
      <c r="L342" s="106" t="s">
        <v>2799</v>
      </c>
      <c r="O342" s="106" t="s">
        <v>274</v>
      </c>
      <c r="P342" s="106" t="s">
        <v>1067</v>
      </c>
      <c r="Q342" s="106" t="s">
        <v>350</v>
      </c>
      <c r="S342" s="106" t="str" cm="1">
        <f t="array" ref="S342">IF(TRIM($D342)="","(tidak diisi)",IFERROR(INDEX(Kamus!$B$3:$B$28,MATCH(TRUE,ISNUMBER(SEARCH(Kamus!$A$3:$A$28,$D342)),0)),"Jabatan Lainnya"))</f>
        <v>Hakim</v>
      </c>
      <c r="T342" s="106" t="str" cm="1">
        <f t="array" ref="T342">IF(TRIM($I342)="","(tidak diisi)",IFERROR(INDEX(Kamus!$E$3:$E$162,MATCH(TRUE,ISNUMBER(SEARCH(Kamus!$D$3:$D$162,$I342)),0)),"Barang Lain / Tidak Terinci"))</f>
        <v>Makanan &amp; Minuman</v>
      </c>
      <c r="U342" s="106" t="str" cm="1">
        <f t="array" ref="U342">IF(TRIM($I342)="","(tidak diisi)",IFERROR(INDEX(Kamus!$H$3:$H$75,MATCH(TRUE,ISNUMBER(SEARCH(Kamus!$G$3:$G$75,$I342)),0)),"Pemberian Umum / Tanpa Konteks"))</f>
        <v>Pemberian Umum / Tanpa Konteks</v>
      </c>
      <c r="V342" s="106" t="str">
        <f t="shared" si="15"/>
        <v>2025</v>
      </c>
      <c r="W342" s="106" t="str" cm="1">
        <f t="array" ref="W342">IF(TRIM($K342)="","(tidak diisi)",IFERROR(INDEX(Kamus!$K$3:$K$118,MATCH(TRUE,ISNUMBER(SEARCH(Kamus!$J$3:$J$118,$K342)),0)),"Individu / Perorangan"))</f>
        <v>Individu / Perorangan</v>
      </c>
      <c r="X342" s="106" t="str">
        <f t="shared" si="16"/>
        <v>06</v>
      </c>
      <c r="Y342" s="106" t="str" cm="1">
        <f t="array" ref="Y342">IFERROR(INDEX(Kamus!$N$3:$N$111,MATCH(TRUE,ISNUMBER(SEARCH(Kamus!$M$3:$M$111,$I342)),0)),"")</f>
        <v/>
      </c>
      <c r="Z342" s="106" t="str">
        <f>IF(AND(OR($X342="02",$X342="03",$X342="04"),OR($T342="Parsel/Bingkisan (tidak dirinci)",$T342="Makanan &amp; Minuman",$T342="Peralatan Rumah Tangga / Pecah Belah",$T342="Pakaian &amp; Kain")),"Momen Hari Raya (dugaan musiman)",IFERROR(VLOOKUP($W342,Kamus!$P$3:$Q$14,2,FALSE),"Tidak Teridentifikasi"))</f>
        <v>Relasi Personal / Tidak Teridentifikasi</v>
      </c>
      <c r="AA342" s="106" t="str">
        <f t="shared" si="17"/>
        <v>Relasi Personal / Tidak Teridentifikasi</v>
      </c>
    </row>
    <row r="343" spans="1:27">
      <c r="A343" s="106">
        <v>342</v>
      </c>
      <c r="B343" s="106" t="s">
        <v>2318</v>
      </c>
      <c r="C343" s="107" t="s">
        <v>2319</v>
      </c>
      <c r="D343" s="106" t="s">
        <v>1042</v>
      </c>
      <c r="E343" s="106" t="s">
        <v>1025</v>
      </c>
      <c r="F343" s="106" t="s">
        <v>2800</v>
      </c>
      <c r="G343" s="106" t="s">
        <v>1006</v>
      </c>
      <c r="H343" s="106" t="s">
        <v>2801</v>
      </c>
      <c r="I343" s="106" t="s">
        <v>2802</v>
      </c>
      <c r="K343" s="106" t="s">
        <v>2803</v>
      </c>
      <c r="L343" s="106" t="s">
        <v>2804</v>
      </c>
      <c r="O343" s="106" t="s">
        <v>274</v>
      </c>
      <c r="P343" s="106" t="s">
        <v>561</v>
      </c>
      <c r="Q343" s="106" t="s">
        <v>428</v>
      </c>
      <c r="S343" s="106" t="str" cm="1">
        <f t="array" ref="S343">IF(TRIM($D343)="","(tidak diisi)",IFERROR(INDEX(Kamus!$B$3:$B$28,MATCH(TRUE,ISNUMBER(SEARCH(Kamus!$A$3:$A$28,$D343)),0)),"Jabatan Lainnya"))</f>
        <v>Ketua Pengadilan</v>
      </c>
      <c r="T343" s="106" t="str" cm="1">
        <f t="array" ref="T343">IF(TRIM($I343)="","(tidak diisi)",IFERROR(INDEX(Kamus!$E$3:$E$162,MATCH(TRUE,ISNUMBER(SEARCH(Kamus!$D$3:$D$162,$I343)),0)),"Barang Lain / Tidak Terinci"))</f>
        <v>Peralatan Rumah Tangga / Pecah Belah</v>
      </c>
      <c r="U343" s="106" t="str" cm="1">
        <f t="array" ref="U343">IF(TRIM($I343)="","(tidak diisi)",IFERROR(INDEX(Kamus!$H$3:$H$75,MATCH(TRUE,ISNUMBER(SEARCH(Kamus!$G$3:$G$75,$I343)),0)),"Pemberian Umum / Tanpa Konteks"))</f>
        <v>Pemberian Umum / Tanpa Konteks</v>
      </c>
      <c r="V343" s="106" t="str">
        <f t="shared" si="15"/>
        <v>2025</v>
      </c>
      <c r="W343" s="106" t="str" cm="1">
        <f t="array" ref="W343">IF(TRIM($K343)="","(tidak diisi)",IFERROR(INDEX(Kamus!$K$3:$K$118,MATCH(TRUE,ISNUMBER(SEARCH(Kamus!$J$3:$J$118,$K343)),0)),"Individu / Perorangan"))</f>
        <v>Aparat/Instansi Penegak Hukum &amp; Vertikal</v>
      </c>
      <c r="X343" s="106" t="str">
        <f t="shared" si="16"/>
        <v>07</v>
      </c>
      <c r="Y343" s="106" t="str" cm="1">
        <f t="array" ref="Y343">IFERROR(INDEX(Kamus!$N$3:$N$111,MATCH(TRUE,ISNUMBER(SEARCH(Kamus!$M$3:$M$111,$I343)),0)),"")</f>
        <v/>
      </c>
      <c r="Z343" s="106" t="str">
        <f>IF(AND(OR($X343="02",$X343="03",$X343="04"),OR($T343="Parsel/Bingkisan (tidak dirinci)",$T343="Makanan &amp; Minuman",$T343="Peralatan Rumah Tangga / Pecah Belah",$T343="Pakaian &amp; Kain")),"Momen Hari Raya (dugaan musiman)",IFERROR(VLOOKUP($W343,Kamus!$P$3:$Q$14,2,FALSE),"Tidak Teridentifikasi"))</f>
        <v>Koordinasi Antarinstansi (dugaan)</v>
      </c>
      <c r="AA343" s="106" t="str">
        <f t="shared" si="17"/>
        <v>Koordinasi Antarinstansi (dugaan)</v>
      </c>
    </row>
    <row r="344" spans="1:27">
      <c r="A344" s="106">
        <v>343</v>
      </c>
      <c r="B344" s="106" t="s">
        <v>2805</v>
      </c>
      <c r="C344" s="107" t="s">
        <v>2806</v>
      </c>
      <c r="D344" s="106" t="s">
        <v>2807</v>
      </c>
      <c r="E344" s="106" t="s">
        <v>1005</v>
      </c>
      <c r="F344" s="106" t="s">
        <v>2808</v>
      </c>
      <c r="G344" s="106" t="s">
        <v>1006</v>
      </c>
      <c r="H344" s="106" t="s">
        <v>2809</v>
      </c>
      <c r="I344" s="106" t="s">
        <v>1017</v>
      </c>
      <c r="J344" s="106">
        <v>26590000</v>
      </c>
      <c r="K344" s="106" t="s">
        <v>2810</v>
      </c>
      <c r="L344" s="106" t="s">
        <v>2811</v>
      </c>
      <c r="M344" s="106" t="s">
        <v>1020</v>
      </c>
      <c r="O344" s="106" t="s">
        <v>274</v>
      </c>
      <c r="S344" s="106" t="str" cm="1">
        <f t="array" ref="S344">IF(TRIM($D344)="","(tidak diisi)",IFERROR(INDEX(Kamus!$B$3:$B$28,MATCH(TRUE,ISNUMBER(SEARCH(Kamus!$A$3:$A$28,$D344)),0)),"Jabatan Lainnya"))</f>
        <v>Hakim</v>
      </c>
      <c r="T344" s="106" t="str" cm="1">
        <f t="array" ref="T344">IF(TRIM($I344)="","(tidak diisi)",IFERROR(INDEX(Kamus!$E$3:$E$162,MATCH(TRUE,ISNUMBER(SEARCH(Kamus!$D$3:$D$162,$I344)),0)),"Barang Lain / Tidak Terinci"))</f>
        <v>Uang &amp; Setara Uang</v>
      </c>
      <c r="U344" s="106" t="str" cm="1">
        <f t="array" ref="U344">IF(TRIM($I344)="","(tidak diisi)",IFERROR(INDEX(Kamus!$H$3:$H$75,MATCH(TRUE,ISNUMBER(SEARCH(Kamus!$G$3:$G$75,$I344)),0)),"Pemberian Umum / Tanpa Konteks"))</f>
        <v>Pemberian Uang Langsung</v>
      </c>
      <c r="V344" s="106" t="str">
        <f t="shared" si="15"/>
        <v>2025</v>
      </c>
      <c r="W344" s="106" t="str" cm="1">
        <f t="array" ref="W344">IF(TRIM($K344)="","(tidak diisi)",IFERROR(INDEX(Kamus!$K$3:$K$118,MATCH(TRUE,ISNUMBER(SEARCH(Kamus!$J$3:$J$118,$K344)),0)),"Individu / Perorangan"))</f>
        <v>Individu / Perorangan</v>
      </c>
      <c r="X344" s="106" t="str">
        <f t="shared" si="16"/>
        <v>06</v>
      </c>
      <c r="Y344" s="106" t="str" cm="1">
        <f t="array" ref="Y344">IFERROR(INDEX(Kamus!$N$3:$N$111,MATCH(TRUE,ISNUMBER(SEARCH(Kamus!$M$3:$M$111,$I344)),0)),"")</f>
        <v/>
      </c>
      <c r="Z344" s="106" t="str">
        <f>IF(AND(OR($X344="02",$X344="03",$X344="04"),OR($T344="Parsel/Bingkisan (tidak dirinci)",$T344="Makanan &amp; Minuman",$T344="Peralatan Rumah Tangga / Pecah Belah",$T344="Pakaian &amp; Kain")),"Momen Hari Raya (dugaan musiman)",IFERROR(VLOOKUP($W344,Kamus!$P$3:$Q$14,2,FALSE),"Tidak Teridentifikasi"))</f>
        <v>Relasi Personal / Tidak Teridentifikasi</v>
      </c>
      <c r="AA344" s="106" t="str">
        <f t="shared" si="17"/>
        <v>Relasi Personal / Tidak Teridentifikasi</v>
      </c>
    </row>
    <row r="345" spans="1:27">
      <c r="A345" s="106">
        <v>344</v>
      </c>
      <c r="B345" s="106" t="s">
        <v>1088</v>
      </c>
      <c r="C345" s="107" t="s">
        <v>1089</v>
      </c>
      <c r="D345" s="106" t="s">
        <v>1033</v>
      </c>
      <c r="E345" s="106" t="s">
        <v>1090</v>
      </c>
      <c r="F345" s="106" t="s">
        <v>2812</v>
      </c>
      <c r="G345" s="106" t="s">
        <v>1006</v>
      </c>
      <c r="H345" s="106" t="s">
        <v>2813</v>
      </c>
      <c r="I345" s="106" t="s">
        <v>2814</v>
      </c>
      <c r="J345" s="106">
        <v>30000</v>
      </c>
      <c r="K345" s="106" t="s">
        <v>2815</v>
      </c>
      <c r="L345" s="106" t="s">
        <v>2816</v>
      </c>
      <c r="M345" s="106" t="s">
        <v>1171</v>
      </c>
      <c r="N345" s="106" t="s">
        <v>2817</v>
      </c>
      <c r="O345" s="106" t="s">
        <v>274</v>
      </c>
      <c r="P345" s="106" t="s">
        <v>1095</v>
      </c>
      <c r="Q345" s="106" t="s">
        <v>348</v>
      </c>
      <c r="S345" s="106" t="str" cm="1">
        <f t="array" ref="S345">IF(TRIM($D345)="","(tidak diisi)",IFERROR(INDEX(Kamus!$B$3:$B$28,MATCH(TRUE,ISNUMBER(SEARCH(Kamus!$A$3:$A$28,$D345)),0)),"Jabatan Lainnya"))</f>
        <v>Hakim</v>
      </c>
      <c r="T345" s="106" t="str" cm="1">
        <f t="array" ref="T345">IF(TRIM($I345)="","(tidak diisi)",IFERROR(INDEX(Kamus!$E$3:$E$162,MATCH(TRUE,ISNUMBER(SEARCH(Kamus!$D$3:$D$162,$I345)),0)),"Barang Lain / Tidak Terinci"))</f>
        <v>Barang Lain / Tidak Terinci</v>
      </c>
      <c r="U345" s="106" t="str" cm="1">
        <f t="array" ref="U345">IF(TRIM($I345)="","(tidak diisi)",IFERROR(INDEX(Kamus!$H$3:$H$75,MATCH(TRUE,ISNUMBER(SEARCH(Kamus!$G$3:$G$75,$I345)),0)),"Pemberian Umum / Tanpa Konteks"))</f>
        <v>Pemberian Umum / Tanpa Konteks</v>
      </c>
      <c r="V345" s="106" t="str">
        <f t="shared" si="15"/>
        <v>2025</v>
      </c>
      <c r="W345" s="106" t="str" cm="1">
        <f t="array" ref="W345">IF(TRIM($K345)="","(tidak diisi)",IFERROR(INDEX(Kamus!$K$3:$K$118,MATCH(TRUE,ISNUMBER(SEARCH(Kamus!$J$3:$J$118,$K345)),0)),"Individu / Perorangan"))</f>
        <v>Individu / Perorangan</v>
      </c>
      <c r="X345" s="106" t="str">
        <f t="shared" si="16"/>
        <v>07</v>
      </c>
      <c r="Y345" s="106" t="str" cm="1">
        <f t="array" ref="Y345">IFERROR(INDEX(Kamus!$N$3:$N$111,MATCH(TRUE,ISNUMBER(SEARCH(Kamus!$M$3:$M$111,$I345)),0)),"")</f>
        <v/>
      </c>
      <c r="Z345" s="106" t="str">
        <f>IF(AND(OR($X345="02",$X345="03",$X345="04"),OR($T345="Parsel/Bingkisan (tidak dirinci)",$T345="Makanan &amp; Minuman",$T345="Peralatan Rumah Tangga / Pecah Belah",$T345="Pakaian &amp; Kain")),"Momen Hari Raya (dugaan musiman)",IFERROR(VLOOKUP($W345,Kamus!$P$3:$Q$14,2,FALSE),"Tidak Teridentifikasi"))</f>
        <v>Relasi Personal / Tidak Teridentifikasi</v>
      </c>
      <c r="AA345" s="106" t="str">
        <f t="shared" si="17"/>
        <v>Relasi Personal / Tidak Teridentifikasi</v>
      </c>
    </row>
    <row r="346" spans="1:27">
      <c r="A346" s="106">
        <v>345</v>
      </c>
      <c r="B346" s="106" t="s">
        <v>2177</v>
      </c>
      <c r="C346" s="107" t="s">
        <v>2178</v>
      </c>
      <c r="D346" s="106" t="s">
        <v>1033</v>
      </c>
      <c r="E346" s="106" t="s">
        <v>2179</v>
      </c>
      <c r="F346" s="106" t="s">
        <v>2818</v>
      </c>
      <c r="G346" s="106" t="s">
        <v>1006</v>
      </c>
      <c r="H346" s="106" t="s">
        <v>2801</v>
      </c>
      <c r="I346" s="106" t="s">
        <v>2819</v>
      </c>
      <c r="J346" s="106">
        <v>200000</v>
      </c>
      <c r="K346" s="106" t="s">
        <v>2097</v>
      </c>
      <c r="L346" s="106" t="s">
        <v>2820</v>
      </c>
      <c r="M346" s="106" t="s">
        <v>1171</v>
      </c>
      <c r="N346" s="106" t="s">
        <v>2821</v>
      </c>
      <c r="O346" s="106" t="s">
        <v>274</v>
      </c>
      <c r="P346" s="106" t="s">
        <v>2184</v>
      </c>
      <c r="Q346" s="106" t="s">
        <v>350</v>
      </c>
      <c r="S346" s="106" t="str" cm="1">
        <f t="array" ref="S346">IF(TRIM($D346)="","(tidak diisi)",IFERROR(INDEX(Kamus!$B$3:$B$28,MATCH(TRUE,ISNUMBER(SEARCH(Kamus!$A$3:$A$28,$D346)),0)),"Jabatan Lainnya"))</f>
        <v>Hakim</v>
      </c>
      <c r="T346" s="106" t="str" cm="1">
        <f t="array" ref="T346">IF(TRIM($I346)="","(tidak diisi)",IFERROR(INDEX(Kamus!$E$3:$E$162,MATCH(TRUE,ISNUMBER(SEARCH(Kamus!$D$3:$D$162,$I346)),0)),"Barang Lain / Tidak Terinci"))</f>
        <v>Pakaian &amp; Kain</v>
      </c>
      <c r="U346" s="106" t="str" cm="1">
        <f t="array" ref="U346">IF(TRIM($I346)="","(tidak diisi)",IFERROR(INDEX(Kamus!$H$3:$H$75,MATCH(TRUE,ISNUMBER(SEARCH(Kamus!$G$3:$G$75,$I346)),0)),"Pemberian Umum / Tanpa Konteks"))</f>
        <v>Pemberian Umum / Tanpa Konteks</v>
      </c>
      <c r="V346" s="106" t="str">
        <f t="shared" si="15"/>
        <v>2025</v>
      </c>
      <c r="W346" s="106" t="str" cm="1">
        <f t="array" ref="W346">IF(TRIM($K346)="","(tidak diisi)",IFERROR(INDEX(Kamus!$K$3:$K$118,MATCH(TRUE,ISNUMBER(SEARCH(Kamus!$J$3:$J$118,$K346)),0)),"Individu / Perorangan"))</f>
        <v>Individu / Perorangan</v>
      </c>
      <c r="X346" s="106" t="str">
        <f t="shared" si="16"/>
        <v>07</v>
      </c>
      <c r="Y346" s="106" t="str" cm="1">
        <f t="array" ref="Y346">IFERROR(INDEX(Kamus!$N$3:$N$111,MATCH(TRUE,ISNUMBER(SEARCH(Kamus!$M$3:$M$111,$I346)),0)),"")</f>
        <v/>
      </c>
      <c r="Z346" s="106" t="str">
        <f>IF(AND(OR($X346="02",$X346="03",$X346="04"),OR($T346="Parsel/Bingkisan (tidak dirinci)",$T346="Makanan &amp; Minuman",$T346="Peralatan Rumah Tangga / Pecah Belah",$T346="Pakaian &amp; Kain")),"Momen Hari Raya (dugaan musiman)",IFERROR(VLOOKUP($W346,Kamus!$P$3:$Q$14,2,FALSE),"Tidak Teridentifikasi"))</f>
        <v>Relasi Personal / Tidak Teridentifikasi</v>
      </c>
      <c r="AA346" s="106" t="str">
        <f t="shared" si="17"/>
        <v>Relasi Personal / Tidak Teridentifikasi</v>
      </c>
    </row>
    <row r="347" spans="1:27">
      <c r="A347" s="106">
        <v>346</v>
      </c>
      <c r="B347" s="106" t="s">
        <v>2249</v>
      </c>
      <c r="C347" s="107" t="s">
        <v>2250</v>
      </c>
      <c r="D347" s="106" t="s">
        <v>2251</v>
      </c>
      <c r="E347" s="106" t="s">
        <v>1294</v>
      </c>
      <c r="F347" s="106" t="s">
        <v>2822</v>
      </c>
      <c r="G347" s="106" t="s">
        <v>1006</v>
      </c>
      <c r="H347" s="106" t="s">
        <v>2823</v>
      </c>
      <c r="I347" s="106" t="s">
        <v>2824</v>
      </c>
      <c r="J347" s="106">
        <v>209000</v>
      </c>
      <c r="K347" s="106" t="s">
        <v>2600</v>
      </c>
      <c r="L347" s="106" t="s">
        <v>2825</v>
      </c>
      <c r="M347" s="106" t="s">
        <v>1039</v>
      </c>
      <c r="O347" s="106" t="s">
        <v>274</v>
      </c>
      <c r="P347" s="106" t="s">
        <v>1298</v>
      </c>
      <c r="Q347" s="106" t="s">
        <v>428</v>
      </c>
      <c r="S347" s="106" t="str" cm="1">
        <f t="array" ref="S347">IF(TRIM($D347)="","(tidak diisi)",IFERROR(INDEX(Kamus!$B$3:$B$28,MATCH(TRUE,ISNUMBER(SEARCH(Kamus!$A$3:$A$28,$D347)),0)),"Jabatan Lainnya"))</f>
        <v>Wakil Ketua Pengadilan</v>
      </c>
      <c r="T347" s="106" t="str" cm="1">
        <f t="array" ref="T347">IF(TRIM($I347)="","(tidak diisi)",IFERROR(INDEX(Kamus!$E$3:$E$162,MATCH(TRUE,ISNUMBER(SEARCH(Kamus!$D$3:$D$162,$I347)),0)),"Barang Lain / Tidak Terinci"))</f>
        <v>Elektronik &amp; Gadget</v>
      </c>
      <c r="U347" s="106" t="str" cm="1">
        <f t="array" ref="U347">IF(TRIM($I347)="","(tidak diisi)",IFERROR(INDEX(Kamus!$H$3:$H$75,MATCH(TRUE,ISNUMBER(SEARCH(Kamus!$G$3:$G$75,$I347)),0)),"Pemberian Umum / Tanpa Konteks"))</f>
        <v>Pemberian Umum / Tanpa Konteks</v>
      </c>
      <c r="V347" s="106" t="str">
        <f t="shared" si="15"/>
        <v>2025</v>
      </c>
      <c r="W347" s="106" t="str" cm="1">
        <f t="array" ref="W347">IF(TRIM($K347)="","(tidak diisi)",IFERROR(INDEX(Kamus!$K$3:$K$118,MATCH(TRUE,ISNUMBER(SEARCH(Kamus!$J$3:$J$118,$K347)),0)),"Individu / Perorangan"))</f>
        <v>Individu / Perorangan</v>
      </c>
      <c r="X347" s="106" t="str">
        <f t="shared" si="16"/>
        <v>07</v>
      </c>
      <c r="Y347" s="106" t="str" cm="1">
        <f t="array" ref="Y347">IFERROR(INDEX(Kamus!$N$3:$N$111,MATCH(TRUE,ISNUMBER(SEARCH(Kamus!$M$3:$M$111,$I347)),0)),"")</f>
        <v/>
      </c>
      <c r="Z347" s="106" t="str">
        <f>IF(AND(OR($X347="02",$X347="03",$X347="04"),OR($T347="Parsel/Bingkisan (tidak dirinci)",$T347="Makanan &amp; Minuman",$T347="Peralatan Rumah Tangga / Pecah Belah",$T347="Pakaian &amp; Kain")),"Momen Hari Raya (dugaan musiman)",IFERROR(VLOOKUP($W347,Kamus!$P$3:$Q$14,2,FALSE),"Tidak Teridentifikasi"))</f>
        <v>Relasi Personal / Tidak Teridentifikasi</v>
      </c>
      <c r="AA347" s="106" t="str">
        <f t="shared" si="17"/>
        <v>Relasi Personal / Tidak Teridentifikasi</v>
      </c>
    </row>
    <row r="348" spans="1:27">
      <c r="A348" s="106">
        <v>347</v>
      </c>
      <c r="B348" s="106" t="s">
        <v>2249</v>
      </c>
      <c r="C348" s="107" t="s">
        <v>2250</v>
      </c>
      <c r="D348" s="106" t="s">
        <v>2251</v>
      </c>
      <c r="E348" s="106" t="s">
        <v>1294</v>
      </c>
      <c r="F348" s="106" t="s">
        <v>2826</v>
      </c>
      <c r="G348" s="106" t="s">
        <v>1006</v>
      </c>
      <c r="H348" s="106" t="s">
        <v>2801</v>
      </c>
      <c r="I348" s="106" t="s">
        <v>2697</v>
      </c>
      <c r="K348" s="106" t="s">
        <v>2827</v>
      </c>
      <c r="L348" s="106" t="s">
        <v>2828</v>
      </c>
      <c r="O348" s="106" t="s">
        <v>274</v>
      </c>
      <c r="P348" s="106" t="s">
        <v>1298</v>
      </c>
      <c r="Q348" s="106" t="s">
        <v>428</v>
      </c>
      <c r="S348" s="106" t="str" cm="1">
        <f t="array" ref="S348">IF(TRIM($D348)="","(tidak diisi)",IFERROR(INDEX(Kamus!$B$3:$B$28,MATCH(TRUE,ISNUMBER(SEARCH(Kamus!$A$3:$A$28,$D348)),0)),"Jabatan Lainnya"))</f>
        <v>Wakil Ketua Pengadilan</v>
      </c>
      <c r="T348" s="106" t="str" cm="1">
        <f t="array" ref="T348">IF(TRIM($I348)="","(tidak diisi)",IFERROR(INDEX(Kamus!$E$3:$E$162,MATCH(TRUE,ISNUMBER(SEARCH(Kamus!$D$3:$D$162,$I348)),0)),"Barang Lain / Tidak Terinci"))</f>
        <v>Pakaian &amp; Kain</v>
      </c>
      <c r="U348" s="106" t="str" cm="1">
        <f t="array" ref="U348">IF(TRIM($I348)="","(tidak diisi)",IFERROR(INDEX(Kamus!$H$3:$H$75,MATCH(TRUE,ISNUMBER(SEARCH(Kamus!$G$3:$G$75,$I348)),0)),"Pemberian Umum / Tanpa Konteks"))</f>
        <v>Pemberian Umum / Tanpa Konteks</v>
      </c>
      <c r="V348" s="106" t="str">
        <f t="shared" si="15"/>
        <v>2025</v>
      </c>
      <c r="W348" s="106" t="str" cm="1">
        <f t="array" ref="W348">IF(TRIM($K348)="","(tidak diisi)",IFERROR(INDEX(Kamus!$K$3:$K$118,MATCH(TRUE,ISNUMBER(SEARCH(Kamus!$J$3:$J$118,$K348)),0)),"Individu / Perorangan"))</f>
        <v>Individu / Perorangan</v>
      </c>
      <c r="X348" s="106" t="str">
        <f t="shared" si="16"/>
        <v>07</v>
      </c>
      <c r="Y348" s="106" t="str" cm="1">
        <f t="array" ref="Y348">IFERROR(INDEX(Kamus!$N$3:$N$111,MATCH(TRUE,ISNUMBER(SEARCH(Kamus!$M$3:$M$111,$I348)),0)),"")</f>
        <v/>
      </c>
      <c r="Z348" s="106" t="str">
        <f>IF(AND(OR($X348="02",$X348="03",$X348="04"),OR($T348="Parsel/Bingkisan (tidak dirinci)",$T348="Makanan &amp; Minuman",$T348="Peralatan Rumah Tangga / Pecah Belah",$T348="Pakaian &amp; Kain")),"Momen Hari Raya (dugaan musiman)",IFERROR(VLOOKUP($W348,Kamus!$P$3:$Q$14,2,FALSE),"Tidak Teridentifikasi"))</f>
        <v>Relasi Personal / Tidak Teridentifikasi</v>
      </c>
      <c r="AA348" s="106" t="str">
        <f t="shared" si="17"/>
        <v>Relasi Personal / Tidak Teridentifikasi</v>
      </c>
    </row>
    <row r="349" spans="1:27">
      <c r="A349" s="106">
        <v>348</v>
      </c>
      <c r="B349" s="106" t="s">
        <v>2829</v>
      </c>
      <c r="C349" s="107" t="s">
        <v>2830</v>
      </c>
      <c r="D349" s="106" t="s">
        <v>1042</v>
      </c>
      <c r="E349" s="106" t="s">
        <v>2831</v>
      </c>
      <c r="F349" s="106" t="s">
        <v>2832</v>
      </c>
      <c r="G349" s="106" t="s">
        <v>1074</v>
      </c>
      <c r="H349" s="106" t="s">
        <v>2823</v>
      </c>
      <c r="I349" s="106" t="s">
        <v>2833</v>
      </c>
      <c r="K349" s="106" t="s">
        <v>2834</v>
      </c>
      <c r="L349" s="106" t="s">
        <v>2835</v>
      </c>
      <c r="O349" s="106" t="s">
        <v>274</v>
      </c>
      <c r="P349" s="106" t="s">
        <v>2836</v>
      </c>
      <c r="Q349" s="106" t="s">
        <v>430</v>
      </c>
      <c r="S349" s="106" t="str" cm="1">
        <f t="array" ref="S349">IF(TRIM($D349)="","(tidak diisi)",IFERROR(INDEX(Kamus!$B$3:$B$28,MATCH(TRUE,ISNUMBER(SEARCH(Kamus!$A$3:$A$28,$D349)),0)),"Jabatan Lainnya"))</f>
        <v>Ketua Pengadilan</v>
      </c>
      <c r="T349" s="106" t="str" cm="1">
        <f t="array" ref="T349">IF(TRIM($I349)="","(tidak diisi)",IFERROR(INDEX(Kamus!$E$3:$E$162,MATCH(TRUE,ISNUMBER(SEARCH(Kamus!$D$3:$D$162,$I349)),0)),"Barang Lain / Tidak Terinci"))</f>
        <v>Uang &amp; Setara Uang</v>
      </c>
      <c r="U349" s="106" t="str" cm="1">
        <f t="array" ref="U349">IF(TRIM($I349)="","(tidak diisi)",IFERROR(INDEX(Kamus!$H$3:$H$75,MATCH(TRUE,ISNUMBER(SEARCH(Kamus!$G$3:$G$75,$I349)),0)),"Pemberian Umum / Tanpa Konteks"))</f>
        <v>Pemberian Uang Langsung</v>
      </c>
      <c r="V349" s="106" t="str">
        <f t="shared" si="15"/>
        <v>2025</v>
      </c>
      <c r="W349" s="106" t="str" cm="1">
        <f t="array" ref="W349">IF(TRIM($K349)="","(tidak diisi)",IFERROR(INDEX(Kamus!$K$3:$K$118,MATCH(TRUE,ISNUMBER(SEARCH(Kamus!$J$3:$J$118,$K349)),0)),"Individu / Perorangan"))</f>
        <v>Individu / Perorangan</v>
      </c>
      <c r="X349" s="106" t="str">
        <f t="shared" si="16"/>
        <v>07</v>
      </c>
      <c r="Y349" s="106" t="str" cm="1">
        <f t="array" ref="Y349">IFERROR(INDEX(Kamus!$N$3:$N$111,MATCH(TRUE,ISNUMBER(SEARCH(Kamus!$M$3:$M$111,$I349)),0)),"")</f>
        <v/>
      </c>
      <c r="Z349" s="106" t="str">
        <f>IF(AND(OR($X349="02",$X349="03",$X349="04"),OR($T349="Parsel/Bingkisan (tidak dirinci)",$T349="Makanan &amp; Minuman",$T349="Peralatan Rumah Tangga / Pecah Belah",$T349="Pakaian &amp; Kain")),"Momen Hari Raya (dugaan musiman)",IFERROR(VLOOKUP($W349,Kamus!$P$3:$Q$14,2,FALSE),"Tidak Teridentifikasi"))</f>
        <v>Relasi Personal / Tidak Teridentifikasi</v>
      </c>
      <c r="AA349" s="106" t="str">
        <f t="shared" si="17"/>
        <v>Relasi Personal / Tidak Teridentifikasi</v>
      </c>
    </row>
    <row r="350" spans="1:27">
      <c r="A350" s="106">
        <v>349</v>
      </c>
      <c r="B350" s="106" t="s">
        <v>1629</v>
      </c>
      <c r="C350" s="107" t="s">
        <v>1630</v>
      </c>
      <c r="D350" s="106" t="s">
        <v>1631</v>
      </c>
      <c r="E350" s="106" t="s">
        <v>1632</v>
      </c>
      <c r="F350" s="106" t="s">
        <v>2837</v>
      </c>
      <c r="G350" s="106" t="s">
        <v>1074</v>
      </c>
      <c r="H350" s="106" t="s">
        <v>2687</v>
      </c>
      <c r="I350" s="106" t="s">
        <v>1017</v>
      </c>
      <c r="J350" s="106">
        <v>10000000</v>
      </c>
      <c r="K350" s="106" t="s">
        <v>2838</v>
      </c>
      <c r="L350" s="106" t="s">
        <v>2839</v>
      </c>
      <c r="M350" s="106" t="s">
        <v>2247</v>
      </c>
      <c r="O350" s="106" t="s">
        <v>274</v>
      </c>
      <c r="P350" s="106" t="s">
        <v>472</v>
      </c>
      <c r="Q350" s="106" t="s">
        <v>402</v>
      </c>
      <c r="S350" s="106" t="str" cm="1">
        <f t="array" ref="S350">IF(TRIM($D350)="","(tidak diisi)",IFERROR(INDEX(Kamus!$B$3:$B$28,MATCH(TRUE,ISNUMBER(SEARCH(Kamus!$A$3:$A$28,$D350)),0)),"Jabatan Lainnya"))</f>
        <v>Ketua Pengadilan</v>
      </c>
      <c r="T350" s="106" t="str" cm="1">
        <f t="array" ref="T350">IF(TRIM($I350)="","(tidak diisi)",IFERROR(INDEX(Kamus!$E$3:$E$162,MATCH(TRUE,ISNUMBER(SEARCH(Kamus!$D$3:$D$162,$I350)),0)),"Barang Lain / Tidak Terinci"))</f>
        <v>Uang &amp; Setara Uang</v>
      </c>
      <c r="U350" s="106" t="str" cm="1">
        <f t="array" ref="U350">IF(TRIM($I350)="","(tidak diisi)",IFERROR(INDEX(Kamus!$H$3:$H$75,MATCH(TRUE,ISNUMBER(SEARCH(Kamus!$G$3:$G$75,$I350)),0)),"Pemberian Umum / Tanpa Konteks"))</f>
        <v>Pemberian Uang Langsung</v>
      </c>
      <c r="V350" s="106" t="str">
        <f t="shared" si="15"/>
        <v>2025</v>
      </c>
      <c r="W350" s="106" t="str" cm="1">
        <f t="array" ref="W350">IF(TRIM($K350)="","(tidak diisi)",IFERROR(INDEX(Kamus!$K$3:$K$118,MATCH(TRUE,ISNUMBER(SEARCH(Kamus!$J$3:$J$118,$K350)),0)),"Individu / Perorangan"))</f>
        <v>Individu / Perorangan</v>
      </c>
      <c r="X350" s="106" t="str">
        <f t="shared" si="16"/>
        <v>06</v>
      </c>
      <c r="Y350" s="106" t="str" cm="1">
        <f t="array" ref="Y350">IFERROR(INDEX(Kamus!$N$3:$N$111,MATCH(TRUE,ISNUMBER(SEARCH(Kamus!$M$3:$M$111,$I350)),0)),"")</f>
        <v/>
      </c>
      <c r="Z350" s="106" t="str">
        <f>IF(AND(OR($X350="02",$X350="03",$X350="04"),OR($T350="Parsel/Bingkisan (tidak dirinci)",$T350="Makanan &amp; Minuman",$T350="Peralatan Rumah Tangga / Pecah Belah",$T350="Pakaian &amp; Kain")),"Momen Hari Raya (dugaan musiman)",IFERROR(VLOOKUP($W350,Kamus!$P$3:$Q$14,2,FALSE),"Tidak Teridentifikasi"))</f>
        <v>Relasi Personal / Tidak Teridentifikasi</v>
      </c>
      <c r="AA350" s="106" t="str">
        <f t="shared" si="17"/>
        <v>Relasi Personal / Tidak Teridentifikasi</v>
      </c>
    </row>
    <row r="351" spans="1:27">
      <c r="A351" s="106">
        <v>350</v>
      </c>
      <c r="B351" s="106" t="s">
        <v>2249</v>
      </c>
      <c r="C351" s="107" t="s">
        <v>2250</v>
      </c>
      <c r="D351" s="106" t="s">
        <v>2251</v>
      </c>
      <c r="E351" s="106" t="s">
        <v>1294</v>
      </c>
      <c r="F351" s="106" t="s">
        <v>2840</v>
      </c>
      <c r="G351" s="106" t="s">
        <v>1074</v>
      </c>
      <c r="H351" s="106" t="s">
        <v>2841</v>
      </c>
      <c r="I351" s="106" t="s">
        <v>1017</v>
      </c>
      <c r="K351" s="106" t="s">
        <v>2842</v>
      </c>
      <c r="L351" s="106" t="s">
        <v>2843</v>
      </c>
      <c r="O351" s="106" t="s">
        <v>274</v>
      </c>
      <c r="P351" s="106" t="s">
        <v>1298</v>
      </c>
      <c r="Q351" s="106" t="s">
        <v>428</v>
      </c>
      <c r="S351" s="106" t="str" cm="1">
        <f t="array" ref="S351">IF(TRIM($D351)="","(tidak diisi)",IFERROR(INDEX(Kamus!$B$3:$B$28,MATCH(TRUE,ISNUMBER(SEARCH(Kamus!$A$3:$A$28,$D351)),0)),"Jabatan Lainnya"))</f>
        <v>Wakil Ketua Pengadilan</v>
      </c>
      <c r="T351" s="106" t="str" cm="1">
        <f t="array" ref="T351">IF(TRIM($I351)="","(tidak diisi)",IFERROR(INDEX(Kamus!$E$3:$E$162,MATCH(TRUE,ISNUMBER(SEARCH(Kamus!$D$3:$D$162,$I351)),0)),"Barang Lain / Tidak Terinci"))</f>
        <v>Uang &amp; Setara Uang</v>
      </c>
      <c r="U351" s="106" t="str" cm="1">
        <f t="array" ref="U351">IF(TRIM($I351)="","(tidak diisi)",IFERROR(INDEX(Kamus!$H$3:$H$75,MATCH(TRUE,ISNUMBER(SEARCH(Kamus!$G$3:$G$75,$I351)),0)),"Pemberian Umum / Tanpa Konteks"))</f>
        <v>Pemberian Uang Langsung</v>
      </c>
      <c r="V351" s="106" t="str">
        <f t="shared" si="15"/>
        <v>2025</v>
      </c>
      <c r="W351" s="106" t="str" cm="1">
        <f t="array" ref="W351">IF(TRIM($K351)="","(tidak diisi)",IFERROR(INDEX(Kamus!$K$3:$K$118,MATCH(TRUE,ISNUMBER(SEARCH(Kamus!$J$3:$J$118,$K351)),0)),"Individu / Perorangan"))</f>
        <v>Individu / Perorangan</v>
      </c>
      <c r="X351" s="106" t="str">
        <f t="shared" si="16"/>
        <v>06</v>
      </c>
      <c r="Y351" s="106" t="str" cm="1">
        <f t="array" ref="Y351">IFERROR(INDEX(Kamus!$N$3:$N$111,MATCH(TRUE,ISNUMBER(SEARCH(Kamus!$M$3:$M$111,$I351)),0)),"")</f>
        <v/>
      </c>
      <c r="Z351" s="106" t="str">
        <f>IF(AND(OR($X351="02",$X351="03",$X351="04"),OR($T351="Parsel/Bingkisan (tidak dirinci)",$T351="Makanan &amp; Minuman",$T351="Peralatan Rumah Tangga / Pecah Belah",$T351="Pakaian &amp; Kain")),"Momen Hari Raya (dugaan musiman)",IFERROR(VLOOKUP($W351,Kamus!$P$3:$Q$14,2,FALSE),"Tidak Teridentifikasi"))</f>
        <v>Relasi Personal / Tidak Teridentifikasi</v>
      </c>
      <c r="AA351" s="106" t="str">
        <f t="shared" si="17"/>
        <v>Relasi Personal / Tidak Teridentifikasi</v>
      </c>
    </row>
    <row r="352" spans="1:27">
      <c r="A352" s="106">
        <v>351</v>
      </c>
      <c r="B352" s="106" t="s">
        <v>1505</v>
      </c>
      <c r="C352" s="107" t="s">
        <v>1506</v>
      </c>
      <c r="D352" s="106" t="s">
        <v>1507</v>
      </c>
      <c r="E352" s="106" t="s">
        <v>1166</v>
      </c>
      <c r="F352" s="106" t="s">
        <v>2844</v>
      </c>
      <c r="G352" s="106" t="s">
        <v>1006</v>
      </c>
      <c r="H352" s="106" t="s">
        <v>2845</v>
      </c>
      <c r="I352" s="106" t="s">
        <v>2846</v>
      </c>
      <c r="J352" s="106">
        <v>150000</v>
      </c>
      <c r="K352" s="106" t="s">
        <v>2847</v>
      </c>
      <c r="L352" s="106" t="s">
        <v>2848</v>
      </c>
      <c r="M352" s="106" t="s">
        <v>1039</v>
      </c>
      <c r="O352" s="106" t="s">
        <v>274</v>
      </c>
      <c r="P352" s="106" t="s">
        <v>1173</v>
      </c>
      <c r="Q352" s="106" t="s">
        <v>431</v>
      </c>
      <c r="S352" s="106" t="str" cm="1">
        <f t="array" ref="S352">IF(TRIM($D352)="","(tidak diisi)",IFERROR(INDEX(Kamus!$B$3:$B$28,MATCH(TRUE,ISNUMBER(SEARCH(Kamus!$A$3:$A$28,$D352)),0)),"Jabatan Lainnya"))</f>
        <v>Wakil Ketua Pengadilan</v>
      </c>
      <c r="T352" s="106" t="str" cm="1">
        <f t="array" ref="T352">IF(TRIM($I352)="","(tidak diisi)",IFERROR(INDEX(Kamus!$E$3:$E$162,MATCH(TRUE,ISNUMBER(SEARCH(Kamus!$D$3:$D$162,$I352)),0)),"Barang Lain / Tidak Terinci"))</f>
        <v>Peralatan Rumah Tangga / Pecah Belah</v>
      </c>
      <c r="U352" s="106" t="str" cm="1">
        <f t="array" ref="U352">IF(TRIM($I352)="","(tidak diisi)",IFERROR(INDEX(Kamus!$H$3:$H$75,MATCH(TRUE,ISNUMBER(SEARCH(Kamus!$G$3:$G$75,$I352)),0)),"Pemberian Umum / Tanpa Konteks"))</f>
        <v>Pemberian Umum / Tanpa Konteks</v>
      </c>
      <c r="V352" s="106" t="str">
        <f t="shared" si="15"/>
        <v>2025</v>
      </c>
      <c r="W352" s="106" t="str" cm="1">
        <f t="array" ref="W352">IF(TRIM($K352)="","(tidak diisi)",IFERROR(INDEX(Kamus!$K$3:$K$118,MATCH(TRUE,ISNUMBER(SEARCH(Kamus!$J$3:$J$118,$K352)),0)),"Individu / Perorangan"))</f>
        <v>Bank &amp; Lembaga Keuangan</v>
      </c>
      <c r="X352" s="106" t="str">
        <f t="shared" si="16"/>
        <v>07</v>
      </c>
      <c r="Y352" s="106" t="str" cm="1">
        <f t="array" ref="Y352">IFERROR(INDEX(Kamus!$N$3:$N$111,MATCH(TRUE,ISNUMBER(SEARCH(Kamus!$M$3:$M$111,$I352)),0)),"")</f>
        <v/>
      </c>
      <c r="Z352" s="106" t="str">
        <f>IF(AND(OR($X352="02",$X352="03",$X352="04"),OR($T352="Parsel/Bingkisan (tidak dirinci)",$T352="Makanan &amp; Minuman",$T352="Peralatan Rumah Tangga / Pecah Belah",$T352="Pakaian &amp; Kain")),"Momen Hari Raya (dugaan musiman)",IFERROR(VLOOKUP($W352,Kamus!$P$3:$Q$14,2,FALSE),"Tidak Teridentifikasi"))</f>
        <v>Relasi Layanan/Kerja Sama Perbankan (dugaan)</v>
      </c>
      <c r="AA352" s="106" t="str">
        <f t="shared" si="17"/>
        <v>Relasi Layanan/Kerja Sama Perbankan (dugaan)</v>
      </c>
    </row>
    <row r="353" spans="1:27">
      <c r="A353" s="106">
        <v>352</v>
      </c>
      <c r="B353" s="106" t="s">
        <v>2849</v>
      </c>
      <c r="C353" s="107" t="s">
        <v>2850</v>
      </c>
      <c r="D353" s="106" t="s">
        <v>1319</v>
      </c>
      <c r="E353" s="106" t="s">
        <v>1005</v>
      </c>
      <c r="F353" s="106" t="s">
        <v>2851</v>
      </c>
      <c r="G353" s="106" t="s">
        <v>1006</v>
      </c>
      <c r="H353" s="106" t="s">
        <v>2852</v>
      </c>
      <c r="I353" s="106" t="s">
        <v>2853</v>
      </c>
      <c r="J353" s="106">
        <v>160000</v>
      </c>
      <c r="K353" s="106" t="s">
        <v>2854</v>
      </c>
      <c r="L353" s="106" t="s">
        <v>2855</v>
      </c>
      <c r="M353" s="106" t="s">
        <v>1171</v>
      </c>
      <c r="N353" s="106" t="s">
        <v>2856</v>
      </c>
      <c r="O353" s="106" t="s">
        <v>274</v>
      </c>
      <c r="S353" s="106" t="str" cm="1">
        <f t="array" ref="S353">IF(TRIM($D353)="","(tidak diisi)",IFERROR(INDEX(Kamus!$B$3:$B$28,MATCH(TRUE,ISNUMBER(SEARCH(Kamus!$A$3:$A$28,$D353)),0)),"Jabatan Lainnya"))</f>
        <v>Wakil Ketua Pengadilan</v>
      </c>
      <c r="T353" s="106" t="str" cm="1">
        <f t="array" ref="T353">IF(TRIM($I353)="","(tidak diisi)",IFERROR(INDEX(Kamus!$E$3:$E$162,MATCH(TRUE,ISNUMBER(SEARCH(Kamus!$D$3:$D$162,$I353)),0)),"Barang Lain / Tidak Terinci"))</f>
        <v>Barang Lain / Tidak Terinci</v>
      </c>
      <c r="U353" s="106" t="str" cm="1">
        <f t="array" ref="U353">IF(TRIM($I353)="","(tidak diisi)",IFERROR(INDEX(Kamus!$H$3:$H$75,MATCH(TRUE,ISNUMBER(SEARCH(Kamus!$G$3:$G$75,$I353)),0)),"Pemberian Umum / Tanpa Konteks"))</f>
        <v>Pemberian Umum / Tanpa Konteks</v>
      </c>
      <c r="V353" s="106" t="str">
        <f t="shared" si="15"/>
        <v>2025</v>
      </c>
      <c r="W353" s="106" t="str" cm="1">
        <f t="array" ref="W353">IF(TRIM($K353)="","(tidak diisi)",IFERROR(INDEX(Kamus!$K$3:$K$118,MATCH(TRUE,ISNUMBER(SEARCH(Kamus!$J$3:$J$118,$K353)),0)),"Individu / Perorangan"))</f>
        <v>Bank &amp; Lembaga Keuangan</v>
      </c>
      <c r="X353" s="106" t="str">
        <f t="shared" si="16"/>
        <v>07</v>
      </c>
      <c r="Y353" s="106" t="str" cm="1">
        <f t="array" ref="Y353">IFERROR(INDEX(Kamus!$N$3:$N$111,MATCH(TRUE,ISNUMBER(SEARCH(Kamus!$M$3:$M$111,$I353)),0)),"")</f>
        <v/>
      </c>
      <c r="Z353" s="106" t="str">
        <f>IF(AND(OR($X353="02",$X353="03",$X353="04"),OR($T353="Parsel/Bingkisan (tidak dirinci)",$T353="Makanan &amp; Minuman",$T353="Peralatan Rumah Tangga / Pecah Belah",$T353="Pakaian &amp; Kain")),"Momen Hari Raya (dugaan musiman)",IFERROR(VLOOKUP($W353,Kamus!$P$3:$Q$14,2,FALSE),"Tidak Teridentifikasi"))</f>
        <v>Relasi Layanan/Kerja Sama Perbankan (dugaan)</v>
      </c>
      <c r="AA353" s="106" t="str">
        <f t="shared" si="17"/>
        <v>Relasi Layanan/Kerja Sama Perbankan (dugaan)</v>
      </c>
    </row>
    <row r="354" spans="1:27">
      <c r="A354" s="106">
        <v>353</v>
      </c>
      <c r="B354" s="106" t="s">
        <v>2857</v>
      </c>
      <c r="C354" s="107" t="s">
        <v>2858</v>
      </c>
      <c r="D354" s="106" t="s">
        <v>2859</v>
      </c>
      <c r="E354" s="106" t="s">
        <v>2860</v>
      </c>
      <c r="G354" s="106" t="s">
        <v>1006</v>
      </c>
      <c r="L354" s="106" t="s">
        <v>2861</v>
      </c>
      <c r="O354" s="106" t="s">
        <v>274</v>
      </c>
      <c r="P354" s="106" t="s">
        <v>2862</v>
      </c>
      <c r="Q354" s="106" t="s">
        <v>362</v>
      </c>
      <c r="S354" s="106" t="str" cm="1">
        <f t="array" ref="S354">IF(TRIM($D354)="","(tidak diisi)",IFERROR(INDEX(Kamus!$B$3:$B$28,MATCH(TRUE,ISNUMBER(SEARCH(Kamus!$A$3:$A$28,$D354)),0)),"Jabatan Lainnya"))</f>
        <v>Staf/Pegawai Pelaksana</v>
      </c>
      <c r="T354" s="106" t="str" cm="1">
        <f t="array" ref="T354">IF(TRIM($I354)="","(tidak diisi)",IFERROR(INDEX(Kamus!$E$3:$E$162,MATCH(TRUE,ISNUMBER(SEARCH(Kamus!$D$3:$D$162,$I354)),0)),"Barang Lain / Tidak Terinci"))</f>
        <v>(tidak diisi)</v>
      </c>
      <c r="U354" s="106" t="str" cm="1">
        <f t="array" ref="U354">IF(TRIM($I354)="","(tidak diisi)",IFERROR(INDEX(Kamus!$H$3:$H$75,MATCH(TRUE,ISNUMBER(SEARCH(Kamus!$G$3:$G$75,$I354)),0)),"Pemberian Umum / Tanpa Konteks"))</f>
        <v>(tidak diisi)</v>
      </c>
      <c r="V354" s="106" t="str">
        <f t="shared" si="15"/>
        <v>(tidak diisi)</v>
      </c>
      <c r="W354" s="106" t="str" cm="1">
        <f t="array" ref="W354">IF(TRIM($K354)="","(tidak diisi)",IFERROR(INDEX(Kamus!$K$3:$K$118,MATCH(TRUE,ISNUMBER(SEARCH(Kamus!$J$3:$J$118,$K354)),0)),"Individu / Perorangan"))</f>
        <v>(tidak diisi)</v>
      </c>
      <c r="X354" s="106" t="str">
        <f t="shared" si="16"/>
        <v>(tidak diisi)</v>
      </c>
      <c r="Y354" s="106" t="str" cm="1">
        <f t="array" ref="Y354">IFERROR(INDEX(Kamus!$N$3:$N$111,MATCH(TRUE,ISNUMBER(SEARCH(Kamus!$M$3:$M$111,$I354)),0)),"")</f>
        <v/>
      </c>
      <c r="Z354" s="106" t="str">
        <f>IF(AND(OR($X354="02",$X354="03",$X354="04"),OR($T354="Parsel/Bingkisan (tidak dirinci)",$T354="Makanan &amp; Minuman",$T354="Peralatan Rumah Tangga / Pecah Belah",$T354="Pakaian &amp; Kain")),"Momen Hari Raya (dugaan musiman)",IFERROR(VLOOKUP($W354,Kamus!$P$3:$Q$14,2,FALSE),"Tidak Teridentifikasi"))</f>
        <v>Tidak Teridentifikasi</v>
      </c>
      <c r="AA354" s="106" t="str">
        <f t="shared" si="17"/>
        <v>Tidak Teridentifikasi</v>
      </c>
    </row>
    <row r="355" spans="1:27">
      <c r="A355" s="106">
        <v>354</v>
      </c>
      <c r="B355" s="106" t="s">
        <v>2863</v>
      </c>
      <c r="C355" s="107" t="s">
        <v>2864</v>
      </c>
      <c r="D355" s="106" t="s">
        <v>2865</v>
      </c>
      <c r="E355" s="106" t="s">
        <v>2866</v>
      </c>
      <c r="G355" s="106" t="s">
        <v>1006</v>
      </c>
      <c r="L355" s="106" t="s">
        <v>2867</v>
      </c>
      <c r="O355" s="106" t="s">
        <v>274</v>
      </c>
      <c r="P355" s="106" t="s">
        <v>2868</v>
      </c>
      <c r="Q355" s="106" t="s">
        <v>425</v>
      </c>
      <c r="S355" s="106" t="str" cm="1">
        <f t="array" ref="S355">IF(TRIM($D355)="","(tidak diisi)",IFERROR(INDEX(Kamus!$B$3:$B$28,MATCH(TRUE,ISNUMBER(SEARCH(Kamus!$A$3:$A$28,$D355)),0)),"Jabatan Lainnya"))</f>
        <v>Wakil Ketua Pengadilan</v>
      </c>
      <c r="T355" s="106" t="str" cm="1">
        <f t="array" ref="T355">IF(TRIM($I355)="","(tidak diisi)",IFERROR(INDEX(Kamus!$E$3:$E$162,MATCH(TRUE,ISNUMBER(SEARCH(Kamus!$D$3:$D$162,$I355)),0)),"Barang Lain / Tidak Terinci"))</f>
        <v>(tidak diisi)</v>
      </c>
      <c r="U355" s="106" t="str" cm="1">
        <f t="array" ref="U355">IF(TRIM($I355)="","(tidak diisi)",IFERROR(INDEX(Kamus!$H$3:$H$75,MATCH(TRUE,ISNUMBER(SEARCH(Kamus!$G$3:$G$75,$I355)),0)),"Pemberian Umum / Tanpa Konteks"))</f>
        <v>(tidak diisi)</v>
      </c>
      <c r="V355" s="106" t="str">
        <f t="shared" si="15"/>
        <v>(tidak diisi)</v>
      </c>
      <c r="W355" s="106" t="str" cm="1">
        <f t="array" ref="W355">IF(TRIM($K355)="","(tidak diisi)",IFERROR(INDEX(Kamus!$K$3:$K$118,MATCH(TRUE,ISNUMBER(SEARCH(Kamus!$J$3:$J$118,$K355)),0)),"Individu / Perorangan"))</f>
        <v>(tidak diisi)</v>
      </c>
      <c r="X355" s="106" t="str">
        <f t="shared" si="16"/>
        <v>(tidak diisi)</v>
      </c>
      <c r="Y355" s="106" t="str" cm="1">
        <f t="array" ref="Y355">IFERROR(INDEX(Kamus!$N$3:$N$111,MATCH(TRUE,ISNUMBER(SEARCH(Kamus!$M$3:$M$111,$I355)),0)),"")</f>
        <v/>
      </c>
      <c r="Z355" s="106" t="str">
        <f>IF(AND(OR($X355="02",$X355="03",$X355="04"),OR($T355="Parsel/Bingkisan (tidak dirinci)",$T355="Makanan &amp; Minuman",$T355="Peralatan Rumah Tangga / Pecah Belah",$T355="Pakaian &amp; Kain")),"Momen Hari Raya (dugaan musiman)",IFERROR(VLOOKUP($W355,Kamus!$P$3:$Q$14,2,FALSE),"Tidak Teridentifikasi"))</f>
        <v>Tidak Teridentifikasi</v>
      </c>
      <c r="AA355" s="106" t="str">
        <f t="shared" si="17"/>
        <v>Tidak Teridentifikasi</v>
      </c>
    </row>
    <row r="356" spans="1:27">
      <c r="A356" s="106">
        <v>355</v>
      </c>
      <c r="B356" s="106" t="s">
        <v>1532</v>
      </c>
      <c r="C356" s="107" t="s">
        <v>1533</v>
      </c>
      <c r="D356" s="106" t="s">
        <v>1534</v>
      </c>
      <c r="E356" s="106" t="s">
        <v>1166</v>
      </c>
      <c r="F356" s="106" t="s">
        <v>2869</v>
      </c>
      <c r="G356" s="106" t="s">
        <v>1006</v>
      </c>
      <c r="H356" s="106" t="s">
        <v>2870</v>
      </c>
      <c r="I356" s="106" t="s">
        <v>2871</v>
      </c>
      <c r="K356" s="106" t="s">
        <v>2872</v>
      </c>
      <c r="L356" s="106" t="s">
        <v>2873</v>
      </c>
      <c r="O356" s="106" t="s">
        <v>274</v>
      </c>
      <c r="P356" s="106" t="s">
        <v>1173</v>
      </c>
      <c r="Q356" s="106" t="s">
        <v>431</v>
      </c>
      <c r="S356" s="106" t="str" cm="1">
        <f t="array" ref="S356">IF(TRIM($D356)="","(tidak diisi)",IFERROR(INDEX(Kamus!$B$3:$B$28,MATCH(TRUE,ISNUMBER(SEARCH(Kamus!$A$3:$A$28,$D356)),0)),"Jabatan Lainnya"))</f>
        <v>Ketua Pengadilan</v>
      </c>
      <c r="T356" s="106" t="str" cm="1">
        <f t="array" ref="T356">IF(TRIM($I356)="","(tidak diisi)",IFERROR(INDEX(Kamus!$E$3:$E$162,MATCH(TRUE,ISNUMBER(SEARCH(Kamus!$D$3:$D$162,$I356)),0)),"Barang Lain / Tidak Terinci"))</f>
        <v>Suvenir &amp; Merchandise</v>
      </c>
      <c r="U356" s="106" t="str" cm="1">
        <f t="array" ref="U356">IF(TRIM($I356)="","(tidak diisi)",IFERROR(INDEX(Kamus!$H$3:$H$75,MATCH(TRUE,ISNUMBER(SEARCH(Kamus!$G$3:$G$75,$I356)),0)),"Pemberian Umum / Tanpa Konteks"))</f>
        <v>Pemberian Umum / Tanpa Konteks</v>
      </c>
      <c r="V356" s="106" t="str">
        <f t="shared" si="15"/>
        <v>2025</v>
      </c>
      <c r="W356" s="106" t="str" cm="1">
        <f t="array" ref="W356">IF(TRIM($K356)="","(tidak diisi)",IFERROR(INDEX(Kamus!$K$3:$K$118,MATCH(TRUE,ISNUMBER(SEARCH(Kamus!$J$3:$J$118,$K356)),0)),"Individu / Perorangan"))</f>
        <v>Internal Peradilan / Instansi Sendiri</v>
      </c>
      <c r="X356" s="106" t="str">
        <f t="shared" si="16"/>
        <v>07</v>
      </c>
      <c r="Y356" s="106" t="str" cm="1">
        <f t="array" ref="Y356">IFERROR(INDEX(Kamus!$N$3:$N$111,MATCH(TRUE,ISNUMBER(SEARCH(Kamus!$M$3:$M$111,$I356)),0)),"")</f>
        <v/>
      </c>
      <c r="Z356" s="106" t="str">
        <f>IF(AND(OR($X356="02",$X356="03",$X356="04"),OR($T356="Parsel/Bingkisan (tidak dirinci)",$T356="Makanan &amp; Minuman",$T356="Peralatan Rumah Tangga / Pecah Belah",$T356="Pakaian &amp; Kain")),"Momen Hari Raya (dugaan musiman)",IFERROR(VLOOKUP($W356,Kamus!$P$3:$Q$14,2,FALSE),"Tidak Teridentifikasi"))</f>
        <v>Kunjungan/Koordinasi Internal Peradilan (dugaan)</v>
      </c>
      <c r="AA356" s="106" t="str">
        <f t="shared" si="17"/>
        <v>Kunjungan/Koordinasi Internal Peradilan (dugaan)</v>
      </c>
    </row>
    <row r="357" spans="1:27">
      <c r="A357" s="106">
        <v>356</v>
      </c>
      <c r="B357" s="106" t="s">
        <v>1532</v>
      </c>
      <c r="C357" s="107" t="s">
        <v>1533</v>
      </c>
      <c r="D357" s="106" t="s">
        <v>1534</v>
      </c>
      <c r="E357" s="106" t="s">
        <v>1166</v>
      </c>
      <c r="F357" s="106" t="s">
        <v>2869</v>
      </c>
      <c r="G357" s="106" t="s">
        <v>1006</v>
      </c>
      <c r="H357" s="106" t="s">
        <v>2870</v>
      </c>
      <c r="I357" s="106" t="s">
        <v>2874</v>
      </c>
      <c r="K357" s="106" t="s">
        <v>2872</v>
      </c>
      <c r="L357" s="106" t="s">
        <v>2873</v>
      </c>
      <c r="O357" s="106" t="s">
        <v>274</v>
      </c>
      <c r="P357" s="106" t="s">
        <v>1173</v>
      </c>
      <c r="Q357" s="106" t="s">
        <v>431</v>
      </c>
      <c r="S357" s="106" t="str" cm="1">
        <f t="array" ref="S357">IF(TRIM($D357)="","(tidak diisi)",IFERROR(INDEX(Kamus!$B$3:$B$28,MATCH(TRUE,ISNUMBER(SEARCH(Kamus!$A$3:$A$28,$D357)),0)),"Jabatan Lainnya"))</f>
        <v>Ketua Pengadilan</v>
      </c>
      <c r="T357" s="106" t="str" cm="1">
        <f t="array" ref="T357">IF(TRIM($I357)="","(tidak diisi)",IFERROR(INDEX(Kamus!$E$3:$E$162,MATCH(TRUE,ISNUMBER(SEARCH(Kamus!$D$3:$D$162,$I357)),0)),"Barang Lain / Tidak Terinci"))</f>
        <v>Peralatan Rumah Tangga / Pecah Belah</v>
      </c>
      <c r="U357" s="106" t="str" cm="1">
        <f t="array" ref="U357">IF(TRIM($I357)="","(tidak diisi)",IFERROR(INDEX(Kamus!$H$3:$H$75,MATCH(TRUE,ISNUMBER(SEARCH(Kamus!$G$3:$G$75,$I357)),0)),"Pemberian Umum / Tanpa Konteks"))</f>
        <v>Pemberian Umum / Tanpa Konteks</v>
      </c>
      <c r="V357" s="106" t="str">
        <f t="shared" si="15"/>
        <v>2025</v>
      </c>
      <c r="W357" s="106" t="str" cm="1">
        <f t="array" ref="W357">IF(TRIM($K357)="","(tidak diisi)",IFERROR(INDEX(Kamus!$K$3:$K$118,MATCH(TRUE,ISNUMBER(SEARCH(Kamus!$J$3:$J$118,$K357)),0)),"Individu / Perorangan"))</f>
        <v>Internal Peradilan / Instansi Sendiri</v>
      </c>
      <c r="X357" s="106" t="str">
        <f t="shared" si="16"/>
        <v>07</v>
      </c>
      <c r="Y357" s="106" t="str" cm="1">
        <f t="array" ref="Y357">IFERROR(INDEX(Kamus!$N$3:$N$111,MATCH(TRUE,ISNUMBER(SEARCH(Kamus!$M$3:$M$111,$I357)),0)),"")</f>
        <v/>
      </c>
      <c r="Z357" s="106" t="str">
        <f>IF(AND(OR($X357="02",$X357="03",$X357="04"),OR($T357="Parsel/Bingkisan (tidak dirinci)",$T357="Makanan &amp; Minuman",$T357="Peralatan Rumah Tangga / Pecah Belah",$T357="Pakaian &amp; Kain")),"Momen Hari Raya (dugaan musiman)",IFERROR(VLOOKUP($W357,Kamus!$P$3:$Q$14,2,FALSE),"Tidak Teridentifikasi"))</f>
        <v>Kunjungan/Koordinasi Internal Peradilan (dugaan)</v>
      </c>
      <c r="AA357" s="106" t="str">
        <f t="shared" si="17"/>
        <v>Kunjungan/Koordinasi Internal Peradilan (dugaan)</v>
      </c>
    </row>
    <row r="358" spans="1:27">
      <c r="A358" s="106">
        <v>357</v>
      </c>
      <c r="B358" s="106" t="s">
        <v>1532</v>
      </c>
      <c r="C358" s="107" t="s">
        <v>1533</v>
      </c>
      <c r="D358" s="106" t="s">
        <v>1534</v>
      </c>
      <c r="E358" s="106" t="s">
        <v>1166</v>
      </c>
      <c r="F358" s="106" t="s">
        <v>2869</v>
      </c>
      <c r="G358" s="106" t="s">
        <v>1006</v>
      </c>
      <c r="H358" s="106" t="s">
        <v>2870</v>
      </c>
      <c r="I358" s="106" t="s">
        <v>2875</v>
      </c>
      <c r="K358" s="106" t="s">
        <v>2872</v>
      </c>
      <c r="L358" s="106" t="s">
        <v>2873</v>
      </c>
      <c r="O358" s="106" t="s">
        <v>274</v>
      </c>
      <c r="P358" s="106" t="s">
        <v>1173</v>
      </c>
      <c r="Q358" s="106" t="s">
        <v>431</v>
      </c>
      <c r="S358" s="106" t="str" cm="1">
        <f t="array" ref="S358">IF(TRIM($D358)="","(tidak diisi)",IFERROR(INDEX(Kamus!$B$3:$B$28,MATCH(TRUE,ISNUMBER(SEARCH(Kamus!$A$3:$A$28,$D358)),0)),"Jabatan Lainnya"))</f>
        <v>Ketua Pengadilan</v>
      </c>
      <c r="T358" s="106" t="str" cm="1">
        <f t="array" ref="T358">IF(TRIM($I358)="","(tidak diisi)",IFERROR(INDEX(Kamus!$E$3:$E$162,MATCH(TRUE,ISNUMBER(SEARCH(Kamus!$D$3:$D$162,$I358)),0)),"Barang Lain / Tidak Terinci"))</f>
        <v>Makanan &amp; Minuman</v>
      </c>
      <c r="U358" s="106" t="str" cm="1">
        <f t="array" ref="U358">IF(TRIM($I358)="","(tidak diisi)",IFERROR(INDEX(Kamus!$H$3:$H$75,MATCH(TRUE,ISNUMBER(SEARCH(Kamus!$G$3:$G$75,$I358)),0)),"Pemberian Umum / Tanpa Konteks"))</f>
        <v>Pemberian Umum / Tanpa Konteks</v>
      </c>
      <c r="V358" s="106" t="str">
        <f t="shared" si="15"/>
        <v>2025</v>
      </c>
      <c r="W358" s="106" t="str" cm="1">
        <f t="array" ref="W358">IF(TRIM($K358)="","(tidak diisi)",IFERROR(INDEX(Kamus!$K$3:$K$118,MATCH(TRUE,ISNUMBER(SEARCH(Kamus!$J$3:$J$118,$K358)),0)),"Individu / Perorangan"))</f>
        <v>Internal Peradilan / Instansi Sendiri</v>
      </c>
      <c r="X358" s="106" t="str">
        <f t="shared" si="16"/>
        <v>07</v>
      </c>
      <c r="Y358" s="106" t="str" cm="1">
        <f t="array" ref="Y358">IFERROR(INDEX(Kamus!$N$3:$N$111,MATCH(TRUE,ISNUMBER(SEARCH(Kamus!$M$3:$M$111,$I358)),0)),"")</f>
        <v/>
      </c>
      <c r="Z358" s="106" t="str">
        <f>IF(AND(OR($X358="02",$X358="03",$X358="04"),OR($T358="Parsel/Bingkisan (tidak dirinci)",$T358="Makanan &amp; Minuman",$T358="Peralatan Rumah Tangga / Pecah Belah",$T358="Pakaian &amp; Kain")),"Momen Hari Raya (dugaan musiman)",IFERROR(VLOOKUP($W358,Kamus!$P$3:$Q$14,2,FALSE),"Tidak Teridentifikasi"))</f>
        <v>Kunjungan/Koordinasi Internal Peradilan (dugaan)</v>
      </c>
      <c r="AA358" s="106" t="str">
        <f t="shared" si="17"/>
        <v>Kunjungan/Koordinasi Internal Peradilan (dugaan)</v>
      </c>
    </row>
    <row r="359" spans="1:27">
      <c r="A359" s="106">
        <v>358</v>
      </c>
      <c r="B359" s="106" t="s">
        <v>2876</v>
      </c>
      <c r="C359" s="107" t="s">
        <v>2877</v>
      </c>
      <c r="D359" s="106" t="s">
        <v>1042</v>
      </c>
      <c r="E359" s="106" t="s">
        <v>2878</v>
      </c>
      <c r="F359" s="106" t="s">
        <v>2879</v>
      </c>
      <c r="G359" s="106" t="s">
        <v>1006</v>
      </c>
      <c r="H359" s="106" t="s">
        <v>2880</v>
      </c>
      <c r="I359" s="106" t="s">
        <v>2881</v>
      </c>
      <c r="J359" s="106">
        <v>379800</v>
      </c>
      <c r="K359" s="106" t="s">
        <v>2882</v>
      </c>
      <c r="L359" s="106" t="s">
        <v>2883</v>
      </c>
      <c r="M359" s="106" t="s">
        <v>1171</v>
      </c>
      <c r="N359" s="106" t="s">
        <v>2884</v>
      </c>
      <c r="O359" s="106" t="s">
        <v>274</v>
      </c>
      <c r="P359" s="106" t="s">
        <v>2885</v>
      </c>
      <c r="Q359" s="106" t="s">
        <v>431</v>
      </c>
      <c r="S359" s="106" t="str" cm="1">
        <f t="array" ref="S359">IF(TRIM($D359)="","(tidak diisi)",IFERROR(INDEX(Kamus!$B$3:$B$28,MATCH(TRUE,ISNUMBER(SEARCH(Kamus!$A$3:$A$28,$D359)),0)),"Jabatan Lainnya"))</f>
        <v>Ketua Pengadilan</v>
      </c>
      <c r="T359" s="106" t="str" cm="1">
        <f t="array" ref="T359">IF(TRIM($I359)="","(tidak diisi)",IFERROR(INDEX(Kamus!$E$3:$E$162,MATCH(TRUE,ISNUMBER(SEARCH(Kamus!$D$3:$D$162,$I359)),0)),"Barang Lain / Tidak Terinci"))</f>
        <v>Pakaian &amp; Kain</v>
      </c>
      <c r="U359" s="106" t="str" cm="1">
        <f t="array" ref="U359">IF(TRIM($I359)="","(tidak diisi)",IFERROR(INDEX(Kamus!$H$3:$H$75,MATCH(TRUE,ISNUMBER(SEARCH(Kamus!$G$3:$G$75,$I359)),0)),"Pemberian Umum / Tanpa Konteks"))</f>
        <v>Pemberian Umum / Tanpa Konteks</v>
      </c>
      <c r="V359" s="106" t="str">
        <f t="shared" si="15"/>
        <v>2025</v>
      </c>
      <c r="W359" s="106" t="str" cm="1">
        <f t="array" ref="W359">IF(TRIM($K359)="","(tidak diisi)",IFERROR(INDEX(Kamus!$K$3:$K$118,MATCH(TRUE,ISNUMBER(SEARCH(Kamus!$J$3:$J$118,$K359)),0)),"Individu / Perorangan"))</f>
        <v>Aparat/Instansi Penegak Hukum &amp; Vertikal</v>
      </c>
      <c r="X359" s="106" t="str">
        <f t="shared" si="16"/>
        <v>07</v>
      </c>
      <c r="Y359" s="106" t="str" cm="1">
        <f t="array" ref="Y359">IFERROR(INDEX(Kamus!$N$3:$N$111,MATCH(TRUE,ISNUMBER(SEARCH(Kamus!$M$3:$M$111,$I359)),0)),"")</f>
        <v/>
      </c>
      <c r="Z359" s="106" t="str">
        <f>IF(AND(OR($X359="02",$X359="03",$X359="04"),OR($T359="Parsel/Bingkisan (tidak dirinci)",$T359="Makanan &amp; Minuman",$T359="Peralatan Rumah Tangga / Pecah Belah",$T359="Pakaian &amp; Kain")),"Momen Hari Raya (dugaan musiman)",IFERROR(VLOOKUP($W359,Kamus!$P$3:$Q$14,2,FALSE),"Tidak Teridentifikasi"))</f>
        <v>Koordinasi Antarinstansi (dugaan)</v>
      </c>
      <c r="AA359" s="106" t="str">
        <f t="shared" si="17"/>
        <v>Koordinasi Antarinstansi (dugaan)</v>
      </c>
    </row>
    <row r="360" spans="1:27">
      <c r="A360" s="106">
        <v>359</v>
      </c>
      <c r="B360" s="106" t="s">
        <v>1452</v>
      </c>
      <c r="C360" s="107" t="s">
        <v>1453</v>
      </c>
      <c r="D360" s="106" t="s">
        <v>1454</v>
      </c>
      <c r="E360" s="106" t="s">
        <v>1166</v>
      </c>
      <c r="F360" s="106" t="s">
        <v>2886</v>
      </c>
      <c r="G360" s="106" t="s">
        <v>1006</v>
      </c>
      <c r="H360" s="106" t="s">
        <v>2870</v>
      </c>
      <c r="I360" s="106" t="s">
        <v>2871</v>
      </c>
      <c r="K360" s="106" t="s">
        <v>2872</v>
      </c>
      <c r="L360" s="106" t="s">
        <v>2887</v>
      </c>
      <c r="O360" s="106" t="s">
        <v>274</v>
      </c>
      <c r="P360" s="106" t="s">
        <v>1173</v>
      </c>
      <c r="Q360" s="106" t="s">
        <v>431</v>
      </c>
      <c r="S360" s="106" t="str" cm="1">
        <f t="array" ref="S360">IF(TRIM($D360)="","(tidak diisi)",IFERROR(INDEX(Kamus!$B$3:$B$28,MATCH(TRUE,ISNUMBER(SEARCH(Kamus!$A$3:$A$28,$D360)),0)),"Jabatan Lainnya"))</f>
        <v>Panitera</v>
      </c>
      <c r="T360" s="106" t="str" cm="1">
        <f t="array" ref="T360">IF(TRIM($I360)="","(tidak diisi)",IFERROR(INDEX(Kamus!$E$3:$E$162,MATCH(TRUE,ISNUMBER(SEARCH(Kamus!$D$3:$D$162,$I360)),0)),"Barang Lain / Tidak Terinci"))</f>
        <v>Suvenir &amp; Merchandise</v>
      </c>
      <c r="U360" s="106" t="str" cm="1">
        <f t="array" ref="U360">IF(TRIM($I360)="","(tidak diisi)",IFERROR(INDEX(Kamus!$H$3:$H$75,MATCH(TRUE,ISNUMBER(SEARCH(Kamus!$G$3:$G$75,$I360)),0)),"Pemberian Umum / Tanpa Konteks"))</f>
        <v>Pemberian Umum / Tanpa Konteks</v>
      </c>
      <c r="V360" s="106" t="str">
        <f t="shared" si="15"/>
        <v>2025</v>
      </c>
      <c r="W360" s="106" t="str" cm="1">
        <f t="array" ref="W360">IF(TRIM($K360)="","(tidak diisi)",IFERROR(INDEX(Kamus!$K$3:$K$118,MATCH(TRUE,ISNUMBER(SEARCH(Kamus!$J$3:$J$118,$K360)),0)),"Individu / Perorangan"))</f>
        <v>Internal Peradilan / Instansi Sendiri</v>
      </c>
      <c r="X360" s="106" t="str">
        <f t="shared" si="16"/>
        <v>07</v>
      </c>
      <c r="Y360" s="106" t="str" cm="1">
        <f t="array" ref="Y360">IFERROR(INDEX(Kamus!$N$3:$N$111,MATCH(TRUE,ISNUMBER(SEARCH(Kamus!$M$3:$M$111,$I360)),0)),"")</f>
        <v/>
      </c>
      <c r="Z360" s="106" t="str">
        <f>IF(AND(OR($X360="02",$X360="03",$X360="04"),OR($T360="Parsel/Bingkisan (tidak dirinci)",$T360="Makanan &amp; Minuman",$T360="Peralatan Rumah Tangga / Pecah Belah",$T360="Pakaian &amp; Kain")),"Momen Hari Raya (dugaan musiman)",IFERROR(VLOOKUP($W360,Kamus!$P$3:$Q$14,2,FALSE),"Tidak Teridentifikasi"))</f>
        <v>Kunjungan/Koordinasi Internal Peradilan (dugaan)</v>
      </c>
      <c r="AA360" s="106" t="str">
        <f t="shared" si="17"/>
        <v>Kunjungan/Koordinasi Internal Peradilan (dugaan)</v>
      </c>
    </row>
    <row r="361" spans="1:27">
      <c r="A361" s="106">
        <v>360</v>
      </c>
      <c r="B361" s="106" t="s">
        <v>1452</v>
      </c>
      <c r="C361" s="107" t="s">
        <v>1453</v>
      </c>
      <c r="D361" s="106" t="s">
        <v>1454</v>
      </c>
      <c r="E361" s="106" t="s">
        <v>1166</v>
      </c>
      <c r="F361" s="106" t="s">
        <v>2886</v>
      </c>
      <c r="G361" s="106" t="s">
        <v>1006</v>
      </c>
      <c r="H361" s="106" t="s">
        <v>2870</v>
      </c>
      <c r="I361" s="106" t="s">
        <v>2874</v>
      </c>
      <c r="K361" s="106" t="s">
        <v>2872</v>
      </c>
      <c r="L361" s="106" t="s">
        <v>2887</v>
      </c>
      <c r="O361" s="106" t="s">
        <v>274</v>
      </c>
      <c r="P361" s="106" t="s">
        <v>1173</v>
      </c>
      <c r="Q361" s="106" t="s">
        <v>431</v>
      </c>
      <c r="S361" s="106" t="str" cm="1">
        <f t="array" ref="S361">IF(TRIM($D361)="","(tidak diisi)",IFERROR(INDEX(Kamus!$B$3:$B$28,MATCH(TRUE,ISNUMBER(SEARCH(Kamus!$A$3:$A$28,$D361)),0)),"Jabatan Lainnya"))</f>
        <v>Panitera</v>
      </c>
      <c r="T361" s="106" t="str" cm="1">
        <f t="array" ref="T361">IF(TRIM($I361)="","(tidak diisi)",IFERROR(INDEX(Kamus!$E$3:$E$162,MATCH(TRUE,ISNUMBER(SEARCH(Kamus!$D$3:$D$162,$I361)),0)),"Barang Lain / Tidak Terinci"))</f>
        <v>Peralatan Rumah Tangga / Pecah Belah</v>
      </c>
      <c r="U361" s="106" t="str" cm="1">
        <f t="array" ref="U361">IF(TRIM($I361)="","(tidak diisi)",IFERROR(INDEX(Kamus!$H$3:$H$75,MATCH(TRUE,ISNUMBER(SEARCH(Kamus!$G$3:$G$75,$I361)),0)),"Pemberian Umum / Tanpa Konteks"))</f>
        <v>Pemberian Umum / Tanpa Konteks</v>
      </c>
      <c r="V361" s="106" t="str">
        <f t="shared" si="15"/>
        <v>2025</v>
      </c>
      <c r="W361" s="106" t="str" cm="1">
        <f t="array" ref="W361">IF(TRIM($K361)="","(tidak diisi)",IFERROR(INDEX(Kamus!$K$3:$K$118,MATCH(TRUE,ISNUMBER(SEARCH(Kamus!$J$3:$J$118,$K361)),0)),"Individu / Perorangan"))</f>
        <v>Internal Peradilan / Instansi Sendiri</v>
      </c>
      <c r="X361" s="106" t="str">
        <f t="shared" si="16"/>
        <v>07</v>
      </c>
      <c r="Y361" s="106" t="str" cm="1">
        <f t="array" ref="Y361">IFERROR(INDEX(Kamus!$N$3:$N$111,MATCH(TRUE,ISNUMBER(SEARCH(Kamus!$M$3:$M$111,$I361)),0)),"")</f>
        <v/>
      </c>
      <c r="Z361" s="106" t="str">
        <f>IF(AND(OR($X361="02",$X361="03",$X361="04"),OR($T361="Parsel/Bingkisan (tidak dirinci)",$T361="Makanan &amp; Minuman",$T361="Peralatan Rumah Tangga / Pecah Belah",$T361="Pakaian &amp; Kain")),"Momen Hari Raya (dugaan musiman)",IFERROR(VLOOKUP($W361,Kamus!$P$3:$Q$14,2,FALSE),"Tidak Teridentifikasi"))</f>
        <v>Kunjungan/Koordinasi Internal Peradilan (dugaan)</v>
      </c>
      <c r="AA361" s="106" t="str">
        <f t="shared" si="17"/>
        <v>Kunjungan/Koordinasi Internal Peradilan (dugaan)</v>
      </c>
    </row>
    <row r="362" spans="1:27">
      <c r="A362" s="106">
        <v>361</v>
      </c>
      <c r="B362" s="106" t="s">
        <v>1452</v>
      </c>
      <c r="C362" s="107" t="s">
        <v>1453</v>
      </c>
      <c r="D362" s="106" t="s">
        <v>1454</v>
      </c>
      <c r="E362" s="106" t="s">
        <v>1166</v>
      </c>
      <c r="F362" s="106" t="s">
        <v>2886</v>
      </c>
      <c r="G362" s="106" t="s">
        <v>1006</v>
      </c>
      <c r="H362" s="106" t="s">
        <v>2870</v>
      </c>
      <c r="I362" s="106" t="s">
        <v>2875</v>
      </c>
      <c r="K362" s="106" t="s">
        <v>2872</v>
      </c>
      <c r="L362" s="106" t="s">
        <v>2887</v>
      </c>
      <c r="O362" s="106" t="s">
        <v>274</v>
      </c>
      <c r="P362" s="106" t="s">
        <v>1173</v>
      </c>
      <c r="Q362" s="106" t="s">
        <v>431</v>
      </c>
      <c r="S362" s="106" t="str" cm="1">
        <f t="array" ref="S362">IF(TRIM($D362)="","(tidak diisi)",IFERROR(INDEX(Kamus!$B$3:$B$28,MATCH(TRUE,ISNUMBER(SEARCH(Kamus!$A$3:$A$28,$D362)),0)),"Jabatan Lainnya"))</f>
        <v>Panitera</v>
      </c>
      <c r="T362" s="106" t="str" cm="1">
        <f t="array" ref="T362">IF(TRIM($I362)="","(tidak diisi)",IFERROR(INDEX(Kamus!$E$3:$E$162,MATCH(TRUE,ISNUMBER(SEARCH(Kamus!$D$3:$D$162,$I362)),0)),"Barang Lain / Tidak Terinci"))</f>
        <v>Makanan &amp; Minuman</v>
      </c>
      <c r="U362" s="106" t="str" cm="1">
        <f t="array" ref="U362">IF(TRIM($I362)="","(tidak diisi)",IFERROR(INDEX(Kamus!$H$3:$H$75,MATCH(TRUE,ISNUMBER(SEARCH(Kamus!$G$3:$G$75,$I362)),0)),"Pemberian Umum / Tanpa Konteks"))</f>
        <v>Pemberian Umum / Tanpa Konteks</v>
      </c>
      <c r="V362" s="106" t="str">
        <f t="shared" si="15"/>
        <v>2025</v>
      </c>
      <c r="W362" s="106" t="str" cm="1">
        <f t="array" ref="W362">IF(TRIM($K362)="","(tidak diisi)",IFERROR(INDEX(Kamus!$K$3:$K$118,MATCH(TRUE,ISNUMBER(SEARCH(Kamus!$J$3:$J$118,$K362)),0)),"Individu / Perorangan"))</f>
        <v>Internal Peradilan / Instansi Sendiri</v>
      </c>
      <c r="X362" s="106" t="str">
        <f t="shared" si="16"/>
        <v>07</v>
      </c>
      <c r="Y362" s="106" t="str" cm="1">
        <f t="array" ref="Y362">IFERROR(INDEX(Kamus!$N$3:$N$111,MATCH(TRUE,ISNUMBER(SEARCH(Kamus!$M$3:$M$111,$I362)),0)),"")</f>
        <v/>
      </c>
      <c r="Z362" s="106" t="str">
        <f>IF(AND(OR($X362="02",$X362="03",$X362="04"),OR($T362="Parsel/Bingkisan (tidak dirinci)",$T362="Makanan &amp; Minuman",$T362="Peralatan Rumah Tangga / Pecah Belah",$T362="Pakaian &amp; Kain")),"Momen Hari Raya (dugaan musiman)",IFERROR(VLOOKUP($W362,Kamus!$P$3:$Q$14,2,FALSE),"Tidak Teridentifikasi"))</f>
        <v>Kunjungan/Koordinasi Internal Peradilan (dugaan)</v>
      </c>
      <c r="AA362" s="106" t="str">
        <f t="shared" si="17"/>
        <v>Kunjungan/Koordinasi Internal Peradilan (dugaan)</v>
      </c>
    </row>
    <row r="363" spans="1:27">
      <c r="A363" s="106">
        <v>362</v>
      </c>
      <c r="B363" s="106" t="s">
        <v>1806</v>
      </c>
      <c r="C363" s="107" t="s">
        <v>1807</v>
      </c>
      <c r="D363" s="106" t="s">
        <v>1808</v>
      </c>
      <c r="E363" s="106" t="s">
        <v>1809</v>
      </c>
      <c r="F363" s="106" t="s">
        <v>2888</v>
      </c>
      <c r="G363" s="106" t="s">
        <v>1006</v>
      </c>
      <c r="H363" s="106" t="s">
        <v>2889</v>
      </c>
      <c r="I363" s="106" t="s">
        <v>2890</v>
      </c>
      <c r="K363" s="106" t="s">
        <v>2891</v>
      </c>
      <c r="L363" s="106" t="s">
        <v>2892</v>
      </c>
      <c r="O363" s="106" t="s">
        <v>274</v>
      </c>
      <c r="P363" s="106" t="s">
        <v>1815</v>
      </c>
      <c r="Q363" s="106" t="s">
        <v>428</v>
      </c>
      <c r="S363" s="106" t="str" cm="1">
        <f t="array" ref="S363">IF(TRIM($D363)="","(tidak diisi)",IFERROR(INDEX(Kamus!$B$3:$B$28,MATCH(TRUE,ISNUMBER(SEARCH(Kamus!$A$3:$A$28,$D363)),0)),"Jabatan Lainnya"))</f>
        <v>Ketua Pengadilan</v>
      </c>
      <c r="T363" s="106" t="str" cm="1">
        <f t="array" ref="T363">IF(TRIM($I363)="","(tidak diisi)",IFERROR(INDEX(Kamus!$E$3:$E$162,MATCH(TRUE,ISNUMBER(SEARCH(Kamus!$D$3:$D$162,$I363)),0)),"Barang Lain / Tidak Terinci"))</f>
        <v>Peralatan Rumah Tangga / Pecah Belah</v>
      </c>
      <c r="U363" s="106" t="str" cm="1">
        <f t="array" ref="U363">IF(TRIM($I363)="","(tidak diisi)",IFERROR(INDEX(Kamus!$H$3:$H$75,MATCH(TRUE,ISNUMBER(SEARCH(Kamus!$G$3:$G$75,$I363)),0)),"Pemberian Umum / Tanpa Konteks"))</f>
        <v>Pemberian Umum / Tanpa Konteks</v>
      </c>
      <c r="V363" s="106" t="str">
        <f t="shared" si="15"/>
        <v>2025</v>
      </c>
      <c r="W363" s="106" t="str" cm="1">
        <f t="array" ref="W363">IF(TRIM($K363)="","(tidak diisi)",IFERROR(INDEX(Kamus!$K$3:$K$118,MATCH(TRUE,ISNUMBER(SEARCH(Kamus!$J$3:$J$118,$K363)),0)),"Individu / Perorangan"))</f>
        <v>Pemerintah Daerah</v>
      </c>
      <c r="X363" s="106" t="str">
        <f t="shared" si="16"/>
        <v>07</v>
      </c>
      <c r="Y363" s="106" t="str" cm="1">
        <f t="array" ref="Y363">IFERROR(INDEX(Kamus!$N$3:$N$111,MATCH(TRUE,ISNUMBER(SEARCH(Kamus!$M$3:$M$111,$I363)),0)),"")</f>
        <v/>
      </c>
      <c r="Z363" s="106" t="str">
        <f>IF(AND(OR($X363="02",$X363="03",$X363="04"),OR($T363="Parsel/Bingkisan (tidak dirinci)",$T363="Makanan &amp; Minuman",$T363="Peralatan Rumah Tangga / Pecah Belah",$T363="Pakaian &amp; Kain")),"Momen Hari Raya (dugaan musiman)",IFERROR(VLOOKUP($W363,Kamus!$P$3:$Q$14,2,FALSE),"Tidak Teridentifikasi"))</f>
        <v>Koordinasi Antarinstansi (dugaan)</v>
      </c>
      <c r="AA363" s="106" t="str">
        <f t="shared" si="17"/>
        <v>Koordinasi Antarinstansi (dugaan)</v>
      </c>
    </row>
    <row r="364" spans="1:27">
      <c r="A364" s="106">
        <v>363</v>
      </c>
      <c r="B364" s="106" t="s">
        <v>2893</v>
      </c>
      <c r="C364" s="107" t="s">
        <v>2894</v>
      </c>
      <c r="D364" s="106" t="s">
        <v>1033</v>
      </c>
      <c r="E364" s="106" t="s">
        <v>2150</v>
      </c>
      <c r="G364" s="106" t="s">
        <v>1006</v>
      </c>
      <c r="L364" s="106" t="s">
        <v>2895</v>
      </c>
      <c r="O364" s="106" t="s">
        <v>274</v>
      </c>
      <c r="P364" s="106" t="s">
        <v>604</v>
      </c>
      <c r="Q364" s="106" t="s">
        <v>429</v>
      </c>
      <c r="S364" s="106" t="str" cm="1">
        <f t="array" ref="S364">IF(TRIM($D364)="","(tidak diisi)",IFERROR(INDEX(Kamus!$B$3:$B$28,MATCH(TRUE,ISNUMBER(SEARCH(Kamus!$A$3:$A$28,$D364)),0)),"Jabatan Lainnya"))</f>
        <v>Hakim</v>
      </c>
      <c r="T364" s="106" t="str" cm="1">
        <f t="array" ref="T364">IF(TRIM($I364)="","(tidak diisi)",IFERROR(INDEX(Kamus!$E$3:$E$162,MATCH(TRUE,ISNUMBER(SEARCH(Kamus!$D$3:$D$162,$I364)),0)),"Barang Lain / Tidak Terinci"))</f>
        <v>(tidak diisi)</v>
      </c>
      <c r="U364" s="106" t="str" cm="1">
        <f t="array" ref="U364">IF(TRIM($I364)="","(tidak diisi)",IFERROR(INDEX(Kamus!$H$3:$H$75,MATCH(TRUE,ISNUMBER(SEARCH(Kamus!$G$3:$G$75,$I364)),0)),"Pemberian Umum / Tanpa Konteks"))</f>
        <v>(tidak diisi)</v>
      </c>
      <c r="V364" s="106" t="str">
        <f t="shared" si="15"/>
        <v>(tidak diisi)</v>
      </c>
      <c r="W364" s="106" t="str" cm="1">
        <f t="array" ref="W364">IF(TRIM($K364)="","(tidak diisi)",IFERROR(INDEX(Kamus!$K$3:$K$118,MATCH(TRUE,ISNUMBER(SEARCH(Kamus!$J$3:$J$118,$K364)),0)),"Individu / Perorangan"))</f>
        <v>(tidak diisi)</v>
      </c>
      <c r="X364" s="106" t="str">
        <f t="shared" si="16"/>
        <v>(tidak diisi)</v>
      </c>
      <c r="Y364" s="106" t="str" cm="1">
        <f t="array" ref="Y364">IFERROR(INDEX(Kamus!$N$3:$N$111,MATCH(TRUE,ISNUMBER(SEARCH(Kamus!$M$3:$M$111,$I364)),0)),"")</f>
        <v/>
      </c>
      <c r="Z364" s="106" t="str">
        <f>IF(AND(OR($X364="02",$X364="03",$X364="04"),OR($T364="Parsel/Bingkisan (tidak dirinci)",$T364="Makanan &amp; Minuman",$T364="Peralatan Rumah Tangga / Pecah Belah",$T364="Pakaian &amp; Kain")),"Momen Hari Raya (dugaan musiman)",IFERROR(VLOOKUP($W364,Kamus!$P$3:$Q$14,2,FALSE),"Tidak Teridentifikasi"))</f>
        <v>Tidak Teridentifikasi</v>
      </c>
      <c r="AA364" s="106" t="str">
        <f t="shared" si="17"/>
        <v>Tidak Teridentifikasi</v>
      </c>
    </row>
    <row r="365" spans="1:27">
      <c r="A365" s="106">
        <v>364</v>
      </c>
      <c r="B365" s="106" t="s">
        <v>1022</v>
      </c>
      <c r="C365" s="107" t="s">
        <v>1023</v>
      </c>
      <c r="D365" s="106" t="s">
        <v>1024</v>
      </c>
      <c r="E365" s="106" t="s">
        <v>1025</v>
      </c>
      <c r="F365" s="106" t="s">
        <v>2896</v>
      </c>
      <c r="G365" s="106" t="s">
        <v>1006</v>
      </c>
      <c r="H365" s="106" t="s">
        <v>2897</v>
      </c>
      <c r="I365" s="106" t="s">
        <v>2898</v>
      </c>
      <c r="K365" s="106" t="s">
        <v>2899</v>
      </c>
      <c r="L365" s="106" t="s">
        <v>2900</v>
      </c>
      <c r="O365" s="106" t="s">
        <v>274</v>
      </c>
      <c r="P365" s="106" t="s">
        <v>561</v>
      </c>
      <c r="Q365" s="106" t="s">
        <v>428</v>
      </c>
      <c r="S365" s="106" t="str" cm="1">
        <f t="array" ref="S365">IF(TRIM($D365)="","(tidak diisi)",IFERROR(INDEX(Kamus!$B$3:$B$28,MATCH(TRUE,ISNUMBER(SEARCH(Kamus!$A$3:$A$28,$D365)),0)),"Jabatan Lainnya"))</f>
        <v>Sekretaris</v>
      </c>
      <c r="T365" s="106" t="str" cm="1">
        <f t="array" ref="T365">IF(TRIM($I365)="","(tidak diisi)",IFERROR(INDEX(Kamus!$E$3:$E$162,MATCH(TRUE,ISNUMBER(SEARCH(Kamus!$D$3:$D$162,$I365)),0)),"Barang Lain / Tidak Terinci"))</f>
        <v>Buku &amp; Publikasi</v>
      </c>
      <c r="U365" s="106" t="str" cm="1">
        <f t="array" ref="U365">IF(TRIM($I365)="","(tidak diisi)",IFERROR(INDEX(Kamus!$H$3:$H$75,MATCH(TRUE,ISNUMBER(SEARCH(Kamus!$G$3:$G$75,$I365)),0)),"Pemberian Umum / Tanpa Konteks"))</f>
        <v>Pemberian Umum / Tanpa Konteks</v>
      </c>
      <c r="V365" s="106" t="str">
        <f t="shared" si="15"/>
        <v>2025</v>
      </c>
      <c r="W365" s="106" t="str" cm="1">
        <f t="array" ref="W365">IF(TRIM($K365)="","(tidak diisi)",IFERROR(INDEX(Kamus!$K$3:$K$118,MATCH(TRUE,ISNUMBER(SEARCH(Kamus!$J$3:$J$118,$K365)),0)),"Individu / Perorangan"))</f>
        <v>Individu / Perorangan</v>
      </c>
      <c r="X365" s="106" t="str">
        <f t="shared" si="16"/>
        <v>07</v>
      </c>
      <c r="Y365" s="106" t="str" cm="1">
        <f t="array" ref="Y365">IFERROR(INDEX(Kamus!$N$3:$N$111,MATCH(TRUE,ISNUMBER(SEARCH(Kamus!$M$3:$M$111,$I365)),0)),"")</f>
        <v/>
      </c>
      <c r="Z365" s="106" t="str">
        <f>IF(AND(OR($X365="02",$X365="03",$X365="04"),OR($T365="Parsel/Bingkisan (tidak dirinci)",$T365="Makanan &amp; Minuman",$T365="Peralatan Rumah Tangga / Pecah Belah",$T365="Pakaian &amp; Kain")),"Momen Hari Raya (dugaan musiman)",IFERROR(VLOOKUP($W365,Kamus!$P$3:$Q$14,2,FALSE),"Tidak Teridentifikasi"))</f>
        <v>Relasi Personal / Tidak Teridentifikasi</v>
      </c>
      <c r="AA365" s="106" t="str">
        <f t="shared" si="17"/>
        <v>Relasi Personal / Tidak Teridentifikasi</v>
      </c>
    </row>
    <row r="366" spans="1:27">
      <c r="A366" s="106">
        <v>365</v>
      </c>
      <c r="B366" s="106" t="s">
        <v>1022</v>
      </c>
      <c r="C366" s="107" t="s">
        <v>1023</v>
      </c>
      <c r="D366" s="106" t="s">
        <v>1024</v>
      </c>
      <c r="E366" s="106" t="s">
        <v>1025</v>
      </c>
      <c r="F366" s="106" t="s">
        <v>2901</v>
      </c>
      <c r="G366" s="106" t="s">
        <v>1006</v>
      </c>
      <c r="H366" s="106" t="s">
        <v>2897</v>
      </c>
      <c r="I366" s="106" t="s">
        <v>2902</v>
      </c>
      <c r="K366" s="106" t="s">
        <v>2899</v>
      </c>
      <c r="L366" s="106" t="s">
        <v>2903</v>
      </c>
      <c r="O366" s="106" t="s">
        <v>274</v>
      </c>
      <c r="P366" s="106" t="s">
        <v>561</v>
      </c>
      <c r="Q366" s="106" t="s">
        <v>428</v>
      </c>
      <c r="S366" s="106" t="str" cm="1">
        <f t="array" ref="S366">IF(TRIM($D366)="","(tidak diisi)",IFERROR(INDEX(Kamus!$B$3:$B$28,MATCH(TRUE,ISNUMBER(SEARCH(Kamus!$A$3:$A$28,$D366)),0)),"Jabatan Lainnya"))</f>
        <v>Sekretaris</v>
      </c>
      <c r="T366" s="106" t="str" cm="1">
        <f t="array" ref="T366">IF(TRIM($I366)="","(tidak diisi)",IFERROR(INDEX(Kamus!$E$3:$E$162,MATCH(TRUE,ISNUMBER(SEARCH(Kamus!$D$3:$D$162,$I366)),0)),"Barang Lain / Tidak Terinci"))</f>
        <v>Pakaian &amp; Kain</v>
      </c>
      <c r="U366" s="106" t="str" cm="1">
        <f t="array" ref="U366">IF(TRIM($I366)="","(tidak diisi)",IFERROR(INDEX(Kamus!$H$3:$H$75,MATCH(TRUE,ISNUMBER(SEARCH(Kamus!$G$3:$G$75,$I366)),0)),"Pemberian Umum / Tanpa Konteks"))</f>
        <v>Pemberian Umum / Tanpa Konteks</v>
      </c>
      <c r="V366" s="106" t="str">
        <f t="shared" si="15"/>
        <v>2025</v>
      </c>
      <c r="W366" s="106" t="str" cm="1">
        <f t="array" ref="W366">IF(TRIM($K366)="","(tidak diisi)",IFERROR(INDEX(Kamus!$K$3:$K$118,MATCH(TRUE,ISNUMBER(SEARCH(Kamus!$J$3:$J$118,$K366)),0)),"Individu / Perorangan"))</f>
        <v>Individu / Perorangan</v>
      </c>
      <c r="X366" s="106" t="str">
        <f t="shared" si="16"/>
        <v>07</v>
      </c>
      <c r="Y366" s="106" t="str" cm="1">
        <f t="array" ref="Y366">IFERROR(INDEX(Kamus!$N$3:$N$111,MATCH(TRUE,ISNUMBER(SEARCH(Kamus!$M$3:$M$111,$I366)),0)),"")</f>
        <v/>
      </c>
      <c r="Z366" s="106" t="str">
        <f>IF(AND(OR($X366="02",$X366="03",$X366="04"),OR($T366="Parsel/Bingkisan (tidak dirinci)",$T366="Makanan &amp; Minuman",$T366="Peralatan Rumah Tangga / Pecah Belah",$T366="Pakaian &amp; Kain")),"Momen Hari Raya (dugaan musiman)",IFERROR(VLOOKUP($W366,Kamus!$P$3:$Q$14,2,FALSE),"Tidak Teridentifikasi"))</f>
        <v>Relasi Personal / Tidak Teridentifikasi</v>
      </c>
      <c r="AA366" s="106" t="str">
        <f t="shared" si="17"/>
        <v>Relasi Personal / Tidak Teridentifikasi</v>
      </c>
    </row>
    <row r="367" spans="1:27">
      <c r="A367" s="106">
        <v>366</v>
      </c>
      <c r="B367" s="106" t="s">
        <v>1292</v>
      </c>
      <c r="C367" s="107" t="s">
        <v>1293</v>
      </c>
      <c r="D367" s="106" t="s">
        <v>1024</v>
      </c>
      <c r="E367" s="106" t="s">
        <v>1294</v>
      </c>
      <c r="F367" s="106" t="s">
        <v>2904</v>
      </c>
      <c r="G367" s="106" t="s">
        <v>1006</v>
      </c>
      <c r="H367" s="106" t="s">
        <v>2897</v>
      </c>
      <c r="I367" s="106" t="s">
        <v>2898</v>
      </c>
      <c r="J367" s="106">
        <v>72500</v>
      </c>
      <c r="K367" s="106" t="s">
        <v>2905</v>
      </c>
      <c r="L367" s="106" t="s">
        <v>2906</v>
      </c>
      <c r="M367" s="106" t="s">
        <v>1020</v>
      </c>
      <c r="O367" s="106" t="s">
        <v>274</v>
      </c>
      <c r="P367" s="106" t="s">
        <v>1298</v>
      </c>
      <c r="Q367" s="106" t="s">
        <v>428</v>
      </c>
      <c r="S367" s="106" t="str" cm="1">
        <f t="array" ref="S367">IF(TRIM($D367)="","(tidak diisi)",IFERROR(INDEX(Kamus!$B$3:$B$28,MATCH(TRUE,ISNUMBER(SEARCH(Kamus!$A$3:$A$28,$D367)),0)),"Jabatan Lainnya"))</f>
        <v>Sekretaris</v>
      </c>
      <c r="T367" s="106" t="str" cm="1">
        <f t="array" ref="T367">IF(TRIM($I367)="","(tidak diisi)",IFERROR(INDEX(Kamus!$E$3:$E$162,MATCH(TRUE,ISNUMBER(SEARCH(Kamus!$D$3:$D$162,$I367)),0)),"Barang Lain / Tidak Terinci"))</f>
        <v>Buku &amp; Publikasi</v>
      </c>
      <c r="U367" s="106" t="str" cm="1">
        <f t="array" ref="U367">IF(TRIM($I367)="","(tidak diisi)",IFERROR(INDEX(Kamus!$H$3:$H$75,MATCH(TRUE,ISNUMBER(SEARCH(Kamus!$G$3:$G$75,$I367)),0)),"Pemberian Umum / Tanpa Konteks"))</f>
        <v>Pemberian Umum / Tanpa Konteks</v>
      </c>
      <c r="V367" s="106" t="str">
        <f t="shared" si="15"/>
        <v>2025</v>
      </c>
      <c r="W367" s="106" t="str" cm="1">
        <f t="array" ref="W367">IF(TRIM($K367)="","(tidak diisi)",IFERROR(INDEX(Kamus!$K$3:$K$118,MATCH(TRUE,ISNUMBER(SEARCH(Kamus!$J$3:$J$118,$K367)),0)),"Individu / Perorangan"))</f>
        <v>Individu / Perorangan</v>
      </c>
      <c r="X367" s="106" t="str">
        <f t="shared" si="16"/>
        <v>07</v>
      </c>
      <c r="Y367" s="106" t="str" cm="1">
        <f t="array" ref="Y367">IFERROR(INDEX(Kamus!$N$3:$N$111,MATCH(TRUE,ISNUMBER(SEARCH(Kamus!$M$3:$M$111,$I367)),0)),"")</f>
        <v/>
      </c>
      <c r="Z367" s="106" t="str">
        <f>IF(AND(OR($X367="02",$X367="03",$X367="04"),OR($T367="Parsel/Bingkisan (tidak dirinci)",$T367="Makanan &amp; Minuman",$T367="Peralatan Rumah Tangga / Pecah Belah",$T367="Pakaian &amp; Kain")),"Momen Hari Raya (dugaan musiman)",IFERROR(VLOOKUP($W367,Kamus!$P$3:$Q$14,2,FALSE),"Tidak Teridentifikasi"))</f>
        <v>Relasi Personal / Tidak Teridentifikasi</v>
      </c>
      <c r="AA367" s="106" t="str">
        <f t="shared" si="17"/>
        <v>Relasi Personal / Tidak Teridentifikasi</v>
      </c>
    </row>
    <row r="368" spans="1:27">
      <c r="A368" s="106">
        <v>367</v>
      </c>
      <c r="B368" s="106" t="s">
        <v>2907</v>
      </c>
      <c r="C368" s="107" t="s">
        <v>2908</v>
      </c>
      <c r="D368" s="106" t="s">
        <v>1042</v>
      </c>
      <c r="E368" s="106" t="s">
        <v>2909</v>
      </c>
      <c r="F368" s="106" t="s">
        <v>2910</v>
      </c>
      <c r="G368" s="106" t="s">
        <v>1006</v>
      </c>
      <c r="H368" s="106" t="s">
        <v>2792</v>
      </c>
      <c r="I368" s="106" t="s">
        <v>2911</v>
      </c>
      <c r="J368" s="106">
        <v>100000</v>
      </c>
      <c r="K368" s="106" t="s">
        <v>2142</v>
      </c>
      <c r="L368" s="106" t="s">
        <v>2912</v>
      </c>
      <c r="M368" s="106" t="s">
        <v>1039</v>
      </c>
      <c r="O368" s="106" t="s">
        <v>274</v>
      </c>
      <c r="P368" s="106" t="s">
        <v>2913</v>
      </c>
      <c r="Q368" s="106" t="s">
        <v>427</v>
      </c>
      <c r="S368" s="106" t="str" cm="1">
        <f t="array" ref="S368">IF(TRIM($D368)="","(tidak diisi)",IFERROR(INDEX(Kamus!$B$3:$B$28,MATCH(TRUE,ISNUMBER(SEARCH(Kamus!$A$3:$A$28,$D368)),0)),"Jabatan Lainnya"))</f>
        <v>Ketua Pengadilan</v>
      </c>
      <c r="T368" s="106" t="str" cm="1">
        <f t="array" ref="T368">IF(TRIM($I368)="","(tidak diisi)",IFERROR(INDEX(Kamus!$E$3:$E$162,MATCH(TRUE,ISNUMBER(SEARCH(Kamus!$D$3:$D$162,$I368)),0)),"Barang Lain / Tidak Terinci"))</f>
        <v>Peralatan Rumah Tangga / Pecah Belah</v>
      </c>
      <c r="U368" s="106" t="str" cm="1">
        <f t="array" ref="U368">IF(TRIM($I368)="","(tidak diisi)",IFERROR(INDEX(Kamus!$H$3:$H$75,MATCH(TRUE,ISNUMBER(SEARCH(Kamus!$G$3:$G$75,$I368)),0)),"Pemberian Umum / Tanpa Konteks"))</f>
        <v>Suvenir / Merchandise Kegiatan &amp; Kunjungan</v>
      </c>
      <c r="V368" s="106" t="str">
        <f t="shared" si="15"/>
        <v>2025</v>
      </c>
      <c r="W368" s="106" t="str" cm="1">
        <f t="array" ref="W368">IF(TRIM($K368)="","(tidak diisi)",IFERROR(INDEX(Kamus!$K$3:$K$118,MATCH(TRUE,ISNUMBER(SEARCH(Kamus!$J$3:$J$118,$K368)),0)),"Individu / Perorangan"))</f>
        <v>Bank &amp; Lembaga Keuangan</v>
      </c>
      <c r="X368" s="106" t="str">
        <f t="shared" si="16"/>
        <v>06</v>
      </c>
      <c r="Y368" s="106" t="str" cm="1">
        <f t="array" ref="Y368">IFERROR(INDEX(Kamus!$N$3:$N$111,MATCH(TRUE,ISNUMBER(SEARCH(Kamus!$M$3:$M$111,$I368)),0)),"")</f>
        <v/>
      </c>
      <c r="Z368" s="106" t="str">
        <f>IF(AND(OR($X368="02",$X368="03",$X368="04"),OR($T368="Parsel/Bingkisan (tidak dirinci)",$T368="Makanan &amp; Minuman",$T368="Peralatan Rumah Tangga / Pecah Belah",$T368="Pakaian &amp; Kain")),"Momen Hari Raya (dugaan musiman)",IFERROR(VLOOKUP($W368,Kamus!$P$3:$Q$14,2,FALSE),"Tidak Teridentifikasi"))</f>
        <v>Relasi Layanan/Kerja Sama Perbankan (dugaan)</v>
      </c>
      <c r="AA368" s="106" t="str">
        <f t="shared" si="17"/>
        <v>Relasi Layanan/Kerja Sama Perbankan (dugaan)</v>
      </c>
    </row>
    <row r="369" spans="1:27">
      <c r="A369" s="106">
        <v>368</v>
      </c>
      <c r="B369" s="106" t="s">
        <v>2907</v>
      </c>
      <c r="C369" s="107" t="s">
        <v>2908</v>
      </c>
      <c r="D369" s="106" t="s">
        <v>1042</v>
      </c>
      <c r="E369" s="106" t="s">
        <v>2909</v>
      </c>
      <c r="F369" s="106" t="s">
        <v>2910</v>
      </c>
      <c r="G369" s="106" t="s">
        <v>1006</v>
      </c>
      <c r="H369" s="106" t="s">
        <v>2914</v>
      </c>
      <c r="I369" s="106" t="s">
        <v>2915</v>
      </c>
      <c r="J369" s="106">
        <v>100000</v>
      </c>
      <c r="K369" s="106" t="s">
        <v>2916</v>
      </c>
      <c r="L369" s="106" t="s">
        <v>2912</v>
      </c>
      <c r="M369" s="106" t="s">
        <v>1039</v>
      </c>
      <c r="O369" s="106" t="s">
        <v>274</v>
      </c>
      <c r="P369" s="106" t="s">
        <v>2913</v>
      </c>
      <c r="Q369" s="106" t="s">
        <v>427</v>
      </c>
      <c r="S369" s="106" t="str" cm="1">
        <f t="array" ref="S369">IF(TRIM($D369)="","(tidak diisi)",IFERROR(INDEX(Kamus!$B$3:$B$28,MATCH(TRUE,ISNUMBER(SEARCH(Kamus!$A$3:$A$28,$D369)),0)),"Jabatan Lainnya"))</f>
        <v>Ketua Pengadilan</v>
      </c>
      <c r="T369" s="106" t="str" cm="1">
        <f t="array" ref="T369">IF(TRIM($I369)="","(tidak diisi)",IFERROR(INDEX(Kamus!$E$3:$E$162,MATCH(TRUE,ISNUMBER(SEARCH(Kamus!$D$3:$D$162,$I369)),0)),"Barang Lain / Tidak Terinci"))</f>
        <v>Peralatan Rumah Tangga / Pecah Belah</v>
      </c>
      <c r="U369" s="106" t="str" cm="1">
        <f t="array" ref="U369">IF(TRIM($I369)="","(tidak diisi)",IFERROR(INDEX(Kamus!$H$3:$H$75,MATCH(TRUE,ISNUMBER(SEARCH(Kamus!$G$3:$G$75,$I369)),0)),"Pemberian Umum / Tanpa Konteks"))</f>
        <v>Pemberian Umum / Tanpa Konteks</v>
      </c>
      <c r="V369" s="106" t="str">
        <f t="shared" si="15"/>
        <v>2025</v>
      </c>
      <c r="W369" s="106" t="str" cm="1">
        <f t="array" ref="W369">IF(TRIM($K369)="","(tidak diisi)",IFERROR(INDEX(Kamus!$K$3:$K$118,MATCH(TRUE,ISNUMBER(SEARCH(Kamus!$J$3:$J$118,$K369)),0)),"Individu / Perorangan"))</f>
        <v>Pemerintah Daerah</v>
      </c>
      <c r="X369" s="106" t="str">
        <f t="shared" si="16"/>
        <v>04</v>
      </c>
      <c r="Y369" s="106" t="str" cm="1">
        <f t="array" ref="Y369">IFERROR(INDEX(Kamus!$N$3:$N$111,MATCH(TRUE,ISNUMBER(SEARCH(Kamus!$M$3:$M$111,$I369)),0)),"")</f>
        <v/>
      </c>
      <c r="Z369" s="106" t="str">
        <f>IF(AND(OR($X369="02",$X369="03",$X369="04"),OR($T369="Parsel/Bingkisan (tidak dirinci)",$T369="Makanan &amp; Minuman",$T369="Peralatan Rumah Tangga / Pecah Belah",$T369="Pakaian &amp; Kain")),"Momen Hari Raya (dugaan musiman)",IFERROR(VLOOKUP($W369,Kamus!$P$3:$Q$14,2,FALSE),"Tidak Teridentifikasi"))</f>
        <v>Momen Hari Raya (dugaan musiman)</v>
      </c>
      <c r="AA369" s="106" t="str">
        <f t="shared" si="17"/>
        <v>Momen Hari Raya (dugaan musiman)</v>
      </c>
    </row>
    <row r="370" spans="1:27">
      <c r="A370" s="106">
        <v>369</v>
      </c>
      <c r="B370" s="106" t="s">
        <v>1278</v>
      </c>
      <c r="C370" s="107" t="s">
        <v>1279</v>
      </c>
      <c r="D370" s="106" t="s">
        <v>1024</v>
      </c>
      <c r="E370" s="106" t="s">
        <v>1280</v>
      </c>
      <c r="F370" s="106" t="s">
        <v>2917</v>
      </c>
      <c r="G370" s="106" t="s">
        <v>1006</v>
      </c>
      <c r="H370" s="106" t="s">
        <v>2889</v>
      </c>
      <c r="I370" s="106" t="s">
        <v>2918</v>
      </c>
      <c r="J370" s="106">
        <v>132500</v>
      </c>
      <c r="K370" s="106" t="s">
        <v>2919</v>
      </c>
      <c r="L370" s="106" t="s">
        <v>2920</v>
      </c>
      <c r="M370" s="106" t="s">
        <v>1020</v>
      </c>
      <c r="O370" s="106" t="s">
        <v>274</v>
      </c>
      <c r="P370" s="106" t="s">
        <v>1284</v>
      </c>
      <c r="Q370" s="106" t="s">
        <v>428</v>
      </c>
      <c r="S370" s="106" t="str" cm="1">
        <f t="array" ref="S370">IF(TRIM($D370)="","(tidak diisi)",IFERROR(INDEX(Kamus!$B$3:$B$28,MATCH(TRUE,ISNUMBER(SEARCH(Kamus!$A$3:$A$28,$D370)),0)),"Jabatan Lainnya"))</f>
        <v>Sekretaris</v>
      </c>
      <c r="T370" s="106" t="str" cm="1">
        <f t="array" ref="T370">IF(TRIM($I370)="","(tidak diisi)",IFERROR(INDEX(Kamus!$E$3:$E$162,MATCH(TRUE,ISNUMBER(SEARCH(Kamus!$D$3:$D$162,$I370)),0)),"Barang Lain / Tidak Terinci"))</f>
        <v>Buku &amp; Publikasi</v>
      </c>
      <c r="U370" s="106" t="str" cm="1">
        <f t="array" ref="U370">IF(TRIM($I370)="","(tidak diisi)",IFERROR(INDEX(Kamus!$H$3:$H$75,MATCH(TRUE,ISNUMBER(SEARCH(Kamus!$G$3:$G$75,$I370)),0)),"Pemberian Umum / Tanpa Konteks"))</f>
        <v>Pemberian Umum / Tanpa Konteks</v>
      </c>
      <c r="V370" s="106" t="str">
        <f t="shared" si="15"/>
        <v>2025</v>
      </c>
      <c r="W370" s="106" t="str" cm="1">
        <f t="array" ref="W370">IF(TRIM($K370)="","(tidak diisi)",IFERROR(INDEX(Kamus!$K$3:$K$118,MATCH(TRUE,ISNUMBER(SEARCH(Kamus!$J$3:$J$118,$K370)),0)),"Individu / Perorangan"))</f>
        <v>Individu / Perorangan</v>
      </c>
      <c r="X370" s="106" t="str">
        <f t="shared" si="16"/>
        <v>07</v>
      </c>
      <c r="Y370" s="106" t="str" cm="1">
        <f t="array" ref="Y370">IFERROR(INDEX(Kamus!$N$3:$N$111,MATCH(TRUE,ISNUMBER(SEARCH(Kamus!$M$3:$M$111,$I370)),0)),"")</f>
        <v/>
      </c>
      <c r="Z370" s="106" t="str">
        <f>IF(AND(OR($X370="02",$X370="03",$X370="04"),OR($T370="Parsel/Bingkisan (tidak dirinci)",$T370="Makanan &amp; Minuman",$T370="Peralatan Rumah Tangga / Pecah Belah",$T370="Pakaian &amp; Kain")),"Momen Hari Raya (dugaan musiman)",IFERROR(VLOOKUP($W370,Kamus!$P$3:$Q$14,2,FALSE),"Tidak Teridentifikasi"))</f>
        <v>Relasi Personal / Tidak Teridentifikasi</v>
      </c>
      <c r="AA370" s="106" t="str">
        <f t="shared" si="17"/>
        <v>Relasi Personal / Tidak Teridentifikasi</v>
      </c>
    </row>
    <row r="371" spans="1:27">
      <c r="A371" s="106">
        <v>370</v>
      </c>
      <c r="B371" s="106" t="s">
        <v>2921</v>
      </c>
      <c r="C371" s="107" t="s">
        <v>2922</v>
      </c>
      <c r="D371" s="106" t="s">
        <v>1432</v>
      </c>
      <c r="E371" s="106" t="s">
        <v>1809</v>
      </c>
      <c r="F371" s="106" t="s">
        <v>2923</v>
      </c>
      <c r="G371" s="106" t="s">
        <v>1006</v>
      </c>
      <c r="H371" s="106" t="s">
        <v>2696</v>
      </c>
      <c r="I371" s="106" t="s">
        <v>2924</v>
      </c>
      <c r="J371" s="106">
        <v>960000</v>
      </c>
      <c r="K371" s="106" t="s">
        <v>2925</v>
      </c>
      <c r="L371" s="106" t="s">
        <v>2926</v>
      </c>
      <c r="M371" s="106" t="s">
        <v>1171</v>
      </c>
      <c r="N371" s="106" t="s">
        <v>2927</v>
      </c>
      <c r="O371" s="106" t="s">
        <v>274</v>
      </c>
      <c r="P371" s="106" t="s">
        <v>1815</v>
      </c>
      <c r="Q371" s="106" t="s">
        <v>428</v>
      </c>
      <c r="S371" s="106" t="str" cm="1">
        <f t="array" ref="S371">IF(TRIM($D371)="","(tidak diisi)",IFERROR(INDEX(Kamus!$B$3:$B$28,MATCH(TRUE,ISNUMBER(SEARCH(Kamus!$A$3:$A$28,$D371)),0)),"Jabatan Lainnya"))</f>
        <v>Hakim</v>
      </c>
      <c r="T371" s="106" t="str" cm="1">
        <f t="array" ref="T371">IF(TRIM($I371)="","(tidak diisi)",IFERROR(INDEX(Kamus!$E$3:$E$162,MATCH(TRUE,ISNUMBER(SEARCH(Kamus!$D$3:$D$162,$I371)),0)),"Barang Lain / Tidak Terinci"))</f>
        <v>Barang Lain / Tidak Terinci</v>
      </c>
      <c r="U371" s="106" t="str" cm="1">
        <f t="array" ref="U371">IF(TRIM($I371)="","(tidak diisi)",IFERROR(INDEX(Kamus!$H$3:$H$75,MATCH(TRUE,ISNUMBER(SEARCH(Kamus!$G$3:$G$75,$I371)),0)),"Pemberian Umum / Tanpa Konteks"))</f>
        <v>Pemberian Umum / Tanpa Konteks</v>
      </c>
      <c r="V371" s="106" t="str">
        <f t="shared" si="15"/>
        <v>2025</v>
      </c>
      <c r="W371" s="106" t="str" cm="1">
        <f t="array" ref="W371">IF(TRIM($K371)="","(tidak diisi)",IFERROR(INDEX(Kamus!$K$3:$K$118,MATCH(TRUE,ISNUMBER(SEARCH(Kamus!$J$3:$J$118,$K371)),0)),"Individu / Perorangan"))</f>
        <v>Individu / Perorangan</v>
      </c>
      <c r="X371" s="106" t="str">
        <f t="shared" si="16"/>
        <v>06</v>
      </c>
      <c r="Y371" s="106" t="str" cm="1">
        <f t="array" ref="Y371">IFERROR(INDEX(Kamus!$N$3:$N$111,MATCH(TRUE,ISNUMBER(SEARCH(Kamus!$M$3:$M$111,$I371)),0)),"")</f>
        <v/>
      </c>
      <c r="Z371" s="106" t="str">
        <f>IF(AND(OR($X371="02",$X371="03",$X371="04"),OR($T371="Parsel/Bingkisan (tidak dirinci)",$T371="Makanan &amp; Minuman",$T371="Peralatan Rumah Tangga / Pecah Belah",$T371="Pakaian &amp; Kain")),"Momen Hari Raya (dugaan musiman)",IFERROR(VLOOKUP($W371,Kamus!$P$3:$Q$14,2,FALSE),"Tidak Teridentifikasi"))</f>
        <v>Relasi Personal / Tidak Teridentifikasi</v>
      </c>
      <c r="AA371" s="106" t="str">
        <f t="shared" si="17"/>
        <v>Relasi Personal / Tidak Teridentifikasi</v>
      </c>
    </row>
    <row r="372" spans="1:27">
      <c r="A372" s="106">
        <v>371</v>
      </c>
      <c r="B372" s="106" t="s">
        <v>2928</v>
      </c>
      <c r="C372" s="107" t="s">
        <v>2929</v>
      </c>
      <c r="D372" s="106" t="s">
        <v>2930</v>
      </c>
      <c r="E372" s="106" t="s">
        <v>1809</v>
      </c>
      <c r="F372" s="106" t="s">
        <v>2931</v>
      </c>
      <c r="G372" s="106" t="s">
        <v>1006</v>
      </c>
      <c r="H372" s="106" t="s">
        <v>2889</v>
      </c>
      <c r="I372" s="106" t="s">
        <v>2932</v>
      </c>
      <c r="K372" s="106" t="s">
        <v>2933</v>
      </c>
      <c r="L372" s="106" t="s">
        <v>2934</v>
      </c>
      <c r="O372" s="106" t="s">
        <v>274</v>
      </c>
      <c r="P372" s="106" t="s">
        <v>1815</v>
      </c>
      <c r="Q372" s="106" t="s">
        <v>428</v>
      </c>
      <c r="S372" s="106" t="str" cm="1">
        <f t="array" ref="S372">IF(TRIM($D372)="","(tidak diisi)",IFERROR(INDEX(Kamus!$B$3:$B$28,MATCH(TRUE,ISNUMBER(SEARCH(Kamus!$A$3:$A$28,$D372)),0)),"Jabatan Lainnya"))</f>
        <v>Jabatan Lainnya</v>
      </c>
      <c r="T372" s="106" t="str" cm="1">
        <f t="array" ref="T372">IF(TRIM($I372)="","(tidak diisi)",IFERROR(INDEX(Kamus!$E$3:$E$162,MATCH(TRUE,ISNUMBER(SEARCH(Kamus!$D$3:$D$162,$I372)),0)),"Barang Lain / Tidak Terinci"))</f>
        <v>Suvenir &amp; Merchandise</v>
      </c>
      <c r="U372" s="106" t="str" cm="1">
        <f t="array" ref="U372">IF(TRIM($I372)="","(tidak diisi)",IFERROR(INDEX(Kamus!$H$3:$H$75,MATCH(TRUE,ISNUMBER(SEARCH(Kamus!$G$3:$G$75,$I372)),0)),"Pemberian Umum / Tanpa Konteks"))</f>
        <v>Pemberian Umum / Tanpa Konteks</v>
      </c>
      <c r="V372" s="106" t="str">
        <f t="shared" si="15"/>
        <v>2025</v>
      </c>
      <c r="W372" s="106" t="str" cm="1">
        <f t="array" ref="W372">IF(TRIM($K372)="","(tidak diisi)",IFERROR(INDEX(Kamus!$K$3:$K$118,MATCH(TRUE,ISNUMBER(SEARCH(Kamus!$J$3:$J$118,$K372)),0)),"Individu / Perorangan"))</f>
        <v>Aparat/Instansi Penegak Hukum &amp; Vertikal</v>
      </c>
      <c r="X372" s="106" t="str">
        <f t="shared" si="16"/>
        <v>07</v>
      </c>
      <c r="Y372" s="106" t="str" cm="1">
        <f t="array" ref="Y372">IFERROR(INDEX(Kamus!$N$3:$N$111,MATCH(TRUE,ISNUMBER(SEARCH(Kamus!$M$3:$M$111,$I372)),0)),"")</f>
        <v/>
      </c>
      <c r="Z372" s="106" t="str">
        <f>IF(AND(OR($X372="02",$X372="03",$X372="04"),OR($T372="Parsel/Bingkisan (tidak dirinci)",$T372="Makanan &amp; Minuman",$T372="Peralatan Rumah Tangga / Pecah Belah",$T372="Pakaian &amp; Kain")),"Momen Hari Raya (dugaan musiman)",IFERROR(VLOOKUP($W372,Kamus!$P$3:$Q$14,2,FALSE),"Tidak Teridentifikasi"))</f>
        <v>Koordinasi Antarinstansi (dugaan)</v>
      </c>
      <c r="AA372" s="106" t="str">
        <f t="shared" si="17"/>
        <v>Koordinasi Antarinstansi (dugaan)</v>
      </c>
    </row>
    <row r="373" spans="1:27">
      <c r="A373" s="106">
        <v>372</v>
      </c>
      <c r="B373" s="106" t="s">
        <v>2249</v>
      </c>
      <c r="C373" s="107" t="s">
        <v>2250</v>
      </c>
      <c r="D373" s="106" t="s">
        <v>2251</v>
      </c>
      <c r="E373" s="106" t="s">
        <v>1294</v>
      </c>
      <c r="F373" s="106" t="s">
        <v>2935</v>
      </c>
      <c r="G373" s="106" t="s">
        <v>1074</v>
      </c>
      <c r="H373" s="106" t="s">
        <v>2936</v>
      </c>
      <c r="I373" s="106" t="s">
        <v>2937</v>
      </c>
      <c r="K373" s="106" t="s">
        <v>2275</v>
      </c>
      <c r="L373" s="106" t="s">
        <v>2938</v>
      </c>
      <c r="O373" s="106" t="s">
        <v>274</v>
      </c>
      <c r="P373" s="106" t="s">
        <v>1298</v>
      </c>
      <c r="Q373" s="106" t="s">
        <v>428</v>
      </c>
      <c r="S373" s="106" t="str" cm="1">
        <f t="array" ref="S373">IF(TRIM($D373)="","(tidak diisi)",IFERROR(INDEX(Kamus!$B$3:$B$28,MATCH(TRUE,ISNUMBER(SEARCH(Kamus!$A$3:$A$28,$D373)),0)),"Jabatan Lainnya"))</f>
        <v>Wakil Ketua Pengadilan</v>
      </c>
      <c r="T373" s="106" t="str" cm="1">
        <f t="array" ref="T373">IF(TRIM($I373)="","(tidak diisi)",IFERROR(INDEX(Kamus!$E$3:$E$162,MATCH(TRUE,ISNUMBER(SEARCH(Kamus!$D$3:$D$162,$I373)),0)),"Barang Lain / Tidak Terinci"))</f>
        <v>Barang Lain / Tidak Terinci</v>
      </c>
      <c r="U373" s="106" t="str" cm="1">
        <f t="array" ref="U373">IF(TRIM($I373)="","(tidak diisi)",IFERROR(INDEX(Kamus!$H$3:$H$75,MATCH(TRUE,ISNUMBER(SEARCH(Kamus!$G$3:$G$75,$I373)),0)),"Pemberian Umum / Tanpa Konteks"))</f>
        <v>Pemberian Umum / Tanpa Konteks</v>
      </c>
      <c r="V373" s="106" t="str">
        <f t="shared" si="15"/>
        <v>2025</v>
      </c>
      <c r="W373" s="106" t="str" cm="1">
        <f t="array" ref="W373">IF(TRIM($K373)="","(tidak diisi)",IFERROR(INDEX(Kamus!$K$3:$K$118,MATCH(TRUE,ISNUMBER(SEARCH(Kamus!$J$3:$J$118,$K373)),0)),"Individu / Perorangan"))</f>
        <v>Individu / Perorangan</v>
      </c>
      <c r="X373" s="106" t="str">
        <f t="shared" si="16"/>
        <v>07</v>
      </c>
      <c r="Y373" s="106" t="str" cm="1">
        <f t="array" ref="Y373">IFERROR(INDEX(Kamus!$N$3:$N$111,MATCH(TRUE,ISNUMBER(SEARCH(Kamus!$M$3:$M$111,$I373)),0)),"")</f>
        <v/>
      </c>
      <c r="Z373" s="106" t="str">
        <f>IF(AND(OR($X373="02",$X373="03",$X373="04"),OR($T373="Parsel/Bingkisan (tidak dirinci)",$T373="Makanan &amp; Minuman",$T373="Peralatan Rumah Tangga / Pecah Belah",$T373="Pakaian &amp; Kain")),"Momen Hari Raya (dugaan musiman)",IFERROR(VLOOKUP($W373,Kamus!$P$3:$Q$14,2,FALSE),"Tidak Teridentifikasi"))</f>
        <v>Relasi Personal / Tidak Teridentifikasi</v>
      </c>
      <c r="AA373" s="106" t="str">
        <f t="shared" si="17"/>
        <v>Relasi Personal / Tidak Teridentifikasi</v>
      </c>
    </row>
    <row r="374" spans="1:27">
      <c r="A374" s="106">
        <v>373</v>
      </c>
      <c r="B374" s="106" t="s">
        <v>2928</v>
      </c>
      <c r="C374" s="107" t="s">
        <v>2929</v>
      </c>
      <c r="D374" s="106" t="s">
        <v>2930</v>
      </c>
      <c r="E374" s="106" t="s">
        <v>1809</v>
      </c>
      <c r="F374" s="106" t="s">
        <v>2939</v>
      </c>
      <c r="G374" s="106" t="s">
        <v>1006</v>
      </c>
      <c r="H374" s="106" t="s">
        <v>2889</v>
      </c>
      <c r="I374" s="106" t="s">
        <v>2940</v>
      </c>
      <c r="J374" s="106">
        <v>50000</v>
      </c>
      <c r="K374" s="106" t="s">
        <v>2941</v>
      </c>
      <c r="L374" s="106" t="s">
        <v>2942</v>
      </c>
      <c r="M374" s="106" t="s">
        <v>1039</v>
      </c>
      <c r="O374" s="106" t="s">
        <v>274</v>
      </c>
      <c r="P374" s="106" t="s">
        <v>1815</v>
      </c>
      <c r="Q374" s="106" t="s">
        <v>428</v>
      </c>
      <c r="S374" s="106" t="str" cm="1">
        <f t="array" ref="S374">IF(TRIM($D374)="","(tidak diisi)",IFERROR(INDEX(Kamus!$B$3:$B$28,MATCH(TRUE,ISNUMBER(SEARCH(Kamus!$A$3:$A$28,$D374)),0)),"Jabatan Lainnya"))</f>
        <v>Jabatan Lainnya</v>
      </c>
      <c r="T374" s="106" t="str" cm="1">
        <f t="array" ref="T374">IF(TRIM($I374)="","(tidak diisi)",IFERROR(INDEX(Kamus!$E$3:$E$162,MATCH(TRUE,ISNUMBER(SEARCH(Kamus!$D$3:$D$162,$I374)),0)),"Barang Lain / Tidak Terinci"))</f>
        <v>Barang Lain / Tidak Terinci</v>
      </c>
      <c r="U374" s="106" t="str" cm="1">
        <f t="array" ref="U374">IF(TRIM($I374)="","(tidak diisi)",IFERROR(INDEX(Kamus!$H$3:$H$75,MATCH(TRUE,ISNUMBER(SEARCH(Kamus!$G$3:$G$75,$I374)),0)),"Pemberian Umum / Tanpa Konteks"))</f>
        <v>Pemberian Umum / Tanpa Konteks</v>
      </c>
      <c r="V374" s="106" t="str">
        <f t="shared" si="15"/>
        <v>2025</v>
      </c>
      <c r="W374" s="106" t="str" cm="1">
        <f t="array" ref="W374">IF(TRIM($K374)="","(tidak diisi)",IFERROR(INDEX(Kamus!$K$3:$K$118,MATCH(TRUE,ISNUMBER(SEARCH(Kamus!$J$3:$J$118,$K374)),0)),"Individu / Perorangan"))</f>
        <v>Perusahaan / Vendor</v>
      </c>
      <c r="X374" s="106" t="str">
        <f t="shared" si="16"/>
        <v>07</v>
      </c>
      <c r="Y374" s="106" t="str" cm="1">
        <f t="array" ref="Y374">IFERROR(INDEX(Kamus!$N$3:$N$111,MATCH(TRUE,ISNUMBER(SEARCH(Kamus!$M$3:$M$111,$I374)),0)),"")</f>
        <v/>
      </c>
      <c r="Z374" s="106" t="str">
        <f>IF(AND(OR($X374="02",$X374="03",$X374="04"),OR($T374="Parsel/Bingkisan (tidak dirinci)",$T374="Makanan &amp; Minuman",$T374="Peralatan Rumah Tangga / Pecah Belah",$T374="Pakaian &amp; Kain")),"Momen Hari Raya (dugaan musiman)",IFERROR(VLOOKUP($W374,Kamus!$P$3:$Q$14,2,FALSE),"Tidak Teridentifikasi"))</f>
        <v>Relasi Vendor/Pengadaan (dugaan)</v>
      </c>
      <c r="AA374" s="106" t="str">
        <f t="shared" si="17"/>
        <v>Relasi Vendor/Pengadaan (dugaan)</v>
      </c>
    </row>
    <row r="375" spans="1:27">
      <c r="A375" s="106">
        <v>374</v>
      </c>
      <c r="B375" s="106" t="s">
        <v>1088</v>
      </c>
      <c r="C375" s="107" t="s">
        <v>1089</v>
      </c>
      <c r="D375" s="106" t="s">
        <v>1033</v>
      </c>
      <c r="E375" s="106" t="s">
        <v>1090</v>
      </c>
      <c r="F375" s="106" t="s">
        <v>2943</v>
      </c>
      <c r="G375" s="106" t="s">
        <v>1006</v>
      </c>
      <c r="H375" s="106" t="s">
        <v>2936</v>
      </c>
      <c r="I375" s="106" t="s">
        <v>2944</v>
      </c>
      <c r="K375" s="106" t="s">
        <v>2945</v>
      </c>
      <c r="L375" s="106" t="s">
        <v>2946</v>
      </c>
      <c r="O375" s="106" t="s">
        <v>274</v>
      </c>
      <c r="P375" s="106" t="s">
        <v>1095</v>
      </c>
      <c r="Q375" s="106" t="s">
        <v>348</v>
      </c>
      <c r="S375" s="106" t="str" cm="1">
        <f t="array" ref="S375">IF(TRIM($D375)="","(tidak diisi)",IFERROR(INDEX(Kamus!$B$3:$B$28,MATCH(TRUE,ISNUMBER(SEARCH(Kamus!$A$3:$A$28,$D375)),0)),"Jabatan Lainnya"))</f>
        <v>Hakim</v>
      </c>
      <c r="T375" s="106" t="str" cm="1">
        <f t="array" ref="T375">IF(TRIM($I375)="","(tidak diisi)",IFERROR(INDEX(Kamus!$E$3:$E$162,MATCH(TRUE,ISNUMBER(SEARCH(Kamus!$D$3:$D$162,$I375)),0)),"Barang Lain / Tidak Terinci"))</f>
        <v>Pakaian &amp; Kain</v>
      </c>
      <c r="U375" s="106" t="str" cm="1">
        <f t="array" ref="U375">IF(TRIM($I375)="","(tidak diisi)",IFERROR(INDEX(Kamus!$H$3:$H$75,MATCH(TRUE,ISNUMBER(SEARCH(Kamus!$G$3:$G$75,$I375)),0)),"Pemberian Umum / Tanpa Konteks"))</f>
        <v>Pemberian Umum / Tanpa Konteks</v>
      </c>
      <c r="V375" s="106" t="str">
        <f t="shared" si="15"/>
        <v>2025</v>
      </c>
      <c r="W375" s="106" t="str" cm="1">
        <f t="array" ref="W375">IF(TRIM($K375)="","(tidak diisi)",IFERROR(INDEX(Kamus!$K$3:$K$118,MATCH(TRUE,ISNUMBER(SEARCH(Kamus!$J$3:$J$118,$K375)),0)),"Individu / Perorangan"))</f>
        <v>Individu / Perorangan</v>
      </c>
      <c r="X375" s="106" t="str">
        <f t="shared" si="16"/>
        <v>07</v>
      </c>
      <c r="Y375" s="106" t="str" cm="1">
        <f t="array" ref="Y375">IFERROR(INDEX(Kamus!$N$3:$N$111,MATCH(TRUE,ISNUMBER(SEARCH(Kamus!$M$3:$M$111,$I375)),0)),"")</f>
        <v/>
      </c>
      <c r="Z375" s="106" t="str">
        <f>IF(AND(OR($X375="02",$X375="03",$X375="04"),OR($T375="Parsel/Bingkisan (tidak dirinci)",$T375="Makanan &amp; Minuman",$T375="Peralatan Rumah Tangga / Pecah Belah",$T375="Pakaian &amp; Kain")),"Momen Hari Raya (dugaan musiman)",IFERROR(VLOOKUP($W375,Kamus!$P$3:$Q$14,2,FALSE),"Tidak Teridentifikasi"))</f>
        <v>Relasi Personal / Tidak Teridentifikasi</v>
      </c>
      <c r="AA375" s="106" t="str">
        <f t="shared" si="17"/>
        <v>Relasi Personal / Tidak Teridentifikasi</v>
      </c>
    </row>
    <row r="376" spans="1:27">
      <c r="A376" s="106">
        <v>375</v>
      </c>
      <c r="B376" s="106" t="s">
        <v>1088</v>
      </c>
      <c r="C376" s="107" t="s">
        <v>1089</v>
      </c>
      <c r="D376" s="106" t="s">
        <v>1033</v>
      </c>
      <c r="E376" s="106" t="s">
        <v>1090</v>
      </c>
      <c r="F376" s="106" t="s">
        <v>2947</v>
      </c>
      <c r="G376" s="106" t="s">
        <v>1006</v>
      </c>
      <c r="H376" s="106" t="s">
        <v>2936</v>
      </c>
      <c r="I376" s="106" t="s">
        <v>2948</v>
      </c>
      <c r="K376" s="106" t="s">
        <v>2949</v>
      </c>
      <c r="L376" s="106" t="s">
        <v>2950</v>
      </c>
      <c r="O376" s="106" t="s">
        <v>274</v>
      </c>
      <c r="P376" s="106" t="s">
        <v>1095</v>
      </c>
      <c r="Q376" s="106" t="s">
        <v>348</v>
      </c>
      <c r="S376" s="106" t="str" cm="1">
        <f t="array" ref="S376">IF(TRIM($D376)="","(tidak diisi)",IFERROR(INDEX(Kamus!$B$3:$B$28,MATCH(TRUE,ISNUMBER(SEARCH(Kamus!$A$3:$A$28,$D376)),0)),"Jabatan Lainnya"))</f>
        <v>Hakim</v>
      </c>
      <c r="T376" s="106" t="str" cm="1">
        <f t="array" ref="T376">IF(TRIM($I376)="","(tidak diisi)",IFERROR(INDEX(Kamus!$E$3:$E$162,MATCH(TRUE,ISNUMBER(SEARCH(Kamus!$D$3:$D$162,$I376)),0)),"Barang Lain / Tidak Terinci"))</f>
        <v>Suvenir &amp; Merchandise</v>
      </c>
      <c r="U376" s="106" t="str" cm="1">
        <f t="array" ref="U376">IF(TRIM($I376)="","(tidak diisi)",IFERROR(INDEX(Kamus!$H$3:$H$75,MATCH(TRUE,ISNUMBER(SEARCH(Kamus!$G$3:$G$75,$I376)),0)),"Pemberian Umum / Tanpa Konteks"))</f>
        <v>Pemberian Umum / Tanpa Konteks</v>
      </c>
      <c r="V376" s="106" t="str">
        <f t="shared" si="15"/>
        <v>2025</v>
      </c>
      <c r="W376" s="106" t="str" cm="1">
        <f t="array" ref="W376">IF(TRIM($K376)="","(tidak diisi)",IFERROR(INDEX(Kamus!$K$3:$K$118,MATCH(TRUE,ISNUMBER(SEARCH(Kamus!$J$3:$J$118,$K376)),0)),"Individu / Perorangan"))</f>
        <v>Individu / Perorangan</v>
      </c>
      <c r="X376" s="106" t="str">
        <f t="shared" si="16"/>
        <v>07</v>
      </c>
      <c r="Y376" s="106" t="str" cm="1">
        <f t="array" ref="Y376">IFERROR(INDEX(Kamus!$N$3:$N$111,MATCH(TRUE,ISNUMBER(SEARCH(Kamus!$M$3:$M$111,$I376)),0)),"")</f>
        <v/>
      </c>
      <c r="Z376" s="106" t="str">
        <f>IF(AND(OR($X376="02",$X376="03",$X376="04"),OR($T376="Parsel/Bingkisan (tidak dirinci)",$T376="Makanan &amp; Minuman",$T376="Peralatan Rumah Tangga / Pecah Belah",$T376="Pakaian &amp; Kain")),"Momen Hari Raya (dugaan musiman)",IFERROR(VLOOKUP($W376,Kamus!$P$3:$Q$14,2,FALSE),"Tidak Teridentifikasi"))</f>
        <v>Relasi Personal / Tidak Teridentifikasi</v>
      </c>
      <c r="AA376" s="106" t="str">
        <f t="shared" si="17"/>
        <v>Relasi Personal / Tidak Teridentifikasi</v>
      </c>
    </row>
    <row r="377" spans="1:27">
      <c r="A377" s="106">
        <v>376</v>
      </c>
      <c r="B377" s="106" t="s">
        <v>2567</v>
      </c>
      <c r="C377" s="107" t="s">
        <v>2568</v>
      </c>
      <c r="D377" s="106" t="s">
        <v>2569</v>
      </c>
      <c r="E377" s="106" t="s">
        <v>2570</v>
      </c>
      <c r="F377" s="106" t="s">
        <v>2951</v>
      </c>
      <c r="G377" s="106" t="s">
        <v>1006</v>
      </c>
      <c r="H377" s="106" t="s">
        <v>2870</v>
      </c>
      <c r="I377" s="106" t="s">
        <v>2952</v>
      </c>
      <c r="J377" s="106">
        <v>258109</v>
      </c>
      <c r="K377" s="106" t="s">
        <v>2953</v>
      </c>
      <c r="L377" s="106" t="s">
        <v>2954</v>
      </c>
      <c r="M377" s="106" t="s">
        <v>1020</v>
      </c>
      <c r="O377" s="106" t="s">
        <v>274</v>
      </c>
      <c r="P377" s="106" t="s">
        <v>2576</v>
      </c>
      <c r="Q377" s="106" t="s">
        <v>361</v>
      </c>
      <c r="S377" s="106" t="str" cm="1">
        <f t="array" ref="S377">IF(TRIM($D377)="","(tidak diisi)",IFERROR(INDEX(Kamus!$B$3:$B$28,MATCH(TRUE,ISNUMBER(SEARCH(Kamus!$A$3:$A$28,$D377)),0)),"Jabatan Lainnya"))</f>
        <v>Jabatan Lainnya</v>
      </c>
      <c r="T377" s="106" t="str" cm="1">
        <f t="array" ref="T377">IF(TRIM($I377)="","(tidak diisi)",IFERROR(INDEX(Kamus!$E$3:$E$162,MATCH(TRUE,ISNUMBER(SEARCH(Kamus!$D$3:$D$162,$I377)),0)),"Barang Lain / Tidak Terinci"))</f>
        <v>Pakaian &amp; Kain</v>
      </c>
      <c r="U377" s="106" t="str" cm="1">
        <f t="array" ref="U377">IF(TRIM($I377)="","(tidak diisi)",IFERROR(INDEX(Kamus!$H$3:$H$75,MATCH(TRUE,ISNUMBER(SEARCH(Kamus!$G$3:$G$75,$I377)),0)),"Pemberian Umum / Tanpa Konteks"))</f>
        <v>Pemberian Umum / Tanpa Konteks</v>
      </c>
      <c r="V377" s="106" t="str">
        <f t="shared" si="15"/>
        <v>2025</v>
      </c>
      <c r="W377" s="106" t="str" cm="1">
        <f t="array" ref="W377">IF(TRIM($K377)="","(tidak diisi)",IFERROR(INDEX(Kamus!$K$3:$K$118,MATCH(TRUE,ISNUMBER(SEARCH(Kamus!$J$3:$J$118,$K377)),0)),"Individu / Perorangan"))</f>
        <v>Individu / Perorangan</v>
      </c>
      <c r="X377" s="106" t="str">
        <f t="shared" si="16"/>
        <v>07</v>
      </c>
      <c r="Y377" s="106" t="str" cm="1">
        <f t="array" ref="Y377">IFERROR(INDEX(Kamus!$N$3:$N$111,MATCH(TRUE,ISNUMBER(SEARCH(Kamus!$M$3:$M$111,$I377)),0)),"")</f>
        <v/>
      </c>
      <c r="Z377" s="106" t="str">
        <f>IF(AND(OR($X377="02",$X377="03",$X377="04"),OR($T377="Parsel/Bingkisan (tidak dirinci)",$T377="Makanan &amp; Minuman",$T377="Peralatan Rumah Tangga / Pecah Belah",$T377="Pakaian &amp; Kain")),"Momen Hari Raya (dugaan musiman)",IFERROR(VLOOKUP($W377,Kamus!$P$3:$Q$14,2,FALSE),"Tidak Teridentifikasi"))</f>
        <v>Relasi Personal / Tidak Teridentifikasi</v>
      </c>
      <c r="AA377" s="106" t="str">
        <f t="shared" si="17"/>
        <v>Relasi Personal / Tidak Teridentifikasi</v>
      </c>
    </row>
    <row r="378" spans="1:27">
      <c r="A378" s="106">
        <v>377</v>
      </c>
      <c r="B378" s="106" t="s">
        <v>2249</v>
      </c>
      <c r="C378" s="107" t="s">
        <v>2250</v>
      </c>
      <c r="D378" s="106" t="s">
        <v>2251</v>
      </c>
      <c r="E378" s="106" t="s">
        <v>1294</v>
      </c>
      <c r="F378" s="106" t="s">
        <v>2955</v>
      </c>
      <c r="G378" s="106" t="s">
        <v>1006</v>
      </c>
      <c r="H378" s="106" t="s">
        <v>2956</v>
      </c>
      <c r="I378" s="106" t="s">
        <v>2957</v>
      </c>
      <c r="K378" s="106" t="s">
        <v>2958</v>
      </c>
      <c r="L378" s="106" t="s">
        <v>2959</v>
      </c>
      <c r="O378" s="106" t="s">
        <v>274</v>
      </c>
      <c r="P378" s="106" t="s">
        <v>1298</v>
      </c>
      <c r="Q378" s="106" t="s">
        <v>428</v>
      </c>
      <c r="S378" s="106" t="str" cm="1">
        <f t="array" ref="S378">IF(TRIM($D378)="","(tidak diisi)",IFERROR(INDEX(Kamus!$B$3:$B$28,MATCH(TRUE,ISNUMBER(SEARCH(Kamus!$A$3:$A$28,$D378)),0)),"Jabatan Lainnya"))</f>
        <v>Wakil Ketua Pengadilan</v>
      </c>
      <c r="T378" s="106" t="str" cm="1">
        <f t="array" ref="T378">IF(TRIM($I378)="","(tidak diisi)",IFERROR(INDEX(Kamus!$E$3:$E$162,MATCH(TRUE,ISNUMBER(SEARCH(Kamus!$D$3:$D$162,$I378)),0)),"Barang Lain / Tidak Terinci"))</f>
        <v>Pakaian &amp; Kain</v>
      </c>
      <c r="U378" s="106" t="str" cm="1">
        <f t="array" ref="U378">IF(TRIM($I378)="","(tidak diisi)",IFERROR(INDEX(Kamus!$H$3:$H$75,MATCH(TRUE,ISNUMBER(SEARCH(Kamus!$G$3:$G$75,$I378)),0)),"Pemberian Umum / Tanpa Konteks"))</f>
        <v>Pemberian Umum / Tanpa Konteks</v>
      </c>
      <c r="V378" s="106" t="str">
        <f t="shared" si="15"/>
        <v>2025</v>
      </c>
      <c r="W378" s="106" t="str" cm="1">
        <f t="array" ref="W378">IF(TRIM($K378)="","(tidak diisi)",IFERROR(INDEX(Kamus!$K$3:$K$118,MATCH(TRUE,ISNUMBER(SEARCH(Kamus!$J$3:$J$118,$K378)),0)),"Individu / Perorangan"))</f>
        <v>Individu / Perorangan</v>
      </c>
      <c r="X378" s="106" t="str">
        <f t="shared" si="16"/>
        <v>07</v>
      </c>
      <c r="Y378" s="106" t="str" cm="1">
        <f t="array" ref="Y378">IFERROR(INDEX(Kamus!$N$3:$N$111,MATCH(TRUE,ISNUMBER(SEARCH(Kamus!$M$3:$M$111,$I378)),0)),"")</f>
        <v/>
      </c>
      <c r="Z378" s="106" t="str">
        <f>IF(AND(OR($X378="02",$X378="03",$X378="04"),OR($T378="Parsel/Bingkisan (tidak dirinci)",$T378="Makanan &amp; Minuman",$T378="Peralatan Rumah Tangga / Pecah Belah",$T378="Pakaian &amp; Kain")),"Momen Hari Raya (dugaan musiman)",IFERROR(VLOOKUP($W378,Kamus!$P$3:$Q$14,2,FALSE),"Tidak Teridentifikasi"))</f>
        <v>Relasi Personal / Tidak Teridentifikasi</v>
      </c>
      <c r="AA378" s="106" t="str">
        <f t="shared" si="17"/>
        <v>Relasi Personal / Tidak Teridentifikasi</v>
      </c>
    </row>
    <row r="379" spans="1:27">
      <c r="A379" s="106">
        <v>378</v>
      </c>
      <c r="B379" s="106" t="s">
        <v>1105</v>
      </c>
      <c r="C379" s="107" t="s">
        <v>1106</v>
      </c>
      <c r="D379" s="106" t="s">
        <v>1042</v>
      </c>
      <c r="E379" s="106" t="s">
        <v>1014</v>
      </c>
      <c r="F379" s="106" t="s">
        <v>2960</v>
      </c>
      <c r="G379" s="106" t="s">
        <v>1006</v>
      </c>
      <c r="H379" s="106" t="s">
        <v>2956</v>
      </c>
      <c r="I379" s="106" t="s">
        <v>2961</v>
      </c>
      <c r="J379" s="106">
        <v>200000</v>
      </c>
      <c r="K379" s="106" t="s">
        <v>2962</v>
      </c>
      <c r="L379" s="106" t="s">
        <v>2963</v>
      </c>
      <c r="M379" s="106" t="s">
        <v>1360</v>
      </c>
      <c r="O379" s="106" t="s">
        <v>274</v>
      </c>
      <c r="P379" s="106" t="s">
        <v>1021</v>
      </c>
      <c r="Q379" s="106" t="s">
        <v>428</v>
      </c>
      <c r="S379" s="106" t="str" cm="1">
        <f t="array" ref="S379">IF(TRIM($D379)="","(tidak diisi)",IFERROR(INDEX(Kamus!$B$3:$B$28,MATCH(TRUE,ISNUMBER(SEARCH(Kamus!$A$3:$A$28,$D379)),0)),"Jabatan Lainnya"))</f>
        <v>Ketua Pengadilan</v>
      </c>
      <c r="T379" s="106" t="str" cm="1">
        <f t="array" ref="T379">IF(TRIM($I379)="","(tidak diisi)",IFERROR(INDEX(Kamus!$E$3:$E$162,MATCH(TRUE,ISNUMBER(SEARCH(Kamus!$D$3:$D$162,$I379)),0)),"Barang Lain / Tidak Terinci"))</f>
        <v>Makanan &amp; Minuman</v>
      </c>
      <c r="U379" s="106" t="str" cm="1">
        <f t="array" ref="U379">IF(TRIM($I379)="","(tidak diisi)",IFERROR(INDEX(Kamus!$H$3:$H$75,MATCH(TRUE,ISNUMBER(SEARCH(Kamus!$G$3:$G$75,$I379)),0)),"Pemberian Umum / Tanpa Konteks"))</f>
        <v>Pemberian Umum / Tanpa Konteks</v>
      </c>
      <c r="V379" s="106" t="str">
        <f t="shared" si="15"/>
        <v>2025</v>
      </c>
      <c r="W379" s="106" t="str" cm="1">
        <f t="array" ref="W379">IF(TRIM($K379)="","(tidak diisi)",IFERROR(INDEX(Kamus!$K$3:$K$118,MATCH(TRUE,ISNUMBER(SEARCH(Kamus!$J$3:$J$118,$K379)),0)),"Individu / Perorangan"))</f>
        <v>Individu / Perorangan</v>
      </c>
      <c r="X379" s="106" t="str">
        <f t="shared" si="16"/>
        <v>07</v>
      </c>
      <c r="Y379" s="106" t="str" cm="1">
        <f t="array" ref="Y379">IFERROR(INDEX(Kamus!$N$3:$N$111,MATCH(TRUE,ISNUMBER(SEARCH(Kamus!$M$3:$M$111,$I379)),0)),"")</f>
        <v/>
      </c>
      <c r="Z379" s="106" t="str">
        <f>IF(AND(OR($X379="02",$X379="03",$X379="04"),OR($T379="Parsel/Bingkisan (tidak dirinci)",$T379="Makanan &amp; Minuman",$T379="Peralatan Rumah Tangga / Pecah Belah",$T379="Pakaian &amp; Kain")),"Momen Hari Raya (dugaan musiman)",IFERROR(VLOOKUP($W379,Kamus!$P$3:$Q$14,2,FALSE),"Tidak Teridentifikasi"))</f>
        <v>Relasi Personal / Tidak Teridentifikasi</v>
      </c>
      <c r="AA379" s="106" t="str">
        <f t="shared" si="17"/>
        <v>Relasi Personal / Tidak Teridentifikasi</v>
      </c>
    </row>
    <row r="380" spans="1:27">
      <c r="A380" s="106">
        <v>379</v>
      </c>
      <c r="B380" s="106" t="s">
        <v>1452</v>
      </c>
      <c r="C380" s="107" t="s">
        <v>1453</v>
      </c>
      <c r="D380" s="106" t="s">
        <v>1454</v>
      </c>
      <c r="E380" s="106" t="s">
        <v>1166</v>
      </c>
      <c r="F380" s="106" t="s">
        <v>2964</v>
      </c>
      <c r="G380" s="106" t="s">
        <v>1074</v>
      </c>
      <c r="H380" s="106" t="s">
        <v>2936</v>
      </c>
      <c r="I380" s="106" t="s">
        <v>2965</v>
      </c>
      <c r="K380" s="106" t="s">
        <v>2966</v>
      </c>
      <c r="L380" s="106" t="s">
        <v>2967</v>
      </c>
      <c r="O380" s="106" t="s">
        <v>274</v>
      </c>
      <c r="P380" s="106" t="s">
        <v>1173</v>
      </c>
      <c r="Q380" s="106" t="s">
        <v>431</v>
      </c>
      <c r="S380" s="106" t="str" cm="1">
        <f t="array" ref="S380">IF(TRIM($D380)="","(tidak diisi)",IFERROR(INDEX(Kamus!$B$3:$B$28,MATCH(TRUE,ISNUMBER(SEARCH(Kamus!$A$3:$A$28,$D380)),0)),"Jabatan Lainnya"))</f>
        <v>Panitera</v>
      </c>
      <c r="T380" s="106" t="str" cm="1">
        <f t="array" ref="T380">IF(TRIM($I380)="","(tidak diisi)",IFERROR(INDEX(Kamus!$E$3:$E$162,MATCH(TRUE,ISNUMBER(SEARCH(Kamus!$D$3:$D$162,$I380)),0)),"Barang Lain / Tidak Terinci"))</f>
        <v>Peralatan Rumah Tangga / Pecah Belah</v>
      </c>
      <c r="U380" s="106" t="str" cm="1">
        <f t="array" ref="U380">IF(TRIM($I380)="","(tidak diisi)",IFERROR(INDEX(Kamus!$H$3:$H$75,MATCH(TRUE,ISNUMBER(SEARCH(Kamus!$G$3:$G$75,$I380)),0)),"Pemberian Umum / Tanpa Konteks"))</f>
        <v>Pemberian Umum / Tanpa Konteks</v>
      </c>
      <c r="V380" s="106" t="str">
        <f t="shared" si="15"/>
        <v>2025</v>
      </c>
      <c r="W380" s="106" t="str" cm="1">
        <f t="array" ref="W380">IF(TRIM($K380)="","(tidak diisi)",IFERROR(INDEX(Kamus!$K$3:$K$118,MATCH(TRUE,ISNUMBER(SEARCH(Kamus!$J$3:$J$118,$K380)),0)),"Individu / Perorangan"))</f>
        <v>Individu / Perorangan</v>
      </c>
      <c r="X380" s="106" t="str">
        <f t="shared" si="16"/>
        <v>07</v>
      </c>
      <c r="Y380" s="106" t="str" cm="1">
        <f t="array" ref="Y380">IFERROR(INDEX(Kamus!$N$3:$N$111,MATCH(TRUE,ISNUMBER(SEARCH(Kamus!$M$3:$M$111,$I380)),0)),"")</f>
        <v/>
      </c>
      <c r="Z380" s="106" t="str">
        <f>IF(AND(OR($X380="02",$X380="03",$X380="04"),OR($T380="Parsel/Bingkisan (tidak dirinci)",$T380="Makanan &amp; Minuman",$T380="Peralatan Rumah Tangga / Pecah Belah",$T380="Pakaian &amp; Kain")),"Momen Hari Raya (dugaan musiman)",IFERROR(VLOOKUP($W380,Kamus!$P$3:$Q$14,2,FALSE),"Tidak Teridentifikasi"))</f>
        <v>Relasi Personal / Tidak Teridentifikasi</v>
      </c>
      <c r="AA380" s="106" t="str">
        <f t="shared" si="17"/>
        <v>Relasi Personal / Tidak Teridentifikasi</v>
      </c>
    </row>
    <row r="381" spans="1:27">
      <c r="A381" s="106">
        <v>380</v>
      </c>
      <c r="B381" s="106" t="s">
        <v>1105</v>
      </c>
      <c r="C381" s="107" t="s">
        <v>1106</v>
      </c>
      <c r="D381" s="106" t="s">
        <v>1042</v>
      </c>
      <c r="E381" s="106" t="s">
        <v>1014</v>
      </c>
      <c r="F381" s="106" t="s">
        <v>2968</v>
      </c>
      <c r="G381" s="106" t="s">
        <v>1006</v>
      </c>
      <c r="H381" s="106" t="s">
        <v>2956</v>
      </c>
      <c r="I381" s="106" t="s">
        <v>1398</v>
      </c>
      <c r="K381" s="106" t="s">
        <v>2969</v>
      </c>
      <c r="L381" s="106" t="s">
        <v>2970</v>
      </c>
      <c r="O381" s="106" t="s">
        <v>274</v>
      </c>
      <c r="P381" s="106" t="s">
        <v>1021</v>
      </c>
      <c r="Q381" s="106" t="s">
        <v>428</v>
      </c>
      <c r="S381" s="106" t="str" cm="1">
        <f t="array" ref="S381">IF(TRIM($D381)="","(tidak diisi)",IFERROR(INDEX(Kamus!$B$3:$B$28,MATCH(TRUE,ISNUMBER(SEARCH(Kamus!$A$3:$A$28,$D381)),0)),"Jabatan Lainnya"))</f>
        <v>Ketua Pengadilan</v>
      </c>
      <c r="T381" s="106" t="str" cm="1">
        <f t="array" ref="T381">IF(TRIM($I381)="","(tidak diisi)",IFERROR(INDEX(Kamus!$E$3:$E$162,MATCH(TRUE,ISNUMBER(SEARCH(Kamus!$D$3:$D$162,$I381)),0)),"Barang Lain / Tidak Terinci"))</f>
        <v>Suvenir &amp; Merchandise</v>
      </c>
      <c r="U381" s="106" t="str" cm="1">
        <f t="array" ref="U381">IF(TRIM($I381)="","(tidak diisi)",IFERROR(INDEX(Kamus!$H$3:$H$75,MATCH(TRUE,ISNUMBER(SEARCH(Kamus!$G$3:$G$75,$I381)),0)),"Pemberian Umum / Tanpa Konteks"))</f>
        <v>Suvenir / Merchandise Kegiatan &amp; Kunjungan</v>
      </c>
      <c r="V381" s="106" t="str">
        <f t="shared" si="15"/>
        <v>2025</v>
      </c>
      <c r="W381" s="106" t="str" cm="1">
        <f t="array" ref="W381">IF(TRIM($K381)="","(tidak diisi)",IFERROR(INDEX(Kamus!$K$3:$K$118,MATCH(TRUE,ISNUMBER(SEARCH(Kamus!$J$3:$J$118,$K381)),0)),"Individu / Perorangan"))</f>
        <v>Pemerintah Daerah</v>
      </c>
      <c r="X381" s="106" t="str">
        <f t="shared" si="16"/>
        <v>07</v>
      </c>
      <c r="Y381" s="106" t="str" cm="1">
        <f t="array" ref="Y381">IFERROR(INDEX(Kamus!$N$3:$N$111,MATCH(TRUE,ISNUMBER(SEARCH(Kamus!$M$3:$M$111,$I381)),0)),"")</f>
        <v/>
      </c>
      <c r="Z381" s="106" t="str">
        <f>IF(AND(OR($X381="02",$X381="03",$X381="04"),OR($T381="Parsel/Bingkisan (tidak dirinci)",$T381="Makanan &amp; Minuman",$T381="Peralatan Rumah Tangga / Pecah Belah",$T381="Pakaian &amp; Kain")),"Momen Hari Raya (dugaan musiman)",IFERROR(VLOOKUP($W381,Kamus!$P$3:$Q$14,2,FALSE),"Tidak Teridentifikasi"))</f>
        <v>Koordinasi Antarinstansi (dugaan)</v>
      </c>
      <c r="AA381" s="106" t="str">
        <f t="shared" si="17"/>
        <v>Koordinasi Antarinstansi (dugaan)</v>
      </c>
    </row>
    <row r="382" spans="1:27">
      <c r="A382" s="106">
        <v>381</v>
      </c>
      <c r="B382" s="106" t="s">
        <v>2971</v>
      </c>
      <c r="C382" s="107" t="s">
        <v>2972</v>
      </c>
      <c r="D382" s="106" t="s">
        <v>2973</v>
      </c>
      <c r="E382" s="106" t="s">
        <v>2307</v>
      </c>
      <c r="F382" s="106" t="s">
        <v>2974</v>
      </c>
      <c r="G382" s="106" t="s">
        <v>1006</v>
      </c>
      <c r="H382" s="106" t="s">
        <v>2956</v>
      </c>
      <c r="I382" s="106" t="s">
        <v>2975</v>
      </c>
      <c r="J382" s="106">
        <v>305570</v>
      </c>
      <c r="K382" s="106" t="s">
        <v>2976</v>
      </c>
      <c r="L382" s="106" t="s">
        <v>2977</v>
      </c>
      <c r="M382" s="106" t="s">
        <v>1110</v>
      </c>
      <c r="N382" s="106" t="s">
        <v>2978</v>
      </c>
      <c r="O382" s="106" t="s">
        <v>274</v>
      </c>
      <c r="P382" s="106" t="s">
        <v>427</v>
      </c>
      <c r="Q382" s="106" t="s">
        <v>427</v>
      </c>
      <c r="S382" s="106" t="str" cm="1">
        <f t="array" ref="S382">IF(TRIM($D382)="","(tidak diisi)",IFERROR(INDEX(Kamus!$B$3:$B$28,MATCH(TRUE,ISNUMBER(SEARCH(Kamus!$A$3:$A$28,$D382)),0)),"Jabatan Lainnya"))</f>
        <v>Pejabat Struktural (Kasubbag/Kabag)</v>
      </c>
      <c r="T382" s="106" t="str" cm="1">
        <f t="array" ref="T382">IF(TRIM($I382)="","(tidak diisi)",IFERROR(INDEX(Kamus!$E$3:$E$162,MATCH(TRUE,ISNUMBER(SEARCH(Kamus!$D$3:$D$162,$I382)),0)),"Barang Lain / Tidak Terinci"))</f>
        <v>Pakaian &amp; Kain</v>
      </c>
      <c r="U382" s="106" t="str" cm="1">
        <f t="array" ref="U382">IF(TRIM($I382)="","(tidak diisi)",IFERROR(INDEX(Kamus!$H$3:$H$75,MATCH(TRUE,ISNUMBER(SEARCH(Kamus!$G$3:$G$75,$I382)),0)),"Pemberian Umum / Tanpa Konteks"))</f>
        <v>Pemberian Umum / Tanpa Konteks</v>
      </c>
      <c r="V382" s="106" t="str">
        <f t="shared" si="15"/>
        <v>2025</v>
      </c>
      <c r="W382" s="106" t="str" cm="1">
        <f t="array" ref="W382">IF(TRIM($K382)="","(tidak diisi)",IFERROR(INDEX(Kamus!$K$3:$K$118,MATCH(TRUE,ISNUMBER(SEARCH(Kamus!$J$3:$J$118,$K382)),0)),"Individu / Perorangan"))</f>
        <v>Individu / Perorangan</v>
      </c>
      <c r="X382" s="106" t="str">
        <f t="shared" si="16"/>
        <v>07</v>
      </c>
      <c r="Y382" s="106" t="str" cm="1">
        <f t="array" ref="Y382">IFERROR(INDEX(Kamus!$N$3:$N$111,MATCH(TRUE,ISNUMBER(SEARCH(Kamus!$M$3:$M$111,$I382)),0)),"")</f>
        <v/>
      </c>
      <c r="Z382" s="106" t="str">
        <f>IF(AND(OR($X382="02",$X382="03",$X382="04"),OR($T382="Parsel/Bingkisan (tidak dirinci)",$T382="Makanan &amp; Minuman",$T382="Peralatan Rumah Tangga / Pecah Belah",$T382="Pakaian &amp; Kain")),"Momen Hari Raya (dugaan musiman)",IFERROR(VLOOKUP($W382,Kamus!$P$3:$Q$14,2,FALSE),"Tidak Teridentifikasi"))</f>
        <v>Relasi Personal / Tidak Teridentifikasi</v>
      </c>
      <c r="AA382" s="106" t="str">
        <f t="shared" si="17"/>
        <v>Relasi Personal / Tidak Teridentifikasi</v>
      </c>
    </row>
    <row r="383" spans="1:27">
      <c r="A383" s="106">
        <v>382</v>
      </c>
      <c r="B383" s="106" t="s">
        <v>2979</v>
      </c>
      <c r="C383" s="107" t="s">
        <v>2980</v>
      </c>
      <c r="D383" s="106" t="s">
        <v>1470</v>
      </c>
      <c r="E383" s="106" t="s">
        <v>1025</v>
      </c>
      <c r="G383" s="106" t="s">
        <v>1074</v>
      </c>
      <c r="L383" s="106" t="s">
        <v>2981</v>
      </c>
      <c r="O383" s="106" t="s">
        <v>274</v>
      </c>
      <c r="P383" s="106" t="s">
        <v>561</v>
      </c>
      <c r="Q383" s="106" t="s">
        <v>428</v>
      </c>
      <c r="S383" s="106" t="str" cm="1">
        <f t="array" ref="S383">IF(TRIM($D383)="","(tidak diisi)",IFERROR(INDEX(Kamus!$B$3:$B$28,MATCH(TRUE,ISNUMBER(SEARCH(Kamus!$A$3:$A$28,$D383)),0)),"Jabatan Lainnya"))</f>
        <v>Panitera</v>
      </c>
      <c r="T383" s="106" t="str" cm="1">
        <f t="array" ref="T383">IF(TRIM($I383)="","(tidak diisi)",IFERROR(INDEX(Kamus!$E$3:$E$162,MATCH(TRUE,ISNUMBER(SEARCH(Kamus!$D$3:$D$162,$I383)),0)),"Barang Lain / Tidak Terinci"))</f>
        <v>(tidak diisi)</v>
      </c>
      <c r="U383" s="106" t="str" cm="1">
        <f t="array" ref="U383">IF(TRIM($I383)="","(tidak diisi)",IFERROR(INDEX(Kamus!$H$3:$H$75,MATCH(TRUE,ISNUMBER(SEARCH(Kamus!$G$3:$G$75,$I383)),0)),"Pemberian Umum / Tanpa Konteks"))</f>
        <v>(tidak diisi)</v>
      </c>
      <c r="V383" s="106" t="str">
        <f t="shared" si="15"/>
        <v>(tidak diisi)</v>
      </c>
      <c r="W383" s="106" t="str" cm="1">
        <f t="array" ref="W383">IF(TRIM($K383)="","(tidak diisi)",IFERROR(INDEX(Kamus!$K$3:$K$118,MATCH(TRUE,ISNUMBER(SEARCH(Kamus!$J$3:$J$118,$K383)),0)),"Individu / Perorangan"))</f>
        <v>(tidak diisi)</v>
      </c>
      <c r="X383" s="106" t="str">
        <f t="shared" si="16"/>
        <v>(tidak diisi)</v>
      </c>
      <c r="Y383" s="106" t="str" cm="1">
        <f t="array" ref="Y383">IFERROR(INDEX(Kamus!$N$3:$N$111,MATCH(TRUE,ISNUMBER(SEARCH(Kamus!$M$3:$M$111,$I383)),0)),"")</f>
        <v/>
      </c>
      <c r="Z383" s="106" t="str">
        <f>IF(AND(OR($X383="02",$X383="03",$X383="04"),OR($T383="Parsel/Bingkisan (tidak dirinci)",$T383="Makanan &amp; Minuman",$T383="Peralatan Rumah Tangga / Pecah Belah",$T383="Pakaian &amp; Kain")),"Momen Hari Raya (dugaan musiman)",IFERROR(VLOOKUP($W383,Kamus!$P$3:$Q$14,2,FALSE),"Tidak Teridentifikasi"))</f>
        <v>Tidak Teridentifikasi</v>
      </c>
      <c r="AA383" s="106" t="str">
        <f t="shared" si="17"/>
        <v>Tidak Teridentifikasi</v>
      </c>
    </row>
    <row r="384" spans="1:27">
      <c r="A384" s="106">
        <v>383</v>
      </c>
      <c r="B384" s="106" t="s">
        <v>2982</v>
      </c>
      <c r="C384" s="107" t="s">
        <v>2983</v>
      </c>
      <c r="D384" s="106" t="s">
        <v>1843</v>
      </c>
      <c r="E384" s="106" t="s">
        <v>2984</v>
      </c>
      <c r="F384" s="106" t="s">
        <v>2985</v>
      </c>
      <c r="G384" s="106" t="s">
        <v>1006</v>
      </c>
      <c r="H384" s="106" t="s">
        <v>2956</v>
      </c>
      <c r="I384" s="106" t="s">
        <v>2986</v>
      </c>
      <c r="J384" s="106">
        <v>4260000</v>
      </c>
      <c r="K384" s="106" t="s">
        <v>2987</v>
      </c>
      <c r="L384" s="106" t="s">
        <v>2988</v>
      </c>
      <c r="M384" s="106" t="s">
        <v>1171</v>
      </c>
      <c r="N384" s="106" t="s">
        <v>2989</v>
      </c>
      <c r="O384" s="106" t="s">
        <v>274</v>
      </c>
      <c r="P384" s="106" t="s">
        <v>2990</v>
      </c>
      <c r="Q384" s="106" t="s">
        <v>402</v>
      </c>
      <c r="S384" s="106" t="str" cm="1">
        <f t="array" ref="S384">IF(TRIM($D384)="","(tidak diisi)",IFERROR(INDEX(Kamus!$B$3:$B$28,MATCH(TRUE,ISNUMBER(SEARCH(Kamus!$A$3:$A$28,$D384)),0)),"Jabatan Lainnya"))</f>
        <v>Ketua Pengadilan</v>
      </c>
      <c r="T384" s="106" t="str" cm="1">
        <f t="array" ref="T384">IF(TRIM($I384)="","(tidak diisi)",IFERROR(INDEX(Kamus!$E$3:$E$162,MATCH(TRUE,ISNUMBER(SEARCH(Kamus!$D$3:$D$162,$I384)),0)),"Barang Lain / Tidak Terinci"))</f>
        <v>Pakaian &amp; Kain</v>
      </c>
      <c r="U384" s="106" t="str" cm="1">
        <f t="array" ref="U384">IF(TRIM($I384)="","(tidak diisi)",IFERROR(INDEX(Kamus!$H$3:$H$75,MATCH(TRUE,ISNUMBER(SEARCH(Kamus!$G$3:$G$75,$I384)),0)),"Pemberian Umum / Tanpa Konteks"))</f>
        <v>Pemberian Umum / Tanpa Konteks</v>
      </c>
      <c r="V384" s="106" t="str">
        <f t="shared" si="15"/>
        <v>2025</v>
      </c>
      <c r="W384" s="106" t="str" cm="1">
        <f t="array" ref="W384">IF(TRIM($K384)="","(tidak diisi)",IFERROR(INDEX(Kamus!$K$3:$K$118,MATCH(TRUE,ISNUMBER(SEARCH(Kamus!$J$3:$J$118,$K384)),0)),"Individu / Perorangan"))</f>
        <v>Individu / Perorangan</v>
      </c>
      <c r="X384" s="106" t="str">
        <f t="shared" si="16"/>
        <v>07</v>
      </c>
      <c r="Y384" s="106" t="str" cm="1">
        <f t="array" ref="Y384">IFERROR(INDEX(Kamus!$N$3:$N$111,MATCH(TRUE,ISNUMBER(SEARCH(Kamus!$M$3:$M$111,$I384)),0)),"")</f>
        <v/>
      </c>
      <c r="Z384" s="106" t="str">
        <f>IF(AND(OR($X384="02",$X384="03",$X384="04"),OR($T384="Parsel/Bingkisan (tidak dirinci)",$T384="Makanan &amp; Minuman",$T384="Peralatan Rumah Tangga / Pecah Belah",$T384="Pakaian &amp; Kain")),"Momen Hari Raya (dugaan musiman)",IFERROR(VLOOKUP($W384,Kamus!$P$3:$Q$14,2,FALSE),"Tidak Teridentifikasi"))</f>
        <v>Relasi Personal / Tidak Teridentifikasi</v>
      </c>
      <c r="AA384" s="106" t="str">
        <f t="shared" si="17"/>
        <v>Relasi Personal / Tidak Teridentifikasi</v>
      </c>
    </row>
    <row r="385" spans="1:27">
      <c r="A385" s="106">
        <v>384</v>
      </c>
      <c r="B385" s="106" t="s">
        <v>2991</v>
      </c>
      <c r="C385" s="107" t="s">
        <v>2992</v>
      </c>
      <c r="D385" s="106" t="s">
        <v>1033</v>
      </c>
      <c r="E385" s="106" t="s">
        <v>1014</v>
      </c>
      <c r="F385" s="106" t="s">
        <v>2993</v>
      </c>
      <c r="G385" s="106" t="s">
        <v>1006</v>
      </c>
      <c r="H385" s="106" t="s">
        <v>2956</v>
      </c>
      <c r="I385" s="106" t="s">
        <v>1017</v>
      </c>
      <c r="J385" s="106">
        <v>300000</v>
      </c>
      <c r="K385" s="106" t="s">
        <v>2994</v>
      </c>
      <c r="L385" s="106" t="s">
        <v>2995</v>
      </c>
      <c r="M385" s="106" t="s">
        <v>1020</v>
      </c>
      <c r="O385" s="106" t="s">
        <v>274</v>
      </c>
      <c r="P385" s="106" t="s">
        <v>1021</v>
      </c>
      <c r="Q385" s="106" t="s">
        <v>428</v>
      </c>
      <c r="S385" s="106" t="str" cm="1">
        <f t="array" ref="S385">IF(TRIM($D385)="","(tidak diisi)",IFERROR(INDEX(Kamus!$B$3:$B$28,MATCH(TRUE,ISNUMBER(SEARCH(Kamus!$A$3:$A$28,$D385)),0)),"Jabatan Lainnya"))</f>
        <v>Hakim</v>
      </c>
      <c r="T385" s="106" t="str" cm="1">
        <f t="array" ref="T385">IF(TRIM($I385)="","(tidak diisi)",IFERROR(INDEX(Kamus!$E$3:$E$162,MATCH(TRUE,ISNUMBER(SEARCH(Kamus!$D$3:$D$162,$I385)),0)),"Barang Lain / Tidak Terinci"))</f>
        <v>Uang &amp; Setara Uang</v>
      </c>
      <c r="U385" s="106" t="str" cm="1">
        <f t="array" ref="U385">IF(TRIM($I385)="","(tidak diisi)",IFERROR(INDEX(Kamus!$H$3:$H$75,MATCH(TRUE,ISNUMBER(SEARCH(Kamus!$G$3:$G$75,$I385)),0)),"Pemberian Umum / Tanpa Konteks"))</f>
        <v>Pemberian Uang Langsung</v>
      </c>
      <c r="V385" s="106" t="str">
        <f t="shared" si="15"/>
        <v>2025</v>
      </c>
      <c r="W385" s="106" t="str" cm="1">
        <f t="array" ref="W385">IF(TRIM($K385)="","(tidak diisi)",IFERROR(INDEX(Kamus!$K$3:$K$118,MATCH(TRUE,ISNUMBER(SEARCH(Kamus!$J$3:$J$118,$K385)),0)),"Individu / Perorangan"))</f>
        <v>Organisasi / Panitia Kegiatan</v>
      </c>
      <c r="X385" s="106" t="str">
        <f t="shared" si="16"/>
        <v>07</v>
      </c>
      <c r="Y385" s="106" t="str" cm="1">
        <f t="array" ref="Y385">IFERROR(INDEX(Kamus!$N$3:$N$111,MATCH(TRUE,ISNUMBER(SEARCH(Kamus!$M$3:$M$111,$I385)),0)),"")</f>
        <v/>
      </c>
      <c r="Z385" s="106" t="str">
        <f>IF(AND(OR($X385="02",$X385="03",$X385="04"),OR($T385="Parsel/Bingkisan (tidak dirinci)",$T385="Makanan &amp; Minuman",$T385="Peralatan Rumah Tangga / Pecah Belah",$T385="Pakaian &amp; Kain")),"Momen Hari Raya (dugaan musiman)",IFERROR(VLOOKUP($W385,Kamus!$P$3:$Q$14,2,FALSE),"Tidak Teridentifikasi"))</f>
        <v>Kegiatan Organisasi/Panitia (dugaan)</v>
      </c>
      <c r="AA385" s="106" t="str">
        <f t="shared" si="17"/>
        <v>Kegiatan Organisasi/Panitia (dugaan)</v>
      </c>
    </row>
    <row r="386" spans="1:27">
      <c r="A386" s="106">
        <v>385</v>
      </c>
      <c r="B386" s="106" t="s">
        <v>2996</v>
      </c>
      <c r="C386" s="107" t="s">
        <v>2997</v>
      </c>
      <c r="D386" s="106" t="s">
        <v>1319</v>
      </c>
      <c r="E386" s="106" t="s">
        <v>2998</v>
      </c>
      <c r="F386" s="106" t="s">
        <v>2999</v>
      </c>
      <c r="G386" s="106" t="s">
        <v>1006</v>
      </c>
      <c r="H386" s="106" t="s">
        <v>2897</v>
      </c>
      <c r="I386" s="106" t="s">
        <v>3000</v>
      </c>
      <c r="K386" s="106" t="s">
        <v>3001</v>
      </c>
      <c r="L386" s="106" t="s">
        <v>3002</v>
      </c>
      <c r="O386" s="106" t="s">
        <v>274</v>
      </c>
      <c r="P386" s="106" t="s">
        <v>3003</v>
      </c>
      <c r="Q386" s="106" t="s">
        <v>430</v>
      </c>
      <c r="S386" s="106" t="str" cm="1">
        <f t="array" ref="S386">IF(TRIM($D386)="","(tidak diisi)",IFERROR(INDEX(Kamus!$B$3:$B$28,MATCH(TRUE,ISNUMBER(SEARCH(Kamus!$A$3:$A$28,$D386)),0)),"Jabatan Lainnya"))</f>
        <v>Wakil Ketua Pengadilan</v>
      </c>
      <c r="T386" s="106" t="str" cm="1">
        <f t="array" ref="T386">IF(TRIM($I386)="","(tidak diisi)",IFERROR(INDEX(Kamus!$E$3:$E$162,MATCH(TRUE,ISNUMBER(SEARCH(Kamus!$D$3:$D$162,$I386)),0)),"Barang Lain / Tidak Terinci"))</f>
        <v>Uang &amp; Setara Uang</v>
      </c>
      <c r="U386" s="106" t="str" cm="1">
        <f t="array" ref="U386">IF(TRIM($I386)="","(tidak diisi)",IFERROR(INDEX(Kamus!$H$3:$H$75,MATCH(TRUE,ISNUMBER(SEARCH(Kamus!$G$3:$G$75,$I386)),0)),"Pemberian Umum / Tanpa Konteks"))</f>
        <v>Pemberian Uang Langsung</v>
      </c>
      <c r="V386" s="106" t="str">
        <f t="shared" si="15"/>
        <v>2025</v>
      </c>
      <c r="W386" s="106" t="str" cm="1">
        <f t="array" ref="W386">IF(TRIM($K386)="","(tidak diisi)",IFERROR(INDEX(Kamus!$K$3:$K$118,MATCH(TRUE,ISNUMBER(SEARCH(Kamus!$J$3:$J$118,$K386)),0)),"Individu / Perorangan"))</f>
        <v>Tidak Diketahui</v>
      </c>
      <c r="X386" s="106" t="str">
        <f t="shared" si="16"/>
        <v>07</v>
      </c>
      <c r="Y386" s="106" t="str" cm="1">
        <f t="array" ref="Y386">IFERROR(INDEX(Kamus!$N$3:$N$111,MATCH(TRUE,ISNUMBER(SEARCH(Kamus!$M$3:$M$111,$I386)),0)),"")</f>
        <v/>
      </c>
      <c r="Z386" s="106" t="str">
        <f>IF(AND(OR($X386="02",$X386="03",$X386="04"),OR($T386="Parsel/Bingkisan (tidak dirinci)",$T386="Makanan &amp; Minuman",$T386="Peralatan Rumah Tangga / Pecah Belah",$T386="Pakaian &amp; Kain")),"Momen Hari Raya (dugaan musiman)",IFERROR(VLOOKUP($W386,Kamus!$P$3:$Q$14,2,FALSE),"Tidak Teridentifikasi"))</f>
        <v>Pemberi Tidak Diketahui</v>
      </c>
      <c r="AA386" s="106" t="str">
        <f t="shared" si="17"/>
        <v>Pemberi Tidak Diketahui</v>
      </c>
    </row>
    <row r="387" spans="1:27">
      <c r="A387" s="106">
        <v>386</v>
      </c>
      <c r="B387" s="106" t="s">
        <v>3004</v>
      </c>
      <c r="C387" s="107" t="s">
        <v>3005</v>
      </c>
      <c r="D387" s="106" t="s">
        <v>1033</v>
      </c>
      <c r="E387" s="106" t="s">
        <v>3006</v>
      </c>
      <c r="F387" s="106" t="s">
        <v>3007</v>
      </c>
      <c r="G387" s="106" t="s">
        <v>1074</v>
      </c>
      <c r="H387" s="106" t="s">
        <v>3008</v>
      </c>
      <c r="I387" s="106" t="s">
        <v>2701</v>
      </c>
      <c r="K387" s="106" t="s">
        <v>3001</v>
      </c>
      <c r="L387" s="106" t="s">
        <v>3009</v>
      </c>
      <c r="O387" s="106" t="s">
        <v>274</v>
      </c>
      <c r="P387" s="106" t="s">
        <v>3010</v>
      </c>
      <c r="Q387" s="106" t="s">
        <v>347</v>
      </c>
      <c r="S387" s="106" t="str" cm="1">
        <f t="array" ref="S387">IF(TRIM($D387)="","(tidak diisi)",IFERROR(INDEX(Kamus!$B$3:$B$28,MATCH(TRUE,ISNUMBER(SEARCH(Kamus!$A$3:$A$28,$D387)),0)),"Jabatan Lainnya"))</f>
        <v>Hakim</v>
      </c>
      <c r="T387" s="106" t="str" cm="1">
        <f t="array" ref="T387">IF(TRIM($I387)="","(tidak diisi)",IFERROR(INDEX(Kamus!$E$3:$E$162,MATCH(TRUE,ISNUMBER(SEARCH(Kamus!$D$3:$D$162,$I387)),0)),"Barang Lain / Tidak Terinci"))</f>
        <v>Barang Lain / Tidak Terinci</v>
      </c>
      <c r="U387" s="106" t="str" cm="1">
        <f t="array" ref="U387">IF(TRIM($I387)="","(tidak diisi)",IFERROR(INDEX(Kamus!$H$3:$H$75,MATCH(TRUE,ISNUMBER(SEARCH(Kamus!$G$3:$G$75,$I387)),0)),"Pemberian Umum / Tanpa Konteks"))</f>
        <v>Pemberian Umum / Tanpa Konteks</v>
      </c>
      <c r="V387" s="106" t="str">
        <f t="shared" ref="V387:V450" si="18">IF($H387="","(tidak diisi)",IF(ISNUMBER($H387),TEXT(YEAR($H387),"0"),LEFT($H387,4)))</f>
        <v>2025</v>
      </c>
      <c r="W387" s="106" t="str" cm="1">
        <f t="array" ref="W387">IF(TRIM($K387)="","(tidak diisi)",IFERROR(INDEX(Kamus!$K$3:$K$118,MATCH(TRUE,ISNUMBER(SEARCH(Kamus!$J$3:$J$118,$K387)),0)),"Individu / Perorangan"))</f>
        <v>Tidak Diketahui</v>
      </c>
      <c r="X387" s="106" t="str">
        <f t="shared" ref="X387:X450" si="19">IF($H387="","(tidak diisi)",IF(ISNUMBER($H387),TEXT(MONTH($H387),"00"),MID($H387,6,2)))</f>
        <v>07</v>
      </c>
      <c r="Y387" s="106" t="str" cm="1">
        <f t="array" ref="Y387">IFERROR(INDEX(Kamus!$N$3:$N$111,MATCH(TRUE,ISNUMBER(SEARCH(Kamus!$M$3:$M$111,$I387)),0)),"")</f>
        <v/>
      </c>
      <c r="Z387" s="106" t="str">
        <f>IF(AND(OR($X387="02",$X387="03",$X387="04"),OR($T387="Parsel/Bingkisan (tidak dirinci)",$T387="Makanan &amp; Minuman",$T387="Peralatan Rumah Tangga / Pecah Belah",$T387="Pakaian &amp; Kain")),"Momen Hari Raya (dugaan musiman)",IFERROR(VLOOKUP($W387,Kamus!$P$3:$Q$14,2,FALSE),"Tidak Teridentifikasi"))</f>
        <v>Pemberi Tidak Diketahui</v>
      </c>
      <c r="AA387" s="106" t="str">
        <f t="shared" ref="AA387:AA450" si="20">IF($Y387="",$Z387,$Y387)</f>
        <v>Pemberi Tidak Diketahui</v>
      </c>
    </row>
    <row r="388" spans="1:27">
      <c r="A388" s="106">
        <v>387</v>
      </c>
      <c r="B388" s="106" t="s">
        <v>3011</v>
      </c>
      <c r="C388" s="107" t="s">
        <v>3012</v>
      </c>
      <c r="D388" s="106" t="s">
        <v>3013</v>
      </c>
      <c r="E388" s="106" t="s">
        <v>2998</v>
      </c>
      <c r="F388" s="106" t="s">
        <v>3014</v>
      </c>
      <c r="G388" s="106" t="s">
        <v>1006</v>
      </c>
      <c r="H388" s="106" t="s">
        <v>2897</v>
      </c>
      <c r="I388" s="106" t="s">
        <v>2302</v>
      </c>
      <c r="J388" s="106">
        <v>50000</v>
      </c>
      <c r="K388" s="106" t="s">
        <v>3015</v>
      </c>
      <c r="L388" s="106" t="s">
        <v>3016</v>
      </c>
      <c r="M388" s="106" t="s">
        <v>1171</v>
      </c>
      <c r="N388" s="106" t="s">
        <v>3017</v>
      </c>
      <c r="O388" s="106" t="s">
        <v>274</v>
      </c>
      <c r="P388" s="106" t="s">
        <v>3003</v>
      </c>
      <c r="Q388" s="106" t="s">
        <v>430</v>
      </c>
      <c r="S388" s="106" t="str" cm="1">
        <f t="array" ref="S388">IF(TRIM($D388)="","(tidak diisi)",IFERROR(INDEX(Kamus!$B$3:$B$28,MATCH(TRUE,ISNUMBER(SEARCH(Kamus!$A$3:$A$28,$D388)),0)),"Jabatan Lainnya"))</f>
        <v>Jabatan Lainnya</v>
      </c>
      <c r="T388" s="106" t="str" cm="1">
        <f t="array" ref="T388">IF(TRIM($I388)="","(tidak diisi)",IFERROR(INDEX(Kamus!$E$3:$E$162,MATCH(TRUE,ISNUMBER(SEARCH(Kamus!$D$3:$D$162,$I388)),0)),"Barang Lain / Tidak Terinci"))</f>
        <v>Uang &amp; Setara Uang</v>
      </c>
      <c r="U388" s="106" t="str" cm="1">
        <f t="array" ref="U388">IF(TRIM($I388)="","(tidak diisi)",IFERROR(INDEX(Kamus!$H$3:$H$75,MATCH(TRUE,ISNUMBER(SEARCH(Kamus!$G$3:$G$75,$I388)),0)),"Pemberian Umum / Tanpa Konteks"))</f>
        <v>Pemberian Uang Langsung</v>
      </c>
      <c r="V388" s="106" t="str">
        <f t="shared" si="18"/>
        <v>2025</v>
      </c>
      <c r="W388" s="106" t="str" cm="1">
        <f t="array" ref="W388">IF(TRIM($K388)="","(tidak diisi)",IFERROR(INDEX(Kamus!$K$3:$K$118,MATCH(TRUE,ISNUMBER(SEARCH(Kamus!$J$3:$J$118,$K388)),0)),"Individu / Perorangan"))</f>
        <v>Individu / Perorangan</v>
      </c>
      <c r="X388" s="106" t="str">
        <f t="shared" si="19"/>
        <v>07</v>
      </c>
      <c r="Y388" s="106" t="str" cm="1">
        <f t="array" ref="Y388">IFERROR(INDEX(Kamus!$N$3:$N$111,MATCH(TRUE,ISNUMBER(SEARCH(Kamus!$M$3:$M$111,$I388)),0)),"")</f>
        <v/>
      </c>
      <c r="Z388" s="106" t="str">
        <f>IF(AND(OR($X388="02",$X388="03",$X388="04"),OR($T388="Parsel/Bingkisan (tidak dirinci)",$T388="Makanan &amp; Minuman",$T388="Peralatan Rumah Tangga / Pecah Belah",$T388="Pakaian &amp; Kain")),"Momen Hari Raya (dugaan musiman)",IFERROR(VLOOKUP($W388,Kamus!$P$3:$Q$14,2,FALSE),"Tidak Teridentifikasi"))</f>
        <v>Relasi Personal / Tidak Teridentifikasi</v>
      </c>
      <c r="AA388" s="106" t="str">
        <f t="shared" si="20"/>
        <v>Relasi Personal / Tidak Teridentifikasi</v>
      </c>
    </row>
    <row r="389" spans="1:27">
      <c r="A389" s="106">
        <v>388</v>
      </c>
      <c r="B389" s="106" t="s">
        <v>2249</v>
      </c>
      <c r="C389" s="107" t="s">
        <v>2250</v>
      </c>
      <c r="D389" s="106" t="s">
        <v>2251</v>
      </c>
      <c r="E389" s="106" t="s">
        <v>1294</v>
      </c>
      <c r="F389" s="106" t="s">
        <v>3018</v>
      </c>
      <c r="G389" s="106" t="s">
        <v>1006</v>
      </c>
      <c r="H389" s="106" t="s">
        <v>3019</v>
      </c>
      <c r="I389" s="106" t="s">
        <v>2697</v>
      </c>
      <c r="J389" s="106">
        <v>83000</v>
      </c>
      <c r="K389" s="106" t="s">
        <v>3020</v>
      </c>
      <c r="L389" s="106" t="s">
        <v>3021</v>
      </c>
      <c r="M389" s="106" t="s">
        <v>1171</v>
      </c>
      <c r="N389" s="106" t="s">
        <v>3022</v>
      </c>
      <c r="O389" s="106" t="s">
        <v>274</v>
      </c>
      <c r="P389" s="106" t="s">
        <v>1298</v>
      </c>
      <c r="Q389" s="106" t="s">
        <v>428</v>
      </c>
      <c r="S389" s="106" t="str" cm="1">
        <f t="array" ref="S389">IF(TRIM($D389)="","(tidak diisi)",IFERROR(INDEX(Kamus!$B$3:$B$28,MATCH(TRUE,ISNUMBER(SEARCH(Kamus!$A$3:$A$28,$D389)),0)),"Jabatan Lainnya"))</f>
        <v>Wakil Ketua Pengadilan</v>
      </c>
      <c r="T389" s="106" t="str" cm="1">
        <f t="array" ref="T389">IF(TRIM($I389)="","(tidak diisi)",IFERROR(INDEX(Kamus!$E$3:$E$162,MATCH(TRUE,ISNUMBER(SEARCH(Kamus!$D$3:$D$162,$I389)),0)),"Barang Lain / Tidak Terinci"))</f>
        <v>Pakaian &amp; Kain</v>
      </c>
      <c r="U389" s="106" t="str" cm="1">
        <f t="array" ref="U389">IF(TRIM($I389)="","(tidak diisi)",IFERROR(INDEX(Kamus!$H$3:$H$75,MATCH(TRUE,ISNUMBER(SEARCH(Kamus!$G$3:$G$75,$I389)),0)),"Pemberian Umum / Tanpa Konteks"))</f>
        <v>Pemberian Umum / Tanpa Konteks</v>
      </c>
      <c r="V389" s="106" t="str">
        <f t="shared" si="18"/>
        <v>2025</v>
      </c>
      <c r="W389" s="106" t="str" cm="1">
        <f t="array" ref="W389">IF(TRIM($K389)="","(tidak diisi)",IFERROR(INDEX(Kamus!$K$3:$K$118,MATCH(TRUE,ISNUMBER(SEARCH(Kamus!$J$3:$J$118,$K389)),0)),"Individu / Perorangan"))</f>
        <v>Individu / Perorangan</v>
      </c>
      <c r="X389" s="106" t="str">
        <f t="shared" si="19"/>
        <v>07</v>
      </c>
      <c r="Y389" s="106" t="str" cm="1">
        <f t="array" ref="Y389">IFERROR(INDEX(Kamus!$N$3:$N$111,MATCH(TRUE,ISNUMBER(SEARCH(Kamus!$M$3:$M$111,$I389)),0)),"")</f>
        <v/>
      </c>
      <c r="Z389" s="106" t="str">
        <f>IF(AND(OR($X389="02",$X389="03",$X389="04"),OR($T389="Parsel/Bingkisan (tidak dirinci)",$T389="Makanan &amp; Minuman",$T389="Peralatan Rumah Tangga / Pecah Belah",$T389="Pakaian &amp; Kain")),"Momen Hari Raya (dugaan musiman)",IFERROR(VLOOKUP($W389,Kamus!$P$3:$Q$14,2,FALSE),"Tidak Teridentifikasi"))</f>
        <v>Relasi Personal / Tidak Teridentifikasi</v>
      </c>
      <c r="AA389" s="106" t="str">
        <f t="shared" si="20"/>
        <v>Relasi Personal / Tidak Teridentifikasi</v>
      </c>
    </row>
    <row r="390" spans="1:27">
      <c r="A390" s="106">
        <v>389</v>
      </c>
      <c r="B390" s="106" t="s">
        <v>1383</v>
      </c>
      <c r="C390" s="107" t="s">
        <v>1384</v>
      </c>
      <c r="D390" s="106" t="s">
        <v>1042</v>
      </c>
      <c r="E390" s="106" t="s">
        <v>1385</v>
      </c>
      <c r="F390" s="106" t="s">
        <v>3023</v>
      </c>
      <c r="G390" s="106" t="s">
        <v>1074</v>
      </c>
      <c r="H390" s="106" t="s">
        <v>2759</v>
      </c>
      <c r="I390" s="106" t="s">
        <v>1492</v>
      </c>
      <c r="K390" s="106" t="s">
        <v>3024</v>
      </c>
      <c r="L390" s="106" t="s">
        <v>3025</v>
      </c>
      <c r="O390" s="106" t="s">
        <v>274</v>
      </c>
      <c r="P390" s="106" t="s">
        <v>1391</v>
      </c>
      <c r="Q390" s="106" t="s">
        <v>427</v>
      </c>
      <c r="S390" s="106" t="str" cm="1">
        <f t="array" ref="S390">IF(TRIM($D390)="","(tidak diisi)",IFERROR(INDEX(Kamus!$B$3:$B$28,MATCH(TRUE,ISNUMBER(SEARCH(Kamus!$A$3:$A$28,$D390)),0)),"Jabatan Lainnya"))</f>
        <v>Ketua Pengadilan</v>
      </c>
      <c r="T390" s="106" t="str" cm="1">
        <f t="array" ref="T390">IF(TRIM($I390)="","(tidak diisi)",IFERROR(INDEX(Kamus!$E$3:$E$162,MATCH(TRUE,ISNUMBER(SEARCH(Kamus!$D$3:$D$162,$I390)),0)),"Barang Lain / Tidak Terinci"))</f>
        <v>Pakaian &amp; Kain</v>
      </c>
      <c r="U390" s="106" t="str" cm="1">
        <f t="array" ref="U390">IF(TRIM($I390)="","(tidak diisi)",IFERROR(INDEX(Kamus!$H$3:$H$75,MATCH(TRUE,ISNUMBER(SEARCH(Kamus!$G$3:$G$75,$I390)),0)),"Pemberian Umum / Tanpa Konteks"))</f>
        <v>Pemberian Umum / Tanpa Konteks</v>
      </c>
      <c r="V390" s="106" t="str">
        <f t="shared" si="18"/>
        <v>2025</v>
      </c>
      <c r="W390" s="106" t="str" cm="1">
        <f t="array" ref="W390">IF(TRIM($K390)="","(tidak diisi)",IFERROR(INDEX(Kamus!$K$3:$K$118,MATCH(TRUE,ISNUMBER(SEARCH(Kamus!$J$3:$J$118,$K390)),0)),"Individu / Perorangan"))</f>
        <v>Individu / Perorangan</v>
      </c>
      <c r="X390" s="106" t="str">
        <f t="shared" si="19"/>
        <v>06</v>
      </c>
      <c r="Y390" s="106" t="str" cm="1">
        <f t="array" ref="Y390">IFERROR(INDEX(Kamus!$N$3:$N$111,MATCH(TRUE,ISNUMBER(SEARCH(Kamus!$M$3:$M$111,$I390)),0)),"")</f>
        <v/>
      </c>
      <c r="Z390" s="106" t="str">
        <f>IF(AND(OR($X390="02",$X390="03",$X390="04"),OR($T390="Parsel/Bingkisan (tidak dirinci)",$T390="Makanan &amp; Minuman",$T390="Peralatan Rumah Tangga / Pecah Belah",$T390="Pakaian &amp; Kain")),"Momen Hari Raya (dugaan musiman)",IFERROR(VLOOKUP($W390,Kamus!$P$3:$Q$14,2,FALSE),"Tidak Teridentifikasi"))</f>
        <v>Relasi Personal / Tidak Teridentifikasi</v>
      </c>
      <c r="AA390" s="106" t="str">
        <f t="shared" si="20"/>
        <v>Relasi Personal / Tidak Teridentifikasi</v>
      </c>
    </row>
    <row r="391" spans="1:27">
      <c r="A391" s="106">
        <v>390</v>
      </c>
      <c r="B391" s="106" t="s">
        <v>1614</v>
      </c>
      <c r="C391" s="107" t="s">
        <v>1615</v>
      </c>
      <c r="D391" s="106" t="s">
        <v>1616</v>
      </c>
      <c r="E391" s="106" t="s">
        <v>1166</v>
      </c>
      <c r="F391" s="106" t="s">
        <v>3026</v>
      </c>
      <c r="G391" s="106" t="s">
        <v>1006</v>
      </c>
      <c r="H391" s="106" t="s">
        <v>2870</v>
      </c>
      <c r="I391" s="106" t="s">
        <v>2875</v>
      </c>
      <c r="K391" s="106" t="s">
        <v>3027</v>
      </c>
      <c r="L391" s="106" t="s">
        <v>3028</v>
      </c>
      <c r="O391" s="106" t="s">
        <v>274</v>
      </c>
      <c r="P391" s="106" t="s">
        <v>1173</v>
      </c>
      <c r="Q391" s="106" t="s">
        <v>431</v>
      </c>
      <c r="S391" s="106" t="str" cm="1">
        <f t="array" ref="S391">IF(TRIM($D391)="","(tidak diisi)",IFERROR(INDEX(Kamus!$B$3:$B$28,MATCH(TRUE,ISNUMBER(SEARCH(Kamus!$A$3:$A$28,$D391)),0)),"Jabatan Lainnya"))</f>
        <v>Sekretaris</v>
      </c>
      <c r="T391" s="106" t="str" cm="1">
        <f t="array" ref="T391">IF(TRIM($I391)="","(tidak diisi)",IFERROR(INDEX(Kamus!$E$3:$E$162,MATCH(TRUE,ISNUMBER(SEARCH(Kamus!$D$3:$D$162,$I391)),0)),"Barang Lain / Tidak Terinci"))</f>
        <v>Makanan &amp; Minuman</v>
      </c>
      <c r="U391" s="106" t="str" cm="1">
        <f t="array" ref="U391">IF(TRIM($I391)="","(tidak diisi)",IFERROR(INDEX(Kamus!$H$3:$H$75,MATCH(TRUE,ISNUMBER(SEARCH(Kamus!$G$3:$G$75,$I391)),0)),"Pemberian Umum / Tanpa Konteks"))</f>
        <v>Pemberian Umum / Tanpa Konteks</v>
      </c>
      <c r="V391" s="106" t="str">
        <f t="shared" si="18"/>
        <v>2025</v>
      </c>
      <c r="W391" s="106" t="str" cm="1">
        <f t="array" ref="W391">IF(TRIM($K391)="","(tidak diisi)",IFERROR(INDEX(Kamus!$K$3:$K$118,MATCH(TRUE,ISNUMBER(SEARCH(Kamus!$J$3:$J$118,$K391)),0)),"Individu / Perorangan"))</f>
        <v>Internal Peradilan / Instansi Sendiri</v>
      </c>
      <c r="X391" s="106" t="str">
        <f t="shared" si="19"/>
        <v>07</v>
      </c>
      <c r="Y391" s="106" t="str" cm="1">
        <f t="array" ref="Y391">IFERROR(INDEX(Kamus!$N$3:$N$111,MATCH(TRUE,ISNUMBER(SEARCH(Kamus!$M$3:$M$111,$I391)),0)),"")</f>
        <v/>
      </c>
      <c r="Z391" s="106" t="str">
        <f>IF(AND(OR($X391="02",$X391="03",$X391="04"),OR($T391="Parsel/Bingkisan (tidak dirinci)",$T391="Makanan &amp; Minuman",$T391="Peralatan Rumah Tangga / Pecah Belah",$T391="Pakaian &amp; Kain")),"Momen Hari Raya (dugaan musiman)",IFERROR(VLOOKUP($W391,Kamus!$P$3:$Q$14,2,FALSE),"Tidak Teridentifikasi"))</f>
        <v>Kunjungan/Koordinasi Internal Peradilan (dugaan)</v>
      </c>
      <c r="AA391" s="106" t="str">
        <f t="shared" si="20"/>
        <v>Kunjungan/Koordinasi Internal Peradilan (dugaan)</v>
      </c>
    </row>
    <row r="392" spans="1:27">
      <c r="A392" s="106">
        <v>391</v>
      </c>
      <c r="B392" s="106" t="s">
        <v>1614</v>
      </c>
      <c r="C392" s="107" t="s">
        <v>1615</v>
      </c>
      <c r="D392" s="106" t="s">
        <v>1616</v>
      </c>
      <c r="E392" s="106" t="s">
        <v>1166</v>
      </c>
      <c r="F392" s="106" t="s">
        <v>3026</v>
      </c>
      <c r="G392" s="106" t="s">
        <v>1006</v>
      </c>
      <c r="H392" s="106" t="s">
        <v>2870</v>
      </c>
      <c r="I392" s="106" t="s">
        <v>3029</v>
      </c>
      <c r="K392" s="106" t="s">
        <v>3027</v>
      </c>
      <c r="L392" s="106" t="s">
        <v>3028</v>
      </c>
      <c r="O392" s="106" t="s">
        <v>274</v>
      </c>
      <c r="P392" s="106" t="s">
        <v>1173</v>
      </c>
      <c r="Q392" s="106" t="s">
        <v>431</v>
      </c>
      <c r="S392" s="106" t="str" cm="1">
        <f t="array" ref="S392">IF(TRIM($D392)="","(tidak diisi)",IFERROR(INDEX(Kamus!$B$3:$B$28,MATCH(TRUE,ISNUMBER(SEARCH(Kamus!$A$3:$A$28,$D392)),0)),"Jabatan Lainnya"))</f>
        <v>Sekretaris</v>
      </c>
      <c r="T392" s="106" t="str" cm="1">
        <f t="array" ref="T392">IF(TRIM($I392)="","(tidak diisi)",IFERROR(INDEX(Kamus!$E$3:$E$162,MATCH(TRUE,ISNUMBER(SEARCH(Kamus!$D$3:$D$162,$I392)),0)),"Barang Lain / Tidak Terinci"))</f>
        <v>Peralatan Rumah Tangga / Pecah Belah</v>
      </c>
      <c r="U392" s="106" t="str" cm="1">
        <f t="array" ref="U392">IF(TRIM($I392)="","(tidak diisi)",IFERROR(INDEX(Kamus!$H$3:$H$75,MATCH(TRUE,ISNUMBER(SEARCH(Kamus!$G$3:$G$75,$I392)),0)),"Pemberian Umum / Tanpa Konteks"))</f>
        <v>Pemberian Umum / Tanpa Konteks</v>
      </c>
      <c r="V392" s="106" t="str">
        <f t="shared" si="18"/>
        <v>2025</v>
      </c>
      <c r="W392" s="106" t="str" cm="1">
        <f t="array" ref="W392">IF(TRIM($K392)="","(tidak diisi)",IFERROR(INDEX(Kamus!$K$3:$K$118,MATCH(TRUE,ISNUMBER(SEARCH(Kamus!$J$3:$J$118,$K392)),0)),"Individu / Perorangan"))</f>
        <v>Internal Peradilan / Instansi Sendiri</v>
      </c>
      <c r="X392" s="106" t="str">
        <f t="shared" si="19"/>
        <v>07</v>
      </c>
      <c r="Y392" s="106" t="str" cm="1">
        <f t="array" ref="Y392">IFERROR(INDEX(Kamus!$N$3:$N$111,MATCH(TRUE,ISNUMBER(SEARCH(Kamus!$M$3:$M$111,$I392)),0)),"")</f>
        <v/>
      </c>
      <c r="Z392" s="106" t="str">
        <f>IF(AND(OR($X392="02",$X392="03",$X392="04"),OR($T392="Parsel/Bingkisan (tidak dirinci)",$T392="Makanan &amp; Minuman",$T392="Peralatan Rumah Tangga / Pecah Belah",$T392="Pakaian &amp; Kain")),"Momen Hari Raya (dugaan musiman)",IFERROR(VLOOKUP($W392,Kamus!$P$3:$Q$14,2,FALSE),"Tidak Teridentifikasi"))</f>
        <v>Kunjungan/Koordinasi Internal Peradilan (dugaan)</v>
      </c>
      <c r="AA392" s="106" t="str">
        <f t="shared" si="20"/>
        <v>Kunjungan/Koordinasi Internal Peradilan (dugaan)</v>
      </c>
    </row>
    <row r="393" spans="1:27">
      <c r="A393" s="106">
        <v>392</v>
      </c>
      <c r="B393" s="106" t="s">
        <v>2336</v>
      </c>
      <c r="C393" s="107" t="s">
        <v>2337</v>
      </c>
      <c r="D393" s="106" t="s">
        <v>2338</v>
      </c>
      <c r="E393" s="106" t="s">
        <v>2339</v>
      </c>
      <c r="F393" s="106" t="s">
        <v>3030</v>
      </c>
      <c r="G393" s="106" t="s">
        <v>1006</v>
      </c>
      <c r="H393" s="106" t="s">
        <v>3031</v>
      </c>
      <c r="I393" s="106" t="s">
        <v>3032</v>
      </c>
      <c r="J393" s="106">
        <v>2802100</v>
      </c>
      <c r="K393" s="106" t="s">
        <v>3033</v>
      </c>
      <c r="L393" s="106" t="s">
        <v>3034</v>
      </c>
      <c r="M393" s="106" t="s">
        <v>1020</v>
      </c>
      <c r="O393" s="106" t="s">
        <v>274</v>
      </c>
      <c r="P393" s="106" t="s">
        <v>2345</v>
      </c>
      <c r="Q393" s="106" t="s">
        <v>352</v>
      </c>
      <c r="S393" s="106" t="str" cm="1">
        <f t="array" ref="S393">IF(TRIM($D393)="","(tidak diisi)",IFERROR(INDEX(Kamus!$B$3:$B$28,MATCH(TRUE,ISNUMBER(SEARCH(Kamus!$A$3:$A$28,$D393)),0)),"Jabatan Lainnya"))</f>
        <v>Ketua Pengadilan</v>
      </c>
      <c r="T393" s="106" t="str" cm="1">
        <f t="array" ref="T393">IF(TRIM($I393)="","(tidak diisi)",IFERROR(INDEX(Kamus!$E$3:$E$162,MATCH(TRUE,ISNUMBER(SEARCH(Kamus!$D$3:$D$162,$I393)),0)),"Barang Lain / Tidak Terinci"))</f>
        <v>Uang &amp; Setara Uang</v>
      </c>
      <c r="U393" s="106" t="str" cm="1">
        <f t="array" ref="U393">IF(TRIM($I393)="","(tidak diisi)",IFERROR(INDEX(Kamus!$H$3:$H$75,MATCH(TRUE,ISNUMBER(SEARCH(Kamus!$G$3:$G$75,$I393)),0)),"Pemberian Umum / Tanpa Konteks"))</f>
        <v>Honor / Uang Kegiatan</v>
      </c>
      <c r="V393" s="106" t="str">
        <f t="shared" si="18"/>
        <v>2025</v>
      </c>
      <c r="W393" s="106" t="str" cm="1">
        <f t="array" ref="W393">IF(TRIM($K393)="","(tidak diisi)",IFERROR(INDEX(Kamus!$K$3:$K$118,MATCH(TRUE,ISNUMBER(SEARCH(Kamus!$J$3:$J$118,$K393)),0)),"Individu / Perorangan"))</f>
        <v>Pemerintah Daerah</v>
      </c>
      <c r="X393" s="106" t="str">
        <f t="shared" si="19"/>
        <v>07</v>
      </c>
      <c r="Y393" s="106" t="str" cm="1">
        <f t="array" ref="Y393">IFERROR(INDEX(Kamus!$N$3:$N$111,MATCH(TRUE,ISNUMBER(SEARCH(Kamus!$M$3:$M$111,$I393)),0)),"")</f>
        <v/>
      </c>
      <c r="Z393" s="106" t="str">
        <f>IF(AND(OR($X393="02",$X393="03",$X393="04"),OR($T393="Parsel/Bingkisan (tidak dirinci)",$T393="Makanan &amp; Minuman",$T393="Peralatan Rumah Tangga / Pecah Belah",$T393="Pakaian &amp; Kain")),"Momen Hari Raya (dugaan musiman)",IFERROR(VLOOKUP($W393,Kamus!$P$3:$Q$14,2,FALSE),"Tidak Teridentifikasi"))</f>
        <v>Koordinasi Antarinstansi (dugaan)</v>
      </c>
      <c r="AA393" s="106" t="str">
        <f t="shared" si="20"/>
        <v>Koordinasi Antarinstansi (dugaan)</v>
      </c>
    </row>
    <row r="394" spans="1:27">
      <c r="A394" s="106">
        <v>393</v>
      </c>
      <c r="B394" s="106" t="s">
        <v>2336</v>
      </c>
      <c r="C394" s="107" t="s">
        <v>2337</v>
      </c>
      <c r="D394" s="106" t="s">
        <v>2338</v>
      </c>
      <c r="E394" s="106" t="s">
        <v>2339</v>
      </c>
      <c r="F394" s="106" t="s">
        <v>3035</v>
      </c>
      <c r="G394" s="106" t="s">
        <v>1006</v>
      </c>
      <c r="H394" s="106" t="s">
        <v>3036</v>
      </c>
      <c r="I394" s="106" t="s">
        <v>3037</v>
      </c>
      <c r="J394" s="106">
        <v>5604200</v>
      </c>
      <c r="K394" s="106" t="s">
        <v>3038</v>
      </c>
      <c r="L394" s="106" t="s">
        <v>3039</v>
      </c>
      <c r="M394" s="106" t="s">
        <v>1020</v>
      </c>
      <c r="O394" s="106" t="s">
        <v>274</v>
      </c>
      <c r="P394" s="106" t="s">
        <v>2345</v>
      </c>
      <c r="Q394" s="106" t="s">
        <v>352</v>
      </c>
      <c r="S394" s="106" t="str" cm="1">
        <f t="array" ref="S394">IF(TRIM($D394)="","(tidak diisi)",IFERROR(INDEX(Kamus!$B$3:$B$28,MATCH(TRUE,ISNUMBER(SEARCH(Kamus!$A$3:$A$28,$D394)),0)),"Jabatan Lainnya"))</f>
        <v>Ketua Pengadilan</v>
      </c>
      <c r="T394" s="106" t="str" cm="1">
        <f t="array" ref="T394">IF(TRIM($I394)="","(tidak diisi)",IFERROR(INDEX(Kamus!$E$3:$E$162,MATCH(TRUE,ISNUMBER(SEARCH(Kamus!$D$3:$D$162,$I394)),0)),"Barang Lain / Tidak Terinci"))</f>
        <v>Uang &amp; Setara Uang</v>
      </c>
      <c r="U394" s="106" t="str" cm="1">
        <f t="array" ref="U394">IF(TRIM($I394)="","(tidak diisi)",IFERROR(INDEX(Kamus!$H$3:$H$75,MATCH(TRUE,ISNUMBER(SEARCH(Kamus!$G$3:$G$75,$I394)),0)),"Pemberian Umum / Tanpa Konteks"))</f>
        <v>Honor / Uang Kegiatan</v>
      </c>
      <c r="V394" s="106" t="str">
        <f t="shared" si="18"/>
        <v>2025</v>
      </c>
      <c r="W394" s="106" t="str" cm="1">
        <f t="array" ref="W394">IF(TRIM($K394)="","(tidak diisi)",IFERROR(INDEX(Kamus!$K$3:$K$118,MATCH(TRUE,ISNUMBER(SEARCH(Kamus!$J$3:$J$118,$K394)),0)),"Individu / Perorangan"))</f>
        <v>Pemerintah Daerah</v>
      </c>
      <c r="X394" s="106" t="str">
        <f t="shared" si="19"/>
        <v>06</v>
      </c>
      <c r="Y394" s="106" t="str" cm="1">
        <f t="array" ref="Y394">IFERROR(INDEX(Kamus!$N$3:$N$111,MATCH(TRUE,ISNUMBER(SEARCH(Kamus!$M$3:$M$111,$I394)),0)),"")</f>
        <v/>
      </c>
      <c r="Z394" s="106" t="str">
        <f>IF(AND(OR($X394="02",$X394="03",$X394="04"),OR($T394="Parsel/Bingkisan (tidak dirinci)",$T394="Makanan &amp; Minuman",$T394="Peralatan Rumah Tangga / Pecah Belah",$T394="Pakaian &amp; Kain")),"Momen Hari Raya (dugaan musiman)",IFERROR(VLOOKUP($W394,Kamus!$P$3:$Q$14,2,FALSE),"Tidak Teridentifikasi"))</f>
        <v>Koordinasi Antarinstansi (dugaan)</v>
      </c>
      <c r="AA394" s="106" t="str">
        <f t="shared" si="20"/>
        <v>Koordinasi Antarinstansi (dugaan)</v>
      </c>
    </row>
    <row r="395" spans="1:27">
      <c r="A395" s="106">
        <v>394</v>
      </c>
      <c r="B395" s="106" t="s">
        <v>1022</v>
      </c>
      <c r="C395" s="107" t="s">
        <v>1023</v>
      </c>
      <c r="D395" s="106" t="s">
        <v>1024</v>
      </c>
      <c r="E395" s="106" t="s">
        <v>1025</v>
      </c>
      <c r="F395" s="106" t="s">
        <v>3040</v>
      </c>
      <c r="G395" s="106" t="s">
        <v>1006</v>
      </c>
      <c r="H395" s="106" t="s">
        <v>3031</v>
      </c>
      <c r="I395" s="106" t="s">
        <v>3041</v>
      </c>
      <c r="K395" s="106" t="s">
        <v>3042</v>
      </c>
      <c r="L395" s="106" t="s">
        <v>3043</v>
      </c>
      <c r="O395" s="106" t="s">
        <v>274</v>
      </c>
      <c r="P395" s="106" t="s">
        <v>561</v>
      </c>
      <c r="Q395" s="106" t="s">
        <v>428</v>
      </c>
      <c r="S395" s="106" t="str" cm="1">
        <f t="array" ref="S395">IF(TRIM($D395)="","(tidak diisi)",IFERROR(INDEX(Kamus!$B$3:$B$28,MATCH(TRUE,ISNUMBER(SEARCH(Kamus!$A$3:$A$28,$D395)),0)),"Jabatan Lainnya"))</f>
        <v>Sekretaris</v>
      </c>
      <c r="T395" s="106" t="str" cm="1">
        <f t="array" ref="T395">IF(TRIM($I395)="","(tidak diisi)",IFERROR(INDEX(Kamus!$E$3:$E$162,MATCH(TRUE,ISNUMBER(SEARCH(Kamus!$D$3:$D$162,$I395)),0)),"Barang Lain / Tidak Terinci"))</f>
        <v>Suvenir &amp; Merchandise</v>
      </c>
      <c r="U395" s="106" t="str" cm="1">
        <f t="array" ref="U395">IF(TRIM($I395)="","(tidak diisi)",IFERROR(INDEX(Kamus!$H$3:$H$75,MATCH(TRUE,ISNUMBER(SEARCH(Kamus!$G$3:$G$75,$I395)),0)),"Pemberian Umum / Tanpa Konteks"))</f>
        <v>Suvenir / Merchandise Kegiatan &amp; Kunjungan</v>
      </c>
      <c r="V395" s="106" t="str">
        <f t="shared" si="18"/>
        <v>2025</v>
      </c>
      <c r="W395" s="106" t="str" cm="1">
        <f t="array" ref="W395">IF(TRIM($K395)="","(tidak diisi)",IFERROR(INDEX(Kamus!$K$3:$K$118,MATCH(TRUE,ISNUMBER(SEARCH(Kamus!$J$3:$J$118,$K395)),0)),"Individu / Perorangan"))</f>
        <v>Individu / Perorangan</v>
      </c>
      <c r="X395" s="106" t="str">
        <f t="shared" si="19"/>
        <v>07</v>
      </c>
      <c r="Y395" s="106" t="str" cm="1">
        <f t="array" ref="Y395">IFERROR(INDEX(Kamus!$N$3:$N$111,MATCH(TRUE,ISNUMBER(SEARCH(Kamus!$M$3:$M$111,$I395)),0)),"")</f>
        <v/>
      </c>
      <c r="Z395" s="106" t="str">
        <f>IF(AND(OR($X395="02",$X395="03",$X395="04"),OR($T395="Parsel/Bingkisan (tidak dirinci)",$T395="Makanan &amp; Minuman",$T395="Peralatan Rumah Tangga / Pecah Belah",$T395="Pakaian &amp; Kain")),"Momen Hari Raya (dugaan musiman)",IFERROR(VLOOKUP($W395,Kamus!$P$3:$Q$14,2,FALSE),"Tidak Teridentifikasi"))</f>
        <v>Relasi Personal / Tidak Teridentifikasi</v>
      </c>
      <c r="AA395" s="106" t="str">
        <f t="shared" si="20"/>
        <v>Relasi Personal / Tidak Teridentifikasi</v>
      </c>
    </row>
    <row r="396" spans="1:27">
      <c r="A396" s="106">
        <v>395</v>
      </c>
      <c r="B396" s="106" t="s">
        <v>1088</v>
      </c>
      <c r="C396" s="107" t="s">
        <v>1089</v>
      </c>
      <c r="D396" s="106" t="s">
        <v>1033</v>
      </c>
      <c r="E396" s="106" t="s">
        <v>1090</v>
      </c>
      <c r="F396" s="106" t="s">
        <v>3044</v>
      </c>
      <c r="G396" s="106" t="s">
        <v>1006</v>
      </c>
      <c r="H396" s="106" t="s">
        <v>3008</v>
      </c>
      <c r="I396" s="106" t="s">
        <v>2700</v>
      </c>
      <c r="K396" s="106" t="s">
        <v>3045</v>
      </c>
      <c r="L396" s="106" t="s">
        <v>3046</v>
      </c>
      <c r="O396" s="106" t="s">
        <v>274</v>
      </c>
      <c r="P396" s="106" t="s">
        <v>1095</v>
      </c>
      <c r="Q396" s="106" t="s">
        <v>348</v>
      </c>
      <c r="S396" s="106" t="str" cm="1">
        <f t="array" ref="S396">IF(TRIM($D396)="","(tidak diisi)",IFERROR(INDEX(Kamus!$B$3:$B$28,MATCH(TRUE,ISNUMBER(SEARCH(Kamus!$A$3:$A$28,$D396)),0)),"Jabatan Lainnya"))</f>
        <v>Hakim</v>
      </c>
      <c r="T396" s="106" t="str" cm="1">
        <f t="array" ref="T396">IF(TRIM($I396)="","(tidak diisi)",IFERROR(INDEX(Kamus!$E$3:$E$162,MATCH(TRUE,ISNUMBER(SEARCH(Kamus!$D$3:$D$162,$I396)),0)),"Barang Lain / Tidak Terinci"))</f>
        <v>Pakaian &amp; Kain</v>
      </c>
      <c r="U396" s="106" t="str" cm="1">
        <f t="array" ref="U396">IF(TRIM($I396)="","(tidak diisi)",IFERROR(INDEX(Kamus!$H$3:$H$75,MATCH(TRUE,ISNUMBER(SEARCH(Kamus!$G$3:$G$75,$I396)),0)),"Pemberian Umum / Tanpa Konteks"))</f>
        <v>Pemberian Umum / Tanpa Konteks</v>
      </c>
      <c r="V396" s="106" t="str">
        <f t="shared" si="18"/>
        <v>2025</v>
      </c>
      <c r="W396" s="106" t="str" cm="1">
        <f t="array" ref="W396">IF(TRIM($K396)="","(tidak diisi)",IFERROR(INDEX(Kamus!$K$3:$K$118,MATCH(TRUE,ISNUMBER(SEARCH(Kamus!$J$3:$J$118,$K396)),0)),"Individu / Perorangan"))</f>
        <v>Individu / Perorangan</v>
      </c>
      <c r="X396" s="106" t="str">
        <f t="shared" si="19"/>
        <v>07</v>
      </c>
      <c r="Y396" s="106" t="str" cm="1">
        <f t="array" ref="Y396">IFERROR(INDEX(Kamus!$N$3:$N$111,MATCH(TRUE,ISNUMBER(SEARCH(Kamus!$M$3:$M$111,$I396)),0)),"")</f>
        <v/>
      </c>
      <c r="Z396" s="106" t="str">
        <f>IF(AND(OR($X396="02",$X396="03",$X396="04"),OR($T396="Parsel/Bingkisan (tidak dirinci)",$T396="Makanan &amp; Minuman",$T396="Peralatan Rumah Tangga / Pecah Belah",$T396="Pakaian &amp; Kain")),"Momen Hari Raya (dugaan musiman)",IFERROR(VLOOKUP($W396,Kamus!$P$3:$Q$14,2,FALSE),"Tidak Teridentifikasi"))</f>
        <v>Relasi Personal / Tidak Teridentifikasi</v>
      </c>
      <c r="AA396" s="106" t="str">
        <f t="shared" si="20"/>
        <v>Relasi Personal / Tidak Teridentifikasi</v>
      </c>
    </row>
    <row r="397" spans="1:27">
      <c r="A397" s="106">
        <v>396</v>
      </c>
      <c r="B397" s="106" t="s">
        <v>2005</v>
      </c>
      <c r="C397" s="107" t="s">
        <v>2006</v>
      </c>
      <c r="D397" s="106" t="s">
        <v>1843</v>
      </c>
      <c r="E397" s="106" t="s">
        <v>2007</v>
      </c>
      <c r="F397" s="106" t="s">
        <v>3047</v>
      </c>
      <c r="G397" s="106" t="s">
        <v>1006</v>
      </c>
      <c r="H397" s="106" t="s">
        <v>2889</v>
      </c>
      <c r="I397" s="106" t="s">
        <v>3048</v>
      </c>
      <c r="J397" s="106">
        <v>504000</v>
      </c>
      <c r="K397" s="106" t="s">
        <v>3049</v>
      </c>
      <c r="L397" s="106" t="s">
        <v>3050</v>
      </c>
      <c r="M397" s="106" t="s">
        <v>1171</v>
      </c>
      <c r="N397" s="106" t="s">
        <v>3051</v>
      </c>
      <c r="O397" s="106" t="s">
        <v>274</v>
      </c>
      <c r="P397" s="106" t="s">
        <v>2012</v>
      </c>
      <c r="Q397" s="106" t="s">
        <v>402</v>
      </c>
      <c r="S397" s="106" t="str" cm="1">
        <f t="array" ref="S397">IF(TRIM($D397)="","(tidak diisi)",IFERROR(INDEX(Kamus!$B$3:$B$28,MATCH(TRUE,ISNUMBER(SEARCH(Kamus!$A$3:$A$28,$D397)),0)),"Jabatan Lainnya"))</f>
        <v>Ketua Pengadilan</v>
      </c>
      <c r="T397" s="106" t="str" cm="1">
        <f t="array" ref="T397">IF(TRIM($I397)="","(tidak diisi)",IFERROR(INDEX(Kamus!$E$3:$E$162,MATCH(TRUE,ISNUMBER(SEARCH(Kamus!$D$3:$D$162,$I397)),0)),"Barang Lain / Tidak Terinci"))</f>
        <v>Pakaian &amp; Kain</v>
      </c>
      <c r="U397" s="106" t="str" cm="1">
        <f t="array" ref="U397">IF(TRIM($I397)="","(tidak diisi)",IFERROR(INDEX(Kamus!$H$3:$H$75,MATCH(TRUE,ISNUMBER(SEARCH(Kamus!$G$3:$G$75,$I397)),0)),"Pemberian Umum / Tanpa Konteks"))</f>
        <v>Pemberian Umum / Tanpa Konteks</v>
      </c>
      <c r="V397" s="106" t="str">
        <f t="shared" si="18"/>
        <v>2025</v>
      </c>
      <c r="W397" s="106" t="str" cm="1">
        <f t="array" ref="W397">IF(TRIM($K397)="","(tidak diisi)",IFERROR(INDEX(Kamus!$K$3:$K$118,MATCH(TRUE,ISNUMBER(SEARCH(Kamus!$J$3:$J$118,$K397)),0)),"Individu / Perorangan"))</f>
        <v>Individu / Perorangan</v>
      </c>
      <c r="X397" s="106" t="str">
        <f t="shared" si="19"/>
        <v>07</v>
      </c>
      <c r="Y397" s="106" t="str" cm="1">
        <f t="array" ref="Y397">IFERROR(INDEX(Kamus!$N$3:$N$111,MATCH(TRUE,ISNUMBER(SEARCH(Kamus!$M$3:$M$111,$I397)),0)),"")</f>
        <v/>
      </c>
      <c r="Z397" s="106" t="str">
        <f>IF(AND(OR($X397="02",$X397="03",$X397="04"),OR($T397="Parsel/Bingkisan (tidak dirinci)",$T397="Makanan &amp; Minuman",$T397="Peralatan Rumah Tangga / Pecah Belah",$T397="Pakaian &amp; Kain")),"Momen Hari Raya (dugaan musiman)",IFERROR(VLOOKUP($W397,Kamus!$P$3:$Q$14,2,FALSE),"Tidak Teridentifikasi"))</f>
        <v>Relasi Personal / Tidak Teridentifikasi</v>
      </c>
      <c r="AA397" s="106" t="str">
        <f t="shared" si="20"/>
        <v>Relasi Personal / Tidak Teridentifikasi</v>
      </c>
    </row>
    <row r="398" spans="1:27">
      <c r="A398" s="106">
        <v>397</v>
      </c>
      <c r="B398" s="106" t="s">
        <v>1088</v>
      </c>
      <c r="C398" s="107" t="s">
        <v>1089</v>
      </c>
      <c r="D398" s="106" t="s">
        <v>1033</v>
      </c>
      <c r="E398" s="106" t="s">
        <v>1090</v>
      </c>
      <c r="F398" s="106" t="s">
        <v>3052</v>
      </c>
      <c r="G398" s="106" t="s">
        <v>1006</v>
      </c>
      <c r="H398" s="106" t="s">
        <v>3008</v>
      </c>
      <c r="I398" s="106" t="s">
        <v>3053</v>
      </c>
      <c r="K398" s="106" t="s">
        <v>1264</v>
      </c>
      <c r="L398" s="106" t="s">
        <v>3054</v>
      </c>
      <c r="O398" s="106" t="s">
        <v>274</v>
      </c>
      <c r="P398" s="106" t="s">
        <v>1095</v>
      </c>
      <c r="Q398" s="106" t="s">
        <v>348</v>
      </c>
      <c r="S398" s="106" t="str" cm="1">
        <f t="array" ref="S398">IF(TRIM($D398)="","(tidak diisi)",IFERROR(INDEX(Kamus!$B$3:$B$28,MATCH(TRUE,ISNUMBER(SEARCH(Kamus!$A$3:$A$28,$D398)),0)),"Jabatan Lainnya"))</f>
        <v>Hakim</v>
      </c>
      <c r="T398" s="106" t="str" cm="1">
        <f t="array" ref="T398">IF(TRIM($I398)="","(tidak diisi)",IFERROR(INDEX(Kamus!$E$3:$E$162,MATCH(TRUE,ISNUMBER(SEARCH(Kamus!$D$3:$D$162,$I398)),0)),"Barang Lain / Tidak Terinci"))</f>
        <v>Pakaian &amp; Kain</v>
      </c>
      <c r="U398" s="106" t="str" cm="1">
        <f t="array" ref="U398">IF(TRIM($I398)="","(tidak diisi)",IFERROR(INDEX(Kamus!$H$3:$H$75,MATCH(TRUE,ISNUMBER(SEARCH(Kamus!$G$3:$G$75,$I398)),0)),"Pemberian Umum / Tanpa Konteks"))</f>
        <v>Pemberian Umum / Tanpa Konteks</v>
      </c>
      <c r="V398" s="106" t="str">
        <f t="shared" si="18"/>
        <v>2025</v>
      </c>
      <c r="W398" s="106" t="str" cm="1">
        <f t="array" ref="W398">IF(TRIM($K398)="","(tidak diisi)",IFERROR(INDEX(Kamus!$K$3:$K$118,MATCH(TRUE,ISNUMBER(SEARCH(Kamus!$J$3:$J$118,$K398)),0)),"Individu / Perorangan"))</f>
        <v>Individu / Perorangan</v>
      </c>
      <c r="X398" s="106" t="str">
        <f t="shared" si="19"/>
        <v>07</v>
      </c>
      <c r="Y398" s="106" t="str" cm="1">
        <f t="array" ref="Y398">IFERROR(INDEX(Kamus!$N$3:$N$111,MATCH(TRUE,ISNUMBER(SEARCH(Kamus!$M$3:$M$111,$I398)),0)),"")</f>
        <v/>
      </c>
      <c r="Z398" s="106" t="str">
        <f>IF(AND(OR($X398="02",$X398="03",$X398="04"),OR($T398="Parsel/Bingkisan (tidak dirinci)",$T398="Makanan &amp; Minuman",$T398="Peralatan Rumah Tangga / Pecah Belah",$T398="Pakaian &amp; Kain")),"Momen Hari Raya (dugaan musiman)",IFERROR(VLOOKUP($W398,Kamus!$P$3:$Q$14,2,FALSE),"Tidak Teridentifikasi"))</f>
        <v>Relasi Personal / Tidak Teridentifikasi</v>
      </c>
      <c r="AA398" s="106" t="str">
        <f t="shared" si="20"/>
        <v>Relasi Personal / Tidak Teridentifikasi</v>
      </c>
    </row>
    <row r="399" spans="1:27">
      <c r="A399" s="106">
        <v>398</v>
      </c>
      <c r="B399" s="106" t="s">
        <v>3055</v>
      </c>
      <c r="C399" s="107" t="s">
        <v>3056</v>
      </c>
      <c r="D399" s="106" t="s">
        <v>1033</v>
      </c>
      <c r="E399" s="106" t="s">
        <v>3057</v>
      </c>
      <c r="F399" s="106" t="s">
        <v>3058</v>
      </c>
      <c r="G399" s="106" t="s">
        <v>1074</v>
      </c>
      <c r="H399" s="106" t="s">
        <v>3059</v>
      </c>
      <c r="I399" s="106" t="s">
        <v>3060</v>
      </c>
      <c r="K399" s="106" t="s">
        <v>3061</v>
      </c>
      <c r="L399" s="106" t="s">
        <v>3062</v>
      </c>
      <c r="O399" s="106" t="s">
        <v>274</v>
      </c>
      <c r="P399" s="106" t="s">
        <v>3063</v>
      </c>
      <c r="Q399" s="106" t="s">
        <v>400</v>
      </c>
      <c r="S399" s="106" t="str" cm="1">
        <f t="array" ref="S399">IF(TRIM($D399)="","(tidak diisi)",IFERROR(INDEX(Kamus!$B$3:$B$28,MATCH(TRUE,ISNUMBER(SEARCH(Kamus!$A$3:$A$28,$D399)),0)),"Jabatan Lainnya"))</f>
        <v>Hakim</v>
      </c>
      <c r="T399" s="106" t="str" cm="1">
        <f t="array" ref="T399">IF(TRIM($I399)="","(tidak diisi)",IFERROR(INDEX(Kamus!$E$3:$E$162,MATCH(TRUE,ISNUMBER(SEARCH(Kamus!$D$3:$D$162,$I399)),0)),"Barang Lain / Tidak Terinci"))</f>
        <v>Makanan &amp; Minuman</v>
      </c>
      <c r="U399" s="106" t="str" cm="1">
        <f t="array" ref="U399">IF(TRIM($I399)="","(tidak diisi)",IFERROR(INDEX(Kamus!$H$3:$H$75,MATCH(TRUE,ISNUMBER(SEARCH(Kamus!$G$3:$G$75,$I399)),0)),"Pemberian Umum / Tanpa Konteks"))</f>
        <v>Pemberian Umum / Tanpa Konteks</v>
      </c>
      <c r="V399" s="106" t="str">
        <f t="shared" si="18"/>
        <v>2025</v>
      </c>
      <c r="W399" s="106" t="str" cm="1">
        <f t="array" ref="W399">IF(TRIM($K399)="","(tidak diisi)",IFERROR(INDEX(Kamus!$K$3:$K$118,MATCH(TRUE,ISNUMBER(SEARCH(Kamus!$J$3:$J$118,$K399)),0)),"Individu / Perorangan"))</f>
        <v>Individu / Perorangan</v>
      </c>
      <c r="X399" s="106" t="str">
        <f t="shared" si="19"/>
        <v>07</v>
      </c>
      <c r="Y399" s="106" t="str" cm="1">
        <f t="array" ref="Y399">IFERROR(INDEX(Kamus!$N$3:$N$111,MATCH(TRUE,ISNUMBER(SEARCH(Kamus!$M$3:$M$111,$I399)),0)),"")</f>
        <v/>
      </c>
      <c r="Z399" s="106" t="str">
        <f>IF(AND(OR($X399="02",$X399="03",$X399="04"),OR($T399="Parsel/Bingkisan (tidak dirinci)",$T399="Makanan &amp; Minuman",$T399="Peralatan Rumah Tangga / Pecah Belah",$T399="Pakaian &amp; Kain")),"Momen Hari Raya (dugaan musiman)",IFERROR(VLOOKUP($W399,Kamus!$P$3:$Q$14,2,FALSE),"Tidak Teridentifikasi"))</f>
        <v>Relasi Personal / Tidak Teridentifikasi</v>
      </c>
      <c r="AA399" s="106" t="str">
        <f t="shared" si="20"/>
        <v>Relasi Personal / Tidak Teridentifikasi</v>
      </c>
    </row>
    <row r="400" spans="1:27">
      <c r="A400" s="106">
        <v>399</v>
      </c>
      <c r="B400" s="106" t="s">
        <v>1505</v>
      </c>
      <c r="C400" s="107" t="s">
        <v>1506</v>
      </c>
      <c r="D400" s="106" t="s">
        <v>1507</v>
      </c>
      <c r="E400" s="106" t="s">
        <v>1166</v>
      </c>
      <c r="F400" s="106" t="s">
        <v>3064</v>
      </c>
      <c r="G400" s="106" t="s">
        <v>1006</v>
      </c>
      <c r="H400" s="106" t="s">
        <v>3059</v>
      </c>
      <c r="I400" s="106" t="s">
        <v>3065</v>
      </c>
      <c r="K400" s="106" t="s">
        <v>3066</v>
      </c>
      <c r="L400" s="106" t="s">
        <v>3067</v>
      </c>
      <c r="O400" s="106" t="s">
        <v>274</v>
      </c>
      <c r="P400" s="106" t="s">
        <v>1173</v>
      </c>
      <c r="Q400" s="106" t="s">
        <v>431</v>
      </c>
      <c r="S400" s="106" t="str" cm="1">
        <f t="array" ref="S400">IF(TRIM($D400)="","(tidak diisi)",IFERROR(INDEX(Kamus!$B$3:$B$28,MATCH(TRUE,ISNUMBER(SEARCH(Kamus!$A$3:$A$28,$D400)),0)),"Jabatan Lainnya"))</f>
        <v>Wakil Ketua Pengadilan</v>
      </c>
      <c r="T400" s="106" t="str" cm="1">
        <f t="array" ref="T400">IF(TRIM($I400)="","(tidak diisi)",IFERROR(INDEX(Kamus!$E$3:$E$162,MATCH(TRUE,ISNUMBER(SEARCH(Kamus!$D$3:$D$162,$I400)),0)),"Barang Lain / Tidak Terinci"))</f>
        <v>Makanan &amp; Minuman</v>
      </c>
      <c r="U400" s="106" t="str" cm="1">
        <f t="array" ref="U400">IF(TRIM($I400)="","(tidak diisi)",IFERROR(INDEX(Kamus!$H$3:$H$75,MATCH(TRUE,ISNUMBER(SEARCH(Kamus!$G$3:$G$75,$I400)),0)),"Pemberian Umum / Tanpa Konteks"))</f>
        <v>Pemberian Umum / Tanpa Konteks</v>
      </c>
      <c r="V400" s="106" t="str">
        <f t="shared" si="18"/>
        <v>2025</v>
      </c>
      <c r="W400" s="106" t="str" cm="1">
        <f t="array" ref="W400">IF(TRIM($K400)="","(tidak diisi)",IFERROR(INDEX(Kamus!$K$3:$K$118,MATCH(TRUE,ISNUMBER(SEARCH(Kamus!$J$3:$J$118,$K400)),0)),"Individu / Perorangan"))</f>
        <v>Internal Peradilan / Instansi Sendiri</v>
      </c>
      <c r="X400" s="106" t="str">
        <f t="shared" si="19"/>
        <v>07</v>
      </c>
      <c r="Y400" s="106" t="str" cm="1">
        <f t="array" ref="Y400">IFERROR(INDEX(Kamus!$N$3:$N$111,MATCH(TRUE,ISNUMBER(SEARCH(Kamus!$M$3:$M$111,$I400)),0)),"")</f>
        <v/>
      </c>
      <c r="Z400" s="106" t="str">
        <f>IF(AND(OR($X400="02",$X400="03",$X400="04"),OR($T400="Parsel/Bingkisan (tidak dirinci)",$T400="Makanan &amp; Minuman",$T400="Peralatan Rumah Tangga / Pecah Belah",$T400="Pakaian &amp; Kain")),"Momen Hari Raya (dugaan musiman)",IFERROR(VLOOKUP($W400,Kamus!$P$3:$Q$14,2,FALSE),"Tidak Teridentifikasi"))</f>
        <v>Kunjungan/Koordinasi Internal Peradilan (dugaan)</v>
      </c>
      <c r="AA400" s="106" t="str">
        <f t="shared" si="20"/>
        <v>Kunjungan/Koordinasi Internal Peradilan (dugaan)</v>
      </c>
    </row>
    <row r="401" spans="1:27">
      <c r="A401" s="106">
        <v>400</v>
      </c>
      <c r="B401" s="106" t="s">
        <v>1285</v>
      </c>
      <c r="C401" s="107" t="s">
        <v>1286</v>
      </c>
      <c r="D401" s="106" t="s">
        <v>1024</v>
      </c>
      <c r="E401" s="106" t="s">
        <v>1287</v>
      </c>
      <c r="F401" s="106" t="s">
        <v>3068</v>
      </c>
      <c r="G401" s="106" t="s">
        <v>1006</v>
      </c>
      <c r="H401" s="106" t="s">
        <v>2889</v>
      </c>
      <c r="I401" s="106" t="s">
        <v>3069</v>
      </c>
      <c r="J401" s="106">
        <v>60000</v>
      </c>
      <c r="K401" s="106" t="s">
        <v>3070</v>
      </c>
      <c r="L401" s="106" t="s">
        <v>3071</v>
      </c>
      <c r="M401" s="106" t="s">
        <v>1020</v>
      </c>
      <c r="O401" s="106" t="s">
        <v>274</v>
      </c>
      <c r="P401" s="106" t="s">
        <v>1291</v>
      </c>
      <c r="Q401" s="106" t="s">
        <v>428</v>
      </c>
      <c r="S401" s="106" t="str" cm="1">
        <f t="array" ref="S401">IF(TRIM($D401)="","(tidak diisi)",IFERROR(INDEX(Kamus!$B$3:$B$28,MATCH(TRUE,ISNUMBER(SEARCH(Kamus!$A$3:$A$28,$D401)),0)),"Jabatan Lainnya"))</f>
        <v>Sekretaris</v>
      </c>
      <c r="T401" s="106" t="str" cm="1">
        <f t="array" ref="T401">IF(TRIM($I401)="","(tidak diisi)",IFERROR(INDEX(Kamus!$E$3:$E$162,MATCH(TRUE,ISNUMBER(SEARCH(Kamus!$D$3:$D$162,$I401)),0)),"Barang Lain / Tidak Terinci"))</f>
        <v>Pakaian &amp; Kain</v>
      </c>
      <c r="U401" s="106" t="str" cm="1">
        <f t="array" ref="U401">IF(TRIM($I401)="","(tidak diisi)",IFERROR(INDEX(Kamus!$H$3:$H$75,MATCH(TRUE,ISNUMBER(SEARCH(Kamus!$G$3:$G$75,$I401)),0)),"Pemberian Umum / Tanpa Konteks"))</f>
        <v>Pemberian Umum / Tanpa Konteks</v>
      </c>
      <c r="V401" s="106" t="str">
        <f t="shared" si="18"/>
        <v>2025</v>
      </c>
      <c r="W401" s="106" t="str" cm="1">
        <f t="array" ref="W401">IF(TRIM($K401)="","(tidak diisi)",IFERROR(INDEX(Kamus!$K$3:$K$118,MATCH(TRUE,ISNUMBER(SEARCH(Kamus!$J$3:$J$118,$K401)),0)),"Individu / Perorangan"))</f>
        <v>Individu / Perorangan</v>
      </c>
      <c r="X401" s="106" t="str">
        <f t="shared" si="19"/>
        <v>07</v>
      </c>
      <c r="Y401" s="106" t="str" cm="1">
        <f t="array" ref="Y401">IFERROR(INDEX(Kamus!$N$3:$N$111,MATCH(TRUE,ISNUMBER(SEARCH(Kamus!$M$3:$M$111,$I401)),0)),"")</f>
        <v/>
      </c>
      <c r="Z401" s="106" t="str">
        <f>IF(AND(OR($X401="02",$X401="03",$X401="04"),OR($T401="Parsel/Bingkisan (tidak dirinci)",$T401="Makanan &amp; Minuman",$T401="Peralatan Rumah Tangga / Pecah Belah",$T401="Pakaian &amp; Kain")),"Momen Hari Raya (dugaan musiman)",IFERROR(VLOOKUP($W401,Kamus!$P$3:$Q$14,2,FALSE),"Tidak Teridentifikasi"))</f>
        <v>Relasi Personal / Tidak Teridentifikasi</v>
      </c>
      <c r="AA401" s="106" t="str">
        <f t="shared" si="20"/>
        <v>Relasi Personal / Tidak Teridentifikasi</v>
      </c>
    </row>
    <row r="402" spans="1:27">
      <c r="A402" s="106">
        <v>401</v>
      </c>
      <c r="B402" s="106" t="s">
        <v>1285</v>
      </c>
      <c r="C402" s="107" t="s">
        <v>1286</v>
      </c>
      <c r="D402" s="106" t="s">
        <v>1024</v>
      </c>
      <c r="E402" s="106" t="s">
        <v>1287</v>
      </c>
      <c r="F402" s="106" t="s">
        <v>3072</v>
      </c>
      <c r="G402" s="106" t="s">
        <v>1006</v>
      </c>
      <c r="H402" s="106" t="s">
        <v>2889</v>
      </c>
      <c r="I402" s="106" t="s">
        <v>3073</v>
      </c>
      <c r="J402" s="106">
        <v>72000</v>
      </c>
      <c r="K402" s="106" t="s">
        <v>3074</v>
      </c>
      <c r="L402" s="106" t="s">
        <v>3075</v>
      </c>
      <c r="M402" s="106" t="s">
        <v>1020</v>
      </c>
      <c r="O402" s="106" t="s">
        <v>274</v>
      </c>
      <c r="P402" s="106" t="s">
        <v>1291</v>
      </c>
      <c r="Q402" s="106" t="s">
        <v>428</v>
      </c>
      <c r="S402" s="106" t="str" cm="1">
        <f t="array" ref="S402">IF(TRIM($D402)="","(tidak diisi)",IFERROR(INDEX(Kamus!$B$3:$B$28,MATCH(TRUE,ISNUMBER(SEARCH(Kamus!$A$3:$A$28,$D402)),0)),"Jabatan Lainnya"))</f>
        <v>Sekretaris</v>
      </c>
      <c r="T402" s="106" t="str" cm="1">
        <f t="array" ref="T402">IF(TRIM($I402)="","(tidak diisi)",IFERROR(INDEX(Kamus!$E$3:$E$162,MATCH(TRUE,ISNUMBER(SEARCH(Kamus!$D$3:$D$162,$I402)),0)),"Barang Lain / Tidak Terinci"))</f>
        <v>Buku &amp; Publikasi</v>
      </c>
      <c r="U402" s="106" t="str" cm="1">
        <f t="array" ref="U402">IF(TRIM($I402)="","(tidak diisi)",IFERROR(INDEX(Kamus!$H$3:$H$75,MATCH(TRUE,ISNUMBER(SEARCH(Kamus!$G$3:$G$75,$I402)),0)),"Pemberian Umum / Tanpa Konteks"))</f>
        <v>Pemberian Umum / Tanpa Konteks</v>
      </c>
      <c r="V402" s="106" t="str">
        <f t="shared" si="18"/>
        <v>2025</v>
      </c>
      <c r="W402" s="106" t="str" cm="1">
        <f t="array" ref="W402">IF(TRIM($K402)="","(tidak diisi)",IFERROR(INDEX(Kamus!$K$3:$K$118,MATCH(TRUE,ISNUMBER(SEARCH(Kamus!$J$3:$J$118,$K402)),0)),"Individu / Perorangan"))</f>
        <v>Individu / Perorangan</v>
      </c>
      <c r="X402" s="106" t="str">
        <f t="shared" si="19"/>
        <v>07</v>
      </c>
      <c r="Y402" s="106" t="str" cm="1">
        <f t="array" ref="Y402">IFERROR(INDEX(Kamus!$N$3:$N$111,MATCH(TRUE,ISNUMBER(SEARCH(Kamus!$M$3:$M$111,$I402)),0)),"")</f>
        <v/>
      </c>
      <c r="Z402" s="106" t="str">
        <f>IF(AND(OR($X402="02",$X402="03",$X402="04"),OR($T402="Parsel/Bingkisan (tidak dirinci)",$T402="Makanan &amp; Minuman",$T402="Peralatan Rumah Tangga / Pecah Belah",$T402="Pakaian &amp; Kain")),"Momen Hari Raya (dugaan musiman)",IFERROR(VLOOKUP($W402,Kamus!$P$3:$Q$14,2,FALSE),"Tidak Teridentifikasi"))</f>
        <v>Relasi Personal / Tidak Teridentifikasi</v>
      </c>
      <c r="AA402" s="106" t="str">
        <f t="shared" si="20"/>
        <v>Relasi Personal / Tidak Teridentifikasi</v>
      </c>
    </row>
    <row r="403" spans="1:27">
      <c r="A403" s="106">
        <v>402</v>
      </c>
      <c r="B403" s="106" t="s">
        <v>1285</v>
      </c>
      <c r="C403" s="107" t="s">
        <v>1286</v>
      </c>
      <c r="D403" s="106" t="s">
        <v>1024</v>
      </c>
      <c r="E403" s="106" t="s">
        <v>1287</v>
      </c>
      <c r="F403" s="106" t="s">
        <v>3076</v>
      </c>
      <c r="G403" s="106" t="s">
        <v>1006</v>
      </c>
      <c r="H403" s="106" t="s">
        <v>2870</v>
      </c>
      <c r="I403" s="106" t="s">
        <v>3077</v>
      </c>
      <c r="J403" s="106">
        <v>250000</v>
      </c>
      <c r="K403" s="106" t="s">
        <v>3078</v>
      </c>
      <c r="L403" s="106" t="s">
        <v>3079</v>
      </c>
      <c r="M403" s="106" t="s">
        <v>1020</v>
      </c>
      <c r="O403" s="106" t="s">
        <v>274</v>
      </c>
      <c r="P403" s="106" t="s">
        <v>1291</v>
      </c>
      <c r="Q403" s="106" t="s">
        <v>428</v>
      </c>
      <c r="S403" s="106" t="str" cm="1">
        <f t="array" ref="S403">IF(TRIM($D403)="","(tidak diisi)",IFERROR(INDEX(Kamus!$B$3:$B$28,MATCH(TRUE,ISNUMBER(SEARCH(Kamus!$A$3:$A$28,$D403)),0)),"Jabatan Lainnya"))</f>
        <v>Sekretaris</v>
      </c>
      <c r="T403" s="106" t="str" cm="1">
        <f t="array" ref="T403">IF(TRIM($I403)="","(tidak diisi)",IFERROR(INDEX(Kamus!$E$3:$E$162,MATCH(TRUE,ISNUMBER(SEARCH(Kamus!$D$3:$D$162,$I403)),0)),"Barang Lain / Tidak Terinci"))</f>
        <v>Uang &amp; Setara Uang</v>
      </c>
      <c r="U403" s="106" t="str" cm="1">
        <f t="array" ref="U403">IF(TRIM($I403)="","(tidak diisi)",IFERROR(INDEX(Kamus!$H$3:$H$75,MATCH(TRUE,ISNUMBER(SEARCH(Kamus!$G$3:$G$75,$I403)),0)),"Pemberian Umum / Tanpa Konteks"))</f>
        <v>Honor / Uang Kegiatan</v>
      </c>
      <c r="V403" s="106" t="str">
        <f t="shared" si="18"/>
        <v>2025</v>
      </c>
      <c r="W403" s="106" t="str" cm="1">
        <f t="array" ref="W403">IF(TRIM($K403)="","(tidak diisi)",IFERROR(INDEX(Kamus!$K$3:$K$118,MATCH(TRUE,ISNUMBER(SEARCH(Kamus!$J$3:$J$118,$K403)),0)),"Individu / Perorangan"))</f>
        <v>Organisasi / Panitia Kegiatan</v>
      </c>
      <c r="X403" s="106" t="str">
        <f t="shared" si="19"/>
        <v>07</v>
      </c>
      <c r="Y403" s="106" t="str" cm="1">
        <f t="array" ref="Y403">IFERROR(INDEX(Kamus!$N$3:$N$111,MATCH(TRUE,ISNUMBER(SEARCH(Kamus!$M$3:$M$111,$I403)),0)),"")</f>
        <v>Diklat / Bimtek / Seminar &amp; Narasumber</v>
      </c>
      <c r="Z403" s="106" t="str">
        <f>IF(AND(OR($X403="02",$X403="03",$X403="04"),OR($T403="Parsel/Bingkisan (tidak dirinci)",$T403="Makanan &amp; Minuman",$T403="Peralatan Rumah Tangga / Pecah Belah",$T403="Pakaian &amp; Kain")),"Momen Hari Raya (dugaan musiman)",IFERROR(VLOOKUP($W403,Kamus!$P$3:$Q$14,2,FALSE),"Tidak Teridentifikasi"))</f>
        <v>Kegiatan Organisasi/Panitia (dugaan)</v>
      </c>
      <c r="AA403" s="106" t="str">
        <f t="shared" si="20"/>
        <v>Diklat / Bimtek / Seminar &amp; Narasumber</v>
      </c>
    </row>
    <row r="404" spans="1:27">
      <c r="A404" s="106">
        <v>403</v>
      </c>
      <c r="B404" s="106" t="s">
        <v>1285</v>
      </c>
      <c r="C404" s="107" t="s">
        <v>1286</v>
      </c>
      <c r="D404" s="106" t="s">
        <v>1024</v>
      </c>
      <c r="E404" s="106" t="s">
        <v>1287</v>
      </c>
      <c r="F404" s="106" t="s">
        <v>3080</v>
      </c>
      <c r="G404" s="106" t="s">
        <v>1006</v>
      </c>
      <c r="H404" s="106" t="s">
        <v>3059</v>
      </c>
      <c r="I404" s="106" t="s">
        <v>1492</v>
      </c>
      <c r="J404" s="106">
        <v>150000</v>
      </c>
      <c r="K404" s="106" t="s">
        <v>3081</v>
      </c>
      <c r="L404" s="106" t="s">
        <v>3082</v>
      </c>
      <c r="M404" s="106" t="s">
        <v>1020</v>
      </c>
      <c r="O404" s="106" t="s">
        <v>274</v>
      </c>
      <c r="P404" s="106" t="s">
        <v>1291</v>
      </c>
      <c r="Q404" s="106" t="s">
        <v>428</v>
      </c>
      <c r="S404" s="106" t="str" cm="1">
        <f t="array" ref="S404">IF(TRIM($D404)="","(tidak diisi)",IFERROR(INDEX(Kamus!$B$3:$B$28,MATCH(TRUE,ISNUMBER(SEARCH(Kamus!$A$3:$A$28,$D404)),0)),"Jabatan Lainnya"))</f>
        <v>Sekretaris</v>
      </c>
      <c r="T404" s="106" t="str" cm="1">
        <f t="array" ref="T404">IF(TRIM($I404)="","(tidak diisi)",IFERROR(INDEX(Kamus!$E$3:$E$162,MATCH(TRUE,ISNUMBER(SEARCH(Kamus!$D$3:$D$162,$I404)),0)),"Barang Lain / Tidak Terinci"))</f>
        <v>Pakaian &amp; Kain</v>
      </c>
      <c r="U404" s="106" t="str" cm="1">
        <f t="array" ref="U404">IF(TRIM($I404)="","(tidak diisi)",IFERROR(INDEX(Kamus!$H$3:$H$75,MATCH(TRUE,ISNUMBER(SEARCH(Kamus!$G$3:$G$75,$I404)),0)),"Pemberian Umum / Tanpa Konteks"))</f>
        <v>Pemberian Umum / Tanpa Konteks</v>
      </c>
      <c r="V404" s="106" t="str">
        <f t="shared" si="18"/>
        <v>2025</v>
      </c>
      <c r="W404" s="106" t="str" cm="1">
        <f t="array" ref="W404">IF(TRIM($K404)="","(tidak diisi)",IFERROR(INDEX(Kamus!$K$3:$K$118,MATCH(TRUE,ISNUMBER(SEARCH(Kamus!$J$3:$J$118,$K404)),0)),"Individu / Perorangan"))</f>
        <v>Individu / Perorangan</v>
      </c>
      <c r="X404" s="106" t="str">
        <f t="shared" si="19"/>
        <v>07</v>
      </c>
      <c r="Y404" s="106" t="str" cm="1">
        <f t="array" ref="Y404">IFERROR(INDEX(Kamus!$N$3:$N$111,MATCH(TRUE,ISNUMBER(SEARCH(Kamus!$M$3:$M$111,$I404)),0)),"")</f>
        <v/>
      </c>
      <c r="Z404" s="106" t="str">
        <f>IF(AND(OR($X404="02",$X404="03",$X404="04"),OR($T404="Parsel/Bingkisan (tidak dirinci)",$T404="Makanan &amp; Minuman",$T404="Peralatan Rumah Tangga / Pecah Belah",$T404="Pakaian &amp; Kain")),"Momen Hari Raya (dugaan musiman)",IFERROR(VLOOKUP($W404,Kamus!$P$3:$Q$14,2,FALSE),"Tidak Teridentifikasi"))</f>
        <v>Relasi Personal / Tidak Teridentifikasi</v>
      </c>
      <c r="AA404" s="106" t="str">
        <f t="shared" si="20"/>
        <v>Relasi Personal / Tidak Teridentifikasi</v>
      </c>
    </row>
    <row r="405" spans="1:27">
      <c r="A405" s="106">
        <v>404</v>
      </c>
      <c r="B405" s="106" t="s">
        <v>3004</v>
      </c>
      <c r="C405" s="107" t="s">
        <v>3005</v>
      </c>
      <c r="D405" s="106" t="s">
        <v>1033</v>
      </c>
      <c r="E405" s="106" t="s">
        <v>3006</v>
      </c>
      <c r="F405" s="106" t="s">
        <v>3083</v>
      </c>
      <c r="G405" s="106" t="s">
        <v>1006</v>
      </c>
      <c r="H405" s="106" t="s">
        <v>3084</v>
      </c>
      <c r="I405" s="106" t="s">
        <v>3085</v>
      </c>
      <c r="J405" s="106">
        <v>250000</v>
      </c>
      <c r="K405" s="106" t="s">
        <v>3086</v>
      </c>
      <c r="L405" s="106" t="s">
        <v>3087</v>
      </c>
      <c r="M405" s="106" t="s">
        <v>1171</v>
      </c>
      <c r="N405" s="106" t="s">
        <v>3088</v>
      </c>
      <c r="O405" s="106" t="s">
        <v>274</v>
      </c>
      <c r="P405" s="106" t="s">
        <v>3010</v>
      </c>
      <c r="Q405" s="106" t="s">
        <v>347</v>
      </c>
      <c r="S405" s="106" t="str" cm="1">
        <f t="array" ref="S405">IF(TRIM($D405)="","(tidak diisi)",IFERROR(INDEX(Kamus!$B$3:$B$28,MATCH(TRUE,ISNUMBER(SEARCH(Kamus!$A$3:$A$28,$D405)),0)),"Jabatan Lainnya"))</f>
        <v>Hakim</v>
      </c>
      <c r="T405" s="106" t="str" cm="1">
        <f t="array" ref="T405">IF(TRIM($I405)="","(tidak diisi)",IFERROR(INDEX(Kamus!$E$3:$E$162,MATCH(TRUE,ISNUMBER(SEARCH(Kamus!$D$3:$D$162,$I405)),0)),"Barang Lain / Tidak Terinci"))</f>
        <v>Pakaian &amp; Kain</v>
      </c>
      <c r="U405" s="106" t="str" cm="1">
        <f t="array" ref="U405">IF(TRIM($I405)="","(tidak diisi)",IFERROR(INDEX(Kamus!$H$3:$H$75,MATCH(TRUE,ISNUMBER(SEARCH(Kamus!$G$3:$G$75,$I405)),0)),"Pemberian Umum / Tanpa Konteks"))</f>
        <v>Pemberian Umum / Tanpa Konteks</v>
      </c>
      <c r="V405" s="106" t="str">
        <f t="shared" si="18"/>
        <v>2025</v>
      </c>
      <c r="W405" s="106" t="str" cm="1">
        <f t="array" ref="W405">IF(TRIM($K405)="","(tidak diisi)",IFERROR(INDEX(Kamus!$K$3:$K$118,MATCH(TRUE,ISNUMBER(SEARCH(Kamus!$J$3:$J$118,$K405)),0)),"Individu / Perorangan"))</f>
        <v>Individu / Perorangan</v>
      </c>
      <c r="X405" s="106" t="str">
        <f t="shared" si="19"/>
        <v>07</v>
      </c>
      <c r="Y405" s="106" t="str" cm="1">
        <f t="array" ref="Y405">IFERROR(INDEX(Kamus!$N$3:$N$111,MATCH(TRUE,ISNUMBER(SEARCH(Kamus!$M$3:$M$111,$I405)),0)),"")</f>
        <v/>
      </c>
      <c r="Z405" s="106" t="str">
        <f>IF(AND(OR($X405="02",$X405="03",$X405="04"),OR($T405="Parsel/Bingkisan (tidak dirinci)",$T405="Makanan &amp; Minuman",$T405="Peralatan Rumah Tangga / Pecah Belah",$T405="Pakaian &amp; Kain")),"Momen Hari Raya (dugaan musiman)",IFERROR(VLOOKUP($W405,Kamus!$P$3:$Q$14,2,FALSE),"Tidak Teridentifikasi"))</f>
        <v>Relasi Personal / Tidak Teridentifikasi</v>
      </c>
      <c r="AA405" s="106" t="str">
        <f t="shared" si="20"/>
        <v>Relasi Personal / Tidak Teridentifikasi</v>
      </c>
    </row>
    <row r="406" spans="1:27">
      <c r="A406" s="106">
        <v>405</v>
      </c>
      <c r="B406" s="106" t="s">
        <v>3089</v>
      </c>
      <c r="C406" s="107" t="s">
        <v>3090</v>
      </c>
      <c r="D406" s="106" t="s">
        <v>1033</v>
      </c>
      <c r="E406" s="106" t="s">
        <v>3091</v>
      </c>
      <c r="F406" s="106" t="s">
        <v>3092</v>
      </c>
      <c r="G406" s="106" t="s">
        <v>1006</v>
      </c>
      <c r="H406" s="106" t="s">
        <v>3031</v>
      </c>
      <c r="I406" s="106" t="s">
        <v>1017</v>
      </c>
      <c r="J406" s="106">
        <v>1540000</v>
      </c>
      <c r="K406" s="106" t="s">
        <v>3093</v>
      </c>
      <c r="L406" s="106" t="s">
        <v>3094</v>
      </c>
      <c r="M406" s="106" t="s">
        <v>1020</v>
      </c>
      <c r="O406" s="106" t="s">
        <v>274</v>
      </c>
      <c r="P406" s="106" t="s">
        <v>416</v>
      </c>
      <c r="Q406" s="106" t="s">
        <v>366</v>
      </c>
      <c r="S406" s="106" t="str" cm="1">
        <f t="array" ref="S406">IF(TRIM($D406)="","(tidak diisi)",IFERROR(INDEX(Kamus!$B$3:$B$28,MATCH(TRUE,ISNUMBER(SEARCH(Kamus!$A$3:$A$28,$D406)),0)),"Jabatan Lainnya"))</f>
        <v>Hakim</v>
      </c>
      <c r="T406" s="106" t="str" cm="1">
        <f t="array" ref="T406">IF(TRIM($I406)="","(tidak diisi)",IFERROR(INDEX(Kamus!$E$3:$E$162,MATCH(TRUE,ISNUMBER(SEARCH(Kamus!$D$3:$D$162,$I406)),0)),"Barang Lain / Tidak Terinci"))</f>
        <v>Uang &amp; Setara Uang</v>
      </c>
      <c r="U406" s="106" t="str" cm="1">
        <f t="array" ref="U406">IF(TRIM($I406)="","(tidak diisi)",IFERROR(INDEX(Kamus!$H$3:$H$75,MATCH(TRUE,ISNUMBER(SEARCH(Kamus!$G$3:$G$75,$I406)),0)),"Pemberian Umum / Tanpa Konteks"))</f>
        <v>Pemberian Uang Langsung</v>
      </c>
      <c r="V406" s="106" t="str">
        <f t="shared" si="18"/>
        <v>2025</v>
      </c>
      <c r="W406" s="106" t="str" cm="1">
        <f t="array" ref="W406">IF(TRIM($K406)="","(tidak diisi)",IFERROR(INDEX(Kamus!$K$3:$K$118,MATCH(TRUE,ISNUMBER(SEARCH(Kamus!$J$3:$J$118,$K406)),0)),"Individu / Perorangan"))</f>
        <v>Individu / Perorangan</v>
      </c>
      <c r="X406" s="106" t="str">
        <f t="shared" si="19"/>
        <v>07</v>
      </c>
      <c r="Y406" s="106" t="str" cm="1">
        <f t="array" ref="Y406">IFERROR(INDEX(Kamus!$N$3:$N$111,MATCH(TRUE,ISNUMBER(SEARCH(Kamus!$M$3:$M$111,$I406)),0)),"")</f>
        <v/>
      </c>
      <c r="Z406" s="106" t="str">
        <f>IF(AND(OR($X406="02",$X406="03",$X406="04"),OR($T406="Parsel/Bingkisan (tidak dirinci)",$T406="Makanan &amp; Minuman",$T406="Peralatan Rumah Tangga / Pecah Belah",$T406="Pakaian &amp; Kain")),"Momen Hari Raya (dugaan musiman)",IFERROR(VLOOKUP($W406,Kamus!$P$3:$Q$14,2,FALSE),"Tidak Teridentifikasi"))</f>
        <v>Relasi Personal / Tidak Teridentifikasi</v>
      </c>
      <c r="AA406" s="106" t="str">
        <f t="shared" si="20"/>
        <v>Relasi Personal / Tidak Teridentifikasi</v>
      </c>
    </row>
    <row r="407" spans="1:27">
      <c r="A407" s="106">
        <v>406</v>
      </c>
      <c r="B407" s="106" t="s">
        <v>1285</v>
      </c>
      <c r="C407" s="107" t="s">
        <v>1286</v>
      </c>
      <c r="D407" s="106" t="s">
        <v>1024</v>
      </c>
      <c r="E407" s="106" t="s">
        <v>1287</v>
      </c>
      <c r="F407" s="106" t="s">
        <v>3095</v>
      </c>
      <c r="G407" s="106" t="s">
        <v>1006</v>
      </c>
      <c r="H407" s="106" t="s">
        <v>2823</v>
      </c>
      <c r="I407" s="106" t="s">
        <v>3096</v>
      </c>
      <c r="K407" s="106" t="s">
        <v>3097</v>
      </c>
      <c r="L407" s="106" t="s">
        <v>3098</v>
      </c>
      <c r="O407" s="106" t="s">
        <v>274</v>
      </c>
      <c r="P407" s="106" t="s">
        <v>1291</v>
      </c>
      <c r="Q407" s="106" t="s">
        <v>428</v>
      </c>
      <c r="S407" s="106" t="str" cm="1">
        <f t="array" ref="S407">IF(TRIM($D407)="","(tidak diisi)",IFERROR(INDEX(Kamus!$B$3:$B$28,MATCH(TRUE,ISNUMBER(SEARCH(Kamus!$A$3:$A$28,$D407)),0)),"Jabatan Lainnya"))</f>
        <v>Sekretaris</v>
      </c>
      <c r="T407" s="106" t="str" cm="1">
        <f t="array" ref="T407">IF(TRIM($I407)="","(tidak diisi)",IFERROR(INDEX(Kamus!$E$3:$E$162,MATCH(TRUE,ISNUMBER(SEARCH(Kamus!$D$3:$D$162,$I407)),0)),"Barang Lain / Tidak Terinci"))</f>
        <v>Pakaian &amp; Kain</v>
      </c>
      <c r="U407" s="106" t="str" cm="1">
        <f t="array" ref="U407">IF(TRIM($I407)="","(tidak diisi)",IFERROR(INDEX(Kamus!$H$3:$H$75,MATCH(TRUE,ISNUMBER(SEARCH(Kamus!$G$3:$G$75,$I407)),0)),"Pemberian Umum / Tanpa Konteks"))</f>
        <v>Pemberian Umum / Tanpa Konteks</v>
      </c>
      <c r="V407" s="106" t="str">
        <f t="shared" si="18"/>
        <v>2025</v>
      </c>
      <c r="W407" s="106" t="str" cm="1">
        <f t="array" ref="W407">IF(TRIM($K407)="","(tidak diisi)",IFERROR(INDEX(Kamus!$K$3:$K$118,MATCH(TRUE,ISNUMBER(SEARCH(Kamus!$J$3:$J$118,$K407)),0)),"Individu / Perorangan"))</f>
        <v>Individu / Perorangan</v>
      </c>
      <c r="X407" s="106" t="str">
        <f t="shared" si="19"/>
        <v>07</v>
      </c>
      <c r="Y407" s="106" t="str" cm="1">
        <f t="array" ref="Y407">IFERROR(INDEX(Kamus!$N$3:$N$111,MATCH(TRUE,ISNUMBER(SEARCH(Kamus!$M$3:$M$111,$I407)),0)),"")</f>
        <v/>
      </c>
      <c r="Z407" s="106" t="str">
        <f>IF(AND(OR($X407="02",$X407="03",$X407="04"),OR($T407="Parsel/Bingkisan (tidak dirinci)",$T407="Makanan &amp; Minuman",$T407="Peralatan Rumah Tangga / Pecah Belah",$T407="Pakaian &amp; Kain")),"Momen Hari Raya (dugaan musiman)",IFERROR(VLOOKUP($W407,Kamus!$P$3:$Q$14,2,FALSE),"Tidak Teridentifikasi"))</f>
        <v>Relasi Personal / Tidak Teridentifikasi</v>
      </c>
      <c r="AA407" s="106" t="str">
        <f t="shared" si="20"/>
        <v>Relasi Personal / Tidak Teridentifikasi</v>
      </c>
    </row>
    <row r="408" spans="1:27">
      <c r="A408" s="106">
        <v>407</v>
      </c>
      <c r="B408" s="106" t="s">
        <v>2661</v>
      </c>
      <c r="C408" s="107" t="s">
        <v>2662</v>
      </c>
      <c r="D408" s="106" t="s">
        <v>1033</v>
      </c>
      <c r="E408" s="106" t="s">
        <v>2663</v>
      </c>
      <c r="F408" s="106" t="s">
        <v>3099</v>
      </c>
      <c r="G408" s="106" t="s">
        <v>1006</v>
      </c>
      <c r="H408" s="106" t="s">
        <v>2792</v>
      </c>
      <c r="I408" s="106" t="s">
        <v>3100</v>
      </c>
      <c r="J408" s="106">
        <v>76000</v>
      </c>
      <c r="K408" s="106" t="s">
        <v>3101</v>
      </c>
      <c r="L408" s="106" t="s">
        <v>3102</v>
      </c>
      <c r="M408" s="106" t="s">
        <v>1171</v>
      </c>
      <c r="N408" s="106" t="s">
        <v>3103</v>
      </c>
      <c r="O408" s="106" t="s">
        <v>274</v>
      </c>
      <c r="P408" s="106" t="s">
        <v>2668</v>
      </c>
      <c r="Q408" s="106" t="s">
        <v>395</v>
      </c>
      <c r="S408" s="106" t="str" cm="1">
        <f t="array" ref="S408">IF(TRIM($D408)="","(tidak diisi)",IFERROR(INDEX(Kamus!$B$3:$B$28,MATCH(TRUE,ISNUMBER(SEARCH(Kamus!$A$3:$A$28,$D408)),0)),"Jabatan Lainnya"))</f>
        <v>Hakim</v>
      </c>
      <c r="T408" s="106" t="str" cm="1">
        <f t="array" ref="T408">IF(TRIM($I408)="","(tidak diisi)",IFERROR(INDEX(Kamus!$E$3:$E$162,MATCH(TRUE,ISNUMBER(SEARCH(Kamus!$D$3:$D$162,$I408)),0)),"Barang Lain / Tidak Terinci"))</f>
        <v>Makanan &amp; Minuman</v>
      </c>
      <c r="U408" s="106" t="str" cm="1">
        <f t="array" ref="U408">IF(TRIM($I408)="","(tidak diisi)",IFERROR(INDEX(Kamus!$H$3:$H$75,MATCH(TRUE,ISNUMBER(SEARCH(Kamus!$G$3:$G$75,$I408)),0)),"Pemberian Umum / Tanpa Konteks"))</f>
        <v>Jamuan / Konsumsi Rapat &amp; Kegiatan</v>
      </c>
      <c r="V408" s="106" t="str">
        <f t="shared" si="18"/>
        <v>2025</v>
      </c>
      <c r="W408" s="106" t="str" cm="1">
        <f t="array" ref="W408">IF(TRIM($K408)="","(tidak diisi)",IFERROR(INDEX(Kamus!$K$3:$K$118,MATCH(TRUE,ISNUMBER(SEARCH(Kamus!$J$3:$J$118,$K408)),0)),"Individu / Perorangan"))</f>
        <v>Individu / Perorangan</v>
      </c>
      <c r="X408" s="106" t="str">
        <f t="shared" si="19"/>
        <v>06</v>
      </c>
      <c r="Y408" s="106" t="str" cm="1">
        <f t="array" ref="Y408">IFERROR(INDEX(Kamus!$N$3:$N$111,MATCH(TRUE,ISNUMBER(SEARCH(Kamus!$M$3:$M$111,$I408)),0)),"")</f>
        <v>Rapat / Jamuan Dinas</v>
      </c>
      <c r="Z408" s="106" t="str">
        <f>IF(AND(OR($X408="02",$X408="03",$X408="04"),OR($T408="Parsel/Bingkisan (tidak dirinci)",$T408="Makanan &amp; Minuman",$T408="Peralatan Rumah Tangga / Pecah Belah",$T408="Pakaian &amp; Kain")),"Momen Hari Raya (dugaan musiman)",IFERROR(VLOOKUP($W408,Kamus!$P$3:$Q$14,2,FALSE),"Tidak Teridentifikasi"))</f>
        <v>Relasi Personal / Tidak Teridentifikasi</v>
      </c>
      <c r="AA408" s="106" t="str">
        <f t="shared" si="20"/>
        <v>Rapat / Jamuan Dinas</v>
      </c>
    </row>
    <row r="409" spans="1:27">
      <c r="A409" s="106">
        <v>408</v>
      </c>
      <c r="B409" s="106" t="s">
        <v>2661</v>
      </c>
      <c r="C409" s="107" t="s">
        <v>2662</v>
      </c>
      <c r="D409" s="106" t="s">
        <v>1033</v>
      </c>
      <c r="E409" s="106" t="s">
        <v>2663</v>
      </c>
      <c r="F409" s="106" t="s">
        <v>3104</v>
      </c>
      <c r="G409" s="106" t="s">
        <v>1006</v>
      </c>
      <c r="H409" s="106" t="s">
        <v>3084</v>
      </c>
      <c r="I409" s="106" t="s">
        <v>3100</v>
      </c>
      <c r="J409" s="106">
        <v>64000</v>
      </c>
      <c r="K409" s="106" t="s">
        <v>3101</v>
      </c>
      <c r="L409" s="106" t="s">
        <v>3105</v>
      </c>
      <c r="M409" s="106" t="s">
        <v>1171</v>
      </c>
      <c r="N409" s="106" t="s">
        <v>3106</v>
      </c>
      <c r="O409" s="106" t="s">
        <v>274</v>
      </c>
      <c r="P409" s="106" t="s">
        <v>2668</v>
      </c>
      <c r="Q409" s="106" t="s">
        <v>395</v>
      </c>
      <c r="S409" s="106" t="str" cm="1">
        <f t="array" ref="S409">IF(TRIM($D409)="","(tidak diisi)",IFERROR(INDEX(Kamus!$B$3:$B$28,MATCH(TRUE,ISNUMBER(SEARCH(Kamus!$A$3:$A$28,$D409)),0)),"Jabatan Lainnya"))</f>
        <v>Hakim</v>
      </c>
      <c r="T409" s="106" t="str" cm="1">
        <f t="array" ref="T409">IF(TRIM($I409)="","(tidak diisi)",IFERROR(INDEX(Kamus!$E$3:$E$162,MATCH(TRUE,ISNUMBER(SEARCH(Kamus!$D$3:$D$162,$I409)),0)),"Barang Lain / Tidak Terinci"))</f>
        <v>Makanan &amp; Minuman</v>
      </c>
      <c r="U409" s="106" t="str" cm="1">
        <f t="array" ref="U409">IF(TRIM($I409)="","(tidak diisi)",IFERROR(INDEX(Kamus!$H$3:$H$75,MATCH(TRUE,ISNUMBER(SEARCH(Kamus!$G$3:$G$75,$I409)),0)),"Pemberian Umum / Tanpa Konteks"))</f>
        <v>Jamuan / Konsumsi Rapat &amp; Kegiatan</v>
      </c>
      <c r="V409" s="106" t="str">
        <f t="shared" si="18"/>
        <v>2025</v>
      </c>
      <c r="W409" s="106" t="str" cm="1">
        <f t="array" ref="W409">IF(TRIM($K409)="","(tidak diisi)",IFERROR(INDEX(Kamus!$K$3:$K$118,MATCH(TRUE,ISNUMBER(SEARCH(Kamus!$J$3:$J$118,$K409)),0)),"Individu / Perorangan"))</f>
        <v>Individu / Perorangan</v>
      </c>
      <c r="X409" s="106" t="str">
        <f t="shared" si="19"/>
        <v>07</v>
      </c>
      <c r="Y409" s="106" t="str" cm="1">
        <f t="array" ref="Y409">IFERROR(INDEX(Kamus!$N$3:$N$111,MATCH(TRUE,ISNUMBER(SEARCH(Kamus!$M$3:$M$111,$I409)),0)),"")</f>
        <v>Rapat / Jamuan Dinas</v>
      </c>
      <c r="Z409" s="106" t="str">
        <f>IF(AND(OR($X409="02",$X409="03",$X409="04"),OR($T409="Parsel/Bingkisan (tidak dirinci)",$T409="Makanan &amp; Minuman",$T409="Peralatan Rumah Tangga / Pecah Belah",$T409="Pakaian &amp; Kain")),"Momen Hari Raya (dugaan musiman)",IFERROR(VLOOKUP($W409,Kamus!$P$3:$Q$14,2,FALSE),"Tidak Teridentifikasi"))</f>
        <v>Relasi Personal / Tidak Teridentifikasi</v>
      </c>
      <c r="AA409" s="106" t="str">
        <f t="shared" si="20"/>
        <v>Rapat / Jamuan Dinas</v>
      </c>
    </row>
    <row r="410" spans="1:27">
      <c r="A410" s="106">
        <v>409</v>
      </c>
      <c r="B410" s="106" t="s">
        <v>2661</v>
      </c>
      <c r="C410" s="107" t="s">
        <v>2662</v>
      </c>
      <c r="D410" s="106" t="s">
        <v>1033</v>
      </c>
      <c r="E410" s="106" t="s">
        <v>2663</v>
      </c>
      <c r="F410" s="106" t="s">
        <v>3107</v>
      </c>
      <c r="G410" s="106" t="s">
        <v>1006</v>
      </c>
      <c r="H410" s="106" t="s">
        <v>2897</v>
      </c>
      <c r="I410" s="106" t="s">
        <v>3100</v>
      </c>
      <c r="J410" s="106">
        <v>60000</v>
      </c>
      <c r="K410" s="106" t="s">
        <v>3101</v>
      </c>
      <c r="L410" s="106" t="s">
        <v>3108</v>
      </c>
      <c r="M410" s="106" t="s">
        <v>1171</v>
      </c>
      <c r="N410" s="106" t="s">
        <v>3109</v>
      </c>
      <c r="O410" s="106" t="s">
        <v>274</v>
      </c>
      <c r="P410" s="106" t="s">
        <v>2668</v>
      </c>
      <c r="Q410" s="106" t="s">
        <v>395</v>
      </c>
      <c r="S410" s="106" t="str" cm="1">
        <f t="array" ref="S410">IF(TRIM($D410)="","(tidak diisi)",IFERROR(INDEX(Kamus!$B$3:$B$28,MATCH(TRUE,ISNUMBER(SEARCH(Kamus!$A$3:$A$28,$D410)),0)),"Jabatan Lainnya"))</f>
        <v>Hakim</v>
      </c>
      <c r="T410" s="106" t="str" cm="1">
        <f t="array" ref="T410">IF(TRIM($I410)="","(tidak diisi)",IFERROR(INDEX(Kamus!$E$3:$E$162,MATCH(TRUE,ISNUMBER(SEARCH(Kamus!$D$3:$D$162,$I410)),0)),"Barang Lain / Tidak Terinci"))</f>
        <v>Makanan &amp; Minuman</v>
      </c>
      <c r="U410" s="106" t="str" cm="1">
        <f t="array" ref="U410">IF(TRIM($I410)="","(tidak diisi)",IFERROR(INDEX(Kamus!$H$3:$H$75,MATCH(TRUE,ISNUMBER(SEARCH(Kamus!$G$3:$G$75,$I410)),0)),"Pemberian Umum / Tanpa Konteks"))</f>
        <v>Jamuan / Konsumsi Rapat &amp; Kegiatan</v>
      </c>
      <c r="V410" s="106" t="str">
        <f t="shared" si="18"/>
        <v>2025</v>
      </c>
      <c r="W410" s="106" t="str" cm="1">
        <f t="array" ref="W410">IF(TRIM($K410)="","(tidak diisi)",IFERROR(INDEX(Kamus!$K$3:$K$118,MATCH(TRUE,ISNUMBER(SEARCH(Kamus!$J$3:$J$118,$K410)),0)),"Individu / Perorangan"))</f>
        <v>Individu / Perorangan</v>
      </c>
      <c r="X410" s="106" t="str">
        <f t="shared" si="19"/>
        <v>07</v>
      </c>
      <c r="Y410" s="106" t="str" cm="1">
        <f t="array" ref="Y410">IFERROR(INDEX(Kamus!$N$3:$N$111,MATCH(TRUE,ISNUMBER(SEARCH(Kamus!$M$3:$M$111,$I410)),0)),"")</f>
        <v>Rapat / Jamuan Dinas</v>
      </c>
      <c r="Z410" s="106" t="str">
        <f>IF(AND(OR($X410="02",$X410="03",$X410="04"),OR($T410="Parsel/Bingkisan (tidak dirinci)",$T410="Makanan &amp; Minuman",$T410="Peralatan Rumah Tangga / Pecah Belah",$T410="Pakaian &amp; Kain")),"Momen Hari Raya (dugaan musiman)",IFERROR(VLOOKUP($W410,Kamus!$P$3:$Q$14,2,FALSE),"Tidak Teridentifikasi"))</f>
        <v>Relasi Personal / Tidak Teridentifikasi</v>
      </c>
      <c r="AA410" s="106" t="str">
        <f t="shared" si="20"/>
        <v>Rapat / Jamuan Dinas</v>
      </c>
    </row>
    <row r="411" spans="1:27">
      <c r="A411" s="106">
        <v>410</v>
      </c>
      <c r="B411" s="106" t="s">
        <v>2661</v>
      </c>
      <c r="C411" s="107" t="s">
        <v>2662</v>
      </c>
      <c r="D411" s="106" t="s">
        <v>1033</v>
      </c>
      <c r="E411" s="106" t="s">
        <v>2663</v>
      </c>
      <c r="F411" s="106" t="s">
        <v>3110</v>
      </c>
      <c r="G411" s="106" t="s">
        <v>1006</v>
      </c>
      <c r="H411" s="106" t="s">
        <v>3111</v>
      </c>
      <c r="I411" s="106" t="s">
        <v>3112</v>
      </c>
      <c r="J411" s="106">
        <v>60000</v>
      </c>
      <c r="K411" s="106" t="s">
        <v>3113</v>
      </c>
      <c r="L411" s="106" t="s">
        <v>3114</v>
      </c>
      <c r="M411" s="106" t="s">
        <v>1020</v>
      </c>
      <c r="O411" s="106" t="s">
        <v>274</v>
      </c>
      <c r="P411" s="106" t="s">
        <v>2668</v>
      </c>
      <c r="Q411" s="106" t="s">
        <v>395</v>
      </c>
      <c r="S411" s="106" t="str" cm="1">
        <f t="array" ref="S411">IF(TRIM($D411)="","(tidak diisi)",IFERROR(INDEX(Kamus!$B$3:$B$28,MATCH(TRUE,ISNUMBER(SEARCH(Kamus!$A$3:$A$28,$D411)),0)),"Jabatan Lainnya"))</f>
        <v>Hakim</v>
      </c>
      <c r="T411" s="106" t="str" cm="1">
        <f t="array" ref="T411">IF(TRIM($I411)="","(tidak diisi)",IFERROR(INDEX(Kamus!$E$3:$E$162,MATCH(TRUE,ISNUMBER(SEARCH(Kamus!$D$3:$D$162,$I411)),0)),"Barang Lain / Tidak Terinci"))</f>
        <v>Suvenir &amp; Merchandise</v>
      </c>
      <c r="U411" s="106" t="str" cm="1">
        <f t="array" ref="U411">IF(TRIM($I411)="","(tidak diisi)",IFERROR(INDEX(Kamus!$H$3:$H$75,MATCH(TRUE,ISNUMBER(SEARCH(Kamus!$G$3:$G$75,$I411)),0)),"Pemberian Umum / Tanpa Konteks"))</f>
        <v>Pemberian Umum / Tanpa Konteks</v>
      </c>
      <c r="V411" s="106" t="str">
        <f t="shared" si="18"/>
        <v>2025</v>
      </c>
      <c r="W411" s="106" t="str" cm="1">
        <f t="array" ref="W411">IF(TRIM($K411)="","(tidak diisi)",IFERROR(INDEX(Kamus!$K$3:$K$118,MATCH(TRUE,ISNUMBER(SEARCH(Kamus!$J$3:$J$118,$K411)),0)),"Individu / Perorangan"))</f>
        <v>Internal Peradilan / Instansi Sendiri</v>
      </c>
      <c r="X411" s="106" t="str">
        <f t="shared" si="19"/>
        <v>07</v>
      </c>
      <c r="Y411" s="106" t="str" cm="1">
        <f t="array" ref="Y411">IFERROR(INDEX(Kamus!$N$3:$N$111,MATCH(TRUE,ISNUMBER(SEARCH(Kamus!$M$3:$M$111,$I411)),0)),"")</f>
        <v/>
      </c>
      <c r="Z411" s="106" t="str">
        <f>IF(AND(OR($X411="02",$X411="03",$X411="04"),OR($T411="Parsel/Bingkisan (tidak dirinci)",$T411="Makanan &amp; Minuman",$T411="Peralatan Rumah Tangga / Pecah Belah",$T411="Pakaian &amp; Kain")),"Momen Hari Raya (dugaan musiman)",IFERROR(VLOOKUP($W411,Kamus!$P$3:$Q$14,2,FALSE),"Tidak Teridentifikasi"))</f>
        <v>Kunjungan/Koordinasi Internal Peradilan (dugaan)</v>
      </c>
      <c r="AA411" s="106" t="str">
        <f t="shared" si="20"/>
        <v>Kunjungan/Koordinasi Internal Peradilan (dugaan)</v>
      </c>
    </row>
    <row r="412" spans="1:27">
      <c r="A412" s="106">
        <v>411</v>
      </c>
      <c r="B412" s="106" t="s">
        <v>2249</v>
      </c>
      <c r="C412" s="107" t="s">
        <v>2250</v>
      </c>
      <c r="D412" s="106" t="s">
        <v>2251</v>
      </c>
      <c r="E412" s="106" t="s">
        <v>1294</v>
      </c>
      <c r="F412" s="106" t="s">
        <v>3115</v>
      </c>
      <c r="G412" s="106" t="s">
        <v>1006</v>
      </c>
      <c r="H412" s="106" t="s">
        <v>3116</v>
      </c>
      <c r="I412" s="106" t="s">
        <v>1867</v>
      </c>
      <c r="K412" s="106" t="s">
        <v>3117</v>
      </c>
      <c r="L412" s="106" t="s">
        <v>3118</v>
      </c>
      <c r="O412" s="106" t="s">
        <v>274</v>
      </c>
      <c r="P412" s="106" t="s">
        <v>1298</v>
      </c>
      <c r="Q412" s="106" t="s">
        <v>428</v>
      </c>
      <c r="S412" s="106" t="str" cm="1">
        <f t="array" ref="S412">IF(TRIM($D412)="","(tidak diisi)",IFERROR(INDEX(Kamus!$B$3:$B$28,MATCH(TRUE,ISNUMBER(SEARCH(Kamus!$A$3:$A$28,$D412)),0)),"Jabatan Lainnya"))</f>
        <v>Wakil Ketua Pengadilan</v>
      </c>
      <c r="T412" s="106" t="str" cm="1">
        <f t="array" ref="T412">IF(TRIM($I412)="","(tidak diisi)",IFERROR(INDEX(Kamus!$E$3:$E$162,MATCH(TRUE,ISNUMBER(SEARCH(Kamus!$D$3:$D$162,$I412)),0)),"Barang Lain / Tidak Terinci"))</f>
        <v>Makanan &amp; Minuman</v>
      </c>
      <c r="U412" s="106" t="str" cm="1">
        <f t="array" ref="U412">IF(TRIM($I412)="","(tidak diisi)",IFERROR(INDEX(Kamus!$H$3:$H$75,MATCH(TRUE,ISNUMBER(SEARCH(Kamus!$G$3:$G$75,$I412)),0)),"Pemberian Umum / Tanpa Konteks"))</f>
        <v>Pemberian Umum / Tanpa Konteks</v>
      </c>
      <c r="V412" s="106" t="str">
        <f t="shared" si="18"/>
        <v>2025</v>
      </c>
      <c r="W412" s="106" t="str" cm="1">
        <f t="array" ref="W412">IF(TRIM($K412)="","(tidak diisi)",IFERROR(INDEX(Kamus!$K$3:$K$118,MATCH(TRUE,ISNUMBER(SEARCH(Kamus!$J$3:$J$118,$K412)),0)),"Individu / Perorangan"))</f>
        <v>Individu / Perorangan</v>
      </c>
      <c r="X412" s="106" t="str">
        <f t="shared" si="19"/>
        <v>07</v>
      </c>
      <c r="Y412" s="106" t="str" cm="1">
        <f t="array" ref="Y412">IFERROR(INDEX(Kamus!$N$3:$N$111,MATCH(TRUE,ISNUMBER(SEARCH(Kamus!$M$3:$M$111,$I412)),0)),"")</f>
        <v/>
      </c>
      <c r="Z412" s="106" t="str">
        <f>IF(AND(OR($X412="02",$X412="03",$X412="04"),OR($T412="Parsel/Bingkisan (tidak dirinci)",$T412="Makanan &amp; Minuman",$T412="Peralatan Rumah Tangga / Pecah Belah",$T412="Pakaian &amp; Kain")),"Momen Hari Raya (dugaan musiman)",IFERROR(VLOOKUP($W412,Kamus!$P$3:$Q$14,2,FALSE),"Tidak Teridentifikasi"))</f>
        <v>Relasi Personal / Tidak Teridentifikasi</v>
      </c>
      <c r="AA412" s="106" t="str">
        <f t="shared" si="20"/>
        <v>Relasi Personal / Tidak Teridentifikasi</v>
      </c>
    </row>
    <row r="413" spans="1:27">
      <c r="A413" s="106">
        <v>412</v>
      </c>
      <c r="B413" s="106" t="s">
        <v>2249</v>
      </c>
      <c r="C413" s="107" t="s">
        <v>2250</v>
      </c>
      <c r="D413" s="106" t="s">
        <v>2251</v>
      </c>
      <c r="E413" s="106" t="s">
        <v>1294</v>
      </c>
      <c r="F413" s="106" t="s">
        <v>3119</v>
      </c>
      <c r="G413" s="106" t="s">
        <v>1006</v>
      </c>
      <c r="H413" s="106" t="s">
        <v>3116</v>
      </c>
      <c r="I413" s="106" t="s">
        <v>1398</v>
      </c>
      <c r="K413" s="106" t="s">
        <v>3120</v>
      </c>
      <c r="L413" s="106" t="s">
        <v>3121</v>
      </c>
      <c r="O413" s="106" t="s">
        <v>274</v>
      </c>
      <c r="P413" s="106" t="s">
        <v>1298</v>
      </c>
      <c r="Q413" s="106" t="s">
        <v>428</v>
      </c>
      <c r="S413" s="106" t="str" cm="1">
        <f t="array" ref="S413">IF(TRIM($D413)="","(tidak diisi)",IFERROR(INDEX(Kamus!$B$3:$B$28,MATCH(TRUE,ISNUMBER(SEARCH(Kamus!$A$3:$A$28,$D413)),0)),"Jabatan Lainnya"))</f>
        <v>Wakil Ketua Pengadilan</v>
      </c>
      <c r="T413" s="106" t="str" cm="1">
        <f t="array" ref="T413">IF(TRIM($I413)="","(tidak diisi)",IFERROR(INDEX(Kamus!$E$3:$E$162,MATCH(TRUE,ISNUMBER(SEARCH(Kamus!$D$3:$D$162,$I413)),0)),"Barang Lain / Tidak Terinci"))</f>
        <v>Suvenir &amp; Merchandise</v>
      </c>
      <c r="U413" s="106" t="str" cm="1">
        <f t="array" ref="U413">IF(TRIM($I413)="","(tidak diisi)",IFERROR(INDEX(Kamus!$H$3:$H$75,MATCH(TRUE,ISNUMBER(SEARCH(Kamus!$G$3:$G$75,$I413)),0)),"Pemberian Umum / Tanpa Konteks"))</f>
        <v>Suvenir / Merchandise Kegiatan &amp; Kunjungan</v>
      </c>
      <c r="V413" s="106" t="str">
        <f t="shared" si="18"/>
        <v>2025</v>
      </c>
      <c r="W413" s="106" t="str" cm="1">
        <f t="array" ref="W413">IF(TRIM($K413)="","(tidak diisi)",IFERROR(INDEX(Kamus!$K$3:$K$118,MATCH(TRUE,ISNUMBER(SEARCH(Kamus!$J$3:$J$118,$K413)),0)),"Individu / Perorangan"))</f>
        <v>Individu / Perorangan</v>
      </c>
      <c r="X413" s="106" t="str">
        <f t="shared" si="19"/>
        <v>07</v>
      </c>
      <c r="Y413" s="106" t="str" cm="1">
        <f t="array" ref="Y413">IFERROR(INDEX(Kamus!$N$3:$N$111,MATCH(TRUE,ISNUMBER(SEARCH(Kamus!$M$3:$M$111,$I413)),0)),"")</f>
        <v/>
      </c>
      <c r="Z413" s="106" t="str">
        <f>IF(AND(OR($X413="02",$X413="03",$X413="04"),OR($T413="Parsel/Bingkisan (tidak dirinci)",$T413="Makanan &amp; Minuman",$T413="Peralatan Rumah Tangga / Pecah Belah",$T413="Pakaian &amp; Kain")),"Momen Hari Raya (dugaan musiman)",IFERROR(VLOOKUP($W413,Kamus!$P$3:$Q$14,2,FALSE),"Tidak Teridentifikasi"))</f>
        <v>Relasi Personal / Tidak Teridentifikasi</v>
      </c>
      <c r="AA413" s="106" t="str">
        <f t="shared" si="20"/>
        <v>Relasi Personal / Tidak Teridentifikasi</v>
      </c>
    </row>
    <row r="414" spans="1:27">
      <c r="A414" s="106">
        <v>413</v>
      </c>
      <c r="B414" s="106" t="s">
        <v>1088</v>
      </c>
      <c r="C414" s="107" t="s">
        <v>1089</v>
      </c>
      <c r="D414" s="106" t="s">
        <v>1033</v>
      </c>
      <c r="E414" s="106" t="s">
        <v>1090</v>
      </c>
      <c r="F414" s="106" t="s">
        <v>3122</v>
      </c>
      <c r="G414" s="106" t="s">
        <v>1006</v>
      </c>
      <c r="H414" s="106" t="s">
        <v>3123</v>
      </c>
      <c r="I414" s="106" t="s">
        <v>3124</v>
      </c>
      <c r="J414" s="106">
        <v>283516</v>
      </c>
      <c r="K414" s="106" t="s">
        <v>3125</v>
      </c>
      <c r="L414" s="106" t="s">
        <v>3126</v>
      </c>
      <c r="M414" s="106" t="s">
        <v>1110</v>
      </c>
      <c r="N414" s="106" t="s">
        <v>3127</v>
      </c>
      <c r="O414" s="106" t="s">
        <v>274</v>
      </c>
      <c r="P414" s="106" t="s">
        <v>1095</v>
      </c>
      <c r="Q414" s="106" t="s">
        <v>348</v>
      </c>
      <c r="S414" s="106" t="str" cm="1">
        <f t="array" ref="S414">IF(TRIM($D414)="","(tidak diisi)",IFERROR(INDEX(Kamus!$B$3:$B$28,MATCH(TRUE,ISNUMBER(SEARCH(Kamus!$A$3:$A$28,$D414)),0)),"Jabatan Lainnya"))</f>
        <v>Hakim</v>
      </c>
      <c r="T414" s="106" t="str" cm="1">
        <f t="array" ref="T414">IF(TRIM($I414)="","(tidak diisi)",IFERROR(INDEX(Kamus!$E$3:$E$162,MATCH(TRUE,ISNUMBER(SEARCH(Kamus!$D$3:$D$162,$I414)),0)),"Barang Lain / Tidak Terinci"))</f>
        <v>Buku &amp; Publikasi</v>
      </c>
      <c r="U414" s="106" t="str" cm="1">
        <f t="array" ref="U414">IF(TRIM($I414)="","(tidak diisi)",IFERROR(INDEX(Kamus!$H$3:$H$75,MATCH(TRUE,ISNUMBER(SEARCH(Kamus!$G$3:$G$75,$I414)),0)),"Pemberian Umum / Tanpa Konteks"))</f>
        <v>Pemberian Umum / Tanpa Konteks</v>
      </c>
      <c r="V414" s="106" t="str">
        <f t="shared" si="18"/>
        <v>2025</v>
      </c>
      <c r="W414" s="106" t="str" cm="1">
        <f t="array" ref="W414">IF(TRIM($K414)="","(tidak diisi)",IFERROR(INDEX(Kamus!$K$3:$K$118,MATCH(TRUE,ISNUMBER(SEARCH(Kamus!$J$3:$J$118,$K414)),0)),"Individu / Perorangan"))</f>
        <v>Organisasi / Panitia Kegiatan</v>
      </c>
      <c r="X414" s="106" t="str">
        <f t="shared" si="19"/>
        <v>07</v>
      </c>
      <c r="Y414" s="106" t="str" cm="1">
        <f t="array" ref="Y414">IFERROR(INDEX(Kamus!$N$3:$N$111,MATCH(TRUE,ISNUMBER(SEARCH(Kamus!$M$3:$M$111,$I414)),0)),"")</f>
        <v/>
      </c>
      <c r="Z414" s="106" t="str">
        <f>IF(AND(OR($X414="02",$X414="03",$X414="04"),OR($T414="Parsel/Bingkisan (tidak dirinci)",$T414="Makanan &amp; Minuman",$T414="Peralatan Rumah Tangga / Pecah Belah",$T414="Pakaian &amp; Kain")),"Momen Hari Raya (dugaan musiman)",IFERROR(VLOOKUP($W414,Kamus!$P$3:$Q$14,2,FALSE),"Tidak Teridentifikasi"))</f>
        <v>Kegiatan Organisasi/Panitia (dugaan)</v>
      </c>
      <c r="AA414" s="106" t="str">
        <f t="shared" si="20"/>
        <v>Kegiatan Organisasi/Panitia (dugaan)</v>
      </c>
    </row>
    <row r="415" spans="1:27">
      <c r="A415" s="106">
        <v>414</v>
      </c>
      <c r="B415" s="106" t="s">
        <v>1823</v>
      </c>
      <c r="C415" s="107" t="s">
        <v>1824</v>
      </c>
      <c r="D415" s="106" t="s">
        <v>1033</v>
      </c>
      <c r="E415" s="106" t="s">
        <v>1825</v>
      </c>
      <c r="F415" s="106" t="s">
        <v>3128</v>
      </c>
      <c r="G415" s="106" t="s">
        <v>1006</v>
      </c>
      <c r="H415" s="106" t="s">
        <v>3129</v>
      </c>
      <c r="I415" s="106" t="s">
        <v>3130</v>
      </c>
      <c r="J415" s="106">
        <v>100000</v>
      </c>
      <c r="K415" s="106" t="s">
        <v>3131</v>
      </c>
      <c r="L415" s="106" t="s">
        <v>3132</v>
      </c>
      <c r="M415" s="106" t="s">
        <v>1171</v>
      </c>
      <c r="N415" s="106" t="s">
        <v>3133</v>
      </c>
      <c r="O415" s="106" t="s">
        <v>274</v>
      </c>
      <c r="P415" s="106" t="s">
        <v>1831</v>
      </c>
      <c r="Q415" s="106" t="s">
        <v>313</v>
      </c>
      <c r="S415" s="106" t="str" cm="1">
        <f t="array" ref="S415">IF(TRIM($D415)="","(tidak diisi)",IFERROR(INDEX(Kamus!$B$3:$B$28,MATCH(TRUE,ISNUMBER(SEARCH(Kamus!$A$3:$A$28,$D415)),0)),"Jabatan Lainnya"))</f>
        <v>Hakim</v>
      </c>
      <c r="T415" s="106" t="str" cm="1">
        <f t="array" ref="T415">IF(TRIM($I415)="","(tidak diisi)",IFERROR(INDEX(Kamus!$E$3:$E$162,MATCH(TRUE,ISNUMBER(SEARCH(Kamus!$D$3:$D$162,$I415)),0)),"Barang Lain / Tidak Terinci"))</f>
        <v>Suvenir &amp; Merchandise</v>
      </c>
      <c r="U415" s="106" t="str" cm="1">
        <f t="array" ref="U415">IF(TRIM($I415)="","(tidak diisi)",IFERROR(INDEX(Kamus!$H$3:$H$75,MATCH(TRUE,ISNUMBER(SEARCH(Kamus!$G$3:$G$75,$I415)),0)),"Pemberian Umum / Tanpa Konteks"))</f>
        <v>Pemberian Umum / Tanpa Konteks</v>
      </c>
      <c r="V415" s="106" t="str">
        <f t="shared" si="18"/>
        <v>2025</v>
      </c>
      <c r="W415" s="106" t="str" cm="1">
        <f t="array" ref="W415">IF(TRIM($K415)="","(tidak diisi)",IFERROR(INDEX(Kamus!$K$3:$K$118,MATCH(TRUE,ISNUMBER(SEARCH(Kamus!$J$3:$J$118,$K415)),0)),"Individu / Perorangan"))</f>
        <v>Individu / Perorangan</v>
      </c>
      <c r="X415" s="106" t="str">
        <f t="shared" si="19"/>
        <v>07</v>
      </c>
      <c r="Y415" s="106" t="str" cm="1">
        <f t="array" ref="Y415">IFERROR(INDEX(Kamus!$N$3:$N$111,MATCH(TRUE,ISNUMBER(SEARCH(Kamus!$M$3:$M$111,$I415)),0)),"")</f>
        <v/>
      </c>
      <c r="Z415" s="106" t="str">
        <f>IF(AND(OR($X415="02",$X415="03",$X415="04"),OR($T415="Parsel/Bingkisan (tidak dirinci)",$T415="Makanan &amp; Minuman",$T415="Peralatan Rumah Tangga / Pecah Belah",$T415="Pakaian &amp; Kain")),"Momen Hari Raya (dugaan musiman)",IFERROR(VLOOKUP($W415,Kamus!$P$3:$Q$14,2,FALSE),"Tidak Teridentifikasi"))</f>
        <v>Relasi Personal / Tidak Teridentifikasi</v>
      </c>
      <c r="AA415" s="106" t="str">
        <f t="shared" si="20"/>
        <v>Relasi Personal / Tidak Teridentifikasi</v>
      </c>
    </row>
    <row r="416" spans="1:27">
      <c r="A416" s="106">
        <v>415</v>
      </c>
      <c r="B416" s="106" t="s">
        <v>1850</v>
      </c>
      <c r="C416" s="107" t="s">
        <v>1851</v>
      </c>
      <c r="D416" s="106" t="s">
        <v>1319</v>
      </c>
      <c r="E416" s="106" t="s">
        <v>1025</v>
      </c>
      <c r="F416" s="106" t="s">
        <v>3134</v>
      </c>
      <c r="G416" s="106" t="s">
        <v>1006</v>
      </c>
      <c r="H416" s="106" t="s">
        <v>3135</v>
      </c>
      <c r="I416" s="106" t="s">
        <v>3136</v>
      </c>
      <c r="J416" s="106">
        <v>52000</v>
      </c>
      <c r="K416" s="106" t="s">
        <v>3137</v>
      </c>
      <c r="L416" s="106" t="s">
        <v>3138</v>
      </c>
      <c r="M416" s="106" t="s">
        <v>1360</v>
      </c>
      <c r="O416" s="106" t="s">
        <v>274</v>
      </c>
      <c r="P416" s="106" t="s">
        <v>561</v>
      </c>
      <c r="Q416" s="106" t="s">
        <v>428</v>
      </c>
      <c r="S416" s="106" t="str" cm="1">
        <f t="array" ref="S416">IF(TRIM($D416)="","(tidak diisi)",IFERROR(INDEX(Kamus!$B$3:$B$28,MATCH(TRUE,ISNUMBER(SEARCH(Kamus!$A$3:$A$28,$D416)),0)),"Jabatan Lainnya"))</f>
        <v>Wakil Ketua Pengadilan</v>
      </c>
      <c r="T416" s="106" t="str" cm="1">
        <f t="array" ref="T416">IF(TRIM($I416)="","(tidak diisi)",IFERROR(INDEX(Kamus!$E$3:$E$162,MATCH(TRUE,ISNUMBER(SEARCH(Kamus!$D$3:$D$162,$I416)),0)),"Barang Lain / Tidak Terinci"))</f>
        <v>Makanan &amp; Minuman</v>
      </c>
      <c r="U416" s="106" t="str" cm="1">
        <f t="array" ref="U416">IF(TRIM($I416)="","(tidak diisi)",IFERROR(INDEX(Kamus!$H$3:$H$75,MATCH(TRUE,ISNUMBER(SEARCH(Kamus!$G$3:$G$75,$I416)),0)),"Pemberian Umum / Tanpa Konteks"))</f>
        <v>Pemberian Umum / Tanpa Konteks</v>
      </c>
      <c r="V416" s="106" t="str">
        <f t="shared" si="18"/>
        <v>2025</v>
      </c>
      <c r="W416" s="106" t="str" cm="1">
        <f t="array" ref="W416">IF(TRIM($K416)="","(tidak diisi)",IFERROR(INDEX(Kamus!$K$3:$K$118,MATCH(TRUE,ISNUMBER(SEARCH(Kamus!$J$3:$J$118,$K416)),0)),"Individu / Perorangan"))</f>
        <v>Individu / Perorangan</v>
      </c>
      <c r="X416" s="106" t="str">
        <f t="shared" si="19"/>
        <v>08</v>
      </c>
      <c r="Y416" s="106" t="str" cm="1">
        <f t="array" ref="Y416">IFERROR(INDEX(Kamus!$N$3:$N$111,MATCH(TRUE,ISNUMBER(SEARCH(Kamus!$M$3:$M$111,$I416)),0)),"")</f>
        <v/>
      </c>
      <c r="Z416" s="106" t="str">
        <f>IF(AND(OR($X416="02",$X416="03",$X416="04"),OR($T416="Parsel/Bingkisan (tidak dirinci)",$T416="Makanan &amp; Minuman",$T416="Peralatan Rumah Tangga / Pecah Belah",$T416="Pakaian &amp; Kain")),"Momen Hari Raya (dugaan musiman)",IFERROR(VLOOKUP($W416,Kamus!$P$3:$Q$14,2,FALSE),"Tidak Teridentifikasi"))</f>
        <v>Relasi Personal / Tidak Teridentifikasi</v>
      </c>
      <c r="AA416" s="106" t="str">
        <f t="shared" si="20"/>
        <v>Relasi Personal / Tidak Teridentifikasi</v>
      </c>
    </row>
    <row r="417" spans="1:27">
      <c r="A417" s="106">
        <v>416</v>
      </c>
      <c r="B417" s="106" t="s">
        <v>1727</v>
      </c>
      <c r="C417" s="107" t="s">
        <v>1728</v>
      </c>
      <c r="D417" s="106" t="s">
        <v>1144</v>
      </c>
      <c r="E417" s="106" t="s">
        <v>2733</v>
      </c>
      <c r="F417" s="106" t="s">
        <v>3139</v>
      </c>
      <c r="G417" s="106" t="s">
        <v>1006</v>
      </c>
      <c r="H417" s="106" t="s">
        <v>3059</v>
      </c>
      <c r="I417" s="106" t="s">
        <v>3140</v>
      </c>
      <c r="J417" s="106">
        <v>245000</v>
      </c>
      <c r="K417" s="106" t="s">
        <v>3141</v>
      </c>
      <c r="L417" s="106" t="s">
        <v>3142</v>
      </c>
      <c r="M417" s="106" t="s">
        <v>1171</v>
      </c>
      <c r="N417" s="106" t="s">
        <v>3143</v>
      </c>
      <c r="O417" s="106" t="s">
        <v>274</v>
      </c>
      <c r="Q417" s="106" t="s">
        <v>447</v>
      </c>
      <c r="S417" s="106" t="str" cm="1">
        <f t="array" ref="S417">IF(TRIM($D417)="","(tidak diisi)",IFERROR(INDEX(Kamus!$B$3:$B$28,MATCH(TRUE,ISNUMBER(SEARCH(Kamus!$A$3:$A$28,$D417)),0)),"Jabatan Lainnya"))</f>
        <v>Ketua Pengadilan</v>
      </c>
      <c r="T417" s="106" t="str" cm="1">
        <f t="array" ref="T417">IF(TRIM($I417)="","(tidak diisi)",IFERROR(INDEX(Kamus!$E$3:$E$162,MATCH(TRUE,ISNUMBER(SEARCH(Kamus!$D$3:$D$162,$I417)),0)),"Barang Lain / Tidak Terinci"))</f>
        <v>Buku &amp; Publikasi</v>
      </c>
      <c r="U417" s="106" t="str" cm="1">
        <f t="array" ref="U417">IF(TRIM($I417)="","(tidak diisi)",IFERROR(INDEX(Kamus!$H$3:$H$75,MATCH(TRUE,ISNUMBER(SEARCH(Kamus!$G$3:$G$75,$I417)),0)),"Pemberian Umum / Tanpa Konteks"))</f>
        <v>Pemberian Umum / Tanpa Konteks</v>
      </c>
      <c r="V417" s="106" t="str">
        <f t="shared" si="18"/>
        <v>2025</v>
      </c>
      <c r="W417" s="106" t="str" cm="1">
        <f t="array" ref="W417">IF(TRIM($K417)="","(tidak diisi)",IFERROR(INDEX(Kamus!$K$3:$K$118,MATCH(TRUE,ISNUMBER(SEARCH(Kamus!$J$3:$J$118,$K417)),0)),"Individu / Perorangan"))</f>
        <v>Perusahaan / Vendor</v>
      </c>
      <c r="X417" s="106" t="str">
        <f t="shared" si="19"/>
        <v>07</v>
      </c>
      <c r="Y417" s="106" t="str" cm="1">
        <f t="array" ref="Y417">IFERROR(INDEX(Kamus!$N$3:$N$111,MATCH(TRUE,ISNUMBER(SEARCH(Kamus!$M$3:$M$111,$I417)),0)),"")</f>
        <v/>
      </c>
      <c r="Z417" s="106" t="str">
        <f>IF(AND(OR($X417="02",$X417="03",$X417="04"),OR($T417="Parsel/Bingkisan (tidak dirinci)",$T417="Makanan &amp; Minuman",$T417="Peralatan Rumah Tangga / Pecah Belah",$T417="Pakaian &amp; Kain")),"Momen Hari Raya (dugaan musiman)",IFERROR(VLOOKUP($W417,Kamus!$P$3:$Q$14,2,FALSE),"Tidak Teridentifikasi"))</f>
        <v>Relasi Vendor/Pengadaan (dugaan)</v>
      </c>
      <c r="AA417" s="106" t="str">
        <f t="shared" si="20"/>
        <v>Relasi Vendor/Pengadaan (dugaan)</v>
      </c>
    </row>
    <row r="418" spans="1:27">
      <c r="A418" s="106">
        <v>417</v>
      </c>
      <c r="B418" s="106" t="s">
        <v>3144</v>
      </c>
      <c r="C418" s="107" t="s">
        <v>3145</v>
      </c>
      <c r="D418" s="106" t="s">
        <v>3146</v>
      </c>
      <c r="E418" s="106" t="s">
        <v>3147</v>
      </c>
      <c r="F418" s="106" t="s">
        <v>3148</v>
      </c>
      <c r="G418" s="106" t="s">
        <v>1006</v>
      </c>
      <c r="H418" s="106" t="s">
        <v>3084</v>
      </c>
      <c r="I418" s="106" t="s">
        <v>3149</v>
      </c>
      <c r="J418" s="106">
        <v>50000</v>
      </c>
      <c r="K418" s="106" t="s">
        <v>3150</v>
      </c>
      <c r="L418" s="106" t="s">
        <v>3151</v>
      </c>
      <c r="M418" s="106" t="s">
        <v>1020</v>
      </c>
      <c r="N418" s="106" t="s">
        <v>3152</v>
      </c>
      <c r="O418" s="106" t="s">
        <v>274</v>
      </c>
      <c r="P418" s="106" t="s">
        <v>1103</v>
      </c>
      <c r="Q418" s="106" t="s">
        <v>314</v>
      </c>
      <c r="S418" s="106" t="str" cm="1">
        <f t="array" ref="S418">IF(TRIM($D418)="","(tidak diisi)",IFERROR(INDEX(Kamus!$B$3:$B$28,MATCH(TRUE,ISNUMBER(SEARCH(Kamus!$A$3:$A$28,$D418)),0)),"Jabatan Lainnya"))</f>
        <v>Hakim</v>
      </c>
      <c r="T418" s="106" t="str" cm="1">
        <f t="array" ref="T418">IF(TRIM($I418)="","(tidak diisi)",IFERROR(INDEX(Kamus!$E$3:$E$162,MATCH(TRUE,ISNUMBER(SEARCH(Kamus!$D$3:$D$162,$I418)),0)),"Barang Lain / Tidak Terinci"))</f>
        <v>Pakaian &amp; Kain</v>
      </c>
      <c r="U418" s="106" t="str" cm="1">
        <f t="array" ref="U418">IF(TRIM($I418)="","(tidak diisi)",IFERROR(INDEX(Kamus!$H$3:$H$75,MATCH(TRUE,ISNUMBER(SEARCH(Kamus!$G$3:$G$75,$I418)),0)),"Pemberian Umum / Tanpa Konteks"))</f>
        <v>Pemberian Umum / Tanpa Konteks</v>
      </c>
      <c r="V418" s="106" t="str">
        <f t="shared" si="18"/>
        <v>2025</v>
      </c>
      <c r="W418" s="106" t="str" cm="1">
        <f t="array" ref="W418">IF(TRIM($K418)="","(tidak diisi)",IFERROR(INDEX(Kamus!$K$3:$K$118,MATCH(TRUE,ISNUMBER(SEARCH(Kamus!$J$3:$J$118,$K418)),0)),"Individu / Perorangan"))</f>
        <v>Individu / Perorangan</v>
      </c>
      <c r="X418" s="106" t="str">
        <f t="shared" si="19"/>
        <v>07</v>
      </c>
      <c r="Y418" s="106" t="str" cm="1">
        <f t="array" ref="Y418">IFERROR(INDEX(Kamus!$N$3:$N$111,MATCH(TRUE,ISNUMBER(SEARCH(Kamus!$M$3:$M$111,$I418)),0)),"")</f>
        <v/>
      </c>
      <c r="Z418" s="106" t="str">
        <f>IF(AND(OR($X418="02",$X418="03",$X418="04"),OR($T418="Parsel/Bingkisan (tidak dirinci)",$T418="Makanan &amp; Minuman",$T418="Peralatan Rumah Tangga / Pecah Belah",$T418="Pakaian &amp; Kain")),"Momen Hari Raya (dugaan musiman)",IFERROR(VLOOKUP($W418,Kamus!$P$3:$Q$14,2,FALSE),"Tidak Teridentifikasi"))</f>
        <v>Relasi Personal / Tidak Teridentifikasi</v>
      </c>
      <c r="AA418" s="106" t="str">
        <f t="shared" si="20"/>
        <v>Relasi Personal / Tidak Teridentifikasi</v>
      </c>
    </row>
    <row r="419" spans="1:27">
      <c r="A419" s="106">
        <v>418</v>
      </c>
      <c r="B419" s="106" t="s">
        <v>3144</v>
      </c>
      <c r="C419" s="107" t="s">
        <v>3145</v>
      </c>
      <c r="D419" s="106" t="s">
        <v>3146</v>
      </c>
      <c r="E419" s="106" t="s">
        <v>3147</v>
      </c>
      <c r="F419" s="106" t="s">
        <v>3148</v>
      </c>
      <c r="G419" s="106" t="s">
        <v>1006</v>
      </c>
      <c r="H419" s="106" t="s">
        <v>3084</v>
      </c>
      <c r="I419" s="106" t="s">
        <v>3153</v>
      </c>
      <c r="J419" s="106">
        <v>14000</v>
      </c>
      <c r="K419" s="106" t="s">
        <v>3154</v>
      </c>
      <c r="L419" s="106" t="s">
        <v>3151</v>
      </c>
      <c r="M419" s="106" t="s">
        <v>1110</v>
      </c>
      <c r="N419" s="106" t="s">
        <v>3152</v>
      </c>
      <c r="O419" s="106" t="s">
        <v>274</v>
      </c>
      <c r="P419" s="106" t="s">
        <v>1103</v>
      </c>
      <c r="Q419" s="106" t="s">
        <v>314</v>
      </c>
      <c r="S419" s="106" t="str" cm="1">
        <f t="array" ref="S419">IF(TRIM($D419)="","(tidak diisi)",IFERROR(INDEX(Kamus!$B$3:$B$28,MATCH(TRUE,ISNUMBER(SEARCH(Kamus!$A$3:$A$28,$D419)),0)),"Jabatan Lainnya"))</f>
        <v>Hakim</v>
      </c>
      <c r="T419" s="106" t="str" cm="1">
        <f t="array" ref="T419">IF(TRIM($I419)="","(tidak diisi)",IFERROR(INDEX(Kamus!$E$3:$E$162,MATCH(TRUE,ISNUMBER(SEARCH(Kamus!$D$3:$D$162,$I419)),0)),"Barang Lain / Tidak Terinci"))</f>
        <v>Barang Lain / Tidak Terinci</v>
      </c>
      <c r="U419" s="106" t="str" cm="1">
        <f t="array" ref="U419">IF(TRIM($I419)="","(tidak diisi)",IFERROR(INDEX(Kamus!$H$3:$H$75,MATCH(TRUE,ISNUMBER(SEARCH(Kamus!$G$3:$G$75,$I419)),0)),"Pemberian Umum / Tanpa Konteks"))</f>
        <v>Pemberian Umum / Tanpa Konteks</v>
      </c>
      <c r="V419" s="106" t="str">
        <f t="shared" si="18"/>
        <v>2025</v>
      </c>
      <c r="W419" s="106" t="str" cm="1">
        <f t="array" ref="W419">IF(TRIM($K419)="","(tidak diisi)",IFERROR(INDEX(Kamus!$K$3:$K$118,MATCH(TRUE,ISNUMBER(SEARCH(Kamus!$J$3:$J$118,$K419)),0)),"Individu / Perorangan"))</f>
        <v>Individu / Perorangan</v>
      </c>
      <c r="X419" s="106" t="str">
        <f t="shared" si="19"/>
        <v>07</v>
      </c>
      <c r="Y419" s="106" t="str" cm="1">
        <f t="array" ref="Y419">IFERROR(INDEX(Kamus!$N$3:$N$111,MATCH(TRUE,ISNUMBER(SEARCH(Kamus!$M$3:$M$111,$I419)),0)),"")</f>
        <v/>
      </c>
      <c r="Z419" s="106" t="str">
        <f>IF(AND(OR($X419="02",$X419="03",$X419="04"),OR($T419="Parsel/Bingkisan (tidak dirinci)",$T419="Makanan &amp; Minuman",$T419="Peralatan Rumah Tangga / Pecah Belah",$T419="Pakaian &amp; Kain")),"Momen Hari Raya (dugaan musiman)",IFERROR(VLOOKUP($W419,Kamus!$P$3:$Q$14,2,FALSE),"Tidak Teridentifikasi"))</f>
        <v>Relasi Personal / Tidak Teridentifikasi</v>
      </c>
      <c r="AA419" s="106" t="str">
        <f t="shared" si="20"/>
        <v>Relasi Personal / Tidak Teridentifikasi</v>
      </c>
    </row>
    <row r="420" spans="1:27">
      <c r="A420" s="106">
        <v>419</v>
      </c>
      <c r="B420" s="106" t="s">
        <v>3144</v>
      </c>
      <c r="C420" s="107" t="s">
        <v>3145</v>
      </c>
      <c r="D420" s="106" t="s">
        <v>3146</v>
      </c>
      <c r="E420" s="106" t="s">
        <v>3147</v>
      </c>
      <c r="F420" s="106" t="s">
        <v>3148</v>
      </c>
      <c r="G420" s="106" t="s">
        <v>1006</v>
      </c>
      <c r="H420" s="106" t="s">
        <v>3084</v>
      </c>
      <c r="I420" s="106" t="s">
        <v>3155</v>
      </c>
      <c r="J420" s="106">
        <v>250000</v>
      </c>
      <c r="K420" s="106" t="s">
        <v>3156</v>
      </c>
      <c r="L420" s="106" t="s">
        <v>3151</v>
      </c>
      <c r="M420" s="106" t="s">
        <v>1020</v>
      </c>
      <c r="N420" s="106" t="s">
        <v>3152</v>
      </c>
      <c r="O420" s="106" t="s">
        <v>274</v>
      </c>
      <c r="P420" s="106" t="s">
        <v>1103</v>
      </c>
      <c r="Q420" s="106" t="s">
        <v>314</v>
      </c>
      <c r="S420" s="106" t="str" cm="1">
        <f t="array" ref="S420">IF(TRIM($D420)="","(tidak diisi)",IFERROR(INDEX(Kamus!$B$3:$B$28,MATCH(TRUE,ISNUMBER(SEARCH(Kamus!$A$3:$A$28,$D420)),0)),"Jabatan Lainnya"))</f>
        <v>Hakim</v>
      </c>
      <c r="T420" s="106" t="str" cm="1">
        <f t="array" ref="T420">IF(TRIM($I420)="","(tidak diisi)",IFERROR(INDEX(Kamus!$E$3:$E$162,MATCH(TRUE,ISNUMBER(SEARCH(Kamus!$D$3:$D$162,$I420)),0)),"Barang Lain / Tidak Terinci"))</f>
        <v>Pakaian &amp; Kain</v>
      </c>
      <c r="U420" s="106" t="str" cm="1">
        <f t="array" ref="U420">IF(TRIM($I420)="","(tidak diisi)",IFERROR(INDEX(Kamus!$H$3:$H$75,MATCH(TRUE,ISNUMBER(SEARCH(Kamus!$G$3:$G$75,$I420)),0)),"Pemberian Umum / Tanpa Konteks"))</f>
        <v>Oleh-oleh / Buah Tangan Perjalanan</v>
      </c>
      <c r="V420" s="106" t="str">
        <f t="shared" si="18"/>
        <v>2025</v>
      </c>
      <c r="W420" s="106" t="str" cm="1">
        <f t="array" ref="W420">IF(TRIM($K420)="","(tidak diisi)",IFERROR(INDEX(Kamus!$K$3:$K$118,MATCH(TRUE,ISNUMBER(SEARCH(Kamus!$J$3:$J$118,$K420)),0)),"Individu / Perorangan"))</f>
        <v>Individu / Perorangan</v>
      </c>
      <c r="X420" s="106" t="str">
        <f t="shared" si="19"/>
        <v>07</v>
      </c>
      <c r="Y420" s="106" t="str" cm="1">
        <f t="array" ref="Y420">IFERROR(INDEX(Kamus!$N$3:$N$111,MATCH(TRUE,ISNUMBER(SEARCH(Kamus!$M$3:$M$111,$I420)),0)),"")</f>
        <v/>
      </c>
      <c r="Z420" s="106" t="str">
        <f>IF(AND(OR($X420="02",$X420="03",$X420="04"),OR($T420="Parsel/Bingkisan (tidak dirinci)",$T420="Makanan &amp; Minuman",$T420="Peralatan Rumah Tangga / Pecah Belah",$T420="Pakaian &amp; Kain")),"Momen Hari Raya (dugaan musiman)",IFERROR(VLOOKUP($W420,Kamus!$P$3:$Q$14,2,FALSE),"Tidak Teridentifikasi"))</f>
        <v>Relasi Personal / Tidak Teridentifikasi</v>
      </c>
      <c r="AA420" s="106" t="str">
        <f t="shared" si="20"/>
        <v>Relasi Personal / Tidak Teridentifikasi</v>
      </c>
    </row>
    <row r="421" spans="1:27">
      <c r="A421" s="106">
        <v>420</v>
      </c>
      <c r="B421" s="106" t="s">
        <v>3144</v>
      </c>
      <c r="C421" s="107" t="s">
        <v>3145</v>
      </c>
      <c r="D421" s="106" t="s">
        <v>3146</v>
      </c>
      <c r="E421" s="106" t="s">
        <v>3147</v>
      </c>
      <c r="F421" s="106" t="s">
        <v>3148</v>
      </c>
      <c r="G421" s="106" t="s">
        <v>1006</v>
      </c>
      <c r="H421" s="106" t="s">
        <v>3084</v>
      </c>
      <c r="I421" s="106" t="s">
        <v>3155</v>
      </c>
      <c r="J421" s="106">
        <v>150000</v>
      </c>
      <c r="K421" s="106" t="s">
        <v>3157</v>
      </c>
      <c r="L421" s="106" t="s">
        <v>3151</v>
      </c>
      <c r="M421" s="106" t="s">
        <v>1020</v>
      </c>
      <c r="N421" s="106" t="s">
        <v>3152</v>
      </c>
      <c r="O421" s="106" t="s">
        <v>274</v>
      </c>
      <c r="P421" s="106" t="s">
        <v>1103</v>
      </c>
      <c r="Q421" s="106" t="s">
        <v>314</v>
      </c>
      <c r="S421" s="106" t="str" cm="1">
        <f t="array" ref="S421">IF(TRIM($D421)="","(tidak diisi)",IFERROR(INDEX(Kamus!$B$3:$B$28,MATCH(TRUE,ISNUMBER(SEARCH(Kamus!$A$3:$A$28,$D421)),0)),"Jabatan Lainnya"))</f>
        <v>Hakim</v>
      </c>
      <c r="T421" s="106" t="str" cm="1">
        <f t="array" ref="T421">IF(TRIM($I421)="","(tidak diisi)",IFERROR(INDEX(Kamus!$E$3:$E$162,MATCH(TRUE,ISNUMBER(SEARCH(Kamus!$D$3:$D$162,$I421)),0)),"Barang Lain / Tidak Terinci"))</f>
        <v>Pakaian &amp; Kain</v>
      </c>
      <c r="U421" s="106" t="str" cm="1">
        <f t="array" ref="U421">IF(TRIM($I421)="","(tidak diisi)",IFERROR(INDEX(Kamus!$H$3:$H$75,MATCH(TRUE,ISNUMBER(SEARCH(Kamus!$G$3:$G$75,$I421)),0)),"Pemberian Umum / Tanpa Konteks"))</f>
        <v>Oleh-oleh / Buah Tangan Perjalanan</v>
      </c>
      <c r="V421" s="106" t="str">
        <f t="shared" si="18"/>
        <v>2025</v>
      </c>
      <c r="W421" s="106" t="str" cm="1">
        <f t="array" ref="W421">IF(TRIM($K421)="","(tidak diisi)",IFERROR(INDEX(Kamus!$K$3:$K$118,MATCH(TRUE,ISNUMBER(SEARCH(Kamus!$J$3:$J$118,$K421)),0)),"Individu / Perorangan"))</f>
        <v>Individu / Perorangan</v>
      </c>
      <c r="X421" s="106" t="str">
        <f t="shared" si="19"/>
        <v>07</v>
      </c>
      <c r="Y421" s="106" t="str" cm="1">
        <f t="array" ref="Y421">IFERROR(INDEX(Kamus!$N$3:$N$111,MATCH(TRUE,ISNUMBER(SEARCH(Kamus!$M$3:$M$111,$I421)),0)),"")</f>
        <v/>
      </c>
      <c r="Z421" s="106" t="str">
        <f>IF(AND(OR($X421="02",$X421="03",$X421="04"),OR($T421="Parsel/Bingkisan (tidak dirinci)",$T421="Makanan &amp; Minuman",$T421="Peralatan Rumah Tangga / Pecah Belah",$T421="Pakaian &amp; Kain")),"Momen Hari Raya (dugaan musiman)",IFERROR(VLOOKUP($W421,Kamus!$P$3:$Q$14,2,FALSE),"Tidak Teridentifikasi"))</f>
        <v>Relasi Personal / Tidak Teridentifikasi</v>
      </c>
      <c r="AA421" s="106" t="str">
        <f t="shared" si="20"/>
        <v>Relasi Personal / Tidak Teridentifikasi</v>
      </c>
    </row>
    <row r="422" spans="1:27">
      <c r="A422" s="106">
        <v>421</v>
      </c>
      <c r="B422" s="106" t="s">
        <v>3144</v>
      </c>
      <c r="C422" s="107" t="s">
        <v>3145</v>
      </c>
      <c r="D422" s="106" t="s">
        <v>3146</v>
      </c>
      <c r="E422" s="106" t="s">
        <v>3147</v>
      </c>
      <c r="F422" s="106" t="s">
        <v>3148</v>
      </c>
      <c r="G422" s="106" t="s">
        <v>1006</v>
      </c>
      <c r="H422" s="106" t="s">
        <v>3135</v>
      </c>
      <c r="I422" s="106" t="s">
        <v>3158</v>
      </c>
      <c r="J422" s="106">
        <v>274000</v>
      </c>
      <c r="K422" s="106" t="s">
        <v>3159</v>
      </c>
      <c r="L422" s="106" t="s">
        <v>3151</v>
      </c>
      <c r="M422" s="106" t="s">
        <v>1020</v>
      </c>
      <c r="N422" s="106" t="s">
        <v>3152</v>
      </c>
      <c r="O422" s="106" t="s">
        <v>274</v>
      </c>
      <c r="P422" s="106" t="s">
        <v>1103</v>
      </c>
      <c r="Q422" s="106" t="s">
        <v>314</v>
      </c>
      <c r="S422" s="106" t="str" cm="1">
        <f t="array" ref="S422">IF(TRIM($D422)="","(tidak diisi)",IFERROR(INDEX(Kamus!$B$3:$B$28,MATCH(TRUE,ISNUMBER(SEARCH(Kamus!$A$3:$A$28,$D422)),0)),"Jabatan Lainnya"))</f>
        <v>Hakim</v>
      </c>
      <c r="T422" s="106" t="str" cm="1">
        <f t="array" ref="T422">IF(TRIM($I422)="","(tidak diisi)",IFERROR(INDEX(Kamus!$E$3:$E$162,MATCH(TRUE,ISNUMBER(SEARCH(Kamus!$D$3:$D$162,$I422)),0)),"Barang Lain / Tidak Terinci"))</f>
        <v>Barang Lain / Tidak Terinci</v>
      </c>
      <c r="U422" s="106" t="str" cm="1">
        <f t="array" ref="U422">IF(TRIM($I422)="","(tidak diisi)",IFERROR(INDEX(Kamus!$H$3:$H$75,MATCH(TRUE,ISNUMBER(SEARCH(Kamus!$G$3:$G$75,$I422)),0)),"Pemberian Umum / Tanpa Konteks"))</f>
        <v>Pemberian Umum / Tanpa Konteks</v>
      </c>
      <c r="V422" s="106" t="str">
        <f t="shared" si="18"/>
        <v>2025</v>
      </c>
      <c r="W422" s="106" t="str" cm="1">
        <f t="array" ref="W422">IF(TRIM($K422)="","(tidak diisi)",IFERROR(INDEX(Kamus!$K$3:$K$118,MATCH(TRUE,ISNUMBER(SEARCH(Kamus!$J$3:$J$118,$K422)),0)),"Individu / Perorangan"))</f>
        <v>Individu / Perorangan</v>
      </c>
      <c r="X422" s="106" t="str">
        <f t="shared" si="19"/>
        <v>08</v>
      </c>
      <c r="Y422" s="106" t="str" cm="1">
        <f t="array" ref="Y422">IFERROR(INDEX(Kamus!$N$3:$N$111,MATCH(TRUE,ISNUMBER(SEARCH(Kamus!$M$3:$M$111,$I422)),0)),"")</f>
        <v/>
      </c>
      <c r="Z422" s="106" t="str">
        <f>IF(AND(OR($X422="02",$X422="03",$X422="04"),OR($T422="Parsel/Bingkisan (tidak dirinci)",$T422="Makanan &amp; Minuman",$T422="Peralatan Rumah Tangga / Pecah Belah",$T422="Pakaian &amp; Kain")),"Momen Hari Raya (dugaan musiman)",IFERROR(VLOOKUP($W422,Kamus!$P$3:$Q$14,2,FALSE),"Tidak Teridentifikasi"))</f>
        <v>Relasi Personal / Tidak Teridentifikasi</v>
      </c>
      <c r="AA422" s="106" t="str">
        <f t="shared" si="20"/>
        <v>Relasi Personal / Tidak Teridentifikasi</v>
      </c>
    </row>
    <row r="423" spans="1:27">
      <c r="A423" s="106">
        <v>422</v>
      </c>
      <c r="B423" s="106" t="s">
        <v>3144</v>
      </c>
      <c r="C423" s="107" t="s">
        <v>3145</v>
      </c>
      <c r="D423" s="106" t="s">
        <v>3146</v>
      </c>
      <c r="E423" s="106" t="s">
        <v>3147</v>
      </c>
      <c r="F423" s="106" t="s">
        <v>3148</v>
      </c>
      <c r="G423" s="106" t="s">
        <v>1006</v>
      </c>
      <c r="H423" s="106" t="s">
        <v>3135</v>
      </c>
      <c r="I423" s="106" t="s">
        <v>3160</v>
      </c>
      <c r="J423" s="106">
        <v>40000</v>
      </c>
      <c r="K423" s="106" t="s">
        <v>3161</v>
      </c>
      <c r="L423" s="106" t="s">
        <v>3151</v>
      </c>
      <c r="M423" s="106" t="s">
        <v>1020</v>
      </c>
      <c r="N423" s="106" t="s">
        <v>3152</v>
      </c>
      <c r="O423" s="106" t="s">
        <v>274</v>
      </c>
      <c r="P423" s="106" t="s">
        <v>1103</v>
      </c>
      <c r="Q423" s="106" t="s">
        <v>314</v>
      </c>
      <c r="S423" s="106" t="str" cm="1">
        <f t="array" ref="S423">IF(TRIM($D423)="","(tidak diisi)",IFERROR(INDEX(Kamus!$B$3:$B$28,MATCH(TRUE,ISNUMBER(SEARCH(Kamus!$A$3:$A$28,$D423)),0)),"Jabatan Lainnya"))</f>
        <v>Hakim</v>
      </c>
      <c r="T423" s="106" t="str" cm="1">
        <f t="array" ref="T423">IF(TRIM($I423)="","(tidak diisi)",IFERROR(INDEX(Kamus!$E$3:$E$162,MATCH(TRUE,ISNUMBER(SEARCH(Kamus!$D$3:$D$162,$I423)),0)),"Barang Lain / Tidak Terinci"))</f>
        <v>Pakaian &amp; Kain</v>
      </c>
      <c r="U423" s="106" t="str" cm="1">
        <f t="array" ref="U423">IF(TRIM($I423)="","(tidak diisi)",IFERROR(INDEX(Kamus!$H$3:$H$75,MATCH(TRUE,ISNUMBER(SEARCH(Kamus!$G$3:$G$75,$I423)),0)),"Pemberian Umum / Tanpa Konteks"))</f>
        <v>Pemberian Umum / Tanpa Konteks</v>
      </c>
      <c r="V423" s="106" t="str">
        <f t="shared" si="18"/>
        <v>2025</v>
      </c>
      <c r="W423" s="106" t="str" cm="1">
        <f t="array" ref="W423">IF(TRIM($K423)="","(tidak diisi)",IFERROR(INDEX(Kamus!$K$3:$K$118,MATCH(TRUE,ISNUMBER(SEARCH(Kamus!$J$3:$J$118,$K423)),0)),"Individu / Perorangan"))</f>
        <v>Individu / Perorangan</v>
      </c>
      <c r="X423" s="106" t="str">
        <f t="shared" si="19"/>
        <v>08</v>
      </c>
      <c r="Y423" s="106" t="str" cm="1">
        <f t="array" ref="Y423">IFERROR(INDEX(Kamus!$N$3:$N$111,MATCH(TRUE,ISNUMBER(SEARCH(Kamus!$M$3:$M$111,$I423)),0)),"")</f>
        <v/>
      </c>
      <c r="Z423" s="106" t="str">
        <f>IF(AND(OR($X423="02",$X423="03",$X423="04"),OR($T423="Parsel/Bingkisan (tidak dirinci)",$T423="Makanan &amp; Minuman",$T423="Peralatan Rumah Tangga / Pecah Belah",$T423="Pakaian &amp; Kain")),"Momen Hari Raya (dugaan musiman)",IFERROR(VLOOKUP($W423,Kamus!$P$3:$Q$14,2,FALSE),"Tidak Teridentifikasi"))</f>
        <v>Relasi Personal / Tidak Teridentifikasi</v>
      </c>
      <c r="AA423" s="106" t="str">
        <f t="shared" si="20"/>
        <v>Relasi Personal / Tidak Teridentifikasi</v>
      </c>
    </row>
    <row r="424" spans="1:27">
      <c r="A424" s="106">
        <v>423</v>
      </c>
      <c r="B424" s="106" t="s">
        <v>3144</v>
      </c>
      <c r="C424" s="107" t="s">
        <v>3145</v>
      </c>
      <c r="D424" s="106" t="s">
        <v>3146</v>
      </c>
      <c r="E424" s="106" t="s">
        <v>3147</v>
      </c>
      <c r="F424" s="106" t="s">
        <v>3148</v>
      </c>
      <c r="G424" s="106" t="s">
        <v>1006</v>
      </c>
      <c r="H424" s="106" t="s">
        <v>3135</v>
      </c>
      <c r="I424" s="106" t="s">
        <v>3162</v>
      </c>
      <c r="J424" s="106">
        <v>341100</v>
      </c>
      <c r="K424" s="106" t="s">
        <v>3163</v>
      </c>
      <c r="L424" s="106" t="s">
        <v>3151</v>
      </c>
      <c r="M424" s="106" t="s">
        <v>1020</v>
      </c>
      <c r="N424" s="106" t="s">
        <v>3152</v>
      </c>
      <c r="O424" s="106" t="s">
        <v>274</v>
      </c>
      <c r="P424" s="106" t="s">
        <v>1103</v>
      </c>
      <c r="Q424" s="106" t="s">
        <v>314</v>
      </c>
      <c r="S424" s="106" t="str" cm="1">
        <f t="array" ref="S424">IF(TRIM($D424)="","(tidak diisi)",IFERROR(INDEX(Kamus!$B$3:$B$28,MATCH(TRUE,ISNUMBER(SEARCH(Kamus!$A$3:$A$28,$D424)),0)),"Jabatan Lainnya"))</f>
        <v>Hakim</v>
      </c>
      <c r="T424" s="106" t="str" cm="1">
        <f t="array" ref="T424">IF(TRIM($I424)="","(tidak diisi)",IFERROR(INDEX(Kamus!$E$3:$E$162,MATCH(TRUE,ISNUMBER(SEARCH(Kamus!$D$3:$D$162,$I424)),0)),"Barang Lain / Tidak Terinci"))</f>
        <v>Pakaian &amp; Kain</v>
      </c>
      <c r="U424" s="106" t="str" cm="1">
        <f t="array" ref="U424">IF(TRIM($I424)="","(tidak diisi)",IFERROR(INDEX(Kamus!$H$3:$H$75,MATCH(TRUE,ISNUMBER(SEARCH(Kamus!$G$3:$G$75,$I424)),0)),"Pemberian Umum / Tanpa Konteks"))</f>
        <v>Pemberian Umum / Tanpa Konteks</v>
      </c>
      <c r="V424" s="106" t="str">
        <f t="shared" si="18"/>
        <v>2025</v>
      </c>
      <c r="W424" s="106" t="str" cm="1">
        <f t="array" ref="W424">IF(TRIM($K424)="","(tidak diisi)",IFERROR(INDEX(Kamus!$K$3:$K$118,MATCH(TRUE,ISNUMBER(SEARCH(Kamus!$J$3:$J$118,$K424)),0)),"Individu / Perorangan"))</f>
        <v>Individu / Perorangan</v>
      </c>
      <c r="X424" s="106" t="str">
        <f t="shared" si="19"/>
        <v>08</v>
      </c>
      <c r="Y424" s="106" t="str" cm="1">
        <f t="array" ref="Y424">IFERROR(INDEX(Kamus!$N$3:$N$111,MATCH(TRUE,ISNUMBER(SEARCH(Kamus!$M$3:$M$111,$I424)),0)),"")</f>
        <v/>
      </c>
      <c r="Z424" s="106" t="str">
        <f>IF(AND(OR($X424="02",$X424="03",$X424="04"),OR($T424="Parsel/Bingkisan (tidak dirinci)",$T424="Makanan &amp; Minuman",$T424="Peralatan Rumah Tangga / Pecah Belah",$T424="Pakaian &amp; Kain")),"Momen Hari Raya (dugaan musiman)",IFERROR(VLOOKUP($W424,Kamus!$P$3:$Q$14,2,FALSE),"Tidak Teridentifikasi"))</f>
        <v>Relasi Personal / Tidak Teridentifikasi</v>
      </c>
      <c r="AA424" s="106" t="str">
        <f t="shared" si="20"/>
        <v>Relasi Personal / Tidak Teridentifikasi</v>
      </c>
    </row>
    <row r="425" spans="1:27">
      <c r="A425" s="106">
        <v>424</v>
      </c>
      <c r="B425" s="106" t="s">
        <v>3144</v>
      </c>
      <c r="C425" s="107" t="s">
        <v>3145</v>
      </c>
      <c r="D425" s="106" t="s">
        <v>3146</v>
      </c>
      <c r="E425" s="106" t="s">
        <v>3147</v>
      </c>
      <c r="F425" s="106" t="s">
        <v>3148</v>
      </c>
      <c r="G425" s="106" t="s">
        <v>1006</v>
      </c>
      <c r="H425" s="106" t="s">
        <v>3084</v>
      </c>
      <c r="I425" s="106" t="s">
        <v>3164</v>
      </c>
      <c r="J425" s="106">
        <v>299000</v>
      </c>
      <c r="K425" s="106" t="s">
        <v>3165</v>
      </c>
      <c r="L425" s="106" t="s">
        <v>3151</v>
      </c>
      <c r="M425" s="106" t="s">
        <v>1020</v>
      </c>
      <c r="N425" s="106" t="s">
        <v>3152</v>
      </c>
      <c r="O425" s="106" t="s">
        <v>274</v>
      </c>
      <c r="P425" s="106" t="s">
        <v>1103</v>
      </c>
      <c r="Q425" s="106" t="s">
        <v>314</v>
      </c>
      <c r="S425" s="106" t="str" cm="1">
        <f t="array" ref="S425">IF(TRIM($D425)="","(tidak diisi)",IFERROR(INDEX(Kamus!$B$3:$B$28,MATCH(TRUE,ISNUMBER(SEARCH(Kamus!$A$3:$A$28,$D425)),0)),"Jabatan Lainnya"))</f>
        <v>Hakim</v>
      </c>
      <c r="T425" s="106" t="str" cm="1">
        <f t="array" ref="T425">IF(TRIM($I425)="","(tidak diisi)",IFERROR(INDEX(Kamus!$E$3:$E$162,MATCH(TRUE,ISNUMBER(SEARCH(Kamus!$D$3:$D$162,$I425)),0)),"Barang Lain / Tidak Terinci"))</f>
        <v>Pakaian &amp; Kain</v>
      </c>
      <c r="U425" s="106" t="str" cm="1">
        <f t="array" ref="U425">IF(TRIM($I425)="","(tidak diisi)",IFERROR(INDEX(Kamus!$H$3:$H$75,MATCH(TRUE,ISNUMBER(SEARCH(Kamus!$G$3:$G$75,$I425)),0)),"Pemberian Umum / Tanpa Konteks"))</f>
        <v>Pemberian Umum / Tanpa Konteks</v>
      </c>
      <c r="V425" s="106" t="str">
        <f t="shared" si="18"/>
        <v>2025</v>
      </c>
      <c r="W425" s="106" t="str" cm="1">
        <f t="array" ref="W425">IF(TRIM($K425)="","(tidak diisi)",IFERROR(INDEX(Kamus!$K$3:$K$118,MATCH(TRUE,ISNUMBER(SEARCH(Kamus!$J$3:$J$118,$K425)),0)),"Individu / Perorangan"))</f>
        <v>Individu / Perorangan</v>
      </c>
      <c r="X425" s="106" t="str">
        <f t="shared" si="19"/>
        <v>07</v>
      </c>
      <c r="Y425" s="106" t="str" cm="1">
        <f t="array" ref="Y425">IFERROR(INDEX(Kamus!$N$3:$N$111,MATCH(TRUE,ISNUMBER(SEARCH(Kamus!$M$3:$M$111,$I425)),0)),"")</f>
        <v/>
      </c>
      <c r="Z425" s="106" t="str">
        <f>IF(AND(OR($X425="02",$X425="03",$X425="04"),OR($T425="Parsel/Bingkisan (tidak dirinci)",$T425="Makanan &amp; Minuman",$T425="Peralatan Rumah Tangga / Pecah Belah",$T425="Pakaian &amp; Kain")),"Momen Hari Raya (dugaan musiman)",IFERROR(VLOOKUP($W425,Kamus!$P$3:$Q$14,2,FALSE),"Tidak Teridentifikasi"))</f>
        <v>Relasi Personal / Tidak Teridentifikasi</v>
      </c>
      <c r="AA425" s="106" t="str">
        <f t="shared" si="20"/>
        <v>Relasi Personal / Tidak Teridentifikasi</v>
      </c>
    </row>
    <row r="426" spans="1:27">
      <c r="A426" s="106">
        <v>425</v>
      </c>
      <c r="B426" s="106" t="s">
        <v>3144</v>
      </c>
      <c r="C426" s="107" t="s">
        <v>3145</v>
      </c>
      <c r="D426" s="106" t="s">
        <v>3146</v>
      </c>
      <c r="E426" s="106" t="s">
        <v>3147</v>
      </c>
      <c r="F426" s="106" t="s">
        <v>3148</v>
      </c>
      <c r="G426" s="106" t="s">
        <v>1006</v>
      </c>
      <c r="H426" s="106" t="s">
        <v>3135</v>
      </c>
      <c r="I426" s="106" t="s">
        <v>3160</v>
      </c>
      <c r="J426" s="106">
        <v>40000</v>
      </c>
      <c r="K426" s="106" t="s">
        <v>3166</v>
      </c>
      <c r="L426" s="106" t="s">
        <v>3151</v>
      </c>
      <c r="M426" s="106" t="s">
        <v>1020</v>
      </c>
      <c r="N426" s="106" t="s">
        <v>3152</v>
      </c>
      <c r="O426" s="106" t="s">
        <v>274</v>
      </c>
      <c r="P426" s="106" t="s">
        <v>1103</v>
      </c>
      <c r="Q426" s="106" t="s">
        <v>314</v>
      </c>
      <c r="S426" s="106" t="str" cm="1">
        <f t="array" ref="S426">IF(TRIM($D426)="","(tidak diisi)",IFERROR(INDEX(Kamus!$B$3:$B$28,MATCH(TRUE,ISNUMBER(SEARCH(Kamus!$A$3:$A$28,$D426)),0)),"Jabatan Lainnya"))</f>
        <v>Hakim</v>
      </c>
      <c r="T426" s="106" t="str" cm="1">
        <f t="array" ref="T426">IF(TRIM($I426)="","(tidak diisi)",IFERROR(INDEX(Kamus!$E$3:$E$162,MATCH(TRUE,ISNUMBER(SEARCH(Kamus!$D$3:$D$162,$I426)),0)),"Barang Lain / Tidak Terinci"))</f>
        <v>Pakaian &amp; Kain</v>
      </c>
      <c r="U426" s="106" t="str" cm="1">
        <f t="array" ref="U426">IF(TRIM($I426)="","(tidak diisi)",IFERROR(INDEX(Kamus!$H$3:$H$75,MATCH(TRUE,ISNUMBER(SEARCH(Kamus!$G$3:$G$75,$I426)),0)),"Pemberian Umum / Tanpa Konteks"))</f>
        <v>Pemberian Umum / Tanpa Konteks</v>
      </c>
      <c r="V426" s="106" t="str">
        <f t="shared" si="18"/>
        <v>2025</v>
      </c>
      <c r="W426" s="106" t="str" cm="1">
        <f t="array" ref="W426">IF(TRIM($K426)="","(tidak diisi)",IFERROR(INDEX(Kamus!$K$3:$K$118,MATCH(TRUE,ISNUMBER(SEARCH(Kamus!$J$3:$J$118,$K426)),0)),"Individu / Perorangan"))</f>
        <v>Individu / Perorangan</v>
      </c>
      <c r="X426" s="106" t="str">
        <f t="shared" si="19"/>
        <v>08</v>
      </c>
      <c r="Y426" s="106" t="str" cm="1">
        <f t="array" ref="Y426">IFERROR(INDEX(Kamus!$N$3:$N$111,MATCH(TRUE,ISNUMBER(SEARCH(Kamus!$M$3:$M$111,$I426)),0)),"")</f>
        <v/>
      </c>
      <c r="Z426" s="106" t="str">
        <f>IF(AND(OR($X426="02",$X426="03",$X426="04"),OR($T426="Parsel/Bingkisan (tidak dirinci)",$T426="Makanan &amp; Minuman",$T426="Peralatan Rumah Tangga / Pecah Belah",$T426="Pakaian &amp; Kain")),"Momen Hari Raya (dugaan musiman)",IFERROR(VLOOKUP($W426,Kamus!$P$3:$Q$14,2,FALSE),"Tidak Teridentifikasi"))</f>
        <v>Relasi Personal / Tidak Teridentifikasi</v>
      </c>
      <c r="AA426" s="106" t="str">
        <f t="shared" si="20"/>
        <v>Relasi Personal / Tidak Teridentifikasi</v>
      </c>
    </row>
    <row r="427" spans="1:27">
      <c r="A427" s="106">
        <v>426</v>
      </c>
      <c r="B427" s="106" t="s">
        <v>3144</v>
      </c>
      <c r="C427" s="107" t="s">
        <v>3145</v>
      </c>
      <c r="D427" s="106" t="s">
        <v>3146</v>
      </c>
      <c r="E427" s="106" t="s">
        <v>3147</v>
      </c>
      <c r="F427" s="106" t="s">
        <v>3148</v>
      </c>
      <c r="G427" s="106" t="s">
        <v>1006</v>
      </c>
      <c r="H427" s="106" t="s">
        <v>3135</v>
      </c>
      <c r="I427" s="106" t="s">
        <v>3167</v>
      </c>
      <c r="J427" s="106">
        <v>149000</v>
      </c>
      <c r="K427" s="106" t="s">
        <v>3168</v>
      </c>
      <c r="L427" s="106" t="s">
        <v>3151</v>
      </c>
      <c r="M427" s="106" t="s">
        <v>1020</v>
      </c>
      <c r="N427" s="106" t="s">
        <v>3152</v>
      </c>
      <c r="O427" s="106" t="s">
        <v>274</v>
      </c>
      <c r="P427" s="106" t="s">
        <v>1103</v>
      </c>
      <c r="Q427" s="106" t="s">
        <v>314</v>
      </c>
      <c r="S427" s="106" t="str" cm="1">
        <f t="array" ref="S427">IF(TRIM($D427)="","(tidak diisi)",IFERROR(INDEX(Kamus!$B$3:$B$28,MATCH(TRUE,ISNUMBER(SEARCH(Kamus!$A$3:$A$28,$D427)),0)),"Jabatan Lainnya"))</f>
        <v>Hakim</v>
      </c>
      <c r="T427" s="106" t="str" cm="1">
        <f t="array" ref="T427">IF(TRIM($I427)="","(tidak diisi)",IFERROR(INDEX(Kamus!$E$3:$E$162,MATCH(TRUE,ISNUMBER(SEARCH(Kamus!$D$3:$D$162,$I427)),0)),"Barang Lain / Tidak Terinci"))</f>
        <v>Pakaian &amp; Kain</v>
      </c>
      <c r="U427" s="106" t="str" cm="1">
        <f t="array" ref="U427">IF(TRIM($I427)="","(tidak diisi)",IFERROR(INDEX(Kamus!$H$3:$H$75,MATCH(TRUE,ISNUMBER(SEARCH(Kamus!$G$3:$G$75,$I427)),0)),"Pemberian Umum / Tanpa Konteks"))</f>
        <v>Pemberian Umum / Tanpa Konteks</v>
      </c>
      <c r="V427" s="106" t="str">
        <f t="shared" si="18"/>
        <v>2025</v>
      </c>
      <c r="W427" s="106" t="str" cm="1">
        <f t="array" ref="W427">IF(TRIM($K427)="","(tidak diisi)",IFERROR(INDEX(Kamus!$K$3:$K$118,MATCH(TRUE,ISNUMBER(SEARCH(Kamus!$J$3:$J$118,$K427)),0)),"Individu / Perorangan"))</f>
        <v>Individu / Perorangan</v>
      </c>
      <c r="X427" s="106" t="str">
        <f t="shared" si="19"/>
        <v>08</v>
      </c>
      <c r="Y427" s="106" t="str" cm="1">
        <f t="array" ref="Y427">IFERROR(INDEX(Kamus!$N$3:$N$111,MATCH(TRUE,ISNUMBER(SEARCH(Kamus!$M$3:$M$111,$I427)),0)),"")</f>
        <v/>
      </c>
      <c r="Z427" s="106" t="str">
        <f>IF(AND(OR($X427="02",$X427="03",$X427="04"),OR($T427="Parsel/Bingkisan (tidak dirinci)",$T427="Makanan &amp; Minuman",$T427="Peralatan Rumah Tangga / Pecah Belah",$T427="Pakaian &amp; Kain")),"Momen Hari Raya (dugaan musiman)",IFERROR(VLOOKUP($W427,Kamus!$P$3:$Q$14,2,FALSE),"Tidak Teridentifikasi"))</f>
        <v>Relasi Personal / Tidak Teridentifikasi</v>
      </c>
      <c r="AA427" s="106" t="str">
        <f t="shared" si="20"/>
        <v>Relasi Personal / Tidak Teridentifikasi</v>
      </c>
    </row>
    <row r="428" spans="1:27">
      <c r="A428" s="106">
        <v>427</v>
      </c>
      <c r="B428" s="106" t="s">
        <v>1105</v>
      </c>
      <c r="C428" s="107" t="s">
        <v>1106</v>
      </c>
      <c r="D428" s="106" t="s">
        <v>1042</v>
      </c>
      <c r="E428" s="106" t="s">
        <v>1014</v>
      </c>
      <c r="F428" s="106" t="s">
        <v>3169</v>
      </c>
      <c r="G428" s="106" t="s">
        <v>1006</v>
      </c>
      <c r="H428" s="106" t="s">
        <v>3170</v>
      </c>
      <c r="I428" s="106" t="s">
        <v>3171</v>
      </c>
      <c r="K428" s="106" t="s">
        <v>3172</v>
      </c>
      <c r="L428" s="106" t="s">
        <v>3173</v>
      </c>
      <c r="O428" s="106" t="s">
        <v>274</v>
      </c>
      <c r="P428" s="106" t="s">
        <v>1021</v>
      </c>
      <c r="Q428" s="106" t="s">
        <v>428</v>
      </c>
      <c r="S428" s="106" t="str" cm="1">
        <f t="array" ref="S428">IF(TRIM($D428)="","(tidak diisi)",IFERROR(INDEX(Kamus!$B$3:$B$28,MATCH(TRUE,ISNUMBER(SEARCH(Kamus!$A$3:$A$28,$D428)),0)),"Jabatan Lainnya"))</f>
        <v>Ketua Pengadilan</v>
      </c>
      <c r="T428" s="106" t="str" cm="1">
        <f t="array" ref="T428">IF(TRIM($I428)="","(tidak diisi)",IFERROR(INDEX(Kamus!$E$3:$E$162,MATCH(TRUE,ISNUMBER(SEARCH(Kamus!$D$3:$D$162,$I428)),0)),"Barang Lain / Tidak Terinci"))</f>
        <v>Karangan Bunga / Ucapan</v>
      </c>
      <c r="U428" s="106" t="str" cm="1">
        <f t="array" ref="U428">IF(TRIM($I428)="","(tidak diisi)",IFERROR(INDEX(Kamus!$H$3:$H$75,MATCH(TRUE,ISNUMBER(SEARCH(Kamus!$G$3:$G$75,$I428)),0)),"Pemberian Umum / Tanpa Konteks"))</f>
        <v>Ucapan Duka/Selamat (Karangan Bunga)</v>
      </c>
      <c r="V428" s="106" t="str">
        <f t="shared" si="18"/>
        <v>2025</v>
      </c>
      <c r="W428" s="106" t="str" cm="1">
        <f t="array" ref="W428">IF(TRIM($K428)="","(tidak diisi)",IFERROR(INDEX(Kamus!$K$3:$K$118,MATCH(TRUE,ISNUMBER(SEARCH(Kamus!$J$3:$J$118,$K428)),0)),"Individu / Perorangan"))</f>
        <v>Individu / Perorangan</v>
      </c>
      <c r="X428" s="106" t="str">
        <f t="shared" si="19"/>
        <v>08</v>
      </c>
      <c r="Y428" s="106" t="str" cm="1">
        <f t="array" ref="Y428">IFERROR(INDEX(Kamus!$N$3:$N$111,MATCH(TRUE,ISNUMBER(SEARCH(Kamus!$M$3:$M$111,$I428)),0)),"")</f>
        <v>Ucapan Selamat/Duka atas Acara Instansi</v>
      </c>
      <c r="Z428" s="106" t="str">
        <f>IF(AND(OR($X428="02",$X428="03",$X428="04"),OR($T428="Parsel/Bingkisan (tidak dirinci)",$T428="Makanan &amp; Minuman",$T428="Peralatan Rumah Tangga / Pecah Belah",$T428="Pakaian &amp; Kain")),"Momen Hari Raya (dugaan musiman)",IFERROR(VLOOKUP($W428,Kamus!$P$3:$Q$14,2,FALSE),"Tidak Teridentifikasi"))</f>
        <v>Relasi Personal / Tidak Teridentifikasi</v>
      </c>
      <c r="AA428" s="106" t="str">
        <f t="shared" si="20"/>
        <v>Ucapan Selamat/Duka atas Acara Instansi</v>
      </c>
    </row>
    <row r="429" spans="1:27">
      <c r="A429" s="106">
        <v>428</v>
      </c>
      <c r="B429" s="106" t="s">
        <v>3174</v>
      </c>
      <c r="C429" s="107" t="s">
        <v>3175</v>
      </c>
      <c r="D429" s="106" t="s">
        <v>1033</v>
      </c>
      <c r="E429" s="106" t="s">
        <v>3176</v>
      </c>
      <c r="F429" s="106" t="s">
        <v>3177</v>
      </c>
      <c r="G429" s="106" t="s">
        <v>1006</v>
      </c>
      <c r="H429" s="106" t="s">
        <v>2870</v>
      </c>
      <c r="I429" s="106" t="s">
        <v>3178</v>
      </c>
      <c r="J429" s="106">
        <v>250000</v>
      </c>
      <c r="K429" s="106" t="s">
        <v>3179</v>
      </c>
      <c r="L429" s="106" t="s">
        <v>3180</v>
      </c>
      <c r="M429" s="106" t="s">
        <v>1020</v>
      </c>
      <c r="O429" s="106" t="s">
        <v>274</v>
      </c>
      <c r="P429" s="106" t="s">
        <v>3181</v>
      </c>
      <c r="Q429" s="106" t="s">
        <v>404</v>
      </c>
      <c r="S429" s="106" t="str" cm="1">
        <f t="array" ref="S429">IF(TRIM($D429)="","(tidak diisi)",IFERROR(INDEX(Kamus!$B$3:$B$28,MATCH(TRUE,ISNUMBER(SEARCH(Kamus!$A$3:$A$28,$D429)),0)),"Jabatan Lainnya"))</f>
        <v>Hakim</v>
      </c>
      <c r="T429" s="106" t="str" cm="1">
        <f t="array" ref="T429">IF(TRIM($I429)="","(tidak diisi)",IFERROR(INDEX(Kamus!$E$3:$E$162,MATCH(TRUE,ISNUMBER(SEARCH(Kamus!$D$3:$D$162,$I429)),0)),"Barang Lain / Tidak Terinci"))</f>
        <v>Pakaian &amp; Kain</v>
      </c>
      <c r="U429" s="106" t="str" cm="1">
        <f t="array" ref="U429">IF(TRIM($I429)="","(tidak diisi)",IFERROR(INDEX(Kamus!$H$3:$H$75,MATCH(TRUE,ISNUMBER(SEARCH(Kamus!$G$3:$G$75,$I429)),0)),"Pemberian Umum / Tanpa Konteks"))</f>
        <v>Oleh-oleh / Buah Tangan Perjalanan</v>
      </c>
      <c r="V429" s="106" t="str">
        <f t="shared" si="18"/>
        <v>2025</v>
      </c>
      <c r="W429" s="106" t="str" cm="1">
        <f t="array" ref="W429">IF(TRIM($K429)="","(tidak diisi)",IFERROR(INDEX(Kamus!$K$3:$K$118,MATCH(TRUE,ISNUMBER(SEARCH(Kamus!$J$3:$J$118,$K429)),0)),"Individu / Perorangan"))</f>
        <v>Individu / Perorangan</v>
      </c>
      <c r="X429" s="106" t="str">
        <f t="shared" si="19"/>
        <v>07</v>
      </c>
      <c r="Y429" s="106" t="str" cm="1">
        <f t="array" ref="Y429">IFERROR(INDEX(Kamus!$N$3:$N$111,MATCH(TRUE,ISNUMBER(SEARCH(Kamus!$M$3:$M$111,$I429)),0)),"")</f>
        <v/>
      </c>
      <c r="Z429" s="106" t="str">
        <f>IF(AND(OR($X429="02",$X429="03",$X429="04"),OR($T429="Parsel/Bingkisan (tidak dirinci)",$T429="Makanan &amp; Minuman",$T429="Peralatan Rumah Tangga / Pecah Belah",$T429="Pakaian &amp; Kain")),"Momen Hari Raya (dugaan musiman)",IFERROR(VLOOKUP($W429,Kamus!$P$3:$Q$14,2,FALSE),"Tidak Teridentifikasi"))</f>
        <v>Relasi Personal / Tidak Teridentifikasi</v>
      </c>
      <c r="AA429" s="106" t="str">
        <f t="shared" si="20"/>
        <v>Relasi Personal / Tidak Teridentifikasi</v>
      </c>
    </row>
    <row r="430" spans="1:27">
      <c r="A430" s="106">
        <v>429</v>
      </c>
      <c r="B430" s="106" t="s">
        <v>1629</v>
      </c>
      <c r="C430" s="107" t="s">
        <v>1630</v>
      </c>
      <c r="D430" s="106" t="s">
        <v>1631</v>
      </c>
      <c r="E430" s="106" t="s">
        <v>1632</v>
      </c>
      <c r="F430" s="106" t="s">
        <v>3182</v>
      </c>
      <c r="G430" s="106" t="s">
        <v>1006</v>
      </c>
      <c r="H430" s="106" t="s">
        <v>3059</v>
      </c>
      <c r="I430" s="106" t="s">
        <v>3183</v>
      </c>
      <c r="J430" s="106">
        <v>1000000</v>
      </c>
      <c r="K430" s="106" t="s">
        <v>3184</v>
      </c>
      <c r="L430" s="106" t="s">
        <v>3185</v>
      </c>
      <c r="M430" s="106" t="s">
        <v>1171</v>
      </c>
      <c r="N430" s="106" t="s">
        <v>3186</v>
      </c>
      <c r="O430" s="106" t="s">
        <v>274</v>
      </c>
      <c r="P430" s="106" t="s">
        <v>472</v>
      </c>
      <c r="Q430" s="106" t="s">
        <v>402</v>
      </c>
      <c r="S430" s="106" t="str" cm="1">
        <f t="array" ref="S430">IF(TRIM($D430)="","(tidak diisi)",IFERROR(INDEX(Kamus!$B$3:$B$28,MATCH(TRUE,ISNUMBER(SEARCH(Kamus!$A$3:$A$28,$D430)),0)),"Jabatan Lainnya"))</f>
        <v>Ketua Pengadilan</v>
      </c>
      <c r="T430" s="106" t="str" cm="1">
        <f t="array" ref="T430">IF(TRIM($I430)="","(tidak diisi)",IFERROR(INDEX(Kamus!$E$3:$E$162,MATCH(TRUE,ISNUMBER(SEARCH(Kamus!$D$3:$D$162,$I430)),0)),"Barang Lain / Tidak Terinci"))</f>
        <v>Fasilitas &amp; Jasa</v>
      </c>
      <c r="U430" s="106" t="str" cm="1">
        <f t="array" ref="U430">IF(TRIM($I430)="","(tidak diisi)",IFERROR(INDEX(Kamus!$H$3:$H$75,MATCH(TRUE,ISNUMBER(SEARCH(Kamus!$G$3:$G$75,$I430)),0)),"Pemberian Umum / Tanpa Konteks"))</f>
        <v>Pemberian Umum / Tanpa Konteks</v>
      </c>
      <c r="V430" s="106" t="str">
        <f t="shared" si="18"/>
        <v>2025</v>
      </c>
      <c r="W430" s="106" t="str" cm="1">
        <f t="array" ref="W430">IF(TRIM($K430)="","(tidak diisi)",IFERROR(INDEX(Kamus!$K$3:$K$118,MATCH(TRUE,ISNUMBER(SEARCH(Kamus!$J$3:$J$118,$K430)),0)),"Individu / Perorangan"))</f>
        <v>Individu / Perorangan</v>
      </c>
      <c r="X430" s="106" t="str">
        <f t="shared" si="19"/>
        <v>07</v>
      </c>
      <c r="Y430" s="106" t="str" cm="1">
        <f t="array" ref="Y430">IFERROR(INDEX(Kamus!$N$3:$N$111,MATCH(TRUE,ISNUMBER(SEARCH(Kamus!$M$3:$M$111,$I430)),0)),"")</f>
        <v/>
      </c>
      <c r="Z430" s="106" t="str">
        <f>IF(AND(OR($X430="02",$X430="03",$X430="04"),OR($T430="Parsel/Bingkisan (tidak dirinci)",$T430="Makanan &amp; Minuman",$T430="Peralatan Rumah Tangga / Pecah Belah",$T430="Pakaian &amp; Kain")),"Momen Hari Raya (dugaan musiman)",IFERROR(VLOOKUP($W430,Kamus!$P$3:$Q$14,2,FALSE),"Tidak Teridentifikasi"))</f>
        <v>Relasi Personal / Tidak Teridentifikasi</v>
      </c>
      <c r="AA430" s="106" t="str">
        <f t="shared" si="20"/>
        <v>Relasi Personal / Tidak Teridentifikasi</v>
      </c>
    </row>
    <row r="431" spans="1:27">
      <c r="A431" s="106">
        <v>430</v>
      </c>
      <c r="B431" s="106" t="s">
        <v>3187</v>
      </c>
      <c r="C431" s="107" t="s">
        <v>3188</v>
      </c>
      <c r="D431" s="106" t="s">
        <v>1033</v>
      </c>
      <c r="E431" s="106" t="s">
        <v>3189</v>
      </c>
      <c r="F431" s="106" t="s">
        <v>3190</v>
      </c>
      <c r="G431" s="106" t="s">
        <v>1006</v>
      </c>
      <c r="H431" s="106" t="s">
        <v>3135</v>
      </c>
      <c r="I431" s="106" t="s">
        <v>3191</v>
      </c>
      <c r="J431" s="106">
        <v>50000</v>
      </c>
      <c r="K431" s="106" t="s">
        <v>3192</v>
      </c>
      <c r="L431" s="106" t="s">
        <v>3193</v>
      </c>
      <c r="M431" s="106" t="s">
        <v>1020</v>
      </c>
      <c r="N431" s="106" t="s">
        <v>3194</v>
      </c>
      <c r="O431" s="106" t="s">
        <v>274</v>
      </c>
      <c r="P431" s="106" t="s">
        <v>3195</v>
      </c>
      <c r="Q431" s="106" t="s">
        <v>399</v>
      </c>
      <c r="S431" s="106" t="str" cm="1">
        <f t="array" ref="S431">IF(TRIM($D431)="","(tidak diisi)",IFERROR(INDEX(Kamus!$B$3:$B$28,MATCH(TRUE,ISNUMBER(SEARCH(Kamus!$A$3:$A$28,$D431)),0)),"Jabatan Lainnya"))</f>
        <v>Hakim</v>
      </c>
      <c r="T431" s="106" t="str" cm="1">
        <f t="array" ref="T431">IF(TRIM($I431)="","(tidak diisi)",IFERROR(INDEX(Kamus!$E$3:$E$162,MATCH(TRUE,ISNUMBER(SEARCH(Kamus!$D$3:$D$162,$I431)),0)),"Barang Lain / Tidak Terinci"))</f>
        <v>Peralatan Rumah Tangga / Pecah Belah</v>
      </c>
      <c r="U431" s="106" t="str" cm="1">
        <f t="array" ref="U431">IF(TRIM($I431)="","(tidak diisi)",IFERROR(INDEX(Kamus!$H$3:$H$75,MATCH(TRUE,ISNUMBER(SEARCH(Kamus!$G$3:$G$75,$I431)),0)),"Pemberian Umum / Tanpa Konteks"))</f>
        <v>Suvenir / Merchandise Kegiatan &amp; Kunjungan</v>
      </c>
      <c r="V431" s="106" t="str">
        <f t="shared" si="18"/>
        <v>2025</v>
      </c>
      <c r="W431" s="106" t="str" cm="1">
        <f t="array" ref="W431">IF(TRIM($K431)="","(tidak diisi)",IFERROR(INDEX(Kamus!$K$3:$K$118,MATCH(TRUE,ISNUMBER(SEARCH(Kamus!$J$3:$J$118,$K431)),0)),"Individu / Perorangan"))</f>
        <v>Individu / Perorangan</v>
      </c>
      <c r="X431" s="106" t="str">
        <f t="shared" si="19"/>
        <v>08</v>
      </c>
      <c r="Y431" s="106" t="str" cm="1">
        <f t="array" ref="Y431">IFERROR(INDEX(Kamus!$N$3:$N$111,MATCH(TRUE,ISNUMBER(SEARCH(Kamus!$M$3:$M$111,$I431)),0)),"")</f>
        <v/>
      </c>
      <c r="Z431" s="106" t="str">
        <f>IF(AND(OR($X431="02",$X431="03",$X431="04"),OR($T431="Parsel/Bingkisan (tidak dirinci)",$T431="Makanan &amp; Minuman",$T431="Peralatan Rumah Tangga / Pecah Belah",$T431="Pakaian &amp; Kain")),"Momen Hari Raya (dugaan musiman)",IFERROR(VLOOKUP($W431,Kamus!$P$3:$Q$14,2,FALSE),"Tidak Teridentifikasi"))</f>
        <v>Relasi Personal / Tidak Teridentifikasi</v>
      </c>
      <c r="AA431" s="106" t="str">
        <f t="shared" si="20"/>
        <v>Relasi Personal / Tidak Teridentifikasi</v>
      </c>
    </row>
    <row r="432" spans="1:27">
      <c r="A432" s="106">
        <v>431</v>
      </c>
      <c r="B432" s="106" t="s">
        <v>3187</v>
      </c>
      <c r="C432" s="107" t="s">
        <v>3188</v>
      </c>
      <c r="D432" s="106" t="s">
        <v>1033</v>
      </c>
      <c r="E432" s="106" t="s">
        <v>3189</v>
      </c>
      <c r="F432" s="106" t="s">
        <v>3190</v>
      </c>
      <c r="G432" s="106" t="s">
        <v>1006</v>
      </c>
      <c r="H432" s="106" t="s">
        <v>3135</v>
      </c>
      <c r="I432" s="106" t="s">
        <v>3196</v>
      </c>
      <c r="J432" s="106">
        <v>150000</v>
      </c>
      <c r="K432" s="106" t="s">
        <v>3197</v>
      </c>
      <c r="L432" s="106" t="s">
        <v>3193</v>
      </c>
      <c r="M432" s="106" t="s">
        <v>1171</v>
      </c>
      <c r="N432" s="106" t="s">
        <v>3194</v>
      </c>
      <c r="O432" s="106" t="s">
        <v>274</v>
      </c>
      <c r="P432" s="106" t="s">
        <v>3195</v>
      </c>
      <c r="Q432" s="106" t="s">
        <v>399</v>
      </c>
      <c r="S432" s="106" t="str" cm="1">
        <f t="array" ref="S432">IF(TRIM($D432)="","(tidak diisi)",IFERROR(INDEX(Kamus!$B$3:$B$28,MATCH(TRUE,ISNUMBER(SEARCH(Kamus!$A$3:$A$28,$D432)),0)),"Jabatan Lainnya"))</f>
        <v>Hakim</v>
      </c>
      <c r="T432" s="106" t="str" cm="1">
        <f t="array" ref="T432">IF(TRIM($I432)="","(tidak diisi)",IFERROR(INDEX(Kamus!$E$3:$E$162,MATCH(TRUE,ISNUMBER(SEARCH(Kamus!$D$3:$D$162,$I432)),0)),"Barang Lain / Tidak Terinci"))</f>
        <v>Pakaian &amp; Kain</v>
      </c>
      <c r="U432" s="106" t="str" cm="1">
        <f t="array" ref="U432">IF(TRIM($I432)="","(tidak diisi)",IFERROR(INDEX(Kamus!$H$3:$H$75,MATCH(TRUE,ISNUMBER(SEARCH(Kamus!$G$3:$G$75,$I432)),0)),"Pemberian Umum / Tanpa Konteks"))</f>
        <v>Pemberian Umum / Tanpa Konteks</v>
      </c>
      <c r="V432" s="106" t="str">
        <f t="shared" si="18"/>
        <v>2025</v>
      </c>
      <c r="W432" s="106" t="str" cm="1">
        <f t="array" ref="W432">IF(TRIM($K432)="","(tidak diisi)",IFERROR(INDEX(Kamus!$K$3:$K$118,MATCH(TRUE,ISNUMBER(SEARCH(Kamus!$J$3:$J$118,$K432)),0)),"Individu / Perorangan"))</f>
        <v>Individu / Perorangan</v>
      </c>
      <c r="X432" s="106" t="str">
        <f t="shared" si="19"/>
        <v>08</v>
      </c>
      <c r="Y432" s="106" t="str" cm="1">
        <f t="array" ref="Y432">IFERROR(INDEX(Kamus!$N$3:$N$111,MATCH(TRUE,ISNUMBER(SEARCH(Kamus!$M$3:$M$111,$I432)),0)),"")</f>
        <v/>
      </c>
      <c r="Z432" s="106" t="str">
        <f>IF(AND(OR($X432="02",$X432="03",$X432="04"),OR($T432="Parsel/Bingkisan (tidak dirinci)",$T432="Makanan &amp; Minuman",$T432="Peralatan Rumah Tangga / Pecah Belah",$T432="Pakaian &amp; Kain")),"Momen Hari Raya (dugaan musiman)",IFERROR(VLOOKUP($W432,Kamus!$P$3:$Q$14,2,FALSE),"Tidak Teridentifikasi"))</f>
        <v>Relasi Personal / Tidak Teridentifikasi</v>
      </c>
      <c r="AA432" s="106" t="str">
        <f t="shared" si="20"/>
        <v>Relasi Personal / Tidak Teridentifikasi</v>
      </c>
    </row>
    <row r="433" spans="1:27">
      <c r="A433" s="106">
        <v>432</v>
      </c>
      <c r="B433" s="106" t="s">
        <v>2567</v>
      </c>
      <c r="C433" s="107" t="s">
        <v>2568</v>
      </c>
      <c r="D433" s="106" t="s">
        <v>2569</v>
      </c>
      <c r="E433" s="106" t="s">
        <v>2570</v>
      </c>
      <c r="F433" s="106" t="s">
        <v>3198</v>
      </c>
      <c r="G433" s="106" t="s">
        <v>1006</v>
      </c>
      <c r="H433" s="106" t="s">
        <v>3199</v>
      </c>
      <c r="I433" s="106" t="s">
        <v>3200</v>
      </c>
      <c r="J433" s="106">
        <v>150000</v>
      </c>
      <c r="K433" s="106" t="s">
        <v>3201</v>
      </c>
      <c r="L433" s="106" t="s">
        <v>3202</v>
      </c>
      <c r="M433" s="106" t="s">
        <v>1039</v>
      </c>
      <c r="O433" s="106" t="s">
        <v>274</v>
      </c>
      <c r="P433" s="106" t="s">
        <v>2576</v>
      </c>
      <c r="Q433" s="106" t="s">
        <v>361</v>
      </c>
      <c r="S433" s="106" t="str" cm="1">
        <f t="array" ref="S433">IF(TRIM($D433)="","(tidak diisi)",IFERROR(INDEX(Kamus!$B$3:$B$28,MATCH(TRUE,ISNUMBER(SEARCH(Kamus!$A$3:$A$28,$D433)),0)),"Jabatan Lainnya"))</f>
        <v>Jabatan Lainnya</v>
      </c>
      <c r="T433" s="106" t="str" cm="1">
        <f t="array" ref="T433">IF(TRIM($I433)="","(tidak diisi)",IFERROR(INDEX(Kamus!$E$3:$E$162,MATCH(TRUE,ISNUMBER(SEARCH(Kamus!$D$3:$D$162,$I433)),0)),"Barang Lain / Tidak Terinci"))</f>
        <v>Fasilitas &amp; Jasa</v>
      </c>
      <c r="U433" s="106" t="str" cm="1">
        <f t="array" ref="U433">IF(TRIM($I433)="","(tidak diisi)",IFERROR(INDEX(Kamus!$H$3:$H$75,MATCH(TRUE,ISNUMBER(SEARCH(Kamus!$G$3:$G$75,$I433)),0)),"Pemberian Umum / Tanpa Konteks"))</f>
        <v>Pemberian Umum / Tanpa Konteks</v>
      </c>
      <c r="V433" s="106" t="str">
        <f t="shared" si="18"/>
        <v>2025</v>
      </c>
      <c r="W433" s="106" t="str" cm="1">
        <f t="array" ref="W433">IF(TRIM($K433)="","(tidak diisi)",IFERROR(INDEX(Kamus!$K$3:$K$118,MATCH(TRUE,ISNUMBER(SEARCH(Kamus!$J$3:$J$118,$K433)),0)),"Individu / Perorangan"))</f>
        <v>Individu / Perorangan</v>
      </c>
      <c r="X433" s="106" t="str">
        <f t="shared" si="19"/>
        <v>08</v>
      </c>
      <c r="Y433" s="106" t="str" cm="1">
        <f t="array" ref="Y433">IFERROR(INDEX(Kamus!$N$3:$N$111,MATCH(TRUE,ISNUMBER(SEARCH(Kamus!$M$3:$M$111,$I433)),0)),"")</f>
        <v/>
      </c>
      <c r="Z433" s="106" t="str">
        <f>IF(AND(OR($X433="02",$X433="03",$X433="04"),OR($T433="Parsel/Bingkisan (tidak dirinci)",$T433="Makanan &amp; Minuman",$T433="Peralatan Rumah Tangga / Pecah Belah",$T433="Pakaian &amp; Kain")),"Momen Hari Raya (dugaan musiman)",IFERROR(VLOOKUP($W433,Kamus!$P$3:$Q$14,2,FALSE),"Tidak Teridentifikasi"))</f>
        <v>Relasi Personal / Tidak Teridentifikasi</v>
      </c>
      <c r="AA433" s="106" t="str">
        <f t="shared" si="20"/>
        <v>Relasi Personal / Tidak Teridentifikasi</v>
      </c>
    </row>
    <row r="434" spans="1:27">
      <c r="A434" s="106">
        <v>433</v>
      </c>
      <c r="B434" s="106" t="s">
        <v>1022</v>
      </c>
      <c r="C434" s="107" t="s">
        <v>1023</v>
      </c>
      <c r="D434" s="106" t="s">
        <v>1024</v>
      </c>
      <c r="E434" s="106" t="s">
        <v>1025</v>
      </c>
      <c r="F434" s="106" t="s">
        <v>3203</v>
      </c>
      <c r="G434" s="106" t="s">
        <v>1074</v>
      </c>
      <c r="H434" s="106" t="s">
        <v>3204</v>
      </c>
      <c r="I434" s="106" t="s">
        <v>3205</v>
      </c>
      <c r="K434" s="106" t="s">
        <v>3206</v>
      </c>
      <c r="L434" s="106" t="s">
        <v>3207</v>
      </c>
      <c r="O434" s="106" t="s">
        <v>274</v>
      </c>
      <c r="P434" s="106" t="s">
        <v>561</v>
      </c>
      <c r="Q434" s="106" t="s">
        <v>428</v>
      </c>
      <c r="S434" s="106" t="str" cm="1">
        <f t="array" ref="S434">IF(TRIM($D434)="","(tidak diisi)",IFERROR(INDEX(Kamus!$B$3:$B$28,MATCH(TRUE,ISNUMBER(SEARCH(Kamus!$A$3:$A$28,$D434)),0)),"Jabatan Lainnya"))</f>
        <v>Sekretaris</v>
      </c>
      <c r="T434" s="106" t="str" cm="1">
        <f t="array" ref="T434">IF(TRIM($I434)="","(tidak diisi)",IFERROR(INDEX(Kamus!$E$3:$E$162,MATCH(TRUE,ISNUMBER(SEARCH(Kamus!$D$3:$D$162,$I434)),0)),"Barang Lain / Tidak Terinci"))</f>
        <v>Elektronik &amp; Gadget</v>
      </c>
      <c r="U434" s="106" t="str" cm="1">
        <f t="array" ref="U434">IF(TRIM($I434)="","(tidak diisi)",IFERROR(INDEX(Kamus!$H$3:$H$75,MATCH(TRUE,ISNUMBER(SEARCH(Kamus!$G$3:$G$75,$I434)),0)),"Pemberian Umum / Tanpa Konteks"))</f>
        <v>Pemberian Umum / Tanpa Konteks</v>
      </c>
      <c r="V434" s="106" t="str">
        <f t="shared" si="18"/>
        <v>2025</v>
      </c>
      <c r="W434" s="106" t="str" cm="1">
        <f t="array" ref="W434">IF(TRIM($K434)="","(tidak diisi)",IFERROR(INDEX(Kamus!$K$3:$K$118,MATCH(TRUE,ISNUMBER(SEARCH(Kamus!$J$3:$J$118,$K434)),0)),"Individu / Perorangan"))</f>
        <v>Bank &amp; Lembaga Keuangan</v>
      </c>
      <c r="X434" s="106" t="str">
        <f t="shared" si="19"/>
        <v>08</v>
      </c>
      <c r="Y434" s="106" t="str" cm="1">
        <f t="array" ref="Y434">IFERROR(INDEX(Kamus!$N$3:$N$111,MATCH(TRUE,ISNUMBER(SEARCH(Kamus!$M$3:$M$111,$I434)),0)),"")</f>
        <v/>
      </c>
      <c r="Z434" s="106" t="str">
        <f>IF(AND(OR($X434="02",$X434="03",$X434="04"),OR($T434="Parsel/Bingkisan (tidak dirinci)",$T434="Makanan &amp; Minuman",$T434="Peralatan Rumah Tangga / Pecah Belah",$T434="Pakaian &amp; Kain")),"Momen Hari Raya (dugaan musiman)",IFERROR(VLOOKUP($W434,Kamus!$P$3:$Q$14,2,FALSE),"Tidak Teridentifikasi"))</f>
        <v>Relasi Layanan/Kerja Sama Perbankan (dugaan)</v>
      </c>
      <c r="AA434" s="106" t="str">
        <f t="shared" si="20"/>
        <v>Relasi Layanan/Kerja Sama Perbankan (dugaan)</v>
      </c>
    </row>
    <row r="435" spans="1:27">
      <c r="A435" s="106">
        <v>434</v>
      </c>
      <c r="B435" s="106" t="s">
        <v>2318</v>
      </c>
      <c r="C435" s="107" t="s">
        <v>2319</v>
      </c>
      <c r="D435" s="106" t="s">
        <v>1042</v>
      </c>
      <c r="E435" s="106" t="s">
        <v>1025</v>
      </c>
      <c r="F435" s="106" t="s">
        <v>3208</v>
      </c>
      <c r="G435" s="106" t="s">
        <v>1074</v>
      </c>
      <c r="H435" s="106" t="s">
        <v>3204</v>
      </c>
      <c r="I435" s="106" t="s">
        <v>3209</v>
      </c>
      <c r="K435" s="106" t="s">
        <v>3210</v>
      </c>
      <c r="L435" s="106" t="s">
        <v>3211</v>
      </c>
      <c r="O435" s="106" t="s">
        <v>274</v>
      </c>
      <c r="P435" s="106" t="s">
        <v>561</v>
      </c>
      <c r="Q435" s="106" t="s">
        <v>428</v>
      </c>
      <c r="S435" s="106" t="str" cm="1">
        <f t="array" ref="S435">IF(TRIM($D435)="","(tidak diisi)",IFERROR(INDEX(Kamus!$B$3:$B$28,MATCH(TRUE,ISNUMBER(SEARCH(Kamus!$A$3:$A$28,$D435)),0)),"Jabatan Lainnya"))</f>
        <v>Ketua Pengadilan</v>
      </c>
      <c r="T435" s="106" t="str" cm="1">
        <f t="array" ref="T435">IF(TRIM($I435)="","(tidak diisi)",IFERROR(INDEX(Kamus!$E$3:$E$162,MATCH(TRUE,ISNUMBER(SEARCH(Kamus!$D$3:$D$162,$I435)),0)),"Barang Lain / Tidak Terinci"))</f>
        <v>Elektronik &amp; Gadget</v>
      </c>
      <c r="U435" s="106" t="str" cm="1">
        <f t="array" ref="U435">IF(TRIM($I435)="","(tidak diisi)",IFERROR(INDEX(Kamus!$H$3:$H$75,MATCH(TRUE,ISNUMBER(SEARCH(Kamus!$G$3:$G$75,$I435)),0)),"Pemberian Umum / Tanpa Konteks"))</f>
        <v>Pemberian Umum / Tanpa Konteks</v>
      </c>
      <c r="V435" s="106" t="str">
        <f t="shared" si="18"/>
        <v>2025</v>
      </c>
      <c r="W435" s="106" t="str" cm="1">
        <f t="array" ref="W435">IF(TRIM($K435)="","(tidak diisi)",IFERROR(INDEX(Kamus!$K$3:$K$118,MATCH(TRUE,ISNUMBER(SEARCH(Kamus!$J$3:$J$118,$K435)),0)),"Individu / Perorangan"))</f>
        <v>Individu / Perorangan</v>
      </c>
      <c r="X435" s="106" t="str">
        <f t="shared" si="19"/>
        <v>08</v>
      </c>
      <c r="Y435" s="106" t="str" cm="1">
        <f t="array" ref="Y435">IFERROR(INDEX(Kamus!$N$3:$N$111,MATCH(TRUE,ISNUMBER(SEARCH(Kamus!$M$3:$M$111,$I435)),0)),"")</f>
        <v/>
      </c>
      <c r="Z435" s="106" t="str">
        <f>IF(AND(OR($X435="02",$X435="03",$X435="04"),OR($T435="Parsel/Bingkisan (tidak dirinci)",$T435="Makanan &amp; Minuman",$T435="Peralatan Rumah Tangga / Pecah Belah",$T435="Pakaian &amp; Kain")),"Momen Hari Raya (dugaan musiman)",IFERROR(VLOOKUP($W435,Kamus!$P$3:$Q$14,2,FALSE),"Tidak Teridentifikasi"))</f>
        <v>Relasi Personal / Tidak Teridentifikasi</v>
      </c>
      <c r="AA435" s="106" t="str">
        <f t="shared" si="20"/>
        <v>Relasi Personal / Tidak Teridentifikasi</v>
      </c>
    </row>
    <row r="436" spans="1:27">
      <c r="A436" s="106">
        <v>435</v>
      </c>
      <c r="B436" s="106" t="s">
        <v>1022</v>
      </c>
      <c r="C436" s="107" t="s">
        <v>1023</v>
      </c>
      <c r="D436" s="106" t="s">
        <v>1024</v>
      </c>
      <c r="E436" s="106" t="s">
        <v>1025</v>
      </c>
      <c r="F436" s="106" t="s">
        <v>3212</v>
      </c>
      <c r="G436" s="106" t="s">
        <v>1006</v>
      </c>
      <c r="H436" s="106" t="s">
        <v>3204</v>
      </c>
      <c r="I436" s="106" t="s">
        <v>3213</v>
      </c>
      <c r="J436" s="106">
        <v>100000</v>
      </c>
      <c r="K436" s="106" t="s">
        <v>3214</v>
      </c>
      <c r="L436" s="106" t="s">
        <v>3215</v>
      </c>
      <c r="M436" s="106" t="s">
        <v>1039</v>
      </c>
      <c r="O436" s="106" t="s">
        <v>274</v>
      </c>
      <c r="P436" s="106" t="s">
        <v>561</v>
      </c>
      <c r="Q436" s="106" t="s">
        <v>428</v>
      </c>
      <c r="S436" s="106" t="str" cm="1">
        <f t="array" ref="S436">IF(TRIM($D436)="","(tidak diisi)",IFERROR(INDEX(Kamus!$B$3:$B$28,MATCH(TRUE,ISNUMBER(SEARCH(Kamus!$A$3:$A$28,$D436)),0)),"Jabatan Lainnya"))</f>
        <v>Sekretaris</v>
      </c>
      <c r="T436" s="106" t="str" cm="1">
        <f t="array" ref="T436">IF(TRIM($I436)="","(tidak diisi)",IFERROR(INDEX(Kamus!$E$3:$E$162,MATCH(TRUE,ISNUMBER(SEARCH(Kamus!$D$3:$D$162,$I436)),0)),"Barang Lain / Tidak Terinci"))</f>
        <v>Suvenir &amp; Merchandise</v>
      </c>
      <c r="U436" s="106" t="str" cm="1">
        <f t="array" ref="U436">IF(TRIM($I436)="","(tidak diisi)",IFERROR(INDEX(Kamus!$H$3:$H$75,MATCH(TRUE,ISNUMBER(SEARCH(Kamus!$G$3:$G$75,$I436)),0)),"Pemberian Umum / Tanpa Konteks"))</f>
        <v>Suvenir / Merchandise Kegiatan &amp; Kunjungan</v>
      </c>
      <c r="V436" s="106" t="str">
        <f t="shared" si="18"/>
        <v>2025</v>
      </c>
      <c r="W436" s="106" t="str" cm="1">
        <f t="array" ref="W436">IF(TRIM($K436)="","(tidak diisi)",IFERROR(INDEX(Kamus!$K$3:$K$118,MATCH(TRUE,ISNUMBER(SEARCH(Kamus!$J$3:$J$118,$K436)),0)),"Individu / Perorangan"))</f>
        <v>Perusahaan / Vendor</v>
      </c>
      <c r="X436" s="106" t="str">
        <f t="shared" si="19"/>
        <v>08</v>
      </c>
      <c r="Y436" s="106" t="str" cm="1">
        <f t="array" ref="Y436">IFERROR(INDEX(Kamus!$N$3:$N$111,MATCH(TRUE,ISNUMBER(SEARCH(Kamus!$M$3:$M$111,$I436)),0)),"")</f>
        <v/>
      </c>
      <c r="Z436" s="106" t="str">
        <f>IF(AND(OR($X436="02",$X436="03",$X436="04"),OR($T436="Parsel/Bingkisan (tidak dirinci)",$T436="Makanan &amp; Minuman",$T436="Peralatan Rumah Tangga / Pecah Belah",$T436="Pakaian &amp; Kain")),"Momen Hari Raya (dugaan musiman)",IFERROR(VLOOKUP($W436,Kamus!$P$3:$Q$14,2,FALSE),"Tidak Teridentifikasi"))</f>
        <v>Relasi Vendor/Pengadaan (dugaan)</v>
      </c>
      <c r="AA436" s="106" t="str">
        <f t="shared" si="20"/>
        <v>Relasi Vendor/Pengadaan (dugaan)</v>
      </c>
    </row>
    <row r="437" spans="1:27">
      <c r="A437" s="106">
        <v>436</v>
      </c>
      <c r="B437" s="106" t="s">
        <v>2249</v>
      </c>
      <c r="C437" s="107" t="s">
        <v>2250</v>
      </c>
      <c r="D437" s="106" t="s">
        <v>2251</v>
      </c>
      <c r="E437" s="106" t="s">
        <v>1294</v>
      </c>
      <c r="F437" s="106" t="s">
        <v>3216</v>
      </c>
      <c r="G437" s="106" t="s">
        <v>1006</v>
      </c>
      <c r="H437" s="106" t="s">
        <v>3217</v>
      </c>
      <c r="I437" s="106" t="s">
        <v>3218</v>
      </c>
      <c r="J437" s="106">
        <v>100000</v>
      </c>
      <c r="K437" s="106" t="s">
        <v>2600</v>
      </c>
      <c r="L437" s="106" t="s">
        <v>3219</v>
      </c>
      <c r="M437" s="106" t="s">
        <v>1020</v>
      </c>
      <c r="O437" s="106" t="s">
        <v>274</v>
      </c>
      <c r="P437" s="106" t="s">
        <v>1298</v>
      </c>
      <c r="Q437" s="106" t="s">
        <v>428</v>
      </c>
      <c r="S437" s="106" t="str" cm="1">
        <f t="array" ref="S437">IF(TRIM($D437)="","(tidak diisi)",IFERROR(INDEX(Kamus!$B$3:$B$28,MATCH(TRUE,ISNUMBER(SEARCH(Kamus!$A$3:$A$28,$D437)),0)),"Jabatan Lainnya"))</f>
        <v>Wakil Ketua Pengadilan</v>
      </c>
      <c r="T437" s="106" t="str" cm="1">
        <f t="array" ref="T437">IF(TRIM($I437)="","(tidak diisi)",IFERROR(INDEX(Kamus!$E$3:$E$162,MATCH(TRUE,ISNUMBER(SEARCH(Kamus!$D$3:$D$162,$I437)),0)),"Barang Lain / Tidak Terinci"))</f>
        <v>Pakaian &amp; Kain</v>
      </c>
      <c r="U437" s="106" t="str" cm="1">
        <f t="array" ref="U437">IF(TRIM($I437)="","(tidak diisi)",IFERROR(INDEX(Kamus!$H$3:$H$75,MATCH(TRUE,ISNUMBER(SEARCH(Kamus!$G$3:$G$75,$I437)),0)),"Pemberian Umum / Tanpa Konteks"))</f>
        <v>Suvenir / Merchandise Kegiatan &amp; Kunjungan</v>
      </c>
      <c r="V437" s="106" t="str">
        <f t="shared" si="18"/>
        <v>2025</v>
      </c>
      <c r="W437" s="106" t="str" cm="1">
        <f t="array" ref="W437">IF(TRIM($K437)="","(tidak diisi)",IFERROR(INDEX(Kamus!$K$3:$K$118,MATCH(TRUE,ISNUMBER(SEARCH(Kamus!$J$3:$J$118,$K437)),0)),"Individu / Perorangan"))</f>
        <v>Individu / Perorangan</v>
      </c>
      <c r="X437" s="106" t="str">
        <f t="shared" si="19"/>
        <v>08</v>
      </c>
      <c r="Y437" s="106" t="str" cm="1">
        <f t="array" ref="Y437">IFERROR(INDEX(Kamus!$N$3:$N$111,MATCH(TRUE,ISNUMBER(SEARCH(Kamus!$M$3:$M$111,$I437)),0)),"")</f>
        <v/>
      </c>
      <c r="Z437" s="106" t="str">
        <f>IF(AND(OR($X437="02",$X437="03",$X437="04"),OR($T437="Parsel/Bingkisan (tidak dirinci)",$T437="Makanan &amp; Minuman",$T437="Peralatan Rumah Tangga / Pecah Belah",$T437="Pakaian &amp; Kain")),"Momen Hari Raya (dugaan musiman)",IFERROR(VLOOKUP($W437,Kamus!$P$3:$Q$14,2,FALSE),"Tidak Teridentifikasi"))</f>
        <v>Relasi Personal / Tidak Teridentifikasi</v>
      </c>
      <c r="AA437" s="106" t="str">
        <f t="shared" si="20"/>
        <v>Relasi Personal / Tidak Teridentifikasi</v>
      </c>
    </row>
    <row r="438" spans="1:27">
      <c r="A438" s="106">
        <v>437</v>
      </c>
      <c r="B438" s="106" t="s">
        <v>2249</v>
      </c>
      <c r="C438" s="107" t="s">
        <v>2250</v>
      </c>
      <c r="D438" s="106" t="s">
        <v>2251</v>
      </c>
      <c r="E438" s="106" t="s">
        <v>1294</v>
      </c>
      <c r="F438" s="106" t="s">
        <v>3220</v>
      </c>
      <c r="G438" s="106" t="s">
        <v>1006</v>
      </c>
      <c r="H438" s="106" t="s">
        <v>3217</v>
      </c>
      <c r="I438" s="106" t="s">
        <v>3221</v>
      </c>
      <c r="J438" s="106">
        <v>100000</v>
      </c>
      <c r="K438" s="106" t="s">
        <v>2600</v>
      </c>
      <c r="L438" s="106" t="s">
        <v>3222</v>
      </c>
      <c r="M438" s="106" t="s">
        <v>1020</v>
      </c>
      <c r="O438" s="106" t="s">
        <v>274</v>
      </c>
      <c r="P438" s="106" t="s">
        <v>1298</v>
      </c>
      <c r="Q438" s="106" t="s">
        <v>428</v>
      </c>
      <c r="S438" s="106" t="str" cm="1">
        <f t="array" ref="S438">IF(TRIM($D438)="","(tidak diisi)",IFERROR(INDEX(Kamus!$B$3:$B$28,MATCH(TRUE,ISNUMBER(SEARCH(Kamus!$A$3:$A$28,$D438)),0)),"Jabatan Lainnya"))</f>
        <v>Wakil Ketua Pengadilan</v>
      </c>
      <c r="T438" s="106" t="str" cm="1">
        <f t="array" ref="T438">IF(TRIM($I438)="","(tidak diisi)",IFERROR(INDEX(Kamus!$E$3:$E$162,MATCH(TRUE,ISNUMBER(SEARCH(Kamus!$D$3:$D$162,$I438)),0)),"Barang Lain / Tidak Terinci"))</f>
        <v>Pakaian &amp; Kain</v>
      </c>
      <c r="U438" s="106" t="str" cm="1">
        <f t="array" ref="U438">IF(TRIM($I438)="","(tidak diisi)",IFERROR(INDEX(Kamus!$H$3:$H$75,MATCH(TRUE,ISNUMBER(SEARCH(Kamus!$G$3:$G$75,$I438)),0)),"Pemberian Umum / Tanpa Konteks"))</f>
        <v>Pemberian Umum / Tanpa Konteks</v>
      </c>
      <c r="V438" s="106" t="str">
        <f t="shared" si="18"/>
        <v>2025</v>
      </c>
      <c r="W438" s="106" t="str" cm="1">
        <f t="array" ref="W438">IF(TRIM($K438)="","(tidak diisi)",IFERROR(INDEX(Kamus!$K$3:$K$118,MATCH(TRUE,ISNUMBER(SEARCH(Kamus!$J$3:$J$118,$K438)),0)),"Individu / Perorangan"))</f>
        <v>Individu / Perorangan</v>
      </c>
      <c r="X438" s="106" t="str">
        <f t="shared" si="19"/>
        <v>08</v>
      </c>
      <c r="Y438" s="106" t="str" cm="1">
        <f t="array" ref="Y438">IFERROR(INDEX(Kamus!$N$3:$N$111,MATCH(TRUE,ISNUMBER(SEARCH(Kamus!$M$3:$M$111,$I438)),0)),"")</f>
        <v/>
      </c>
      <c r="Z438" s="106" t="str">
        <f>IF(AND(OR($X438="02",$X438="03",$X438="04"),OR($T438="Parsel/Bingkisan (tidak dirinci)",$T438="Makanan &amp; Minuman",$T438="Peralatan Rumah Tangga / Pecah Belah",$T438="Pakaian &amp; Kain")),"Momen Hari Raya (dugaan musiman)",IFERROR(VLOOKUP($W438,Kamus!$P$3:$Q$14,2,FALSE),"Tidak Teridentifikasi"))</f>
        <v>Relasi Personal / Tidak Teridentifikasi</v>
      </c>
      <c r="AA438" s="106" t="str">
        <f t="shared" si="20"/>
        <v>Relasi Personal / Tidak Teridentifikasi</v>
      </c>
    </row>
    <row r="439" spans="1:27">
      <c r="A439" s="106">
        <v>438</v>
      </c>
      <c r="B439" s="106" t="s">
        <v>1060</v>
      </c>
      <c r="C439" s="107" t="s">
        <v>1061</v>
      </c>
      <c r="D439" s="106" t="s">
        <v>1033</v>
      </c>
      <c r="E439" s="106" t="s">
        <v>1062</v>
      </c>
      <c r="F439" s="106" t="s">
        <v>3223</v>
      </c>
      <c r="G439" s="106" t="s">
        <v>1006</v>
      </c>
      <c r="H439" s="106" t="s">
        <v>3224</v>
      </c>
      <c r="I439" s="106" t="s">
        <v>3225</v>
      </c>
      <c r="J439" s="106">
        <v>72399</v>
      </c>
      <c r="K439" s="106" t="s">
        <v>3226</v>
      </c>
      <c r="L439" s="106" t="s">
        <v>3227</v>
      </c>
      <c r="M439" s="106" t="s">
        <v>1020</v>
      </c>
      <c r="O439" s="106" t="s">
        <v>274</v>
      </c>
      <c r="P439" s="106" t="s">
        <v>1067</v>
      </c>
      <c r="Q439" s="106" t="s">
        <v>350</v>
      </c>
      <c r="S439" s="106" t="str" cm="1">
        <f t="array" ref="S439">IF(TRIM($D439)="","(tidak diisi)",IFERROR(INDEX(Kamus!$B$3:$B$28,MATCH(TRUE,ISNUMBER(SEARCH(Kamus!$A$3:$A$28,$D439)),0)),"Jabatan Lainnya"))</f>
        <v>Hakim</v>
      </c>
      <c r="T439" s="106" t="str" cm="1">
        <f t="array" ref="T439">IF(TRIM($I439)="","(tidak diisi)",IFERROR(INDEX(Kamus!$E$3:$E$162,MATCH(TRUE,ISNUMBER(SEARCH(Kamus!$D$3:$D$162,$I439)),0)),"Barang Lain / Tidak Terinci"))</f>
        <v>Makanan &amp; Minuman</v>
      </c>
      <c r="U439" s="106" t="str" cm="1">
        <f t="array" ref="U439">IF(TRIM($I439)="","(tidak diisi)",IFERROR(INDEX(Kamus!$H$3:$H$75,MATCH(TRUE,ISNUMBER(SEARCH(Kamus!$G$3:$G$75,$I439)),0)),"Pemberian Umum / Tanpa Konteks"))</f>
        <v>Pemberian Umum / Tanpa Konteks</v>
      </c>
      <c r="V439" s="106" t="str">
        <f t="shared" si="18"/>
        <v>2025</v>
      </c>
      <c r="W439" s="106" t="str" cm="1">
        <f t="array" ref="W439">IF(TRIM($K439)="","(tidak diisi)",IFERROR(INDEX(Kamus!$K$3:$K$118,MATCH(TRUE,ISNUMBER(SEARCH(Kamus!$J$3:$J$118,$K439)),0)),"Individu / Perorangan"))</f>
        <v>Individu / Perorangan</v>
      </c>
      <c r="X439" s="106" t="str">
        <f t="shared" si="19"/>
        <v>08</v>
      </c>
      <c r="Y439" s="106" t="str" cm="1">
        <f t="array" ref="Y439">IFERROR(INDEX(Kamus!$N$3:$N$111,MATCH(TRUE,ISNUMBER(SEARCH(Kamus!$M$3:$M$111,$I439)),0)),"")</f>
        <v/>
      </c>
      <c r="Z439" s="106" t="str">
        <f>IF(AND(OR($X439="02",$X439="03",$X439="04"),OR($T439="Parsel/Bingkisan (tidak dirinci)",$T439="Makanan &amp; Minuman",$T439="Peralatan Rumah Tangga / Pecah Belah",$T439="Pakaian &amp; Kain")),"Momen Hari Raya (dugaan musiman)",IFERROR(VLOOKUP($W439,Kamus!$P$3:$Q$14,2,FALSE),"Tidak Teridentifikasi"))</f>
        <v>Relasi Personal / Tidak Teridentifikasi</v>
      </c>
      <c r="AA439" s="106" t="str">
        <f t="shared" si="20"/>
        <v>Relasi Personal / Tidak Teridentifikasi</v>
      </c>
    </row>
    <row r="440" spans="1:27">
      <c r="A440" s="106">
        <v>439</v>
      </c>
      <c r="B440" s="106" t="s">
        <v>1060</v>
      </c>
      <c r="C440" s="107" t="s">
        <v>1061</v>
      </c>
      <c r="D440" s="106" t="s">
        <v>1033</v>
      </c>
      <c r="E440" s="106" t="s">
        <v>1062</v>
      </c>
      <c r="F440" s="106" t="s">
        <v>3228</v>
      </c>
      <c r="G440" s="106" t="s">
        <v>1006</v>
      </c>
      <c r="H440" s="106" t="s">
        <v>3229</v>
      </c>
      <c r="I440" s="106" t="s">
        <v>3230</v>
      </c>
      <c r="K440" s="106" t="s">
        <v>3231</v>
      </c>
      <c r="L440" s="106" t="s">
        <v>3232</v>
      </c>
      <c r="O440" s="106" t="s">
        <v>274</v>
      </c>
      <c r="P440" s="106" t="s">
        <v>1067</v>
      </c>
      <c r="Q440" s="106" t="s">
        <v>350</v>
      </c>
      <c r="S440" s="106" t="str" cm="1">
        <f t="array" ref="S440">IF(TRIM($D440)="","(tidak diisi)",IFERROR(INDEX(Kamus!$B$3:$B$28,MATCH(TRUE,ISNUMBER(SEARCH(Kamus!$A$3:$A$28,$D440)),0)),"Jabatan Lainnya"))</f>
        <v>Hakim</v>
      </c>
      <c r="T440" s="106" t="str" cm="1">
        <f t="array" ref="T440">IF(TRIM($I440)="","(tidak diisi)",IFERROR(INDEX(Kamus!$E$3:$E$162,MATCH(TRUE,ISNUMBER(SEARCH(Kamus!$D$3:$D$162,$I440)),0)),"Barang Lain / Tidak Terinci"))</f>
        <v>Makanan &amp; Minuman</v>
      </c>
      <c r="U440" s="106" t="str" cm="1">
        <f t="array" ref="U440">IF(TRIM($I440)="","(tidak diisi)",IFERROR(INDEX(Kamus!$H$3:$H$75,MATCH(TRUE,ISNUMBER(SEARCH(Kamus!$G$3:$G$75,$I440)),0)),"Pemberian Umum / Tanpa Konteks"))</f>
        <v>Pemberian Umum / Tanpa Konteks</v>
      </c>
      <c r="V440" s="106" t="str">
        <f t="shared" si="18"/>
        <v>2025</v>
      </c>
      <c r="W440" s="106" t="str" cm="1">
        <f t="array" ref="W440">IF(TRIM($K440)="","(tidak diisi)",IFERROR(INDEX(Kamus!$K$3:$K$118,MATCH(TRUE,ISNUMBER(SEARCH(Kamus!$J$3:$J$118,$K440)),0)),"Individu / Perorangan"))</f>
        <v>Individu / Perorangan</v>
      </c>
      <c r="X440" s="106" t="str">
        <f t="shared" si="19"/>
        <v>08</v>
      </c>
      <c r="Y440" s="106" t="str" cm="1">
        <f t="array" ref="Y440">IFERROR(INDEX(Kamus!$N$3:$N$111,MATCH(TRUE,ISNUMBER(SEARCH(Kamus!$M$3:$M$111,$I440)),0)),"")</f>
        <v/>
      </c>
      <c r="Z440" s="106" t="str">
        <f>IF(AND(OR($X440="02",$X440="03",$X440="04"),OR($T440="Parsel/Bingkisan (tidak dirinci)",$T440="Makanan &amp; Minuman",$T440="Peralatan Rumah Tangga / Pecah Belah",$T440="Pakaian &amp; Kain")),"Momen Hari Raya (dugaan musiman)",IFERROR(VLOOKUP($W440,Kamus!$P$3:$Q$14,2,FALSE),"Tidak Teridentifikasi"))</f>
        <v>Relasi Personal / Tidak Teridentifikasi</v>
      </c>
      <c r="AA440" s="106" t="str">
        <f t="shared" si="20"/>
        <v>Relasi Personal / Tidak Teridentifikasi</v>
      </c>
    </row>
    <row r="441" spans="1:27">
      <c r="A441" s="106">
        <v>440</v>
      </c>
      <c r="B441" s="106" t="s">
        <v>1022</v>
      </c>
      <c r="C441" s="107" t="s">
        <v>1023</v>
      </c>
      <c r="D441" s="106" t="s">
        <v>1024</v>
      </c>
      <c r="E441" s="106" t="s">
        <v>1025</v>
      </c>
      <c r="F441" s="106" t="s">
        <v>3233</v>
      </c>
      <c r="G441" s="106" t="s">
        <v>1006</v>
      </c>
      <c r="H441" s="106" t="s">
        <v>3234</v>
      </c>
      <c r="I441" s="106" t="s">
        <v>3235</v>
      </c>
      <c r="K441" s="106" t="s">
        <v>3236</v>
      </c>
      <c r="L441" s="106" t="s">
        <v>3237</v>
      </c>
      <c r="O441" s="106" t="s">
        <v>274</v>
      </c>
      <c r="P441" s="106" t="s">
        <v>561</v>
      </c>
      <c r="Q441" s="106" t="s">
        <v>428</v>
      </c>
      <c r="S441" s="106" t="str" cm="1">
        <f t="array" ref="S441">IF(TRIM($D441)="","(tidak diisi)",IFERROR(INDEX(Kamus!$B$3:$B$28,MATCH(TRUE,ISNUMBER(SEARCH(Kamus!$A$3:$A$28,$D441)),0)),"Jabatan Lainnya"))</f>
        <v>Sekretaris</v>
      </c>
      <c r="T441" s="106" t="str" cm="1">
        <f t="array" ref="T441">IF(TRIM($I441)="","(tidak diisi)",IFERROR(INDEX(Kamus!$E$3:$E$162,MATCH(TRUE,ISNUMBER(SEARCH(Kamus!$D$3:$D$162,$I441)),0)),"Barang Lain / Tidak Terinci"))</f>
        <v>Barang Lain / Tidak Terinci</v>
      </c>
      <c r="U441" s="106" t="str" cm="1">
        <f t="array" ref="U441">IF(TRIM($I441)="","(tidak diisi)",IFERROR(INDEX(Kamus!$H$3:$H$75,MATCH(TRUE,ISNUMBER(SEARCH(Kamus!$G$3:$G$75,$I441)),0)),"Pemberian Umum / Tanpa Konteks"))</f>
        <v>Pemberian Umum / Tanpa Konteks</v>
      </c>
      <c r="V441" s="106" t="str">
        <f t="shared" si="18"/>
        <v>2025</v>
      </c>
      <c r="W441" s="106" t="str" cm="1">
        <f t="array" ref="W441">IF(TRIM($K441)="","(tidak diisi)",IFERROR(INDEX(Kamus!$K$3:$K$118,MATCH(TRUE,ISNUMBER(SEARCH(Kamus!$J$3:$J$118,$K441)),0)),"Individu / Perorangan"))</f>
        <v>Individu / Perorangan</v>
      </c>
      <c r="X441" s="106" t="str">
        <f t="shared" si="19"/>
        <v>08</v>
      </c>
      <c r="Y441" s="106" t="str" cm="1">
        <f t="array" ref="Y441">IFERROR(INDEX(Kamus!$N$3:$N$111,MATCH(TRUE,ISNUMBER(SEARCH(Kamus!$M$3:$M$111,$I441)),0)),"")</f>
        <v/>
      </c>
      <c r="Z441" s="106" t="str">
        <f>IF(AND(OR($X441="02",$X441="03",$X441="04"),OR($T441="Parsel/Bingkisan (tidak dirinci)",$T441="Makanan &amp; Minuman",$T441="Peralatan Rumah Tangga / Pecah Belah",$T441="Pakaian &amp; Kain")),"Momen Hari Raya (dugaan musiman)",IFERROR(VLOOKUP($W441,Kamus!$P$3:$Q$14,2,FALSE),"Tidak Teridentifikasi"))</f>
        <v>Relasi Personal / Tidak Teridentifikasi</v>
      </c>
      <c r="AA441" s="106" t="str">
        <f t="shared" si="20"/>
        <v>Relasi Personal / Tidak Teridentifikasi</v>
      </c>
    </row>
    <row r="442" spans="1:27">
      <c r="A442" s="106">
        <v>441</v>
      </c>
      <c r="B442" s="106" t="s">
        <v>1022</v>
      </c>
      <c r="C442" s="107" t="s">
        <v>1023</v>
      </c>
      <c r="D442" s="106" t="s">
        <v>1024</v>
      </c>
      <c r="E442" s="106" t="s">
        <v>1025</v>
      </c>
      <c r="F442" s="106" t="s">
        <v>3238</v>
      </c>
      <c r="G442" s="106" t="s">
        <v>1006</v>
      </c>
      <c r="H442" s="106" t="s">
        <v>3239</v>
      </c>
      <c r="I442" s="106" t="s">
        <v>3240</v>
      </c>
      <c r="K442" s="106" t="s">
        <v>2435</v>
      </c>
      <c r="L442" s="106" t="s">
        <v>3241</v>
      </c>
      <c r="O442" s="106" t="s">
        <v>274</v>
      </c>
      <c r="P442" s="106" t="s">
        <v>561</v>
      </c>
      <c r="Q442" s="106" t="s">
        <v>428</v>
      </c>
      <c r="S442" s="106" t="str" cm="1">
        <f t="array" ref="S442">IF(TRIM($D442)="","(tidak diisi)",IFERROR(INDEX(Kamus!$B$3:$B$28,MATCH(TRUE,ISNUMBER(SEARCH(Kamus!$A$3:$A$28,$D442)),0)),"Jabatan Lainnya"))</f>
        <v>Sekretaris</v>
      </c>
      <c r="T442" s="106" t="str" cm="1">
        <f t="array" ref="T442">IF(TRIM($I442)="","(tidak diisi)",IFERROR(INDEX(Kamus!$E$3:$E$162,MATCH(TRUE,ISNUMBER(SEARCH(Kamus!$D$3:$D$162,$I442)),0)),"Barang Lain / Tidak Terinci"))</f>
        <v>Karangan Bunga / Ucapan</v>
      </c>
      <c r="U442" s="106" t="str" cm="1">
        <f t="array" ref="U442">IF(TRIM($I442)="","(tidak diisi)",IFERROR(INDEX(Kamus!$H$3:$H$75,MATCH(TRUE,ISNUMBER(SEARCH(Kamus!$G$3:$G$75,$I442)),0)),"Pemberian Umum / Tanpa Konteks"))</f>
        <v>Ucapan Duka/Selamat (Karangan Bunga)</v>
      </c>
      <c r="V442" s="106" t="str">
        <f t="shared" si="18"/>
        <v>2025</v>
      </c>
      <c r="W442" s="106" t="str" cm="1">
        <f t="array" ref="W442">IF(TRIM($K442)="","(tidak diisi)",IFERROR(INDEX(Kamus!$K$3:$K$118,MATCH(TRUE,ISNUMBER(SEARCH(Kamus!$J$3:$J$118,$K442)),0)),"Individu / Perorangan"))</f>
        <v>Individu / Perorangan</v>
      </c>
      <c r="X442" s="106" t="str">
        <f t="shared" si="19"/>
        <v>08</v>
      </c>
      <c r="Y442" s="106" t="str" cm="1">
        <f t="array" ref="Y442">IFERROR(INDEX(Kamus!$N$3:$N$111,MATCH(TRUE,ISNUMBER(SEARCH(Kamus!$M$3:$M$111,$I442)),0)),"")</f>
        <v>HUT / Peresmian &amp; Syukuran Instansi</v>
      </c>
      <c r="Z442" s="106" t="str">
        <f>IF(AND(OR($X442="02",$X442="03",$X442="04"),OR($T442="Parsel/Bingkisan (tidak dirinci)",$T442="Makanan &amp; Minuman",$T442="Peralatan Rumah Tangga / Pecah Belah",$T442="Pakaian &amp; Kain")),"Momen Hari Raya (dugaan musiman)",IFERROR(VLOOKUP($W442,Kamus!$P$3:$Q$14,2,FALSE),"Tidak Teridentifikasi"))</f>
        <v>Relasi Personal / Tidak Teridentifikasi</v>
      </c>
      <c r="AA442" s="106" t="str">
        <f t="shared" si="20"/>
        <v>HUT / Peresmian &amp; Syukuran Instansi</v>
      </c>
    </row>
    <row r="443" spans="1:27">
      <c r="A443" s="106">
        <v>442</v>
      </c>
      <c r="B443" s="106" t="s">
        <v>2249</v>
      </c>
      <c r="C443" s="107" t="s">
        <v>2250</v>
      </c>
      <c r="D443" s="106" t="s">
        <v>2251</v>
      </c>
      <c r="E443" s="106" t="s">
        <v>1294</v>
      </c>
      <c r="F443" s="106" t="s">
        <v>3242</v>
      </c>
      <c r="G443" s="106" t="s">
        <v>1006</v>
      </c>
      <c r="H443" s="106" t="s">
        <v>3239</v>
      </c>
      <c r="I443" s="106" t="s">
        <v>3243</v>
      </c>
      <c r="K443" s="106" t="s">
        <v>3244</v>
      </c>
      <c r="L443" s="106" t="s">
        <v>3245</v>
      </c>
      <c r="O443" s="106" t="s">
        <v>274</v>
      </c>
      <c r="P443" s="106" t="s">
        <v>1298</v>
      </c>
      <c r="Q443" s="106" t="s">
        <v>428</v>
      </c>
      <c r="S443" s="106" t="str" cm="1">
        <f t="array" ref="S443">IF(TRIM($D443)="","(tidak diisi)",IFERROR(INDEX(Kamus!$B$3:$B$28,MATCH(TRUE,ISNUMBER(SEARCH(Kamus!$A$3:$A$28,$D443)),0)),"Jabatan Lainnya"))</f>
        <v>Wakil Ketua Pengadilan</v>
      </c>
      <c r="T443" s="106" t="str" cm="1">
        <f t="array" ref="T443">IF(TRIM($I443)="","(tidak diisi)",IFERROR(INDEX(Kamus!$E$3:$E$162,MATCH(TRUE,ISNUMBER(SEARCH(Kamus!$D$3:$D$162,$I443)),0)),"Barang Lain / Tidak Terinci"))</f>
        <v>Karangan Bunga / Ucapan</v>
      </c>
      <c r="U443" s="106" t="str" cm="1">
        <f t="array" ref="U443">IF(TRIM($I443)="","(tidak diisi)",IFERROR(INDEX(Kamus!$H$3:$H$75,MATCH(TRUE,ISNUMBER(SEARCH(Kamus!$G$3:$G$75,$I443)),0)),"Pemberian Umum / Tanpa Konteks"))</f>
        <v>Ucapan Duka/Selamat (Karangan Bunga)</v>
      </c>
      <c r="V443" s="106" t="str">
        <f t="shared" si="18"/>
        <v>2025</v>
      </c>
      <c r="W443" s="106" t="str" cm="1">
        <f t="array" ref="W443">IF(TRIM($K443)="","(tidak diisi)",IFERROR(INDEX(Kamus!$K$3:$K$118,MATCH(TRUE,ISNUMBER(SEARCH(Kamus!$J$3:$J$118,$K443)),0)),"Individu / Perorangan"))</f>
        <v>Bank &amp; Lembaga Keuangan</v>
      </c>
      <c r="X443" s="106" t="str">
        <f t="shared" si="19"/>
        <v>08</v>
      </c>
      <c r="Y443" s="106" t="str" cm="1">
        <f t="array" ref="Y443">IFERROR(INDEX(Kamus!$N$3:$N$111,MATCH(TRUE,ISNUMBER(SEARCH(Kamus!$M$3:$M$111,$I443)),0)),"")</f>
        <v>Ucapan Selamat/Duka atas Acara Instansi</v>
      </c>
      <c r="Z443" s="106" t="str">
        <f>IF(AND(OR($X443="02",$X443="03",$X443="04"),OR($T443="Parsel/Bingkisan (tidak dirinci)",$T443="Makanan &amp; Minuman",$T443="Peralatan Rumah Tangga / Pecah Belah",$T443="Pakaian &amp; Kain")),"Momen Hari Raya (dugaan musiman)",IFERROR(VLOOKUP($W443,Kamus!$P$3:$Q$14,2,FALSE),"Tidak Teridentifikasi"))</f>
        <v>Relasi Layanan/Kerja Sama Perbankan (dugaan)</v>
      </c>
      <c r="AA443" s="106" t="str">
        <f t="shared" si="20"/>
        <v>Ucapan Selamat/Duka atas Acara Instansi</v>
      </c>
    </row>
    <row r="444" spans="1:27">
      <c r="A444" s="106">
        <v>443</v>
      </c>
      <c r="B444" s="106" t="s">
        <v>3246</v>
      </c>
      <c r="C444" s="107" t="s">
        <v>3247</v>
      </c>
      <c r="D444" s="106" t="s">
        <v>1336</v>
      </c>
      <c r="E444" s="106" t="s">
        <v>3248</v>
      </c>
      <c r="F444" s="106" t="s">
        <v>3249</v>
      </c>
      <c r="G444" s="106" t="s">
        <v>1006</v>
      </c>
      <c r="H444" s="106" t="s">
        <v>3239</v>
      </c>
      <c r="I444" s="106" t="s">
        <v>3171</v>
      </c>
      <c r="K444" s="106" t="s">
        <v>3250</v>
      </c>
      <c r="L444" s="106" t="s">
        <v>3251</v>
      </c>
      <c r="O444" s="106" t="s">
        <v>274</v>
      </c>
      <c r="P444" s="106" t="s">
        <v>3252</v>
      </c>
      <c r="Q444" s="106" t="s">
        <v>435</v>
      </c>
      <c r="S444" s="106" t="str" cm="1">
        <f t="array" ref="S444">IF(TRIM($D444)="","(tidak diisi)",IFERROR(INDEX(Kamus!$B$3:$B$28,MATCH(TRUE,ISNUMBER(SEARCH(Kamus!$A$3:$A$28,$D444)),0)),"Jabatan Lainnya"))</f>
        <v>Panitera</v>
      </c>
      <c r="T444" s="106" t="str" cm="1">
        <f t="array" ref="T444">IF(TRIM($I444)="","(tidak diisi)",IFERROR(INDEX(Kamus!$E$3:$E$162,MATCH(TRUE,ISNUMBER(SEARCH(Kamus!$D$3:$D$162,$I444)),0)),"Barang Lain / Tidak Terinci"))</f>
        <v>Karangan Bunga / Ucapan</v>
      </c>
      <c r="U444" s="106" t="str" cm="1">
        <f t="array" ref="U444">IF(TRIM($I444)="","(tidak diisi)",IFERROR(INDEX(Kamus!$H$3:$H$75,MATCH(TRUE,ISNUMBER(SEARCH(Kamus!$G$3:$G$75,$I444)),0)),"Pemberian Umum / Tanpa Konteks"))</f>
        <v>Ucapan Duka/Selamat (Karangan Bunga)</v>
      </c>
      <c r="V444" s="106" t="str">
        <f t="shared" si="18"/>
        <v>2025</v>
      </c>
      <c r="W444" s="106" t="str" cm="1">
        <f t="array" ref="W444">IF(TRIM($K444)="","(tidak diisi)",IFERROR(INDEX(Kamus!$K$3:$K$118,MATCH(TRUE,ISNUMBER(SEARCH(Kamus!$J$3:$J$118,$K444)),0)),"Individu / Perorangan"))</f>
        <v>Individu / Perorangan</v>
      </c>
      <c r="X444" s="106" t="str">
        <f t="shared" si="19"/>
        <v>08</v>
      </c>
      <c r="Y444" s="106" t="str" cm="1">
        <f t="array" ref="Y444">IFERROR(INDEX(Kamus!$N$3:$N$111,MATCH(TRUE,ISNUMBER(SEARCH(Kamus!$M$3:$M$111,$I444)),0)),"")</f>
        <v>Ucapan Selamat/Duka atas Acara Instansi</v>
      </c>
      <c r="Z444" s="106" t="str">
        <f>IF(AND(OR($X444="02",$X444="03",$X444="04"),OR($T444="Parsel/Bingkisan (tidak dirinci)",$T444="Makanan &amp; Minuman",$T444="Peralatan Rumah Tangga / Pecah Belah",$T444="Pakaian &amp; Kain")),"Momen Hari Raya (dugaan musiman)",IFERROR(VLOOKUP($W444,Kamus!$P$3:$Q$14,2,FALSE),"Tidak Teridentifikasi"))</f>
        <v>Relasi Personal / Tidak Teridentifikasi</v>
      </c>
      <c r="AA444" s="106" t="str">
        <f t="shared" si="20"/>
        <v>Ucapan Selamat/Duka atas Acara Instansi</v>
      </c>
    </row>
    <row r="445" spans="1:27">
      <c r="A445" s="106">
        <v>444</v>
      </c>
      <c r="B445" s="106" t="s">
        <v>2318</v>
      </c>
      <c r="C445" s="107" t="s">
        <v>2319</v>
      </c>
      <c r="D445" s="106" t="s">
        <v>1042</v>
      </c>
      <c r="E445" s="106" t="s">
        <v>1025</v>
      </c>
      <c r="F445" s="106" t="s">
        <v>3253</v>
      </c>
      <c r="G445" s="106" t="s">
        <v>1006</v>
      </c>
      <c r="H445" s="106" t="s">
        <v>3254</v>
      </c>
      <c r="I445" s="106" t="s">
        <v>1745</v>
      </c>
      <c r="K445" s="106" t="s">
        <v>3255</v>
      </c>
      <c r="L445" s="106" t="s">
        <v>3256</v>
      </c>
      <c r="O445" s="106" t="s">
        <v>274</v>
      </c>
      <c r="P445" s="106" t="s">
        <v>561</v>
      </c>
      <c r="Q445" s="106" t="s">
        <v>428</v>
      </c>
      <c r="S445" s="106" t="str" cm="1">
        <f t="array" ref="S445">IF(TRIM($D445)="","(tidak diisi)",IFERROR(INDEX(Kamus!$B$3:$B$28,MATCH(TRUE,ISNUMBER(SEARCH(Kamus!$A$3:$A$28,$D445)),0)),"Jabatan Lainnya"))</f>
        <v>Ketua Pengadilan</v>
      </c>
      <c r="T445" s="106" t="str" cm="1">
        <f t="array" ref="T445">IF(TRIM($I445)="","(tidak diisi)",IFERROR(INDEX(Kamus!$E$3:$E$162,MATCH(TRUE,ISNUMBER(SEARCH(Kamus!$D$3:$D$162,$I445)),0)),"Barang Lain / Tidak Terinci"))</f>
        <v>Makanan &amp; Minuman</v>
      </c>
      <c r="U445" s="106" t="str" cm="1">
        <f t="array" ref="U445">IF(TRIM($I445)="","(tidak diisi)",IFERROR(INDEX(Kamus!$H$3:$H$75,MATCH(TRUE,ISNUMBER(SEARCH(Kamus!$G$3:$G$75,$I445)),0)),"Pemberian Umum / Tanpa Konteks"))</f>
        <v>Pemberian Umum / Tanpa Konteks</v>
      </c>
      <c r="V445" s="106" t="str">
        <f t="shared" si="18"/>
        <v>2025</v>
      </c>
      <c r="W445" s="106" t="str" cm="1">
        <f t="array" ref="W445">IF(TRIM($K445)="","(tidak diisi)",IFERROR(INDEX(Kamus!$K$3:$K$118,MATCH(TRUE,ISNUMBER(SEARCH(Kamus!$J$3:$J$118,$K445)),0)),"Individu / Perorangan"))</f>
        <v>Individu / Perorangan</v>
      </c>
      <c r="X445" s="106" t="str">
        <f t="shared" si="19"/>
        <v>08</v>
      </c>
      <c r="Y445" s="106" t="str" cm="1">
        <f t="array" ref="Y445">IFERROR(INDEX(Kamus!$N$3:$N$111,MATCH(TRUE,ISNUMBER(SEARCH(Kamus!$M$3:$M$111,$I445)),0)),"")</f>
        <v/>
      </c>
      <c r="Z445" s="106" t="str">
        <f>IF(AND(OR($X445="02",$X445="03",$X445="04"),OR($T445="Parsel/Bingkisan (tidak dirinci)",$T445="Makanan &amp; Minuman",$T445="Peralatan Rumah Tangga / Pecah Belah",$T445="Pakaian &amp; Kain")),"Momen Hari Raya (dugaan musiman)",IFERROR(VLOOKUP($W445,Kamus!$P$3:$Q$14,2,FALSE),"Tidak Teridentifikasi"))</f>
        <v>Relasi Personal / Tidak Teridentifikasi</v>
      </c>
      <c r="AA445" s="106" t="str">
        <f t="shared" si="20"/>
        <v>Relasi Personal / Tidak Teridentifikasi</v>
      </c>
    </row>
    <row r="446" spans="1:27">
      <c r="A446" s="106">
        <v>445</v>
      </c>
      <c r="B446" s="106" t="s">
        <v>2318</v>
      </c>
      <c r="C446" s="107" t="s">
        <v>2319</v>
      </c>
      <c r="D446" s="106" t="s">
        <v>1042</v>
      </c>
      <c r="E446" s="106" t="s">
        <v>1025</v>
      </c>
      <c r="F446" s="106" t="s">
        <v>3253</v>
      </c>
      <c r="G446" s="106" t="s">
        <v>1006</v>
      </c>
      <c r="H446" s="106" t="s">
        <v>3254</v>
      </c>
      <c r="I446" s="106" t="s">
        <v>1398</v>
      </c>
      <c r="K446" s="106" t="s">
        <v>3255</v>
      </c>
      <c r="L446" s="106" t="s">
        <v>3256</v>
      </c>
      <c r="O446" s="106" t="s">
        <v>274</v>
      </c>
      <c r="P446" s="106" t="s">
        <v>561</v>
      </c>
      <c r="Q446" s="106" t="s">
        <v>428</v>
      </c>
      <c r="S446" s="106" t="str" cm="1">
        <f t="array" ref="S446">IF(TRIM($D446)="","(tidak diisi)",IFERROR(INDEX(Kamus!$B$3:$B$28,MATCH(TRUE,ISNUMBER(SEARCH(Kamus!$A$3:$A$28,$D446)),0)),"Jabatan Lainnya"))</f>
        <v>Ketua Pengadilan</v>
      </c>
      <c r="T446" s="106" t="str" cm="1">
        <f t="array" ref="T446">IF(TRIM($I446)="","(tidak diisi)",IFERROR(INDEX(Kamus!$E$3:$E$162,MATCH(TRUE,ISNUMBER(SEARCH(Kamus!$D$3:$D$162,$I446)),0)),"Barang Lain / Tidak Terinci"))</f>
        <v>Suvenir &amp; Merchandise</v>
      </c>
      <c r="U446" s="106" t="str" cm="1">
        <f t="array" ref="U446">IF(TRIM($I446)="","(tidak diisi)",IFERROR(INDEX(Kamus!$H$3:$H$75,MATCH(TRUE,ISNUMBER(SEARCH(Kamus!$G$3:$G$75,$I446)),0)),"Pemberian Umum / Tanpa Konteks"))</f>
        <v>Suvenir / Merchandise Kegiatan &amp; Kunjungan</v>
      </c>
      <c r="V446" s="106" t="str">
        <f t="shared" si="18"/>
        <v>2025</v>
      </c>
      <c r="W446" s="106" t="str" cm="1">
        <f t="array" ref="W446">IF(TRIM($K446)="","(tidak diisi)",IFERROR(INDEX(Kamus!$K$3:$K$118,MATCH(TRUE,ISNUMBER(SEARCH(Kamus!$J$3:$J$118,$K446)),0)),"Individu / Perorangan"))</f>
        <v>Individu / Perorangan</v>
      </c>
      <c r="X446" s="106" t="str">
        <f t="shared" si="19"/>
        <v>08</v>
      </c>
      <c r="Y446" s="106" t="str" cm="1">
        <f t="array" ref="Y446">IFERROR(INDEX(Kamus!$N$3:$N$111,MATCH(TRUE,ISNUMBER(SEARCH(Kamus!$M$3:$M$111,$I446)),0)),"")</f>
        <v/>
      </c>
      <c r="Z446" s="106" t="str">
        <f>IF(AND(OR($X446="02",$X446="03",$X446="04"),OR($T446="Parsel/Bingkisan (tidak dirinci)",$T446="Makanan &amp; Minuman",$T446="Peralatan Rumah Tangga / Pecah Belah",$T446="Pakaian &amp; Kain")),"Momen Hari Raya (dugaan musiman)",IFERROR(VLOOKUP($W446,Kamus!$P$3:$Q$14,2,FALSE),"Tidak Teridentifikasi"))</f>
        <v>Relasi Personal / Tidak Teridentifikasi</v>
      </c>
      <c r="AA446" s="106" t="str">
        <f t="shared" si="20"/>
        <v>Relasi Personal / Tidak Teridentifikasi</v>
      </c>
    </row>
    <row r="447" spans="1:27">
      <c r="A447" s="106">
        <v>446</v>
      </c>
      <c r="B447" s="106" t="s">
        <v>2318</v>
      </c>
      <c r="C447" s="107" t="s">
        <v>2319</v>
      </c>
      <c r="D447" s="106" t="s">
        <v>1042</v>
      </c>
      <c r="E447" s="106" t="s">
        <v>1025</v>
      </c>
      <c r="F447" s="106" t="s">
        <v>3253</v>
      </c>
      <c r="G447" s="106" t="s">
        <v>1006</v>
      </c>
      <c r="H447" s="106" t="s">
        <v>3254</v>
      </c>
      <c r="I447" s="106" t="s">
        <v>3257</v>
      </c>
      <c r="K447" s="106" t="s">
        <v>3258</v>
      </c>
      <c r="L447" s="106" t="s">
        <v>3256</v>
      </c>
      <c r="O447" s="106" t="s">
        <v>274</v>
      </c>
      <c r="P447" s="106" t="s">
        <v>561</v>
      </c>
      <c r="Q447" s="106" t="s">
        <v>428</v>
      </c>
      <c r="S447" s="106" t="str" cm="1">
        <f t="array" ref="S447">IF(TRIM($D447)="","(tidak diisi)",IFERROR(INDEX(Kamus!$B$3:$B$28,MATCH(TRUE,ISNUMBER(SEARCH(Kamus!$A$3:$A$28,$D447)),0)),"Jabatan Lainnya"))</f>
        <v>Ketua Pengadilan</v>
      </c>
      <c r="T447" s="106" t="str" cm="1">
        <f t="array" ref="T447">IF(TRIM($I447)="","(tidak diisi)",IFERROR(INDEX(Kamus!$E$3:$E$162,MATCH(TRUE,ISNUMBER(SEARCH(Kamus!$D$3:$D$162,$I447)),0)),"Barang Lain / Tidak Terinci"))</f>
        <v>Karangan Bunga / Ucapan</v>
      </c>
      <c r="U447" s="106" t="str" cm="1">
        <f t="array" ref="U447">IF(TRIM($I447)="","(tidak diisi)",IFERROR(INDEX(Kamus!$H$3:$H$75,MATCH(TRUE,ISNUMBER(SEARCH(Kamus!$G$3:$G$75,$I447)),0)),"Pemberian Umum / Tanpa Konteks"))</f>
        <v>Ucapan Duka/Selamat (Karangan Bunga)</v>
      </c>
      <c r="V447" s="106" t="str">
        <f t="shared" si="18"/>
        <v>2025</v>
      </c>
      <c r="W447" s="106" t="str" cm="1">
        <f t="array" ref="W447">IF(TRIM($K447)="","(tidak diisi)",IFERROR(INDEX(Kamus!$K$3:$K$118,MATCH(TRUE,ISNUMBER(SEARCH(Kamus!$J$3:$J$118,$K447)),0)),"Individu / Perorangan"))</f>
        <v>Bank &amp; Lembaga Keuangan</v>
      </c>
      <c r="X447" s="106" t="str">
        <f t="shared" si="19"/>
        <v>08</v>
      </c>
      <c r="Y447" s="106" t="str" cm="1">
        <f t="array" ref="Y447">IFERROR(INDEX(Kamus!$N$3:$N$111,MATCH(TRUE,ISNUMBER(SEARCH(Kamus!$M$3:$M$111,$I447)),0)),"")</f>
        <v>Ucapan Selamat/Duka atas Acara Instansi</v>
      </c>
      <c r="Z447" s="106" t="str">
        <f>IF(AND(OR($X447="02",$X447="03",$X447="04"),OR($T447="Parsel/Bingkisan (tidak dirinci)",$T447="Makanan &amp; Minuman",$T447="Peralatan Rumah Tangga / Pecah Belah",$T447="Pakaian &amp; Kain")),"Momen Hari Raya (dugaan musiman)",IFERROR(VLOOKUP($W447,Kamus!$P$3:$Q$14,2,FALSE),"Tidak Teridentifikasi"))</f>
        <v>Relasi Layanan/Kerja Sama Perbankan (dugaan)</v>
      </c>
      <c r="AA447" s="106" t="str">
        <f t="shared" si="20"/>
        <v>Ucapan Selamat/Duka atas Acara Instansi</v>
      </c>
    </row>
    <row r="448" spans="1:27">
      <c r="A448" s="106">
        <v>447</v>
      </c>
      <c r="B448" s="106" t="s">
        <v>3246</v>
      </c>
      <c r="C448" s="107" t="s">
        <v>3247</v>
      </c>
      <c r="D448" s="106" t="s">
        <v>1336</v>
      </c>
      <c r="E448" s="106" t="s">
        <v>3248</v>
      </c>
      <c r="F448" s="106" t="s">
        <v>3259</v>
      </c>
      <c r="G448" s="106" t="s">
        <v>1006</v>
      </c>
      <c r="H448" s="106" t="s">
        <v>3254</v>
      </c>
      <c r="I448" s="106" t="s">
        <v>3260</v>
      </c>
      <c r="K448" s="106" t="s">
        <v>468</v>
      </c>
      <c r="L448" s="106" t="s">
        <v>3261</v>
      </c>
      <c r="O448" s="106" t="s">
        <v>274</v>
      </c>
      <c r="P448" s="106" t="s">
        <v>3252</v>
      </c>
      <c r="Q448" s="106" t="s">
        <v>435</v>
      </c>
      <c r="S448" s="106" t="str" cm="1">
        <f t="array" ref="S448">IF(TRIM($D448)="","(tidak diisi)",IFERROR(INDEX(Kamus!$B$3:$B$28,MATCH(TRUE,ISNUMBER(SEARCH(Kamus!$A$3:$A$28,$D448)),0)),"Jabatan Lainnya"))</f>
        <v>Panitera</v>
      </c>
      <c r="T448" s="106" t="str" cm="1">
        <f t="array" ref="T448">IF(TRIM($I448)="","(tidak diisi)",IFERROR(INDEX(Kamus!$E$3:$E$162,MATCH(TRUE,ISNUMBER(SEARCH(Kamus!$D$3:$D$162,$I448)),0)),"Barang Lain / Tidak Terinci"))</f>
        <v>Makanan &amp; Minuman</v>
      </c>
      <c r="U448" s="106" t="str" cm="1">
        <f t="array" ref="U448">IF(TRIM($I448)="","(tidak diisi)",IFERROR(INDEX(Kamus!$H$3:$H$75,MATCH(TRUE,ISNUMBER(SEARCH(Kamus!$G$3:$G$75,$I448)),0)),"Pemberian Umum / Tanpa Konteks"))</f>
        <v>Jamuan / Konsumsi Rapat &amp; Kegiatan</v>
      </c>
      <c r="V448" s="106" t="str">
        <f t="shared" si="18"/>
        <v>2025</v>
      </c>
      <c r="W448" s="106" t="str" cm="1">
        <f t="array" ref="W448">IF(TRIM($K448)="","(tidak diisi)",IFERROR(INDEX(Kamus!$K$3:$K$118,MATCH(TRUE,ISNUMBER(SEARCH(Kamus!$J$3:$J$118,$K448)),0)),"Individu / Perorangan"))</f>
        <v>Individu / Perorangan</v>
      </c>
      <c r="X448" s="106" t="str">
        <f t="shared" si="19"/>
        <v>08</v>
      </c>
      <c r="Y448" s="106" t="str" cm="1">
        <f t="array" ref="Y448">IFERROR(INDEX(Kamus!$N$3:$N$111,MATCH(TRUE,ISNUMBER(SEARCH(Kamus!$M$3:$M$111,$I448)),0)),"")</f>
        <v/>
      </c>
      <c r="Z448" s="106" t="str">
        <f>IF(AND(OR($X448="02",$X448="03",$X448="04"),OR($T448="Parsel/Bingkisan (tidak dirinci)",$T448="Makanan &amp; Minuman",$T448="Peralatan Rumah Tangga / Pecah Belah",$T448="Pakaian &amp; Kain")),"Momen Hari Raya (dugaan musiman)",IFERROR(VLOOKUP($W448,Kamus!$P$3:$Q$14,2,FALSE),"Tidak Teridentifikasi"))</f>
        <v>Relasi Personal / Tidak Teridentifikasi</v>
      </c>
      <c r="AA448" s="106" t="str">
        <f t="shared" si="20"/>
        <v>Relasi Personal / Tidak Teridentifikasi</v>
      </c>
    </row>
    <row r="449" spans="1:27">
      <c r="A449" s="106">
        <v>448</v>
      </c>
      <c r="B449" s="106" t="s">
        <v>1486</v>
      </c>
      <c r="C449" s="107" t="s">
        <v>1487</v>
      </c>
      <c r="D449" s="106" t="s">
        <v>1488</v>
      </c>
      <c r="E449" s="106" t="s">
        <v>1489</v>
      </c>
      <c r="F449" s="106" t="s">
        <v>3262</v>
      </c>
      <c r="G449" s="106" t="s">
        <v>1074</v>
      </c>
      <c r="H449" s="106" t="s">
        <v>3254</v>
      </c>
      <c r="I449" s="106" t="s">
        <v>3263</v>
      </c>
      <c r="J449" s="106">
        <v>1000000</v>
      </c>
      <c r="K449" s="106" t="s">
        <v>3264</v>
      </c>
      <c r="L449" s="106" t="s">
        <v>3265</v>
      </c>
      <c r="M449" s="106" t="s">
        <v>1039</v>
      </c>
      <c r="O449" s="106" t="s">
        <v>274</v>
      </c>
      <c r="P449" s="106" t="s">
        <v>1495</v>
      </c>
      <c r="Q449" s="106" t="s">
        <v>428</v>
      </c>
      <c r="S449" s="106" t="str" cm="1">
        <f t="array" ref="S449">IF(TRIM($D449)="","(tidak diisi)",IFERROR(INDEX(Kamus!$B$3:$B$28,MATCH(TRUE,ISNUMBER(SEARCH(Kamus!$A$3:$A$28,$D449)),0)),"Jabatan Lainnya"))</f>
        <v>Pejabat Struktural (Kasubbag/Kabag)</v>
      </c>
      <c r="T449" s="106" t="str" cm="1">
        <f t="array" ref="T449">IF(TRIM($I449)="","(tidak diisi)",IFERROR(INDEX(Kamus!$E$3:$E$162,MATCH(TRUE,ISNUMBER(SEARCH(Kamus!$D$3:$D$162,$I449)),0)),"Barang Lain / Tidak Terinci"))</f>
        <v>Makanan &amp; Minuman</v>
      </c>
      <c r="U449" s="106" t="str" cm="1">
        <f t="array" ref="U449">IF(TRIM($I449)="","(tidak diisi)",IFERROR(INDEX(Kamus!$H$3:$H$75,MATCH(TRUE,ISNUMBER(SEARCH(Kamus!$G$3:$G$75,$I449)),0)),"Pemberian Umum / Tanpa Konteks"))</f>
        <v>Jamuan / Konsumsi Rapat &amp; Kegiatan</v>
      </c>
      <c r="V449" s="106" t="str">
        <f t="shared" si="18"/>
        <v>2025</v>
      </c>
      <c r="W449" s="106" t="str" cm="1">
        <f t="array" ref="W449">IF(TRIM($K449)="","(tidak diisi)",IFERROR(INDEX(Kamus!$K$3:$K$118,MATCH(TRUE,ISNUMBER(SEARCH(Kamus!$J$3:$J$118,$K449)),0)),"Individu / Perorangan"))</f>
        <v>Bank &amp; Lembaga Keuangan</v>
      </c>
      <c r="X449" s="106" t="str">
        <f t="shared" si="19"/>
        <v>08</v>
      </c>
      <c r="Y449" s="106" t="str" cm="1">
        <f t="array" ref="Y449">IFERROR(INDEX(Kamus!$N$3:$N$111,MATCH(TRUE,ISNUMBER(SEARCH(Kamus!$M$3:$M$111,$I449)),0)),"")</f>
        <v/>
      </c>
      <c r="Z449" s="106" t="str">
        <f>IF(AND(OR($X449="02",$X449="03",$X449="04"),OR($T449="Parsel/Bingkisan (tidak dirinci)",$T449="Makanan &amp; Minuman",$T449="Peralatan Rumah Tangga / Pecah Belah",$T449="Pakaian &amp; Kain")),"Momen Hari Raya (dugaan musiman)",IFERROR(VLOOKUP($W449,Kamus!$P$3:$Q$14,2,FALSE),"Tidak Teridentifikasi"))</f>
        <v>Relasi Layanan/Kerja Sama Perbankan (dugaan)</v>
      </c>
      <c r="AA449" s="106" t="str">
        <f t="shared" si="20"/>
        <v>Relasi Layanan/Kerja Sama Perbankan (dugaan)</v>
      </c>
    </row>
    <row r="450" spans="1:27">
      <c r="A450" s="106">
        <v>449</v>
      </c>
      <c r="B450" s="106" t="s">
        <v>1105</v>
      </c>
      <c r="C450" s="107" t="s">
        <v>1106</v>
      </c>
      <c r="D450" s="106" t="s">
        <v>1042</v>
      </c>
      <c r="E450" s="106" t="s">
        <v>1014</v>
      </c>
      <c r="F450" s="106" t="s">
        <v>3266</v>
      </c>
      <c r="G450" s="106" t="s">
        <v>1006</v>
      </c>
      <c r="H450" s="106" t="s">
        <v>3254</v>
      </c>
      <c r="I450" s="106" t="s">
        <v>3257</v>
      </c>
      <c r="K450" s="106" t="s">
        <v>3267</v>
      </c>
      <c r="L450" s="106" t="s">
        <v>3268</v>
      </c>
      <c r="O450" s="106" t="s">
        <v>274</v>
      </c>
      <c r="P450" s="106" t="s">
        <v>1021</v>
      </c>
      <c r="Q450" s="106" t="s">
        <v>428</v>
      </c>
      <c r="S450" s="106" t="str" cm="1">
        <f t="array" ref="S450">IF(TRIM($D450)="","(tidak diisi)",IFERROR(INDEX(Kamus!$B$3:$B$28,MATCH(TRUE,ISNUMBER(SEARCH(Kamus!$A$3:$A$28,$D450)),0)),"Jabatan Lainnya"))</f>
        <v>Ketua Pengadilan</v>
      </c>
      <c r="T450" s="106" t="str" cm="1">
        <f t="array" ref="T450">IF(TRIM($I450)="","(tidak diisi)",IFERROR(INDEX(Kamus!$E$3:$E$162,MATCH(TRUE,ISNUMBER(SEARCH(Kamus!$D$3:$D$162,$I450)),0)),"Barang Lain / Tidak Terinci"))</f>
        <v>Karangan Bunga / Ucapan</v>
      </c>
      <c r="U450" s="106" t="str" cm="1">
        <f t="array" ref="U450">IF(TRIM($I450)="","(tidak diisi)",IFERROR(INDEX(Kamus!$H$3:$H$75,MATCH(TRUE,ISNUMBER(SEARCH(Kamus!$G$3:$G$75,$I450)),0)),"Pemberian Umum / Tanpa Konteks"))</f>
        <v>Ucapan Duka/Selamat (Karangan Bunga)</v>
      </c>
      <c r="V450" s="106" t="str">
        <f t="shared" si="18"/>
        <v>2025</v>
      </c>
      <c r="W450" s="106" t="str" cm="1">
        <f t="array" ref="W450">IF(TRIM($K450)="","(tidak diisi)",IFERROR(INDEX(Kamus!$K$3:$K$118,MATCH(TRUE,ISNUMBER(SEARCH(Kamus!$J$3:$J$118,$K450)),0)),"Individu / Perorangan"))</f>
        <v>Pemerintah Daerah</v>
      </c>
      <c r="X450" s="106" t="str">
        <f t="shared" si="19"/>
        <v>08</v>
      </c>
      <c r="Y450" s="106" t="str" cm="1">
        <f t="array" ref="Y450">IFERROR(INDEX(Kamus!$N$3:$N$111,MATCH(TRUE,ISNUMBER(SEARCH(Kamus!$M$3:$M$111,$I450)),0)),"")</f>
        <v>Ucapan Selamat/Duka atas Acara Instansi</v>
      </c>
      <c r="Z450" s="106" t="str">
        <f>IF(AND(OR($X450="02",$X450="03",$X450="04"),OR($T450="Parsel/Bingkisan (tidak dirinci)",$T450="Makanan &amp; Minuman",$T450="Peralatan Rumah Tangga / Pecah Belah",$T450="Pakaian &amp; Kain")),"Momen Hari Raya (dugaan musiman)",IFERROR(VLOOKUP($W450,Kamus!$P$3:$Q$14,2,FALSE),"Tidak Teridentifikasi"))</f>
        <v>Koordinasi Antarinstansi (dugaan)</v>
      </c>
      <c r="AA450" s="106" t="str">
        <f t="shared" si="20"/>
        <v>Ucapan Selamat/Duka atas Acara Instansi</v>
      </c>
    </row>
    <row r="451" spans="1:27">
      <c r="A451" s="106">
        <v>450</v>
      </c>
      <c r="B451" s="106" t="s">
        <v>1105</v>
      </c>
      <c r="C451" s="107" t="s">
        <v>1106</v>
      </c>
      <c r="D451" s="106" t="s">
        <v>1042</v>
      </c>
      <c r="E451" s="106" t="s">
        <v>1014</v>
      </c>
      <c r="F451" s="106" t="s">
        <v>3269</v>
      </c>
      <c r="G451" s="106" t="s">
        <v>1006</v>
      </c>
      <c r="H451" s="106" t="s">
        <v>3254</v>
      </c>
      <c r="I451" s="106" t="s">
        <v>3171</v>
      </c>
      <c r="K451" s="106" t="s">
        <v>3270</v>
      </c>
      <c r="L451" s="106" t="s">
        <v>3271</v>
      </c>
      <c r="O451" s="106" t="s">
        <v>274</v>
      </c>
      <c r="P451" s="106" t="s">
        <v>1021</v>
      </c>
      <c r="Q451" s="106" t="s">
        <v>428</v>
      </c>
      <c r="S451" s="106" t="str" cm="1">
        <f t="array" ref="S451">IF(TRIM($D451)="","(tidak diisi)",IFERROR(INDEX(Kamus!$B$3:$B$28,MATCH(TRUE,ISNUMBER(SEARCH(Kamus!$A$3:$A$28,$D451)),0)),"Jabatan Lainnya"))</f>
        <v>Ketua Pengadilan</v>
      </c>
      <c r="T451" s="106" t="str" cm="1">
        <f t="array" ref="T451">IF(TRIM($I451)="","(tidak diisi)",IFERROR(INDEX(Kamus!$E$3:$E$162,MATCH(TRUE,ISNUMBER(SEARCH(Kamus!$D$3:$D$162,$I451)),0)),"Barang Lain / Tidak Terinci"))</f>
        <v>Karangan Bunga / Ucapan</v>
      </c>
      <c r="U451" s="106" t="str" cm="1">
        <f t="array" ref="U451">IF(TRIM($I451)="","(tidak diisi)",IFERROR(INDEX(Kamus!$H$3:$H$75,MATCH(TRUE,ISNUMBER(SEARCH(Kamus!$G$3:$G$75,$I451)),0)),"Pemberian Umum / Tanpa Konteks"))</f>
        <v>Ucapan Duka/Selamat (Karangan Bunga)</v>
      </c>
      <c r="V451" s="106" t="str">
        <f t="shared" ref="V451:V514" si="21">IF($H451="","(tidak diisi)",IF(ISNUMBER($H451),TEXT(YEAR($H451),"0"),LEFT($H451,4)))</f>
        <v>2025</v>
      </c>
      <c r="W451" s="106" t="str" cm="1">
        <f t="array" ref="W451">IF(TRIM($K451)="","(tidak diisi)",IFERROR(INDEX(Kamus!$K$3:$K$118,MATCH(TRUE,ISNUMBER(SEARCH(Kamus!$J$3:$J$118,$K451)),0)),"Individu / Perorangan"))</f>
        <v>Pemerintah Daerah</v>
      </c>
      <c r="X451" s="106" t="str">
        <f t="shared" ref="X451:X514" si="22">IF($H451="","(tidak diisi)",IF(ISNUMBER($H451),TEXT(MONTH($H451),"00"),MID($H451,6,2)))</f>
        <v>08</v>
      </c>
      <c r="Y451" s="106" t="str" cm="1">
        <f t="array" ref="Y451">IFERROR(INDEX(Kamus!$N$3:$N$111,MATCH(TRUE,ISNUMBER(SEARCH(Kamus!$M$3:$M$111,$I451)),0)),"")</f>
        <v>Ucapan Selamat/Duka atas Acara Instansi</v>
      </c>
      <c r="Z451" s="106" t="str">
        <f>IF(AND(OR($X451="02",$X451="03",$X451="04"),OR($T451="Parsel/Bingkisan (tidak dirinci)",$T451="Makanan &amp; Minuman",$T451="Peralatan Rumah Tangga / Pecah Belah",$T451="Pakaian &amp; Kain")),"Momen Hari Raya (dugaan musiman)",IFERROR(VLOOKUP($W451,Kamus!$P$3:$Q$14,2,FALSE),"Tidak Teridentifikasi"))</f>
        <v>Koordinasi Antarinstansi (dugaan)</v>
      </c>
      <c r="AA451" s="106" t="str">
        <f t="shared" ref="AA451:AA514" si="23">IF($Y451="",$Z451,$Y451)</f>
        <v>Ucapan Selamat/Duka atas Acara Instansi</v>
      </c>
    </row>
    <row r="452" spans="1:27">
      <c r="A452" s="106">
        <v>451</v>
      </c>
      <c r="B452" s="106" t="s">
        <v>1105</v>
      </c>
      <c r="C452" s="107" t="s">
        <v>1106</v>
      </c>
      <c r="D452" s="106" t="s">
        <v>1042</v>
      </c>
      <c r="E452" s="106" t="s">
        <v>1014</v>
      </c>
      <c r="F452" s="106" t="s">
        <v>3272</v>
      </c>
      <c r="G452" s="106" t="s">
        <v>1006</v>
      </c>
      <c r="H452" s="106" t="s">
        <v>3254</v>
      </c>
      <c r="I452" s="106" t="s">
        <v>3257</v>
      </c>
      <c r="K452" s="106" t="s">
        <v>3273</v>
      </c>
      <c r="L452" s="106" t="s">
        <v>3274</v>
      </c>
      <c r="O452" s="106" t="s">
        <v>274</v>
      </c>
      <c r="P452" s="106" t="s">
        <v>1021</v>
      </c>
      <c r="Q452" s="106" t="s">
        <v>428</v>
      </c>
      <c r="S452" s="106" t="str" cm="1">
        <f t="array" ref="S452">IF(TRIM($D452)="","(tidak diisi)",IFERROR(INDEX(Kamus!$B$3:$B$28,MATCH(TRUE,ISNUMBER(SEARCH(Kamus!$A$3:$A$28,$D452)),0)),"Jabatan Lainnya"))</f>
        <v>Ketua Pengadilan</v>
      </c>
      <c r="T452" s="106" t="str" cm="1">
        <f t="array" ref="T452">IF(TRIM($I452)="","(tidak diisi)",IFERROR(INDEX(Kamus!$E$3:$E$162,MATCH(TRUE,ISNUMBER(SEARCH(Kamus!$D$3:$D$162,$I452)),0)),"Barang Lain / Tidak Terinci"))</f>
        <v>Karangan Bunga / Ucapan</v>
      </c>
      <c r="U452" s="106" t="str" cm="1">
        <f t="array" ref="U452">IF(TRIM($I452)="","(tidak diisi)",IFERROR(INDEX(Kamus!$H$3:$H$75,MATCH(TRUE,ISNUMBER(SEARCH(Kamus!$G$3:$G$75,$I452)),0)),"Pemberian Umum / Tanpa Konteks"))</f>
        <v>Ucapan Duka/Selamat (Karangan Bunga)</v>
      </c>
      <c r="V452" s="106" t="str">
        <f t="shared" si="21"/>
        <v>2025</v>
      </c>
      <c r="W452" s="106" t="str" cm="1">
        <f t="array" ref="W452">IF(TRIM($K452)="","(tidak diisi)",IFERROR(INDEX(Kamus!$K$3:$K$118,MATCH(TRUE,ISNUMBER(SEARCH(Kamus!$J$3:$J$118,$K452)),0)),"Individu / Perorangan"))</f>
        <v>Individu / Perorangan</v>
      </c>
      <c r="X452" s="106" t="str">
        <f t="shared" si="22"/>
        <v>08</v>
      </c>
      <c r="Y452" s="106" t="str" cm="1">
        <f t="array" ref="Y452">IFERROR(INDEX(Kamus!$N$3:$N$111,MATCH(TRUE,ISNUMBER(SEARCH(Kamus!$M$3:$M$111,$I452)),0)),"")</f>
        <v>Ucapan Selamat/Duka atas Acara Instansi</v>
      </c>
      <c r="Z452" s="106" t="str">
        <f>IF(AND(OR($X452="02",$X452="03",$X452="04"),OR($T452="Parsel/Bingkisan (tidak dirinci)",$T452="Makanan &amp; Minuman",$T452="Peralatan Rumah Tangga / Pecah Belah",$T452="Pakaian &amp; Kain")),"Momen Hari Raya (dugaan musiman)",IFERROR(VLOOKUP($W452,Kamus!$P$3:$Q$14,2,FALSE),"Tidak Teridentifikasi"))</f>
        <v>Relasi Personal / Tidak Teridentifikasi</v>
      </c>
      <c r="AA452" s="106" t="str">
        <f t="shared" si="23"/>
        <v>Ucapan Selamat/Duka atas Acara Instansi</v>
      </c>
    </row>
    <row r="453" spans="1:27">
      <c r="A453" s="106">
        <v>452</v>
      </c>
      <c r="B453" s="106" t="s">
        <v>3275</v>
      </c>
      <c r="C453" s="107" t="s">
        <v>3276</v>
      </c>
      <c r="D453" s="106" t="s">
        <v>1042</v>
      </c>
      <c r="E453" s="106" t="s">
        <v>1005</v>
      </c>
      <c r="F453" s="106" t="s">
        <v>3277</v>
      </c>
      <c r="G453" s="106" t="s">
        <v>1006</v>
      </c>
      <c r="H453" s="106" t="s">
        <v>3204</v>
      </c>
      <c r="I453" s="106" t="s">
        <v>3278</v>
      </c>
      <c r="K453" s="106" t="s">
        <v>3279</v>
      </c>
      <c r="L453" s="106" t="s">
        <v>3280</v>
      </c>
      <c r="O453" s="106" t="s">
        <v>274</v>
      </c>
      <c r="S453" s="106" t="str" cm="1">
        <f t="array" ref="S453">IF(TRIM($D453)="","(tidak diisi)",IFERROR(INDEX(Kamus!$B$3:$B$28,MATCH(TRUE,ISNUMBER(SEARCH(Kamus!$A$3:$A$28,$D453)),0)),"Jabatan Lainnya"))</f>
        <v>Ketua Pengadilan</v>
      </c>
      <c r="T453" s="106" t="str" cm="1">
        <f t="array" ref="T453">IF(TRIM($I453)="","(tidak diisi)",IFERROR(INDEX(Kamus!$E$3:$E$162,MATCH(TRUE,ISNUMBER(SEARCH(Kamus!$D$3:$D$162,$I453)),0)),"Barang Lain / Tidak Terinci"))</f>
        <v>Pakaian &amp; Kain</v>
      </c>
      <c r="U453" s="106" t="str" cm="1">
        <f t="array" ref="U453">IF(TRIM($I453)="","(tidak diisi)",IFERROR(INDEX(Kamus!$H$3:$H$75,MATCH(TRUE,ISNUMBER(SEARCH(Kamus!$G$3:$G$75,$I453)),0)),"Pemberian Umum / Tanpa Konteks"))</f>
        <v>Pemberian Umum / Tanpa Konteks</v>
      </c>
      <c r="V453" s="106" t="str">
        <f t="shared" si="21"/>
        <v>2025</v>
      </c>
      <c r="W453" s="106" t="str" cm="1">
        <f t="array" ref="W453">IF(TRIM($K453)="","(tidak diisi)",IFERROR(INDEX(Kamus!$K$3:$K$118,MATCH(TRUE,ISNUMBER(SEARCH(Kamus!$J$3:$J$118,$K453)),0)),"Individu / Perorangan"))</f>
        <v>Pemerintah Daerah</v>
      </c>
      <c r="X453" s="106" t="str">
        <f t="shared" si="22"/>
        <v>08</v>
      </c>
      <c r="Y453" s="106" t="str" cm="1">
        <f t="array" ref="Y453">IFERROR(INDEX(Kamus!$N$3:$N$111,MATCH(TRUE,ISNUMBER(SEARCH(Kamus!$M$3:$M$111,$I453)),0)),"")</f>
        <v/>
      </c>
      <c r="Z453" s="106" t="str">
        <f>IF(AND(OR($X453="02",$X453="03",$X453="04"),OR($T453="Parsel/Bingkisan (tidak dirinci)",$T453="Makanan &amp; Minuman",$T453="Peralatan Rumah Tangga / Pecah Belah",$T453="Pakaian &amp; Kain")),"Momen Hari Raya (dugaan musiman)",IFERROR(VLOOKUP($W453,Kamus!$P$3:$Q$14,2,FALSE),"Tidak Teridentifikasi"))</f>
        <v>Koordinasi Antarinstansi (dugaan)</v>
      </c>
      <c r="AA453" s="106" t="str">
        <f t="shared" si="23"/>
        <v>Koordinasi Antarinstansi (dugaan)</v>
      </c>
    </row>
    <row r="454" spans="1:27">
      <c r="A454" s="106">
        <v>453</v>
      </c>
      <c r="B454" s="106" t="s">
        <v>2336</v>
      </c>
      <c r="C454" s="107" t="s">
        <v>2337</v>
      </c>
      <c r="D454" s="106" t="s">
        <v>2338</v>
      </c>
      <c r="E454" s="106" t="s">
        <v>2339</v>
      </c>
      <c r="F454" s="106" t="s">
        <v>3281</v>
      </c>
      <c r="G454" s="106" t="s">
        <v>1006</v>
      </c>
      <c r="H454" s="106" t="s">
        <v>3204</v>
      </c>
      <c r="I454" s="106" t="s">
        <v>3282</v>
      </c>
      <c r="J454" s="106">
        <v>2802100</v>
      </c>
      <c r="K454" s="106" t="s">
        <v>3283</v>
      </c>
      <c r="L454" s="106" t="s">
        <v>3284</v>
      </c>
      <c r="M454" s="106" t="s">
        <v>1020</v>
      </c>
      <c r="O454" s="106" t="s">
        <v>274</v>
      </c>
      <c r="P454" s="106" t="s">
        <v>2345</v>
      </c>
      <c r="Q454" s="106" t="s">
        <v>352</v>
      </c>
      <c r="S454" s="106" t="str" cm="1">
        <f t="array" ref="S454">IF(TRIM($D454)="","(tidak diisi)",IFERROR(INDEX(Kamus!$B$3:$B$28,MATCH(TRUE,ISNUMBER(SEARCH(Kamus!$A$3:$A$28,$D454)),0)),"Jabatan Lainnya"))</f>
        <v>Ketua Pengadilan</v>
      </c>
      <c r="T454" s="106" t="str" cm="1">
        <f t="array" ref="T454">IF(TRIM($I454)="","(tidak diisi)",IFERROR(INDEX(Kamus!$E$3:$E$162,MATCH(TRUE,ISNUMBER(SEARCH(Kamus!$D$3:$D$162,$I454)),0)),"Barang Lain / Tidak Terinci"))</f>
        <v>Uang &amp; Setara Uang</v>
      </c>
      <c r="U454" s="106" t="str" cm="1">
        <f t="array" ref="U454">IF(TRIM($I454)="","(tidak diisi)",IFERROR(INDEX(Kamus!$H$3:$H$75,MATCH(TRUE,ISNUMBER(SEARCH(Kamus!$G$3:$G$75,$I454)),0)),"Pemberian Umum / Tanpa Konteks"))</f>
        <v>Honor / Uang Kegiatan</v>
      </c>
      <c r="V454" s="106" t="str">
        <f t="shared" si="21"/>
        <v>2025</v>
      </c>
      <c r="W454" s="106" t="str" cm="1">
        <f t="array" ref="W454">IF(TRIM($K454)="","(tidak diisi)",IFERROR(INDEX(Kamus!$K$3:$K$118,MATCH(TRUE,ISNUMBER(SEARCH(Kamus!$J$3:$J$118,$K454)),0)),"Individu / Perorangan"))</f>
        <v>Pemerintah Daerah</v>
      </c>
      <c r="X454" s="106" t="str">
        <f t="shared" si="22"/>
        <v>08</v>
      </c>
      <c r="Y454" s="106" t="str" cm="1">
        <f t="array" ref="Y454">IFERROR(INDEX(Kamus!$N$3:$N$111,MATCH(TRUE,ISNUMBER(SEARCH(Kamus!$M$3:$M$111,$I454)),0)),"")</f>
        <v/>
      </c>
      <c r="Z454" s="106" t="str">
        <f>IF(AND(OR($X454="02",$X454="03",$X454="04"),OR($T454="Parsel/Bingkisan (tidak dirinci)",$T454="Makanan &amp; Minuman",$T454="Peralatan Rumah Tangga / Pecah Belah",$T454="Pakaian &amp; Kain")),"Momen Hari Raya (dugaan musiman)",IFERROR(VLOOKUP($W454,Kamus!$P$3:$Q$14,2,FALSE),"Tidak Teridentifikasi"))</f>
        <v>Koordinasi Antarinstansi (dugaan)</v>
      </c>
      <c r="AA454" s="106" t="str">
        <f t="shared" si="23"/>
        <v>Koordinasi Antarinstansi (dugaan)</v>
      </c>
    </row>
    <row r="455" spans="1:27">
      <c r="A455" s="106">
        <v>454</v>
      </c>
      <c r="B455" s="106" t="s">
        <v>1264</v>
      </c>
      <c r="C455" s="107" t="s">
        <v>1265</v>
      </c>
      <c r="D455" s="106" t="s">
        <v>1081</v>
      </c>
      <c r="E455" s="106" t="s">
        <v>3285</v>
      </c>
      <c r="F455" s="106" t="s">
        <v>3286</v>
      </c>
      <c r="G455" s="106" t="s">
        <v>1006</v>
      </c>
      <c r="H455" s="106" t="s">
        <v>3008</v>
      </c>
      <c r="I455" s="106" t="s">
        <v>3287</v>
      </c>
      <c r="K455" s="106" t="s">
        <v>3288</v>
      </c>
      <c r="L455" s="106" t="s">
        <v>3289</v>
      </c>
      <c r="O455" s="106" t="s">
        <v>274</v>
      </c>
      <c r="P455" s="106" t="s">
        <v>3290</v>
      </c>
      <c r="Q455" s="106" t="s">
        <v>412</v>
      </c>
      <c r="S455" s="106" t="str" cm="1">
        <f t="array" ref="S455">IF(TRIM($D455)="","(tidak diisi)",IFERROR(INDEX(Kamus!$B$3:$B$28,MATCH(TRUE,ISNUMBER(SEARCH(Kamus!$A$3:$A$28,$D455)),0)),"Jabatan Lainnya"))</f>
        <v>Hakim</v>
      </c>
      <c r="T455" s="106" t="str" cm="1">
        <f t="array" ref="T455">IF(TRIM($I455)="","(tidak diisi)",IFERROR(INDEX(Kamus!$E$3:$E$162,MATCH(TRUE,ISNUMBER(SEARCH(Kamus!$D$3:$D$162,$I455)),0)),"Barang Lain / Tidak Terinci"))</f>
        <v>Pakaian &amp; Kain</v>
      </c>
      <c r="U455" s="106" t="str" cm="1">
        <f t="array" ref="U455">IF(TRIM($I455)="","(tidak diisi)",IFERROR(INDEX(Kamus!$H$3:$H$75,MATCH(TRUE,ISNUMBER(SEARCH(Kamus!$G$3:$G$75,$I455)),0)),"Pemberian Umum / Tanpa Konteks"))</f>
        <v>Pemberian Umum / Tanpa Konteks</v>
      </c>
      <c r="V455" s="106" t="str">
        <f t="shared" si="21"/>
        <v>2025</v>
      </c>
      <c r="W455" s="106" t="str" cm="1">
        <f t="array" ref="W455">IF(TRIM($K455)="","(tidak diisi)",IFERROR(INDEX(Kamus!$K$3:$K$118,MATCH(TRUE,ISNUMBER(SEARCH(Kamus!$J$3:$J$118,$K455)),0)),"Individu / Perorangan"))</f>
        <v>Individu / Perorangan</v>
      </c>
      <c r="X455" s="106" t="str">
        <f t="shared" si="22"/>
        <v>07</v>
      </c>
      <c r="Y455" s="106" t="str" cm="1">
        <f t="array" ref="Y455">IFERROR(INDEX(Kamus!$N$3:$N$111,MATCH(TRUE,ISNUMBER(SEARCH(Kamus!$M$3:$M$111,$I455)),0)),"")</f>
        <v/>
      </c>
      <c r="Z455" s="106" t="str">
        <f>IF(AND(OR($X455="02",$X455="03",$X455="04"),OR($T455="Parsel/Bingkisan (tidak dirinci)",$T455="Makanan &amp; Minuman",$T455="Peralatan Rumah Tangga / Pecah Belah",$T455="Pakaian &amp; Kain")),"Momen Hari Raya (dugaan musiman)",IFERROR(VLOOKUP($W455,Kamus!$P$3:$Q$14,2,FALSE),"Tidak Teridentifikasi"))</f>
        <v>Relasi Personal / Tidak Teridentifikasi</v>
      </c>
      <c r="AA455" s="106" t="str">
        <f t="shared" si="23"/>
        <v>Relasi Personal / Tidak Teridentifikasi</v>
      </c>
    </row>
    <row r="456" spans="1:27">
      <c r="A456" s="106">
        <v>455</v>
      </c>
      <c r="B456" s="106" t="s">
        <v>1264</v>
      </c>
      <c r="C456" s="107" t="s">
        <v>1265</v>
      </c>
      <c r="D456" s="106" t="s">
        <v>1081</v>
      </c>
      <c r="E456" s="106" t="s">
        <v>3285</v>
      </c>
      <c r="F456" s="106" t="s">
        <v>3291</v>
      </c>
      <c r="G456" s="106" t="s">
        <v>1006</v>
      </c>
      <c r="H456" s="106" t="s">
        <v>3008</v>
      </c>
      <c r="I456" s="106" t="s">
        <v>3292</v>
      </c>
      <c r="K456" s="106" t="s">
        <v>3293</v>
      </c>
      <c r="L456" s="106" t="s">
        <v>3294</v>
      </c>
      <c r="O456" s="106" t="s">
        <v>274</v>
      </c>
      <c r="P456" s="106" t="s">
        <v>3290</v>
      </c>
      <c r="Q456" s="106" t="s">
        <v>412</v>
      </c>
      <c r="S456" s="106" t="str" cm="1">
        <f t="array" ref="S456">IF(TRIM($D456)="","(tidak diisi)",IFERROR(INDEX(Kamus!$B$3:$B$28,MATCH(TRUE,ISNUMBER(SEARCH(Kamus!$A$3:$A$28,$D456)),0)),"Jabatan Lainnya"))</f>
        <v>Hakim</v>
      </c>
      <c r="T456" s="106" t="str" cm="1">
        <f t="array" ref="T456">IF(TRIM($I456)="","(tidak diisi)",IFERROR(INDEX(Kamus!$E$3:$E$162,MATCH(TRUE,ISNUMBER(SEARCH(Kamus!$D$3:$D$162,$I456)),0)),"Barang Lain / Tidak Terinci"))</f>
        <v>Pakaian &amp; Kain</v>
      </c>
      <c r="U456" s="106" t="str" cm="1">
        <f t="array" ref="U456">IF(TRIM($I456)="","(tidak diisi)",IFERROR(INDEX(Kamus!$H$3:$H$75,MATCH(TRUE,ISNUMBER(SEARCH(Kamus!$G$3:$G$75,$I456)),0)),"Pemberian Umum / Tanpa Konteks"))</f>
        <v>Pemberian Umum / Tanpa Konteks</v>
      </c>
      <c r="V456" s="106" t="str">
        <f t="shared" si="21"/>
        <v>2025</v>
      </c>
      <c r="W456" s="106" t="str" cm="1">
        <f t="array" ref="W456">IF(TRIM($K456)="","(tidak diisi)",IFERROR(INDEX(Kamus!$K$3:$K$118,MATCH(TRUE,ISNUMBER(SEARCH(Kamus!$J$3:$J$118,$K456)),0)),"Individu / Perorangan"))</f>
        <v>Individu / Perorangan</v>
      </c>
      <c r="X456" s="106" t="str">
        <f t="shared" si="22"/>
        <v>07</v>
      </c>
      <c r="Y456" s="106" t="str" cm="1">
        <f t="array" ref="Y456">IFERROR(INDEX(Kamus!$N$3:$N$111,MATCH(TRUE,ISNUMBER(SEARCH(Kamus!$M$3:$M$111,$I456)),0)),"")</f>
        <v/>
      </c>
      <c r="Z456" s="106" t="str">
        <f>IF(AND(OR($X456="02",$X456="03",$X456="04"),OR($T456="Parsel/Bingkisan (tidak dirinci)",$T456="Makanan &amp; Minuman",$T456="Peralatan Rumah Tangga / Pecah Belah",$T456="Pakaian &amp; Kain")),"Momen Hari Raya (dugaan musiman)",IFERROR(VLOOKUP($W456,Kamus!$P$3:$Q$14,2,FALSE),"Tidak Teridentifikasi"))</f>
        <v>Relasi Personal / Tidak Teridentifikasi</v>
      </c>
      <c r="AA456" s="106" t="str">
        <f t="shared" si="23"/>
        <v>Relasi Personal / Tidak Teridentifikasi</v>
      </c>
    </row>
    <row r="457" spans="1:27">
      <c r="A457" s="106">
        <v>456</v>
      </c>
      <c r="B457" s="106" t="s">
        <v>1264</v>
      </c>
      <c r="C457" s="107" t="s">
        <v>1265</v>
      </c>
      <c r="D457" s="106" t="s">
        <v>1081</v>
      </c>
      <c r="E457" s="106" t="s">
        <v>3285</v>
      </c>
      <c r="F457" s="106" t="s">
        <v>3295</v>
      </c>
      <c r="G457" s="106" t="s">
        <v>1006</v>
      </c>
      <c r="H457" s="106" t="s">
        <v>3008</v>
      </c>
      <c r="I457" s="106" t="s">
        <v>3296</v>
      </c>
      <c r="K457" s="106" t="s">
        <v>3297</v>
      </c>
      <c r="L457" s="106" t="s">
        <v>3298</v>
      </c>
      <c r="O457" s="106" t="s">
        <v>274</v>
      </c>
      <c r="P457" s="106" t="s">
        <v>3290</v>
      </c>
      <c r="Q457" s="106" t="s">
        <v>412</v>
      </c>
      <c r="S457" s="106" t="str" cm="1">
        <f t="array" ref="S457">IF(TRIM($D457)="","(tidak diisi)",IFERROR(INDEX(Kamus!$B$3:$B$28,MATCH(TRUE,ISNUMBER(SEARCH(Kamus!$A$3:$A$28,$D457)),0)),"Jabatan Lainnya"))</f>
        <v>Hakim</v>
      </c>
      <c r="T457" s="106" t="str" cm="1">
        <f t="array" ref="T457">IF(TRIM($I457)="","(tidak diisi)",IFERROR(INDEX(Kamus!$E$3:$E$162,MATCH(TRUE,ISNUMBER(SEARCH(Kamus!$D$3:$D$162,$I457)),0)),"Barang Lain / Tidak Terinci"))</f>
        <v>Pakaian &amp; Kain</v>
      </c>
      <c r="U457" s="106" t="str" cm="1">
        <f t="array" ref="U457">IF(TRIM($I457)="","(tidak diisi)",IFERROR(INDEX(Kamus!$H$3:$H$75,MATCH(TRUE,ISNUMBER(SEARCH(Kamus!$G$3:$G$75,$I457)),0)),"Pemberian Umum / Tanpa Konteks"))</f>
        <v>Pemberian Umum / Tanpa Konteks</v>
      </c>
      <c r="V457" s="106" t="str">
        <f t="shared" si="21"/>
        <v>2025</v>
      </c>
      <c r="W457" s="106" t="str" cm="1">
        <f t="array" ref="W457">IF(TRIM($K457)="","(tidak diisi)",IFERROR(INDEX(Kamus!$K$3:$K$118,MATCH(TRUE,ISNUMBER(SEARCH(Kamus!$J$3:$J$118,$K457)),0)),"Individu / Perorangan"))</f>
        <v>Internal Peradilan / Instansi Sendiri</v>
      </c>
      <c r="X457" s="106" t="str">
        <f t="shared" si="22"/>
        <v>07</v>
      </c>
      <c r="Y457" s="106" t="str" cm="1">
        <f t="array" ref="Y457">IFERROR(INDEX(Kamus!$N$3:$N$111,MATCH(TRUE,ISNUMBER(SEARCH(Kamus!$M$3:$M$111,$I457)),0)),"")</f>
        <v/>
      </c>
      <c r="Z457" s="106" t="str">
        <f>IF(AND(OR($X457="02",$X457="03",$X457="04"),OR($T457="Parsel/Bingkisan (tidak dirinci)",$T457="Makanan &amp; Minuman",$T457="Peralatan Rumah Tangga / Pecah Belah",$T457="Pakaian &amp; Kain")),"Momen Hari Raya (dugaan musiman)",IFERROR(VLOOKUP($W457,Kamus!$P$3:$Q$14,2,FALSE),"Tidak Teridentifikasi"))</f>
        <v>Kunjungan/Koordinasi Internal Peradilan (dugaan)</v>
      </c>
      <c r="AA457" s="106" t="str">
        <f t="shared" si="23"/>
        <v>Kunjungan/Koordinasi Internal Peradilan (dugaan)</v>
      </c>
    </row>
    <row r="458" spans="1:27">
      <c r="A458" s="106">
        <v>457</v>
      </c>
      <c r="B458" s="106" t="s">
        <v>3299</v>
      </c>
      <c r="C458" s="107" t="s">
        <v>3300</v>
      </c>
      <c r="D458" s="106" t="s">
        <v>1160</v>
      </c>
      <c r="E458" s="106" t="s">
        <v>3301</v>
      </c>
      <c r="F458" s="106" t="s">
        <v>3302</v>
      </c>
      <c r="G458" s="106" t="s">
        <v>1006</v>
      </c>
      <c r="H458" s="106" t="s">
        <v>3254</v>
      </c>
      <c r="I458" s="106" t="s">
        <v>3303</v>
      </c>
      <c r="J458" s="106">
        <v>250000</v>
      </c>
      <c r="K458" s="106" t="s">
        <v>3304</v>
      </c>
      <c r="L458" s="106" t="s">
        <v>3305</v>
      </c>
      <c r="M458" s="106" t="s">
        <v>1171</v>
      </c>
      <c r="N458" s="106" t="s">
        <v>3306</v>
      </c>
      <c r="O458" s="106" t="s">
        <v>274</v>
      </c>
      <c r="P458" s="106" t="s">
        <v>3307</v>
      </c>
      <c r="Q458" s="106" t="s">
        <v>372</v>
      </c>
      <c r="S458" s="106" t="str" cm="1">
        <f t="array" ref="S458">IF(TRIM($D458)="","(tidak diisi)",IFERROR(INDEX(Kamus!$B$3:$B$28,MATCH(TRUE,ISNUMBER(SEARCH(Kamus!$A$3:$A$28,$D458)),0)),"Jabatan Lainnya"))</f>
        <v>Panitera</v>
      </c>
      <c r="T458" s="106" t="str" cm="1">
        <f t="array" ref="T458">IF(TRIM($I458)="","(tidak diisi)",IFERROR(INDEX(Kamus!$E$3:$E$162,MATCH(TRUE,ISNUMBER(SEARCH(Kamus!$D$3:$D$162,$I458)),0)),"Barang Lain / Tidak Terinci"))</f>
        <v>Makanan &amp; Minuman</v>
      </c>
      <c r="U458" s="106" t="str" cm="1">
        <f t="array" ref="U458">IF(TRIM($I458)="","(tidak diisi)",IFERROR(INDEX(Kamus!$H$3:$H$75,MATCH(TRUE,ISNUMBER(SEARCH(Kamus!$G$3:$G$75,$I458)),0)),"Pemberian Umum / Tanpa Konteks"))</f>
        <v>Hadiah Acara Personal</v>
      </c>
      <c r="V458" s="106" t="str">
        <f t="shared" si="21"/>
        <v>2025</v>
      </c>
      <c r="W458" s="106" t="str" cm="1">
        <f t="array" ref="W458">IF(TRIM($K458)="","(tidak diisi)",IFERROR(INDEX(Kamus!$K$3:$K$118,MATCH(TRUE,ISNUMBER(SEARCH(Kamus!$J$3:$J$118,$K458)),0)),"Individu / Perorangan"))</f>
        <v>Bank &amp; Lembaga Keuangan</v>
      </c>
      <c r="X458" s="106" t="str">
        <f t="shared" si="22"/>
        <v>08</v>
      </c>
      <c r="Y458" s="106" t="str" cm="1">
        <f t="array" ref="Y458">IFERROR(INDEX(Kamus!$N$3:$N$111,MATCH(TRUE,ISNUMBER(SEARCH(Kamus!$M$3:$M$111,$I458)),0)),"")</f>
        <v>Acara Personal (Pernikahan/Duka/Wisuda)</v>
      </c>
      <c r="Z458" s="106" t="str">
        <f>IF(AND(OR($X458="02",$X458="03",$X458="04"),OR($T458="Parsel/Bingkisan (tidak dirinci)",$T458="Makanan &amp; Minuman",$T458="Peralatan Rumah Tangga / Pecah Belah",$T458="Pakaian &amp; Kain")),"Momen Hari Raya (dugaan musiman)",IFERROR(VLOOKUP($W458,Kamus!$P$3:$Q$14,2,FALSE),"Tidak Teridentifikasi"))</f>
        <v>Relasi Layanan/Kerja Sama Perbankan (dugaan)</v>
      </c>
      <c r="AA458" s="106" t="str">
        <f t="shared" si="23"/>
        <v>Acara Personal (Pernikahan/Duka/Wisuda)</v>
      </c>
    </row>
    <row r="459" spans="1:27">
      <c r="A459" s="106">
        <v>458</v>
      </c>
      <c r="B459" s="106" t="s">
        <v>3246</v>
      </c>
      <c r="C459" s="107" t="s">
        <v>3247</v>
      </c>
      <c r="D459" s="106" t="s">
        <v>1336</v>
      </c>
      <c r="E459" s="106" t="s">
        <v>3248</v>
      </c>
      <c r="F459" s="106" t="s">
        <v>3308</v>
      </c>
      <c r="G459" s="106" t="s">
        <v>1006</v>
      </c>
      <c r="H459" s="106" t="s">
        <v>3309</v>
      </c>
      <c r="I459" s="106" t="s">
        <v>3310</v>
      </c>
      <c r="K459" s="106" t="s">
        <v>3311</v>
      </c>
      <c r="L459" s="106" t="s">
        <v>3312</v>
      </c>
      <c r="O459" s="106" t="s">
        <v>274</v>
      </c>
      <c r="P459" s="106" t="s">
        <v>3252</v>
      </c>
      <c r="Q459" s="106" t="s">
        <v>435</v>
      </c>
      <c r="S459" s="106" t="str" cm="1">
        <f t="array" ref="S459">IF(TRIM($D459)="","(tidak diisi)",IFERROR(INDEX(Kamus!$B$3:$B$28,MATCH(TRUE,ISNUMBER(SEARCH(Kamus!$A$3:$A$28,$D459)),0)),"Jabatan Lainnya"))</f>
        <v>Panitera</v>
      </c>
      <c r="T459" s="106" t="str" cm="1">
        <f t="array" ref="T459">IF(TRIM($I459)="","(tidak diisi)",IFERROR(INDEX(Kamus!$E$3:$E$162,MATCH(TRUE,ISNUMBER(SEARCH(Kamus!$D$3:$D$162,$I459)),0)),"Barang Lain / Tidak Terinci"))</f>
        <v>Karangan Bunga / Ucapan</v>
      </c>
      <c r="U459" s="106" t="str" cm="1">
        <f t="array" ref="U459">IF(TRIM($I459)="","(tidak diisi)",IFERROR(INDEX(Kamus!$H$3:$H$75,MATCH(TRUE,ISNUMBER(SEARCH(Kamus!$G$3:$G$75,$I459)),0)),"Pemberian Umum / Tanpa Konteks"))</f>
        <v>Ucapan Duka/Selamat (Karangan Bunga)</v>
      </c>
      <c r="V459" s="106" t="str">
        <f t="shared" si="21"/>
        <v>2025</v>
      </c>
      <c r="W459" s="106" t="str" cm="1">
        <f t="array" ref="W459">IF(TRIM($K459)="","(tidak diisi)",IFERROR(INDEX(Kamus!$K$3:$K$118,MATCH(TRUE,ISNUMBER(SEARCH(Kamus!$J$3:$J$118,$K459)),0)),"Individu / Perorangan"))</f>
        <v>Individu / Perorangan</v>
      </c>
      <c r="X459" s="106" t="str">
        <f t="shared" si="22"/>
        <v>08</v>
      </c>
      <c r="Y459" s="106" t="str" cm="1">
        <f t="array" ref="Y459">IFERROR(INDEX(Kamus!$N$3:$N$111,MATCH(TRUE,ISNUMBER(SEARCH(Kamus!$M$3:$M$111,$I459)),0)),"")</f>
        <v>Ucapan Selamat/Duka atas Acara Instansi</v>
      </c>
      <c r="Z459" s="106" t="str">
        <f>IF(AND(OR($X459="02",$X459="03",$X459="04"),OR($T459="Parsel/Bingkisan (tidak dirinci)",$T459="Makanan &amp; Minuman",$T459="Peralatan Rumah Tangga / Pecah Belah",$T459="Pakaian &amp; Kain")),"Momen Hari Raya (dugaan musiman)",IFERROR(VLOOKUP($W459,Kamus!$P$3:$Q$14,2,FALSE),"Tidak Teridentifikasi"))</f>
        <v>Relasi Personal / Tidak Teridentifikasi</v>
      </c>
      <c r="AA459" s="106" t="str">
        <f t="shared" si="23"/>
        <v>Ucapan Selamat/Duka atas Acara Instansi</v>
      </c>
    </row>
    <row r="460" spans="1:27">
      <c r="A460" s="106">
        <v>459</v>
      </c>
      <c r="B460" s="106" t="s">
        <v>3246</v>
      </c>
      <c r="C460" s="107" t="s">
        <v>3247</v>
      </c>
      <c r="D460" s="106" t="s">
        <v>1336</v>
      </c>
      <c r="E460" s="106" t="s">
        <v>3248</v>
      </c>
      <c r="F460" s="106" t="s">
        <v>3313</v>
      </c>
      <c r="G460" s="106" t="s">
        <v>1006</v>
      </c>
      <c r="H460" s="106" t="s">
        <v>3314</v>
      </c>
      <c r="I460" s="106" t="s">
        <v>3257</v>
      </c>
      <c r="K460" s="106" t="s">
        <v>3315</v>
      </c>
      <c r="L460" s="106" t="s">
        <v>3316</v>
      </c>
      <c r="O460" s="106" t="s">
        <v>274</v>
      </c>
      <c r="P460" s="106" t="s">
        <v>3252</v>
      </c>
      <c r="Q460" s="106" t="s">
        <v>435</v>
      </c>
      <c r="S460" s="106" t="str" cm="1">
        <f t="array" ref="S460">IF(TRIM($D460)="","(tidak diisi)",IFERROR(INDEX(Kamus!$B$3:$B$28,MATCH(TRUE,ISNUMBER(SEARCH(Kamus!$A$3:$A$28,$D460)),0)),"Jabatan Lainnya"))</f>
        <v>Panitera</v>
      </c>
      <c r="T460" s="106" t="str" cm="1">
        <f t="array" ref="T460">IF(TRIM($I460)="","(tidak diisi)",IFERROR(INDEX(Kamus!$E$3:$E$162,MATCH(TRUE,ISNUMBER(SEARCH(Kamus!$D$3:$D$162,$I460)),0)),"Barang Lain / Tidak Terinci"))</f>
        <v>Karangan Bunga / Ucapan</v>
      </c>
      <c r="U460" s="106" t="str" cm="1">
        <f t="array" ref="U460">IF(TRIM($I460)="","(tidak diisi)",IFERROR(INDEX(Kamus!$H$3:$H$75,MATCH(TRUE,ISNUMBER(SEARCH(Kamus!$G$3:$G$75,$I460)),0)),"Pemberian Umum / Tanpa Konteks"))</f>
        <v>Ucapan Duka/Selamat (Karangan Bunga)</v>
      </c>
      <c r="V460" s="106" t="str">
        <f t="shared" si="21"/>
        <v>2025</v>
      </c>
      <c r="W460" s="106" t="str" cm="1">
        <f t="array" ref="W460">IF(TRIM($K460)="","(tidak diisi)",IFERROR(INDEX(Kamus!$K$3:$K$118,MATCH(TRUE,ISNUMBER(SEARCH(Kamus!$J$3:$J$118,$K460)),0)),"Individu / Perorangan"))</f>
        <v>Individu / Perorangan</v>
      </c>
      <c r="X460" s="106" t="str">
        <f t="shared" si="22"/>
        <v>08</v>
      </c>
      <c r="Y460" s="106" t="str" cm="1">
        <f t="array" ref="Y460">IFERROR(INDEX(Kamus!$N$3:$N$111,MATCH(TRUE,ISNUMBER(SEARCH(Kamus!$M$3:$M$111,$I460)),0)),"")</f>
        <v>Ucapan Selamat/Duka atas Acara Instansi</v>
      </c>
      <c r="Z460" s="106" t="str">
        <f>IF(AND(OR($X460="02",$X460="03",$X460="04"),OR($T460="Parsel/Bingkisan (tidak dirinci)",$T460="Makanan &amp; Minuman",$T460="Peralatan Rumah Tangga / Pecah Belah",$T460="Pakaian &amp; Kain")),"Momen Hari Raya (dugaan musiman)",IFERROR(VLOOKUP($W460,Kamus!$P$3:$Q$14,2,FALSE),"Tidak Teridentifikasi"))</f>
        <v>Relasi Personal / Tidak Teridentifikasi</v>
      </c>
      <c r="AA460" s="106" t="str">
        <f t="shared" si="23"/>
        <v>Ucapan Selamat/Duka atas Acara Instansi</v>
      </c>
    </row>
    <row r="461" spans="1:27">
      <c r="A461" s="106">
        <v>460</v>
      </c>
      <c r="B461" s="106" t="s">
        <v>3275</v>
      </c>
      <c r="C461" s="107" t="s">
        <v>3276</v>
      </c>
      <c r="D461" s="106" t="s">
        <v>1042</v>
      </c>
      <c r="E461" s="106" t="s">
        <v>1005</v>
      </c>
      <c r="F461" s="106" t="s">
        <v>3317</v>
      </c>
      <c r="G461" s="106" t="s">
        <v>1006</v>
      </c>
      <c r="H461" s="106" t="s">
        <v>3318</v>
      </c>
      <c r="I461" s="106" t="s">
        <v>3319</v>
      </c>
      <c r="J461" s="106">
        <v>300000</v>
      </c>
      <c r="K461" s="106" t="s">
        <v>3320</v>
      </c>
      <c r="L461" s="106" t="s">
        <v>3321</v>
      </c>
      <c r="M461" s="106" t="s">
        <v>1171</v>
      </c>
      <c r="N461" s="106" t="s">
        <v>3322</v>
      </c>
      <c r="O461" s="106" t="s">
        <v>274</v>
      </c>
      <c r="S461" s="106" t="str" cm="1">
        <f t="array" ref="S461">IF(TRIM($D461)="","(tidak diisi)",IFERROR(INDEX(Kamus!$B$3:$B$28,MATCH(TRUE,ISNUMBER(SEARCH(Kamus!$A$3:$A$28,$D461)),0)),"Jabatan Lainnya"))</f>
        <v>Ketua Pengadilan</v>
      </c>
      <c r="T461" s="106" t="str" cm="1">
        <f t="array" ref="T461">IF(TRIM($I461)="","(tidak diisi)",IFERROR(INDEX(Kamus!$E$3:$E$162,MATCH(TRUE,ISNUMBER(SEARCH(Kamus!$D$3:$D$162,$I461)),0)),"Barang Lain / Tidak Terinci"))</f>
        <v>Pakaian &amp; Kain</v>
      </c>
      <c r="U461" s="106" t="str" cm="1">
        <f t="array" ref="U461">IF(TRIM($I461)="","(tidak diisi)",IFERROR(INDEX(Kamus!$H$3:$H$75,MATCH(TRUE,ISNUMBER(SEARCH(Kamus!$G$3:$G$75,$I461)),0)),"Pemberian Umum / Tanpa Konteks"))</f>
        <v>Pemberian Umum / Tanpa Konteks</v>
      </c>
      <c r="V461" s="106" t="str">
        <f t="shared" si="21"/>
        <v>2025</v>
      </c>
      <c r="W461" s="106" t="str" cm="1">
        <f t="array" ref="W461">IF(TRIM($K461)="","(tidak diisi)",IFERROR(INDEX(Kamus!$K$3:$K$118,MATCH(TRUE,ISNUMBER(SEARCH(Kamus!$J$3:$J$118,$K461)),0)),"Individu / Perorangan"))</f>
        <v>Individu / Perorangan</v>
      </c>
      <c r="X461" s="106" t="str">
        <f t="shared" si="22"/>
        <v>08</v>
      </c>
      <c r="Y461" s="106" t="str" cm="1">
        <f t="array" ref="Y461">IFERROR(INDEX(Kamus!$N$3:$N$111,MATCH(TRUE,ISNUMBER(SEARCH(Kamus!$M$3:$M$111,$I461)),0)),"")</f>
        <v/>
      </c>
      <c r="Z461" s="106" t="str">
        <f>IF(AND(OR($X461="02",$X461="03",$X461="04"),OR($T461="Parsel/Bingkisan (tidak dirinci)",$T461="Makanan &amp; Minuman",$T461="Peralatan Rumah Tangga / Pecah Belah",$T461="Pakaian &amp; Kain")),"Momen Hari Raya (dugaan musiman)",IFERROR(VLOOKUP($W461,Kamus!$P$3:$Q$14,2,FALSE),"Tidak Teridentifikasi"))</f>
        <v>Relasi Personal / Tidak Teridentifikasi</v>
      </c>
      <c r="AA461" s="106" t="str">
        <f t="shared" si="23"/>
        <v>Relasi Personal / Tidak Teridentifikasi</v>
      </c>
    </row>
    <row r="462" spans="1:27">
      <c r="A462" s="106">
        <v>461</v>
      </c>
      <c r="B462" s="106" t="s">
        <v>2456</v>
      </c>
      <c r="C462" s="107" t="s">
        <v>2457</v>
      </c>
      <c r="D462" s="106" t="s">
        <v>1042</v>
      </c>
      <c r="E462" s="106" t="s">
        <v>1115</v>
      </c>
      <c r="F462" s="106" t="s">
        <v>3323</v>
      </c>
      <c r="G462" s="106" t="s">
        <v>1006</v>
      </c>
      <c r="H462" s="106" t="s">
        <v>3324</v>
      </c>
      <c r="I462" s="106" t="s">
        <v>1634</v>
      </c>
      <c r="J462" s="106">
        <v>750000</v>
      </c>
      <c r="K462" s="106" t="s">
        <v>3325</v>
      </c>
      <c r="L462" s="106" t="s">
        <v>3326</v>
      </c>
      <c r="M462" s="106" t="s">
        <v>1171</v>
      </c>
      <c r="N462" s="106" t="s">
        <v>3327</v>
      </c>
      <c r="O462" s="106" t="s">
        <v>274</v>
      </c>
      <c r="P462" s="106" t="s">
        <v>1119</v>
      </c>
      <c r="Q462" s="106" t="s">
        <v>429</v>
      </c>
      <c r="S462" s="106" t="str" cm="1">
        <f t="array" ref="S462">IF(TRIM($D462)="","(tidak diisi)",IFERROR(INDEX(Kamus!$B$3:$B$28,MATCH(TRUE,ISNUMBER(SEARCH(Kamus!$A$3:$A$28,$D462)),0)),"Jabatan Lainnya"))</f>
        <v>Ketua Pengadilan</v>
      </c>
      <c r="T462" s="106" t="str" cm="1">
        <f t="array" ref="T462">IF(TRIM($I462)="","(tidak diisi)",IFERROR(INDEX(Kamus!$E$3:$E$162,MATCH(TRUE,ISNUMBER(SEARCH(Kamus!$D$3:$D$162,$I462)),0)),"Barang Lain / Tidak Terinci"))</f>
        <v>Pakaian &amp; Kain</v>
      </c>
      <c r="U462" s="106" t="str" cm="1">
        <f t="array" ref="U462">IF(TRIM($I462)="","(tidak diisi)",IFERROR(INDEX(Kamus!$H$3:$H$75,MATCH(TRUE,ISNUMBER(SEARCH(Kamus!$G$3:$G$75,$I462)),0)),"Pemberian Umum / Tanpa Konteks"))</f>
        <v>Pemberian Umum / Tanpa Konteks</v>
      </c>
      <c r="V462" s="106" t="str">
        <f t="shared" si="21"/>
        <v>2025</v>
      </c>
      <c r="W462" s="106" t="str" cm="1">
        <f t="array" ref="W462">IF(TRIM($K462)="","(tidak diisi)",IFERROR(INDEX(Kamus!$K$3:$K$118,MATCH(TRUE,ISNUMBER(SEARCH(Kamus!$J$3:$J$118,$K462)),0)),"Individu / Perorangan"))</f>
        <v>Bank &amp; Lembaga Keuangan</v>
      </c>
      <c r="X462" s="106" t="str">
        <f t="shared" si="22"/>
        <v>08</v>
      </c>
      <c r="Y462" s="106" t="str" cm="1">
        <f t="array" ref="Y462">IFERROR(INDEX(Kamus!$N$3:$N$111,MATCH(TRUE,ISNUMBER(SEARCH(Kamus!$M$3:$M$111,$I462)),0)),"")</f>
        <v/>
      </c>
      <c r="Z462" s="106" t="str">
        <f>IF(AND(OR($X462="02",$X462="03",$X462="04"),OR($T462="Parsel/Bingkisan (tidak dirinci)",$T462="Makanan &amp; Minuman",$T462="Peralatan Rumah Tangga / Pecah Belah",$T462="Pakaian &amp; Kain")),"Momen Hari Raya (dugaan musiman)",IFERROR(VLOOKUP($W462,Kamus!$P$3:$Q$14,2,FALSE),"Tidak Teridentifikasi"))</f>
        <v>Relasi Layanan/Kerja Sama Perbankan (dugaan)</v>
      </c>
      <c r="AA462" s="106" t="str">
        <f t="shared" si="23"/>
        <v>Relasi Layanan/Kerja Sama Perbankan (dugaan)</v>
      </c>
    </row>
    <row r="463" spans="1:27">
      <c r="A463" s="106">
        <v>462</v>
      </c>
      <c r="B463" s="106" t="s">
        <v>3328</v>
      </c>
      <c r="C463" s="107" t="s">
        <v>3329</v>
      </c>
      <c r="D463" s="106" t="s">
        <v>3330</v>
      </c>
      <c r="E463" s="106" t="s">
        <v>2550</v>
      </c>
      <c r="F463" s="106" t="s">
        <v>3331</v>
      </c>
      <c r="G463" s="106" t="s">
        <v>1006</v>
      </c>
      <c r="H463" s="106" t="s">
        <v>3239</v>
      </c>
      <c r="I463" s="106" t="s">
        <v>3171</v>
      </c>
      <c r="K463" s="106" t="s">
        <v>2552</v>
      </c>
      <c r="L463" s="106" t="s">
        <v>3332</v>
      </c>
      <c r="O463" s="106" t="s">
        <v>274</v>
      </c>
      <c r="P463" s="106" t="s">
        <v>2554</v>
      </c>
      <c r="Q463" s="106" t="s">
        <v>372</v>
      </c>
      <c r="S463" s="106" t="str" cm="1">
        <f t="array" ref="S463">IF(TRIM($D463)="","(tidak diisi)",IFERROR(INDEX(Kamus!$B$3:$B$28,MATCH(TRUE,ISNUMBER(SEARCH(Kamus!$A$3:$A$28,$D463)),0)),"Jabatan Lainnya"))</f>
        <v>Jurusita</v>
      </c>
      <c r="T463" s="106" t="str" cm="1">
        <f t="array" ref="T463">IF(TRIM($I463)="","(tidak diisi)",IFERROR(INDEX(Kamus!$E$3:$E$162,MATCH(TRUE,ISNUMBER(SEARCH(Kamus!$D$3:$D$162,$I463)),0)),"Barang Lain / Tidak Terinci"))</f>
        <v>Karangan Bunga / Ucapan</v>
      </c>
      <c r="U463" s="106" t="str" cm="1">
        <f t="array" ref="U463">IF(TRIM($I463)="","(tidak diisi)",IFERROR(INDEX(Kamus!$H$3:$H$75,MATCH(TRUE,ISNUMBER(SEARCH(Kamus!$G$3:$G$75,$I463)),0)),"Pemberian Umum / Tanpa Konteks"))</f>
        <v>Ucapan Duka/Selamat (Karangan Bunga)</v>
      </c>
      <c r="V463" s="106" t="str">
        <f t="shared" si="21"/>
        <v>2025</v>
      </c>
      <c r="W463" s="106" t="str" cm="1">
        <f t="array" ref="W463">IF(TRIM($K463)="","(tidak diisi)",IFERROR(INDEX(Kamus!$K$3:$K$118,MATCH(TRUE,ISNUMBER(SEARCH(Kamus!$J$3:$J$118,$K463)),0)),"Individu / Perorangan"))</f>
        <v>Individu / Perorangan</v>
      </c>
      <c r="X463" s="106" t="str">
        <f t="shared" si="22"/>
        <v>08</v>
      </c>
      <c r="Y463" s="106" t="str" cm="1">
        <f t="array" ref="Y463">IFERROR(INDEX(Kamus!$N$3:$N$111,MATCH(TRUE,ISNUMBER(SEARCH(Kamus!$M$3:$M$111,$I463)),0)),"")</f>
        <v>Ucapan Selamat/Duka atas Acara Instansi</v>
      </c>
      <c r="Z463" s="106" t="str">
        <f>IF(AND(OR($X463="02",$X463="03",$X463="04"),OR($T463="Parsel/Bingkisan (tidak dirinci)",$T463="Makanan &amp; Minuman",$T463="Peralatan Rumah Tangga / Pecah Belah",$T463="Pakaian &amp; Kain")),"Momen Hari Raya (dugaan musiman)",IFERROR(VLOOKUP($W463,Kamus!$P$3:$Q$14,2,FALSE),"Tidak Teridentifikasi"))</f>
        <v>Relasi Personal / Tidak Teridentifikasi</v>
      </c>
      <c r="AA463" s="106" t="str">
        <f t="shared" si="23"/>
        <v>Ucapan Selamat/Duka atas Acara Instansi</v>
      </c>
    </row>
    <row r="464" spans="1:27">
      <c r="A464" s="106">
        <v>463</v>
      </c>
      <c r="B464" s="106" t="s">
        <v>2033</v>
      </c>
      <c r="C464" s="107" t="s">
        <v>2034</v>
      </c>
      <c r="D464" s="106" t="s">
        <v>2035</v>
      </c>
      <c r="E464" s="106" t="s">
        <v>1005</v>
      </c>
      <c r="F464" s="106" t="s">
        <v>3333</v>
      </c>
      <c r="G464" s="106" t="s">
        <v>1074</v>
      </c>
      <c r="H464" s="106" t="s">
        <v>3254</v>
      </c>
      <c r="I464" s="106" t="s">
        <v>3257</v>
      </c>
      <c r="K464" s="106" t="s">
        <v>3334</v>
      </c>
      <c r="L464" s="106" t="s">
        <v>3335</v>
      </c>
      <c r="O464" s="106" t="s">
        <v>274</v>
      </c>
      <c r="S464" s="106" t="str" cm="1">
        <f t="array" ref="S464">IF(TRIM($D464)="","(tidak diisi)",IFERROR(INDEX(Kamus!$B$3:$B$28,MATCH(TRUE,ISNUMBER(SEARCH(Kamus!$A$3:$A$28,$D464)),0)),"Jabatan Lainnya"))</f>
        <v>Ketua Pengadilan</v>
      </c>
      <c r="T464" s="106" t="str" cm="1">
        <f t="array" ref="T464">IF(TRIM($I464)="","(tidak diisi)",IFERROR(INDEX(Kamus!$E$3:$E$162,MATCH(TRUE,ISNUMBER(SEARCH(Kamus!$D$3:$D$162,$I464)),0)),"Barang Lain / Tidak Terinci"))</f>
        <v>Karangan Bunga / Ucapan</v>
      </c>
      <c r="U464" s="106" t="str" cm="1">
        <f t="array" ref="U464">IF(TRIM($I464)="","(tidak diisi)",IFERROR(INDEX(Kamus!$H$3:$H$75,MATCH(TRUE,ISNUMBER(SEARCH(Kamus!$G$3:$G$75,$I464)),0)),"Pemberian Umum / Tanpa Konteks"))</f>
        <v>Ucapan Duka/Selamat (Karangan Bunga)</v>
      </c>
      <c r="V464" s="106" t="str">
        <f t="shared" si="21"/>
        <v>2025</v>
      </c>
      <c r="W464" s="106" t="str" cm="1">
        <f t="array" ref="W464">IF(TRIM($K464)="","(tidak diisi)",IFERROR(INDEX(Kamus!$K$3:$K$118,MATCH(TRUE,ISNUMBER(SEARCH(Kamus!$J$3:$J$118,$K464)),0)),"Individu / Perorangan"))</f>
        <v>Bank &amp; Lembaga Keuangan</v>
      </c>
      <c r="X464" s="106" t="str">
        <f t="shared" si="22"/>
        <v>08</v>
      </c>
      <c r="Y464" s="106" t="str" cm="1">
        <f t="array" ref="Y464">IFERROR(INDEX(Kamus!$N$3:$N$111,MATCH(TRUE,ISNUMBER(SEARCH(Kamus!$M$3:$M$111,$I464)),0)),"")</f>
        <v>Ucapan Selamat/Duka atas Acara Instansi</v>
      </c>
      <c r="Z464" s="106" t="str">
        <f>IF(AND(OR($X464="02",$X464="03",$X464="04"),OR($T464="Parsel/Bingkisan (tidak dirinci)",$T464="Makanan &amp; Minuman",$T464="Peralatan Rumah Tangga / Pecah Belah",$T464="Pakaian &amp; Kain")),"Momen Hari Raya (dugaan musiman)",IFERROR(VLOOKUP($W464,Kamus!$P$3:$Q$14,2,FALSE),"Tidak Teridentifikasi"))</f>
        <v>Relasi Layanan/Kerja Sama Perbankan (dugaan)</v>
      </c>
      <c r="AA464" s="106" t="str">
        <f t="shared" si="23"/>
        <v>Ucapan Selamat/Duka atas Acara Instansi</v>
      </c>
    </row>
    <row r="465" spans="1:27">
      <c r="A465" s="106">
        <v>464</v>
      </c>
      <c r="B465" s="106" t="s">
        <v>2033</v>
      </c>
      <c r="C465" s="107" t="s">
        <v>2034</v>
      </c>
      <c r="D465" s="106" t="s">
        <v>2035</v>
      </c>
      <c r="E465" s="106" t="s">
        <v>1005</v>
      </c>
      <c r="F465" s="106" t="s">
        <v>3336</v>
      </c>
      <c r="G465" s="106" t="s">
        <v>1074</v>
      </c>
      <c r="H465" s="106" t="s">
        <v>3309</v>
      </c>
      <c r="I465" s="106" t="s">
        <v>3257</v>
      </c>
      <c r="K465" s="106" t="s">
        <v>3337</v>
      </c>
      <c r="L465" s="106" t="s">
        <v>3338</v>
      </c>
      <c r="O465" s="106" t="s">
        <v>274</v>
      </c>
      <c r="S465" s="106" t="str" cm="1">
        <f t="array" ref="S465">IF(TRIM($D465)="","(tidak diisi)",IFERROR(INDEX(Kamus!$B$3:$B$28,MATCH(TRUE,ISNUMBER(SEARCH(Kamus!$A$3:$A$28,$D465)),0)),"Jabatan Lainnya"))</f>
        <v>Ketua Pengadilan</v>
      </c>
      <c r="T465" s="106" t="str" cm="1">
        <f t="array" ref="T465">IF(TRIM($I465)="","(tidak diisi)",IFERROR(INDEX(Kamus!$E$3:$E$162,MATCH(TRUE,ISNUMBER(SEARCH(Kamus!$D$3:$D$162,$I465)),0)),"Barang Lain / Tidak Terinci"))</f>
        <v>Karangan Bunga / Ucapan</v>
      </c>
      <c r="U465" s="106" t="str" cm="1">
        <f t="array" ref="U465">IF(TRIM($I465)="","(tidak diisi)",IFERROR(INDEX(Kamus!$H$3:$H$75,MATCH(TRUE,ISNUMBER(SEARCH(Kamus!$G$3:$G$75,$I465)),0)),"Pemberian Umum / Tanpa Konteks"))</f>
        <v>Ucapan Duka/Selamat (Karangan Bunga)</v>
      </c>
      <c r="V465" s="106" t="str">
        <f t="shared" si="21"/>
        <v>2025</v>
      </c>
      <c r="W465" s="106" t="str" cm="1">
        <f t="array" ref="W465">IF(TRIM($K465)="","(tidak diisi)",IFERROR(INDEX(Kamus!$K$3:$K$118,MATCH(TRUE,ISNUMBER(SEARCH(Kamus!$J$3:$J$118,$K465)),0)),"Individu / Perorangan"))</f>
        <v>Individu / Perorangan</v>
      </c>
      <c r="X465" s="106" t="str">
        <f t="shared" si="22"/>
        <v>08</v>
      </c>
      <c r="Y465" s="106" t="str" cm="1">
        <f t="array" ref="Y465">IFERROR(INDEX(Kamus!$N$3:$N$111,MATCH(TRUE,ISNUMBER(SEARCH(Kamus!$M$3:$M$111,$I465)),0)),"")</f>
        <v>Ucapan Selamat/Duka atas Acara Instansi</v>
      </c>
      <c r="Z465" s="106" t="str">
        <f>IF(AND(OR($X465="02",$X465="03",$X465="04"),OR($T465="Parsel/Bingkisan (tidak dirinci)",$T465="Makanan &amp; Minuman",$T465="Peralatan Rumah Tangga / Pecah Belah",$T465="Pakaian &amp; Kain")),"Momen Hari Raya (dugaan musiman)",IFERROR(VLOOKUP($W465,Kamus!$P$3:$Q$14,2,FALSE),"Tidak Teridentifikasi"))</f>
        <v>Relasi Personal / Tidak Teridentifikasi</v>
      </c>
      <c r="AA465" s="106" t="str">
        <f t="shared" si="23"/>
        <v>Ucapan Selamat/Duka atas Acara Instansi</v>
      </c>
    </row>
    <row r="466" spans="1:27">
      <c r="A466" s="106">
        <v>465</v>
      </c>
      <c r="B466" s="106" t="s">
        <v>3339</v>
      </c>
      <c r="C466" s="107" t="s">
        <v>3340</v>
      </c>
      <c r="D466" s="106" t="s">
        <v>1042</v>
      </c>
      <c r="E466" s="106" t="s">
        <v>3341</v>
      </c>
      <c r="F466" s="106" t="s">
        <v>3342</v>
      </c>
      <c r="G466" s="106" t="s">
        <v>1006</v>
      </c>
      <c r="H466" s="106" t="s">
        <v>3309</v>
      </c>
      <c r="I466" s="106" t="s">
        <v>3343</v>
      </c>
      <c r="J466" s="106">
        <v>350000</v>
      </c>
      <c r="K466" s="106" t="s">
        <v>3344</v>
      </c>
      <c r="L466" s="106" t="s">
        <v>3345</v>
      </c>
      <c r="M466" s="106" t="s">
        <v>1360</v>
      </c>
      <c r="O466" s="106" t="s">
        <v>274</v>
      </c>
      <c r="P466" s="106" t="s">
        <v>583</v>
      </c>
      <c r="Q466" s="106" t="s">
        <v>302</v>
      </c>
      <c r="S466" s="106" t="str" cm="1">
        <f t="array" ref="S466">IF(TRIM($D466)="","(tidak diisi)",IFERROR(INDEX(Kamus!$B$3:$B$28,MATCH(TRUE,ISNUMBER(SEARCH(Kamus!$A$3:$A$28,$D466)),0)),"Jabatan Lainnya"))</f>
        <v>Ketua Pengadilan</v>
      </c>
      <c r="T466" s="106" t="str" cm="1">
        <f t="array" ref="T466">IF(TRIM($I466)="","(tidak diisi)",IFERROR(INDEX(Kamus!$E$3:$E$162,MATCH(TRUE,ISNUMBER(SEARCH(Kamus!$D$3:$D$162,$I466)),0)),"Barang Lain / Tidak Terinci"))</f>
        <v>Makanan &amp; Minuman</v>
      </c>
      <c r="U466" s="106" t="str" cm="1">
        <f t="array" ref="U466">IF(TRIM($I466)="","(tidak diisi)",IFERROR(INDEX(Kamus!$H$3:$H$75,MATCH(TRUE,ISNUMBER(SEARCH(Kamus!$G$3:$G$75,$I466)),0)),"Pemberian Umum / Tanpa Konteks"))</f>
        <v>Hadiah Acara Personal</v>
      </c>
      <c r="V466" s="106" t="str">
        <f t="shared" si="21"/>
        <v>2025</v>
      </c>
      <c r="W466" s="106" t="str" cm="1">
        <f t="array" ref="W466">IF(TRIM($K466)="","(tidak diisi)",IFERROR(INDEX(Kamus!$K$3:$K$118,MATCH(TRUE,ISNUMBER(SEARCH(Kamus!$J$3:$J$118,$K466)),0)),"Individu / Perorangan"))</f>
        <v>Bank &amp; Lembaga Keuangan</v>
      </c>
      <c r="X466" s="106" t="str">
        <f t="shared" si="22"/>
        <v>08</v>
      </c>
      <c r="Y466" s="106" t="str" cm="1">
        <f t="array" ref="Y466">IFERROR(INDEX(Kamus!$N$3:$N$111,MATCH(TRUE,ISNUMBER(SEARCH(Kamus!$M$3:$M$111,$I466)),0)),"")</f>
        <v>Acara Personal (Pernikahan/Duka/Wisuda)</v>
      </c>
      <c r="Z466" s="106" t="str">
        <f>IF(AND(OR($X466="02",$X466="03",$X466="04"),OR($T466="Parsel/Bingkisan (tidak dirinci)",$T466="Makanan &amp; Minuman",$T466="Peralatan Rumah Tangga / Pecah Belah",$T466="Pakaian &amp; Kain")),"Momen Hari Raya (dugaan musiman)",IFERROR(VLOOKUP($W466,Kamus!$P$3:$Q$14,2,FALSE),"Tidak Teridentifikasi"))</f>
        <v>Relasi Layanan/Kerja Sama Perbankan (dugaan)</v>
      </c>
      <c r="AA466" s="106" t="str">
        <f t="shared" si="23"/>
        <v>Acara Personal (Pernikahan/Duka/Wisuda)</v>
      </c>
    </row>
    <row r="467" spans="1:27">
      <c r="A467" s="106">
        <v>466</v>
      </c>
      <c r="B467" s="106" t="s">
        <v>1060</v>
      </c>
      <c r="C467" s="107" t="s">
        <v>1061</v>
      </c>
      <c r="D467" s="106" t="s">
        <v>1033</v>
      </c>
      <c r="E467" s="106" t="s">
        <v>1062</v>
      </c>
      <c r="F467" s="106" t="s">
        <v>3346</v>
      </c>
      <c r="G467" s="106" t="s">
        <v>1006</v>
      </c>
      <c r="H467" s="106" t="s">
        <v>3254</v>
      </c>
      <c r="I467" s="106" t="s">
        <v>3347</v>
      </c>
      <c r="K467" s="106" t="s">
        <v>3348</v>
      </c>
      <c r="L467" s="106" t="s">
        <v>3349</v>
      </c>
      <c r="O467" s="106" t="s">
        <v>274</v>
      </c>
      <c r="P467" s="106" t="s">
        <v>1067</v>
      </c>
      <c r="Q467" s="106" t="s">
        <v>350</v>
      </c>
      <c r="S467" s="106" t="str" cm="1">
        <f t="array" ref="S467">IF(TRIM($D467)="","(tidak diisi)",IFERROR(INDEX(Kamus!$B$3:$B$28,MATCH(TRUE,ISNUMBER(SEARCH(Kamus!$A$3:$A$28,$D467)),0)),"Jabatan Lainnya"))</f>
        <v>Hakim</v>
      </c>
      <c r="T467" s="106" t="str" cm="1">
        <f t="array" ref="T467">IF(TRIM($I467)="","(tidak diisi)",IFERROR(INDEX(Kamus!$E$3:$E$162,MATCH(TRUE,ISNUMBER(SEARCH(Kamus!$D$3:$D$162,$I467)),0)),"Barang Lain / Tidak Terinci"))</f>
        <v>Barang Lain / Tidak Terinci</v>
      </c>
      <c r="U467" s="106" t="str" cm="1">
        <f t="array" ref="U467">IF(TRIM($I467)="","(tidak diisi)",IFERROR(INDEX(Kamus!$H$3:$H$75,MATCH(TRUE,ISNUMBER(SEARCH(Kamus!$G$3:$G$75,$I467)),0)),"Pemberian Umum / Tanpa Konteks"))</f>
        <v>Pemberian Umum / Tanpa Konteks</v>
      </c>
      <c r="V467" s="106" t="str">
        <f t="shared" si="21"/>
        <v>2025</v>
      </c>
      <c r="W467" s="106" t="str" cm="1">
        <f t="array" ref="W467">IF(TRIM($K467)="","(tidak diisi)",IFERROR(INDEX(Kamus!$K$3:$K$118,MATCH(TRUE,ISNUMBER(SEARCH(Kamus!$J$3:$J$118,$K467)),0)),"Individu / Perorangan"))</f>
        <v>Organisasi / Panitia Kegiatan</v>
      </c>
      <c r="X467" s="106" t="str">
        <f t="shared" si="22"/>
        <v>08</v>
      </c>
      <c r="Y467" s="106" t="str" cm="1">
        <f t="array" ref="Y467">IFERROR(INDEX(Kamus!$N$3:$N$111,MATCH(TRUE,ISNUMBER(SEARCH(Kamus!$M$3:$M$111,$I467)),0)),"")</f>
        <v/>
      </c>
      <c r="Z467" s="106" t="str">
        <f>IF(AND(OR($X467="02",$X467="03",$X467="04"),OR($T467="Parsel/Bingkisan (tidak dirinci)",$T467="Makanan &amp; Minuman",$T467="Peralatan Rumah Tangga / Pecah Belah",$T467="Pakaian &amp; Kain")),"Momen Hari Raya (dugaan musiman)",IFERROR(VLOOKUP($W467,Kamus!$P$3:$Q$14,2,FALSE),"Tidak Teridentifikasi"))</f>
        <v>Kegiatan Organisasi/Panitia (dugaan)</v>
      </c>
      <c r="AA467" s="106" t="str">
        <f t="shared" si="23"/>
        <v>Kegiatan Organisasi/Panitia (dugaan)</v>
      </c>
    </row>
    <row r="468" spans="1:27">
      <c r="A468" s="106">
        <v>467</v>
      </c>
      <c r="B468" s="106" t="s">
        <v>1264</v>
      </c>
      <c r="C468" s="107" t="s">
        <v>1265</v>
      </c>
      <c r="D468" s="106" t="s">
        <v>1081</v>
      </c>
      <c r="E468" s="106" t="s">
        <v>3285</v>
      </c>
      <c r="F468" s="106" t="s">
        <v>3350</v>
      </c>
      <c r="G468" s="106" t="s">
        <v>1006</v>
      </c>
      <c r="H468" s="106" t="s">
        <v>3135</v>
      </c>
      <c r="I468" s="106" t="s">
        <v>3351</v>
      </c>
      <c r="J468" s="106">
        <v>30000</v>
      </c>
      <c r="K468" s="106" t="s">
        <v>3352</v>
      </c>
      <c r="L468" s="106" t="s">
        <v>3353</v>
      </c>
      <c r="M468" s="106" t="s">
        <v>1171</v>
      </c>
      <c r="N468" s="106" t="s">
        <v>3354</v>
      </c>
      <c r="O468" s="106" t="s">
        <v>274</v>
      </c>
      <c r="P468" s="106" t="s">
        <v>3290</v>
      </c>
      <c r="Q468" s="106" t="s">
        <v>412</v>
      </c>
      <c r="S468" s="106" t="str" cm="1">
        <f t="array" ref="S468">IF(TRIM($D468)="","(tidak diisi)",IFERROR(INDEX(Kamus!$B$3:$B$28,MATCH(TRUE,ISNUMBER(SEARCH(Kamus!$A$3:$A$28,$D468)),0)),"Jabatan Lainnya"))</f>
        <v>Hakim</v>
      </c>
      <c r="T468" s="106" t="str" cm="1">
        <f t="array" ref="T468">IF(TRIM($I468)="","(tidak diisi)",IFERROR(INDEX(Kamus!$E$3:$E$162,MATCH(TRUE,ISNUMBER(SEARCH(Kamus!$D$3:$D$162,$I468)),0)),"Barang Lain / Tidak Terinci"))</f>
        <v>Makanan &amp; Minuman</v>
      </c>
      <c r="U468" s="106" t="str" cm="1">
        <f t="array" ref="U468">IF(TRIM($I468)="","(tidak diisi)",IFERROR(INDEX(Kamus!$H$3:$H$75,MATCH(TRUE,ISNUMBER(SEARCH(Kamus!$G$3:$G$75,$I468)),0)),"Pemberian Umum / Tanpa Konteks"))</f>
        <v>Pemberian Umum / Tanpa Konteks</v>
      </c>
      <c r="V468" s="106" t="str">
        <f t="shared" si="21"/>
        <v>2025</v>
      </c>
      <c r="W468" s="106" t="str" cm="1">
        <f t="array" ref="W468">IF(TRIM($K468)="","(tidak diisi)",IFERROR(INDEX(Kamus!$K$3:$K$118,MATCH(TRUE,ISNUMBER(SEARCH(Kamus!$J$3:$J$118,$K468)),0)),"Individu / Perorangan"))</f>
        <v>Individu / Perorangan</v>
      </c>
      <c r="X468" s="106" t="str">
        <f t="shared" si="22"/>
        <v>08</v>
      </c>
      <c r="Y468" s="106" t="str" cm="1">
        <f t="array" ref="Y468">IFERROR(INDEX(Kamus!$N$3:$N$111,MATCH(TRUE,ISNUMBER(SEARCH(Kamus!$M$3:$M$111,$I468)),0)),"")</f>
        <v/>
      </c>
      <c r="Z468" s="106" t="str">
        <f>IF(AND(OR($X468="02",$X468="03",$X468="04"),OR($T468="Parsel/Bingkisan (tidak dirinci)",$T468="Makanan &amp; Minuman",$T468="Peralatan Rumah Tangga / Pecah Belah",$T468="Pakaian &amp; Kain")),"Momen Hari Raya (dugaan musiman)",IFERROR(VLOOKUP($W468,Kamus!$P$3:$Q$14,2,FALSE),"Tidak Teridentifikasi"))</f>
        <v>Relasi Personal / Tidak Teridentifikasi</v>
      </c>
      <c r="AA468" s="106" t="str">
        <f t="shared" si="23"/>
        <v>Relasi Personal / Tidak Teridentifikasi</v>
      </c>
    </row>
    <row r="469" spans="1:27">
      <c r="A469" s="106">
        <v>468</v>
      </c>
      <c r="B469" s="106" t="s">
        <v>1629</v>
      </c>
      <c r="C469" s="107" t="s">
        <v>1630</v>
      </c>
      <c r="D469" s="106" t="s">
        <v>1631</v>
      </c>
      <c r="E469" s="106" t="s">
        <v>1632</v>
      </c>
      <c r="F469" s="106" t="s">
        <v>3355</v>
      </c>
      <c r="G469" s="106" t="s">
        <v>1074</v>
      </c>
      <c r="H469" s="106" t="s">
        <v>3217</v>
      </c>
      <c r="I469" s="106" t="s">
        <v>3356</v>
      </c>
      <c r="K469" s="106" t="s">
        <v>3357</v>
      </c>
      <c r="L469" s="106" t="s">
        <v>3358</v>
      </c>
      <c r="O469" s="106" t="s">
        <v>274</v>
      </c>
      <c r="P469" s="106" t="s">
        <v>472</v>
      </c>
      <c r="Q469" s="106" t="s">
        <v>402</v>
      </c>
      <c r="S469" s="106" t="str" cm="1">
        <f t="array" ref="S469">IF(TRIM($D469)="","(tidak diisi)",IFERROR(INDEX(Kamus!$B$3:$B$28,MATCH(TRUE,ISNUMBER(SEARCH(Kamus!$A$3:$A$28,$D469)),0)),"Jabatan Lainnya"))</f>
        <v>Ketua Pengadilan</v>
      </c>
      <c r="T469" s="106" t="str" cm="1">
        <f t="array" ref="T469">IF(TRIM($I469)="","(tidak diisi)",IFERROR(INDEX(Kamus!$E$3:$E$162,MATCH(TRUE,ISNUMBER(SEARCH(Kamus!$D$3:$D$162,$I469)),0)),"Barang Lain / Tidak Terinci"))</f>
        <v>Pakaian &amp; Kain</v>
      </c>
      <c r="U469" s="106" t="str" cm="1">
        <f t="array" ref="U469">IF(TRIM($I469)="","(tidak diisi)",IFERROR(INDEX(Kamus!$H$3:$H$75,MATCH(TRUE,ISNUMBER(SEARCH(Kamus!$G$3:$G$75,$I469)),0)),"Pemberian Umum / Tanpa Konteks"))</f>
        <v>Pemberian Umum / Tanpa Konteks</v>
      </c>
      <c r="V469" s="106" t="str">
        <f t="shared" si="21"/>
        <v>2025</v>
      </c>
      <c r="W469" s="106" t="str" cm="1">
        <f t="array" ref="W469">IF(TRIM($K469)="","(tidak diisi)",IFERROR(INDEX(Kamus!$K$3:$K$118,MATCH(TRUE,ISNUMBER(SEARCH(Kamus!$J$3:$J$118,$K469)),0)),"Individu / Perorangan"))</f>
        <v>Individu / Perorangan</v>
      </c>
      <c r="X469" s="106" t="str">
        <f t="shared" si="22"/>
        <v>08</v>
      </c>
      <c r="Y469" s="106" t="str" cm="1">
        <f t="array" ref="Y469">IFERROR(INDEX(Kamus!$N$3:$N$111,MATCH(TRUE,ISNUMBER(SEARCH(Kamus!$M$3:$M$111,$I469)),0)),"")</f>
        <v/>
      </c>
      <c r="Z469" s="106" t="str">
        <f>IF(AND(OR($X469="02",$X469="03",$X469="04"),OR($T469="Parsel/Bingkisan (tidak dirinci)",$T469="Makanan &amp; Minuman",$T469="Peralatan Rumah Tangga / Pecah Belah",$T469="Pakaian &amp; Kain")),"Momen Hari Raya (dugaan musiman)",IFERROR(VLOOKUP($W469,Kamus!$P$3:$Q$14,2,FALSE),"Tidak Teridentifikasi"))</f>
        <v>Relasi Personal / Tidak Teridentifikasi</v>
      </c>
      <c r="AA469" s="106" t="str">
        <f t="shared" si="23"/>
        <v>Relasi Personal / Tidak Teridentifikasi</v>
      </c>
    </row>
    <row r="470" spans="1:27">
      <c r="A470" s="106">
        <v>469</v>
      </c>
      <c r="B470" s="106" t="s">
        <v>3275</v>
      </c>
      <c r="C470" s="107" t="s">
        <v>3276</v>
      </c>
      <c r="D470" s="106" t="s">
        <v>1042</v>
      </c>
      <c r="E470" s="106" t="s">
        <v>1005</v>
      </c>
      <c r="F470" s="106" t="s">
        <v>3359</v>
      </c>
      <c r="G470" s="106" t="s">
        <v>1006</v>
      </c>
      <c r="H470" s="106" t="s">
        <v>3318</v>
      </c>
      <c r="I470" s="106" t="s">
        <v>3360</v>
      </c>
      <c r="J470" s="106">
        <v>350000</v>
      </c>
      <c r="K470" s="106" t="s">
        <v>3361</v>
      </c>
      <c r="L470" s="106" t="s">
        <v>3362</v>
      </c>
      <c r="M470" s="106" t="s">
        <v>1039</v>
      </c>
      <c r="O470" s="106" t="s">
        <v>274</v>
      </c>
      <c r="S470" s="106" t="str" cm="1">
        <f t="array" ref="S470">IF(TRIM($D470)="","(tidak diisi)",IFERROR(INDEX(Kamus!$B$3:$B$28,MATCH(TRUE,ISNUMBER(SEARCH(Kamus!$A$3:$A$28,$D470)),0)),"Jabatan Lainnya"))</f>
        <v>Ketua Pengadilan</v>
      </c>
      <c r="T470" s="106" t="str" cm="1">
        <f t="array" ref="T470">IF(TRIM($I470)="","(tidak diisi)",IFERROR(INDEX(Kamus!$E$3:$E$162,MATCH(TRUE,ISNUMBER(SEARCH(Kamus!$D$3:$D$162,$I470)),0)),"Barang Lain / Tidak Terinci"))</f>
        <v>Pakaian &amp; Kain</v>
      </c>
      <c r="U470" s="106" t="str" cm="1">
        <f t="array" ref="U470">IF(TRIM($I470)="","(tidak diisi)",IFERROR(INDEX(Kamus!$H$3:$H$75,MATCH(TRUE,ISNUMBER(SEARCH(Kamus!$G$3:$G$75,$I470)),0)),"Pemberian Umum / Tanpa Konteks"))</f>
        <v>Pemberian Umum / Tanpa Konteks</v>
      </c>
      <c r="V470" s="106" t="str">
        <f t="shared" si="21"/>
        <v>2025</v>
      </c>
      <c r="W470" s="106" t="str" cm="1">
        <f t="array" ref="W470">IF(TRIM($K470)="","(tidak diisi)",IFERROR(INDEX(Kamus!$K$3:$K$118,MATCH(TRUE,ISNUMBER(SEARCH(Kamus!$J$3:$J$118,$K470)),0)),"Individu / Perorangan"))</f>
        <v>Bank &amp; Lembaga Keuangan</v>
      </c>
      <c r="X470" s="106" t="str">
        <f t="shared" si="22"/>
        <v>08</v>
      </c>
      <c r="Y470" s="106" t="str" cm="1">
        <f t="array" ref="Y470">IFERROR(INDEX(Kamus!$N$3:$N$111,MATCH(TRUE,ISNUMBER(SEARCH(Kamus!$M$3:$M$111,$I470)),0)),"")</f>
        <v/>
      </c>
      <c r="Z470" s="106" t="str">
        <f>IF(AND(OR($X470="02",$X470="03",$X470="04"),OR($T470="Parsel/Bingkisan (tidak dirinci)",$T470="Makanan &amp; Minuman",$T470="Peralatan Rumah Tangga / Pecah Belah",$T470="Pakaian &amp; Kain")),"Momen Hari Raya (dugaan musiman)",IFERROR(VLOOKUP($W470,Kamus!$P$3:$Q$14,2,FALSE),"Tidak Teridentifikasi"))</f>
        <v>Relasi Layanan/Kerja Sama Perbankan (dugaan)</v>
      </c>
      <c r="AA470" s="106" t="str">
        <f t="shared" si="23"/>
        <v>Relasi Layanan/Kerja Sama Perbankan (dugaan)</v>
      </c>
    </row>
    <row r="471" spans="1:27">
      <c r="A471" s="106">
        <v>470</v>
      </c>
      <c r="B471" s="106" t="s">
        <v>1486</v>
      </c>
      <c r="C471" s="107" t="s">
        <v>1487</v>
      </c>
      <c r="D471" s="106" t="s">
        <v>1488</v>
      </c>
      <c r="E471" s="106" t="s">
        <v>1489</v>
      </c>
      <c r="F471" s="106" t="s">
        <v>3363</v>
      </c>
      <c r="G471" s="106" t="s">
        <v>1006</v>
      </c>
      <c r="H471" s="106" t="s">
        <v>3364</v>
      </c>
      <c r="I471" s="106" t="s">
        <v>3365</v>
      </c>
      <c r="J471" s="106">
        <v>143000</v>
      </c>
      <c r="K471" s="106" t="s">
        <v>3366</v>
      </c>
      <c r="L471" s="106" t="s">
        <v>3367</v>
      </c>
      <c r="M471" s="106" t="s">
        <v>1020</v>
      </c>
      <c r="O471" s="106" t="s">
        <v>274</v>
      </c>
      <c r="P471" s="106" t="s">
        <v>1495</v>
      </c>
      <c r="Q471" s="106" t="s">
        <v>428</v>
      </c>
      <c r="S471" s="106" t="str" cm="1">
        <f t="array" ref="S471">IF(TRIM($D471)="","(tidak diisi)",IFERROR(INDEX(Kamus!$B$3:$B$28,MATCH(TRUE,ISNUMBER(SEARCH(Kamus!$A$3:$A$28,$D471)),0)),"Jabatan Lainnya"))</f>
        <v>Pejabat Struktural (Kasubbag/Kabag)</v>
      </c>
      <c r="T471" s="106" t="str" cm="1">
        <f t="array" ref="T471">IF(TRIM($I471)="","(tidak diisi)",IFERROR(INDEX(Kamus!$E$3:$E$162,MATCH(TRUE,ISNUMBER(SEARCH(Kamus!$D$3:$D$162,$I471)),0)),"Barang Lain / Tidak Terinci"))</f>
        <v>Barang Lain / Tidak Terinci</v>
      </c>
      <c r="U471" s="106" t="str" cm="1">
        <f t="array" ref="U471">IF(TRIM($I471)="","(tidak diisi)",IFERROR(INDEX(Kamus!$H$3:$H$75,MATCH(TRUE,ISNUMBER(SEARCH(Kamus!$G$3:$G$75,$I471)),0)),"Pemberian Umum / Tanpa Konteks"))</f>
        <v>Pemberian Umum / Tanpa Konteks</v>
      </c>
      <c r="V471" s="106" t="str">
        <f t="shared" si="21"/>
        <v>2025</v>
      </c>
      <c r="W471" s="106" t="str" cm="1">
        <f t="array" ref="W471">IF(TRIM($K471)="","(tidak diisi)",IFERROR(INDEX(Kamus!$K$3:$K$118,MATCH(TRUE,ISNUMBER(SEARCH(Kamus!$J$3:$J$118,$K471)),0)),"Individu / Perorangan"))</f>
        <v>Individu / Perorangan</v>
      </c>
      <c r="X471" s="106" t="str">
        <f t="shared" si="22"/>
        <v>08</v>
      </c>
      <c r="Y471" s="106" t="str" cm="1">
        <f t="array" ref="Y471">IFERROR(INDEX(Kamus!$N$3:$N$111,MATCH(TRUE,ISNUMBER(SEARCH(Kamus!$M$3:$M$111,$I471)),0)),"")</f>
        <v/>
      </c>
      <c r="Z471" s="106" t="str">
        <f>IF(AND(OR($X471="02",$X471="03",$X471="04"),OR($T471="Parsel/Bingkisan (tidak dirinci)",$T471="Makanan &amp; Minuman",$T471="Peralatan Rumah Tangga / Pecah Belah",$T471="Pakaian &amp; Kain")),"Momen Hari Raya (dugaan musiman)",IFERROR(VLOOKUP($W471,Kamus!$P$3:$Q$14,2,FALSE),"Tidak Teridentifikasi"))</f>
        <v>Relasi Personal / Tidak Teridentifikasi</v>
      </c>
      <c r="AA471" s="106" t="str">
        <f t="shared" si="23"/>
        <v>Relasi Personal / Tidak Teridentifikasi</v>
      </c>
    </row>
    <row r="472" spans="1:27">
      <c r="A472" s="106">
        <v>471</v>
      </c>
      <c r="B472" s="106" t="s">
        <v>1105</v>
      </c>
      <c r="C472" s="107" t="s">
        <v>1106</v>
      </c>
      <c r="D472" s="106" t="s">
        <v>1042</v>
      </c>
      <c r="E472" s="106" t="s">
        <v>1014</v>
      </c>
      <c r="F472" s="106" t="s">
        <v>3368</v>
      </c>
      <c r="G472" s="106" t="s">
        <v>1006</v>
      </c>
      <c r="H472" s="106" t="s">
        <v>3369</v>
      </c>
      <c r="I472" s="106" t="s">
        <v>3370</v>
      </c>
      <c r="J472" s="106">
        <v>150000</v>
      </c>
      <c r="K472" s="106" t="s">
        <v>3371</v>
      </c>
      <c r="L472" s="106" t="s">
        <v>3372</v>
      </c>
      <c r="M472" s="106" t="s">
        <v>1020</v>
      </c>
      <c r="O472" s="106" t="s">
        <v>274</v>
      </c>
      <c r="P472" s="106" t="s">
        <v>1021</v>
      </c>
      <c r="Q472" s="106" t="s">
        <v>428</v>
      </c>
      <c r="S472" s="106" t="str" cm="1">
        <f t="array" ref="S472">IF(TRIM($D472)="","(tidak diisi)",IFERROR(INDEX(Kamus!$B$3:$B$28,MATCH(TRUE,ISNUMBER(SEARCH(Kamus!$A$3:$A$28,$D472)),0)),"Jabatan Lainnya"))</f>
        <v>Ketua Pengadilan</v>
      </c>
      <c r="T472" s="106" t="str" cm="1">
        <f t="array" ref="T472">IF(TRIM($I472)="","(tidak diisi)",IFERROR(INDEX(Kamus!$E$3:$E$162,MATCH(TRUE,ISNUMBER(SEARCH(Kamus!$D$3:$D$162,$I472)),0)),"Barang Lain / Tidak Terinci"))</f>
        <v>Makanan &amp; Minuman</v>
      </c>
      <c r="U472" s="106" t="str" cm="1">
        <f t="array" ref="U472">IF(TRIM($I472)="","(tidak diisi)",IFERROR(INDEX(Kamus!$H$3:$H$75,MATCH(TRUE,ISNUMBER(SEARCH(Kamus!$G$3:$G$75,$I472)),0)),"Pemberian Umum / Tanpa Konteks"))</f>
        <v>Suvenir / Merchandise Kegiatan &amp; Kunjungan</v>
      </c>
      <c r="V472" s="106" t="str">
        <f t="shared" si="21"/>
        <v>2025</v>
      </c>
      <c r="W472" s="106" t="str" cm="1">
        <f t="array" ref="W472">IF(TRIM($K472)="","(tidak diisi)",IFERROR(INDEX(Kamus!$K$3:$K$118,MATCH(TRUE,ISNUMBER(SEARCH(Kamus!$J$3:$J$118,$K472)),0)),"Individu / Perorangan"))</f>
        <v>Individu / Perorangan</v>
      </c>
      <c r="X472" s="106" t="str">
        <f t="shared" si="22"/>
        <v>08</v>
      </c>
      <c r="Y472" s="106" t="str" cm="1">
        <f t="array" ref="Y472">IFERROR(INDEX(Kamus!$N$3:$N$111,MATCH(TRUE,ISNUMBER(SEARCH(Kamus!$M$3:$M$111,$I472)),0)),"")</f>
        <v/>
      </c>
      <c r="Z472" s="106" t="str">
        <f>IF(AND(OR($X472="02",$X472="03",$X472="04"),OR($T472="Parsel/Bingkisan (tidak dirinci)",$T472="Makanan &amp; Minuman",$T472="Peralatan Rumah Tangga / Pecah Belah",$T472="Pakaian &amp; Kain")),"Momen Hari Raya (dugaan musiman)",IFERROR(VLOOKUP($W472,Kamus!$P$3:$Q$14,2,FALSE),"Tidak Teridentifikasi"))</f>
        <v>Relasi Personal / Tidak Teridentifikasi</v>
      </c>
      <c r="AA472" s="106" t="str">
        <f t="shared" si="23"/>
        <v>Relasi Personal / Tidak Teridentifikasi</v>
      </c>
    </row>
    <row r="473" spans="1:27">
      <c r="A473" s="106">
        <v>472</v>
      </c>
      <c r="B473" s="106" t="s">
        <v>3373</v>
      </c>
      <c r="C473" s="107" t="s">
        <v>3374</v>
      </c>
      <c r="D473" s="106" t="s">
        <v>3375</v>
      </c>
      <c r="E473" s="106" t="s">
        <v>2150</v>
      </c>
      <c r="F473" s="106" t="s">
        <v>3376</v>
      </c>
      <c r="G473" s="106" t="s">
        <v>1074</v>
      </c>
      <c r="H473" s="106" t="s">
        <v>3318</v>
      </c>
      <c r="I473" s="106" t="s">
        <v>1017</v>
      </c>
      <c r="K473" s="106" t="s">
        <v>3377</v>
      </c>
      <c r="L473" s="106" t="s">
        <v>3378</v>
      </c>
      <c r="O473" s="106" t="s">
        <v>274</v>
      </c>
      <c r="P473" s="106" t="s">
        <v>604</v>
      </c>
      <c r="Q473" s="106" t="s">
        <v>429</v>
      </c>
      <c r="S473" s="106" t="str" cm="1">
        <f t="array" ref="S473">IF(TRIM($D473)="","(tidak diisi)",IFERROR(INDEX(Kamus!$B$3:$B$28,MATCH(TRUE,ISNUMBER(SEARCH(Kamus!$A$3:$A$28,$D473)),0)),"Jabatan Lainnya"))</f>
        <v>Staf/Pegawai Pelaksana</v>
      </c>
      <c r="T473" s="106" t="str" cm="1">
        <f t="array" ref="T473">IF(TRIM($I473)="","(tidak diisi)",IFERROR(INDEX(Kamus!$E$3:$E$162,MATCH(TRUE,ISNUMBER(SEARCH(Kamus!$D$3:$D$162,$I473)),0)),"Barang Lain / Tidak Terinci"))</f>
        <v>Uang &amp; Setara Uang</v>
      </c>
      <c r="U473" s="106" t="str" cm="1">
        <f t="array" ref="U473">IF(TRIM($I473)="","(tidak diisi)",IFERROR(INDEX(Kamus!$H$3:$H$75,MATCH(TRUE,ISNUMBER(SEARCH(Kamus!$G$3:$G$75,$I473)),0)),"Pemberian Umum / Tanpa Konteks"))</f>
        <v>Pemberian Uang Langsung</v>
      </c>
      <c r="V473" s="106" t="str">
        <f t="shared" si="21"/>
        <v>2025</v>
      </c>
      <c r="W473" s="106" t="str" cm="1">
        <f t="array" ref="W473">IF(TRIM($K473)="","(tidak diisi)",IFERROR(INDEX(Kamus!$K$3:$K$118,MATCH(TRUE,ISNUMBER(SEARCH(Kamus!$J$3:$J$118,$K473)),0)),"Individu / Perorangan"))</f>
        <v>Individu / Perorangan</v>
      </c>
      <c r="X473" s="106" t="str">
        <f t="shared" si="22"/>
        <v>08</v>
      </c>
      <c r="Y473" s="106" t="str" cm="1">
        <f t="array" ref="Y473">IFERROR(INDEX(Kamus!$N$3:$N$111,MATCH(TRUE,ISNUMBER(SEARCH(Kamus!$M$3:$M$111,$I473)),0)),"")</f>
        <v/>
      </c>
      <c r="Z473" s="106" t="str">
        <f>IF(AND(OR($X473="02",$X473="03",$X473="04"),OR($T473="Parsel/Bingkisan (tidak dirinci)",$T473="Makanan &amp; Minuman",$T473="Peralatan Rumah Tangga / Pecah Belah",$T473="Pakaian &amp; Kain")),"Momen Hari Raya (dugaan musiman)",IFERROR(VLOOKUP($W473,Kamus!$P$3:$Q$14,2,FALSE),"Tidak Teridentifikasi"))</f>
        <v>Relasi Personal / Tidak Teridentifikasi</v>
      </c>
      <c r="AA473" s="106" t="str">
        <f t="shared" si="23"/>
        <v>Relasi Personal / Tidak Teridentifikasi</v>
      </c>
    </row>
    <row r="474" spans="1:27">
      <c r="A474" s="106">
        <v>473</v>
      </c>
      <c r="B474" s="106" t="s">
        <v>1304</v>
      </c>
      <c r="C474" s="107" t="s">
        <v>1305</v>
      </c>
      <c r="D474" s="106" t="s">
        <v>1306</v>
      </c>
      <c r="E474" s="106" t="s">
        <v>1307</v>
      </c>
      <c r="F474" s="106" t="s">
        <v>3379</v>
      </c>
      <c r="G474" s="106" t="s">
        <v>1006</v>
      </c>
      <c r="H474" s="106" t="s">
        <v>3369</v>
      </c>
      <c r="I474" s="106" t="s">
        <v>3380</v>
      </c>
      <c r="J474" s="106">
        <v>43900</v>
      </c>
      <c r="K474" s="106" t="s">
        <v>3381</v>
      </c>
      <c r="L474" s="106" t="s">
        <v>3382</v>
      </c>
      <c r="M474" s="106" t="s">
        <v>1171</v>
      </c>
      <c r="N474" s="106" t="s">
        <v>3383</v>
      </c>
      <c r="O474" s="106" t="s">
        <v>274</v>
      </c>
      <c r="P474" s="106" t="s">
        <v>597</v>
      </c>
      <c r="Q474" s="106" t="s">
        <v>427</v>
      </c>
      <c r="S474" s="106" t="str" cm="1">
        <f t="array" ref="S474">IF(TRIM($D474)="","(tidak diisi)",IFERROR(INDEX(Kamus!$B$3:$B$28,MATCH(TRUE,ISNUMBER(SEARCH(Kamus!$A$3:$A$28,$D474)),0)),"Jabatan Lainnya"))</f>
        <v>Pejabat Struktural (Kasubbag/Kabag)</v>
      </c>
      <c r="T474" s="106" t="str" cm="1">
        <f t="array" ref="T474">IF(TRIM($I474)="","(tidak diisi)",IFERROR(INDEX(Kamus!$E$3:$E$162,MATCH(TRUE,ISNUMBER(SEARCH(Kamus!$D$3:$D$162,$I474)),0)),"Barang Lain / Tidak Terinci"))</f>
        <v>Pakaian &amp; Kain</v>
      </c>
      <c r="U474" s="106" t="str" cm="1">
        <f t="array" ref="U474">IF(TRIM($I474)="","(tidak diisi)",IFERROR(INDEX(Kamus!$H$3:$H$75,MATCH(TRUE,ISNUMBER(SEARCH(Kamus!$G$3:$G$75,$I474)),0)),"Pemberian Umum / Tanpa Konteks"))</f>
        <v>Pemberian Umum / Tanpa Konteks</v>
      </c>
      <c r="V474" s="106" t="str">
        <f t="shared" si="21"/>
        <v>2025</v>
      </c>
      <c r="W474" s="106" t="str" cm="1">
        <f t="array" ref="W474">IF(TRIM($K474)="","(tidak diisi)",IFERROR(INDEX(Kamus!$K$3:$K$118,MATCH(TRUE,ISNUMBER(SEARCH(Kamus!$J$3:$J$118,$K474)),0)),"Individu / Perorangan"))</f>
        <v>Individu / Perorangan</v>
      </c>
      <c r="X474" s="106" t="str">
        <f t="shared" si="22"/>
        <v>08</v>
      </c>
      <c r="Y474" s="106" t="str" cm="1">
        <f t="array" ref="Y474">IFERROR(INDEX(Kamus!$N$3:$N$111,MATCH(TRUE,ISNUMBER(SEARCH(Kamus!$M$3:$M$111,$I474)),0)),"")</f>
        <v/>
      </c>
      <c r="Z474" s="106" t="str">
        <f>IF(AND(OR($X474="02",$X474="03",$X474="04"),OR($T474="Parsel/Bingkisan (tidak dirinci)",$T474="Makanan &amp; Minuman",$T474="Peralatan Rumah Tangga / Pecah Belah",$T474="Pakaian &amp; Kain")),"Momen Hari Raya (dugaan musiman)",IFERROR(VLOOKUP($W474,Kamus!$P$3:$Q$14,2,FALSE),"Tidak Teridentifikasi"))</f>
        <v>Relasi Personal / Tidak Teridentifikasi</v>
      </c>
      <c r="AA474" s="106" t="str">
        <f t="shared" si="23"/>
        <v>Relasi Personal / Tidak Teridentifikasi</v>
      </c>
    </row>
    <row r="475" spans="1:27">
      <c r="A475" s="106">
        <v>474</v>
      </c>
      <c r="B475" s="106" t="s">
        <v>2249</v>
      </c>
      <c r="C475" s="107" t="s">
        <v>2250</v>
      </c>
      <c r="D475" s="106" t="s">
        <v>2251</v>
      </c>
      <c r="E475" s="106" t="s">
        <v>1294</v>
      </c>
      <c r="F475" s="106" t="s">
        <v>3384</v>
      </c>
      <c r="G475" s="106" t="s">
        <v>1006</v>
      </c>
      <c r="H475" s="106" t="s">
        <v>3385</v>
      </c>
      <c r="I475" s="106" t="s">
        <v>1398</v>
      </c>
      <c r="K475" s="106" t="s">
        <v>3386</v>
      </c>
      <c r="L475" s="106" t="s">
        <v>3387</v>
      </c>
      <c r="O475" s="106" t="s">
        <v>274</v>
      </c>
      <c r="P475" s="106" t="s">
        <v>1298</v>
      </c>
      <c r="Q475" s="106" t="s">
        <v>428</v>
      </c>
      <c r="S475" s="106" t="str" cm="1">
        <f t="array" ref="S475">IF(TRIM($D475)="","(tidak diisi)",IFERROR(INDEX(Kamus!$B$3:$B$28,MATCH(TRUE,ISNUMBER(SEARCH(Kamus!$A$3:$A$28,$D475)),0)),"Jabatan Lainnya"))</f>
        <v>Wakil Ketua Pengadilan</v>
      </c>
      <c r="T475" s="106" t="str" cm="1">
        <f t="array" ref="T475">IF(TRIM($I475)="","(tidak diisi)",IFERROR(INDEX(Kamus!$E$3:$E$162,MATCH(TRUE,ISNUMBER(SEARCH(Kamus!$D$3:$D$162,$I475)),0)),"Barang Lain / Tidak Terinci"))</f>
        <v>Suvenir &amp; Merchandise</v>
      </c>
      <c r="U475" s="106" t="str" cm="1">
        <f t="array" ref="U475">IF(TRIM($I475)="","(tidak diisi)",IFERROR(INDEX(Kamus!$H$3:$H$75,MATCH(TRUE,ISNUMBER(SEARCH(Kamus!$G$3:$G$75,$I475)),0)),"Pemberian Umum / Tanpa Konteks"))</f>
        <v>Suvenir / Merchandise Kegiatan &amp; Kunjungan</v>
      </c>
      <c r="V475" s="106" t="str">
        <f t="shared" si="21"/>
        <v>2025</v>
      </c>
      <c r="W475" s="106" t="str" cm="1">
        <f t="array" ref="W475">IF(TRIM($K475)="","(tidak diisi)",IFERROR(INDEX(Kamus!$K$3:$K$118,MATCH(TRUE,ISNUMBER(SEARCH(Kamus!$J$3:$J$118,$K475)),0)),"Individu / Perorangan"))</f>
        <v>Individu / Perorangan</v>
      </c>
      <c r="X475" s="106" t="str">
        <f t="shared" si="22"/>
        <v>08</v>
      </c>
      <c r="Y475" s="106" t="str" cm="1">
        <f t="array" ref="Y475">IFERROR(INDEX(Kamus!$N$3:$N$111,MATCH(TRUE,ISNUMBER(SEARCH(Kamus!$M$3:$M$111,$I475)),0)),"")</f>
        <v/>
      </c>
      <c r="Z475" s="106" t="str">
        <f>IF(AND(OR($X475="02",$X475="03",$X475="04"),OR($T475="Parsel/Bingkisan (tidak dirinci)",$T475="Makanan &amp; Minuman",$T475="Peralatan Rumah Tangga / Pecah Belah",$T475="Pakaian &amp; Kain")),"Momen Hari Raya (dugaan musiman)",IFERROR(VLOOKUP($W475,Kamus!$P$3:$Q$14,2,FALSE),"Tidak Teridentifikasi"))</f>
        <v>Relasi Personal / Tidak Teridentifikasi</v>
      </c>
      <c r="AA475" s="106" t="str">
        <f t="shared" si="23"/>
        <v>Relasi Personal / Tidak Teridentifikasi</v>
      </c>
    </row>
    <row r="476" spans="1:27">
      <c r="A476" s="106">
        <v>475</v>
      </c>
      <c r="B476" s="106" t="s">
        <v>2249</v>
      </c>
      <c r="C476" s="107" t="s">
        <v>2250</v>
      </c>
      <c r="D476" s="106" t="s">
        <v>2251</v>
      </c>
      <c r="E476" s="106" t="s">
        <v>1294</v>
      </c>
      <c r="F476" s="106" t="s">
        <v>3388</v>
      </c>
      <c r="G476" s="106" t="s">
        <v>1006</v>
      </c>
      <c r="H476" s="106" t="s">
        <v>3254</v>
      </c>
      <c r="I476" s="106" t="s">
        <v>3243</v>
      </c>
      <c r="K476" s="106" t="s">
        <v>3389</v>
      </c>
      <c r="L476" s="106" t="s">
        <v>3390</v>
      </c>
      <c r="O476" s="106" t="s">
        <v>274</v>
      </c>
      <c r="P476" s="106" t="s">
        <v>1298</v>
      </c>
      <c r="Q476" s="106" t="s">
        <v>428</v>
      </c>
      <c r="S476" s="106" t="str" cm="1">
        <f t="array" ref="S476">IF(TRIM($D476)="","(tidak diisi)",IFERROR(INDEX(Kamus!$B$3:$B$28,MATCH(TRUE,ISNUMBER(SEARCH(Kamus!$A$3:$A$28,$D476)),0)),"Jabatan Lainnya"))</f>
        <v>Wakil Ketua Pengadilan</v>
      </c>
      <c r="T476" s="106" t="str" cm="1">
        <f t="array" ref="T476">IF(TRIM($I476)="","(tidak diisi)",IFERROR(INDEX(Kamus!$E$3:$E$162,MATCH(TRUE,ISNUMBER(SEARCH(Kamus!$D$3:$D$162,$I476)),0)),"Barang Lain / Tidak Terinci"))</f>
        <v>Karangan Bunga / Ucapan</v>
      </c>
      <c r="U476" s="106" t="str" cm="1">
        <f t="array" ref="U476">IF(TRIM($I476)="","(tidak diisi)",IFERROR(INDEX(Kamus!$H$3:$H$75,MATCH(TRUE,ISNUMBER(SEARCH(Kamus!$G$3:$G$75,$I476)),0)),"Pemberian Umum / Tanpa Konteks"))</f>
        <v>Ucapan Duka/Selamat (Karangan Bunga)</v>
      </c>
      <c r="V476" s="106" t="str">
        <f t="shared" si="21"/>
        <v>2025</v>
      </c>
      <c r="W476" s="106" t="str" cm="1">
        <f t="array" ref="W476">IF(TRIM($K476)="","(tidak diisi)",IFERROR(INDEX(Kamus!$K$3:$K$118,MATCH(TRUE,ISNUMBER(SEARCH(Kamus!$J$3:$J$118,$K476)),0)),"Individu / Perorangan"))</f>
        <v>Individu / Perorangan</v>
      </c>
      <c r="X476" s="106" t="str">
        <f t="shared" si="22"/>
        <v>08</v>
      </c>
      <c r="Y476" s="106" t="str" cm="1">
        <f t="array" ref="Y476">IFERROR(INDEX(Kamus!$N$3:$N$111,MATCH(TRUE,ISNUMBER(SEARCH(Kamus!$M$3:$M$111,$I476)),0)),"")</f>
        <v>Ucapan Selamat/Duka atas Acara Instansi</v>
      </c>
      <c r="Z476" s="106" t="str">
        <f>IF(AND(OR($X476="02",$X476="03",$X476="04"),OR($T476="Parsel/Bingkisan (tidak dirinci)",$T476="Makanan &amp; Minuman",$T476="Peralatan Rumah Tangga / Pecah Belah",$T476="Pakaian &amp; Kain")),"Momen Hari Raya (dugaan musiman)",IFERROR(VLOOKUP($W476,Kamus!$P$3:$Q$14,2,FALSE),"Tidak Teridentifikasi"))</f>
        <v>Relasi Personal / Tidak Teridentifikasi</v>
      </c>
      <c r="AA476" s="106" t="str">
        <f t="shared" si="23"/>
        <v>Ucapan Selamat/Duka atas Acara Instansi</v>
      </c>
    </row>
    <row r="477" spans="1:27">
      <c r="A477" s="106">
        <v>476</v>
      </c>
      <c r="B477" s="106" t="s">
        <v>2249</v>
      </c>
      <c r="C477" s="107" t="s">
        <v>2250</v>
      </c>
      <c r="D477" s="106" t="s">
        <v>2251</v>
      </c>
      <c r="E477" s="106" t="s">
        <v>1294</v>
      </c>
      <c r="F477" s="106" t="s">
        <v>3391</v>
      </c>
      <c r="G477" s="106" t="s">
        <v>1006</v>
      </c>
      <c r="H477" s="106" t="s">
        <v>3254</v>
      </c>
      <c r="I477" s="106" t="s">
        <v>3243</v>
      </c>
      <c r="K477" s="106" t="s">
        <v>3392</v>
      </c>
      <c r="L477" s="106" t="s">
        <v>3393</v>
      </c>
      <c r="O477" s="106" t="s">
        <v>274</v>
      </c>
      <c r="P477" s="106" t="s">
        <v>1298</v>
      </c>
      <c r="Q477" s="106" t="s">
        <v>428</v>
      </c>
      <c r="S477" s="106" t="str" cm="1">
        <f t="array" ref="S477">IF(TRIM($D477)="","(tidak diisi)",IFERROR(INDEX(Kamus!$B$3:$B$28,MATCH(TRUE,ISNUMBER(SEARCH(Kamus!$A$3:$A$28,$D477)),0)),"Jabatan Lainnya"))</f>
        <v>Wakil Ketua Pengadilan</v>
      </c>
      <c r="T477" s="106" t="str" cm="1">
        <f t="array" ref="T477">IF(TRIM($I477)="","(tidak diisi)",IFERROR(INDEX(Kamus!$E$3:$E$162,MATCH(TRUE,ISNUMBER(SEARCH(Kamus!$D$3:$D$162,$I477)),0)),"Barang Lain / Tidak Terinci"))</f>
        <v>Karangan Bunga / Ucapan</v>
      </c>
      <c r="U477" s="106" t="str" cm="1">
        <f t="array" ref="U477">IF(TRIM($I477)="","(tidak diisi)",IFERROR(INDEX(Kamus!$H$3:$H$75,MATCH(TRUE,ISNUMBER(SEARCH(Kamus!$G$3:$G$75,$I477)),0)),"Pemberian Umum / Tanpa Konteks"))</f>
        <v>Ucapan Duka/Selamat (Karangan Bunga)</v>
      </c>
      <c r="V477" s="106" t="str">
        <f t="shared" si="21"/>
        <v>2025</v>
      </c>
      <c r="W477" s="106" t="str" cm="1">
        <f t="array" ref="W477">IF(TRIM($K477)="","(tidak diisi)",IFERROR(INDEX(Kamus!$K$3:$K$118,MATCH(TRUE,ISNUMBER(SEARCH(Kamus!$J$3:$J$118,$K477)),0)),"Individu / Perorangan"))</f>
        <v>Individu / Perorangan</v>
      </c>
      <c r="X477" s="106" t="str">
        <f t="shared" si="22"/>
        <v>08</v>
      </c>
      <c r="Y477" s="106" t="str" cm="1">
        <f t="array" ref="Y477">IFERROR(INDEX(Kamus!$N$3:$N$111,MATCH(TRUE,ISNUMBER(SEARCH(Kamus!$M$3:$M$111,$I477)),0)),"")</f>
        <v>Ucapan Selamat/Duka atas Acara Instansi</v>
      </c>
      <c r="Z477" s="106" t="str">
        <f>IF(AND(OR($X477="02",$X477="03",$X477="04"),OR($T477="Parsel/Bingkisan (tidak dirinci)",$T477="Makanan &amp; Minuman",$T477="Peralatan Rumah Tangga / Pecah Belah",$T477="Pakaian &amp; Kain")),"Momen Hari Raya (dugaan musiman)",IFERROR(VLOOKUP($W477,Kamus!$P$3:$Q$14,2,FALSE),"Tidak Teridentifikasi"))</f>
        <v>Relasi Personal / Tidak Teridentifikasi</v>
      </c>
      <c r="AA477" s="106" t="str">
        <f t="shared" si="23"/>
        <v>Ucapan Selamat/Duka atas Acara Instansi</v>
      </c>
    </row>
    <row r="478" spans="1:27">
      <c r="A478" s="106">
        <v>477</v>
      </c>
      <c r="B478" s="106" t="s">
        <v>2249</v>
      </c>
      <c r="C478" s="107" t="s">
        <v>2250</v>
      </c>
      <c r="D478" s="106" t="s">
        <v>2251</v>
      </c>
      <c r="E478" s="106" t="s">
        <v>1294</v>
      </c>
      <c r="F478" s="106" t="s">
        <v>3394</v>
      </c>
      <c r="G478" s="106" t="s">
        <v>1006</v>
      </c>
      <c r="H478" s="106" t="s">
        <v>3254</v>
      </c>
      <c r="I478" s="106" t="s">
        <v>3243</v>
      </c>
      <c r="K478" s="106" t="s">
        <v>3395</v>
      </c>
      <c r="L478" s="106" t="s">
        <v>3396</v>
      </c>
      <c r="O478" s="106" t="s">
        <v>274</v>
      </c>
      <c r="P478" s="106" t="s">
        <v>1298</v>
      </c>
      <c r="Q478" s="106" t="s">
        <v>428</v>
      </c>
      <c r="S478" s="106" t="str" cm="1">
        <f t="array" ref="S478">IF(TRIM($D478)="","(tidak diisi)",IFERROR(INDEX(Kamus!$B$3:$B$28,MATCH(TRUE,ISNUMBER(SEARCH(Kamus!$A$3:$A$28,$D478)),0)),"Jabatan Lainnya"))</f>
        <v>Wakil Ketua Pengadilan</v>
      </c>
      <c r="T478" s="106" t="str" cm="1">
        <f t="array" ref="T478">IF(TRIM($I478)="","(tidak diisi)",IFERROR(INDEX(Kamus!$E$3:$E$162,MATCH(TRUE,ISNUMBER(SEARCH(Kamus!$D$3:$D$162,$I478)),0)),"Barang Lain / Tidak Terinci"))</f>
        <v>Karangan Bunga / Ucapan</v>
      </c>
      <c r="U478" s="106" t="str" cm="1">
        <f t="array" ref="U478">IF(TRIM($I478)="","(tidak diisi)",IFERROR(INDEX(Kamus!$H$3:$H$75,MATCH(TRUE,ISNUMBER(SEARCH(Kamus!$G$3:$G$75,$I478)),0)),"Pemberian Umum / Tanpa Konteks"))</f>
        <v>Ucapan Duka/Selamat (Karangan Bunga)</v>
      </c>
      <c r="V478" s="106" t="str">
        <f t="shared" si="21"/>
        <v>2025</v>
      </c>
      <c r="W478" s="106" t="str" cm="1">
        <f t="array" ref="W478">IF(TRIM($K478)="","(tidak diisi)",IFERROR(INDEX(Kamus!$K$3:$K$118,MATCH(TRUE,ISNUMBER(SEARCH(Kamus!$J$3:$J$118,$K478)),0)),"Individu / Perorangan"))</f>
        <v>Individu / Perorangan</v>
      </c>
      <c r="X478" s="106" t="str">
        <f t="shared" si="22"/>
        <v>08</v>
      </c>
      <c r="Y478" s="106" t="str" cm="1">
        <f t="array" ref="Y478">IFERROR(INDEX(Kamus!$N$3:$N$111,MATCH(TRUE,ISNUMBER(SEARCH(Kamus!$M$3:$M$111,$I478)),0)),"")</f>
        <v>Ucapan Selamat/Duka atas Acara Instansi</v>
      </c>
      <c r="Z478" s="106" t="str">
        <f>IF(AND(OR($X478="02",$X478="03",$X478="04"),OR($T478="Parsel/Bingkisan (tidak dirinci)",$T478="Makanan &amp; Minuman",$T478="Peralatan Rumah Tangga / Pecah Belah",$T478="Pakaian &amp; Kain")),"Momen Hari Raya (dugaan musiman)",IFERROR(VLOOKUP($W478,Kamus!$P$3:$Q$14,2,FALSE),"Tidak Teridentifikasi"))</f>
        <v>Relasi Personal / Tidak Teridentifikasi</v>
      </c>
      <c r="AA478" s="106" t="str">
        <f t="shared" si="23"/>
        <v>Ucapan Selamat/Duka atas Acara Instansi</v>
      </c>
    </row>
    <row r="479" spans="1:27">
      <c r="A479" s="106">
        <v>478</v>
      </c>
      <c r="B479" s="106" t="s">
        <v>3397</v>
      </c>
      <c r="C479" s="107" t="s">
        <v>3398</v>
      </c>
      <c r="D479" s="106" t="s">
        <v>3399</v>
      </c>
      <c r="E479" s="106" t="s">
        <v>2860</v>
      </c>
      <c r="F479" s="106" t="s">
        <v>3400</v>
      </c>
      <c r="G479" s="106" t="s">
        <v>1006</v>
      </c>
      <c r="H479" s="106" t="s">
        <v>3385</v>
      </c>
      <c r="I479" s="106" t="s">
        <v>1017</v>
      </c>
      <c r="J479" s="106">
        <v>2252728</v>
      </c>
      <c r="K479" s="106" t="s">
        <v>3401</v>
      </c>
      <c r="L479" s="106" t="s">
        <v>3402</v>
      </c>
      <c r="M479" s="106" t="s">
        <v>1171</v>
      </c>
      <c r="N479" s="106" t="s">
        <v>3403</v>
      </c>
      <c r="O479" s="106" t="s">
        <v>274</v>
      </c>
      <c r="P479" s="106" t="s">
        <v>2862</v>
      </c>
      <c r="Q479" s="106" t="s">
        <v>362</v>
      </c>
      <c r="S479" s="106" t="str" cm="1">
        <f t="array" ref="S479">IF(TRIM($D479)="","(tidak diisi)",IFERROR(INDEX(Kamus!$B$3:$B$28,MATCH(TRUE,ISNUMBER(SEARCH(Kamus!$A$3:$A$28,$D479)),0)),"Jabatan Lainnya"))</f>
        <v>Pejabat Struktural (Kasubbag/Kabag)</v>
      </c>
      <c r="T479" s="106" t="str" cm="1">
        <f t="array" ref="T479">IF(TRIM($I479)="","(tidak diisi)",IFERROR(INDEX(Kamus!$E$3:$E$162,MATCH(TRUE,ISNUMBER(SEARCH(Kamus!$D$3:$D$162,$I479)),0)),"Barang Lain / Tidak Terinci"))</f>
        <v>Uang &amp; Setara Uang</v>
      </c>
      <c r="U479" s="106" t="str" cm="1">
        <f t="array" ref="U479">IF(TRIM($I479)="","(tidak diisi)",IFERROR(INDEX(Kamus!$H$3:$H$75,MATCH(TRUE,ISNUMBER(SEARCH(Kamus!$G$3:$G$75,$I479)),0)),"Pemberian Umum / Tanpa Konteks"))</f>
        <v>Pemberian Uang Langsung</v>
      </c>
      <c r="V479" s="106" t="str">
        <f t="shared" si="21"/>
        <v>2025</v>
      </c>
      <c r="W479" s="106" t="str" cm="1">
        <f t="array" ref="W479">IF(TRIM($K479)="","(tidak diisi)",IFERROR(INDEX(Kamus!$K$3:$K$118,MATCH(TRUE,ISNUMBER(SEARCH(Kamus!$J$3:$J$118,$K479)),0)),"Individu / Perorangan"))</f>
        <v>Internal Peradilan / Instansi Sendiri</v>
      </c>
      <c r="X479" s="106" t="str">
        <f t="shared" si="22"/>
        <v>08</v>
      </c>
      <c r="Y479" s="106" t="str" cm="1">
        <f t="array" ref="Y479">IFERROR(INDEX(Kamus!$N$3:$N$111,MATCH(TRUE,ISNUMBER(SEARCH(Kamus!$M$3:$M$111,$I479)),0)),"")</f>
        <v/>
      </c>
      <c r="Z479" s="106" t="str">
        <f>IF(AND(OR($X479="02",$X479="03",$X479="04"),OR($T479="Parsel/Bingkisan (tidak dirinci)",$T479="Makanan &amp; Minuman",$T479="Peralatan Rumah Tangga / Pecah Belah",$T479="Pakaian &amp; Kain")),"Momen Hari Raya (dugaan musiman)",IFERROR(VLOOKUP($W479,Kamus!$P$3:$Q$14,2,FALSE),"Tidak Teridentifikasi"))</f>
        <v>Kunjungan/Koordinasi Internal Peradilan (dugaan)</v>
      </c>
      <c r="AA479" s="106" t="str">
        <f t="shared" si="23"/>
        <v>Kunjungan/Koordinasi Internal Peradilan (dugaan)</v>
      </c>
    </row>
    <row r="480" spans="1:27">
      <c r="A480" s="106">
        <v>479</v>
      </c>
      <c r="B480" s="106" t="s">
        <v>2318</v>
      </c>
      <c r="C480" s="107" t="s">
        <v>2319</v>
      </c>
      <c r="D480" s="106" t="s">
        <v>1042</v>
      </c>
      <c r="E480" s="106" t="s">
        <v>1025</v>
      </c>
      <c r="F480" s="106" t="s">
        <v>3404</v>
      </c>
      <c r="G480" s="106" t="s">
        <v>1006</v>
      </c>
      <c r="H480" s="106" t="s">
        <v>3405</v>
      </c>
      <c r="I480" s="106" t="s">
        <v>3406</v>
      </c>
      <c r="K480" s="106" t="s">
        <v>3407</v>
      </c>
      <c r="L480" s="106" t="s">
        <v>3408</v>
      </c>
      <c r="O480" s="106" t="s">
        <v>274</v>
      </c>
      <c r="P480" s="106" t="s">
        <v>561</v>
      </c>
      <c r="Q480" s="106" t="s">
        <v>428</v>
      </c>
      <c r="S480" s="106" t="str" cm="1">
        <f t="array" ref="S480">IF(TRIM($D480)="","(tidak diisi)",IFERROR(INDEX(Kamus!$B$3:$B$28,MATCH(TRUE,ISNUMBER(SEARCH(Kamus!$A$3:$A$28,$D480)),0)),"Jabatan Lainnya"))</f>
        <v>Ketua Pengadilan</v>
      </c>
      <c r="T480" s="106" t="str" cm="1">
        <f t="array" ref="T480">IF(TRIM($I480)="","(tidak diisi)",IFERROR(INDEX(Kamus!$E$3:$E$162,MATCH(TRUE,ISNUMBER(SEARCH(Kamus!$D$3:$D$162,$I480)),0)),"Barang Lain / Tidak Terinci"))</f>
        <v>Pakaian &amp; Kain</v>
      </c>
      <c r="U480" s="106" t="str" cm="1">
        <f t="array" ref="U480">IF(TRIM($I480)="","(tidak diisi)",IFERROR(INDEX(Kamus!$H$3:$H$75,MATCH(TRUE,ISNUMBER(SEARCH(Kamus!$G$3:$G$75,$I480)),0)),"Pemberian Umum / Tanpa Konteks"))</f>
        <v>Pemberian Umum / Tanpa Konteks</v>
      </c>
      <c r="V480" s="106" t="str">
        <f t="shared" si="21"/>
        <v>2025</v>
      </c>
      <c r="W480" s="106" t="str" cm="1">
        <f t="array" ref="W480">IF(TRIM($K480)="","(tidak diisi)",IFERROR(INDEX(Kamus!$K$3:$K$118,MATCH(TRUE,ISNUMBER(SEARCH(Kamus!$J$3:$J$118,$K480)),0)),"Individu / Perorangan"))</f>
        <v>Individu / Perorangan</v>
      </c>
      <c r="X480" s="106" t="str">
        <f t="shared" si="22"/>
        <v>09</v>
      </c>
      <c r="Y480" s="106" t="str" cm="1">
        <f t="array" ref="Y480">IFERROR(INDEX(Kamus!$N$3:$N$111,MATCH(TRUE,ISNUMBER(SEARCH(Kamus!$M$3:$M$111,$I480)),0)),"")</f>
        <v/>
      </c>
      <c r="Z480" s="106" t="str">
        <f>IF(AND(OR($X480="02",$X480="03",$X480="04"),OR($T480="Parsel/Bingkisan (tidak dirinci)",$T480="Makanan &amp; Minuman",$T480="Peralatan Rumah Tangga / Pecah Belah",$T480="Pakaian &amp; Kain")),"Momen Hari Raya (dugaan musiman)",IFERROR(VLOOKUP($W480,Kamus!$P$3:$Q$14,2,FALSE),"Tidak Teridentifikasi"))</f>
        <v>Relasi Personal / Tidak Teridentifikasi</v>
      </c>
      <c r="AA480" s="106" t="str">
        <f t="shared" si="23"/>
        <v>Relasi Personal / Tidak Teridentifikasi</v>
      </c>
    </row>
    <row r="481" spans="1:27">
      <c r="A481" s="106">
        <v>480</v>
      </c>
      <c r="B481" s="106" t="s">
        <v>1505</v>
      </c>
      <c r="C481" s="107" t="s">
        <v>1506</v>
      </c>
      <c r="D481" s="106" t="s">
        <v>1507</v>
      </c>
      <c r="E481" s="106" t="s">
        <v>1166</v>
      </c>
      <c r="F481" s="106" t="s">
        <v>3409</v>
      </c>
      <c r="G481" s="106" t="s">
        <v>1006</v>
      </c>
      <c r="H481" s="106" t="s">
        <v>3410</v>
      </c>
      <c r="I481" s="106" t="s">
        <v>3411</v>
      </c>
      <c r="K481" s="106" t="s">
        <v>3412</v>
      </c>
      <c r="L481" s="106" t="s">
        <v>3413</v>
      </c>
      <c r="O481" s="106" t="s">
        <v>274</v>
      </c>
      <c r="P481" s="106" t="s">
        <v>1173</v>
      </c>
      <c r="Q481" s="106" t="s">
        <v>431</v>
      </c>
      <c r="S481" s="106" t="str" cm="1">
        <f t="array" ref="S481">IF(TRIM($D481)="","(tidak diisi)",IFERROR(INDEX(Kamus!$B$3:$B$28,MATCH(TRUE,ISNUMBER(SEARCH(Kamus!$A$3:$A$28,$D481)),0)),"Jabatan Lainnya"))</f>
        <v>Wakil Ketua Pengadilan</v>
      </c>
      <c r="T481" s="106" t="str" cm="1">
        <f t="array" ref="T481">IF(TRIM($I481)="","(tidak diisi)",IFERROR(INDEX(Kamus!$E$3:$E$162,MATCH(TRUE,ISNUMBER(SEARCH(Kamus!$D$3:$D$162,$I481)),0)),"Barang Lain / Tidak Terinci"))</f>
        <v>Uang &amp; Setara Uang</v>
      </c>
      <c r="U481" s="106" t="str" cm="1">
        <f t="array" ref="U481">IF(TRIM($I481)="","(tidak diisi)",IFERROR(INDEX(Kamus!$H$3:$H$75,MATCH(TRUE,ISNUMBER(SEARCH(Kamus!$G$3:$G$75,$I481)),0)),"Pemberian Umum / Tanpa Konteks"))</f>
        <v>Pemberian Uang Langsung</v>
      </c>
      <c r="V481" s="106" t="str">
        <f t="shared" si="21"/>
        <v>2025</v>
      </c>
      <c r="W481" s="106" t="str" cm="1">
        <f t="array" ref="W481">IF(TRIM($K481)="","(tidak diisi)",IFERROR(INDEX(Kamus!$K$3:$K$118,MATCH(TRUE,ISNUMBER(SEARCH(Kamus!$J$3:$J$118,$K481)),0)),"Individu / Perorangan"))</f>
        <v>Individu / Perorangan</v>
      </c>
      <c r="X481" s="106" t="str">
        <f t="shared" si="22"/>
        <v>09</v>
      </c>
      <c r="Y481" s="106" t="str" cm="1">
        <f t="array" ref="Y481">IFERROR(INDEX(Kamus!$N$3:$N$111,MATCH(TRUE,ISNUMBER(SEARCH(Kamus!$M$3:$M$111,$I481)),0)),"")</f>
        <v/>
      </c>
      <c r="Z481" s="106" t="str">
        <f>IF(AND(OR($X481="02",$X481="03",$X481="04"),OR($T481="Parsel/Bingkisan (tidak dirinci)",$T481="Makanan &amp; Minuman",$T481="Peralatan Rumah Tangga / Pecah Belah",$T481="Pakaian &amp; Kain")),"Momen Hari Raya (dugaan musiman)",IFERROR(VLOOKUP($W481,Kamus!$P$3:$Q$14,2,FALSE),"Tidak Teridentifikasi"))</f>
        <v>Relasi Personal / Tidak Teridentifikasi</v>
      </c>
      <c r="AA481" s="106" t="str">
        <f t="shared" si="23"/>
        <v>Relasi Personal / Tidak Teridentifikasi</v>
      </c>
    </row>
    <row r="482" spans="1:27">
      <c r="A482" s="106">
        <v>481</v>
      </c>
      <c r="B482" s="106" t="s">
        <v>1105</v>
      </c>
      <c r="C482" s="107" t="s">
        <v>1106</v>
      </c>
      <c r="D482" s="106" t="s">
        <v>1042</v>
      </c>
      <c r="E482" s="106" t="s">
        <v>1014</v>
      </c>
      <c r="F482" s="106" t="s">
        <v>3414</v>
      </c>
      <c r="G482" s="106" t="s">
        <v>1006</v>
      </c>
      <c r="H482" s="106" t="s">
        <v>3410</v>
      </c>
      <c r="I482" s="106" t="s">
        <v>3415</v>
      </c>
      <c r="J482" s="106">
        <v>100000</v>
      </c>
      <c r="K482" s="106" t="s">
        <v>3416</v>
      </c>
      <c r="L482" s="106" t="s">
        <v>3417</v>
      </c>
      <c r="M482" s="106" t="s">
        <v>1020</v>
      </c>
      <c r="O482" s="106" t="s">
        <v>274</v>
      </c>
      <c r="P482" s="106" t="s">
        <v>1021</v>
      </c>
      <c r="Q482" s="106" t="s">
        <v>428</v>
      </c>
      <c r="S482" s="106" t="str" cm="1">
        <f t="array" ref="S482">IF(TRIM($D482)="","(tidak diisi)",IFERROR(INDEX(Kamus!$B$3:$B$28,MATCH(TRUE,ISNUMBER(SEARCH(Kamus!$A$3:$A$28,$D482)),0)),"Jabatan Lainnya"))</f>
        <v>Ketua Pengadilan</v>
      </c>
      <c r="T482" s="106" t="str" cm="1">
        <f t="array" ref="T482">IF(TRIM($I482)="","(tidak diisi)",IFERROR(INDEX(Kamus!$E$3:$E$162,MATCH(TRUE,ISNUMBER(SEARCH(Kamus!$D$3:$D$162,$I482)),0)),"Barang Lain / Tidak Terinci"))</f>
        <v>Pakaian &amp; Kain</v>
      </c>
      <c r="U482" s="106" t="str" cm="1">
        <f t="array" ref="U482">IF(TRIM($I482)="","(tidak diisi)",IFERROR(INDEX(Kamus!$H$3:$H$75,MATCH(TRUE,ISNUMBER(SEARCH(Kamus!$G$3:$G$75,$I482)),0)),"Pemberian Umum / Tanpa Konteks"))</f>
        <v>Suvenir / Merchandise Kegiatan &amp; Kunjungan</v>
      </c>
      <c r="V482" s="106" t="str">
        <f t="shared" si="21"/>
        <v>2025</v>
      </c>
      <c r="W482" s="106" t="str" cm="1">
        <f t="array" ref="W482">IF(TRIM($K482)="","(tidak diisi)",IFERROR(INDEX(Kamus!$K$3:$K$118,MATCH(TRUE,ISNUMBER(SEARCH(Kamus!$J$3:$J$118,$K482)),0)),"Individu / Perorangan"))</f>
        <v>Individu / Perorangan</v>
      </c>
      <c r="X482" s="106" t="str">
        <f t="shared" si="22"/>
        <v>09</v>
      </c>
      <c r="Y482" s="106" t="str" cm="1">
        <f t="array" ref="Y482">IFERROR(INDEX(Kamus!$N$3:$N$111,MATCH(TRUE,ISNUMBER(SEARCH(Kamus!$M$3:$M$111,$I482)),0)),"")</f>
        <v/>
      </c>
      <c r="Z482" s="106" t="str">
        <f>IF(AND(OR($X482="02",$X482="03",$X482="04"),OR($T482="Parsel/Bingkisan (tidak dirinci)",$T482="Makanan &amp; Minuman",$T482="Peralatan Rumah Tangga / Pecah Belah",$T482="Pakaian &amp; Kain")),"Momen Hari Raya (dugaan musiman)",IFERROR(VLOOKUP($W482,Kamus!$P$3:$Q$14,2,FALSE),"Tidak Teridentifikasi"))</f>
        <v>Relasi Personal / Tidak Teridentifikasi</v>
      </c>
      <c r="AA482" s="106" t="str">
        <f t="shared" si="23"/>
        <v>Relasi Personal / Tidak Teridentifikasi</v>
      </c>
    </row>
    <row r="483" spans="1:27">
      <c r="A483" s="106">
        <v>482</v>
      </c>
      <c r="B483" s="106" t="s">
        <v>1022</v>
      </c>
      <c r="C483" s="107" t="s">
        <v>1023</v>
      </c>
      <c r="D483" s="106" t="s">
        <v>1024</v>
      </c>
      <c r="E483" s="106" t="s">
        <v>1025</v>
      </c>
      <c r="F483" s="106" t="s">
        <v>3418</v>
      </c>
      <c r="G483" s="106" t="s">
        <v>1006</v>
      </c>
      <c r="H483" s="106" t="s">
        <v>3419</v>
      </c>
      <c r="I483" s="106" t="s">
        <v>2697</v>
      </c>
      <c r="K483" s="106" t="s">
        <v>3420</v>
      </c>
      <c r="L483" s="106" t="s">
        <v>3421</v>
      </c>
      <c r="O483" s="106" t="s">
        <v>274</v>
      </c>
      <c r="P483" s="106" t="s">
        <v>561</v>
      </c>
      <c r="Q483" s="106" t="s">
        <v>428</v>
      </c>
      <c r="S483" s="106" t="str" cm="1">
        <f t="array" ref="S483">IF(TRIM($D483)="","(tidak diisi)",IFERROR(INDEX(Kamus!$B$3:$B$28,MATCH(TRUE,ISNUMBER(SEARCH(Kamus!$A$3:$A$28,$D483)),0)),"Jabatan Lainnya"))</f>
        <v>Sekretaris</v>
      </c>
      <c r="T483" s="106" t="str" cm="1">
        <f t="array" ref="T483">IF(TRIM($I483)="","(tidak diisi)",IFERROR(INDEX(Kamus!$E$3:$E$162,MATCH(TRUE,ISNUMBER(SEARCH(Kamus!$D$3:$D$162,$I483)),0)),"Barang Lain / Tidak Terinci"))</f>
        <v>Pakaian &amp; Kain</v>
      </c>
      <c r="U483" s="106" t="str" cm="1">
        <f t="array" ref="U483">IF(TRIM($I483)="","(tidak diisi)",IFERROR(INDEX(Kamus!$H$3:$H$75,MATCH(TRUE,ISNUMBER(SEARCH(Kamus!$G$3:$G$75,$I483)),0)),"Pemberian Umum / Tanpa Konteks"))</f>
        <v>Pemberian Umum / Tanpa Konteks</v>
      </c>
      <c r="V483" s="106" t="str">
        <f t="shared" si="21"/>
        <v>2025</v>
      </c>
      <c r="W483" s="106" t="str" cm="1">
        <f t="array" ref="W483">IF(TRIM($K483)="","(tidak diisi)",IFERROR(INDEX(Kamus!$K$3:$K$118,MATCH(TRUE,ISNUMBER(SEARCH(Kamus!$J$3:$J$118,$K483)),0)),"Individu / Perorangan"))</f>
        <v>Individu / Perorangan</v>
      </c>
      <c r="X483" s="106" t="str">
        <f t="shared" si="22"/>
        <v>09</v>
      </c>
      <c r="Y483" s="106" t="str" cm="1">
        <f t="array" ref="Y483">IFERROR(INDEX(Kamus!$N$3:$N$111,MATCH(TRUE,ISNUMBER(SEARCH(Kamus!$M$3:$M$111,$I483)),0)),"")</f>
        <v/>
      </c>
      <c r="Z483" s="106" t="str">
        <f>IF(AND(OR($X483="02",$X483="03",$X483="04"),OR($T483="Parsel/Bingkisan (tidak dirinci)",$T483="Makanan &amp; Minuman",$T483="Peralatan Rumah Tangga / Pecah Belah",$T483="Pakaian &amp; Kain")),"Momen Hari Raya (dugaan musiman)",IFERROR(VLOOKUP($W483,Kamus!$P$3:$Q$14,2,FALSE),"Tidak Teridentifikasi"))</f>
        <v>Relasi Personal / Tidak Teridentifikasi</v>
      </c>
      <c r="AA483" s="106" t="str">
        <f t="shared" si="23"/>
        <v>Relasi Personal / Tidak Teridentifikasi</v>
      </c>
    </row>
    <row r="484" spans="1:27">
      <c r="A484" s="106">
        <v>483</v>
      </c>
      <c r="B484" s="106" t="s">
        <v>1430</v>
      </c>
      <c r="C484" s="107" t="s">
        <v>1431</v>
      </c>
      <c r="D484" s="106" t="s">
        <v>1432</v>
      </c>
      <c r="E484" s="106" t="s">
        <v>1166</v>
      </c>
      <c r="F484" s="106" t="s">
        <v>3422</v>
      </c>
      <c r="G484" s="106" t="s">
        <v>1006</v>
      </c>
      <c r="H484" s="106" t="s">
        <v>3410</v>
      </c>
      <c r="I484" s="106" t="s">
        <v>1017</v>
      </c>
      <c r="J484" s="106">
        <v>550000</v>
      </c>
      <c r="K484" s="106" t="s">
        <v>3412</v>
      </c>
      <c r="L484" s="106" t="s">
        <v>3423</v>
      </c>
      <c r="M484" s="106" t="s">
        <v>1020</v>
      </c>
      <c r="O484" s="106" t="s">
        <v>274</v>
      </c>
      <c r="P484" s="106" t="s">
        <v>1173</v>
      </c>
      <c r="Q484" s="106" t="s">
        <v>431</v>
      </c>
      <c r="S484" s="106" t="str" cm="1">
        <f t="array" ref="S484">IF(TRIM($D484)="","(tidak diisi)",IFERROR(INDEX(Kamus!$B$3:$B$28,MATCH(TRUE,ISNUMBER(SEARCH(Kamus!$A$3:$A$28,$D484)),0)),"Jabatan Lainnya"))</f>
        <v>Hakim</v>
      </c>
      <c r="T484" s="106" t="str" cm="1">
        <f t="array" ref="T484">IF(TRIM($I484)="","(tidak diisi)",IFERROR(INDEX(Kamus!$E$3:$E$162,MATCH(TRUE,ISNUMBER(SEARCH(Kamus!$D$3:$D$162,$I484)),0)),"Barang Lain / Tidak Terinci"))</f>
        <v>Uang &amp; Setara Uang</v>
      </c>
      <c r="U484" s="106" t="str" cm="1">
        <f t="array" ref="U484">IF(TRIM($I484)="","(tidak diisi)",IFERROR(INDEX(Kamus!$H$3:$H$75,MATCH(TRUE,ISNUMBER(SEARCH(Kamus!$G$3:$G$75,$I484)),0)),"Pemberian Umum / Tanpa Konteks"))</f>
        <v>Pemberian Uang Langsung</v>
      </c>
      <c r="V484" s="106" t="str">
        <f t="shared" si="21"/>
        <v>2025</v>
      </c>
      <c r="W484" s="106" t="str" cm="1">
        <f t="array" ref="W484">IF(TRIM($K484)="","(tidak diisi)",IFERROR(INDEX(Kamus!$K$3:$K$118,MATCH(TRUE,ISNUMBER(SEARCH(Kamus!$J$3:$J$118,$K484)),0)),"Individu / Perorangan"))</f>
        <v>Individu / Perorangan</v>
      </c>
      <c r="X484" s="106" t="str">
        <f t="shared" si="22"/>
        <v>09</v>
      </c>
      <c r="Y484" s="106" t="str" cm="1">
        <f t="array" ref="Y484">IFERROR(INDEX(Kamus!$N$3:$N$111,MATCH(TRUE,ISNUMBER(SEARCH(Kamus!$M$3:$M$111,$I484)),0)),"")</f>
        <v/>
      </c>
      <c r="Z484" s="106" t="str">
        <f>IF(AND(OR($X484="02",$X484="03",$X484="04"),OR($T484="Parsel/Bingkisan (tidak dirinci)",$T484="Makanan &amp; Minuman",$T484="Peralatan Rumah Tangga / Pecah Belah",$T484="Pakaian &amp; Kain")),"Momen Hari Raya (dugaan musiman)",IFERROR(VLOOKUP($W484,Kamus!$P$3:$Q$14,2,FALSE),"Tidak Teridentifikasi"))</f>
        <v>Relasi Personal / Tidak Teridentifikasi</v>
      </c>
      <c r="AA484" s="106" t="str">
        <f t="shared" si="23"/>
        <v>Relasi Personal / Tidak Teridentifikasi</v>
      </c>
    </row>
    <row r="485" spans="1:27">
      <c r="A485" s="106">
        <v>484</v>
      </c>
      <c r="B485" s="106" t="s">
        <v>2318</v>
      </c>
      <c r="C485" s="107" t="s">
        <v>2319</v>
      </c>
      <c r="D485" s="106" t="s">
        <v>1042</v>
      </c>
      <c r="E485" s="106" t="s">
        <v>1025</v>
      </c>
      <c r="F485" s="106" t="s">
        <v>3424</v>
      </c>
      <c r="G485" s="106" t="s">
        <v>1006</v>
      </c>
      <c r="H485" s="106" t="s">
        <v>3385</v>
      </c>
      <c r="I485" s="106" t="s">
        <v>3425</v>
      </c>
      <c r="J485" s="106">
        <v>70000</v>
      </c>
      <c r="K485" s="106" t="s">
        <v>3426</v>
      </c>
      <c r="L485" s="106" t="s">
        <v>3427</v>
      </c>
      <c r="M485" s="106" t="s">
        <v>1039</v>
      </c>
      <c r="O485" s="106" t="s">
        <v>274</v>
      </c>
      <c r="P485" s="106" t="s">
        <v>561</v>
      </c>
      <c r="Q485" s="106" t="s">
        <v>428</v>
      </c>
      <c r="S485" s="106" t="str" cm="1">
        <f t="array" ref="S485">IF(TRIM($D485)="","(tidak diisi)",IFERROR(INDEX(Kamus!$B$3:$B$28,MATCH(TRUE,ISNUMBER(SEARCH(Kamus!$A$3:$A$28,$D485)),0)),"Jabatan Lainnya"))</f>
        <v>Ketua Pengadilan</v>
      </c>
      <c r="T485" s="106" t="str" cm="1">
        <f t="array" ref="T485">IF(TRIM($I485)="","(tidak diisi)",IFERROR(INDEX(Kamus!$E$3:$E$162,MATCH(TRUE,ISNUMBER(SEARCH(Kamus!$D$3:$D$162,$I485)),0)),"Barang Lain / Tidak Terinci"))</f>
        <v>Pakaian &amp; Kain</v>
      </c>
      <c r="U485" s="106" t="str" cm="1">
        <f t="array" ref="U485">IF(TRIM($I485)="","(tidak diisi)",IFERROR(INDEX(Kamus!$H$3:$H$75,MATCH(TRUE,ISNUMBER(SEARCH(Kamus!$G$3:$G$75,$I485)),0)),"Pemberian Umum / Tanpa Konteks"))</f>
        <v>Pemberian Umum / Tanpa Konteks</v>
      </c>
      <c r="V485" s="106" t="str">
        <f t="shared" si="21"/>
        <v>2025</v>
      </c>
      <c r="W485" s="106" t="str" cm="1">
        <f t="array" ref="W485">IF(TRIM($K485)="","(tidak diisi)",IFERROR(INDEX(Kamus!$K$3:$K$118,MATCH(TRUE,ISNUMBER(SEARCH(Kamus!$J$3:$J$118,$K485)),0)),"Individu / Perorangan"))</f>
        <v>Individu / Perorangan</v>
      </c>
      <c r="X485" s="106" t="str">
        <f t="shared" si="22"/>
        <v>08</v>
      </c>
      <c r="Y485" s="106" t="str" cm="1">
        <f t="array" ref="Y485">IFERROR(INDEX(Kamus!$N$3:$N$111,MATCH(TRUE,ISNUMBER(SEARCH(Kamus!$M$3:$M$111,$I485)),0)),"")</f>
        <v/>
      </c>
      <c r="Z485" s="106" t="str">
        <f>IF(AND(OR($X485="02",$X485="03",$X485="04"),OR($T485="Parsel/Bingkisan (tidak dirinci)",$T485="Makanan &amp; Minuman",$T485="Peralatan Rumah Tangga / Pecah Belah",$T485="Pakaian &amp; Kain")),"Momen Hari Raya (dugaan musiman)",IFERROR(VLOOKUP($W485,Kamus!$P$3:$Q$14,2,FALSE),"Tidak Teridentifikasi"))</f>
        <v>Relasi Personal / Tidak Teridentifikasi</v>
      </c>
      <c r="AA485" s="106" t="str">
        <f t="shared" si="23"/>
        <v>Relasi Personal / Tidak Teridentifikasi</v>
      </c>
    </row>
    <row r="486" spans="1:27">
      <c r="A486" s="106">
        <v>485</v>
      </c>
      <c r="B486" s="106" t="s">
        <v>1216</v>
      </c>
      <c r="C486" s="107" t="s">
        <v>1217</v>
      </c>
      <c r="D486" s="106" t="s">
        <v>1033</v>
      </c>
      <c r="E486" s="106" t="s">
        <v>1218</v>
      </c>
      <c r="F486" s="106" t="s">
        <v>3428</v>
      </c>
      <c r="G486" s="106" t="s">
        <v>1006</v>
      </c>
      <c r="H486" s="106" t="s">
        <v>3429</v>
      </c>
      <c r="I486" s="106" t="s">
        <v>1017</v>
      </c>
      <c r="J486" s="106">
        <v>570000</v>
      </c>
      <c r="K486" s="106" t="s">
        <v>3430</v>
      </c>
      <c r="L486" s="106" t="s">
        <v>3431</v>
      </c>
      <c r="M486" s="106" t="s">
        <v>1020</v>
      </c>
      <c r="O486" s="106" t="s">
        <v>274</v>
      </c>
      <c r="Q486" s="106" t="s">
        <v>405</v>
      </c>
      <c r="S486" s="106" t="str" cm="1">
        <f t="array" ref="S486">IF(TRIM($D486)="","(tidak diisi)",IFERROR(INDEX(Kamus!$B$3:$B$28,MATCH(TRUE,ISNUMBER(SEARCH(Kamus!$A$3:$A$28,$D486)),0)),"Jabatan Lainnya"))</f>
        <v>Hakim</v>
      </c>
      <c r="T486" s="106" t="str" cm="1">
        <f t="array" ref="T486">IF(TRIM($I486)="","(tidak diisi)",IFERROR(INDEX(Kamus!$E$3:$E$162,MATCH(TRUE,ISNUMBER(SEARCH(Kamus!$D$3:$D$162,$I486)),0)),"Barang Lain / Tidak Terinci"))</f>
        <v>Uang &amp; Setara Uang</v>
      </c>
      <c r="U486" s="106" t="str" cm="1">
        <f t="array" ref="U486">IF(TRIM($I486)="","(tidak diisi)",IFERROR(INDEX(Kamus!$H$3:$H$75,MATCH(TRUE,ISNUMBER(SEARCH(Kamus!$G$3:$G$75,$I486)),0)),"Pemberian Umum / Tanpa Konteks"))</f>
        <v>Pemberian Uang Langsung</v>
      </c>
      <c r="V486" s="106" t="str">
        <f t="shared" si="21"/>
        <v>2025</v>
      </c>
      <c r="W486" s="106" t="str" cm="1">
        <f t="array" ref="W486">IF(TRIM($K486)="","(tidak diisi)",IFERROR(INDEX(Kamus!$K$3:$K$118,MATCH(TRUE,ISNUMBER(SEARCH(Kamus!$J$3:$J$118,$K486)),0)),"Individu / Perorangan"))</f>
        <v>Pemerintah Daerah</v>
      </c>
      <c r="X486" s="106" t="str">
        <f t="shared" si="22"/>
        <v>09</v>
      </c>
      <c r="Y486" s="106" t="str" cm="1">
        <f t="array" ref="Y486">IFERROR(INDEX(Kamus!$N$3:$N$111,MATCH(TRUE,ISNUMBER(SEARCH(Kamus!$M$3:$M$111,$I486)),0)),"")</f>
        <v/>
      </c>
      <c r="Z486" s="106" t="str">
        <f>IF(AND(OR($X486="02",$X486="03",$X486="04"),OR($T486="Parsel/Bingkisan (tidak dirinci)",$T486="Makanan &amp; Minuman",$T486="Peralatan Rumah Tangga / Pecah Belah",$T486="Pakaian &amp; Kain")),"Momen Hari Raya (dugaan musiman)",IFERROR(VLOOKUP($W486,Kamus!$P$3:$Q$14,2,FALSE),"Tidak Teridentifikasi"))</f>
        <v>Koordinasi Antarinstansi (dugaan)</v>
      </c>
      <c r="AA486" s="106" t="str">
        <f t="shared" si="23"/>
        <v>Koordinasi Antarinstansi (dugaan)</v>
      </c>
    </row>
    <row r="487" spans="1:27">
      <c r="A487" s="106">
        <v>486</v>
      </c>
      <c r="B487" s="106" t="s">
        <v>2582</v>
      </c>
      <c r="C487" s="107" t="s">
        <v>2583</v>
      </c>
      <c r="D487" s="106" t="s">
        <v>1208</v>
      </c>
      <c r="E487" s="106" t="s">
        <v>1005</v>
      </c>
      <c r="F487" s="106" t="s">
        <v>3432</v>
      </c>
      <c r="G487" s="106" t="s">
        <v>1074</v>
      </c>
      <c r="H487" s="106" t="s">
        <v>3433</v>
      </c>
      <c r="I487" s="106" t="s">
        <v>1017</v>
      </c>
      <c r="K487" s="106" t="s">
        <v>3434</v>
      </c>
      <c r="L487" s="106" t="s">
        <v>3435</v>
      </c>
      <c r="O487" s="106" t="s">
        <v>274</v>
      </c>
      <c r="S487" s="106" t="str" cm="1">
        <f t="array" ref="S487">IF(TRIM($D487)="","(tidak diisi)",IFERROR(INDEX(Kamus!$B$3:$B$28,MATCH(TRUE,ISNUMBER(SEARCH(Kamus!$A$3:$A$28,$D487)),0)),"Jabatan Lainnya"))</f>
        <v>Staf/Pegawai Pelaksana</v>
      </c>
      <c r="T487" s="106" t="str" cm="1">
        <f t="array" ref="T487">IF(TRIM($I487)="","(tidak diisi)",IFERROR(INDEX(Kamus!$E$3:$E$162,MATCH(TRUE,ISNUMBER(SEARCH(Kamus!$D$3:$D$162,$I487)),0)),"Barang Lain / Tidak Terinci"))</f>
        <v>Uang &amp; Setara Uang</v>
      </c>
      <c r="U487" s="106" t="str" cm="1">
        <f t="array" ref="U487">IF(TRIM($I487)="","(tidak diisi)",IFERROR(INDEX(Kamus!$H$3:$H$75,MATCH(TRUE,ISNUMBER(SEARCH(Kamus!$G$3:$G$75,$I487)),0)),"Pemberian Umum / Tanpa Konteks"))</f>
        <v>Pemberian Uang Langsung</v>
      </c>
      <c r="V487" s="106" t="str">
        <f t="shared" si="21"/>
        <v>2025</v>
      </c>
      <c r="W487" s="106" t="str" cm="1">
        <f t="array" ref="W487">IF(TRIM($K487)="","(tidak diisi)",IFERROR(INDEX(Kamus!$K$3:$K$118,MATCH(TRUE,ISNUMBER(SEARCH(Kamus!$J$3:$J$118,$K487)),0)),"Individu / Perorangan"))</f>
        <v>Individu / Perorangan</v>
      </c>
      <c r="X487" s="106" t="str">
        <f t="shared" si="22"/>
        <v>09</v>
      </c>
      <c r="Y487" s="106" t="str" cm="1">
        <f t="array" ref="Y487">IFERROR(INDEX(Kamus!$N$3:$N$111,MATCH(TRUE,ISNUMBER(SEARCH(Kamus!$M$3:$M$111,$I487)),0)),"")</f>
        <v/>
      </c>
      <c r="Z487" s="106" t="str">
        <f>IF(AND(OR($X487="02",$X487="03",$X487="04"),OR($T487="Parsel/Bingkisan (tidak dirinci)",$T487="Makanan &amp; Minuman",$T487="Peralatan Rumah Tangga / Pecah Belah",$T487="Pakaian &amp; Kain")),"Momen Hari Raya (dugaan musiman)",IFERROR(VLOOKUP($W487,Kamus!$P$3:$Q$14,2,FALSE),"Tidak Teridentifikasi"))</f>
        <v>Relasi Personal / Tidak Teridentifikasi</v>
      </c>
      <c r="AA487" s="106" t="str">
        <f t="shared" si="23"/>
        <v>Relasi Personal / Tidak Teridentifikasi</v>
      </c>
    </row>
    <row r="488" spans="1:27">
      <c r="A488" s="106">
        <v>487</v>
      </c>
      <c r="B488" s="106" t="s">
        <v>2318</v>
      </c>
      <c r="C488" s="107" t="s">
        <v>2319</v>
      </c>
      <c r="D488" s="106" t="s">
        <v>1042</v>
      </c>
      <c r="E488" s="106" t="s">
        <v>1025</v>
      </c>
      <c r="F488" s="106" t="s">
        <v>3436</v>
      </c>
      <c r="G488" s="106" t="s">
        <v>1074</v>
      </c>
      <c r="H488" s="106" t="s">
        <v>3433</v>
      </c>
      <c r="I488" s="106" t="s">
        <v>1017</v>
      </c>
      <c r="K488" s="106" t="s">
        <v>3437</v>
      </c>
      <c r="L488" s="106" t="s">
        <v>3438</v>
      </c>
      <c r="O488" s="106" t="s">
        <v>274</v>
      </c>
      <c r="P488" s="106" t="s">
        <v>561</v>
      </c>
      <c r="Q488" s="106" t="s">
        <v>428</v>
      </c>
      <c r="S488" s="106" t="str" cm="1">
        <f t="array" ref="S488">IF(TRIM($D488)="","(tidak diisi)",IFERROR(INDEX(Kamus!$B$3:$B$28,MATCH(TRUE,ISNUMBER(SEARCH(Kamus!$A$3:$A$28,$D488)),0)),"Jabatan Lainnya"))</f>
        <v>Ketua Pengadilan</v>
      </c>
      <c r="T488" s="106" t="str" cm="1">
        <f t="array" ref="T488">IF(TRIM($I488)="","(tidak diisi)",IFERROR(INDEX(Kamus!$E$3:$E$162,MATCH(TRUE,ISNUMBER(SEARCH(Kamus!$D$3:$D$162,$I488)),0)),"Barang Lain / Tidak Terinci"))</f>
        <v>Uang &amp; Setara Uang</v>
      </c>
      <c r="U488" s="106" t="str" cm="1">
        <f t="array" ref="U488">IF(TRIM($I488)="","(tidak diisi)",IFERROR(INDEX(Kamus!$H$3:$H$75,MATCH(TRUE,ISNUMBER(SEARCH(Kamus!$G$3:$G$75,$I488)),0)),"Pemberian Umum / Tanpa Konteks"))</f>
        <v>Pemberian Uang Langsung</v>
      </c>
      <c r="V488" s="106" t="str">
        <f t="shared" si="21"/>
        <v>2025</v>
      </c>
      <c r="W488" s="106" t="str" cm="1">
        <f t="array" ref="W488">IF(TRIM($K488)="","(tidak diisi)",IFERROR(INDEX(Kamus!$K$3:$K$118,MATCH(TRUE,ISNUMBER(SEARCH(Kamus!$J$3:$J$118,$K488)),0)),"Individu / Perorangan"))</f>
        <v>Individu / Perorangan</v>
      </c>
      <c r="X488" s="106" t="str">
        <f t="shared" si="22"/>
        <v>09</v>
      </c>
      <c r="Y488" s="106" t="str" cm="1">
        <f t="array" ref="Y488">IFERROR(INDEX(Kamus!$N$3:$N$111,MATCH(TRUE,ISNUMBER(SEARCH(Kamus!$M$3:$M$111,$I488)),0)),"")</f>
        <v/>
      </c>
      <c r="Z488" s="106" t="str">
        <f>IF(AND(OR($X488="02",$X488="03",$X488="04"),OR($T488="Parsel/Bingkisan (tidak dirinci)",$T488="Makanan &amp; Minuman",$T488="Peralatan Rumah Tangga / Pecah Belah",$T488="Pakaian &amp; Kain")),"Momen Hari Raya (dugaan musiman)",IFERROR(VLOOKUP($W488,Kamus!$P$3:$Q$14,2,FALSE),"Tidak Teridentifikasi"))</f>
        <v>Relasi Personal / Tidak Teridentifikasi</v>
      </c>
      <c r="AA488" s="106" t="str">
        <f t="shared" si="23"/>
        <v>Relasi Personal / Tidak Teridentifikasi</v>
      </c>
    </row>
    <row r="489" spans="1:27">
      <c r="A489" s="106">
        <v>488</v>
      </c>
      <c r="B489" s="106" t="s">
        <v>2318</v>
      </c>
      <c r="C489" s="107" t="s">
        <v>2319</v>
      </c>
      <c r="D489" s="106" t="s">
        <v>1042</v>
      </c>
      <c r="E489" s="106" t="s">
        <v>1025</v>
      </c>
      <c r="F489" s="106" t="s">
        <v>3439</v>
      </c>
      <c r="G489" s="106" t="s">
        <v>1074</v>
      </c>
      <c r="H489" s="106" t="s">
        <v>3433</v>
      </c>
      <c r="I489" s="106" t="s">
        <v>1017</v>
      </c>
      <c r="K489" s="106" t="s">
        <v>3440</v>
      </c>
      <c r="L489" s="106" t="s">
        <v>3441</v>
      </c>
      <c r="O489" s="106" t="s">
        <v>274</v>
      </c>
      <c r="P489" s="106" t="s">
        <v>561</v>
      </c>
      <c r="Q489" s="106" t="s">
        <v>428</v>
      </c>
      <c r="S489" s="106" t="str" cm="1">
        <f t="array" ref="S489">IF(TRIM($D489)="","(tidak diisi)",IFERROR(INDEX(Kamus!$B$3:$B$28,MATCH(TRUE,ISNUMBER(SEARCH(Kamus!$A$3:$A$28,$D489)),0)),"Jabatan Lainnya"))</f>
        <v>Ketua Pengadilan</v>
      </c>
      <c r="T489" s="106" t="str" cm="1">
        <f t="array" ref="T489">IF(TRIM($I489)="","(tidak diisi)",IFERROR(INDEX(Kamus!$E$3:$E$162,MATCH(TRUE,ISNUMBER(SEARCH(Kamus!$D$3:$D$162,$I489)),0)),"Barang Lain / Tidak Terinci"))</f>
        <v>Uang &amp; Setara Uang</v>
      </c>
      <c r="U489" s="106" t="str" cm="1">
        <f t="array" ref="U489">IF(TRIM($I489)="","(tidak diisi)",IFERROR(INDEX(Kamus!$H$3:$H$75,MATCH(TRUE,ISNUMBER(SEARCH(Kamus!$G$3:$G$75,$I489)),0)),"Pemberian Umum / Tanpa Konteks"))</f>
        <v>Pemberian Uang Langsung</v>
      </c>
      <c r="V489" s="106" t="str">
        <f t="shared" si="21"/>
        <v>2025</v>
      </c>
      <c r="W489" s="106" t="str" cm="1">
        <f t="array" ref="W489">IF(TRIM($K489)="","(tidak diisi)",IFERROR(INDEX(Kamus!$K$3:$K$118,MATCH(TRUE,ISNUMBER(SEARCH(Kamus!$J$3:$J$118,$K489)),0)),"Individu / Perorangan"))</f>
        <v>Individu / Perorangan</v>
      </c>
      <c r="X489" s="106" t="str">
        <f t="shared" si="22"/>
        <v>09</v>
      </c>
      <c r="Y489" s="106" t="str" cm="1">
        <f t="array" ref="Y489">IFERROR(INDEX(Kamus!$N$3:$N$111,MATCH(TRUE,ISNUMBER(SEARCH(Kamus!$M$3:$M$111,$I489)),0)),"")</f>
        <v/>
      </c>
      <c r="Z489" s="106" t="str">
        <f>IF(AND(OR($X489="02",$X489="03",$X489="04"),OR($T489="Parsel/Bingkisan (tidak dirinci)",$T489="Makanan &amp; Minuman",$T489="Peralatan Rumah Tangga / Pecah Belah",$T489="Pakaian &amp; Kain")),"Momen Hari Raya (dugaan musiman)",IFERROR(VLOOKUP($W489,Kamus!$P$3:$Q$14,2,FALSE),"Tidak Teridentifikasi"))</f>
        <v>Relasi Personal / Tidak Teridentifikasi</v>
      </c>
      <c r="AA489" s="106" t="str">
        <f t="shared" si="23"/>
        <v>Relasi Personal / Tidak Teridentifikasi</v>
      </c>
    </row>
    <row r="490" spans="1:27">
      <c r="A490" s="106">
        <v>489</v>
      </c>
      <c r="B490" s="106" t="s">
        <v>2318</v>
      </c>
      <c r="C490" s="107" t="s">
        <v>2319</v>
      </c>
      <c r="D490" s="106" t="s">
        <v>1042</v>
      </c>
      <c r="E490" s="106" t="s">
        <v>1025</v>
      </c>
      <c r="F490" s="106" t="s">
        <v>3442</v>
      </c>
      <c r="G490" s="106" t="s">
        <v>1074</v>
      </c>
      <c r="H490" s="106" t="s">
        <v>3433</v>
      </c>
      <c r="I490" s="106" t="s">
        <v>1017</v>
      </c>
      <c r="K490" s="106" t="s">
        <v>3443</v>
      </c>
      <c r="L490" s="106" t="s">
        <v>3444</v>
      </c>
      <c r="O490" s="106" t="s">
        <v>274</v>
      </c>
      <c r="P490" s="106" t="s">
        <v>561</v>
      </c>
      <c r="Q490" s="106" t="s">
        <v>428</v>
      </c>
      <c r="S490" s="106" t="str" cm="1">
        <f t="array" ref="S490">IF(TRIM($D490)="","(tidak diisi)",IFERROR(INDEX(Kamus!$B$3:$B$28,MATCH(TRUE,ISNUMBER(SEARCH(Kamus!$A$3:$A$28,$D490)),0)),"Jabatan Lainnya"))</f>
        <v>Ketua Pengadilan</v>
      </c>
      <c r="T490" s="106" t="str" cm="1">
        <f t="array" ref="T490">IF(TRIM($I490)="","(tidak diisi)",IFERROR(INDEX(Kamus!$E$3:$E$162,MATCH(TRUE,ISNUMBER(SEARCH(Kamus!$D$3:$D$162,$I490)),0)),"Barang Lain / Tidak Terinci"))</f>
        <v>Uang &amp; Setara Uang</v>
      </c>
      <c r="U490" s="106" t="str" cm="1">
        <f t="array" ref="U490">IF(TRIM($I490)="","(tidak diisi)",IFERROR(INDEX(Kamus!$H$3:$H$75,MATCH(TRUE,ISNUMBER(SEARCH(Kamus!$G$3:$G$75,$I490)),0)),"Pemberian Umum / Tanpa Konteks"))</f>
        <v>Pemberian Uang Langsung</v>
      </c>
      <c r="V490" s="106" t="str">
        <f t="shared" si="21"/>
        <v>2025</v>
      </c>
      <c r="W490" s="106" t="str" cm="1">
        <f t="array" ref="W490">IF(TRIM($K490)="","(tidak diisi)",IFERROR(INDEX(Kamus!$K$3:$K$118,MATCH(TRUE,ISNUMBER(SEARCH(Kamus!$J$3:$J$118,$K490)),0)),"Individu / Perorangan"))</f>
        <v>Individu / Perorangan</v>
      </c>
      <c r="X490" s="106" t="str">
        <f t="shared" si="22"/>
        <v>09</v>
      </c>
      <c r="Y490" s="106" t="str" cm="1">
        <f t="array" ref="Y490">IFERROR(INDEX(Kamus!$N$3:$N$111,MATCH(TRUE,ISNUMBER(SEARCH(Kamus!$M$3:$M$111,$I490)),0)),"")</f>
        <v/>
      </c>
      <c r="Z490" s="106" t="str">
        <f>IF(AND(OR($X490="02",$X490="03",$X490="04"),OR($T490="Parsel/Bingkisan (tidak dirinci)",$T490="Makanan &amp; Minuman",$T490="Peralatan Rumah Tangga / Pecah Belah",$T490="Pakaian &amp; Kain")),"Momen Hari Raya (dugaan musiman)",IFERROR(VLOOKUP($W490,Kamus!$P$3:$Q$14,2,FALSE),"Tidak Teridentifikasi"))</f>
        <v>Relasi Personal / Tidak Teridentifikasi</v>
      </c>
      <c r="AA490" s="106" t="str">
        <f t="shared" si="23"/>
        <v>Relasi Personal / Tidak Teridentifikasi</v>
      </c>
    </row>
    <row r="491" spans="1:27">
      <c r="A491" s="106">
        <v>490</v>
      </c>
      <c r="B491" s="106" t="s">
        <v>2318</v>
      </c>
      <c r="C491" s="107" t="s">
        <v>2319</v>
      </c>
      <c r="D491" s="106" t="s">
        <v>1042</v>
      </c>
      <c r="E491" s="106" t="s">
        <v>1025</v>
      </c>
      <c r="F491" s="106" t="s">
        <v>3445</v>
      </c>
      <c r="G491" s="106" t="s">
        <v>1074</v>
      </c>
      <c r="H491" s="106" t="s">
        <v>3433</v>
      </c>
      <c r="I491" s="106" t="s">
        <v>1017</v>
      </c>
      <c r="K491" s="106" t="s">
        <v>3446</v>
      </c>
      <c r="L491" s="106" t="s">
        <v>3447</v>
      </c>
      <c r="O491" s="106" t="s">
        <v>274</v>
      </c>
      <c r="P491" s="106" t="s">
        <v>561</v>
      </c>
      <c r="Q491" s="106" t="s">
        <v>428</v>
      </c>
      <c r="S491" s="106" t="str" cm="1">
        <f t="array" ref="S491">IF(TRIM($D491)="","(tidak diisi)",IFERROR(INDEX(Kamus!$B$3:$B$28,MATCH(TRUE,ISNUMBER(SEARCH(Kamus!$A$3:$A$28,$D491)),0)),"Jabatan Lainnya"))</f>
        <v>Ketua Pengadilan</v>
      </c>
      <c r="T491" s="106" t="str" cm="1">
        <f t="array" ref="T491">IF(TRIM($I491)="","(tidak diisi)",IFERROR(INDEX(Kamus!$E$3:$E$162,MATCH(TRUE,ISNUMBER(SEARCH(Kamus!$D$3:$D$162,$I491)),0)),"Barang Lain / Tidak Terinci"))</f>
        <v>Uang &amp; Setara Uang</v>
      </c>
      <c r="U491" s="106" t="str" cm="1">
        <f t="array" ref="U491">IF(TRIM($I491)="","(tidak diisi)",IFERROR(INDEX(Kamus!$H$3:$H$75,MATCH(TRUE,ISNUMBER(SEARCH(Kamus!$G$3:$G$75,$I491)),0)),"Pemberian Umum / Tanpa Konteks"))</f>
        <v>Pemberian Uang Langsung</v>
      </c>
      <c r="V491" s="106" t="str">
        <f t="shared" si="21"/>
        <v>2025</v>
      </c>
      <c r="W491" s="106" t="str" cm="1">
        <f t="array" ref="W491">IF(TRIM($K491)="","(tidak diisi)",IFERROR(INDEX(Kamus!$K$3:$K$118,MATCH(TRUE,ISNUMBER(SEARCH(Kamus!$J$3:$J$118,$K491)),0)),"Individu / Perorangan"))</f>
        <v>Individu / Perorangan</v>
      </c>
      <c r="X491" s="106" t="str">
        <f t="shared" si="22"/>
        <v>09</v>
      </c>
      <c r="Y491" s="106" t="str" cm="1">
        <f t="array" ref="Y491">IFERROR(INDEX(Kamus!$N$3:$N$111,MATCH(TRUE,ISNUMBER(SEARCH(Kamus!$M$3:$M$111,$I491)),0)),"")</f>
        <v/>
      </c>
      <c r="Z491" s="106" t="str">
        <f>IF(AND(OR($X491="02",$X491="03",$X491="04"),OR($T491="Parsel/Bingkisan (tidak dirinci)",$T491="Makanan &amp; Minuman",$T491="Peralatan Rumah Tangga / Pecah Belah",$T491="Pakaian &amp; Kain")),"Momen Hari Raya (dugaan musiman)",IFERROR(VLOOKUP($W491,Kamus!$P$3:$Q$14,2,FALSE),"Tidak Teridentifikasi"))</f>
        <v>Relasi Personal / Tidak Teridentifikasi</v>
      </c>
      <c r="AA491" s="106" t="str">
        <f t="shared" si="23"/>
        <v>Relasi Personal / Tidak Teridentifikasi</v>
      </c>
    </row>
    <row r="492" spans="1:27">
      <c r="A492" s="106">
        <v>491</v>
      </c>
      <c r="B492" s="106" t="s">
        <v>2318</v>
      </c>
      <c r="C492" s="107" t="s">
        <v>2319</v>
      </c>
      <c r="D492" s="106" t="s">
        <v>1042</v>
      </c>
      <c r="E492" s="106" t="s">
        <v>1025</v>
      </c>
      <c r="F492" s="106" t="s">
        <v>3448</v>
      </c>
      <c r="G492" s="106" t="s">
        <v>1074</v>
      </c>
      <c r="H492" s="106" t="s">
        <v>3433</v>
      </c>
      <c r="I492" s="106" t="s">
        <v>1017</v>
      </c>
      <c r="K492" s="106" t="s">
        <v>3449</v>
      </c>
      <c r="L492" s="106" t="s">
        <v>3450</v>
      </c>
      <c r="O492" s="106" t="s">
        <v>274</v>
      </c>
      <c r="P492" s="106" t="s">
        <v>561</v>
      </c>
      <c r="Q492" s="106" t="s">
        <v>428</v>
      </c>
      <c r="S492" s="106" t="str" cm="1">
        <f t="array" ref="S492">IF(TRIM($D492)="","(tidak diisi)",IFERROR(INDEX(Kamus!$B$3:$B$28,MATCH(TRUE,ISNUMBER(SEARCH(Kamus!$A$3:$A$28,$D492)),0)),"Jabatan Lainnya"))</f>
        <v>Ketua Pengadilan</v>
      </c>
      <c r="T492" s="106" t="str" cm="1">
        <f t="array" ref="T492">IF(TRIM($I492)="","(tidak diisi)",IFERROR(INDEX(Kamus!$E$3:$E$162,MATCH(TRUE,ISNUMBER(SEARCH(Kamus!$D$3:$D$162,$I492)),0)),"Barang Lain / Tidak Terinci"))</f>
        <v>Uang &amp; Setara Uang</v>
      </c>
      <c r="U492" s="106" t="str" cm="1">
        <f t="array" ref="U492">IF(TRIM($I492)="","(tidak diisi)",IFERROR(INDEX(Kamus!$H$3:$H$75,MATCH(TRUE,ISNUMBER(SEARCH(Kamus!$G$3:$G$75,$I492)),0)),"Pemberian Umum / Tanpa Konteks"))</f>
        <v>Pemberian Uang Langsung</v>
      </c>
      <c r="V492" s="106" t="str">
        <f t="shared" si="21"/>
        <v>2025</v>
      </c>
      <c r="W492" s="106" t="str" cm="1">
        <f t="array" ref="W492">IF(TRIM($K492)="","(tidak diisi)",IFERROR(INDEX(Kamus!$K$3:$K$118,MATCH(TRUE,ISNUMBER(SEARCH(Kamus!$J$3:$J$118,$K492)),0)),"Individu / Perorangan"))</f>
        <v>Individu / Perorangan</v>
      </c>
      <c r="X492" s="106" t="str">
        <f t="shared" si="22"/>
        <v>09</v>
      </c>
      <c r="Y492" s="106" t="str" cm="1">
        <f t="array" ref="Y492">IFERROR(INDEX(Kamus!$N$3:$N$111,MATCH(TRUE,ISNUMBER(SEARCH(Kamus!$M$3:$M$111,$I492)),0)),"")</f>
        <v/>
      </c>
      <c r="Z492" s="106" t="str">
        <f>IF(AND(OR($X492="02",$X492="03",$X492="04"),OR($T492="Parsel/Bingkisan (tidak dirinci)",$T492="Makanan &amp; Minuman",$T492="Peralatan Rumah Tangga / Pecah Belah",$T492="Pakaian &amp; Kain")),"Momen Hari Raya (dugaan musiman)",IFERROR(VLOOKUP($W492,Kamus!$P$3:$Q$14,2,FALSE),"Tidak Teridentifikasi"))</f>
        <v>Relasi Personal / Tidak Teridentifikasi</v>
      </c>
      <c r="AA492" s="106" t="str">
        <f t="shared" si="23"/>
        <v>Relasi Personal / Tidak Teridentifikasi</v>
      </c>
    </row>
    <row r="493" spans="1:27">
      <c r="A493" s="106">
        <v>492</v>
      </c>
      <c r="B493" s="106" t="s">
        <v>2318</v>
      </c>
      <c r="C493" s="107" t="s">
        <v>2319</v>
      </c>
      <c r="D493" s="106" t="s">
        <v>1042</v>
      </c>
      <c r="E493" s="106" t="s">
        <v>1025</v>
      </c>
      <c r="F493" s="106" t="s">
        <v>3451</v>
      </c>
      <c r="G493" s="106" t="s">
        <v>1074</v>
      </c>
      <c r="H493" s="106" t="s">
        <v>3433</v>
      </c>
      <c r="I493" s="106" t="s">
        <v>1017</v>
      </c>
      <c r="K493" s="106" t="s">
        <v>3452</v>
      </c>
      <c r="L493" s="106" t="s">
        <v>3453</v>
      </c>
      <c r="O493" s="106" t="s">
        <v>274</v>
      </c>
      <c r="P493" s="106" t="s">
        <v>561</v>
      </c>
      <c r="Q493" s="106" t="s">
        <v>428</v>
      </c>
      <c r="S493" s="106" t="str" cm="1">
        <f t="array" ref="S493">IF(TRIM($D493)="","(tidak diisi)",IFERROR(INDEX(Kamus!$B$3:$B$28,MATCH(TRUE,ISNUMBER(SEARCH(Kamus!$A$3:$A$28,$D493)),0)),"Jabatan Lainnya"))</f>
        <v>Ketua Pengadilan</v>
      </c>
      <c r="T493" s="106" t="str" cm="1">
        <f t="array" ref="T493">IF(TRIM($I493)="","(tidak diisi)",IFERROR(INDEX(Kamus!$E$3:$E$162,MATCH(TRUE,ISNUMBER(SEARCH(Kamus!$D$3:$D$162,$I493)),0)),"Barang Lain / Tidak Terinci"))</f>
        <v>Uang &amp; Setara Uang</v>
      </c>
      <c r="U493" s="106" t="str" cm="1">
        <f t="array" ref="U493">IF(TRIM($I493)="","(tidak diisi)",IFERROR(INDEX(Kamus!$H$3:$H$75,MATCH(TRUE,ISNUMBER(SEARCH(Kamus!$G$3:$G$75,$I493)),0)),"Pemberian Umum / Tanpa Konteks"))</f>
        <v>Pemberian Uang Langsung</v>
      </c>
      <c r="V493" s="106" t="str">
        <f t="shared" si="21"/>
        <v>2025</v>
      </c>
      <c r="W493" s="106" t="str" cm="1">
        <f t="array" ref="W493">IF(TRIM($K493)="","(tidak diisi)",IFERROR(INDEX(Kamus!$K$3:$K$118,MATCH(TRUE,ISNUMBER(SEARCH(Kamus!$J$3:$J$118,$K493)),0)),"Individu / Perorangan"))</f>
        <v>Individu / Perorangan</v>
      </c>
      <c r="X493" s="106" t="str">
        <f t="shared" si="22"/>
        <v>09</v>
      </c>
      <c r="Y493" s="106" t="str" cm="1">
        <f t="array" ref="Y493">IFERROR(INDEX(Kamus!$N$3:$N$111,MATCH(TRUE,ISNUMBER(SEARCH(Kamus!$M$3:$M$111,$I493)),0)),"")</f>
        <v/>
      </c>
      <c r="Z493" s="106" t="str">
        <f>IF(AND(OR($X493="02",$X493="03",$X493="04"),OR($T493="Parsel/Bingkisan (tidak dirinci)",$T493="Makanan &amp; Minuman",$T493="Peralatan Rumah Tangga / Pecah Belah",$T493="Pakaian &amp; Kain")),"Momen Hari Raya (dugaan musiman)",IFERROR(VLOOKUP($W493,Kamus!$P$3:$Q$14,2,FALSE),"Tidak Teridentifikasi"))</f>
        <v>Relasi Personal / Tidak Teridentifikasi</v>
      </c>
      <c r="AA493" s="106" t="str">
        <f t="shared" si="23"/>
        <v>Relasi Personal / Tidak Teridentifikasi</v>
      </c>
    </row>
    <row r="494" spans="1:27">
      <c r="A494" s="106">
        <v>493</v>
      </c>
      <c r="B494" s="106" t="s">
        <v>2318</v>
      </c>
      <c r="C494" s="107" t="s">
        <v>2319</v>
      </c>
      <c r="D494" s="106" t="s">
        <v>1042</v>
      </c>
      <c r="E494" s="106" t="s">
        <v>1025</v>
      </c>
      <c r="F494" s="106" t="s">
        <v>3454</v>
      </c>
      <c r="G494" s="106" t="s">
        <v>1074</v>
      </c>
      <c r="H494" s="106" t="s">
        <v>3433</v>
      </c>
      <c r="I494" s="106" t="s">
        <v>1017</v>
      </c>
      <c r="K494" s="106" t="s">
        <v>3455</v>
      </c>
      <c r="L494" s="106" t="s">
        <v>3456</v>
      </c>
      <c r="O494" s="106" t="s">
        <v>274</v>
      </c>
      <c r="P494" s="106" t="s">
        <v>561</v>
      </c>
      <c r="Q494" s="106" t="s">
        <v>428</v>
      </c>
      <c r="S494" s="106" t="str" cm="1">
        <f t="array" ref="S494">IF(TRIM($D494)="","(tidak diisi)",IFERROR(INDEX(Kamus!$B$3:$B$28,MATCH(TRUE,ISNUMBER(SEARCH(Kamus!$A$3:$A$28,$D494)),0)),"Jabatan Lainnya"))</f>
        <v>Ketua Pengadilan</v>
      </c>
      <c r="T494" s="106" t="str" cm="1">
        <f t="array" ref="T494">IF(TRIM($I494)="","(tidak diisi)",IFERROR(INDEX(Kamus!$E$3:$E$162,MATCH(TRUE,ISNUMBER(SEARCH(Kamus!$D$3:$D$162,$I494)),0)),"Barang Lain / Tidak Terinci"))</f>
        <v>Uang &amp; Setara Uang</v>
      </c>
      <c r="U494" s="106" t="str" cm="1">
        <f t="array" ref="U494">IF(TRIM($I494)="","(tidak diisi)",IFERROR(INDEX(Kamus!$H$3:$H$75,MATCH(TRUE,ISNUMBER(SEARCH(Kamus!$G$3:$G$75,$I494)),0)),"Pemberian Umum / Tanpa Konteks"))</f>
        <v>Pemberian Uang Langsung</v>
      </c>
      <c r="V494" s="106" t="str">
        <f t="shared" si="21"/>
        <v>2025</v>
      </c>
      <c r="W494" s="106" t="str" cm="1">
        <f t="array" ref="W494">IF(TRIM($K494)="","(tidak diisi)",IFERROR(INDEX(Kamus!$K$3:$K$118,MATCH(TRUE,ISNUMBER(SEARCH(Kamus!$J$3:$J$118,$K494)),0)),"Individu / Perorangan"))</f>
        <v>Individu / Perorangan</v>
      </c>
      <c r="X494" s="106" t="str">
        <f t="shared" si="22"/>
        <v>09</v>
      </c>
      <c r="Y494" s="106" t="str" cm="1">
        <f t="array" ref="Y494">IFERROR(INDEX(Kamus!$N$3:$N$111,MATCH(TRUE,ISNUMBER(SEARCH(Kamus!$M$3:$M$111,$I494)),0)),"")</f>
        <v/>
      </c>
      <c r="Z494" s="106" t="str">
        <f>IF(AND(OR($X494="02",$X494="03",$X494="04"),OR($T494="Parsel/Bingkisan (tidak dirinci)",$T494="Makanan &amp; Minuman",$T494="Peralatan Rumah Tangga / Pecah Belah",$T494="Pakaian &amp; Kain")),"Momen Hari Raya (dugaan musiman)",IFERROR(VLOOKUP($W494,Kamus!$P$3:$Q$14,2,FALSE),"Tidak Teridentifikasi"))</f>
        <v>Relasi Personal / Tidak Teridentifikasi</v>
      </c>
      <c r="AA494" s="106" t="str">
        <f t="shared" si="23"/>
        <v>Relasi Personal / Tidak Teridentifikasi</v>
      </c>
    </row>
    <row r="495" spans="1:27">
      <c r="A495" s="106">
        <v>494</v>
      </c>
      <c r="B495" s="106" t="s">
        <v>2318</v>
      </c>
      <c r="C495" s="107" t="s">
        <v>2319</v>
      </c>
      <c r="D495" s="106" t="s">
        <v>1042</v>
      </c>
      <c r="E495" s="106" t="s">
        <v>1025</v>
      </c>
      <c r="F495" s="106" t="s">
        <v>3457</v>
      </c>
      <c r="G495" s="106" t="s">
        <v>1074</v>
      </c>
      <c r="H495" s="106" t="s">
        <v>3433</v>
      </c>
      <c r="I495" s="106" t="s">
        <v>1017</v>
      </c>
      <c r="K495" s="106" t="s">
        <v>3458</v>
      </c>
      <c r="L495" s="106" t="s">
        <v>3459</v>
      </c>
      <c r="O495" s="106" t="s">
        <v>274</v>
      </c>
      <c r="P495" s="106" t="s">
        <v>561</v>
      </c>
      <c r="Q495" s="106" t="s">
        <v>428</v>
      </c>
      <c r="S495" s="106" t="str" cm="1">
        <f t="array" ref="S495">IF(TRIM($D495)="","(tidak diisi)",IFERROR(INDEX(Kamus!$B$3:$B$28,MATCH(TRUE,ISNUMBER(SEARCH(Kamus!$A$3:$A$28,$D495)),0)),"Jabatan Lainnya"))</f>
        <v>Ketua Pengadilan</v>
      </c>
      <c r="T495" s="106" t="str" cm="1">
        <f t="array" ref="T495">IF(TRIM($I495)="","(tidak diisi)",IFERROR(INDEX(Kamus!$E$3:$E$162,MATCH(TRUE,ISNUMBER(SEARCH(Kamus!$D$3:$D$162,$I495)),0)),"Barang Lain / Tidak Terinci"))</f>
        <v>Uang &amp; Setara Uang</v>
      </c>
      <c r="U495" s="106" t="str" cm="1">
        <f t="array" ref="U495">IF(TRIM($I495)="","(tidak diisi)",IFERROR(INDEX(Kamus!$H$3:$H$75,MATCH(TRUE,ISNUMBER(SEARCH(Kamus!$G$3:$G$75,$I495)),0)),"Pemberian Umum / Tanpa Konteks"))</f>
        <v>Pemberian Uang Langsung</v>
      </c>
      <c r="V495" s="106" t="str">
        <f t="shared" si="21"/>
        <v>2025</v>
      </c>
      <c r="W495" s="106" t="str" cm="1">
        <f t="array" ref="W495">IF(TRIM($K495)="","(tidak diisi)",IFERROR(INDEX(Kamus!$K$3:$K$118,MATCH(TRUE,ISNUMBER(SEARCH(Kamus!$J$3:$J$118,$K495)),0)),"Individu / Perorangan"))</f>
        <v>Individu / Perorangan</v>
      </c>
      <c r="X495" s="106" t="str">
        <f t="shared" si="22"/>
        <v>09</v>
      </c>
      <c r="Y495" s="106" t="str" cm="1">
        <f t="array" ref="Y495">IFERROR(INDEX(Kamus!$N$3:$N$111,MATCH(TRUE,ISNUMBER(SEARCH(Kamus!$M$3:$M$111,$I495)),0)),"")</f>
        <v/>
      </c>
      <c r="Z495" s="106" t="str">
        <f>IF(AND(OR($X495="02",$X495="03",$X495="04"),OR($T495="Parsel/Bingkisan (tidak dirinci)",$T495="Makanan &amp; Minuman",$T495="Peralatan Rumah Tangga / Pecah Belah",$T495="Pakaian &amp; Kain")),"Momen Hari Raya (dugaan musiman)",IFERROR(VLOOKUP($W495,Kamus!$P$3:$Q$14,2,FALSE),"Tidak Teridentifikasi"))</f>
        <v>Relasi Personal / Tidak Teridentifikasi</v>
      </c>
      <c r="AA495" s="106" t="str">
        <f t="shared" si="23"/>
        <v>Relasi Personal / Tidak Teridentifikasi</v>
      </c>
    </row>
    <row r="496" spans="1:27">
      <c r="A496" s="106">
        <v>495</v>
      </c>
      <c r="B496" s="106" t="s">
        <v>1278</v>
      </c>
      <c r="C496" s="107" t="s">
        <v>1279</v>
      </c>
      <c r="D496" s="106" t="s">
        <v>1024</v>
      </c>
      <c r="E496" s="106" t="s">
        <v>1280</v>
      </c>
      <c r="F496" s="106" t="s">
        <v>3460</v>
      </c>
      <c r="G496" s="106" t="s">
        <v>1006</v>
      </c>
      <c r="H496" s="106" t="s">
        <v>3461</v>
      </c>
      <c r="I496" s="106" t="s">
        <v>1017</v>
      </c>
      <c r="J496" s="106">
        <v>100000</v>
      </c>
      <c r="K496" s="106" t="s">
        <v>3462</v>
      </c>
      <c r="L496" s="106" t="s">
        <v>3463</v>
      </c>
      <c r="M496" s="106" t="s">
        <v>1020</v>
      </c>
      <c r="O496" s="106" t="s">
        <v>274</v>
      </c>
      <c r="P496" s="106" t="s">
        <v>1284</v>
      </c>
      <c r="Q496" s="106" t="s">
        <v>428</v>
      </c>
      <c r="S496" s="106" t="str" cm="1">
        <f t="array" ref="S496">IF(TRIM($D496)="","(tidak diisi)",IFERROR(INDEX(Kamus!$B$3:$B$28,MATCH(TRUE,ISNUMBER(SEARCH(Kamus!$A$3:$A$28,$D496)),0)),"Jabatan Lainnya"))</f>
        <v>Sekretaris</v>
      </c>
      <c r="T496" s="106" t="str" cm="1">
        <f t="array" ref="T496">IF(TRIM($I496)="","(tidak diisi)",IFERROR(INDEX(Kamus!$E$3:$E$162,MATCH(TRUE,ISNUMBER(SEARCH(Kamus!$D$3:$D$162,$I496)),0)),"Barang Lain / Tidak Terinci"))</f>
        <v>Uang &amp; Setara Uang</v>
      </c>
      <c r="U496" s="106" t="str" cm="1">
        <f t="array" ref="U496">IF(TRIM($I496)="","(tidak diisi)",IFERROR(INDEX(Kamus!$H$3:$H$75,MATCH(TRUE,ISNUMBER(SEARCH(Kamus!$G$3:$G$75,$I496)),0)),"Pemberian Umum / Tanpa Konteks"))</f>
        <v>Pemberian Uang Langsung</v>
      </c>
      <c r="V496" s="106" t="str">
        <f t="shared" si="21"/>
        <v>2025</v>
      </c>
      <c r="W496" s="106" t="str" cm="1">
        <f t="array" ref="W496">IF(TRIM($K496)="","(tidak diisi)",IFERROR(INDEX(Kamus!$K$3:$K$118,MATCH(TRUE,ISNUMBER(SEARCH(Kamus!$J$3:$J$118,$K496)),0)),"Individu / Perorangan"))</f>
        <v>Kampus &amp; Sekolah</v>
      </c>
      <c r="X496" s="106" t="str">
        <f t="shared" si="22"/>
        <v>09</v>
      </c>
      <c r="Y496" s="106" t="str" cm="1">
        <f t="array" ref="Y496">IFERROR(INDEX(Kamus!$N$3:$N$111,MATCH(TRUE,ISNUMBER(SEARCH(Kamus!$M$3:$M$111,$I496)),0)),"")</f>
        <v/>
      </c>
      <c r="Z496" s="106" t="str">
        <f>IF(AND(OR($X496="02",$X496="03",$X496="04"),OR($T496="Parsel/Bingkisan (tidak dirinci)",$T496="Makanan &amp; Minuman",$T496="Peralatan Rumah Tangga / Pecah Belah",$T496="Pakaian &amp; Kain")),"Momen Hari Raya (dugaan musiman)",IFERROR(VLOOKUP($W496,Kamus!$P$3:$Q$14,2,FALSE),"Tidak Teridentifikasi"))</f>
        <v>Kerja Sama Pendidikan/PKL (dugaan)</v>
      </c>
      <c r="AA496" s="106" t="str">
        <f t="shared" si="23"/>
        <v>Kerja Sama Pendidikan/PKL (dugaan)</v>
      </c>
    </row>
    <row r="497" spans="1:27">
      <c r="A497" s="106">
        <v>496</v>
      </c>
      <c r="B497" s="106" t="s">
        <v>1278</v>
      </c>
      <c r="C497" s="107" t="s">
        <v>1279</v>
      </c>
      <c r="D497" s="106" t="s">
        <v>1024</v>
      </c>
      <c r="E497" s="106" t="s">
        <v>1280</v>
      </c>
      <c r="F497" s="106" t="s">
        <v>3464</v>
      </c>
      <c r="G497" s="106" t="s">
        <v>1006</v>
      </c>
      <c r="H497" s="106" t="s">
        <v>3461</v>
      </c>
      <c r="I497" s="106" t="s">
        <v>1017</v>
      </c>
      <c r="J497" s="106">
        <v>50000</v>
      </c>
      <c r="K497" s="106" t="s">
        <v>3465</v>
      </c>
      <c r="L497" s="106" t="s">
        <v>3466</v>
      </c>
      <c r="M497" s="106" t="s">
        <v>1020</v>
      </c>
      <c r="O497" s="106" t="s">
        <v>274</v>
      </c>
      <c r="P497" s="106" t="s">
        <v>1284</v>
      </c>
      <c r="Q497" s="106" t="s">
        <v>428</v>
      </c>
      <c r="S497" s="106" t="str" cm="1">
        <f t="array" ref="S497">IF(TRIM($D497)="","(tidak diisi)",IFERROR(INDEX(Kamus!$B$3:$B$28,MATCH(TRUE,ISNUMBER(SEARCH(Kamus!$A$3:$A$28,$D497)),0)),"Jabatan Lainnya"))</f>
        <v>Sekretaris</v>
      </c>
      <c r="T497" s="106" t="str" cm="1">
        <f t="array" ref="T497">IF(TRIM($I497)="","(tidak diisi)",IFERROR(INDEX(Kamus!$E$3:$E$162,MATCH(TRUE,ISNUMBER(SEARCH(Kamus!$D$3:$D$162,$I497)),0)),"Barang Lain / Tidak Terinci"))</f>
        <v>Uang &amp; Setara Uang</v>
      </c>
      <c r="U497" s="106" t="str" cm="1">
        <f t="array" ref="U497">IF(TRIM($I497)="","(tidak diisi)",IFERROR(INDEX(Kamus!$H$3:$H$75,MATCH(TRUE,ISNUMBER(SEARCH(Kamus!$G$3:$G$75,$I497)),0)),"Pemberian Umum / Tanpa Konteks"))</f>
        <v>Pemberian Uang Langsung</v>
      </c>
      <c r="V497" s="106" t="str">
        <f t="shared" si="21"/>
        <v>2025</v>
      </c>
      <c r="W497" s="106" t="str" cm="1">
        <f t="array" ref="W497">IF(TRIM($K497)="","(tidak diisi)",IFERROR(INDEX(Kamus!$K$3:$K$118,MATCH(TRUE,ISNUMBER(SEARCH(Kamus!$J$3:$J$118,$K497)),0)),"Individu / Perorangan"))</f>
        <v>Kampus &amp; Sekolah</v>
      </c>
      <c r="X497" s="106" t="str">
        <f t="shared" si="22"/>
        <v>09</v>
      </c>
      <c r="Y497" s="106" t="str" cm="1">
        <f t="array" ref="Y497">IFERROR(INDEX(Kamus!$N$3:$N$111,MATCH(TRUE,ISNUMBER(SEARCH(Kamus!$M$3:$M$111,$I497)),0)),"")</f>
        <v/>
      </c>
      <c r="Z497" s="106" t="str">
        <f>IF(AND(OR($X497="02",$X497="03",$X497="04"),OR($T497="Parsel/Bingkisan (tidak dirinci)",$T497="Makanan &amp; Minuman",$T497="Peralatan Rumah Tangga / Pecah Belah",$T497="Pakaian &amp; Kain")),"Momen Hari Raya (dugaan musiman)",IFERROR(VLOOKUP($W497,Kamus!$P$3:$Q$14,2,FALSE),"Tidak Teridentifikasi"))</f>
        <v>Kerja Sama Pendidikan/PKL (dugaan)</v>
      </c>
      <c r="AA497" s="106" t="str">
        <f t="shared" si="23"/>
        <v>Kerja Sama Pendidikan/PKL (dugaan)</v>
      </c>
    </row>
    <row r="498" spans="1:27">
      <c r="A498" s="106">
        <v>497</v>
      </c>
      <c r="B498" s="106" t="s">
        <v>3467</v>
      </c>
      <c r="C498" s="107" t="s">
        <v>3468</v>
      </c>
      <c r="D498" s="106" t="s">
        <v>1033</v>
      </c>
      <c r="E498" s="106" t="s">
        <v>1014</v>
      </c>
      <c r="F498" s="106" t="s">
        <v>3469</v>
      </c>
      <c r="G498" s="106" t="s">
        <v>1006</v>
      </c>
      <c r="H498" s="106" t="s">
        <v>3470</v>
      </c>
      <c r="I498" s="106" t="s">
        <v>3471</v>
      </c>
      <c r="K498" s="106" t="s">
        <v>1105</v>
      </c>
      <c r="L498" s="106" t="s">
        <v>3472</v>
      </c>
      <c r="O498" s="106" t="s">
        <v>274</v>
      </c>
      <c r="P498" s="106" t="s">
        <v>1021</v>
      </c>
      <c r="Q498" s="106" t="s">
        <v>428</v>
      </c>
      <c r="S498" s="106" t="str" cm="1">
        <f t="array" ref="S498">IF(TRIM($D498)="","(tidak diisi)",IFERROR(INDEX(Kamus!$B$3:$B$28,MATCH(TRUE,ISNUMBER(SEARCH(Kamus!$A$3:$A$28,$D498)),0)),"Jabatan Lainnya"))</f>
        <v>Hakim</v>
      </c>
      <c r="T498" s="106" t="str" cm="1">
        <f t="array" ref="T498">IF(TRIM($I498)="","(tidak diisi)",IFERROR(INDEX(Kamus!$E$3:$E$162,MATCH(TRUE,ISNUMBER(SEARCH(Kamus!$D$3:$D$162,$I498)),0)),"Barang Lain / Tidak Terinci"))</f>
        <v>Pakaian &amp; Kain</v>
      </c>
      <c r="U498" s="106" t="str" cm="1">
        <f t="array" ref="U498">IF(TRIM($I498)="","(tidak diisi)",IFERROR(INDEX(Kamus!$H$3:$H$75,MATCH(TRUE,ISNUMBER(SEARCH(Kamus!$G$3:$G$75,$I498)),0)),"Pemberian Umum / Tanpa Konteks"))</f>
        <v>Pemberian Umum / Tanpa Konteks</v>
      </c>
      <c r="V498" s="106" t="str">
        <f t="shared" si="21"/>
        <v>2025</v>
      </c>
      <c r="W498" s="106" t="str" cm="1">
        <f t="array" ref="W498">IF(TRIM($K498)="","(tidak diisi)",IFERROR(INDEX(Kamus!$K$3:$K$118,MATCH(TRUE,ISNUMBER(SEARCH(Kamus!$J$3:$J$118,$K498)),0)),"Individu / Perorangan"))</f>
        <v>Individu / Perorangan</v>
      </c>
      <c r="X498" s="106" t="str">
        <f t="shared" si="22"/>
        <v>09</v>
      </c>
      <c r="Y498" s="106" t="str" cm="1">
        <f t="array" ref="Y498">IFERROR(INDEX(Kamus!$N$3:$N$111,MATCH(TRUE,ISNUMBER(SEARCH(Kamus!$M$3:$M$111,$I498)),0)),"")</f>
        <v/>
      </c>
      <c r="Z498" s="106" t="str">
        <f>IF(AND(OR($X498="02",$X498="03",$X498="04"),OR($T498="Parsel/Bingkisan (tidak dirinci)",$T498="Makanan &amp; Minuman",$T498="Peralatan Rumah Tangga / Pecah Belah",$T498="Pakaian &amp; Kain")),"Momen Hari Raya (dugaan musiman)",IFERROR(VLOOKUP($W498,Kamus!$P$3:$Q$14,2,FALSE),"Tidak Teridentifikasi"))</f>
        <v>Relasi Personal / Tidak Teridentifikasi</v>
      </c>
      <c r="AA498" s="106" t="str">
        <f t="shared" si="23"/>
        <v>Relasi Personal / Tidak Teridentifikasi</v>
      </c>
    </row>
    <row r="499" spans="1:27">
      <c r="A499" s="106">
        <v>498</v>
      </c>
      <c r="B499" s="106" t="s">
        <v>2318</v>
      </c>
      <c r="C499" s="107" t="s">
        <v>2319</v>
      </c>
      <c r="D499" s="106" t="s">
        <v>1042</v>
      </c>
      <c r="E499" s="106" t="s">
        <v>1025</v>
      </c>
      <c r="F499" s="106" t="s">
        <v>3473</v>
      </c>
      <c r="G499" s="106" t="s">
        <v>1006</v>
      </c>
      <c r="H499" s="106" t="s">
        <v>3474</v>
      </c>
      <c r="I499" s="106" t="s">
        <v>3475</v>
      </c>
      <c r="K499" s="106" t="s">
        <v>3476</v>
      </c>
      <c r="L499" s="106" t="s">
        <v>3477</v>
      </c>
      <c r="O499" s="106" t="s">
        <v>274</v>
      </c>
      <c r="P499" s="106" t="s">
        <v>561</v>
      </c>
      <c r="Q499" s="106" t="s">
        <v>428</v>
      </c>
      <c r="S499" s="106" t="str" cm="1">
        <f t="array" ref="S499">IF(TRIM($D499)="","(tidak diisi)",IFERROR(INDEX(Kamus!$B$3:$B$28,MATCH(TRUE,ISNUMBER(SEARCH(Kamus!$A$3:$A$28,$D499)),0)),"Jabatan Lainnya"))</f>
        <v>Ketua Pengadilan</v>
      </c>
      <c r="T499" s="106" t="str" cm="1">
        <f t="array" ref="T499">IF(TRIM($I499)="","(tidak diisi)",IFERROR(INDEX(Kamus!$E$3:$E$162,MATCH(TRUE,ISNUMBER(SEARCH(Kamus!$D$3:$D$162,$I499)),0)),"Barang Lain / Tidak Terinci"))</f>
        <v>Makanan &amp; Minuman</v>
      </c>
      <c r="U499" s="106" t="str" cm="1">
        <f t="array" ref="U499">IF(TRIM($I499)="","(tidak diisi)",IFERROR(INDEX(Kamus!$H$3:$H$75,MATCH(TRUE,ISNUMBER(SEARCH(Kamus!$G$3:$G$75,$I499)),0)),"Pemberian Umum / Tanpa Konteks"))</f>
        <v>Pemberian Umum / Tanpa Konteks</v>
      </c>
      <c r="V499" s="106" t="str">
        <f t="shared" si="21"/>
        <v>2025</v>
      </c>
      <c r="W499" s="106" t="str" cm="1">
        <f t="array" ref="W499">IF(TRIM($K499)="","(tidak diisi)",IFERROR(INDEX(Kamus!$K$3:$K$118,MATCH(TRUE,ISNUMBER(SEARCH(Kamus!$J$3:$J$118,$K499)),0)),"Individu / Perorangan"))</f>
        <v>Individu / Perorangan</v>
      </c>
      <c r="X499" s="106" t="str">
        <f t="shared" si="22"/>
        <v>09</v>
      </c>
      <c r="Y499" s="106" t="str" cm="1">
        <f t="array" ref="Y499">IFERROR(INDEX(Kamus!$N$3:$N$111,MATCH(TRUE,ISNUMBER(SEARCH(Kamus!$M$3:$M$111,$I499)),0)),"")</f>
        <v/>
      </c>
      <c r="Z499" s="106" t="str">
        <f>IF(AND(OR($X499="02",$X499="03",$X499="04"),OR($T499="Parsel/Bingkisan (tidak dirinci)",$T499="Makanan &amp; Minuman",$T499="Peralatan Rumah Tangga / Pecah Belah",$T499="Pakaian &amp; Kain")),"Momen Hari Raya (dugaan musiman)",IFERROR(VLOOKUP($W499,Kamus!$P$3:$Q$14,2,FALSE),"Tidak Teridentifikasi"))</f>
        <v>Relasi Personal / Tidak Teridentifikasi</v>
      </c>
      <c r="AA499" s="106" t="str">
        <f t="shared" si="23"/>
        <v>Relasi Personal / Tidak Teridentifikasi</v>
      </c>
    </row>
    <row r="500" spans="1:27">
      <c r="A500" s="106">
        <v>499</v>
      </c>
      <c r="B500" s="106" t="s">
        <v>3478</v>
      </c>
      <c r="C500" s="107" t="s">
        <v>3479</v>
      </c>
      <c r="D500" s="106" t="s">
        <v>1843</v>
      </c>
      <c r="E500" s="106" t="s">
        <v>1005</v>
      </c>
      <c r="F500" s="106" t="s">
        <v>3480</v>
      </c>
      <c r="G500" s="106" t="s">
        <v>1006</v>
      </c>
      <c r="H500" s="106" t="s">
        <v>3481</v>
      </c>
      <c r="I500" s="106" t="s">
        <v>3482</v>
      </c>
      <c r="J500" s="106">
        <v>1000000</v>
      </c>
      <c r="K500" s="106" t="s">
        <v>3483</v>
      </c>
      <c r="L500" s="106" t="s">
        <v>3484</v>
      </c>
      <c r="M500" s="106" t="s">
        <v>1020</v>
      </c>
      <c r="O500" s="106" t="s">
        <v>274</v>
      </c>
      <c r="S500" s="106" t="str" cm="1">
        <f t="array" ref="S500">IF(TRIM($D500)="","(tidak diisi)",IFERROR(INDEX(Kamus!$B$3:$B$28,MATCH(TRUE,ISNUMBER(SEARCH(Kamus!$A$3:$A$28,$D500)),0)),"Jabatan Lainnya"))</f>
        <v>Ketua Pengadilan</v>
      </c>
      <c r="T500" s="106" t="str" cm="1">
        <f t="array" ref="T500">IF(TRIM($I500)="","(tidak diisi)",IFERROR(INDEX(Kamus!$E$3:$E$162,MATCH(TRUE,ISNUMBER(SEARCH(Kamus!$D$3:$D$162,$I500)),0)),"Barang Lain / Tidak Terinci"))</f>
        <v>Pakaian &amp; Kain</v>
      </c>
      <c r="U500" s="106" t="str" cm="1">
        <f t="array" ref="U500">IF(TRIM($I500)="","(tidak diisi)",IFERROR(INDEX(Kamus!$H$3:$H$75,MATCH(TRUE,ISNUMBER(SEARCH(Kamus!$G$3:$G$75,$I500)),0)),"Pemberian Umum / Tanpa Konteks"))</f>
        <v>Pemberian Umum / Tanpa Konteks</v>
      </c>
      <c r="V500" s="106" t="str">
        <f t="shared" si="21"/>
        <v>2025</v>
      </c>
      <c r="W500" s="106" t="str" cm="1">
        <f t="array" ref="W500">IF(TRIM($K500)="","(tidak diisi)",IFERROR(INDEX(Kamus!$K$3:$K$118,MATCH(TRUE,ISNUMBER(SEARCH(Kamus!$J$3:$J$118,$K500)),0)),"Individu / Perorangan"))</f>
        <v>Pemerintah Daerah</v>
      </c>
      <c r="X500" s="106" t="str">
        <f t="shared" si="22"/>
        <v>09</v>
      </c>
      <c r="Y500" s="106" t="str" cm="1">
        <f t="array" ref="Y500">IFERROR(INDEX(Kamus!$N$3:$N$111,MATCH(TRUE,ISNUMBER(SEARCH(Kamus!$M$3:$M$111,$I500)),0)),"")</f>
        <v/>
      </c>
      <c r="Z500" s="106" t="str">
        <f>IF(AND(OR($X500="02",$X500="03",$X500="04"),OR($T500="Parsel/Bingkisan (tidak dirinci)",$T500="Makanan &amp; Minuman",$T500="Peralatan Rumah Tangga / Pecah Belah",$T500="Pakaian &amp; Kain")),"Momen Hari Raya (dugaan musiman)",IFERROR(VLOOKUP($W500,Kamus!$P$3:$Q$14,2,FALSE),"Tidak Teridentifikasi"))</f>
        <v>Koordinasi Antarinstansi (dugaan)</v>
      </c>
      <c r="AA500" s="106" t="str">
        <f t="shared" si="23"/>
        <v>Koordinasi Antarinstansi (dugaan)</v>
      </c>
    </row>
    <row r="501" spans="1:27">
      <c r="A501" s="106">
        <v>500</v>
      </c>
      <c r="B501" s="106" t="s">
        <v>2249</v>
      </c>
      <c r="C501" s="107" t="s">
        <v>2250</v>
      </c>
      <c r="D501" s="106" t="s">
        <v>2251</v>
      </c>
      <c r="E501" s="106" t="s">
        <v>1294</v>
      </c>
      <c r="F501" s="106" t="s">
        <v>3485</v>
      </c>
      <c r="G501" s="106" t="s">
        <v>1006</v>
      </c>
      <c r="H501" s="106" t="s">
        <v>3486</v>
      </c>
      <c r="I501" s="106" t="s">
        <v>3487</v>
      </c>
      <c r="K501" s="106" t="s">
        <v>3488</v>
      </c>
      <c r="L501" s="106" t="s">
        <v>3489</v>
      </c>
      <c r="O501" s="106" t="s">
        <v>274</v>
      </c>
      <c r="P501" s="106" t="s">
        <v>1298</v>
      </c>
      <c r="Q501" s="106" t="s">
        <v>428</v>
      </c>
      <c r="S501" s="106" t="str" cm="1">
        <f t="array" ref="S501">IF(TRIM($D501)="","(tidak diisi)",IFERROR(INDEX(Kamus!$B$3:$B$28,MATCH(TRUE,ISNUMBER(SEARCH(Kamus!$A$3:$A$28,$D501)),0)),"Jabatan Lainnya"))</f>
        <v>Wakil Ketua Pengadilan</v>
      </c>
      <c r="T501" s="106" t="str" cm="1">
        <f t="array" ref="T501">IF(TRIM($I501)="","(tidak diisi)",IFERROR(INDEX(Kamus!$E$3:$E$162,MATCH(TRUE,ISNUMBER(SEARCH(Kamus!$D$3:$D$162,$I501)),0)),"Barang Lain / Tidak Terinci"))</f>
        <v>Makanan &amp; Minuman</v>
      </c>
      <c r="U501" s="106" t="str" cm="1">
        <f t="array" ref="U501">IF(TRIM($I501)="","(tidak diisi)",IFERROR(INDEX(Kamus!$H$3:$H$75,MATCH(TRUE,ISNUMBER(SEARCH(Kamus!$G$3:$G$75,$I501)),0)),"Pemberian Umum / Tanpa Konteks"))</f>
        <v>Pemberian Umum / Tanpa Konteks</v>
      </c>
      <c r="V501" s="106" t="str">
        <f t="shared" si="21"/>
        <v>2025</v>
      </c>
      <c r="W501" s="106" t="str" cm="1">
        <f t="array" ref="W501">IF(TRIM($K501)="","(tidak diisi)",IFERROR(INDEX(Kamus!$K$3:$K$118,MATCH(TRUE,ISNUMBER(SEARCH(Kamus!$J$3:$J$118,$K501)),0)),"Individu / Perorangan"))</f>
        <v>Individu / Perorangan</v>
      </c>
      <c r="X501" s="106" t="str">
        <f t="shared" si="22"/>
        <v>09</v>
      </c>
      <c r="Y501" s="106" t="str" cm="1">
        <f t="array" ref="Y501">IFERROR(INDEX(Kamus!$N$3:$N$111,MATCH(TRUE,ISNUMBER(SEARCH(Kamus!$M$3:$M$111,$I501)),0)),"")</f>
        <v/>
      </c>
      <c r="Z501" s="106" t="str">
        <f>IF(AND(OR($X501="02",$X501="03",$X501="04"),OR($T501="Parsel/Bingkisan (tidak dirinci)",$T501="Makanan &amp; Minuman",$T501="Peralatan Rumah Tangga / Pecah Belah",$T501="Pakaian &amp; Kain")),"Momen Hari Raya (dugaan musiman)",IFERROR(VLOOKUP($W501,Kamus!$P$3:$Q$14,2,FALSE),"Tidak Teridentifikasi"))</f>
        <v>Relasi Personal / Tidak Teridentifikasi</v>
      </c>
      <c r="AA501" s="106" t="str">
        <f t="shared" si="23"/>
        <v>Relasi Personal / Tidak Teridentifikasi</v>
      </c>
    </row>
    <row r="502" spans="1:27">
      <c r="A502" s="106">
        <v>501</v>
      </c>
      <c r="B502" s="106" t="s">
        <v>3490</v>
      </c>
      <c r="C502" s="107" t="s">
        <v>3491</v>
      </c>
      <c r="D502" s="106" t="s">
        <v>3492</v>
      </c>
      <c r="E502" s="106" t="s">
        <v>3493</v>
      </c>
      <c r="F502" s="106" t="s">
        <v>3494</v>
      </c>
      <c r="G502" s="106" t="s">
        <v>1006</v>
      </c>
      <c r="H502" s="106" t="s">
        <v>3461</v>
      </c>
      <c r="I502" s="106" t="s">
        <v>3495</v>
      </c>
      <c r="J502" s="106">
        <v>35000</v>
      </c>
      <c r="K502" s="106" t="s">
        <v>3496</v>
      </c>
      <c r="L502" s="106" t="s">
        <v>3497</v>
      </c>
      <c r="M502" s="106" t="s">
        <v>1039</v>
      </c>
      <c r="O502" s="106" t="s">
        <v>274</v>
      </c>
      <c r="P502" s="106" t="s">
        <v>3498</v>
      </c>
      <c r="Q502" s="106" t="s">
        <v>433</v>
      </c>
      <c r="S502" s="106" t="str" cm="1">
        <f t="array" ref="S502">IF(TRIM($D502)="","(tidak diisi)",IFERROR(INDEX(Kamus!$B$3:$B$28,MATCH(TRUE,ISNUMBER(SEARCH(Kamus!$A$3:$A$28,$D502)),0)),"Jabatan Lainnya"))</f>
        <v>Staf/Pegawai Pelaksana</v>
      </c>
      <c r="T502" s="106" t="str" cm="1">
        <f t="array" ref="T502">IF(TRIM($I502)="","(tidak diisi)",IFERROR(INDEX(Kamus!$E$3:$E$162,MATCH(TRUE,ISNUMBER(SEARCH(Kamus!$D$3:$D$162,$I502)),0)),"Barang Lain / Tidak Terinci"))</f>
        <v>Barang Lain / Tidak Terinci</v>
      </c>
      <c r="U502" s="106" t="str" cm="1">
        <f t="array" ref="U502">IF(TRIM($I502)="","(tidak diisi)",IFERROR(INDEX(Kamus!$H$3:$H$75,MATCH(TRUE,ISNUMBER(SEARCH(Kamus!$G$3:$G$75,$I502)),0)),"Pemberian Umum / Tanpa Konteks"))</f>
        <v>Suvenir / Merchandise Kegiatan &amp; Kunjungan</v>
      </c>
      <c r="V502" s="106" t="str">
        <f t="shared" si="21"/>
        <v>2025</v>
      </c>
      <c r="W502" s="106" t="str" cm="1">
        <f t="array" ref="W502">IF(TRIM($K502)="","(tidak diisi)",IFERROR(INDEX(Kamus!$K$3:$K$118,MATCH(TRUE,ISNUMBER(SEARCH(Kamus!$J$3:$J$118,$K502)),0)),"Individu / Perorangan"))</f>
        <v>Individu / Perorangan</v>
      </c>
      <c r="X502" s="106" t="str">
        <f t="shared" si="22"/>
        <v>09</v>
      </c>
      <c r="Y502" s="106" t="str" cm="1">
        <f t="array" ref="Y502">IFERROR(INDEX(Kamus!$N$3:$N$111,MATCH(TRUE,ISNUMBER(SEARCH(Kamus!$M$3:$M$111,$I502)),0)),"")</f>
        <v/>
      </c>
      <c r="Z502" s="106" t="str">
        <f>IF(AND(OR($X502="02",$X502="03",$X502="04"),OR($T502="Parsel/Bingkisan (tidak dirinci)",$T502="Makanan &amp; Minuman",$T502="Peralatan Rumah Tangga / Pecah Belah",$T502="Pakaian &amp; Kain")),"Momen Hari Raya (dugaan musiman)",IFERROR(VLOOKUP($W502,Kamus!$P$3:$Q$14,2,FALSE),"Tidak Teridentifikasi"))</f>
        <v>Relasi Personal / Tidak Teridentifikasi</v>
      </c>
      <c r="AA502" s="106" t="str">
        <f t="shared" si="23"/>
        <v>Relasi Personal / Tidak Teridentifikasi</v>
      </c>
    </row>
    <row r="503" spans="1:27">
      <c r="A503" s="106">
        <v>502</v>
      </c>
      <c r="B503" s="106" t="s">
        <v>3490</v>
      </c>
      <c r="C503" s="107" t="s">
        <v>3491</v>
      </c>
      <c r="D503" s="106" t="s">
        <v>3492</v>
      </c>
      <c r="E503" s="106" t="s">
        <v>3493</v>
      </c>
      <c r="F503" s="106" t="s">
        <v>3499</v>
      </c>
      <c r="G503" s="106" t="s">
        <v>1006</v>
      </c>
      <c r="H503" s="106" t="s">
        <v>3500</v>
      </c>
      <c r="I503" s="106" t="s">
        <v>3501</v>
      </c>
      <c r="J503" s="106">
        <v>40000</v>
      </c>
      <c r="K503" s="106" t="s">
        <v>3502</v>
      </c>
      <c r="L503" s="106" t="s">
        <v>3503</v>
      </c>
      <c r="M503" s="106" t="s">
        <v>1039</v>
      </c>
      <c r="O503" s="106" t="s">
        <v>274</v>
      </c>
      <c r="P503" s="106" t="s">
        <v>3498</v>
      </c>
      <c r="Q503" s="106" t="s">
        <v>433</v>
      </c>
      <c r="S503" s="106" t="str" cm="1">
        <f t="array" ref="S503">IF(TRIM($D503)="","(tidak diisi)",IFERROR(INDEX(Kamus!$B$3:$B$28,MATCH(TRUE,ISNUMBER(SEARCH(Kamus!$A$3:$A$28,$D503)),0)),"Jabatan Lainnya"))</f>
        <v>Staf/Pegawai Pelaksana</v>
      </c>
      <c r="T503" s="106" t="str" cm="1">
        <f t="array" ref="T503">IF(TRIM($I503)="","(tidak diisi)",IFERROR(INDEX(Kamus!$E$3:$E$162,MATCH(TRUE,ISNUMBER(SEARCH(Kamus!$D$3:$D$162,$I503)),0)),"Barang Lain / Tidak Terinci"))</f>
        <v>Pakaian &amp; Kain</v>
      </c>
      <c r="U503" s="106" t="str" cm="1">
        <f t="array" ref="U503">IF(TRIM($I503)="","(tidak diisi)",IFERROR(INDEX(Kamus!$H$3:$H$75,MATCH(TRUE,ISNUMBER(SEARCH(Kamus!$G$3:$G$75,$I503)),0)),"Pemberian Umum / Tanpa Konteks"))</f>
        <v>Bingkisan Hari Raya / Keagamaan</v>
      </c>
      <c r="V503" s="106" t="str">
        <f t="shared" si="21"/>
        <v>2025</v>
      </c>
      <c r="W503" s="106" t="str" cm="1">
        <f t="array" ref="W503">IF(TRIM($K503)="","(tidak diisi)",IFERROR(INDEX(Kamus!$K$3:$K$118,MATCH(TRUE,ISNUMBER(SEARCH(Kamus!$J$3:$J$118,$K503)),0)),"Individu / Perorangan"))</f>
        <v>Individu / Perorangan</v>
      </c>
      <c r="X503" s="106" t="str">
        <f t="shared" si="22"/>
        <v>09</v>
      </c>
      <c r="Y503" s="106" t="str" cm="1">
        <f t="array" ref="Y503">IFERROR(INDEX(Kamus!$N$3:$N$111,MATCH(TRUE,ISNUMBER(SEARCH(Kamus!$M$3:$M$111,$I503)),0)),"")</f>
        <v>Momen Hari Raya (Ramadan/Idulfitri)</v>
      </c>
      <c r="Z503" s="106" t="str">
        <f>IF(AND(OR($X503="02",$X503="03",$X503="04"),OR($T503="Parsel/Bingkisan (tidak dirinci)",$T503="Makanan &amp; Minuman",$T503="Peralatan Rumah Tangga / Pecah Belah",$T503="Pakaian &amp; Kain")),"Momen Hari Raya (dugaan musiman)",IFERROR(VLOOKUP($W503,Kamus!$P$3:$Q$14,2,FALSE),"Tidak Teridentifikasi"))</f>
        <v>Relasi Personal / Tidak Teridentifikasi</v>
      </c>
      <c r="AA503" s="106" t="str">
        <f t="shared" si="23"/>
        <v>Momen Hari Raya (Ramadan/Idulfitri)</v>
      </c>
    </row>
    <row r="504" spans="1:27">
      <c r="A504" s="106">
        <v>503</v>
      </c>
      <c r="B504" s="106" t="s">
        <v>3504</v>
      </c>
      <c r="C504" s="107" t="s">
        <v>3505</v>
      </c>
      <c r="D504" s="106" t="s">
        <v>3506</v>
      </c>
      <c r="E504" s="106" t="s">
        <v>3493</v>
      </c>
      <c r="F504" s="106" t="s">
        <v>3507</v>
      </c>
      <c r="G504" s="106" t="s">
        <v>1006</v>
      </c>
      <c r="H504" s="106" t="s">
        <v>3500</v>
      </c>
      <c r="I504" s="106" t="s">
        <v>3508</v>
      </c>
      <c r="J504" s="106">
        <v>50000</v>
      </c>
      <c r="K504" s="106" t="s">
        <v>3502</v>
      </c>
      <c r="L504" s="106" t="s">
        <v>3509</v>
      </c>
      <c r="M504" s="106" t="s">
        <v>1039</v>
      </c>
      <c r="O504" s="106" t="s">
        <v>274</v>
      </c>
      <c r="P504" s="106" t="s">
        <v>3498</v>
      </c>
      <c r="Q504" s="106" t="s">
        <v>433</v>
      </c>
      <c r="S504" s="106" t="str" cm="1">
        <f t="array" ref="S504">IF(TRIM($D504)="","(tidak diisi)",IFERROR(INDEX(Kamus!$B$3:$B$28,MATCH(TRUE,ISNUMBER(SEARCH(Kamus!$A$3:$A$28,$D504)),0)),"Jabatan Lainnya"))</f>
        <v>Ketua Pengadilan</v>
      </c>
      <c r="T504" s="106" t="str" cm="1">
        <f t="array" ref="T504">IF(TRIM($I504)="","(tidak diisi)",IFERROR(INDEX(Kamus!$E$3:$E$162,MATCH(TRUE,ISNUMBER(SEARCH(Kamus!$D$3:$D$162,$I504)),0)),"Barang Lain / Tidak Terinci"))</f>
        <v>Pakaian &amp; Kain</v>
      </c>
      <c r="U504" s="106" t="str" cm="1">
        <f t="array" ref="U504">IF(TRIM($I504)="","(tidak diisi)",IFERROR(INDEX(Kamus!$H$3:$H$75,MATCH(TRUE,ISNUMBER(SEARCH(Kamus!$G$3:$G$75,$I504)),0)),"Pemberian Umum / Tanpa Konteks"))</f>
        <v>Pemberian Umum / Tanpa Konteks</v>
      </c>
      <c r="V504" s="106" t="str">
        <f t="shared" si="21"/>
        <v>2025</v>
      </c>
      <c r="W504" s="106" t="str" cm="1">
        <f t="array" ref="W504">IF(TRIM($K504)="","(tidak diisi)",IFERROR(INDEX(Kamus!$K$3:$K$118,MATCH(TRUE,ISNUMBER(SEARCH(Kamus!$J$3:$J$118,$K504)),0)),"Individu / Perorangan"))</f>
        <v>Individu / Perorangan</v>
      </c>
      <c r="X504" s="106" t="str">
        <f t="shared" si="22"/>
        <v>09</v>
      </c>
      <c r="Y504" s="106" t="str" cm="1">
        <f t="array" ref="Y504">IFERROR(INDEX(Kamus!$N$3:$N$111,MATCH(TRUE,ISNUMBER(SEARCH(Kamus!$M$3:$M$111,$I504)),0)),"")</f>
        <v/>
      </c>
      <c r="Z504" s="106" t="str">
        <f>IF(AND(OR($X504="02",$X504="03",$X504="04"),OR($T504="Parsel/Bingkisan (tidak dirinci)",$T504="Makanan &amp; Minuman",$T504="Peralatan Rumah Tangga / Pecah Belah",$T504="Pakaian &amp; Kain")),"Momen Hari Raya (dugaan musiman)",IFERROR(VLOOKUP($W504,Kamus!$P$3:$Q$14,2,FALSE),"Tidak Teridentifikasi"))</f>
        <v>Relasi Personal / Tidak Teridentifikasi</v>
      </c>
      <c r="AA504" s="106" t="str">
        <f t="shared" si="23"/>
        <v>Relasi Personal / Tidak Teridentifikasi</v>
      </c>
    </row>
    <row r="505" spans="1:27">
      <c r="A505" s="106">
        <v>504</v>
      </c>
      <c r="B505" s="106" t="s">
        <v>3504</v>
      </c>
      <c r="C505" s="107" t="s">
        <v>3505</v>
      </c>
      <c r="D505" s="106" t="s">
        <v>3506</v>
      </c>
      <c r="E505" s="106" t="s">
        <v>3493</v>
      </c>
      <c r="F505" s="106" t="s">
        <v>3507</v>
      </c>
      <c r="G505" s="106" t="s">
        <v>1006</v>
      </c>
      <c r="H505" s="106" t="s">
        <v>3461</v>
      </c>
      <c r="I505" s="106" t="s">
        <v>3510</v>
      </c>
      <c r="J505" s="106">
        <v>35000</v>
      </c>
      <c r="K505" s="106" t="s">
        <v>3511</v>
      </c>
      <c r="L505" s="106" t="s">
        <v>3509</v>
      </c>
      <c r="M505" s="106" t="s">
        <v>1039</v>
      </c>
      <c r="O505" s="106" t="s">
        <v>274</v>
      </c>
      <c r="P505" s="106" t="s">
        <v>3498</v>
      </c>
      <c r="Q505" s="106" t="s">
        <v>433</v>
      </c>
      <c r="S505" s="106" t="str" cm="1">
        <f t="array" ref="S505">IF(TRIM($D505)="","(tidak diisi)",IFERROR(INDEX(Kamus!$B$3:$B$28,MATCH(TRUE,ISNUMBER(SEARCH(Kamus!$A$3:$A$28,$D505)),0)),"Jabatan Lainnya"))</f>
        <v>Ketua Pengadilan</v>
      </c>
      <c r="T505" s="106" t="str" cm="1">
        <f t="array" ref="T505">IF(TRIM($I505)="","(tidak diisi)",IFERROR(INDEX(Kamus!$E$3:$E$162,MATCH(TRUE,ISNUMBER(SEARCH(Kamus!$D$3:$D$162,$I505)),0)),"Barang Lain / Tidak Terinci"))</f>
        <v>Barang Lain / Tidak Terinci</v>
      </c>
      <c r="U505" s="106" t="str" cm="1">
        <f t="array" ref="U505">IF(TRIM($I505)="","(tidak diisi)",IFERROR(INDEX(Kamus!$H$3:$H$75,MATCH(TRUE,ISNUMBER(SEARCH(Kamus!$G$3:$G$75,$I505)),0)),"Pemberian Umum / Tanpa Konteks"))</f>
        <v>Suvenir / Merchandise Kegiatan &amp; Kunjungan</v>
      </c>
      <c r="V505" s="106" t="str">
        <f t="shared" si="21"/>
        <v>2025</v>
      </c>
      <c r="W505" s="106" t="str" cm="1">
        <f t="array" ref="W505">IF(TRIM($K505)="","(tidak diisi)",IFERROR(INDEX(Kamus!$K$3:$K$118,MATCH(TRUE,ISNUMBER(SEARCH(Kamus!$J$3:$J$118,$K505)),0)),"Individu / Perorangan"))</f>
        <v>Individu / Perorangan</v>
      </c>
      <c r="X505" s="106" t="str">
        <f t="shared" si="22"/>
        <v>09</v>
      </c>
      <c r="Y505" s="106" t="str" cm="1">
        <f t="array" ref="Y505">IFERROR(INDEX(Kamus!$N$3:$N$111,MATCH(TRUE,ISNUMBER(SEARCH(Kamus!$M$3:$M$111,$I505)),0)),"")</f>
        <v/>
      </c>
      <c r="Z505" s="106" t="str">
        <f>IF(AND(OR($X505="02",$X505="03",$X505="04"),OR($T505="Parsel/Bingkisan (tidak dirinci)",$T505="Makanan &amp; Minuman",$T505="Peralatan Rumah Tangga / Pecah Belah",$T505="Pakaian &amp; Kain")),"Momen Hari Raya (dugaan musiman)",IFERROR(VLOOKUP($W505,Kamus!$P$3:$Q$14,2,FALSE),"Tidak Teridentifikasi"))</f>
        <v>Relasi Personal / Tidak Teridentifikasi</v>
      </c>
      <c r="AA505" s="106" t="str">
        <f t="shared" si="23"/>
        <v>Relasi Personal / Tidak Teridentifikasi</v>
      </c>
    </row>
    <row r="506" spans="1:27">
      <c r="A506" s="106">
        <v>505</v>
      </c>
      <c r="B506" s="106" t="s">
        <v>3512</v>
      </c>
      <c r="C506" s="107" t="s">
        <v>3513</v>
      </c>
      <c r="D506" s="106" t="s">
        <v>3514</v>
      </c>
      <c r="E506" s="106" t="s">
        <v>3515</v>
      </c>
      <c r="G506" s="106" t="s">
        <v>1006</v>
      </c>
      <c r="L506" s="106" t="s">
        <v>3516</v>
      </c>
      <c r="O506" s="106" t="s">
        <v>274</v>
      </c>
      <c r="P506" s="106" t="s">
        <v>3517</v>
      </c>
      <c r="Q506" s="106" t="s">
        <v>437</v>
      </c>
      <c r="S506" s="106" t="str" cm="1">
        <f t="array" ref="S506">IF(TRIM($D506)="","(tidak diisi)",IFERROR(INDEX(Kamus!$B$3:$B$28,MATCH(TRUE,ISNUMBER(SEARCH(Kamus!$A$3:$A$28,$D506)),0)),"Jabatan Lainnya"))</f>
        <v>Ketua Pengadilan</v>
      </c>
      <c r="T506" s="106" t="str" cm="1">
        <f t="array" ref="T506">IF(TRIM($I506)="","(tidak diisi)",IFERROR(INDEX(Kamus!$E$3:$E$162,MATCH(TRUE,ISNUMBER(SEARCH(Kamus!$D$3:$D$162,$I506)),0)),"Barang Lain / Tidak Terinci"))</f>
        <v>(tidak diisi)</v>
      </c>
      <c r="U506" s="106" t="str" cm="1">
        <f t="array" ref="U506">IF(TRIM($I506)="","(tidak diisi)",IFERROR(INDEX(Kamus!$H$3:$H$75,MATCH(TRUE,ISNUMBER(SEARCH(Kamus!$G$3:$G$75,$I506)),0)),"Pemberian Umum / Tanpa Konteks"))</f>
        <v>(tidak diisi)</v>
      </c>
      <c r="V506" s="106" t="str">
        <f t="shared" si="21"/>
        <v>(tidak diisi)</v>
      </c>
      <c r="W506" s="106" t="str" cm="1">
        <f t="array" ref="W506">IF(TRIM($K506)="","(tidak diisi)",IFERROR(INDEX(Kamus!$K$3:$K$118,MATCH(TRUE,ISNUMBER(SEARCH(Kamus!$J$3:$J$118,$K506)),0)),"Individu / Perorangan"))</f>
        <v>(tidak diisi)</v>
      </c>
      <c r="X506" s="106" t="str">
        <f t="shared" si="22"/>
        <v>(tidak diisi)</v>
      </c>
      <c r="Y506" s="106" t="str" cm="1">
        <f t="array" ref="Y506">IFERROR(INDEX(Kamus!$N$3:$N$111,MATCH(TRUE,ISNUMBER(SEARCH(Kamus!$M$3:$M$111,$I506)),0)),"")</f>
        <v/>
      </c>
      <c r="Z506" s="106" t="str">
        <f>IF(AND(OR($X506="02",$X506="03",$X506="04"),OR($T506="Parsel/Bingkisan (tidak dirinci)",$T506="Makanan &amp; Minuman",$T506="Peralatan Rumah Tangga / Pecah Belah",$T506="Pakaian &amp; Kain")),"Momen Hari Raya (dugaan musiman)",IFERROR(VLOOKUP($W506,Kamus!$P$3:$Q$14,2,FALSE),"Tidak Teridentifikasi"))</f>
        <v>Tidak Teridentifikasi</v>
      </c>
      <c r="AA506" s="106" t="str">
        <f t="shared" si="23"/>
        <v>Tidak Teridentifikasi</v>
      </c>
    </row>
    <row r="507" spans="1:27">
      <c r="A507" s="106">
        <v>506</v>
      </c>
      <c r="B507" s="106" t="s">
        <v>1022</v>
      </c>
      <c r="C507" s="107" t="s">
        <v>1023</v>
      </c>
      <c r="D507" s="106" t="s">
        <v>1024</v>
      </c>
      <c r="E507" s="106" t="s">
        <v>1025</v>
      </c>
      <c r="F507" s="106" t="s">
        <v>3518</v>
      </c>
      <c r="G507" s="106" t="s">
        <v>1006</v>
      </c>
      <c r="H507" s="106" t="s">
        <v>3519</v>
      </c>
      <c r="I507" s="106" t="s">
        <v>3520</v>
      </c>
      <c r="K507" s="106" t="s">
        <v>3521</v>
      </c>
      <c r="L507" s="106" t="s">
        <v>3522</v>
      </c>
      <c r="O507" s="106" t="s">
        <v>274</v>
      </c>
      <c r="P507" s="106" t="s">
        <v>561</v>
      </c>
      <c r="Q507" s="106" t="s">
        <v>428</v>
      </c>
      <c r="S507" s="106" t="str" cm="1">
        <f t="array" ref="S507">IF(TRIM($D507)="","(tidak diisi)",IFERROR(INDEX(Kamus!$B$3:$B$28,MATCH(TRUE,ISNUMBER(SEARCH(Kamus!$A$3:$A$28,$D507)),0)),"Jabatan Lainnya"))</f>
        <v>Sekretaris</v>
      </c>
      <c r="T507" s="106" t="str" cm="1">
        <f t="array" ref="T507">IF(TRIM($I507)="","(tidak diisi)",IFERROR(INDEX(Kamus!$E$3:$E$162,MATCH(TRUE,ISNUMBER(SEARCH(Kamus!$D$3:$D$162,$I507)),0)),"Barang Lain / Tidak Terinci"))</f>
        <v>Peralatan Rumah Tangga / Pecah Belah</v>
      </c>
      <c r="U507" s="106" t="str" cm="1">
        <f t="array" ref="U507">IF(TRIM($I507)="","(tidak diisi)",IFERROR(INDEX(Kamus!$H$3:$H$75,MATCH(TRUE,ISNUMBER(SEARCH(Kamus!$G$3:$G$75,$I507)),0)),"Pemberian Umum / Tanpa Konteks"))</f>
        <v>Pemberian Umum / Tanpa Konteks</v>
      </c>
      <c r="V507" s="106" t="str">
        <f t="shared" si="21"/>
        <v>2025</v>
      </c>
      <c r="W507" s="106" t="str" cm="1">
        <f t="array" ref="W507">IF(TRIM($K507)="","(tidak diisi)",IFERROR(INDEX(Kamus!$K$3:$K$118,MATCH(TRUE,ISNUMBER(SEARCH(Kamus!$J$3:$J$118,$K507)),0)),"Individu / Perorangan"))</f>
        <v>Individu / Perorangan</v>
      </c>
      <c r="X507" s="106" t="str">
        <f t="shared" si="22"/>
        <v>09</v>
      </c>
      <c r="Y507" s="106" t="str" cm="1">
        <f t="array" ref="Y507">IFERROR(INDEX(Kamus!$N$3:$N$111,MATCH(TRUE,ISNUMBER(SEARCH(Kamus!$M$3:$M$111,$I507)),0)),"")</f>
        <v/>
      </c>
      <c r="Z507" s="106" t="str">
        <f>IF(AND(OR($X507="02",$X507="03",$X507="04"),OR($T507="Parsel/Bingkisan (tidak dirinci)",$T507="Makanan &amp; Minuman",$T507="Peralatan Rumah Tangga / Pecah Belah",$T507="Pakaian &amp; Kain")),"Momen Hari Raya (dugaan musiman)",IFERROR(VLOOKUP($W507,Kamus!$P$3:$Q$14,2,FALSE),"Tidak Teridentifikasi"))</f>
        <v>Relasi Personal / Tidak Teridentifikasi</v>
      </c>
      <c r="AA507" s="106" t="str">
        <f t="shared" si="23"/>
        <v>Relasi Personal / Tidak Teridentifikasi</v>
      </c>
    </row>
    <row r="508" spans="1:27">
      <c r="A508" s="106">
        <v>507</v>
      </c>
      <c r="B508" s="106" t="s">
        <v>3523</v>
      </c>
      <c r="C508" s="107" t="s">
        <v>3524</v>
      </c>
      <c r="D508" s="106" t="s">
        <v>3525</v>
      </c>
      <c r="E508" s="106" t="s">
        <v>3341</v>
      </c>
      <c r="F508" s="106" t="s">
        <v>3526</v>
      </c>
      <c r="G508" s="106" t="s">
        <v>1074</v>
      </c>
      <c r="H508" s="106" t="s">
        <v>3429</v>
      </c>
      <c r="I508" s="106" t="s">
        <v>1017</v>
      </c>
      <c r="K508" s="106" t="s">
        <v>3527</v>
      </c>
      <c r="L508" s="106" t="s">
        <v>3528</v>
      </c>
      <c r="O508" s="106" t="s">
        <v>274</v>
      </c>
      <c r="P508" s="106" t="s">
        <v>583</v>
      </c>
      <c r="Q508" s="106" t="s">
        <v>302</v>
      </c>
      <c r="S508" s="106" t="str" cm="1">
        <f t="array" ref="S508">IF(TRIM($D508)="","(tidak diisi)",IFERROR(INDEX(Kamus!$B$3:$B$28,MATCH(TRUE,ISNUMBER(SEARCH(Kamus!$A$3:$A$28,$D508)),0)),"Jabatan Lainnya"))</f>
        <v>Staf/Pegawai Pelaksana</v>
      </c>
      <c r="T508" s="106" t="str" cm="1">
        <f t="array" ref="T508">IF(TRIM($I508)="","(tidak diisi)",IFERROR(INDEX(Kamus!$E$3:$E$162,MATCH(TRUE,ISNUMBER(SEARCH(Kamus!$D$3:$D$162,$I508)),0)),"Barang Lain / Tidak Terinci"))</f>
        <v>Uang &amp; Setara Uang</v>
      </c>
      <c r="U508" s="106" t="str" cm="1">
        <f t="array" ref="U508">IF(TRIM($I508)="","(tidak diisi)",IFERROR(INDEX(Kamus!$H$3:$H$75,MATCH(TRUE,ISNUMBER(SEARCH(Kamus!$G$3:$G$75,$I508)),0)),"Pemberian Umum / Tanpa Konteks"))</f>
        <v>Pemberian Uang Langsung</v>
      </c>
      <c r="V508" s="106" t="str">
        <f t="shared" si="21"/>
        <v>2025</v>
      </c>
      <c r="W508" s="106" t="str" cm="1">
        <f t="array" ref="W508">IF(TRIM($K508)="","(tidak diisi)",IFERROR(INDEX(Kamus!$K$3:$K$118,MATCH(TRUE,ISNUMBER(SEARCH(Kamus!$J$3:$J$118,$K508)),0)),"Individu / Perorangan"))</f>
        <v>Internal Peradilan / Instansi Sendiri</v>
      </c>
      <c r="X508" s="106" t="str">
        <f t="shared" si="22"/>
        <v>09</v>
      </c>
      <c r="Y508" s="106" t="str" cm="1">
        <f t="array" ref="Y508">IFERROR(INDEX(Kamus!$N$3:$N$111,MATCH(TRUE,ISNUMBER(SEARCH(Kamus!$M$3:$M$111,$I508)),0)),"")</f>
        <v/>
      </c>
      <c r="Z508" s="106" t="str">
        <f>IF(AND(OR($X508="02",$X508="03",$X508="04"),OR($T508="Parsel/Bingkisan (tidak dirinci)",$T508="Makanan &amp; Minuman",$T508="Peralatan Rumah Tangga / Pecah Belah",$T508="Pakaian &amp; Kain")),"Momen Hari Raya (dugaan musiman)",IFERROR(VLOOKUP($W508,Kamus!$P$3:$Q$14,2,FALSE),"Tidak Teridentifikasi"))</f>
        <v>Kunjungan/Koordinasi Internal Peradilan (dugaan)</v>
      </c>
      <c r="AA508" s="106" t="str">
        <f t="shared" si="23"/>
        <v>Kunjungan/Koordinasi Internal Peradilan (dugaan)</v>
      </c>
    </row>
    <row r="509" spans="1:27">
      <c r="A509" s="106">
        <v>508</v>
      </c>
      <c r="B509" s="106" t="s">
        <v>3523</v>
      </c>
      <c r="C509" s="107" t="s">
        <v>3524</v>
      </c>
      <c r="D509" s="106" t="s">
        <v>3525</v>
      </c>
      <c r="E509" s="106" t="s">
        <v>3341</v>
      </c>
      <c r="F509" s="106" t="s">
        <v>3529</v>
      </c>
      <c r="G509" s="106" t="s">
        <v>1074</v>
      </c>
      <c r="H509" s="106" t="s">
        <v>3530</v>
      </c>
      <c r="I509" s="106" t="s">
        <v>1017</v>
      </c>
      <c r="K509" s="106" t="s">
        <v>3527</v>
      </c>
      <c r="L509" s="106" t="s">
        <v>3531</v>
      </c>
      <c r="O509" s="106" t="s">
        <v>274</v>
      </c>
      <c r="P509" s="106" t="s">
        <v>583</v>
      </c>
      <c r="Q509" s="106" t="s">
        <v>302</v>
      </c>
      <c r="S509" s="106" t="str" cm="1">
        <f t="array" ref="S509">IF(TRIM($D509)="","(tidak diisi)",IFERROR(INDEX(Kamus!$B$3:$B$28,MATCH(TRUE,ISNUMBER(SEARCH(Kamus!$A$3:$A$28,$D509)),0)),"Jabatan Lainnya"))</f>
        <v>Staf/Pegawai Pelaksana</v>
      </c>
      <c r="T509" s="106" t="str" cm="1">
        <f t="array" ref="T509">IF(TRIM($I509)="","(tidak diisi)",IFERROR(INDEX(Kamus!$E$3:$E$162,MATCH(TRUE,ISNUMBER(SEARCH(Kamus!$D$3:$D$162,$I509)),0)),"Barang Lain / Tidak Terinci"))</f>
        <v>Uang &amp; Setara Uang</v>
      </c>
      <c r="U509" s="106" t="str" cm="1">
        <f t="array" ref="U509">IF(TRIM($I509)="","(tidak diisi)",IFERROR(INDEX(Kamus!$H$3:$H$75,MATCH(TRUE,ISNUMBER(SEARCH(Kamus!$G$3:$G$75,$I509)),0)),"Pemberian Umum / Tanpa Konteks"))</f>
        <v>Pemberian Uang Langsung</v>
      </c>
      <c r="V509" s="106" t="str">
        <f t="shared" si="21"/>
        <v>2025</v>
      </c>
      <c r="W509" s="106" t="str" cm="1">
        <f t="array" ref="W509">IF(TRIM($K509)="","(tidak diisi)",IFERROR(INDEX(Kamus!$K$3:$K$118,MATCH(TRUE,ISNUMBER(SEARCH(Kamus!$J$3:$J$118,$K509)),0)),"Individu / Perorangan"))</f>
        <v>Internal Peradilan / Instansi Sendiri</v>
      </c>
      <c r="X509" s="106" t="str">
        <f t="shared" si="22"/>
        <v>09</v>
      </c>
      <c r="Y509" s="106" t="str" cm="1">
        <f t="array" ref="Y509">IFERROR(INDEX(Kamus!$N$3:$N$111,MATCH(TRUE,ISNUMBER(SEARCH(Kamus!$M$3:$M$111,$I509)),0)),"")</f>
        <v/>
      </c>
      <c r="Z509" s="106" t="str">
        <f>IF(AND(OR($X509="02",$X509="03",$X509="04"),OR($T509="Parsel/Bingkisan (tidak dirinci)",$T509="Makanan &amp; Minuman",$T509="Peralatan Rumah Tangga / Pecah Belah",$T509="Pakaian &amp; Kain")),"Momen Hari Raya (dugaan musiman)",IFERROR(VLOOKUP($W509,Kamus!$P$3:$Q$14,2,FALSE),"Tidak Teridentifikasi"))</f>
        <v>Kunjungan/Koordinasi Internal Peradilan (dugaan)</v>
      </c>
      <c r="AA509" s="106" t="str">
        <f t="shared" si="23"/>
        <v>Kunjungan/Koordinasi Internal Peradilan (dugaan)</v>
      </c>
    </row>
    <row r="510" spans="1:27">
      <c r="A510" s="106">
        <v>509</v>
      </c>
      <c r="B510" s="106" t="s">
        <v>3532</v>
      </c>
      <c r="C510" s="107" t="s">
        <v>3533</v>
      </c>
      <c r="D510" s="106" t="s">
        <v>1042</v>
      </c>
      <c r="E510" s="106" t="s">
        <v>3534</v>
      </c>
      <c r="F510" s="106" t="s">
        <v>3535</v>
      </c>
      <c r="G510" s="106" t="s">
        <v>1006</v>
      </c>
      <c r="H510" s="106" t="s">
        <v>3433</v>
      </c>
      <c r="I510" s="106" t="s">
        <v>3536</v>
      </c>
      <c r="J510" s="106">
        <v>300000</v>
      </c>
      <c r="K510" s="106" t="s">
        <v>3537</v>
      </c>
      <c r="L510" s="106" t="s">
        <v>3538</v>
      </c>
      <c r="M510" s="106" t="s">
        <v>1171</v>
      </c>
      <c r="N510" s="106" t="s">
        <v>3539</v>
      </c>
      <c r="O510" s="106" t="s">
        <v>274</v>
      </c>
      <c r="P510" s="106" t="s">
        <v>3540</v>
      </c>
      <c r="Q510" s="106" t="s">
        <v>302</v>
      </c>
      <c r="S510" s="106" t="str" cm="1">
        <f t="array" ref="S510">IF(TRIM($D510)="","(tidak diisi)",IFERROR(INDEX(Kamus!$B$3:$B$28,MATCH(TRUE,ISNUMBER(SEARCH(Kamus!$A$3:$A$28,$D510)),0)),"Jabatan Lainnya"))</f>
        <v>Ketua Pengadilan</v>
      </c>
      <c r="T510" s="106" t="str" cm="1">
        <f t="array" ref="T510">IF(TRIM($I510)="","(tidak diisi)",IFERROR(INDEX(Kamus!$E$3:$E$162,MATCH(TRUE,ISNUMBER(SEARCH(Kamus!$D$3:$D$162,$I510)),0)),"Barang Lain / Tidak Terinci"))</f>
        <v>Pakaian &amp; Kain</v>
      </c>
      <c r="U510" s="106" t="str" cm="1">
        <f t="array" ref="U510">IF(TRIM($I510)="","(tidak diisi)",IFERROR(INDEX(Kamus!$H$3:$H$75,MATCH(TRUE,ISNUMBER(SEARCH(Kamus!$G$3:$G$75,$I510)),0)),"Pemberian Umum / Tanpa Konteks"))</f>
        <v>Pemberian Umum / Tanpa Konteks</v>
      </c>
      <c r="V510" s="106" t="str">
        <f t="shared" si="21"/>
        <v>2025</v>
      </c>
      <c r="W510" s="106" t="str" cm="1">
        <f t="array" ref="W510">IF(TRIM($K510)="","(tidak diisi)",IFERROR(INDEX(Kamus!$K$3:$K$118,MATCH(TRUE,ISNUMBER(SEARCH(Kamus!$J$3:$J$118,$K510)),0)),"Individu / Perorangan"))</f>
        <v>Individu / Perorangan</v>
      </c>
      <c r="X510" s="106" t="str">
        <f t="shared" si="22"/>
        <v>09</v>
      </c>
      <c r="Y510" s="106" t="str" cm="1">
        <f t="array" ref="Y510">IFERROR(INDEX(Kamus!$N$3:$N$111,MATCH(TRUE,ISNUMBER(SEARCH(Kamus!$M$3:$M$111,$I510)),0)),"")</f>
        <v/>
      </c>
      <c r="Z510" s="106" t="str">
        <f>IF(AND(OR($X510="02",$X510="03",$X510="04"),OR($T510="Parsel/Bingkisan (tidak dirinci)",$T510="Makanan &amp; Minuman",$T510="Peralatan Rumah Tangga / Pecah Belah",$T510="Pakaian &amp; Kain")),"Momen Hari Raya (dugaan musiman)",IFERROR(VLOOKUP($W510,Kamus!$P$3:$Q$14,2,FALSE),"Tidak Teridentifikasi"))</f>
        <v>Relasi Personal / Tidak Teridentifikasi</v>
      </c>
      <c r="AA510" s="106" t="str">
        <f t="shared" si="23"/>
        <v>Relasi Personal / Tidak Teridentifikasi</v>
      </c>
    </row>
    <row r="511" spans="1:27">
      <c r="A511" s="106">
        <v>510</v>
      </c>
      <c r="B511" s="106" t="s">
        <v>3541</v>
      </c>
      <c r="C511" s="107" t="s">
        <v>3542</v>
      </c>
      <c r="D511" s="106" t="s">
        <v>1013</v>
      </c>
      <c r="E511" s="106" t="s">
        <v>3543</v>
      </c>
      <c r="G511" s="106" t="s">
        <v>1006</v>
      </c>
      <c r="L511" s="106" t="s">
        <v>3544</v>
      </c>
      <c r="O511" s="106" t="s">
        <v>274</v>
      </c>
      <c r="P511" s="106" t="s">
        <v>302</v>
      </c>
      <c r="Q511" s="106" t="s">
        <v>302</v>
      </c>
      <c r="S511" s="106" t="str" cm="1">
        <f t="array" ref="S511">IF(TRIM($D511)="","(tidak diisi)",IFERROR(INDEX(Kamus!$B$3:$B$28,MATCH(TRUE,ISNUMBER(SEARCH(Kamus!$A$3:$A$28,$D511)),0)),"Jabatan Lainnya"))</f>
        <v>Panitera</v>
      </c>
      <c r="T511" s="106" t="str" cm="1">
        <f t="array" ref="T511">IF(TRIM($I511)="","(tidak diisi)",IFERROR(INDEX(Kamus!$E$3:$E$162,MATCH(TRUE,ISNUMBER(SEARCH(Kamus!$D$3:$D$162,$I511)),0)),"Barang Lain / Tidak Terinci"))</f>
        <v>(tidak diisi)</v>
      </c>
      <c r="U511" s="106" t="str" cm="1">
        <f t="array" ref="U511">IF(TRIM($I511)="","(tidak diisi)",IFERROR(INDEX(Kamus!$H$3:$H$75,MATCH(TRUE,ISNUMBER(SEARCH(Kamus!$G$3:$G$75,$I511)),0)),"Pemberian Umum / Tanpa Konteks"))</f>
        <v>(tidak diisi)</v>
      </c>
      <c r="V511" s="106" t="str">
        <f t="shared" si="21"/>
        <v>(tidak diisi)</v>
      </c>
      <c r="W511" s="106" t="str" cm="1">
        <f t="array" ref="W511">IF(TRIM($K511)="","(tidak diisi)",IFERROR(INDEX(Kamus!$K$3:$K$118,MATCH(TRUE,ISNUMBER(SEARCH(Kamus!$J$3:$J$118,$K511)),0)),"Individu / Perorangan"))</f>
        <v>(tidak diisi)</v>
      </c>
      <c r="X511" s="106" t="str">
        <f t="shared" si="22"/>
        <v>(tidak diisi)</v>
      </c>
      <c r="Y511" s="106" t="str" cm="1">
        <f t="array" ref="Y511">IFERROR(INDEX(Kamus!$N$3:$N$111,MATCH(TRUE,ISNUMBER(SEARCH(Kamus!$M$3:$M$111,$I511)),0)),"")</f>
        <v/>
      </c>
      <c r="Z511" s="106" t="str">
        <f>IF(AND(OR($X511="02",$X511="03",$X511="04"),OR($T511="Parsel/Bingkisan (tidak dirinci)",$T511="Makanan &amp; Minuman",$T511="Peralatan Rumah Tangga / Pecah Belah",$T511="Pakaian &amp; Kain")),"Momen Hari Raya (dugaan musiman)",IFERROR(VLOOKUP($W511,Kamus!$P$3:$Q$14,2,FALSE),"Tidak Teridentifikasi"))</f>
        <v>Tidak Teridentifikasi</v>
      </c>
      <c r="AA511" s="106" t="str">
        <f t="shared" si="23"/>
        <v>Tidak Teridentifikasi</v>
      </c>
    </row>
    <row r="512" spans="1:27">
      <c r="A512" s="106">
        <v>511</v>
      </c>
      <c r="B512" s="106" t="s">
        <v>3545</v>
      </c>
      <c r="C512" s="107" t="s">
        <v>3546</v>
      </c>
      <c r="D512" s="106" t="s">
        <v>3547</v>
      </c>
      <c r="E512" s="106" t="s">
        <v>3548</v>
      </c>
      <c r="G512" s="106" t="s">
        <v>1006</v>
      </c>
      <c r="L512" s="106" t="s">
        <v>3549</v>
      </c>
      <c r="O512" s="106" t="s">
        <v>274</v>
      </c>
      <c r="Q512" s="106" t="s">
        <v>274</v>
      </c>
      <c r="S512" s="106" t="str" cm="1">
        <f t="array" ref="S512">IF(TRIM($D512)="","(tidak diisi)",IFERROR(INDEX(Kamus!$B$3:$B$28,MATCH(TRUE,ISNUMBER(SEARCH(Kamus!$A$3:$A$28,$D512)),0)),"Jabatan Lainnya"))</f>
        <v>Hakim</v>
      </c>
      <c r="T512" s="106" t="str" cm="1">
        <f t="array" ref="T512">IF(TRIM($I512)="","(tidak diisi)",IFERROR(INDEX(Kamus!$E$3:$E$162,MATCH(TRUE,ISNUMBER(SEARCH(Kamus!$D$3:$D$162,$I512)),0)),"Barang Lain / Tidak Terinci"))</f>
        <v>(tidak diisi)</v>
      </c>
      <c r="U512" s="106" t="str" cm="1">
        <f t="array" ref="U512">IF(TRIM($I512)="","(tidak diisi)",IFERROR(INDEX(Kamus!$H$3:$H$75,MATCH(TRUE,ISNUMBER(SEARCH(Kamus!$G$3:$G$75,$I512)),0)),"Pemberian Umum / Tanpa Konteks"))</f>
        <v>(tidak diisi)</v>
      </c>
      <c r="V512" s="106" t="str">
        <f t="shared" si="21"/>
        <v>(tidak diisi)</v>
      </c>
      <c r="W512" s="106" t="str" cm="1">
        <f t="array" ref="W512">IF(TRIM($K512)="","(tidak diisi)",IFERROR(INDEX(Kamus!$K$3:$K$118,MATCH(TRUE,ISNUMBER(SEARCH(Kamus!$J$3:$J$118,$K512)),0)),"Individu / Perorangan"))</f>
        <v>(tidak diisi)</v>
      </c>
      <c r="X512" s="106" t="str">
        <f t="shared" si="22"/>
        <v>(tidak diisi)</v>
      </c>
      <c r="Y512" s="106" t="str" cm="1">
        <f t="array" ref="Y512">IFERROR(INDEX(Kamus!$N$3:$N$111,MATCH(TRUE,ISNUMBER(SEARCH(Kamus!$M$3:$M$111,$I512)),0)),"")</f>
        <v/>
      </c>
      <c r="Z512" s="106" t="str">
        <f>IF(AND(OR($X512="02",$X512="03",$X512="04"),OR($T512="Parsel/Bingkisan (tidak dirinci)",$T512="Makanan &amp; Minuman",$T512="Peralatan Rumah Tangga / Pecah Belah",$T512="Pakaian &amp; Kain")),"Momen Hari Raya (dugaan musiman)",IFERROR(VLOOKUP($W512,Kamus!$P$3:$Q$14,2,FALSE),"Tidak Teridentifikasi"))</f>
        <v>Tidak Teridentifikasi</v>
      </c>
      <c r="AA512" s="106" t="str">
        <f t="shared" si="23"/>
        <v>Tidak Teridentifikasi</v>
      </c>
    </row>
    <row r="513" spans="1:27">
      <c r="A513" s="106">
        <v>512</v>
      </c>
      <c r="B513" s="106" t="s">
        <v>1105</v>
      </c>
      <c r="C513" s="107" t="s">
        <v>1106</v>
      </c>
      <c r="D513" s="106" t="s">
        <v>1042</v>
      </c>
      <c r="E513" s="106" t="s">
        <v>1014</v>
      </c>
      <c r="F513" s="106" t="s">
        <v>3550</v>
      </c>
      <c r="G513" s="106" t="s">
        <v>1006</v>
      </c>
      <c r="H513" s="106" t="s">
        <v>3551</v>
      </c>
      <c r="I513" s="106" t="s">
        <v>3552</v>
      </c>
      <c r="J513" s="106">
        <v>100000</v>
      </c>
      <c r="K513" s="106" t="s">
        <v>3553</v>
      </c>
      <c r="L513" s="106" t="s">
        <v>3554</v>
      </c>
      <c r="M513" s="106" t="s">
        <v>1020</v>
      </c>
      <c r="O513" s="106" t="s">
        <v>274</v>
      </c>
      <c r="P513" s="106" t="s">
        <v>1021</v>
      </c>
      <c r="Q513" s="106" t="s">
        <v>428</v>
      </c>
      <c r="S513" s="106" t="str" cm="1">
        <f t="array" ref="S513">IF(TRIM($D513)="","(tidak diisi)",IFERROR(INDEX(Kamus!$B$3:$B$28,MATCH(TRUE,ISNUMBER(SEARCH(Kamus!$A$3:$A$28,$D513)),0)),"Jabatan Lainnya"))</f>
        <v>Ketua Pengadilan</v>
      </c>
      <c r="T513" s="106" t="str" cm="1">
        <f t="array" ref="T513">IF(TRIM($I513)="","(tidak diisi)",IFERROR(INDEX(Kamus!$E$3:$E$162,MATCH(TRUE,ISNUMBER(SEARCH(Kamus!$D$3:$D$162,$I513)),0)),"Barang Lain / Tidak Terinci"))</f>
        <v>Suvenir &amp; Merchandise</v>
      </c>
      <c r="U513" s="106" t="str" cm="1">
        <f t="array" ref="U513">IF(TRIM($I513)="","(tidak diisi)",IFERROR(INDEX(Kamus!$H$3:$H$75,MATCH(TRUE,ISNUMBER(SEARCH(Kamus!$G$3:$G$75,$I513)),0)),"Pemberian Umum / Tanpa Konteks"))</f>
        <v>Suvenir / Merchandise Kegiatan &amp; Kunjungan</v>
      </c>
      <c r="V513" s="106" t="str">
        <f t="shared" si="21"/>
        <v>2025</v>
      </c>
      <c r="W513" s="106" t="str" cm="1">
        <f t="array" ref="W513">IF(TRIM($K513)="","(tidak diisi)",IFERROR(INDEX(Kamus!$K$3:$K$118,MATCH(TRUE,ISNUMBER(SEARCH(Kamus!$J$3:$J$118,$K513)),0)),"Individu / Perorangan"))</f>
        <v>Individu / Perorangan</v>
      </c>
      <c r="X513" s="106" t="str">
        <f t="shared" si="22"/>
        <v>10</v>
      </c>
      <c r="Y513" s="106" t="str" cm="1">
        <f t="array" ref="Y513">IFERROR(INDEX(Kamus!$N$3:$N$111,MATCH(TRUE,ISNUMBER(SEARCH(Kamus!$M$3:$M$111,$I513)),0)),"")</f>
        <v/>
      </c>
      <c r="Z513" s="106" t="str">
        <f>IF(AND(OR($X513="02",$X513="03",$X513="04"),OR($T513="Parsel/Bingkisan (tidak dirinci)",$T513="Makanan &amp; Minuman",$T513="Peralatan Rumah Tangga / Pecah Belah",$T513="Pakaian &amp; Kain")),"Momen Hari Raya (dugaan musiman)",IFERROR(VLOOKUP($W513,Kamus!$P$3:$Q$14,2,FALSE),"Tidak Teridentifikasi"))</f>
        <v>Relasi Personal / Tidak Teridentifikasi</v>
      </c>
      <c r="AA513" s="106" t="str">
        <f t="shared" si="23"/>
        <v>Relasi Personal / Tidak Teridentifikasi</v>
      </c>
    </row>
    <row r="514" spans="1:27">
      <c r="A514" s="106">
        <v>513</v>
      </c>
      <c r="B514" s="106" t="s">
        <v>1105</v>
      </c>
      <c r="C514" s="107" t="s">
        <v>1106</v>
      </c>
      <c r="D514" s="106" t="s">
        <v>1042</v>
      </c>
      <c r="E514" s="106" t="s">
        <v>1014</v>
      </c>
      <c r="F514" s="106" t="s">
        <v>3550</v>
      </c>
      <c r="G514" s="106" t="s">
        <v>1006</v>
      </c>
      <c r="H514" s="106" t="s">
        <v>3551</v>
      </c>
      <c r="I514" s="106" t="s">
        <v>3555</v>
      </c>
      <c r="J514" s="106">
        <v>1000000</v>
      </c>
      <c r="K514" s="106" t="s">
        <v>3553</v>
      </c>
      <c r="L514" s="106" t="s">
        <v>3554</v>
      </c>
      <c r="M514" s="106" t="s">
        <v>1020</v>
      </c>
      <c r="O514" s="106" t="s">
        <v>274</v>
      </c>
      <c r="P514" s="106" t="s">
        <v>1021</v>
      </c>
      <c r="Q514" s="106" t="s">
        <v>428</v>
      </c>
      <c r="S514" s="106" t="str" cm="1">
        <f t="array" ref="S514">IF(TRIM($D514)="","(tidak diisi)",IFERROR(INDEX(Kamus!$B$3:$B$28,MATCH(TRUE,ISNUMBER(SEARCH(Kamus!$A$3:$A$28,$D514)),0)),"Jabatan Lainnya"))</f>
        <v>Ketua Pengadilan</v>
      </c>
      <c r="T514" s="106" t="str" cm="1">
        <f t="array" ref="T514">IF(TRIM($I514)="","(tidak diisi)",IFERROR(INDEX(Kamus!$E$3:$E$162,MATCH(TRUE,ISNUMBER(SEARCH(Kamus!$D$3:$D$162,$I514)),0)),"Barang Lain / Tidak Terinci"))</f>
        <v>Uang &amp; Setara Uang</v>
      </c>
      <c r="U514" s="106" t="str" cm="1">
        <f t="array" ref="U514">IF(TRIM($I514)="","(tidak diisi)",IFERROR(INDEX(Kamus!$H$3:$H$75,MATCH(TRUE,ISNUMBER(SEARCH(Kamus!$G$3:$G$75,$I514)),0)),"Pemberian Umum / Tanpa Konteks"))</f>
        <v>Honor / Uang Kegiatan</v>
      </c>
      <c r="V514" s="106" t="str">
        <f t="shared" si="21"/>
        <v>2025</v>
      </c>
      <c r="W514" s="106" t="str" cm="1">
        <f t="array" ref="W514">IF(TRIM($K514)="","(tidak diisi)",IFERROR(INDEX(Kamus!$K$3:$K$118,MATCH(TRUE,ISNUMBER(SEARCH(Kamus!$J$3:$J$118,$K514)),0)),"Individu / Perorangan"))</f>
        <v>Individu / Perorangan</v>
      </c>
      <c r="X514" s="106" t="str">
        <f t="shared" si="22"/>
        <v>10</v>
      </c>
      <c r="Y514" s="106" t="str" cm="1">
        <f t="array" ref="Y514">IFERROR(INDEX(Kamus!$N$3:$N$111,MATCH(TRUE,ISNUMBER(SEARCH(Kamus!$M$3:$M$111,$I514)),0)),"")</f>
        <v>Diklat / Bimtek / Seminar &amp; Narasumber</v>
      </c>
      <c r="Z514" s="106" t="str">
        <f>IF(AND(OR($X514="02",$X514="03",$X514="04"),OR($T514="Parsel/Bingkisan (tidak dirinci)",$T514="Makanan &amp; Minuman",$T514="Peralatan Rumah Tangga / Pecah Belah",$T514="Pakaian &amp; Kain")),"Momen Hari Raya (dugaan musiman)",IFERROR(VLOOKUP($W514,Kamus!$P$3:$Q$14,2,FALSE),"Tidak Teridentifikasi"))</f>
        <v>Relasi Personal / Tidak Teridentifikasi</v>
      </c>
      <c r="AA514" s="106" t="str">
        <f t="shared" si="23"/>
        <v>Diklat / Bimtek / Seminar &amp; Narasumber</v>
      </c>
    </row>
    <row r="515" spans="1:27">
      <c r="A515" s="106">
        <v>514</v>
      </c>
      <c r="B515" s="106" t="s">
        <v>1884</v>
      </c>
      <c r="C515" s="107" t="s">
        <v>1885</v>
      </c>
      <c r="D515" s="106" t="s">
        <v>1042</v>
      </c>
      <c r="E515" s="106" t="s">
        <v>1489</v>
      </c>
      <c r="F515" s="106" t="s">
        <v>3556</v>
      </c>
      <c r="G515" s="106" t="s">
        <v>1074</v>
      </c>
      <c r="H515" s="106" t="s">
        <v>3557</v>
      </c>
      <c r="I515" s="106" t="s">
        <v>3558</v>
      </c>
      <c r="J515" s="106">
        <v>79200</v>
      </c>
      <c r="K515" s="106" t="s">
        <v>3559</v>
      </c>
      <c r="L515" s="106" t="s">
        <v>3560</v>
      </c>
      <c r="M515" s="106" t="s">
        <v>2247</v>
      </c>
      <c r="O515" s="106" t="s">
        <v>274</v>
      </c>
      <c r="P515" s="106" t="s">
        <v>1495</v>
      </c>
      <c r="Q515" s="106" t="s">
        <v>428</v>
      </c>
      <c r="S515" s="106" t="str" cm="1">
        <f t="array" ref="S515">IF(TRIM($D515)="","(tidak diisi)",IFERROR(INDEX(Kamus!$B$3:$B$28,MATCH(TRUE,ISNUMBER(SEARCH(Kamus!$A$3:$A$28,$D515)),0)),"Jabatan Lainnya"))</f>
        <v>Ketua Pengadilan</v>
      </c>
      <c r="T515" s="106" t="str" cm="1">
        <f t="array" ref="T515">IF(TRIM($I515)="","(tidak diisi)",IFERROR(INDEX(Kamus!$E$3:$E$162,MATCH(TRUE,ISNUMBER(SEARCH(Kamus!$D$3:$D$162,$I515)),0)),"Barang Lain / Tidak Terinci"))</f>
        <v>Barang Lain / Tidak Terinci</v>
      </c>
      <c r="U515" s="106" t="str" cm="1">
        <f t="array" ref="U515">IF(TRIM($I515)="","(tidak diisi)",IFERROR(INDEX(Kamus!$H$3:$H$75,MATCH(TRUE,ISNUMBER(SEARCH(Kamus!$G$3:$G$75,$I515)),0)),"Pemberian Umum / Tanpa Konteks"))</f>
        <v>Pemberian Umum / Tanpa Konteks</v>
      </c>
      <c r="V515" s="106" t="str">
        <f t="shared" ref="V515:V578" si="24">IF($H515="","(tidak diisi)",IF(ISNUMBER($H515),TEXT(YEAR($H515),"0"),LEFT($H515,4)))</f>
        <v>2025</v>
      </c>
      <c r="W515" s="106" t="str" cm="1">
        <f t="array" ref="W515">IF(TRIM($K515)="","(tidak diisi)",IFERROR(INDEX(Kamus!$K$3:$K$118,MATCH(TRUE,ISNUMBER(SEARCH(Kamus!$J$3:$J$118,$K515)),0)),"Individu / Perorangan"))</f>
        <v>Individu / Perorangan</v>
      </c>
      <c r="X515" s="106" t="str">
        <f t="shared" ref="X515:X578" si="25">IF($H515="","(tidak diisi)",IF(ISNUMBER($H515),TEXT(MONTH($H515),"00"),MID($H515,6,2)))</f>
        <v>10</v>
      </c>
      <c r="Y515" s="106" t="str" cm="1">
        <f t="array" ref="Y515">IFERROR(INDEX(Kamus!$N$3:$N$111,MATCH(TRUE,ISNUMBER(SEARCH(Kamus!$M$3:$M$111,$I515)),0)),"")</f>
        <v/>
      </c>
      <c r="Z515" s="106" t="str">
        <f>IF(AND(OR($X515="02",$X515="03",$X515="04"),OR($T515="Parsel/Bingkisan (tidak dirinci)",$T515="Makanan &amp; Minuman",$T515="Peralatan Rumah Tangga / Pecah Belah",$T515="Pakaian &amp; Kain")),"Momen Hari Raya (dugaan musiman)",IFERROR(VLOOKUP($W515,Kamus!$P$3:$Q$14,2,FALSE),"Tidak Teridentifikasi"))</f>
        <v>Relasi Personal / Tidak Teridentifikasi</v>
      </c>
      <c r="AA515" s="106" t="str">
        <f t="shared" ref="AA515:AA578" si="26">IF($Y515="",$Z515,$Y515)</f>
        <v>Relasi Personal / Tidak Teridentifikasi</v>
      </c>
    </row>
    <row r="516" spans="1:27">
      <c r="A516" s="106">
        <v>515</v>
      </c>
      <c r="B516" s="106" t="s">
        <v>3561</v>
      </c>
      <c r="C516" s="107" t="s">
        <v>3562</v>
      </c>
      <c r="D516" s="106" t="s">
        <v>1042</v>
      </c>
      <c r="E516" s="106" t="s">
        <v>3563</v>
      </c>
      <c r="F516" s="106" t="s">
        <v>3564</v>
      </c>
      <c r="G516" s="106" t="s">
        <v>1006</v>
      </c>
      <c r="H516" s="106" t="s">
        <v>3565</v>
      </c>
      <c r="I516" s="106" t="s">
        <v>3566</v>
      </c>
      <c r="J516" s="106">
        <v>105000</v>
      </c>
      <c r="K516" s="106" t="s">
        <v>3567</v>
      </c>
      <c r="L516" s="106" t="s">
        <v>3568</v>
      </c>
      <c r="M516" s="106" t="s">
        <v>1039</v>
      </c>
      <c r="O516" s="106" t="s">
        <v>274</v>
      </c>
      <c r="P516" s="106" t="s">
        <v>3569</v>
      </c>
      <c r="Q516" s="106" t="s">
        <v>427</v>
      </c>
      <c r="S516" s="106" t="str" cm="1">
        <f t="array" ref="S516">IF(TRIM($D516)="","(tidak diisi)",IFERROR(INDEX(Kamus!$B$3:$B$28,MATCH(TRUE,ISNUMBER(SEARCH(Kamus!$A$3:$A$28,$D516)),0)),"Jabatan Lainnya"))</f>
        <v>Ketua Pengadilan</v>
      </c>
      <c r="T516" s="106" t="str" cm="1">
        <f t="array" ref="T516">IF(TRIM($I516)="","(tidak diisi)",IFERROR(INDEX(Kamus!$E$3:$E$162,MATCH(TRUE,ISNUMBER(SEARCH(Kamus!$D$3:$D$162,$I516)),0)),"Barang Lain / Tidak Terinci"))</f>
        <v>Peralatan Rumah Tangga / Pecah Belah</v>
      </c>
      <c r="U516" s="106" t="str" cm="1">
        <f t="array" ref="U516">IF(TRIM($I516)="","(tidak diisi)",IFERROR(INDEX(Kamus!$H$3:$H$75,MATCH(TRUE,ISNUMBER(SEARCH(Kamus!$G$3:$G$75,$I516)),0)),"Pemberian Umum / Tanpa Konteks"))</f>
        <v>Suvenir / Merchandise Kegiatan &amp; Kunjungan</v>
      </c>
      <c r="V516" s="106" t="str">
        <f t="shared" si="24"/>
        <v>2025</v>
      </c>
      <c r="W516" s="106" t="str" cm="1">
        <f t="array" ref="W516">IF(TRIM($K516)="","(tidak diisi)",IFERROR(INDEX(Kamus!$K$3:$K$118,MATCH(TRUE,ISNUMBER(SEARCH(Kamus!$J$3:$J$118,$K516)),0)),"Individu / Perorangan"))</f>
        <v>Bank &amp; Lembaga Keuangan</v>
      </c>
      <c r="X516" s="106" t="str">
        <f t="shared" si="25"/>
        <v>10</v>
      </c>
      <c r="Y516" s="106" t="str" cm="1">
        <f t="array" ref="Y516">IFERROR(INDEX(Kamus!$N$3:$N$111,MATCH(TRUE,ISNUMBER(SEARCH(Kamus!$M$3:$M$111,$I516)),0)),"")</f>
        <v/>
      </c>
      <c r="Z516" s="106" t="str">
        <f>IF(AND(OR($X516="02",$X516="03",$X516="04"),OR($T516="Parsel/Bingkisan (tidak dirinci)",$T516="Makanan &amp; Minuman",$T516="Peralatan Rumah Tangga / Pecah Belah",$T516="Pakaian &amp; Kain")),"Momen Hari Raya (dugaan musiman)",IFERROR(VLOOKUP($W516,Kamus!$P$3:$Q$14,2,FALSE),"Tidak Teridentifikasi"))</f>
        <v>Relasi Layanan/Kerja Sama Perbankan (dugaan)</v>
      </c>
      <c r="AA516" s="106" t="str">
        <f t="shared" si="26"/>
        <v>Relasi Layanan/Kerja Sama Perbankan (dugaan)</v>
      </c>
    </row>
    <row r="517" spans="1:27">
      <c r="A517" s="106">
        <v>516</v>
      </c>
      <c r="B517" s="106" t="s">
        <v>1486</v>
      </c>
      <c r="C517" s="107" t="s">
        <v>1487</v>
      </c>
      <c r="D517" s="106" t="s">
        <v>1488</v>
      </c>
      <c r="E517" s="106" t="s">
        <v>1489</v>
      </c>
      <c r="F517" s="106" t="s">
        <v>3570</v>
      </c>
      <c r="G517" s="106" t="s">
        <v>1006</v>
      </c>
      <c r="H517" s="106" t="s">
        <v>3571</v>
      </c>
      <c r="I517" s="106" t="s">
        <v>3572</v>
      </c>
      <c r="J517" s="106">
        <v>60000</v>
      </c>
      <c r="K517" s="106" t="s">
        <v>3573</v>
      </c>
      <c r="L517" s="106" t="s">
        <v>3574</v>
      </c>
      <c r="M517" s="106" t="s">
        <v>1360</v>
      </c>
      <c r="O517" s="106" t="s">
        <v>274</v>
      </c>
      <c r="P517" s="106" t="s">
        <v>1495</v>
      </c>
      <c r="Q517" s="106" t="s">
        <v>428</v>
      </c>
      <c r="S517" s="106" t="str" cm="1">
        <f t="array" ref="S517">IF(TRIM($D517)="","(tidak diisi)",IFERROR(INDEX(Kamus!$B$3:$B$28,MATCH(TRUE,ISNUMBER(SEARCH(Kamus!$A$3:$A$28,$D517)),0)),"Jabatan Lainnya"))</f>
        <v>Pejabat Struktural (Kasubbag/Kabag)</v>
      </c>
      <c r="T517" s="106" t="str" cm="1">
        <f t="array" ref="T517">IF(TRIM($I517)="","(tidak diisi)",IFERROR(INDEX(Kamus!$E$3:$E$162,MATCH(TRUE,ISNUMBER(SEARCH(Kamus!$D$3:$D$162,$I517)),0)),"Barang Lain / Tidak Terinci"))</f>
        <v>Uang &amp; Setara Uang</v>
      </c>
      <c r="U517" s="106" t="str" cm="1">
        <f t="array" ref="U517">IF(TRIM($I517)="","(tidak diisi)",IFERROR(INDEX(Kamus!$H$3:$H$75,MATCH(TRUE,ISNUMBER(SEARCH(Kamus!$G$3:$G$75,$I517)),0)),"Pemberian Umum / Tanpa Konteks"))</f>
        <v>Pemberian Uang Langsung</v>
      </c>
      <c r="V517" s="106" t="str">
        <f t="shared" si="24"/>
        <v>2025</v>
      </c>
      <c r="W517" s="106" t="str" cm="1">
        <f t="array" ref="W517">IF(TRIM($K517)="","(tidak diisi)",IFERROR(INDEX(Kamus!$K$3:$K$118,MATCH(TRUE,ISNUMBER(SEARCH(Kamus!$J$3:$J$118,$K517)),0)),"Individu / Perorangan"))</f>
        <v>Individu / Perorangan</v>
      </c>
      <c r="X517" s="106" t="str">
        <f t="shared" si="25"/>
        <v>10</v>
      </c>
      <c r="Y517" s="106" t="str" cm="1">
        <f t="array" ref="Y517">IFERROR(INDEX(Kamus!$N$3:$N$111,MATCH(TRUE,ISNUMBER(SEARCH(Kamus!$M$3:$M$111,$I517)),0)),"")</f>
        <v/>
      </c>
      <c r="Z517" s="106" t="str">
        <f>IF(AND(OR($X517="02",$X517="03",$X517="04"),OR($T517="Parsel/Bingkisan (tidak dirinci)",$T517="Makanan &amp; Minuman",$T517="Peralatan Rumah Tangga / Pecah Belah",$T517="Pakaian &amp; Kain")),"Momen Hari Raya (dugaan musiman)",IFERROR(VLOOKUP($W517,Kamus!$P$3:$Q$14,2,FALSE),"Tidak Teridentifikasi"))</f>
        <v>Relasi Personal / Tidak Teridentifikasi</v>
      </c>
      <c r="AA517" s="106" t="str">
        <f t="shared" si="26"/>
        <v>Relasi Personal / Tidak Teridentifikasi</v>
      </c>
    </row>
    <row r="518" spans="1:27">
      <c r="A518" s="106">
        <v>517</v>
      </c>
      <c r="B518" s="106" t="s">
        <v>3575</v>
      </c>
      <c r="C518" s="107" t="s">
        <v>3576</v>
      </c>
      <c r="D518" s="106" t="s">
        <v>3146</v>
      </c>
      <c r="E518" s="106" t="s">
        <v>3577</v>
      </c>
      <c r="F518" s="106" t="s">
        <v>3578</v>
      </c>
      <c r="G518" s="106" t="s">
        <v>1006</v>
      </c>
      <c r="H518" s="106" t="s">
        <v>3579</v>
      </c>
      <c r="I518" s="106" t="s">
        <v>1017</v>
      </c>
      <c r="J518" s="106">
        <v>1500000</v>
      </c>
      <c r="K518" s="106" t="s">
        <v>3580</v>
      </c>
      <c r="L518" s="106" t="s">
        <v>3581</v>
      </c>
      <c r="M518" s="106" t="s">
        <v>1020</v>
      </c>
      <c r="O518" s="106" t="s">
        <v>274</v>
      </c>
      <c r="Q518" s="106" t="s">
        <v>451</v>
      </c>
      <c r="S518" s="106" t="str" cm="1">
        <f t="array" ref="S518">IF(TRIM($D518)="","(tidak diisi)",IFERROR(INDEX(Kamus!$B$3:$B$28,MATCH(TRUE,ISNUMBER(SEARCH(Kamus!$A$3:$A$28,$D518)),0)),"Jabatan Lainnya"))</f>
        <v>Hakim</v>
      </c>
      <c r="T518" s="106" t="str" cm="1">
        <f t="array" ref="T518">IF(TRIM($I518)="","(tidak diisi)",IFERROR(INDEX(Kamus!$E$3:$E$162,MATCH(TRUE,ISNUMBER(SEARCH(Kamus!$D$3:$D$162,$I518)),0)),"Barang Lain / Tidak Terinci"))</f>
        <v>Uang &amp; Setara Uang</v>
      </c>
      <c r="U518" s="106" t="str" cm="1">
        <f t="array" ref="U518">IF(TRIM($I518)="","(tidak diisi)",IFERROR(INDEX(Kamus!$H$3:$H$75,MATCH(TRUE,ISNUMBER(SEARCH(Kamus!$G$3:$G$75,$I518)),0)),"Pemberian Umum / Tanpa Konteks"))</f>
        <v>Pemberian Uang Langsung</v>
      </c>
      <c r="V518" s="106" t="str">
        <f t="shared" si="24"/>
        <v>2025</v>
      </c>
      <c r="W518" s="106" t="str" cm="1">
        <f t="array" ref="W518">IF(TRIM($K518)="","(tidak diisi)",IFERROR(INDEX(Kamus!$K$3:$K$118,MATCH(TRUE,ISNUMBER(SEARCH(Kamus!$J$3:$J$118,$K518)),0)),"Individu / Perorangan"))</f>
        <v>Kampus &amp; Sekolah</v>
      </c>
      <c r="X518" s="106" t="str">
        <f t="shared" si="25"/>
        <v>10</v>
      </c>
      <c r="Y518" s="106" t="str" cm="1">
        <f t="array" ref="Y518">IFERROR(INDEX(Kamus!$N$3:$N$111,MATCH(TRUE,ISNUMBER(SEARCH(Kamus!$M$3:$M$111,$I518)),0)),"")</f>
        <v/>
      </c>
      <c r="Z518" s="106" t="str">
        <f>IF(AND(OR($X518="02",$X518="03",$X518="04"),OR($T518="Parsel/Bingkisan (tidak dirinci)",$T518="Makanan &amp; Minuman",$T518="Peralatan Rumah Tangga / Pecah Belah",$T518="Pakaian &amp; Kain")),"Momen Hari Raya (dugaan musiman)",IFERROR(VLOOKUP($W518,Kamus!$P$3:$Q$14,2,FALSE),"Tidak Teridentifikasi"))</f>
        <v>Kerja Sama Pendidikan/PKL (dugaan)</v>
      </c>
      <c r="AA518" s="106" t="str">
        <f t="shared" si="26"/>
        <v>Kerja Sama Pendidikan/PKL (dugaan)</v>
      </c>
    </row>
    <row r="519" spans="1:27">
      <c r="A519" s="106">
        <v>518</v>
      </c>
      <c r="B519" s="106" t="s">
        <v>2249</v>
      </c>
      <c r="C519" s="107" t="s">
        <v>2250</v>
      </c>
      <c r="D519" s="106" t="s">
        <v>2251</v>
      </c>
      <c r="E519" s="106" t="s">
        <v>1294</v>
      </c>
      <c r="F519" s="106" t="s">
        <v>3582</v>
      </c>
      <c r="G519" s="106" t="s">
        <v>1006</v>
      </c>
      <c r="H519" s="106" t="s">
        <v>3583</v>
      </c>
      <c r="I519" s="106" t="s">
        <v>3584</v>
      </c>
      <c r="J519" s="106">
        <v>100000</v>
      </c>
      <c r="K519" s="106" t="s">
        <v>3585</v>
      </c>
      <c r="L519" s="106" t="s">
        <v>3586</v>
      </c>
      <c r="M519" s="106" t="s">
        <v>1039</v>
      </c>
      <c r="O519" s="106" t="s">
        <v>274</v>
      </c>
      <c r="P519" s="106" t="s">
        <v>1298</v>
      </c>
      <c r="Q519" s="106" t="s">
        <v>428</v>
      </c>
      <c r="S519" s="106" t="str" cm="1">
        <f t="array" ref="S519">IF(TRIM($D519)="","(tidak diisi)",IFERROR(INDEX(Kamus!$B$3:$B$28,MATCH(TRUE,ISNUMBER(SEARCH(Kamus!$A$3:$A$28,$D519)),0)),"Jabatan Lainnya"))</f>
        <v>Wakil Ketua Pengadilan</v>
      </c>
      <c r="T519" s="106" t="str" cm="1">
        <f t="array" ref="T519">IF(TRIM($I519)="","(tidak diisi)",IFERROR(INDEX(Kamus!$E$3:$E$162,MATCH(TRUE,ISNUMBER(SEARCH(Kamus!$D$3:$D$162,$I519)),0)),"Barang Lain / Tidak Terinci"))</f>
        <v>Makanan &amp; Minuman</v>
      </c>
      <c r="U519" s="106" t="str" cm="1">
        <f t="array" ref="U519">IF(TRIM($I519)="","(tidak diisi)",IFERROR(INDEX(Kamus!$H$3:$H$75,MATCH(TRUE,ISNUMBER(SEARCH(Kamus!$G$3:$G$75,$I519)),0)),"Pemberian Umum / Tanpa Konteks"))</f>
        <v>Suvenir / Merchandise Kegiatan &amp; Kunjungan</v>
      </c>
      <c r="V519" s="106" t="str">
        <f t="shared" si="24"/>
        <v>2025</v>
      </c>
      <c r="W519" s="106" t="str" cm="1">
        <f t="array" ref="W519">IF(TRIM($K519)="","(tidak diisi)",IFERROR(INDEX(Kamus!$K$3:$K$118,MATCH(TRUE,ISNUMBER(SEARCH(Kamus!$J$3:$J$118,$K519)),0)),"Individu / Perorangan"))</f>
        <v>Individu / Perorangan</v>
      </c>
      <c r="X519" s="106" t="str">
        <f t="shared" si="25"/>
        <v>10</v>
      </c>
      <c r="Y519" s="106" t="str" cm="1">
        <f t="array" ref="Y519">IFERROR(INDEX(Kamus!$N$3:$N$111,MATCH(TRUE,ISNUMBER(SEARCH(Kamus!$M$3:$M$111,$I519)),0)),"")</f>
        <v/>
      </c>
      <c r="Z519" s="106" t="str">
        <f>IF(AND(OR($X519="02",$X519="03",$X519="04"),OR($T519="Parsel/Bingkisan (tidak dirinci)",$T519="Makanan &amp; Minuman",$T519="Peralatan Rumah Tangga / Pecah Belah",$T519="Pakaian &amp; Kain")),"Momen Hari Raya (dugaan musiman)",IFERROR(VLOOKUP($W519,Kamus!$P$3:$Q$14,2,FALSE),"Tidak Teridentifikasi"))</f>
        <v>Relasi Personal / Tidak Teridentifikasi</v>
      </c>
      <c r="AA519" s="106" t="str">
        <f t="shared" si="26"/>
        <v>Relasi Personal / Tidak Teridentifikasi</v>
      </c>
    </row>
    <row r="520" spans="1:27">
      <c r="A520" s="106">
        <v>519</v>
      </c>
      <c r="B520" s="106" t="s">
        <v>2249</v>
      </c>
      <c r="C520" s="107" t="s">
        <v>2250</v>
      </c>
      <c r="D520" s="106" t="s">
        <v>2251</v>
      </c>
      <c r="E520" s="106" t="s">
        <v>1294</v>
      </c>
      <c r="F520" s="106" t="s">
        <v>3587</v>
      </c>
      <c r="G520" s="106" t="s">
        <v>1006</v>
      </c>
      <c r="H520" s="106" t="s">
        <v>3557</v>
      </c>
      <c r="I520" s="106" t="s">
        <v>2706</v>
      </c>
      <c r="J520" s="106">
        <v>120000</v>
      </c>
      <c r="K520" s="106" t="s">
        <v>3588</v>
      </c>
      <c r="L520" s="106" t="s">
        <v>3589</v>
      </c>
      <c r="M520" s="106" t="s">
        <v>1020</v>
      </c>
      <c r="O520" s="106" t="s">
        <v>274</v>
      </c>
      <c r="P520" s="106" t="s">
        <v>1298</v>
      </c>
      <c r="Q520" s="106" t="s">
        <v>428</v>
      </c>
      <c r="S520" s="106" t="str" cm="1">
        <f t="array" ref="S520">IF(TRIM($D520)="","(tidak diisi)",IFERROR(INDEX(Kamus!$B$3:$B$28,MATCH(TRUE,ISNUMBER(SEARCH(Kamus!$A$3:$A$28,$D520)),0)),"Jabatan Lainnya"))</f>
        <v>Wakil Ketua Pengadilan</v>
      </c>
      <c r="T520" s="106" t="str" cm="1">
        <f t="array" ref="T520">IF(TRIM($I520)="","(tidak diisi)",IFERROR(INDEX(Kamus!$E$3:$E$162,MATCH(TRUE,ISNUMBER(SEARCH(Kamus!$D$3:$D$162,$I520)),0)),"Barang Lain / Tidak Terinci"))</f>
        <v>Pakaian &amp; Kain</v>
      </c>
      <c r="U520" s="106" t="str" cm="1">
        <f t="array" ref="U520">IF(TRIM($I520)="","(tidak diisi)",IFERROR(INDEX(Kamus!$H$3:$H$75,MATCH(TRUE,ISNUMBER(SEARCH(Kamus!$G$3:$G$75,$I520)),0)),"Pemberian Umum / Tanpa Konteks"))</f>
        <v>Pemberian Umum / Tanpa Konteks</v>
      </c>
      <c r="V520" s="106" t="str">
        <f t="shared" si="24"/>
        <v>2025</v>
      </c>
      <c r="W520" s="106" t="str" cm="1">
        <f t="array" ref="W520">IF(TRIM($K520)="","(tidak diisi)",IFERROR(INDEX(Kamus!$K$3:$K$118,MATCH(TRUE,ISNUMBER(SEARCH(Kamus!$J$3:$J$118,$K520)),0)),"Individu / Perorangan"))</f>
        <v>Individu / Perorangan</v>
      </c>
      <c r="X520" s="106" t="str">
        <f t="shared" si="25"/>
        <v>10</v>
      </c>
      <c r="Y520" s="106" t="str" cm="1">
        <f t="array" ref="Y520">IFERROR(INDEX(Kamus!$N$3:$N$111,MATCH(TRUE,ISNUMBER(SEARCH(Kamus!$M$3:$M$111,$I520)),0)),"")</f>
        <v/>
      </c>
      <c r="Z520" s="106" t="str">
        <f>IF(AND(OR($X520="02",$X520="03",$X520="04"),OR($T520="Parsel/Bingkisan (tidak dirinci)",$T520="Makanan &amp; Minuman",$T520="Peralatan Rumah Tangga / Pecah Belah",$T520="Pakaian &amp; Kain")),"Momen Hari Raya (dugaan musiman)",IFERROR(VLOOKUP($W520,Kamus!$P$3:$Q$14,2,FALSE),"Tidak Teridentifikasi"))</f>
        <v>Relasi Personal / Tidak Teridentifikasi</v>
      </c>
      <c r="AA520" s="106" t="str">
        <f t="shared" si="26"/>
        <v>Relasi Personal / Tidak Teridentifikasi</v>
      </c>
    </row>
    <row r="521" spans="1:27">
      <c r="A521" s="106">
        <v>520</v>
      </c>
      <c r="B521" s="106" t="s">
        <v>1264</v>
      </c>
      <c r="C521" s="107" t="s">
        <v>1265</v>
      </c>
      <c r="D521" s="106" t="s">
        <v>1081</v>
      </c>
      <c r="E521" s="106" t="s">
        <v>3285</v>
      </c>
      <c r="F521" s="106" t="s">
        <v>3590</v>
      </c>
      <c r="G521" s="106" t="s">
        <v>1074</v>
      </c>
      <c r="H521" s="106" t="s">
        <v>3591</v>
      </c>
      <c r="I521" s="106" t="s">
        <v>3592</v>
      </c>
      <c r="K521" s="106" t="s">
        <v>2552</v>
      </c>
      <c r="L521" s="106" t="s">
        <v>3593</v>
      </c>
      <c r="O521" s="106" t="s">
        <v>274</v>
      </c>
      <c r="P521" s="106" t="s">
        <v>3290</v>
      </c>
      <c r="Q521" s="106" t="s">
        <v>412</v>
      </c>
      <c r="S521" s="106" t="str" cm="1">
        <f t="array" ref="S521">IF(TRIM($D521)="","(tidak diisi)",IFERROR(INDEX(Kamus!$B$3:$B$28,MATCH(TRUE,ISNUMBER(SEARCH(Kamus!$A$3:$A$28,$D521)),0)),"Jabatan Lainnya"))</f>
        <v>Hakim</v>
      </c>
      <c r="T521" s="106" t="str" cm="1">
        <f t="array" ref="T521">IF(TRIM($I521)="","(tidak diisi)",IFERROR(INDEX(Kamus!$E$3:$E$162,MATCH(TRUE,ISNUMBER(SEARCH(Kamus!$D$3:$D$162,$I521)),0)),"Barang Lain / Tidak Terinci"))</f>
        <v>Makanan &amp; Minuman</v>
      </c>
      <c r="U521" s="106" t="str" cm="1">
        <f t="array" ref="U521">IF(TRIM($I521)="","(tidak diisi)",IFERROR(INDEX(Kamus!$H$3:$H$75,MATCH(TRUE,ISNUMBER(SEARCH(Kamus!$G$3:$G$75,$I521)),0)),"Pemberian Umum / Tanpa Konteks"))</f>
        <v>Pemberian Umum / Tanpa Konteks</v>
      </c>
      <c r="V521" s="106" t="str">
        <f t="shared" si="24"/>
        <v>2025</v>
      </c>
      <c r="W521" s="106" t="str" cm="1">
        <f t="array" ref="W521">IF(TRIM($K521)="","(tidak diisi)",IFERROR(INDEX(Kamus!$K$3:$K$118,MATCH(TRUE,ISNUMBER(SEARCH(Kamus!$J$3:$J$118,$K521)),0)),"Individu / Perorangan"))</f>
        <v>Individu / Perorangan</v>
      </c>
      <c r="X521" s="106" t="str">
        <f t="shared" si="25"/>
        <v>09</v>
      </c>
      <c r="Y521" s="106" t="str" cm="1">
        <f t="array" ref="Y521">IFERROR(INDEX(Kamus!$N$3:$N$111,MATCH(TRUE,ISNUMBER(SEARCH(Kamus!$M$3:$M$111,$I521)),0)),"")</f>
        <v/>
      </c>
      <c r="Z521" s="106" t="str">
        <f>IF(AND(OR($X521="02",$X521="03",$X521="04"),OR($T521="Parsel/Bingkisan (tidak dirinci)",$T521="Makanan &amp; Minuman",$T521="Peralatan Rumah Tangga / Pecah Belah",$T521="Pakaian &amp; Kain")),"Momen Hari Raya (dugaan musiman)",IFERROR(VLOOKUP($W521,Kamus!$P$3:$Q$14,2,FALSE),"Tidak Teridentifikasi"))</f>
        <v>Relasi Personal / Tidak Teridentifikasi</v>
      </c>
      <c r="AA521" s="106" t="str">
        <f t="shared" si="26"/>
        <v>Relasi Personal / Tidak Teridentifikasi</v>
      </c>
    </row>
    <row r="522" spans="1:27">
      <c r="A522" s="106">
        <v>521</v>
      </c>
      <c r="B522" s="106" t="s">
        <v>1334</v>
      </c>
      <c r="C522" s="107" t="s">
        <v>1335</v>
      </c>
      <c r="D522" s="106" t="s">
        <v>1336</v>
      </c>
      <c r="E522" s="106" t="s">
        <v>1005</v>
      </c>
      <c r="F522" s="106" t="s">
        <v>3594</v>
      </c>
      <c r="G522" s="106" t="s">
        <v>1006</v>
      </c>
      <c r="H522" s="106" t="s">
        <v>3571</v>
      </c>
      <c r="I522" s="106" t="s">
        <v>3595</v>
      </c>
      <c r="K522" s="106" t="s">
        <v>3596</v>
      </c>
      <c r="L522" s="106" t="s">
        <v>3597</v>
      </c>
      <c r="O522" s="106" t="s">
        <v>274</v>
      </c>
      <c r="S522" s="106" t="str" cm="1">
        <f t="array" ref="S522">IF(TRIM($D522)="","(tidak diisi)",IFERROR(INDEX(Kamus!$B$3:$B$28,MATCH(TRUE,ISNUMBER(SEARCH(Kamus!$A$3:$A$28,$D522)),0)),"Jabatan Lainnya"))</f>
        <v>Panitera</v>
      </c>
      <c r="T522" s="106" t="str" cm="1">
        <f t="array" ref="T522">IF(TRIM($I522)="","(tidak diisi)",IFERROR(INDEX(Kamus!$E$3:$E$162,MATCH(TRUE,ISNUMBER(SEARCH(Kamus!$D$3:$D$162,$I522)),0)),"Barang Lain / Tidak Terinci"))</f>
        <v>Barang Lain / Tidak Terinci</v>
      </c>
      <c r="U522" s="106" t="str" cm="1">
        <f t="array" ref="U522">IF(TRIM($I522)="","(tidak diisi)",IFERROR(INDEX(Kamus!$H$3:$H$75,MATCH(TRUE,ISNUMBER(SEARCH(Kamus!$G$3:$G$75,$I522)),0)),"Pemberian Umum / Tanpa Konteks"))</f>
        <v>Pemberian Umum / Tanpa Konteks</v>
      </c>
      <c r="V522" s="106" t="str">
        <f t="shared" si="24"/>
        <v>2025</v>
      </c>
      <c r="W522" s="106" t="str" cm="1">
        <f t="array" ref="W522">IF(TRIM($K522)="","(tidak diisi)",IFERROR(INDEX(Kamus!$K$3:$K$118,MATCH(TRUE,ISNUMBER(SEARCH(Kamus!$J$3:$J$118,$K522)),0)),"Individu / Perorangan"))</f>
        <v>Individu / Perorangan</v>
      </c>
      <c r="X522" s="106" t="str">
        <f t="shared" si="25"/>
        <v>10</v>
      </c>
      <c r="Y522" s="106" t="str" cm="1">
        <f t="array" ref="Y522">IFERROR(INDEX(Kamus!$N$3:$N$111,MATCH(TRUE,ISNUMBER(SEARCH(Kamus!$M$3:$M$111,$I522)),0)),"")</f>
        <v/>
      </c>
      <c r="Z522" s="106" t="str">
        <f>IF(AND(OR($X522="02",$X522="03",$X522="04"),OR($T522="Parsel/Bingkisan (tidak dirinci)",$T522="Makanan &amp; Minuman",$T522="Peralatan Rumah Tangga / Pecah Belah",$T522="Pakaian &amp; Kain")),"Momen Hari Raya (dugaan musiman)",IFERROR(VLOOKUP($W522,Kamus!$P$3:$Q$14,2,FALSE),"Tidak Teridentifikasi"))</f>
        <v>Relasi Personal / Tidak Teridentifikasi</v>
      </c>
      <c r="AA522" s="106" t="str">
        <f t="shared" si="26"/>
        <v>Relasi Personal / Tidak Teridentifikasi</v>
      </c>
    </row>
    <row r="523" spans="1:27">
      <c r="A523" s="106">
        <v>522</v>
      </c>
      <c r="B523" s="106" t="s">
        <v>1334</v>
      </c>
      <c r="C523" s="107" t="s">
        <v>1335</v>
      </c>
      <c r="D523" s="106" t="s">
        <v>1336</v>
      </c>
      <c r="E523" s="106" t="s">
        <v>1005</v>
      </c>
      <c r="F523" s="106" t="s">
        <v>3598</v>
      </c>
      <c r="G523" s="106" t="s">
        <v>1074</v>
      </c>
      <c r="H523" s="106" t="s">
        <v>3599</v>
      </c>
      <c r="I523" s="106" t="s">
        <v>3600</v>
      </c>
      <c r="J523" s="106">
        <v>42000</v>
      </c>
      <c r="K523" s="106" t="s">
        <v>3601</v>
      </c>
      <c r="L523" s="106" t="s">
        <v>3602</v>
      </c>
      <c r="M523" s="106" t="s">
        <v>2247</v>
      </c>
      <c r="O523" s="106" t="s">
        <v>274</v>
      </c>
      <c r="S523" s="106" t="str" cm="1">
        <f t="array" ref="S523">IF(TRIM($D523)="","(tidak diisi)",IFERROR(INDEX(Kamus!$B$3:$B$28,MATCH(TRUE,ISNUMBER(SEARCH(Kamus!$A$3:$A$28,$D523)),0)),"Jabatan Lainnya"))</f>
        <v>Panitera</v>
      </c>
      <c r="T523" s="106" t="str" cm="1">
        <f t="array" ref="T523">IF(TRIM($I523)="","(tidak diisi)",IFERROR(INDEX(Kamus!$E$3:$E$162,MATCH(TRUE,ISNUMBER(SEARCH(Kamus!$D$3:$D$162,$I523)),0)),"Barang Lain / Tidak Terinci"))</f>
        <v>Makanan &amp; Minuman</v>
      </c>
      <c r="U523" s="106" t="str" cm="1">
        <f t="array" ref="U523">IF(TRIM($I523)="","(tidak diisi)",IFERROR(INDEX(Kamus!$H$3:$H$75,MATCH(TRUE,ISNUMBER(SEARCH(Kamus!$G$3:$G$75,$I523)),0)),"Pemberian Umum / Tanpa Konteks"))</f>
        <v>Pemberian Umum / Tanpa Konteks</v>
      </c>
      <c r="V523" s="106" t="str">
        <f t="shared" si="24"/>
        <v>2025</v>
      </c>
      <c r="W523" s="106" t="str" cm="1">
        <f t="array" ref="W523">IF(TRIM($K523)="","(tidak diisi)",IFERROR(INDEX(Kamus!$K$3:$K$118,MATCH(TRUE,ISNUMBER(SEARCH(Kamus!$J$3:$J$118,$K523)),0)),"Individu / Perorangan"))</f>
        <v>Individu / Perorangan</v>
      </c>
      <c r="X523" s="106" t="str">
        <f t="shared" si="25"/>
        <v>10</v>
      </c>
      <c r="Y523" s="106" t="str" cm="1">
        <f t="array" ref="Y523">IFERROR(INDEX(Kamus!$N$3:$N$111,MATCH(TRUE,ISNUMBER(SEARCH(Kamus!$M$3:$M$111,$I523)),0)),"")</f>
        <v/>
      </c>
      <c r="Z523" s="106" t="str">
        <f>IF(AND(OR($X523="02",$X523="03",$X523="04"),OR($T523="Parsel/Bingkisan (tidak dirinci)",$T523="Makanan &amp; Minuman",$T523="Peralatan Rumah Tangga / Pecah Belah",$T523="Pakaian &amp; Kain")),"Momen Hari Raya (dugaan musiman)",IFERROR(VLOOKUP($W523,Kamus!$P$3:$Q$14,2,FALSE),"Tidak Teridentifikasi"))</f>
        <v>Relasi Personal / Tidak Teridentifikasi</v>
      </c>
      <c r="AA523" s="106" t="str">
        <f t="shared" si="26"/>
        <v>Relasi Personal / Tidak Teridentifikasi</v>
      </c>
    </row>
    <row r="524" spans="1:27">
      <c r="A524" s="106">
        <v>523</v>
      </c>
      <c r="B524" s="106" t="s">
        <v>1727</v>
      </c>
      <c r="C524" s="107" t="s">
        <v>1728</v>
      </c>
      <c r="D524" s="106" t="s">
        <v>1144</v>
      </c>
      <c r="E524" s="106" t="s">
        <v>2733</v>
      </c>
      <c r="F524" s="106" t="s">
        <v>3603</v>
      </c>
      <c r="G524" s="106" t="s">
        <v>1006</v>
      </c>
      <c r="H524" s="106" t="s">
        <v>3604</v>
      </c>
      <c r="I524" s="106" t="s">
        <v>3605</v>
      </c>
      <c r="J524" s="106">
        <v>130000</v>
      </c>
      <c r="K524" s="106" t="s">
        <v>3606</v>
      </c>
      <c r="L524" s="106" t="s">
        <v>3607</v>
      </c>
      <c r="M524" s="106" t="s">
        <v>1039</v>
      </c>
      <c r="O524" s="106" t="s">
        <v>274</v>
      </c>
      <c r="Q524" s="106" t="s">
        <v>447</v>
      </c>
      <c r="S524" s="106" t="str" cm="1">
        <f t="array" ref="S524">IF(TRIM($D524)="","(tidak diisi)",IFERROR(INDEX(Kamus!$B$3:$B$28,MATCH(TRUE,ISNUMBER(SEARCH(Kamus!$A$3:$A$28,$D524)),0)),"Jabatan Lainnya"))</f>
        <v>Ketua Pengadilan</v>
      </c>
      <c r="T524" s="106" t="str" cm="1">
        <f t="array" ref="T524">IF(TRIM($I524)="","(tidak diisi)",IFERROR(INDEX(Kamus!$E$3:$E$162,MATCH(TRUE,ISNUMBER(SEARCH(Kamus!$D$3:$D$162,$I524)),0)),"Barang Lain / Tidak Terinci"))</f>
        <v>Peralatan Rumah Tangga / Pecah Belah</v>
      </c>
      <c r="U524" s="106" t="str" cm="1">
        <f t="array" ref="U524">IF(TRIM($I524)="","(tidak diisi)",IFERROR(INDEX(Kamus!$H$3:$H$75,MATCH(TRUE,ISNUMBER(SEARCH(Kamus!$G$3:$G$75,$I524)),0)),"Pemberian Umum / Tanpa Konteks"))</f>
        <v>Pemberian Umum / Tanpa Konteks</v>
      </c>
      <c r="V524" s="106" t="str">
        <f t="shared" si="24"/>
        <v>2025</v>
      </c>
      <c r="W524" s="106" t="str" cm="1">
        <f t="array" ref="W524">IF(TRIM($K524)="","(tidak diisi)",IFERROR(INDEX(Kamus!$K$3:$K$118,MATCH(TRUE,ISNUMBER(SEARCH(Kamus!$J$3:$J$118,$K524)),0)),"Individu / Perorangan"))</f>
        <v>Bank &amp; Lembaga Keuangan</v>
      </c>
      <c r="X524" s="106" t="str">
        <f t="shared" si="25"/>
        <v>10</v>
      </c>
      <c r="Y524" s="106" t="str" cm="1">
        <f t="array" ref="Y524">IFERROR(INDEX(Kamus!$N$3:$N$111,MATCH(TRUE,ISNUMBER(SEARCH(Kamus!$M$3:$M$111,$I524)),0)),"")</f>
        <v/>
      </c>
      <c r="Z524" s="106" t="str">
        <f>IF(AND(OR($X524="02",$X524="03",$X524="04"),OR($T524="Parsel/Bingkisan (tidak dirinci)",$T524="Makanan &amp; Minuman",$T524="Peralatan Rumah Tangga / Pecah Belah",$T524="Pakaian &amp; Kain")),"Momen Hari Raya (dugaan musiman)",IFERROR(VLOOKUP($W524,Kamus!$P$3:$Q$14,2,FALSE),"Tidak Teridentifikasi"))</f>
        <v>Relasi Layanan/Kerja Sama Perbankan (dugaan)</v>
      </c>
      <c r="AA524" s="106" t="str">
        <f t="shared" si="26"/>
        <v>Relasi Layanan/Kerja Sama Perbankan (dugaan)</v>
      </c>
    </row>
    <row r="525" spans="1:27">
      <c r="A525" s="106">
        <v>524</v>
      </c>
      <c r="B525" s="106" t="s">
        <v>3608</v>
      </c>
      <c r="C525" s="107" t="s">
        <v>3609</v>
      </c>
      <c r="D525" s="106" t="s">
        <v>3610</v>
      </c>
      <c r="E525" s="106" t="s">
        <v>3611</v>
      </c>
      <c r="F525" s="106" t="s">
        <v>3612</v>
      </c>
      <c r="G525" s="106" t="s">
        <v>1006</v>
      </c>
      <c r="H525" s="106" t="s">
        <v>3599</v>
      </c>
      <c r="I525" s="106" t="s">
        <v>1017</v>
      </c>
      <c r="J525" s="106">
        <v>1472600</v>
      </c>
      <c r="K525" s="106" t="s">
        <v>3613</v>
      </c>
      <c r="L525" s="106" t="s">
        <v>3614</v>
      </c>
      <c r="M525" s="106" t="s">
        <v>1110</v>
      </c>
      <c r="N525" s="106" t="s">
        <v>3615</v>
      </c>
      <c r="O525" s="106" t="s">
        <v>274</v>
      </c>
      <c r="P525" s="106" t="s">
        <v>3616</v>
      </c>
      <c r="Q525" s="106" t="s">
        <v>422</v>
      </c>
      <c r="S525" s="106" t="str" cm="1">
        <f t="array" ref="S525">IF(TRIM($D525)="","(tidak diisi)",IFERROR(INDEX(Kamus!$B$3:$B$28,MATCH(TRUE,ISNUMBER(SEARCH(Kamus!$A$3:$A$28,$D525)),0)),"Jabatan Lainnya"))</f>
        <v>Ketua Pengadilan</v>
      </c>
      <c r="T525" s="106" t="str" cm="1">
        <f t="array" ref="T525">IF(TRIM($I525)="","(tidak diisi)",IFERROR(INDEX(Kamus!$E$3:$E$162,MATCH(TRUE,ISNUMBER(SEARCH(Kamus!$D$3:$D$162,$I525)),0)),"Barang Lain / Tidak Terinci"))</f>
        <v>Uang &amp; Setara Uang</v>
      </c>
      <c r="U525" s="106" t="str" cm="1">
        <f t="array" ref="U525">IF(TRIM($I525)="","(tidak diisi)",IFERROR(INDEX(Kamus!$H$3:$H$75,MATCH(TRUE,ISNUMBER(SEARCH(Kamus!$G$3:$G$75,$I525)),0)),"Pemberian Umum / Tanpa Konteks"))</f>
        <v>Pemberian Uang Langsung</v>
      </c>
      <c r="V525" s="106" t="str">
        <f t="shared" si="24"/>
        <v>2025</v>
      </c>
      <c r="W525" s="106" t="str" cm="1">
        <f t="array" ref="W525">IF(TRIM($K525)="","(tidak diisi)",IFERROR(INDEX(Kamus!$K$3:$K$118,MATCH(TRUE,ISNUMBER(SEARCH(Kamus!$J$3:$J$118,$K525)),0)),"Individu / Perorangan"))</f>
        <v>Perusahaan / Vendor</v>
      </c>
      <c r="X525" s="106" t="str">
        <f t="shared" si="25"/>
        <v>10</v>
      </c>
      <c r="Y525" s="106" t="str" cm="1">
        <f t="array" ref="Y525">IFERROR(INDEX(Kamus!$N$3:$N$111,MATCH(TRUE,ISNUMBER(SEARCH(Kamus!$M$3:$M$111,$I525)),0)),"")</f>
        <v/>
      </c>
      <c r="Z525" s="106" t="str">
        <f>IF(AND(OR($X525="02",$X525="03",$X525="04"),OR($T525="Parsel/Bingkisan (tidak dirinci)",$T525="Makanan &amp; Minuman",$T525="Peralatan Rumah Tangga / Pecah Belah",$T525="Pakaian &amp; Kain")),"Momen Hari Raya (dugaan musiman)",IFERROR(VLOOKUP($W525,Kamus!$P$3:$Q$14,2,FALSE),"Tidak Teridentifikasi"))</f>
        <v>Relasi Vendor/Pengadaan (dugaan)</v>
      </c>
      <c r="AA525" s="106" t="str">
        <f t="shared" si="26"/>
        <v>Relasi Vendor/Pengadaan (dugaan)</v>
      </c>
    </row>
    <row r="526" spans="1:27">
      <c r="A526" s="106">
        <v>525</v>
      </c>
      <c r="B526" s="106" t="s">
        <v>1334</v>
      </c>
      <c r="C526" s="107" t="s">
        <v>1335</v>
      </c>
      <c r="D526" s="106" t="s">
        <v>1336</v>
      </c>
      <c r="E526" s="106" t="s">
        <v>1005</v>
      </c>
      <c r="F526" s="106" t="s">
        <v>3617</v>
      </c>
      <c r="G526" s="106" t="s">
        <v>1006</v>
      </c>
      <c r="H526" s="106" t="s">
        <v>3618</v>
      </c>
      <c r="I526" s="106" t="s">
        <v>3619</v>
      </c>
      <c r="K526" s="106" t="s">
        <v>3620</v>
      </c>
      <c r="L526" s="106" t="s">
        <v>3621</v>
      </c>
      <c r="O526" s="106" t="s">
        <v>274</v>
      </c>
      <c r="S526" s="106" t="str" cm="1">
        <f t="array" ref="S526">IF(TRIM($D526)="","(tidak diisi)",IFERROR(INDEX(Kamus!$B$3:$B$28,MATCH(TRUE,ISNUMBER(SEARCH(Kamus!$A$3:$A$28,$D526)),0)),"Jabatan Lainnya"))</f>
        <v>Panitera</v>
      </c>
      <c r="T526" s="106" t="str" cm="1">
        <f t="array" ref="T526">IF(TRIM($I526)="","(tidak diisi)",IFERROR(INDEX(Kamus!$E$3:$E$162,MATCH(TRUE,ISNUMBER(SEARCH(Kamus!$D$3:$D$162,$I526)),0)),"Barang Lain / Tidak Terinci"))</f>
        <v>Makanan &amp; Minuman</v>
      </c>
      <c r="U526" s="106" t="str" cm="1">
        <f t="array" ref="U526">IF(TRIM($I526)="","(tidak diisi)",IFERROR(INDEX(Kamus!$H$3:$H$75,MATCH(TRUE,ISNUMBER(SEARCH(Kamus!$G$3:$G$75,$I526)),0)),"Pemberian Umum / Tanpa Konteks"))</f>
        <v>Suvenir / Merchandise Kegiatan &amp; Kunjungan</v>
      </c>
      <c r="V526" s="106" t="str">
        <f t="shared" si="24"/>
        <v>2025</v>
      </c>
      <c r="W526" s="106" t="str" cm="1">
        <f t="array" ref="W526">IF(TRIM($K526)="","(tidak diisi)",IFERROR(INDEX(Kamus!$K$3:$K$118,MATCH(TRUE,ISNUMBER(SEARCH(Kamus!$J$3:$J$118,$K526)),0)),"Individu / Perorangan"))</f>
        <v>Kampus &amp; Sekolah</v>
      </c>
      <c r="X526" s="106" t="str">
        <f t="shared" si="25"/>
        <v>10</v>
      </c>
      <c r="Y526" s="106" t="str" cm="1">
        <f t="array" ref="Y526">IFERROR(INDEX(Kamus!$N$3:$N$111,MATCH(TRUE,ISNUMBER(SEARCH(Kamus!$M$3:$M$111,$I526)),0)),"")</f>
        <v/>
      </c>
      <c r="Z526" s="106" t="str">
        <f>IF(AND(OR($X526="02",$X526="03",$X526="04"),OR($T526="Parsel/Bingkisan (tidak dirinci)",$T526="Makanan &amp; Minuman",$T526="Peralatan Rumah Tangga / Pecah Belah",$T526="Pakaian &amp; Kain")),"Momen Hari Raya (dugaan musiman)",IFERROR(VLOOKUP($W526,Kamus!$P$3:$Q$14,2,FALSE),"Tidak Teridentifikasi"))</f>
        <v>Kerja Sama Pendidikan/PKL (dugaan)</v>
      </c>
      <c r="AA526" s="106" t="str">
        <f t="shared" si="26"/>
        <v>Kerja Sama Pendidikan/PKL (dugaan)</v>
      </c>
    </row>
    <row r="527" spans="1:27">
      <c r="A527" s="106">
        <v>526</v>
      </c>
      <c r="B527" s="106" t="s">
        <v>3575</v>
      </c>
      <c r="C527" s="107" t="s">
        <v>3576</v>
      </c>
      <c r="D527" s="106" t="s">
        <v>3146</v>
      </c>
      <c r="E527" s="106" t="s">
        <v>3577</v>
      </c>
      <c r="F527" s="106" t="s">
        <v>3622</v>
      </c>
      <c r="G527" s="106" t="s">
        <v>1006</v>
      </c>
      <c r="H527" s="106" t="s">
        <v>3579</v>
      </c>
      <c r="I527" s="106" t="s">
        <v>3623</v>
      </c>
      <c r="J527" s="106">
        <v>67500</v>
      </c>
      <c r="K527" s="106" t="s">
        <v>3624</v>
      </c>
      <c r="L527" s="106" t="s">
        <v>3625</v>
      </c>
      <c r="M527" s="106" t="s">
        <v>1039</v>
      </c>
      <c r="O527" s="106" t="s">
        <v>274</v>
      </c>
      <c r="Q527" s="106" t="s">
        <v>451</v>
      </c>
      <c r="S527" s="106" t="str" cm="1">
        <f t="array" ref="S527">IF(TRIM($D527)="","(tidak diisi)",IFERROR(INDEX(Kamus!$B$3:$B$28,MATCH(TRUE,ISNUMBER(SEARCH(Kamus!$A$3:$A$28,$D527)),0)),"Jabatan Lainnya"))</f>
        <v>Hakim</v>
      </c>
      <c r="T527" s="106" t="str" cm="1">
        <f t="array" ref="T527">IF(TRIM($I527)="","(tidak diisi)",IFERROR(INDEX(Kamus!$E$3:$E$162,MATCH(TRUE,ISNUMBER(SEARCH(Kamus!$D$3:$D$162,$I527)),0)),"Barang Lain / Tidak Terinci"))</f>
        <v>Suvenir &amp; Merchandise</v>
      </c>
      <c r="U527" s="106" t="str" cm="1">
        <f t="array" ref="U527">IF(TRIM($I527)="","(tidak diisi)",IFERROR(INDEX(Kamus!$H$3:$H$75,MATCH(TRUE,ISNUMBER(SEARCH(Kamus!$G$3:$G$75,$I527)),0)),"Pemberian Umum / Tanpa Konteks"))</f>
        <v>Suvenir / Merchandise Kegiatan &amp; Kunjungan</v>
      </c>
      <c r="V527" s="106" t="str">
        <f t="shared" si="24"/>
        <v>2025</v>
      </c>
      <c r="W527" s="106" t="str" cm="1">
        <f t="array" ref="W527">IF(TRIM($K527)="","(tidak diisi)",IFERROR(INDEX(Kamus!$K$3:$K$118,MATCH(TRUE,ISNUMBER(SEARCH(Kamus!$J$3:$J$118,$K527)),0)),"Individu / Perorangan"))</f>
        <v>Kampus &amp; Sekolah</v>
      </c>
      <c r="X527" s="106" t="str">
        <f t="shared" si="25"/>
        <v>10</v>
      </c>
      <c r="Y527" s="106" t="str" cm="1">
        <f t="array" ref="Y527">IFERROR(INDEX(Kamus!$N$3:$N$111,MATCH(TRUE,ISNUMBER(SEARCH(Kamus!$M$3:$M$111,$I527)),0)),"")</f>
        <v/>
      </c>
      <c r="Z527" s="106" t="str">
        <f>IF(AND(OR($X527="02",$X527="03",$X527="04"),OR($T527="Parsel/Bingkisan (tidak dirinci)",$T527="Makanan &amp; Minuman",$T527="Peralatan Rumah Tangga / Pecah Belah",$T527="Pakaian &amp; Kain")),"Momen Hari Raya (dugaan musiman)",IFERROR(VLOOKUP($W527,Kamus!$P$3:$Q$14,2,FALSE),"Tidak Teridentifikasi"))</f>
        <v>Kerja Sama Pendidikan/PKL (dugaan)</v>
      </c>
      <c r="AA527" s="106" t="str">
        <f t="shared" si="26"/>
        <v>Kerja Sama Pendidikan/PKL (dugaan)</v>
      </c>
    </row>
    <row r="528" spans="1:27">
      <c r="A528" s="106">
        <v>527</v>
      </c>
      <c r="B528" s="106" t="s">
        <v>1040</v>
      </c>
      <c r="C528" s="107" t="s">
        <v>1041</v>
      </c>
      <c r="D528" s="106" t="s">
        <v>1042</v>
      </c>
      <c r="E528" s="106" t="s">
        <v>1043</v>
      </c>
      <c r="F528" s="106" t="s">
        <v>3626</v>
      </c>
      <c r="G528" s="106" t="s">
        <v>1006</v>
      </c>
      <c r="H528" s="106" t="s">
        <v>3618</v>
      </c>
      <c r="I528" s="106" t="s">
        <v>3627</v>
      </c>
      <c r="K528" s="106" t="s">
        <v>3628</v>
      </c>
      <c r="L528" s="106" t="s">
        <v>3629</v>
      </c>
      <c r="O528" s="106" t="s">
        <v>274</v>
      </c>
      <c r="P528" s="106" t="s">
        <v>1047</v>
      </c>
      <c r="Q528" s="106" t="s">
        <v>420</v>
      </c>
      <c r="S528" s="106" t="str" cm="1">
        <f t="array" ref="S528">IF(TRIM($D528)="","(tidak diisi)",IFERROR(INDEX(Kamus!$B$3:$B$28,MATCH(TRUE,ISNUMBER(SEARCH(Kamus!$A$3:$A$28,$D528)),0)),"Jabatan Lainnya"))</f>
        <v>Ketua Pengadilan</v>
      </c>
      <c r="T528" s="106" t="str" cm="1">
        <f t="array" ref="T528">IF(TRIM($I528)="","(tidak diisi)",IFERROR(INDEX(Kamus!$E$3:$E$162,MATCH(TRUE,ISNUMBER(SEARCH(Kamus!$D$3:$D$162,$I528)),0)),"Barang Lain / Tidak Terinci"))</f>
        <v>Pakaian &amp; Kain</v>
      </c>
      <c r="U528" s="106" t="str" cm="1">
        <f t="array" ref="U528">IF(TRIM($I528)="","(tidak diisi)",IFERROR(INDEX(Kamus!$H$3:$H$75,MATCH(TRUE,ISNUMBER(SEARCH(Kamus!$G$3:$G$75,$I528)),0)),"Pemberian Umum / Tanpa Konteks"))</f>
        <v>Suvenir / Merchandise Kegiatan &amp; Kunjungan</v>
      </c>
      <c r="V528" s="106" t="str">
        <f t="shared" si="24"/>
        <v>2025</v>
      </c>
      <c r="W528" s="106" t="str" cm="1">
        <f t="array" ref="W528">IF(TRIM($K528)="","(tidak diisi)",IFERROR(INDEX(Kamus!$K$3:$K$118,MATCH(TRUE,ISNUMBER(SEARCH(Kamus!$J$3:$J$118,$K528)),0)),"Individu / Perorangan"))</f>
        <v>Individu / Perorangan</v>
      </c>
      <c r="X528" s="106" t="str">
        <f t="shared" si="25"/>
        <v>10</v>
      </c>
      <c r="Y528" s="106" t="str" cm="1">
        <f t="array" ref="Y528">IFERROR(INDEX(Kamus!$N$3:$N$111,MATCH(TRUE,ISNUMBER(SEARCH(Kamus!$M$3:$M$111,$I528)),0)),"")</f>
        <v/>
      </c>
      <c r="Z528" s="106" t="str">
        <f>IF(AND(OR($X528="02",$X528="03",$X528="04"),OR($T528="Parsel/Bingkisan (tidak dirinci)",$T528="Makanan &amp; Minuman",$T528="Peralatan Rumah Tangga / Pecah Belah",$T528="Pakaian &amp; Kain")),"Momen Hari Raya (dugaan musiman)",IFERROR(VLOOKUP($W528,Kamus!$P$3:$Q$14,2,FALSE),"Tidak Teridentifikasi"))</f>
        <v>Relasi Personal / Tidak Teridentifikasi</v>
      </c>
      <c r="AA528" s="106" t="str">
        <f t="shared" si="26"/>
        <v>Relasi Personal / Tidak Teridentifikasi</v>
      </c>
    </row>
    <row r="529" spans="1:27">
      <c r="A529" s="106">
        <v>528</v>
      </c>
      <c r="B529" s="106" t="s">
        <v>3608</v>
      </c>
      <c r="C529" s="107" t="s">
        <v>3609</v>
      </c>
      <c r="D529" s="106" t="s">
        <v>3610</v>
      </c>
      <c r="E529" s="106" t="s">
        <v>3611</v>
      </c>
      <c r="F529" s="106" t="s">
        <v>3630</v>
      </c>
      <c r="G529" s="106" t="s">
        <v>1006</v>
      </c>
      <c r="H529" s="106" t="s">
        <v>3631</v>
      </c>
      <c r="I529" s="106" t="s">
        <v>3632</v>
      </c>
      <c r="J529" s="106">
        <v>279000</v>
      </c>
      <c r="K529" s="106" t="s">
        <v>3633</v>
      </c>
      <c r="L529" s="106" t="s">
        <v>3634</v>
      </c>
      <c r="M529" s="106" t="s">
        <v>1039</v>
      </c>
      <c r="O529" s="106" t="s">
        <v>274</v>
      </c>
      <c r="P529" s="106" t="s">
        <v>3616</v>
      </c>
      <c r="Q529" s="106" t="s">
        <v>422</v>
      </c>
      <c r="S529" s="106" t="str" cm="1">
        <f t="array" ref="S529">IF(TRIM($D529)="","(tidak diisi)",IFERROR(INDEX(Kamus!$B$3:$B$28,MATCH(TRUE,ISNUMBER(SEARCH(Kamus!$A$3:$A$28,$D529)),0)),"Jabatan Lainnya"))</f>
        <v>Ketua Pengadilan</v>
      </c>
      <c r="T529" s="106" t="str" cm="1">
        <f t="array" ref="T529">IF(TRIM($I529)="","(tidak diisi)",IFERROR(INDEX(Kamus!$E$3:$E$162,MATCH(TRUE,ISNUMBER(SEARCH(Kamus!$D$3:$D$162,$I529)),0)),"Barang Lain / Tidak Terinci"))</f>
        <v>Buku &amp; Publikasi</v>
      </c>
      <c r="U529" s="106" t="str" cm="1">
        <f t="array" ref="U529">IF(TRIM($I529)="","(tidak diisi)",IFERROR(INDEX(Kamus!$H$3:$H$75,MATCH(TRUE,ISNUMBER(SEARCH(Kamus!$G$3:$G$75,$I529)),0)),"Pemberian Umum / Tanpa Konteks"))</f>
        <v>Pemberian Umum / Tanpa Konteks</v>
      </c>
      <c r="V529" s="106" t="str">
        <f t="shared" si="24"/>
        <v>2025</v>
      </c>
      <c r="W529" s="106" t="str" cm="1">
        <f t="array" ref="W529">IF(TRIM($K529)="","(tidak diisi)",IFERROR(INDEX(Kamus!$K$3:$K$118,MATCH(TRUE,ISNUMBER(SEARCH(Kamus!$J$3:$J$118,$K529)),0)),"Individu / Perorangan"))</f>
        <v>Kampus &amp; Sekolah</v>
      </c>
      <c r="X529" s="106" t="str">
        <f t="shared" si="25"/>
        <v>08</v>
      </c>
      <c r="Y529" s="106" t="str" cm="1">
        <f t="array" ref="Y529">IFERROR(INDEX(Kamus!$N$3:$N$111,MATCH(TRUE,ISNUMBER(SEARCH(Kamus!$M$3:$M$111,$I529)),0)),"")</f>
        <v/>
      </c>
      <c r="Z529" s="106" t="str">
        <f>IF(AND(OR($X529="02",$X529="03",$X529="04"),OR($T529="Parsel/Bingkisan (tidak dirinci)",$T529="Makanan &amp; Minuman",$T529="Peralatan Rumah Tangga / Pecah Belah",$T529="Pakaian &amp; Kain")),"Momen Hari Raya (dugaan musiman)",IFERROR(VLOOKUP($W529,Kamus!$P$3:$Q$14,2,FALSE),"Tidak Teridentifikasi"))</f>
        <v>Kerja Sama Pendidikan/PKL (dugaan)</v>
      </c>
      <c r="AA529" s="106" t="str">
        <f t="shared" si="26"/>
        <v>Kerja Sama Pendidikan/PKL (dugaan)</v>
      </c>
    </row>
    <row r="530" spans="1:27">
      <c r="A530" s="106">
        <v>529</v>
      </c>
      <c r="B530" s="106" t="s">
        <v>1002</v>
      </c>
      <c r="C530" s="107" t="s">
        <v>1003</v>
      </c>
      <c r="D530" s="106" t="s">
        <v>1004</v>
      </c>
      <c r="E530" s="106" t="s">
        <v>1005</v>
      </c>
      <c r="F530" s="106" t="s">
        <v>3635</v>
      </c>
      <c r="G530" s="106" t="s">
        <v>1006</v>
      </c>
      <c r="H530" s="106" t="s">
        <v>3636</v>
      </c>
      <c r="I530" s="106" t="s">
        <v>3637</v>
      </c>
      <c r="K530" s="106" t="s">
        <v>3638</v>
      </c>
      <c r="L530" s="106" t="s">
        <v>3639</v>
      </c>
      <c r="O530" s="106" t="s">
        <v>274</v>
      </c>
      <c r="S530" s="106" t="str" cm="1">
        <f t="array" ref="S530">IF(TRIM($D530)="","(tidak diisi)",IFERROR(INDEX(Kamus!$B$3:$B$28,MATCH(TRUE,ISNUMBER(SEARCH(Kamus!$A$3:$A$28,$D530)),0)),"Jabatan Lainnya"))</f>
        <v>Sekretaris</v>
      </c>
      <c r="T530" s="106" t="str" cm="1">
        <f t="array" ref="T530">IF(TRIM($I530)="","(tidak diisi)",IFERROR(INDEX(Kamus!$E$3:$E$162,MATCH(TRUE,ISNUMBER(SEARCH(Kamus!$D$3:$D$162,$I530)),0)),"Barang Lain / Tidak Terinci"))</f>
        <v>Uang &amp; Setara Uang</v>
      </c>
      <c r="U530" s="106" t="str" cm="1">
        <f t="array" ref="U530">IF(TRIM($I530)="","(tidak diisi)",IFERROR(INDEX(Kamus!$H$3:$H$75,MATCH(TRUE,ISNUMBER(SEARCH(Kamus!$G$3:$G$75,$I530)),0)),"Pemberian Umum / Tanpa Konteks"))</f>
        <v>Pemberian Uang Langsung</v>
      </c>
      <c r="V530" s="106" t="str">
        <f t="shared" si="24"/>
        <v>2025</v>
      </c>
      <c r="W530" s="106" t="str" cm="1">
        <f t="array" ref="W530">IF(TRIM($K530)="","(tidak diisi)",IFERROR(INDEX(Kamus!$K$3:$K$118,MATCH(TRUE,ISNUMBER(SEARCH(Kamus!$J$3:$J$118,$K530)),0)),"Individu / Perorangan"))</f>
        <v>Individu / Perorangan</v>
      </c>
      <c r="X530" s="106" t="str">
        <f t="shared" si="25"/>
        <v>10</v>
      </c>
      <c r="Y530" s="106" t="str" cm="1">
        <f t="array" ref="Y530">IFERROR(INDEX(Kamus!$N$3:$N$111,MATCH(TRUE,ISNUMBER(SEARCH(Kamus!$M$3:$M$111,$I530)),0)),"")</f>
        <v/>
      </c>
      <c r="Z530" s="106" t="str">
        <f>IF(AND(OR($X530="02",$X530="03",$X530="04"),OR($T530="Parsel/Bingkisan (tidak dirinci)",$T530="Makanan &amp; Minuman",$T530="Peralatan Rumah Tangga / Pecah Belah",$T530="Pakaian &amp; Kain")),"Momen Hari Raya (dugaan musiman)",IFERROR(VLOOKUP($W530,Kamus!$P$3:$Q$14,2,FALSE),"Tidak Teridentifikasi"))</f>
        <v>Relasi Personal / Tidak Teridentifikasi</v>
      </c>
      <c r="AA530" s="106" t="str">
        <f t="shared" si="26"/>
        <v>Relasi Personal / Tidak Teridentifikasi</v>
      </c>
    </row>
    <row r="531" spans="1:27">
      <c r="A531" s="106">
        <v>530</v>
      </c>
      <c r="B531" s="106" t="s">
        <v>3640</v>
      </c>
      <c r="C531" s="107" t="s">
        <v>3641</v>
      </c>
      <c r="D531" s="106" t="s">
        <v>1042</v>
      </c>
      <c r="E531" s="106" t="s">
        <v>3642</v>
      </c>
      <c r="F531" s="106" t="s">
        <v>3643</v>
      </c>
      <c r="G531" s="106" t="s">
        <v>1006</v>
      </c>
      <c r="H531" s="106" t="s">
        <v>3644</v>
      </c>
      <c r="I531" s="106" t="s">
        <v>3645</v>
      </c>
      <c r="J531" s="106">
        <v>1300000</v>
      </c>
      <c r="K531" s="106" t="s">
        <v>3646</v>
      </c>
      <c r="L531" s="106" t="s">
        <v>3647</v>
      </c>
      <c r="M531" s="106" t="s">
        <v>1020</v>
      </c>
      <c r="O531" s="106" t="s">
        <v>274</v>
      </c>
      <c r="Q531" s="106" t="s">
        <v>332</v>
      </c>
      <c r="S531" s="106" t="str" cm="1">
        <f t="array" ref="S531">IF(TRIM($D531)="","(tidak diisi)",IFERROR(INDEX(Kamus!$B$3:$B$28,MATCH(TRUE,ISNUMBER(SEARCH(Kamus!$A$3:$A$28,$D531)),0)),"Jabatan Lainnya"))</f>
        <v>Ketua Pengadilan</v>
      </c>
      <c r="T531" s="106" t="str" cm="1">
        <f t="array" ref="T531">IF(TRIM($I531)="","(tidak diisi)",IFERROR(INDEX(Kamus!$E$3:$E$162,MATCH(TRUE,ISNUMBER(SEARCH(Kamus!$D$3:$D$162,$I531)),0)),"Barang Lain / Tidak Terinci"))</f>
        <v>Uang &amp; Setara Uang</v>
      </c>
      <c r="U531" s="106" t="str" cm="1">
        <f t="array" ref="U531">IF(TRIM($I531)="","(tidak diisi)",IFERROR(INDEX(Kamus!$H$3:$H$75,MATCH(TRUE,ISNUMBER(SEARCH(Kamus!$G$3:$G$75,$I531)),0)),"Pemberian Umum / Tanpa Konteks"))</f>
        <v>Honor / Uang Kegiatan</v>
      </c>
      <c r="V531" s="106" t="str">
        <f t="shared" si="24"/>
        <v>2025</v>
      </c>
      <c r="W531" s="106" t="str" cm="1">
        <f t="array" ref="W531">IF(TRIM($K531)="","(tidak diisi)",IFERROR(INDEX(Kamus!$K$3:$K$118,MATCH(TRUE,ISNUMBER(SEARCH(Kamus!$J$3:$J$118,$K531)),0)),"Individu / Perorangan"))</f>
        <v>Individu / Perorangan</v>
      </c>
      <c r="X531" s="106" t="str">
        <f t="shared" si="25"/>
        <v>10</v>
      </c>
      <c r="Y531" s="106" t="str" cm="1">
        <f t="array" ref="Y531">IFERROR(INDEX(Kamus!$N$3:$N$111,MATCH(TRUE,ISNUMBER(SEARCH(Kamus!$M$3:$M$111,$I531)),0)),"")</f>
        <v>Diklat / Bimtek / Seminar &amp; Narasumber</v>
      </c>
      <c r="Z531" s="106" t="str">
        <f>IF(AND(OR($X531="02",$X531="03",$X531="04"),OR($T531="Parsel/Bingkisan (tidak dirinci)",$T531="Makanan &amp; Minuman",$T531="Peralatan Rumah Tangga / Pecah Belah",$T531="Pakaian &amp; Kain")),"Momen Hari Raya (dugaan musiman)",IFERROR(VLOOKUP($W531,Kamus!$P$3:$Q$14,2,FALSE),"Tidak Teridentifikasi"))</f>
        <v>Relasi Personal / Tidak Teridentifikasi</v>
      </c>
      <c r="AA531" s="106" t="str">
        <f t="shared" si="26"/>
        <v>Diklat / Bimtek / Seminar &amp; Narasumber</v>
      </c>
    </row>
    <row r="532" spans="1:27">
      <c r="A532" s="106">
        <v>531</v>
      </c>
      <c r="B532" s="106" t="s">
        <v>1060</v>
      </c>
      <c r="C532" s="107" t="s">
        <v>1061</v>
      </c>
      <c r="D532" s="106" t="s">
        <v>1033</v>
      </c>
      <c r="E532" s="106" t="s">
        <v>1062</v>
      </c>
      <c r="F532" s="106" t="s">
        <v>3648</v>
      </c>
      <c r="G532" s="106" t="s">
        <v>1074</v>
      </c>
      <c r="H532" s="106" t="s">
        <v>3649</v>
      </c>
      <c r="I532" s="106" t="s">
        <v>2693</v>
      </c>
      <c r="K532" s="106" t="s">
        <v>2587</v>
      </c>
      <c r="L532" s="106" t="s">
        <v>3650</v>
      </c>
      <c r="O532" s="106" t="s">
        <v>274</v>
      </c>
      <c r="P532" s="106" t="s">
        <v>1067</v>
      </c>
      <c r="Q532" s="106" t="s">
        <v>350</v>
      </c>
      <c r="S532" s="106" t="str" cm="1">
        <f t="array" ref="S532">IF(TRIM($D532)="","(tidak diisi)",IFERROR(INDEX(Kamus!$B$3:$B$28,MATCH(TRUE,ISNUMBER(SEARCH(Kamus!$A$3:$A$28,$D532)),0)),"Jabatan Lainnya"))</f>
        <v>Hakim</v>
      </c>
      <c r="T532" s="106" t="str" cm="1">
        <f t="array" ref="T532">IF(TRIM($I532)="","(tidak diisi)",IFERROR(INDEX(Kamus!$E$3:$E$162,MATCH(TRUE,ISNUMBER(SEARCH(Kamus!$D$3:$D$162,$I532)),0)),"Barang Lain / Tidak Terinci"))</f>
        <v>Makanan &amp; Minuman</v>
      </c>
      <c r="U532" s="106" t="str" cm="1">
        <f t="array" ref="U532">IF(TRIM($I532)="","(tidak diisi)",IFERROR(INDEX(Kamus!$H$3:$H$75,MATCH(TRUE,ISNUMBER(SEARCH(Kamus!$G$3:$G$75,$I532)),0)),"Pemberian Umum / Tanpa Konteks"))</f>
        <v>Pemberian Umum / Tanpa Konteks</v>
      </c>
      <c r="V532" s="106" t="str">
        <f t="shared" si="24"/>
        <v>2025</v>
      </c>
      <c r="W532" s="106" t="str" cm="1">
        <f t="array" ref="W532">IF(TRIM($K532)="","(tidak diisi)",IFERROR(INDEX(Kamus!$K$3:$K$118,MATCH(TRUE,ISNUMBER(SEARCH(Kamus!$J$3:$J$118,$K532)),0)),"Individu / Perorangan"))</f>
        <v>Individu / Perorangan</v>
      </c>
      <c r="X532" s="106" t="str">
        <f t="shared" si="25"/>
        <v>10</v>
      </c>
      <c r="Y532" s="106" t="str" cm="1">
        <f t="array" ref="Y532">IFERROR(INDEX(Kamus!$N$3:$N$111,MATCH(TRUE,ISNUMBER(SEARCH(Kamus!$M$3:$M$111,$I532)),0)),"")</f>
        <v/>
      </c>
      <c r="Z532" s="106" t="str">
        <f>IF(AND(OR($X532="02",$X532="03",$X532="04"),OR($T532="Parsel/Bingkisan (tidak dirinci)",$T532="Makanan &amp; Minuman",$T532="Peralatan Rumah Tangga / Pecah Belah",$T532="Pakaian &amp; Kain")),"Momen Hari Raya (dugaan musiman)",IFERROR(VLOOKUP($W532,Kamus!$P$3:$Q$14,2,FALSE),"Tidak Teridentifikasi"))</f>
        <v>Relasi Personal / Tidak Teridentifikasi</v>
      </c>
      <c r="AA532" s="106" t="str">
        <f t="shared" si="26"/>
        <v>Relasi Personal / Tidak Teridentifikasi</v>
      </c>
    </row>
    <row r="533" spans="1:27">
      <c r="A533" s="106">
        <v>532</v>
      </c>
      <c r="B533" s="106" t="s">
        <v>1060</v>
      </c>
      <c r="C533" s="107" t="s">
        <v>1061</v>
      </c>
      <c r="D533" s="106" t="s">
        <v>1033</v>
      </c>
      <c r="E533" s="106" t="s">
        <v>1062</v>
      </c>
      <c r="F533" s="106" t="s">
        <v>3651</v>
      </c>
      <c r="G533" s="106" t="s">
        <v>1006</v>
      </c>
      <c r="H533" s="106" t="s">
        <v>3618</v>
      </c>
      <c r="I533" s="106" t="s">
        <v>3652</v>
      </c>
      <c r="K533" s="106" t="s">
        <v>3653</v>
      </c>
      <c r="L533" s="106" t="s">
        <v>3654</v>
      </c>
      <c r="O533" s="106" t="s">
        <v>274</v>
      </c>
      <c r="P533" s="106" t="s">
        <v>1067</v>
      </c>
      <c r="Q533" s="106" t="s">
        <v>350</v>
      </c>
      <c r="S533" s="106" t="str" cm="1">
        <f t="array" ref="S533">IF(TRIM($D533)="","(tidak diisi)",IFERROR(INDEX(Kamus!$B$3:$B$28,MATCH(TRUE,ISNUMBER(SEARCH(Kamus!$A$3:$A$28,$D533)),0)),"Jabatan Lainnya"))</f>
        <v>Hakim</v>
      </c>
      <c r="T533" s="106" t="str" cm="1">
        <f t="array" ref="T533">IF(TRIM($I533)="","(tidak diisi)",IFERROR(INDEX(Kamus!$E$3:$E$162,MATCH(TRUE,ISNUMBER(SEARCH(Kamus!$D$3:$D$162,$I533)),0)),"Barang Lain / Tidak Terinci"))</f>
        <v>Makanan &amp; Minuman</v>
      </c>
      <c r="U533" s="106" t="str" cm="1">
        <f t="array" ref="U533">IF(TRIM($I533)="","(tidak diisi)",IFERROR(INDEX(Kamus!$H$3:$H$75,MATCH(TRUE,ISNUMBER(SEARCH(Kamus!$G$3:$G$75,$I533)),0)),"Pemberian Umum / Tanpa Konteks"))</f>
        <v>Jamuan / Konsumsi Rapat &amp; Kegiatan</v>
      </c>
      <c r="V533" s="106" t="str">
        <f t="shared" si="24"/>
        <v>2025</v>
      </c>
      <c r="W533" s="106" t="str" cm="1">
        <f t="array" ref="W533">IF(TRIM($K533)="","(tidak diisi)",IFERROR(INDEX(Kamus!$K$3:$K$118,MATCH(TRUE,ISNUMBER(SEARCH(Kamus!$J$3:$J$118,$K533)),0)),"Individu / Perorangan"))</f>
        <v>Individu / Perorangan</v>
      </c>
      <c r="X533" s="106" t="str">
        <f t="shared" si="25"/>
        <v>10</v>
      </c>
      <c r="Y533" s="106" t="str" cm="1">
        <f t="array" ref="Y533">IFERROR(INDEX(Kamus!$N$3:$N$111,MATCH(TRUE,ISNUMBER(SEARCH(Kamus!$M$3:$M$111,$I533)),0)),"")</f>
        <v>Rapat / Jamuan Dinas</v>
      </c>
      <c r="Z533" s="106" t="str">
        <f>IF(AND(OR($X533="02",$X533="03",$X533="04"),OR($T533="Parsel/Bingkisan (tidak dirinci)",$T533="Makanan &amp; Minuman",$T533="Peralatan Rumah Tangga / Pecah Belah",$T533="Pakaian &amp; Kain")),"Momen Hari Raya (dugaan musiman)",IFERROR(VLOOKUP($W533,Kamus!$P$3:$Q$14,2,FALSE),"Tidak Teridentifikasi"))</f>
        <v>Relasi Personal / Tidak Teridentifikasi</v>
      </c>
      <c r="AA533" s="106" t="str">
        <f t="shared" si="26"/>
        <v>Rapat / Jamuan Dinas</v>
      </c>
    </row>
    <row r="534" spans="1:27">
      <c r="A534" s="106">
        <v>533</v>
      </c>
      <c r="B534" s="106" t="s">
        <v>1060</v>
      </c>
      <c r="C534" s="107" t="s">
        <v>1061</v>
      </c>
      <c r="D534" s="106" t="s">
        <v>1033</v>
      </c>
      <c r="E534" s="106" t="s">
        <v>1062</v>
      </c>
      <c r="F534" s="106" t="s">
        <v>3655</v>
      </c>
      <c r="G534" s="106" t="s">
        <v>1006</v>
      </c>
      <c r="H534" s="106" t="s">
        <v>3618</v>
      </c>
      <c r="I534" s="106" t="s">
        <v>3656</v>
      </c>
      <c r="K534" s="106" t="s">
        <v>3657</v>
      </c>
      <c r="L534" s="106" t="s">
        <v>3658</v>
      </c>
      <c r="O534" s="106" t="s">
        <v>274</v>
      </c>
      <c r="P534" s="106" t="s">
        <v>1067</v>
      </c>
      <c r="Q534" s="106" t="s">
        <v>350</v>
      </c>
      <c r="S534" s="106" t="str" cm="1">
        <f t="array" ref="S534">IF(TRIM($D534)="","(tidak diisi)",IFERROR(INDEX(Kamus!$B$3:$B$28,MATCH(TRUE,ISNUMBER(SEARCH(Kamus!$A$3:$A$28,$D534)),0)),"Jabatan Lainnya"))</f>
        <v>Hakim</v>
      </c>
      <c r="T534" s="106" t="str" cm="1">
        <f t="array" ref="T534">IF(TRIM($I534)="","(tidak diisi)",IFERROR(INDEX(Kamus!$E$3:$E$162,MATCH(TRUE,ISNUMBER(SEARCH(Kamus!$D$3:$D$162,$I534)),0)),"Barang Lain / Tidak Terinci"))</f>
        <v>Peralatan Rumah Tangga / Pecah Belah</v>
      </c>
      <c r="U534" s="106" t="str" cm="1">
        <f t="array" ref="U534">IF(TRIM($I534)="","(tidak diisi)",IFERROR(INDEX(Kamus!$H$3:$H$75,MATCH(TRUE,ISNUMBER(SEARCH(Kamus!$G$3:$G$75,$I534)),0)),"Pemberian Umum / Tanpa Konteks"))</f>
        <v>Pemberian Umum / Tanpa Konteks</v>
      </c>
      <c r="V534" s="106" t="str">
        <f t="shared" si="24"/>
        <v>2025</v>
      </c>
      <c r="W534" s="106" t="str" cm="1">
        <f t="array" ref="W534">IF(TRIM($K534)="","(tidak diisi)",IFERROR(INDEX(Kamus!$K$3:$K$118,MATCH(TRUE,ISNUMBER(SEARCH(Kamus!$J$3:$J$118,$K534)),0)),"Individu / Perorangan"))</f>
        <v>Individu / Perorangan</v>
      </c>
      <c r="X534" s="106" t="str">
        <f t="shared" si="25"/>
        <v>10</v>
      </c>
      <c r="Y534" s="106" t="str" cm="1">
        <f t="array" ref="Y534">IFERROR(INDEX(Kamus!$N$3:$N$111,MATCH(TRUE,ISNUMBER(SEARCH(Kamus!$M$3:$M$111,$I534)),0)),"")</f>
        <v/>
      </c>
      <c r="Z534" s="106" t="str">
        <f>IF(AND(OR($X534="02",$X534="03",$X534="04"),OR($T534="Parsel/Bingkisan (tidak dirinci)",$T534="Makanan &amp; Minuman",$T534="Peralatan Rumah Tangga / Pecah Belah",$T534="Pakaian &amp; Kain")),"Momen Hari Raya (dugaan musiman)",IFERROR(VLOOKUP($W534,Kamus!$P$3:$Q$14,2,FALSE),"Tidak Teridentifikasi"))</f>
        <v>Relasi Personal / Tidak Teridentifikasi</v>
      </c>
      <c r="AA534" s="106" t="str">
        <f t="shared" si="26"/>
        <v>Relasi Personal / Tidak Teridentifikasi</v>
      </c>
    </row>
    <row r="535" spans="1:27">
      <c r="A535" s="106">
        <v>534</v>
      </c>
      <c r="B535" s="106" t="s">
        <v>1060</v>
      </c>
      <c r="C535" s="107" t="s">
        <v>1061</v>
      </c>
      <c r="D535" s="106" t="s">
        <v>1033</v>
      </c>
      <c r="E535" s="106" t="s">
        <v>1062</v>
      </c>
      <c r="F535" s="106" t="s">
        <v>3659</v>
      </c>
      <c r="G535" s="106" t="s">
        <v>1006</v>
      </c>
      <c r="H535" s="106" t="s">
        <v>3618</v>
      </c>
      <c r="I535" s="106" t="s">
        <v>3660</v>
      </c>
      <c r="K535" s="106" t="s">
        <v>3661</v>
      </c>
      <c r="L535" s="106" t="s">
        <v>3662</v>
      </c>
      <c r="O535" s="106" t="s">
        <v>274</v>
      </c>
      <c r="P535" s="106" t="s">
        <v>1067</v>
      </c>
      <c r="Q535" s="106" t="s">
        <v>350</v>
      </c>
      <c r="S535" s="106" t="str" cm="1">
        <f t="array" ref="S535">IF(TRIM($D535)="","(tidak diisi)",IFERROR(INDEX(Kamus!$B$3:$B$28,MATCH(TRUE,ISNUMBER(SEARCH(Kamus!$A$3:$A$28,$D535)),0)),"Jabatan Lainnya"))</f>
        <v>Hakim</v>
      </c>
      <c r="T535" s="106" t="str" cm="1">
        <f t="array" ref="T535">IF(TRIM($I535)="","(tidak diisi)",IFERROR(INDEX(Kamus!$E$3:$E$162,MATCH(TRUE,ISNUMBER(SEARCH(Kamus!$D$3:$D$162,$I535)),0)),"Barang Lain / Tidak Terinci"))</f>
        <v>Pakaian &amp; Kain</v>
      </c>
      <c r="U535" s="106" t="str" cm="1">
        <f t="array" ref="U535">IF(TRIM($I535)="","(tidak diisi)",IFERROR(INDEX(Kamus!$H$3:$H$75,MATCH(TRUE,ISNUMBER(SEARCH(Kamus!$G$3:$G$75,$I535)),0)),"Pemberian Umum / Tanpa Konteks"))</f>
        <v>Pemberian Umum / Tanpa Konteks</v>
      </c>
      <c r="V535" s="106" t="str">
        <f t="shared" si="24"/>
        <v>2025</v>
      </c>
      <c r="W535" s="106" t="str" cm="1">
        <f t="array" ref="W535">IF(TRIM($K535)="","(tidak diisi)",IFERROR(INDEX(Kamus!$K$3:$K$118,MATCH(TRUE,ISNUMBER(SEARCH(Kamus!$J$3:$J$118,$K535)),0)),"Individu / Perorangan"))</f>
        <v>Individu / Perorangan</v>
      </c>
      <c r="X535" s="106" t="str">
        <f t="shared" si="25"/>
        <v>10</v>
      </c>
      <c r="Y535" s="106" t="str" cm="1">
        <f t="array" ref="Y535">IFERROR(INDEX(Kamus!$N$3:$N$111,MATCH(TRUE,ISNUMBER(SEARCH(Kamus!$M$3:$M$111,$I535)),0)),"")</f>
        <v/>
      </c>
      <c r="Z535" s="106" t="str">
        <f>IF(AND(OR($X535="02",$X535="03",$X535="04"),OR($T535="Parsel/Bingkisan (tidak dirinci)",$T535="Makanan &amp; Minuman",$T535="Peralatan Rumah Tangga / Pecah Belah",$T535="Pakaian &amp; Kain")),"Momen Hari Raya (dugaan musiman)",IFERROR(VLOOKUP($W535,Kamus!$P$3:$Q$14,2,FALSE),"Tidak Teridentifikasi"))</f>
        <v>Relasi Personal / Tidak Teridentifikasi</v>
      </c>
      <c r="AA535" s="106" t="str">
        <f t="shared" si="26"/>
        <v>Relasi Personal / Tidak Teridentifikasi</v>
      </c>
    </row>
    <row r="536" spans="1:27">
      <c r="A536" s="106">
        <v>535</v>
      </c>
      <c r="B536" s="106" t="s">
        <v>1060</v>
      </c>
      <c r="C536" s="107" t="s">
        <v>1061</v>
      </c>
      <c r="D536" s="106" t="s">
        <v>1033</v>
      </c>
      <c r="E536" s="106" t="s">
        <v>1062</v>
      </c>
      <c r="F536" s="106" t="s">
        <v>3663</v>
      </c>
      <c r="G536" s="106" t="s">
        <v>1006</v>
      </c>
      <c r="H536" s="106" t="s">
        <v>3618</v>
      </c>
      <c r="I536" s="106" t="s">
        <v>3664</v>
      </c>
      <c r="J536" s="106">
        <v>35000</v>
      </c>
      <c r="K536" s="106" t="s">
        <v>3665</v>
      </c>
      <c r="L536" s="106" t="s">
        <v>3666</v>
      </c>
      <c r="M536" s="106" t="s">
        <v>1110</v>
      </c>
      <c r="N536" s="106" t="s">
        <v>3667</v>
      </c>
      <c r="O536" s="106" t="s">
        <v>274</v>
      </c>
      <c r="P536" s="106" t="s">
        <v>1067</v>
      </c>
      <c r="Q536" s="106" t="s">
        <v>350</v>
      </c>
      <c r="S536" s="106" t="str" cm="1">
        <f t="array" ref="S536">IF(TRIM($D536)="","(tidak diisi)",IFERROR(INDEX(Kamus!$B$3:$B$28,MATCH(TRUE,ISNUMBER(SEARCH(Kamus!$A$3:$A$28,$D536)),0)),"Jabatan Lainnya"))</f>
        <v>Hakim</v>
      </c>
      <c r="T536" s="106" t="str" cm="1">
        <f t="array" ref="T536">IF(TRIM($I536)="","(tidak diisi)",IFERROR(INDEX(Kamus!$E$3:$E$162,MATCH(TRUE,ISNUMBER(SEARCH(Kamus!$D$3:$D$162,$I536)),0)),"Barang Lain / Tidak Terinci"))</f>
        <v>Pakaian &amp; Kain</v>
      </c>
      <c r="U536" s="106" t="str" cm="1">
        <f t="array" ref="U536">IF(TRIM($I536)="","(tidak diisi)",IFERROR(INDEX(Kamus!$H$3:$H$75,MATCH(TRUE,ISNUMBER(SEARCH(Kamus!$G$3:$G$75,$I536)),0)),"Pemberian Umum / Tanpa Konteks"))</f>
        <v>Pemberian Umum / Tanpa Konteks</v>
      </c>
      <c r="V536" s="106" t="str">
        <f t="shared" si="24"/>
        <v>2025</v>
      </c>
      <c r="W536" s="106" t="str" cm="1">
        <f t="array" ref="W536">IF(TRIM($K536)="","(tidak diisi)",IFERROR(INDEX(Kamus!$K$3:$K$118,MATCH(TRUE,ISNUMBER(SEARCH(Kamus!$J$3:$J$118,$K536)),0)),"Individu / Perorangan"))</f>
        <v>Individu / Perorangan</v>
      </c>
      <c r="X536" s="106" t="str">
        <f t="shared" si="25"/>
        <v>10</v>
      </c>
      <c r="Y536" s="106" t="str" cm="1">
        <f t="array" ref="Y536">IFERROR(INDEX(Kamus!$N$3:$N$111,MATCH(TRUE,ISNUMBER(SEARCH(Kamus!$M$3:$M$111,$I536)),0)),"")</f>
        <v/>
      </c>
      <c r="Z536" s="106" t="str">
        <f>IF(AND(OR($X536="02",$X536="03",$X536="04"),OR($T536="Parsel/Bingkisan (tidak dirinci)",$T536="Makanan &amp; Minuman",$T536="Peralatan Rumah Tangga / Pecah Belah",$T536="Pakaian &amp; Kain")),"Momen Hari Raya (dugaan musiman)",IFERROR(VLOOKUP($W536,Kamus!$P$3:$Q$14,2,FALSE),"Tidak Teridentifikasi"))</f>
        <v>Relasi Personal / Tidak Teridentifikasi</v>
      </c>
      <c r="AA536" s="106" t="str">
        <f t="shared" si="26"/>
        <v>Relasi Personal / Tidak Teridentifikasi</v>
      </c>
    </row>
    <row r="537" spans="1:27">
      <c r="A537" s="106">
        <v>536</v>
      </c>
      <c r="B537" s="106" t="s">
        <v>1060</v>
      </c>
      <c r="C537" s="107" t="s">
        <v>1061</v>
      </c>
      <c r="D537" s="106" t="s">
        <v>1033</v>
      </c>
      <c r="E537" s="106" t="s">
        <v>1062</v>
      </c>
      <c r="F537" s="106" t="s">
        <v>3668</v>
      </c>
      <c r="G537" s="106" t="s">
        <v>1006</v>
      </c>
      <c r="H537" s="106" t="s">
        <v>3618</v>
      </c>
      <c r="I537" s="106" t="s">
        <v>3669</v>
      </c>
      <c r="K537" s="106" t="s">
        <v>3670</v>
      </c>
      <c r="L537" s="106" t="s">
        <v>3671</v>
      </c>
      <c r="O537" s="106" t="s">
        <v>274</v>
      </c>
      <c r="P537" s="106" t="s">
        <v>1067</v>
      </c>
      <c r="Q537" s="106" t="s">
        <v>350</v>
      </c>
      <c r="S537" s="106" t="str" cm="1">
        <f t="array" ref="S537">IF(TRIM($D537)="","(tidak diisi)",IFERROR(INDEX(Kamus!$B$3:$B$28,MATCH(TRUE,ISNUMBER(SEARCH(Kamus!$A$3:$A$28,$D537)),0)),"Jabatan Lainnya"))</f>
        <v>Hakim</v>
      </c>
      <c r="T537" s="106" t="str" cm="1">
        <f t="array" ref="T537">IF(TRIM($I537)="","(tidak diisi)",IFERROR(INDEX(Kamus!$E$3:$E$162,MATCH(TRUE,ISNUMBER(SEARCH(Kamus!$D$3:$D$162,$I537)),0)),"Barang Lain / Tidak Terinci"))</f>
        <v>Suvenir &amp; Merchandise</v>
      </c>
      <c r="U537" s="106" t="str" cm="1">
        <f t="array" ref="U537">IF(TRIM($I537)="","(tidak diisi)",IFERROR(INDEX(Kamus!$H$3:$H$75,MATCH(TRUE,ISNUMBER(SEARCH(Kamus!$G$3:$G$75,$I537)),0)),"Pemberian Umum / Tanpa Konteks"))</f>
        <v>Pemberian Umum / Tanpa Konteks</v>
      </c>
      <c r="V537" s="106" t="str">
        <f t="shared" si="24"/>
        <v>2025</v>
      </c>
      <c r="W537" s="106" t="str" cm="1">
        <f t="array" ref="W537">IF(TRIM($K537)="","(tidak diisi)",IFERROR(INDEX(Kamus!$K$3:$K$118,MATCH(TRUE,ISNUMBER(SEARCH(Kamus!$J$3:$J$118,$K537)),0)),"Individu / Perorangan"))</f>
        <v>Individu / Perorangan</v>
      </c>
      <c r="X537" s="106" t="str">
        <f t="shared" si="25"/>
        <v>10</v>
      </c>
      <c r="Y537" s="106" t="str" cm="1">
        <f t="array" ref="Y537">IFERROR(INDEX(Kamus!$N$3:$N$111,MATCH(TRUE,ISNUMBER(SEARCH(Kamus!$M$3:$M$111,$I537)),0)),"")</f>
        <v/>
      </c>
      <c r="Z537" s="106" t="str">
        <f>IF(AND(OR($X537="02",$X537="03",$X537="04"),OR($T537="Parsel/Bingkisan (tidak dirinci)",$T537="Makanan &amp; Minuman",$T537="Peralatan Rumah Tangga / Pecah Belah",$T537="Pakaian &amp; Kain")),"Momen Hari Raya (dugaan musiman)",IFERROR(VLOOKUP($W537,Kamus!$P$3:$Q$14,2,FALSE),"Tidak Teridentifikasi"))</f>
        <v>Relasi Personal / Tidak Teridentifikasi</v>
      </c>
      <c r="AA537" s="106" t="str">
        <f t="shared" si="26"/>
        <v>Relasi Personal / Tidak Teridentifikasi</v>
      </c>
    </row>
    <row r="538" spans="1:27">
      <c r="A538" s="106">
        <v>537</v>
      </c>
      <c r="B538" s="106" t="s">
        <v>1060</v>
      </c>
      <c r="C538" s="107" t="s">
        <v>1061</v>
      </c>
      <c r="D538" s="106" t="s">
        <v>1033</v>
      </c>
      <c r="E538" s="106" t="s">
        <v>1062</v>
      </c>
      <c r="F538" s="106" t="s">
        <v>3672</v>
      </c>
      <c r="G538" s="106" t="s">
        <v>1006</v>
      </c>
      <c r="H538" s="106" t="s">
        <v>3618</v>
      </c>
      <c r="I538" s="106" t="s">
        <v>3673</v>
      </c>
      <c r="J538" s="106">
        <v>180000</v>
      </c>
      <c r="K538" s="106" t="s">
        <v>3674</v>
      </c>
      <c r="L538" s="106" t="s">
        <v>3675</v>
      </c>
      <c r="M538" s="106" t="s">
        <v>1020</v>
      </c>
      <c r="O538" s="106" t="s">
        <v>274</v>
      </c>
      <c r="P538" s="106" t="s">
        <v>1067</v>
      </c>
      <c r="Q538" s="106" t="s">
        <v>350</v>
      </c>
      <c r="S538" s="106" t="str" cm="1">
        <f t="array" ref="S538">IF(TRIM($D538)="","(tidak diisi)",IFERROR(INDEX(Kamus!$B$3:$B$28,MATCH(TRUE,ISNUMBER(SEARCH(Kamus!$A$3:$A$28,$D538)),0)),"Jabatan Lainnya"))</f>
        <v>Hakim</v>
      </c>
      <c r="T538" s="106" t="str" cm="1">
        <f t="array" ref="T538">IF(TRIM($I538)="","(tidak diisi)",IFERROR(INDEX(Kamus!$E$3:$E$162,MATCH(TRUE,ISNUMBER(SEARCH(Kamus!$D$3:$D$162,$I538)),0)),"Barang Lain / Tidak Terinci"))</f>
        <v>Pakaian &amp; Kain</v>
      </c>
      <c r="U538" s="106" t="str" cm="1">
        <f t="array" ref="U538">IF(TRIM($I538)="","(tidak diisi)",IFERROR(INDEX(Kamus!$H$3:$H$75,MATCH(TRUE,ISNUMBER(SEARCH(Kamus!$G$3:$G$75,$I538)),0)),"Pemberian Umum / Tanpa Konteks"))</f>
        <v>Oleh-oleh / Buah Tangan Perjalanan</v>
      </c>
      <c r="V538" s="106" t="str">
        <f t="shared" si="24"/>
        <v>2025</v>
      </c>
      <c r="W538" s="106" t="str" cm="1">
        <f t="array" ref="W538">IF(TRIM($K538)="","(tidak diisi)",IFERROR(INDEX(Kamus!$K$3:$K$118,MATCH(TRUE,ISNUMBER(SEARCH(Kamus!$J$3:$J$118,$K538)),0)),"Individu / Perorangan"))</f>
        <v>Individu / Perorangan</v>
      </c>
      <c r="X538" s="106" t="str">
        <f t="shared" si="25"/>
        <v>10</v>
      </c>
      <c r="Y538" s="106" t="str" cm="1">
        <f t="array" ref="Y538">IFERROR(INDEX(Kamus!$N$3:$N$111,MATCH(TRUE,ISNUMBER(SEARCH(Kamus!$M$3:$M$111,$I538)),0)),"")</f>
        <v/>
      </c>
      <c r="Z538" s="106" t="str">
        <f>IF(AND(OR($X538="02",$X538="03",$X538="04"),OR($T538="Parsel/Bingkisan (tidak dirinci)",$T538="Makanan &amp; Minuman",$T538="Peralatan Rumah Tangga / Pecah Belah",$T538="Pakaian &amp; Kain")),"Momen Hari Raya (dugaan musiman)",IFERROR(VLOOKUP($W538,Kamus!$P$3:$Q$14,2,FALSE),"Tidak Teridentifikasi"))</f>
        <v>Relasi Personal / Tidak Teridentifikasi</v>
      </c>
      <c r="AA538" s="106" t="str">
        <f t="shared" si="26"/>
        <v>Relasi Personal / Tidak Teridentifikasi</v>
      </c>
    </row>
    <row r="539" spans="1:27">
      <c r="A539" s="106">
        <v>538</v>
      </c>
      <c r="B539" s="106" t="s">
        <v>1060</v>
      </c>
      <c r="C539" s="107" t="s">
        <v>1061</v>
      </c>
      <c r="D539" s="106" t="s">
        <v>1033</v>
      </c>
      <c r="E539" s="106" t="s">
        <v>1062</v>
      </c>
      <c r="F539" s="106" t="s">
        <v>3676</v>
      </c>
      <c r="G539" s="106" t="s">
        <v>1006</v>
      </c>
      <c r="H539" s="106" t="s">
        <v>3618</v>
      </c>
      <c r="I539" s="106" t="s">
        <v>3677</v>
      </c>
      <c r="K539" s="106" t="s">
        <v>3678</v>
      </c>
      <c r="L539" s="106" t="s">
        <v>3679</v>
      </c>
      <c r="O539" s="106" t="s">
        <v>274</v>
      </c>
      <c r="P539" s="106" t="s">
        <v>1067</v>
      </c>
      <c r="Q539" s="106" t="s">
        <v>350</v>
      </c>
      <c r="S539" s="106" t="str" cm="1">
        <f t="array" ref="S539">IF(TRIM($D539)="","(tidak diisi)",IFERROR(INDEX(Kamus!$B$3:$B$28,MATCH(TRUE,ISNUMBER(SEARCH(Kamus!$A$3:$A$28,$D539)),0)),"Jabatan Lainnya"))</f>
        <v>Hakim</v>
      </c>
      <c r="T539" s="106" t="str" cm="1">
        <f t="array" ref="T539">IF(TRIM($I539)="","(tidak diisi)",IFERROR(INDEX(Kamus!$E$3:$E$162,MATCH(TRUE,ISNUMBER(SEARCH(Kamus!$D$3:$D$162,$I539)),0)),"Barang Lain / Tidak Terinci"))</f>
        <v>Suvenir &amp; Merchandise</v>
      </c>
      <c r="U539" s="106" t="str" cm="1">
        <f t="array" ref="U539">IF(TRIM($I539)="","(tidak diisi)",IFERROR(INDEX(Kamus!$H$3:$H$75,MATCH(TRUE,ISNUMBER(SEARCH(Kamus!$G$3:$G$75,$I539)),0)),"Pemberian Umum / Tanpa Konteks"))</f>
        <v>Pemberian Umum / Tanpa Konteks</v>
      </c>
      <c r="V539" s="106" t="str">
        <f t="shared" si="24"/>
        <v>2025</v>
      </c>
      <c r="W539" s="106" t="str" cm="1">
        <f t="array" ref="W539">IF(TRIM($K539)="","(tidak diisi)",IFERROR(INDEX(Kamus!$K$3:$K$118,MATCH(TRUE,ISNUMBER(SEARCH(Kamus!$J$3:$J$118,$K539)),0)),"Individu / Perorangan"))</f>
        <v>Individu / Perorangan</v>
      </c>
      <c r="X539" s="106" t="str">
        <f t="shared" si="25"/>
        <v>10</v>
      </c>
      <c r="Y539" s="106" t="str" cm="1">
        <f t="array" ref="Y539">IFERROR(INDEX(Kamus!$N$3:$N$111,MATCH(TRUE,ISNUMBER(SEARCH(Kamus!$M$3:$M$111,$I539)),0)),"")</f>
        <v/>
      </c>
      <c r="Z539" s="106" t="str">
        <f>IF(AND(OR($X539="02",$X539="03",$X539="04"),OR($T539="Parsel/Bingkisan (tidak dirinci)",$T539="Makanan &amp; Minuman",$T539="Peralatan Rumah Tangga / Pecah Belah",$T539="Pakaian &amp; Kain")),"Momen Hari Raya (dugaan musiman)",IFERROR(VLOOKUP($W539,Kamus!$P$3:$Q$14,2,FALSE),"Tidak Teridentifikasi"))</f>
        <v>Relasi Personal / Tidak Teridentifikasi</v>
      </c>
      <c r="AA539" s="106" t="str">
        <f t="shared" si="26"/>
        <v>Relasi Personal / Tidak Teridentifikasi</v>
      </c>
    </row>
    <row r="540" spans="1:27">
      <c r="A540" s="106">
        <v>539</v>
      </c>
      <c r="B540" s="106" t="s">
        <v>1060</v>
      </c>
      <c r="C540" s="107" t="s">
        <v>1061</v>
      </c>
      <c r="D540" s="106" t="s">
        <v>1033</v>
      </c>
      <c r="E540" s="106" t="s">
        <v>1062</v>
      </c>
      <c r="F540" s="106" t="s">
        <v>3680</v>
      </c>
      <c r="G540" s="106" t="s">
        <v>1006</v>
      </c>
      <c r="H540" s="106" t="s">
        <v>3618</v>
      </c>
      <c r="I540" s="106" t="s">
        <v>3681</v>
      </c>
      <c r="K540" s="106" t="s">
        <v>1065</v>
      </c>
      <c r="L540" s="106" t="s">
        <v>3682</v>
      </c>
      <c r="O540" s="106" t="s">
        <v>274</v>
      </c>
      <c r="P540" s="106" t="s">
        <v>1067</v>
      </c>
      <c r="Q540" s="106" t="s">
        <v>350</v>
      </c>
      <c r="S540" s="106" t="str" cm="1">
        <f t="array" ref="S540">IF(TRIM($D540)="","(tidak diisi)",IFERROR(INDEX(Kamus!$B$3:$B$28,MATCH(TRUE,ISNUMBER(SEARCH(Kamus!$A$3:$A$28,$D540)),0)),"Jabatan Lainnya"))</f>
        <v>Hakim</v>
      </c>
      <c r="T540" s="106" t="str" cm="1">
        <f t="array" ref="T540">IF(TRIM($I540)="","(tidak diisi)",IFERROR(INDEX(Kamus!$E$3:$E$162,MATCH(TRUE,ISNUMBER(SEARCH(Kamus!$D$3:$D$162,$I540)),0)),"Barang Lain / Tidak Terinci"))</f>
        <v>Pakaian &amp; Kain</v>
      </c>
      <c r="U540" s="106" t="str" cm="1">
        <f t="array" ref="U540">IF(TRIM($I540)="","(tidak diisi)",IFERROR(INDEX(Kamus!$H$3:$H$75,MATCH(TRUE,ISNUMBER(SEARCH(Kamus!$G$3:$G$75,$I540)),0)),"Pemberian Umum / Tanpa Konteks"))</f>
        <v>Pemberian Umum / Tanpa Konteks</v>
      </c>
      <c r="V540" s="106" t="str">
        <f t="shared" si="24"/>
        <v>2025</v>
      </c>
      <c r="W540" s="106" t="str" cm="1">
        <f t="array" ref="W540">IF(TRIM($K540)="","(tidak diisi)",IFERROR(INDEX(Kamus!$K$3:$K$118,MATCH(TRUE,ISNUMBER(SEARCH(Kamus!$J$3:$J$118,$K540)),0)),"Individu / Perorangan"))</f>
        <v>Individu / Perorangan</v>
      </c>
      <c r="X540" s="106" t="str">
        <f t="shared" si="25"/>
        <v>10</v>
      </c>
      <c r="Y540" s="106" t="str" cm="1">
        <f t="array" ref="Y540">IFERROR(INDEX(Kamus!$N$3:$N$111,MATCH(TRUE,ISNUMBER(SEARCH(Kamus!$M$3:$M$111,$I540)),0)),"")</f>
        <v/>
      </c>
      <c r="Z540" s="106" t="str">
        <f>IF(AND(OR($X540="02",$X540="03",$X540="04"),OR($T540="Parsel/Bingkisan (tidak dirinci)",$T540="Makanan &amp; Minuman",$T540="Peralatan Rumah Tangga / Pecah Belah",$T540="Pakaian &amp; Kain")),"Momen Hari Raya (dugaan musiman)",IFERROR(VLOOKUP($W540,Kamus!$P$3:$Q$14,2,FALSE),"Tidak Teridentifikasi"))</f>
        <v>Relasi Personal / Tidak Teridentifikasi</v>
      </c>
      <c r="AA540" s="106" t="str">
        <f t="shared" si="26"/>
        <v>Relasi Personal / Tidak Teridentifikasi</v>
      </c>
    </row>
    <row r="541" spans="1:27">
      <c r="A541" s="106">
        <v>540</v>
      </c>
      <c r="B541" s="106" t="s">
        <v>1060</v>
      </c>
      <c r="C541" s="107" t="s">
        <v>1061</v>
      </c>
      <c r="D541" s="106" t="s">
        <v>1033</v>
      </c>
      <c r="E541" s="106" t="s">
        <v>1062</v>
      </c>
      <c r="F541" s="106" t="s">
        <v>3683</v>
      </c>
      <c r="G541" s="106" t="s">
        <v>1006</v>
      </c>
      <c r="H541" s="106" t="s">
        <v>3618</v>
      </c>
      <c r="I541" s="106" t="s">
        <v>3684</v>
      </c>
      <c r="K541" s="106" t="s">
        <v>3685</v>
      </c>
      <c r="L541" s="106" t="s">
        <v>3686</v>
      </c>
      <c r="O541" s="106" t="s">
        <v>274</v>
      </c>
      <c r="P541" s="106" t="s">
        <v>1067</v>
      </c>
      <c r="Q541" s="106" t="s">
        <v>350</v>
      </c>
      <c r="S541" s="106" t="str" cm="1">
        <f t="array" ref="S541">IF(TRIM($D541)="","(tidak diisi)",IFERROR(INDEX(Kamus!$B$3:$B$28,MATCH(TRUE,ISNUMBER(SEARCH(Kamus!$A$3:$A$28,$D541)),0)),"Jabatan Lainnya"))</f>
        <v>Hakim</v>
      </c>
      <c r="T541" s="106" t="str" cm="1">
        <f t="array" ref="T541">IF(TRIM($I541)="","(tidak diisi)",IFERROR(INDEX(Kamus!$E$3:$E$162,MATCH(TRUE,ISNUMBER(SEARCH(Kamus!$D$3:$D$162,$I541)),0)),"Barang Lain / Tidak Terinci"))</f>
        <v>Makanan &amp; Minuman</v>
      </c>
      <c r="U541" s="106" t="str" cm="1">
        <f t="array" ref="U541">IF(TRIM($I541)="","(tidak diisi)",IFERROR(INDEX(Kamus!$H$3:$H$75,MATCH(TRUE,ISNUMBER(SEARCH(Kamus!$G$3:$G$75,$I541)),0)),"Pemberian Umum / Tanpa Konteks"))</f>
        <v>Pemberian Umum / Tanpa Konteks</v>
      </c>
      <c r="V541" s="106" t="str">
        <f t="shared" si="24"/>
        <v>2025</v>
      </c>
      <c r="W541" s="106" t="str" cm="1">
        <f t="array" ref="W541">IF(TRIM($K541)="","(tidak diisi)",IFERROR(INDEX(Kamus!$K$3:$K$118,MATCH(TRUE,ISNUMBER(SEARCH(Kamus!$J$3:$J$118,$K541)),0)),"Individu / Perorangan"))</f>
        <v>Individu / Perorangan</v>
      </c>
      <c r="X541" s="106" t="str">
        <f t="shared" si="25"/>
        <v>10</v>
      </c>
      <c r="Y541" s="106" t="str" cm="1">
        <f t="array" ref="Y541">IFERROR(INDEX(Kamus!$N$3:$N$111,MATCH(TRUE,ISNUMBER(SEARCH(Kamus!$M$3:$M$111,$I541)),0)),"")</f>
        <v/>
      </c>
      <c r="Z541" s="106" t="str">
        <f>IF(AND(OR($X541="02",$X541="03",$X541="04"),OR($T541="Parsel/Bingkisan (tidak dirinci)",$T541="Makanan &amp; Minuman",$T541="Peralatan Rumah Tangga / Pecah Belah",$T541="Pakaian &amp; Kain")),"Momen Hari Raya (dugaan musiman)",IFERROR(VLOOKUP($W541,Kamus!$P$3:$Q$14,2,FALSE),"Tidak Teridentifikasi"))</f>
        <v>Relasi Personal / Tidak Teridentifikasi</v>
      </c>
      <c r="AA541" s="106" t="str">
        <f t="shared" si="26"/>
        <v>Relasi Personal / Tidak Teridentifikasi</v>
      </c>
    </row>
    <row r="542" spans="1:27">
      <c r="A542" s="106">
        <v>541</v>
      </c>
      <c r="B542" s="106" t="s">
        <v>1060</v>
      </c>
      <c r="C542" s="107" t="s">
        <v>1061</v>
      </c>
      <c r="D542" s="106" t="s">
        <v>1033</v>
      </c>
      <c r="E542" s="106" t="s">
        <v>1062</v>
      </c>
      <c r="F542" s="106" t="s">
        <v>3687</v>
      </c>
      <c r="G542" s="106" t="s">
        <v>1006</v>
      </c>
      <c r="H542" s="106" t="s">
        <v>3618</v>
      </c>
      <c r="I542" s="106" t="s">
        <v>3688</v>
      </c>
      <c r="K542" s="106" t="s">
        <v>3689</v>
      </c>
      <c r="L542" s="106" t="s">
        <v>3690</v>
      </c>
      <c r="O542" s="106" t="s">
        <v>274</v>
      </c>
      <c r="P542" s="106" t="s">
        <v>1067</v>
      </c>
      <c r="Q542" s="106" t="s">
        <v>350</v>
      </c>
      <c r="S542" s="106" t="str" cm="1">
        <f t="array" ref="S542">IF(TRIM($D542)="","(tidak diisi)",IFERROR(INDEX(Kamus!$B$3:$B$28,MATCH(TRUE,ISNUMBER(SEARCH(Kamus!$A$3:$A$28,$D542)),0)),"Jabatan Lainnya"))</f>
        <v>Hakim</v>
      </c>
      <c r="T542" s="106" t="str" cm="1">
        <f t="array" ref="T542">IF(TRIM($I542)="","(tidak diisi)",IFERROR(INDEX(Kamus!$E$3:$E$162,MATCH(TRUE,ISNUMBER(SEARCH(Kamus!$D$3:$D$162,$I542)),0)),"Barang Lain / Tidak Terinci"))</f>
        <v>Pakaian &amp; Kain</v>
      </c>
      <c r="U542" s="106" t="str" cm="1">
        <f t="array" ref="U542">IF(TRIM($I542)="","(tidak diisi)",IFERROR(INDEX(Kamus!$H$3:$H$75,MATCH(TRUE,ISNUMBER(SEARCH(Kamus!$G$3:$G$75,$I542)),0)),"Pemberian Umum / Tanpa Konteks"))</f>
        <v>Pemberian Umum / Tanpa Konteks</v>
      </c>
      <c r="V542" s="106" t="str">
        <f t="shared" si="24"/>
        <v>2025</v>
      </c>
      <c r="W542" s="106" t="str" cm="1">
        <f t="array" ref="W542">IF(TRIM($K542)="","(tidak diisi)",IFERROR(INDEX(Kamus!$K$3:$K$118,MATCH(TRUE,ISNUMBER(SEARCH(Kamus!$J$3:$J$118,$K542)),0)),"Individu / Perorangan"))</f>
        <v>Individu / Perorangan</v>
      </c>
      <c r="X542" s="106" t="str">
        <f t="shared" si="25"/>
        <v>10</v>
      </c>
      <c r="Y542" s="106" t="str" cm="1">
        <f t="array" ref="Y542">IFERROR(INDEX(Kamus!$N$3:$N$111,MATCH(TRUE,ISNUMBER(SEARCH(Kamus!$M$3:$M$111,$I542)),0)),"")</f>
        <v/>
      </c>
      <c r="Z542" s="106" t="str">
        <f>IF(AND(OR($X542="02",$X542="03",$X542="04"),OR($T542="Parsel/Bingkisan (tidak dirinci)",$T542="Makanan &amp; Minuman",$T542="Peralatan Rumah Tangga / Pecah Belah",$T542="Pakaian &amp; Kain")),"Momen Hari Raya (dugaan musiman)",IFERROR(VLOOKUP($W542,Kamus!$P$3:$Q$14,2,FALSE),"Tidak Teridentifikasi"))</f>
        <v>Relasi Personal / Tidak Teridentifikasi</v>
      </c>
      <c r="AA542" s="106" t="str">
        <f t="shared" si="26"/>
        <v>Relasi Personal / Tidak Teridentifikasi</v>
      </c>
    </row>
    <row r="543" spans="1:27">
      <c r="A543" s="106">
        <v>542</v>
      </c>
      <c r="B543" s="106" t="s">
        <v>1060</v>
      </c>
      <c r="C543" s="107" t="s">
        <v>1061</v>
      </c>
      <c r="D543" s="106" t="s">
        <v>1033</v>
      </c>
      <c r="E543" s="106" t="s">
        <v>1062</v>
      </c>
      <c r="F543" s="106" t="s">
        <v>3691</v>
      </c>
      <c r="G543" s="106" t="s">
        <v>1006</v>
      </c>
      <c r="H543" s="106" t="s">
        <v>3618</v>
      </c>
      <c r="I543" s="106" t="s">
        <v>3692</v>
      </c>
      <c r="J543" s="106">
        <v>110000</v>
      </c>
      <c r="K543" s="106" t="s">
        <v>3693</v>
      </c>
      <c r="L543" s="106" t="s">
        <v>3694</v>
      </c>
      <c r="M543" s="106" t="s">
        <v>1110</v>
      </c>
      <c r="N543" s="106" t="s">
        <v>3695</v>
      </c>
      <c r="O543" s="106" t="s">
        <v>274</v>
      </c>
      <c r="P543" s="106" t="s">
        <v>1067</v>
      </c>
      <c r="Q543" s="106" t="s">
        <v>350</v>
      </c>
      <c r="S543" s="106" t="str" cm="1">
        <f t="array" ref="S543">IF(TRIM($D543)="","(tidak diisi)",IFERROR(INDEX(Kamus!$B$3:$B$28,MATCH(TRUE,ISNUMBER(SEARCH(Kamus!$A$3:$A$28,$D543)),0)),"Jabatan Lainnya"))</f>
        <v>Hakim</v>
      </c>
      <c r="T543" s="106" t="str" cm="1">
        <f t="array" ref="T543">IF(TRIM($I543)="","(tidak diisi)",IFERROR(INDEX(Kamus!$E$3:$E$162,MATCH(TRUE,ISNUMBER(SEARCH(Kamus!$D$3:$D$162,$I543)),0)),"Barang Lain / Tidak Terinci"))</f>
        <v>Pakaian &amp; Kain</v>
      </c>
      <c r="U543" s="106" t="str" cm="1">
        <f t="array" ref="U543">IF(TRIM($I543)="","(tidak diisi)",IFERROR(INDEX(Kamus!$H$3:$H$75,MATCH(TRUE,ISNUMBER(SEARCH(Kamus!$G$3:$G$75,$I543)),0)),"Pemberian Umum / Tanpa Konteks"))</f>
        <v>Pemberian Umum / Tanpa Konteks</v>
      </c>
      <c r="V543" s="106" t="str">
        <f t="shared" si="24"/>
        <v>2025</v>
      </c>
      <c r="W543" s="106" t="str" cm="1">
        <f t="array" ref="W543">IF(TRIM($K543)="","(tidak diisi)",IFERROR(INDEX(Kamus!$K$3:$K$118,MATCH(TRUE,ISNUMBER(SEARCH(Kamus!$J$3:$J$118,$K543)),0)),"Individu / Perorangan"))</f>
        <v>Individu / Perorangan</v>
      </c>
      <c r="X543" s="106" t="str">
        <f t="shared" si="25"/>
        <v>10</v>
      </c>
      <c r="Y543" s="106" t="str" cm="1">
        <f t="array" ref="Y543">IFERROR(INDEX(Kamus!$N$3:$N$111,MATCH(TRUE,ISNUMBER(SEARCH(Kamus!$M$3:$M$111,$I543)),0)),"")</f>
        <v/>
      </c>
      <c r="Z543" s="106" t="str">
        <f>IF(AND(OR($X543="02",$X543="03",$X543="04"),OR($T543="Parsel/Bingkisan (tidak dirinci)",$T543="Makanan &amp; Minuman",$T543="Peralatan Rumah Tangga / Pecah Belah",$T543="Pakaian &amp; Kain")),"Momen Hari Raya (dugaan musiman)",IFERROR(VLOOKUP($W543,Kamus!$P$3:$Q$14,2,FALSE),"Tidak Teridentifikasi"))</f>
        <v>Relasi Personal / Tidak Teridentifikasi</v>
      </c>
      <c r="AA543" s="106" t="str">
        <f t="shared" si="26"/>
        <v>Relasi Personal / Tidak Teridentifikasi</v>
      </c>
    </row>
    <row r="544" spans="1:27">
      <c r="A544" s="106">
        <v>543</v>
      </c>
      <c r="B544" s="106" t="s">
        <v>1060</v>
      </c>
      <c r="C544" s="107" t="s">
        <v>1061</v>
      </c>
      <c r="D544" s="106" t="s">
        <v>1033</v>
      </c>
      <c r="E544" s="106" t="s">
        <v>1062</v>
      </c>
      <c r="F544" s="106" t="s">
        <v>3696</v>
      </c>
      <c r="G544" s="106" t="s">
        <v>1006</v>
      </c>
      <c r="H544" s="106" t="s">
        <v>3618</v>
      </c>
      <c r="I544" s="106" t="s">
        <v>3697</v>
      </c>
      <c r="K544" s="106" t="s">
        <v>3698</v>
      </c>
      <c r="L544" s="106" t="s">
        <v>3699</v>
      </c>
      <c r="O544" s="106" t="s">
        <v>274</v>
      </c>
      <c r="P544" s="106" t="s">
        <v>1067</v>
      </c>
      <c r="Q544" s="106" t="s">
        <v>350</v>
      </c>
      <c r="S544" s="106" t="str" cm="1">
        <f t="array" ref="S544">IF(TRIM($D544)="","(tidak diisi)",IFERROR(INDEX(Kamus!$B$3:$B$28,MATCH(TRUE,ISNUMBER(SEARCH(Kamus!$A$3:$A$28,$D544)),0)),"Jabatan Lainnya"))</f>
        <v>Hakim</v>
      </c>
      <c r="T544" s="106" t="str" cm="1">
        <f t="array" ref="T544">IF(TRIM($I544)="","(tidak diisi)",IFERROR(INDEX(Kamus!$E$3:$E$162,MATCH(TRUE,ISNUMBER(SEARCH(Kamus!$D$3:$D$162,$I544)),0)),"Barang Lain / Tidak Terinci"))</f>
        <v>Pakaian &amp; Kain</v>
      </c>
      <c r="U544" s="106" t="str" cm="1">
        <f t="array" ref="U544">IF(TRIM($I544)="","(tidak diisi)",IFERROR(INDEX(Kamus!$H$3:$H$75,MATCH(TRUE,ISNUMBER(SEARCH(Kamus!$G$3:$G$75,$I544)),0)),"Pemberian Umum / Tanpa Konteks"))</f>
        <v>Pemberian Umum / Tanpa Konteks</v>
      </c>
      <c r="V544" s="106" t="str">
        <f t="shared" si="24"/>
        <v>2025</v>
      </c>
      <c r="W544" s="106" t="str" cm="1">
        <f t="array" ref="W544">IF(TRIM($K544)="","(tidak diisi)",IFERROR(INDEX(Kamus!$K$3:$K$118,MATCH(TRUE,ISNUMBER(SEARCH(Kamus!$J$3:$J$118,$K544)),0)),"Individu / Perorangan"))</f>
        <v>Individu / Perorangan</v>
      </c>
      <c r="X544" s="106" t="str">
        <f t="shared" si="25"/>
        <v>10</v>
      </c>
      <c r="Y544" s="106" t="str" cm="1">
        <f t="array" ref="Y544">IFERROR(INDEX(Kamus!$N$3:$N$111,MATCH(TRUE,ISNUMBER(SEARCH(Kamus!$M$3:$M$111,$I544)),0)),"")</f>
        <v/>
      </c>
      <c r="Z544" s="106" t="str">
        <f>IF(AND(OR($X544="02",$X544="03",$X544="04"),OR($T544="Parsel/Bingkisan (tidak dirinci)",$T544="Makanan &amp; Minuman",$T544="Peralatan Rumah Tangga / Pecah Belah",$T544="Pakaian &amp; Kain")),"Momen Hari Raya (dugaan musiman)",IFERROR(VLOOKUP($W544,Kamus!$P$3:$Q$14,2,FALSE),"Tidak Teridentifikasi"))</f>
        <v>Relasi Personal / Tidak Teridentifikasi</v>
      </c>
      <c r="AA544" s="106" t="str">
        <f t="shared" si="26"/>
        <v>Relasi Personal / Tidak Teridentifikasi</v>
      </c>
    </row>
    <row r="545" spans="1:27">
      <c r="A545" s="106">
        <v>544</v>
      </c>
      <c r="B545" s="106" t="s">
        <v>1060</v>
      </c>
      <c r="C545" s="107" t="s">
        <v>1061</v>
      </c>
      <c r="D545" s="106" t="s">
        <v>1033</v>
      </c>
      <c r="E545" s="106" t="s">
        <v>1062</v>
      </c>
      <c r="F545" s="106" t="s">
        <v>3700</v>
      </c>
      <c r="G545" s="106" t="s">
        <v>1006</v>
      </c>
      <c r="H545" s="106" t="s">
        <v>3618</v>
      </c>
      <c r="I545" s="106" t="s">
        <v>3701</v>
      </c>
      <c r="J545" s="106">
        <v>533400</v>
      </c>
      <c r="K545" s="106" t="s">
        <v>3702</v>
      </c>
      <c r="L545" s="106" t="s">
        <v>3703</v>
      </c>
      <c r="M545" s="106" t="s">
        <v>1020</v>
      </c>
      <c r="O545" s="106" t="s">
        <v>274</v>
      </c>
      <c r="P545" s="106" t="s">
        <v>1067</v>
      </c>
      <c r="Q545" s="106" t="s">
        <v>350</v>
      </c>
      <c r="S545" s="106" t="str" cm="1">
        <f t="array" ref="S545">IF(TRIM($D545)="","(tidak diisi)",IFERROR(INDEX(Kamus!$B$3:$B$28,MATCH(TRUE,ISNUMBER(SEARCH(Kamus!$A$3:$A$28,$D545)),0)),"Jabatan Lainnya"))</f>
        <v>Hakim</v>
      </c>
      <c r="T545" s="106" t="str" cm="1">
        <f t="array" ref="T545">IF(TRIM($I545)="","(tidak diisi)",IFERROR(INDEX(Kamus!$E$3:$E$162,MATCH(TRUE,ISNUMBER(SEARCH(Kamus!$D$3:$D$162,$I545)),0)),"Barang Lain / Tidak Terinci"))</f>
        <v>Pakaian &amp; Kain</v>
      </c>
      <c r="U545" s="106" t="str" cm="1">
        <f t="array" ref="U545">IF(TRIM($I545)="","(tidak diisi)",IFERROR(INDEX(Kamus!$H$3:$H$75,MATCH(TRUE,ISNUMBER(SEARCH(Kamus!$G$3:$G$75,$I545)),0)),"Pemberian Umum / Tanpa Konteks"))</f>
        <v>Pemberian Umum / Tanpa Konteks</v>
      </c>
      <c r="V545" s="106" t="str">
        <f t="shared" si="24"/>
        <v>2025</v>
      </c>
      <c r="W545" s="106" t="str" cm="1">
        <f t="array" ref="W545">IF(TRIM($K545)="","(tidak diisi)",IFERROR(INDEX(Kamus!$K$3:$K$118,MATCH(TRUE,ISNUMBER(SEARCH(Kamus!$J$3:$J$118,$K545)),0)),"Individu / Perorangan"))</f>
        <v>Internal Peradilan / Instansi Sendiri</v>
      </c>
      <c r="X545" s="106" t="str">
        <f t="shared" si="25"/>
        <v>10</v>
      </c>
      <c r="Y545" s="106" t="str" cm="1">
        <f t="array" ref="Y545">IFERROR(INDEX(Kamus!$N$3:$N$111,MATCH(TRUE,ISNUMBER(SEARCH(Kamus!$M$3:$M$111,$I545)),0)),"")</f>
        <v/>
      </c>
      <c r="Z545" s="106" t="str">
        <f>IF(AND(OR($X545="02",$X545="03",$X545="04"),OR($T545="Parsel/Bingkisan (tidak dirinci)",$T545="Makanan &amp; Minuman",$T545="Peralatan Rumah Tangga / Pecah Belah",$T545="Pakaian &amp; Kain")),"Momen Hari Raya (dugaan musiman)",IFERROR(VLOOKUP($W545,Kamus!$P$3:$Q$14,2,FALSE),"Tidak Teridentifikasi"))</f>
        <v>Kunjungan/Koordinasi Internal Peradilan (dugaan)</v>
      </c>
      <c r="AA545" s="106" t="str">
        <f t="shared" si="26"/>
        <v>Kunjungan/Koordinasi Internal Peradilan (dugaan)</v>
      </c>
    </row>
    <row r="546" spans="1:27">
      <c r="A546" s="106">
        <v>545</v>
      </c>
      <c r="B546" s="106" t="s">
        <v>1060</v>
      </c>
      <c r="C546" s="107" t="s">
        <v>1061</v>
      </c>
      <c r="D546" s="106" t="s">
        <v>1033</v>
      </c>
      <c r="E546" s="106" t="s">
        <v>1062</v>
      </c>
      <c r="F546" s="106" t="s">
        <v>3704</v>
      </c>
      <c r="G546" s="106" t="s">
        <v>1006</v>
      </c>
      <c r="H546" s="106" t="s">
        <v>3618</v>
      </c>
      <c r="I546" s="106" t="s">
        <v>3705</v>
      </c>
      <c r="K546" s="106" t="s">
        <v>3706</v>
      </c>
      <c r="L546" s="106" t="s">
        <v>3707</v>
      </c>
      <c r="O546" s="106" t="s">
        <v>274</v>
      </c>
      <c r="P546" s="106" t="s">
        <v>1067</v>
      </c>
      <c r="Q546" s="106" t="s">
        <v>350</v>
      </c>
      <c r="S546" s="106" t="str" cm="1">
        <f t="array" ref="S546">IF(TRIM($D546)="","(tidak diisi)",IFERROR(INDEX(Kamus!$B$3:$B$28,MATCH(TRUE,ISNUMBER(SEARCH(Kamus!$A$3:$A$28,$D546)),0)),"Jabatan Lainnya"))</f>
        <v>Hakim</v>
      </c>
      <c r="T546" s="106" t="str" cm="1">
        <f t="array" ref="T546">IF(TRIM($I546)="","(tidak diisi)",IFERROR(INDEX(Kamus!$E$3:$E$162,MATCH(TRUE,ISNUMBER(SEARCH(Kamus!$D$3:$D$162,$I546)),0)),"Barang Lain / Tidak Terinci"))</f>
        <v>Pakaian &amp; Kain</v>
      </c>
      <c r="U546" s="106" t="str" cm="1">
        <f t="array" ref="U546">IF(TRIM($I546)="","(tidak diisi)",IFERROR(INDEX(Kamus!$H$3:$H$75,MATCH(TRUE,ISNUMBER(SEARCH(Kamus!$G$3:$G$75,$I546)),0)),"Pemberian Umum / Tanpa Konteks"))</f>
        <v>Pemberian Umum / Tanpa Konteks</v>
      </c>
      <c r="V546" s="106" t="str">
        <f t="shared" si="24"/>
        <v>2025</v>
      </c>
      <c r="W546" s="106" t="str" cm="1">
        <f t="array" ref="W546">IF(TRIM($K546)="","(tidak diisi)",IFERROR(INDEX(Kamus!$K$3:$K$118,MATCH(TRUE,ISNUMBER(SEARCH(Kamus!$J$3:$J$118,$K546)),0)),"Individu / Perorangan"))</f>
        <v>Individu / Perorangan</v>
      </c>
      <c r="X546" s="106" t="str">
        <f t="shared" si="25"/>
        <v>10</v>
      </c>
      <c r="Y546" s="106" t="str" cm="1">
        <f t="array" ref="Y546">IFERROR(INDEX(Kamus!$N$3:$N$111,MATCH(TRUE,ISNUMBER(SEARCH(Kamus!$M$3:$M$111,$I546)),0)),"")</f>
        <v/>
      </c>
      <c r="Z546" s="106" t="str">
        <f>IF(AND(OR($X546="02",$X546="03",$X546="04"),OR($T546="Parsel/Bingkisan (tidak dirinci)",$T546="Makanan &amp; Minuman",$T546="Peralatan Rumah Tangga / Pecah Belah",$T546="Pakaian &amp; Kain")),"Momen Hari Raya (dugaan musiman)",IFERROR(VLOOKUP($W546,Kamus!$P$3:$Q$14,2,FALSE),"Tidak Teridentifikasi"))</f>
        <v>Relasi Personal / Tidak Teridentifikasi</v>
      </c>
      <c r="AA546" s="106" t="str">
        <f t="shared" si="26"/>
        <v>Relasi Personal / Tidak Teridentifikasi</v>
      </c>
    </row>
    <row r="547" spans="1:27">
      <c r="A547" s="106">
        <v>546</v>
      </c>
      <c r="B547" s="106" t="s">
        <v>1060</v>
      </c>
      <c r="C547" s="107" t="s">
        <v>1061</v>
      </c>
      <c r="D547" s="106" t="s">
        <v>1033</v>
      </c>
      <c r="E547" s="106" t="s">
        <v>1062</v>
      </c>
      <c r="F547" s="106" t="s">
        <v>3708</v>
      </c>
      <c r="G547" s="106" t="s">
        <v>1006</v>
      </c>
      <c r="H547" s="106" t="s">
        <v>3618</v>
      </c>
      <c r="I547" s="106" t="s">
        <v>3709</v>
      </c>
      <c r="K547" s="106" t="s">
        <v>3710</v>
      </c>
      <c r="L547" s="106" t="s">
        <v>3711</v>
      </c>
      <c r="O547" s="106" t="s">
        <v>274</v>
      </c>
      <c r="P547" s="106" t="s">
        <v>1067</v>
      </c>
      <c r="Q547" s="106" t="s">
        <v>350</v>
      </c>
      <c r="S547" s="106" t="str" cm="1">
        <f t="array" ref="S547">IF(TRIM($D547)="","(tidak diisi)",IFERROR(INDEX(Kamus!$B$3:$B$28,MATCH(TRUE,ISNUMBER(SEARCH(Kamus!$A$3:$A$28,$D547)),0)),"Jabatan Lainnya"))</f>
        <v>Hakim</v>
      </c>
      <c r="T547" s="106" t="str" cm="1">
        <f t="array" ref="T547">IF(TRIM($I547)="","(tidak diisi)",IFERROR(INDEX(Kamus!$E$3:$E$162,MATCH(TRUE,ISNUMBER(SEARCH(Kamus!$D$3:$D$162,$I547)),0)),"Barang Lain / Tidak Terinci"))</f>
        <v>Suvenir &amp; Merchandise</v>
      </c>
      <c r="U547" s="106" t="str" cm="1">
        <f t="array" ref="U547">IF(TRIM($I547)="","(tidak diisi)",IFERROR(INDEX(Kamus!$H$3:$H$75,MATCH(TRUE,ISNUMBER(SEARCH(Kamus!$G$3:$G$75,$I547)),0)),"Pemberian Umum / Tanpa Konteks"))</f>
        <v>Suvenir / Merchandise Kegiatan &amp; Kunjungan</v>
      </c>
      <c r="V547" s="106" t="str">
        <f t="shared" si="24"/>
        <v>2025</v>
      </c>
      <c r="W547" s="106" t="str" cm="1">
        <f t="array" ref="W547">IF(TRIM($K547)="","(tidak diisi)",IFERROR(INDEX(Kamus!$K$3:$K$118,MATCH(TRUE,ISNUMBER(SEARCH(Kamus!$J$3:$J$118,$K547)),0)),"Individu / Perorangan"))</f>
        <v>Internal Peradilan / Instansi Sendiri</v>
      </c>
      <c r="X547" s="106" t="str">
        <f t="shared" si="25"/>
        <v>10</v>
      </c>
      <c r="Y547" s="106" t="str" cm="1">
        <f t="array" ref="Y547">IFERROR(INDEX(Kamus!$N$3:$N$111,MATCH(TRUE,ISNUMBER(SEARCH(Kamus!$M$3:$M$111,$I547)),0)),"")</f>
        <v/>
      </c>
      <c r="Z547" s="106" t="str">
        <f>IF(AND(OR($X547="02",$X547="03",$X547="04"),OR($T547="Parsel/Bingkisan (tidak dirinci)",$T547="Makanan &amp; Minuman",$T547="Peralatan Rumah Tangga / Pecah Belah",$T547="Pakaian &amp; Kain")),"Momen Hari Raya (dugaan musiman)",IFERROR(VLOOKUP($W547,Kamus!$P$3:$Q$14,2,FALSE),"Tidak Teridentifikasi"))</f>
        <v>Kunjungan/Koordinasi Internal Peradilan (dugaan)</v>
      </c>
      <c r="AA547" s="106" t="str">
        <f t="shared" si="26"/>
        <v>Kunjungan/Koordinasi Internal Peradilan (dugaan)</v>
      </c>
    </row>
    <row r="548" spans="1:27">
      <c r="A548" s="106">
        <v>547</v>
      </c>
      <c r="B548" s="106" t="s">
        <v>1060</v>
      </c>
      <c r="C548" s="107" t="s">
        <v>1061</v>
      </c>
      <c r="D548" s="106" t="s">
        <v>1033</v>
      </c>
      <c r="E548" s="106" t="s">
        <v>1062</v>
      </c>
      <c r="F548" s="106" t="s">
        <v>3712</v>
      </c>
      <c r="G548" s="106" t="s">
        <v>1006</v>
      </c>
      <c r="H548" s="106" t="s">
        <v>3713</v>
      </c>
      <c r="I548" s="106" t="s">
        <v>3714</v>
      </c>
      <c r="J548" s="106">
        <v>275000</v>
      </c>
      <c r="K548" s="106" t="s">
        <v>3715</v>
      </c>
      <c r="L548" s="106" t="s">
        <v>3716</v>
      </c>
      <c r="M548" s="106" t="s">
        <v>1020</v>
      </c>
      <c r="O548" s="106" t="s">
        <v>274</v>
      </c>
      <c r="P548" s="106" t="s">
        <v>1067</v>
      </c>
      <c r="Q548" s="106" t="s">
        <v>350</v>
      </c>
      <c r="S548" s="106" t="str" cm="1">
        <f t="array" ref="S548">IF(TRIM($D548)="","(tidak diisi)",IFERROR(INDEX(Kamus!$B$3:$B$28,MATCH(TRUE,ISNUMBER(SEARCH(Kamus!$A$3:$A$28,$D548)),0)),"Jabatan Lainnya"))</f>
        <v>Hakim</v>
      </c>
      <c r="T548" s="106" t="str" cm="1">
        <f t="array" ref="T548">IF(TRIM($I548)="","(tidak diisi)",IFERROR(INDEX(Kamus!$E$3:$E$162,MATCH(TRUE,ISNUMBER(SEARCH(Kamus!$D$3:$D$162,$I548)),0)),"Barang Lain / Tidak Terinci"))</f>
        <v>Pakaian &amp; Kain</v>
      </c>
      <c r="U548" s="106" t="str" cm="1">
        <f t="array" ref="U548">IF(TRIM($I548)="","(tidak diisi)",IFERROR(INDEX(Kamus!$H$3:$H$75,MATCH(TRUE,ISNUMBER(SEARCH(Kamus!$G$3:$G$75,$I548)),0)),"Pemberian Umum / Tanpa Konteks"))</f>
        <v>Pemberian Umum / Tanpa Konteks</v>
      </c>
      <c r="V548" s="106" t="str">
        <f t="shared" si="24"/>
        <v>2025</v>
      </c>
      <c r="W548" s="106" t="str" cm="1">
        <f t="array" ref="W548">IF(TRIM($K548)="","(tidak diisi)",IFERROR(INDEX(Kamus!$K$3:$K$118,MATCH(TRUE,ISNUMBER(SEARCH(Kamus!$J$3:$J$118,$K548)),0)),"Individu / Perorangan"))</f>
        <v>Individu / Perorangan</v>
      </c>
      <c r="X548" s="106" t="str">
        <f t="shared" si="25"/>
        <v>10</v>
      </c>
      <c r="Y548" s="106" t="str" cm="1">
        <f t="array" ref="Y548">IFERROR(INDEX(Kamus!$N$3:$N$111,MATCH(TRUE,ISNUMBER(SEARCH(Kamus!$M$3:$M$111,$I548)),0)),"")</f>
        <v/>
      </c>
      <c r="Z548" s="106" t="str">
        <f>IF(AND(OR($X548="02",$X548="03",$X548="04"),OR($T548="Parsel/Bingkisan (tidak dirinci)",$T548="Makanan &amp; Minuman",$T548="Peralatan Rumah Tangga / Pecah Belah",$T548="Pakaian &amp; Kain")),"Momen Hari Raya (dugaan musiman)",IFERROR(VLOOKUP($W548,Kamus!$P$3:$Q$14,2,FALSE),"Tidak Teridentifikasi"))</f>
        <v>Relasi Personal / Tidak Teridentifikasi</v>
      </c>
      <c r="AA548" s="106" t="str">
        <f t="shared" si="26"/>
        <v>Relasi Personal / Tidak Teridentifikasi</v>
      </c>
    </row>
    <row r="549" spans="1:27">
      <c r="A549" s="106">
        <v>548</v>
      </c>
      <c r="B549" s="106" t="s">
        <v>3717</v>
      </c>
      <c r="C549" s="107" t="s">
        <v>3718</v>
      </c>
      <c r="D549" s="106" t="s">
        <v>3719</v>
      </c>
      <c r="E549" s="106" t="s">
        <v>3720</v>
      </c>
      <c r="F549" s="106" t="s">
        <v>3721</v>
      </c>
      <c r="G549" s="106" t="s">
        <v>1006</v>
      </c>
      <c r="H549" s="106" t="s">
        <v>3583</v>
      </c>
      <c r="I549" s="106" t="s">
        <v>3722</v>
      </c>
      <c r="J549" s="106">
        <v>67910</v>
      </c>
      <c r="K549" s="106" t="s">
        <v>3723</v>
      </c>
      <c r="L549" s="106" t="s">
        <v>3724</v>
      </c>
      <c r="M549" s="106" t="s">
        <v>1171</v>
      </c>
      <c r="N549" s="106" t="s">
        <v>3725</v>
      </c>
      <c r="O549" s="106" t="s">
        <v>274</v>
      </c>
      <c r="P549" s="106" t="s">
        <v>3726</v>
      </c>
      <c r="Q549" s="106" t="s">
        <v>427</v>
      </c>
      <c r="S549" s="106" t="str" cm="1">
        <f t="array" ref="S549">IF(TRIM($D549)="","(tidak diisi)",IFERROR(INDEX(Kamus!$B$3:$B$28,MATCH(TRUE,ISNUMBER(SEARCH(Kamus!$A$3:$A$28,$D549)),0)),"Jabatan Lainnya"))</f>
        <v>Ketua Pengadilan</v>
      </c>
      <c r="T549" s="106" t="str" cm="1">
        <f t="array" ref="T549">IF(TRIM($I549)="","(tidak diisi)",IFERROR(INDEX(Kamus!$E$3:$E$162,MATCH(TRUE,ISNUMBER(SEARCH(Kamus!$D$3:$D$162,$I549)),0)),"Barang Lain / Tidak Terinci"))</f>
        <v>Elektronik &amp; Gadget</v>
      </c>
      <c r="U549" s="106" t="str" cm="1">
        <f t="array" ref="U549">IF(TRIM($I549)="","(tidak diisi)",IFERROR(INDEX(Kamus!$H$3:$H$75,MATCH(TRUE,ISNUMBER(SEARCH(Kamus!$G$3:$G$75,$I549)),0)),"Pemberian Umum / Tanpa Konteks"))</f>
        <v>Pemberian Umum / Tanpa Konteks</v>
      </c>
      <c r="V549" s="106" t="str">
        <f t="shared" si="24"/>
        <v>2025</v>
      </c>
      <c r="W549" s="106" t="str" cm="1">
        <f t="array" ref="W549">IF(TRIM($K549)="","(tidak diisi)",IFERROR(INDEX(Kamus!$K$3:$K$118,MATCH(TRUE,ISNUMBER(SEARCH(Kamus!$J$3:$J$118,$K549)),0)),"Individu / Perorangan"))</f>
        <v>Individu / Perorangan</v>
      </c>
      <c r="X549" s="106" t="str">
        <f t="shared" si="25"/>
        <v>10</v>
      </c>
      <c r="Y549" s="106" t="str" cm="1">
        <f t="array" ref="Y549">IFERROR(INDEX(Kamus!$N$3:$N$111,MATCH(TRUE,ISNUMBER(SEARCH(Kamus!$M$3:$M$111,$I549)),0)),"")</f>
        <v/>
      </c>
      <c r="Z549" s="106" t="str">
        <f>IF(AND(OR($X549="02",$X549="03",$X549="04"),OR($T549="Parsel/Bingkisan (tidak dirinci)",$T549="Makanan &amp; Minuman",$T549="Peralatan Rumah Tangga / Pecah Belah",$T549="Pakaian &amp; Kain")),"Momen Hari Raya (dugaan musiman)",IFERROR(VLOOKUP($W549,Kamus!$P$3:$Q$14,2,FALSE),"Tidak Teridentifikasi"))</f>
        <v>Relasi Personal / Tidak Teridentifikasi</v>
      </c>
      <c r="AA549" s="106" t="str">
        <f t="shared" si="26"/>
        <v>Relasi Personal / Tidak Teridentifikasi</v>
      </c>
    </row>
    <row r="550" spans="1:27">
      <c r="A550" s="106">
        <v>549</v>
      </c>
      <c r="B550" s="106" t="s">
        <v>3727</v>
      </c>
      <c r="C550" s="107" t="s">
        <v>3728</v>
      </c>
      <c r="D550" s="106" t="s">
        <v>1042</v>
      </c>
      <c r="E550" s="106" t="s">
        <v>2150</v>
      </c>
      <c r="F550" s="106" t="s">
        <v>3729</v>
      </c>
      <c r="G550" s="106" t="s">
        <v>1006</v>
      </c>
      <c r="H550" s="106" t="s">
        <v>3730</v>
      </c>
      <c r="I550" s="106" t="s">
        <v>1492</v>
      </c>
      <c r="J550" s="106">
        <v>975000</v>
      </c>
      <c r="K550" s="106" t="s">
        <v>3731</v>
      </c>
      <c r="L550" s="106" t="s">
        <v>3732</v>
      </c>
      <c r="M550" s="106" t="s">
        <v>1171</v>
      </c>
      <c r="N550" s="106" t="s">
        <v>3733</v>
      </c>
      <c r="O550" s="106" t="s">
        <v>274</v>
      </c>
      <c r="P550" s="106" t="s">
        <v>604</v>
      </c>
      <c r="Q550" s="106" t="s">
        <v>429</v>
      </c>
      <c r="S550" s="106" t="str" cm="1">
        <f t="array" ref="S550">IF(TRIM($D550)="","(tidak diisi)",IFERROR(INDEX(Kamus!$B$3:$B$28,MATCH(TRUE,ISNUMBER(SEARCH(Kamus!$A$3:$A$28,$D550)),0)),"Jabatan Lainnya"))</f>
        <v>Ketua Pengadilan</v>
      </c>
      <c r="T550" s="106" t="str" cm="1">
        <f t="array" ref="T550">IF(TRIM($I550)="","(tidak diisi)",IFERROR(INDEX(Kamus!$E$3:$E$162,MATCH(TRUE,ISNUMBER(SEARCH(Kamus!$D$3:$D$162,$I550)),0)),"Barang Lain / Tidak Terinci"))</f>
        <v>Pakaian &amp; Kain</v>
      </c>
      <c r="U550" s="106" t="str" cm="1">
        <f t="array" ref="U550">IF(TRIM($I550)="","(tidak diisi)",IFERROR(INDEX(Kamus!$H$3:$H$75,MATCH(TRUE,ISNUMBER(SEARCH(Kamus!$G$3:$G$75,$I550)),0)),"Pemberian Umum / Tanpa Konteks"))</f>
        <v>Pemberian Umum / Tanpa Konteks</v>
      </c>
      <c r="V550" s="106" t="str">
        <f t="shared" si="24"/>
        <v>2025</v>
      </c>
      <c r="W550" s="106" t="str" cm="1">
        <f t="array" ref="W550">IF(TRIM($K550)="","(tidak diisi)",IFERROR(INDEX(Kamus!$K$3:$K$118,MATCH(TRUE,ISNUMBER(SEARCH(Kamus!$J$3:$J$118,$K550)),0)),"Individu / Perorangan"))</f>
        <v>Individu / Perorangan</v>
      </c>
      <c r="X550" s="106" t="str">
        <f t="shared" si="25"/>
        <v>10</v>
      </c>
      <c r="Y550" s="106" t="str" cm="1">
        <f t="array" ref="Y550">IFERROR(INDEX(Kamus!$N$3:$N$111,MATCH(TRUE,ISNUMBER(SEARCH(Kamus!$M$3:$M$111,$I550)),0)),"")</f>
        <v/>
      </c>
      <c r="Z550" s="106" t="str">
        <f>IF(AND(OR($X550="02",$X550="03",$X550="04"),OR($T550="Parsel/Bingkisan (tidak dirinci)",$T550="Makanan &amp; Minuman",$T550="Peralatan Rumah Tangga / Pecah Belah",$T550="Pakaian &amp; Kain")),"Momen Hari Raya (dugaan musiman)",IFERROR(VLOOKUP($W550,Kamus!$P$3:$Q$14,2,FALSE),"Tidak Teridentifikasi"))</f>
        <v>Relasi Personal / Tidak Teridentifikasi</v>
      </c>
      <c r="AA550" s="106" t="str">
        <f t="shared" si="26"/>
        <v>Relasi Personal / Tidak Teridentifikasi</v>
      </c>
    </row>
    <row r="551" spans="1:27">
      <c r="A551" s="106">
        <v>550</v>
      </c>
      <c r="B551" s="106" t="s">
        <v>3734</v>
      </c>
      <c r="C551" s="107" t="s">
        <v>3735</v>
      </c>
      <c r="D551" s="106" t="s">
        <v>1033</v>
      </c>
      <c r="E551" s="106" t="s">
        <v>3736</v>
      </c>
      <c r="F551" s="106" t="s">
        <v>3737</v>
      </c>
      <c r="G551" s="106" t="s">
        <v>1006</v>
      </c>
      <c r="H551" s="106" t="s">
        <v>3730</v>
      </c>
      <c r="I551" s="106" t="s">
        <v>1745</v>
      </c>
      <c r="K551" s="106" t="s">
        <v>3738</v>
      </c>
      <c r="L551" s="106" t="s">
        <v>3739</v>
      </c>
      <c r="O551" s="106" t="s">
        <v>274</v>
      </c>
      <c r="Q551" s="106" t="s">
        <v>349</v>
      </c>
      <c r="S551" s="106" t="str" cm="1">
        <f t="array" ref="S551">IF(TRIM($D551)="","(tidak diisi)",IFERROR(INDEX(Kamus!$B$3:$B$28,MATCH(TRUE,ISNUMBER(SEARCH(Kamus!$A$3:$A$28,$D551)),0)),"Jabatan Lainnya"))</f>
        <v>Hakim</v>
      </c>
      <c r="T551" s="106" t="str" cm="1">
        <f t="array" ref="T551">IF(TRIM($I551)="","(tidak diisi)",IFERROR(INDEX(Kamus!$E$3:$E$162,MATCH(TRUE,ISNUMBER(SEARCH(Kamus!$D$3:$D$162,$I551)),0)),"Barang Lain / Tidak Terinci"))</f>
        <v>Makanan &amp; Minuman</v>
      </c>
      <c r="U551" s="106" t="str" cm="1">
        <f t="array" ref="U551">IF(TRIM($I551)="","(tidak diisi)",IFERROR(INDEX(Kamus!$H$3:$H$75,MATCH(TRUE,ISNUMBER(SEARCH(Kamus!$G$3:$G$75,$I551)),0)),"Pemberian Umum / Tanpa Konteks"))</f>
        <v>Pemberian Umum / Tanpa Konteks</v>
      </c>
      <c r="V551" s="106" t="str">
        <f t="shared" si="24"/>
        <v>2025</v>
      </c>
      <c r="W551" s="106" t="str" cm="1">
        <f t="array" ref="W551">IF(TRIM($K551)="","(tidak diisi)",IFERROR(INDEX(Kamus!$K$3:$K$118,MATCH(TRUE,ISNUMBER(SEARCH(Kamus!$J$3:$J$118,$K551)),0)),"Individu / Perorangan"))</f>
        <v>Individu / Perorangan</v>
      </c>
      <c r="X551" s="106" t="str">
        <f t="shared" si="25"/>
        <v>10</v>
      </c>
      <c r="Y551" s="106" t="str" cm="1">
        <f t="array" ref="Y551">IFERROR(INDEX(Kamus!$N$3:$N$111,MATCH(TRUE,ISNUMBER(SEARCH(Kamus!$M$3:$M$111,$I551)),0)),"")</f>
        <v/>
      </c>
      <c r="Z551" s="106" t="str">
        <f>IF(AND(OR($X551="02",$X551="03",$X551="04"),OR($T551="Parsel/Bingkisan (tidak dirinci)",$T551="Makanan &amp; Minuman",$T551="Peralatan Rumah Tangga / Pecah Belah",$T551="Pakaian &amp; Kain")),"Momen Hari Raya (dugaan musiman)",IFERROR(VLOOKUP($W551,Kamus!$P$3:$Q$14,2,FALSE),"Tidak Teridentifikasi"))</f>
        <v>Relasi Personal / Tidak Teridentifikasi</v>
      </c>
      <c r="AA551" s="106" t="str">
        <f t="shared" si="26"/>
        <v>Relasi Personal / Tidak Teridentifikasi</v>
      </c>
    </row>
    <row r="552" spans="1:27">
      <c r="A552" s="106">
        <v>551</v>
      </c>
      <c r="B552" s="106" t="s">
        <v>3740</v>
      </c>
      <c r="C552" s="107" t="s">
        <v>3741</v>
      </c>
      <c r="D552" s="106" t="s">
        <v>3375</v>
      </c>
      <c r="E552" s="106" t="s">
        <v>2150</v>
      </c>
      <c r="G552" s="106" t="s">
        <v>1074</v>
      </c>
      <c r="L552" s="106" t="s">
        <v>3742</v>
      </c>
      <c r="O552" s="106" t="s">
        <v>274</v>
      </c>
      <c r="P552" s="106" t="s">
        <v>604</v>
      </c>
      <c r="Q552" s="106" t="s">
        <v>429</v>
      </c>
      <c r="S552" s="106" t="str" cm="1">
        <f t="array" ref="S552">IF(TRIM($D552)="","(tidak diisi)",IFERROR(INDEX(Kamus!$B$3:$B$28,MATCH(TRUE,ISNUMBER(SEARCH(Kamus!$A$3:$A$28,$D552)),0)),"Jabatan Lainnya"))</f>
        <v>Staf/Pegawai Pelaksana</v>
      </c>
      <c r="T552" s="106" t="str" cm="1">
        <f t="array" ref="T552">IF(TRIM($I552)="","(tidak diisi)",IFERROR(INDEX(Kamus!$E$3:$E$162,MATCH(TRUE,ISNUMBER(SEARCH(Kamus!$D$3:$D$162,$I552)),0)),"Barang Lain / Tidak Terinci"))</f>
        <v>(tidak diisi)</v>
      </c>
      <c r="U552" s="106" t="str" cm="1">
        <f t="array" ref="U552">IF(TRIM($I552)="","(tidak diisi)",IFERROR(INDEX(Kamus!$H$3:$H$75,MATCH(TRUE,ISNUMBER(SEARCH(Kamus!$G$3:$G$75,$I552)),0)),"Pemberian Umum / Tanpa Konteks"))</f>
        <v>(tidak diisi)</v>
      </c>
      <c r="V552" s="106" t="str">
        <f t="shared" si="24"/>
        <v>(tidak diisi)</v>
      </c>
      <c r="W552" s="106" t="str" cm="1">
        <f t="array" ref="W552">IF(TRIM($K552)="","(tidak diisi)",IFERROR(INDEX(Kamus!$K$3:$K$118,MATCH(TRUE,ISNUMBER(SEARCH(Kamus!$J$3:$J$118,$K552)),0)),"Individu / Perorangan"))</f>
        <v>(tidak diisi)</v>
      </c>
      <c r="X552" s="106" t="str">
        <f t="shared" si="25"/>
        <v>(tidak diisi)</v>
      </c>
      <c r="Y552" s="106" t="str" cm="1">
        <f t="array" ref="Y552">IFERROR(INDEX(Kamus!$N$3:$N$111,MATCH(TRUE,ISNUMBER(SEARCH(Kamus!$M$3:$M$111,$I552)),0)),"")</f>
        <v/>
      </c>
      <c r="Z552" s="106" t="str">
        <f>IF(AND(OR($X552="02",$X552="03",$X552="04"),OR($T552="Parsel/Bingkisan (tidak dirinci)",$T552="Makanan &amp; Minuman",$T552="Peralatan Rumah Tangga / Pecah Belah",$T552="Pakaian &amp; Kain")),"Momen Hari Raya (dugaan musiman)",IFERROR(VLOOKUP($W552,Kamus!$P$3:$Q$14,2,FALSE),"Tidak Teridentifikasi"))</f>
        <v>Tidak Teridentifikasi</v>
      </c>
      <c r="AA552" s="106" t="str">
        <f t="shared" si="26"/>
        <v>Tidak Teridentifikasi</v>
      </c>
    </row>
    <row r="553" spans="1:27">
      <c r="A553" s="106">
        <v>552</v>
      </c>
      <c r="B553" s="106" t="s">
        <v>2661</v>
      </c>
      <c r="C553" s="107" t="s">
        <v>2662</v>
      </c>
      <c r="D553" s="106" t="s">
        <v>1033</v>
      </c>
      <c r="E553" s="106" t="s">
        <v>2663</v>
      </c>
      <c r="F553" s="106" t="s">
        <v>3743</v>
      </c>
      <c r="G553" s="106" t="s">
        <v>1006</v>
      </c>
      <c r="H553" s="106" t="s">
        <v>3557</v>
      </c>
      <c r="I553" s="106" t="s">
        <v>3100</v>
      </c>
      <c r="J553" s="106">
        <v>60000</v>
      </c>
      <c r="K553" s="106" t="s">
        <v>3744</v>
      </c>
      <c r="L553" s="106" t="s">
        <v>3745</v>
      </c>
      <c r="M553" s="106" t="s">
        <v>1171</v>
      </c>
      <c r="N553" s="106" t="s">
        <v>3746</v>
      </c>
      <c r="O553" s="106" t="s">
        <v>274</v>
      </c>
      <c r="P553" s="106" t="s">
        <v>2668</v>
      </c>
      <c r="Q553" s="106" t="s">
        <v>395</v>
      </c>
      <c r="S553" s="106" t="str" cm="1">
        <f t="array" ref="S553">IF(TRIM($D553)="","(tidak diisi)",IFERROR(INDEX(Kamus!$B$3:$B$28,MATCH(TRUE,ISNUMBER(SEARCH(Kamus!$A$3:$A$28,$D553)),0)),"Jabatan Lainnya"))</f>
        <v>Hakim</v>
      </c>
      <c r="T553" s="106" t="str" cm="1">
        <f t="array" ref="T553">IF(TRIM($I553)="","(tidak diisi)",IFERROR(INDEX(Kamus!$E$3:$E$162,MATCH(TRUE,ISNUMBER(SEARCH(Kamus!$D$3:$D$162,$I553)),0)),"Barang Lain / Tidak Terinci"))</f>
        <v>Makanan &amp; Minuman</v>
      </c>
      <c r="U553" s="106" t="str" cm="1">
        <f t="array" ref="U553">IF(TRIM($I553)="","(tidak diisi)",IFERROR(INDEX(Kamus!$H$3:$H$75,MATCH(TRUE,ISNUMBER(SEARCH(Kamus!$G$3:$G$75,$I553)),0)),"Pemberian Umum / Tanpa Konteks"))</f>
        <v>Jamuan / Konsumsi Rapat &amp; Kegiatan</v>
      </c>
      <c r="V553" s="106" t="str">
        <f t="shared" si="24"/>
        <v>2025</v>
      </c>
      <c r="W553" s="106" t="str" cm="1">
        <f t="array" ref="W553">IF(TRIM($K553)="","(tidak diisi)",IFERROR(INDEX(Kamus!$K$3:$K$118,MATCH(TRUE,ISNUMBER(SEARCH(Kamus!$J$3:$J$118,$K553)),0)),"Individu / Perorangan"))</f>
        <v>Individu / Perorangan</v>
      </c>
      <c r="X553" s="106" t="str">
        <f t="shared" si="25"/>
        <v>10</v>
      </c>
      <c r="Y553" s="106" t="str" cm="1">
        <f t="array" ref="Y553">IFERROR(INDEX(Kamus!$N$3:$N$111,MATCH(TRUE,ISNUMBER(SEARCH(Kamus!$M$3:$M$111,$I553)),0)),"")</f>
        <v>Rapat / Jamuan Dinas</v>
      </c>
      <c r="Z553" s="106" t="str">
        <f>IF(AND(OR($X553="02",$X553="03",$X553="04"),OR($T553="Parsel/Bingkisan (tidak dirinci)",$T553="Makanan &amp; Minuman",$T553="Peralatan Rumah Tangga / Pecah Belah",$T553="Pakaian &amp; Kain")),"Momen Hari Raya (dugaan musiman)",IFERROR(VLOOKUP($W553,Kamus!$P$3:$Q$14,2,FALSE),"Tidak Teridentifikasi"))</f>
        <v>Relasi Personal / Tidak Teridentifikasi</v>
      </c>
      <c r="AA553" s="106" t="str">
        <f t="shared" si="26"/>
        <v>Rapat / Jamuan Dinas</v>
      </c>
    </row>
    <row r="554" spans="1:27">
      <c r="A554" s="106">
        <v>553</v>
      </c>
      <c r="B554" s="106" t="s">
        <v>2661</v>
      </c>
      <c r="C554" s="107" t="s">
        <v>2662</v>
      </c>
      <c r="D554" s="106" t="s">
        <v>1033</v>
      </c>
      <c r="E554" s="106" t="s">
        <v>2663</v>
      </c>
      <c r="F554" s="106" t="s">
        <v>3747</v>
      </c>
      <c r="G554" s="106" t="s">
        <v>1006</v>
      </c>
      <c r="H554" s="106" t="s">
        <v>3579</v>
      </c>
      <c r="I554" s="106" t="s">
        <v>3100</v>
      </c>
      <c r="J554" s="106">
        <v>60000</v>
      </c>
      <c r="K554" s="106" t="s">
        <v>3748</v>
      </c>
      <c r="L554" s="106" t="s">
        <v>3749</v>
      </c>
      <c r="M554" s="106" t="s">
        <v>1171</v>
      </c>
      <c r="N554" s="106" t="s">
        <v>3750</v>
      </c>
      <c r="O554" s="106" t="s">
        <v>274</v>
      </c>
      <c r="P554" s="106" t="s">
        <v>2668</v>
      </c>
      <c r="Q554" s="106" t="s">
        <v>395</v>
      </c>
      <c r="S554" s="106" t="str" cm="1">
        <f t="array" ref="S554">IF(TRIM($D554)="","(tidak diisi)",IFERROR(INDEX(Kamus!$B$3:$B$28,MATCH(TRUE,ISNUMBER(SEARCH(Kamus!$A$3:$A$28,$D554)),0)),"Jabatan Lainnya"))</f>
        <v>Hakim</v>
      </c>
      <c r="T554" s="106" t="str" cm="1">
        <f t="array" ref="T554">IF(TRIM($I554)="","(tidak diisi)",IFERROR(INDEX(Kamus!$E$3:$E$162,MATCH(TRUE,ISNUMBER(SEARCH(Kamus!$D$3:$D$162,$I554)),0)),"Barang Lain / Tidak Terinci"))</f>
        <v>Makanan &amp; Minuman</v>
      </c>
      <c r="U554" s="106" t="str" cm="1">
        <f t="array" ref="U554">IF(TRIM($I554)="","(tidak diisi)",IFERROR(INDEX(Kamus!$H$3:$H$75,MATCH(TRUE,ISNUMBER(SEARCH(Kamus!$G$3:$G$75,$I554)),0)),"Pemberian Umum / Tanpa Konteks"))</f>
        <v>Jamuan / Konsumsi Rapat &amp; Kegiatan</v>
      </c>
      <c r="V554" s="106" t="str">
        <f t="shared" si="24"/>
        <v>2025</v>
      </c>
      <c r="W554" s="106" t="str" cm="1">
        <f t="array" ref="W554">IF(TRIM($K554)="","(tidak diisi)",IFERROR(INDEX(Kamus!$K$3:$K$118,MATCH(TRUE,ISNUMBER(SEARCH(Kamus!$J$3:$J$118,$K554)),0)),"Individu / Perorangan"))</f>
        <v>Individu / Perorangan</v>
      </c>
      <c r="X554" s="106" t="str">
        <f t="shared" si="25"/>
        <v>10</v>
      </c>
      <c r="Y554" s="106" t="str" cm="1">
        <f t="array" ref="Y554">IFERROR(INDEX(Kamus!$N$3:$N$111,MATCH(TRUE,ISNUMBER(SEARCH(Kamus!$M$3:$M$111,$I554)),0)),"")</f>
        <v>Rapat / Jamuan Dinas</v>
      </c>
      <c r="Z554" s="106" t="str">
        <f>IF(AND(OR($X554="02",$X554="03",$X554="04"),OR($T554="Parsel/Bingkisan (tidak dirinci)",$T554="Makanan &amp; Minuman",$T554="Peralatan Rumah Tangga / Pecah Belah",$T554="Pakaian &amp; Kain")),"Momen Hari Raya (dugaan musiman)",IFERROR(VLOOKUP($W554,Kamus!$P$3:$Q$14,2,FALSE),"Tidak Teridentifikasi"))</f>
        <v>Relasi Personal / Tidak Teridentifikasi</v>
      </c>
      <c r="AA554" s="106" t="str">
        <f t="shared" si="26"/>
        <v>Rapat / Jamuan Dinas</v>
      </c>
    </row>
    <row r="555" spans="1:27">
      <c r="A555" s="106">
        <v>554</v>
      </c>
      <c r="B555" s="106" t="s">
        <v>3751</v>
      </c>
      <c r="C555" s="107" t="s">
        <v>3752</v>
      </c>
      <c r="D555" s="106" t="s">
        <v>1160</v>
      </c>
      <c r="E555" s="106" t="s">
        <v>1025</v>
      </c>
      <c r="F555" s="106" t="s">
        <v>3753</v>
      </c>
      <c r="G555" s="106" t="s">
        <v>1006</v>
      </c>
      <c r="H555" s="106" t="s">
        <v>3754</v>
      </c>
      <c r="I555" s="106" t="s">
        <v>3755</v>
      </c>
      <c r="K555" s="106" t="s">
        <v>3756</v>
      </c>
      <c r="L555" s="106" t="s">
        <v>3757</v>
      </c>
      <c r="O555" s="106" t="s">
        <v>274</v>
      </c>
      <c r="P555" s="106" t="s">
        <v>561</v>
      </c>
      <c r="Q555" s="106" t="s">
        <v>428</v>
      </c>
      <c r="S555" s="106" t="str" cm="1">
        <f t="array" ref="S555">IF(TRIM($D555)="","(tidak diisi)",IFERROR(INDEX(Kamus!$B$3:$B$28,MATCH(TRUE,ISNUMBER(SEARCH(Kamus!$A$3:$A$28,$D555)),0)),"Jabatan Lainnya"))</f>
        <v>Panitera</v>
      </c>
      <c r="T555" s="106" t="str" cm="1">
        <f t="array" ref="T555">IF(TRIM($I555)="","(tidak diisi)",IFERROR(INDEX(Kamus!$E$3:$E$162,MATCH(TRUE,ISNUMBER(SEARCH(Kamus!$D$3:$D$162,$I555)),0)),"Barang Lain / Tidak Terinci"))</f>
        <v>Makanan &amp; Minuman</v>
      </c>
      <c r="U555" s="106" t="str" cm="1">
        <f t="array" ref="U555">IF(TRIM($I555)="","(tidak diisi)",IFERROR(INDEX(Kamus!$H$3:$H$75,MATCH(TRUE,ISNUMBER(SEARCH(Kamus!$G$3:$G$75,$I555)),0)),"Pemberian Umum / Tanpa Konteks"))</f>
        <v>Pemberian Umum / Tanpa Konteks</v>
      </c>
      <c r="V555" s="106" t="str">
        <f t="shared" si="24"/>
        <v>2025</v>
      </c>
      <c r="W555" s="106" t="str" cm="1">
        <f t="array" ref="W555">IF(TRIM($K555)="","(tidak diisi)",IFERROR(INDEX(Kamus!$K$3:$K$118,MATCH(TRUE,ISNUMBER(SEARCH(Kamus!$J$3:$J$118,$K555)),0)),"Individu / Perorangan"))</f>
        <v>Individu / Perorangan</v>
      </c>
      <c r="X555" s="106" t="str">
        <f t="shared" si="25"/>
        <v>10</v>
      </c>
      <c r="Y555" s="106" t="str" cm="1">
        <f t="array" ref="Y555">IFERROR(INDEX(Kamus!$N$3:$N$111,MATCH(TRUE,ISNUMBER(SEARCH(Kamus!$M$3:$M$111,$I555)),0)),"")</f>
        <v/>
      </c>
      <c r="Z555" s="106" t="str">
        <f>IF(AND(OR($X555="02",$X555="03",$X555="04"),OR($T555="Parsel/Bingkisan (tidak dirinci)",$T555="Makanan &amp; Minuman",$T555="Peralatan Rumah Tangga / Pecah Belah",$T555="Pakaian &amp; Kain")),"Momen Hari Raya (dugaan musiman)",IFERROR(VLOOKUP($W555,Kamus!$P$3:$Q$14,2,FALSE),"Tidak Teridentifikasi"))</f>
        <v>Relasi Personal / Tidak Teridentifikasi</v>
      </c>
      <c r="AA555" s="106" t="str">
        <f t="shared" si="26"/>
        <v>Relasi Personal / Tidak Teridentifikasi</v>
      </c>
    </row>
    <row r="556" spans="1:27">
      <c r="A556" s="106">
        <v>555</v>
      </c>
      <c r="B556" s="106" t="s">
        <v>1088</v>
      </c>
      <c r="C556" s="107" t="s">
        <v>1089</v>
      </c>
      <c r="D556" s="106" t="s">
        <v>1033</v>
      </c>
      <c r="E556" s="106" t="s">
        <v>1090</v>
      </c>
      <c r="F556" s="106" t="s">
        <v>3758</v>
      </c>
      <c r="G556" s="106" t="s">
        <v>1006</v>
      </c>
      <c r="H556" s="106" t="s">
        <v>3583</v>
      </c>
      <c r="I556" s="106" t="s">
        <v>3759</v>
      </c>
      <c r="K556" s="106" t="s">
        <v>3760</v>
      </c>
      <c r="L556" s="106" t="s">
        <v>3761</v>
      </c>
      <c r="O556" s="106" t="s">
        <v>274</v>
      </c>
      <c r="P556" s="106" t="s">
        <v>1095</v>
      </c>
      <c r="Q556" s="106" t="s">
        <v>348</v>
      </c>
      <c r="S556" s="106" t="str" cm="1">
        <f t="array" ref="S556">IF(TRIM($D556)="","(tidak diisi)",IFERROR(INDEX(Kamus!$B$3:$B$28,MATCH(TRUE,ISNUMBER(SEARCH(Kamus!$A$3:$A$28,$D556)),0)),"Jabatan Lainnya"))</f>
        <v>Hakim</v>
      </c>
      <c r="T556" s="106" t="str" cm="1">
        <f t="array" ref="T556">IF(TRIM($I556)="","(tidak diisi)",IFERROR(INDEX(Kamus!$E$3:$E$162,MATCH(TRUE,ISNUMBER(SEARCH(Kamus!$D$3:$D$162,$I556)),0)),"Barang Lain / Tidak Terinci"))</f>
        <v>Buku &amp; Publikasi</v>
      </c>
      <c r="U556" s="106" t="str" cm="1">
        <f t="array" ref="U556">IF(TRIM($I556)="","(tidak diisi)",IFERROR(INDEX(Kamus!$H$3:$H$75,MATCH(TRUE,ISNUMBER(SEARCH(Kamus!$G$3:$G$75,$I556)),0)),"Pemberian Umum / Tanpa Konteks"))</f>
        <v>Pemberian Umum / Tanpa Konteks</v>
      </c>
      <c r="V556" s="106" t="str">
        <f t="shared" si="24"/>
        <v>2025</v>
      </c>
      <c r="W556" s="106" t="str" cm="1">
        <f t="array" ref="W556">IF(TRIM($K556)="","(tidak diisi)",IFERROR(INDEX(Kamus!$K$3:$K$118,MATCH(TRUE,ISNUMBER(SEARCH(Kamus!$J$3:$J$118,$K556)),0)),"Individu / Perorangan"))</f>
        <v>Individu / Perorangan</v>
      </c>
      <c r="X556" s="106" t="str">
        <f t="shared" si="25"/>
        <v>10</v>
      </c>
      <c r="Y556" s="106" t="str" cm="1">
        <f t="array" ref="Y556">IFERROR(INDEX(Kamus!$N$3:$N$111,MATCH(TRUE,ISNUMBER(SEARCH(Kamus!$M$3:$M$111,$I556)),0)),"")</f>
        <v/>
      </c>
      <c r="Z556" s="106" t="str">
        <f>IF(AND(OR($X556="02",$X556="03",$X556="04"),OR($T556="Parsel/Bingkisan (tidak dirinci)",$T556="Makanan &amp; Minuman",$T556="Peralatan Rumah Tangga / Pecah Belah",$T556="Pakaian &amp; Kain")),"Momen Hari Raya (dugaan musiman)",IFERROR(VLOOKUP($W556,Kamus!$P$3:$Q$14,2,FALSE),"Tidak Teridentifikasi"))</f>
        <v>Relasi Personal / Tidak Teridentifikasi</v>
      </c>
      <c r="AA556" s="106" t="str">
        <f t="shared" si="26"/>
        <v>Relasi Personal / Tidak Teridentifikasi</v>
      </c>
    </row>
    <row r="557" spans="1:27">
      <c r="A557" s="106">
        <v>556</v>
      </c>
      <c r="B557" s="106" t="s">
        <v>2724</v>
      </c>
      <c r="C557" s="107" t="s">
        <v>2725</v>
      </c>
      <c r="D557" s="106" t="s">
        <v>1042</v>
      </c>
      <c r="E557" s="106" t="s">
        <v>2726</v>
      </c>
      <c r="F557" s="106" t="s">
        <v>3762</v>
      </c>
      <c r="G557" s="106" t="s">
        <v>1006</v>
      </c>
      <c r="H557" s="106" t="s">
        <v>3763</v>
      </c>
      <c r="I557" s="106" t="s">
        <v>3764</v>
      </c>
      <c r="J557" s="106">
        <v>150000</v>
      </c>
      <c r="K557" s="106" t="s">
        <v>3765</v>
      </c>
      <c r="L557" s="106" t="s">
        <v>3766</v>
      </c>
      <c r="M557" s="106" t="s">
        <v>1360</v>
      </c>
      <c r="O557" s="106" t="s">
        <v>274</v>
      </c>
      <c r="P557" s="106" t="s">
        <v>2732</v>
      </c>
      <c r="Q557" s="106" t="s">
        <v>428</v>
      </c>
      <c r="S557" s="106" t="str" cm="1">
        <f t="array" ref="S557">IF(TRIM($D557)="","(tidak diisi)",IFERROR(INDEX(Kamus!$B$3:$B$28,MATCH(TRUE,ISNUMBER(SEARCH(Kamus!$A$3:$A$28,$D557)),0)),"Jabatan Lainnya"))</f>
        <v>Ketua Pengadilan</v>
      </c>
      <c r="T557" s="106" t="str" cm="1">
        <f t="array" ref="T557">IF(TRIM($I557)="","(tidak diisi)",IFERROR(INDEX(Kamus!$E$3:$E$162,MATCH(TRUE,ISNUMBER(SEARCH(Kamus!$D$3:$D$162,$I557)),0)),"Barang Lain / Tidak Terinci"))</f>
        <v>Barang Lain / Tidak Terinci</v>
      </c>
      <c r="U557" s="106" t="str" cm="1">
        <f t="array" ref="U557">IF(TRIM($I557)="","(tidak diisi)",IFERROR(INDEX(Kamus!$H$3:$H$75,MATCH(TRUE,ISNUMBER(SEARCH(Kamus!$G$3:$G$75,$I557)),0)),"Pemberian Umum / Tanpa Konteks"))</f>
        <v>Pemberian Umum / Tanpa Konteks</v>
      </c>
      <c r="V557" s="106" t="str">
        <f t="shared" si="24"/>
        <v>2025</v>
      </c>
      <c r="W557" s="106" t="str" cm="1">
        <f t="array" ref="W557">IF(TRIM($K557)="","(tidak diisi)",IFERROR(INDEX(Kamus!$K$3:$K$118,MATCH(TRUE,ISNUMBER(SEARCH(Kamus!$J$3:$J$118,$K557)),0)),"Individu / Perorangan"))</f>
        <v>Individu / Perorangan</v>
      </c>
      <c r="X557" s="106" t="str">
        <f t="shared" si="25"/>
        <v>10</v>
      </c>
      <c r="Y557" s="106" t="str" cm="1">
        <f t="array" ref="Y557">IFERROR(INDEX(Kamus!$N$3:$N$111,MATCH(TRUE,ISNUMBER(SEARCH(Kamus!$M$3:$M$111,$I557)),0)),"")</f>
        <v/>
      </c>
      <c r="Z557" s="106" t="str">
        <f>IF(AND(OR($X557="02",$X557="03",$X557="04"),OR($T557="Parsel/Bingkisan (tidak dirinci)",$T557="Makanan &amp; Minuman",$T557="Peralatan Rumah Tangga / Pecah Belah",$T557="Pakaian &amp; Kain")),"Momen Hari Raya (dugaan musiman)",IFERROR(VLOOKUP($W557,Kamus!$P$3:$Q$14,2,FALSE),"Tidak Teridentifikasi"))</f>
        <v>Relasi Personal / Tidak Teridentifikasi</v>
      </c>
      <c r="AA557" s="106" t="str">
        <f t="shared" si="26"/>
        <v>Relasi Personal / Tidak Teridentifikasi</v>
      </c>
    </row>
    <row r="558" spans="1:27">
      <c r="A558" s="106">
        <v>557</v>
      </c>
      <c r="B558" s="106" t="s">
        <v>2724</v>
      </c>
      <c r="C558" s="107" t="s">
        <v>2725</v>
      </c>
      <c r="D558" s="106" t="s">
        <v>1042</v>
      </c>
      <c r="E558" s="106" t="s">
        <v>2726</v>
      </c>
      <c r="F558" s="106" t="s">
        <v>3762</v>
      </c>
      <c r="G558" s="106" t="s">
        <v>1006</v>
      </c>
      <c r="H558" s="106" t="s">
        <v>3763</v>
      </c>
      <c r="I558" s="106" t="s">
        <v>1017</v>
      </c>
      <c r="J558" s="106">
        <v>250000</v>
      </c>
      <c r="K558" s="106" t="s">
        <v>3765</v>
      </c>
      <c r="L558" s="106" t="s">
        <v>3766</v>
      </c>
      <c r="M558" s="106" t="s">
        <v>1020</v>
      </c>
      <c r="O558" s="106" t="s">
        <v>274</v>
      </c>
      <c r="P558" s="106" t="s">
        <v>2732</v>
      </c>
      <c r="Q558" s="106" t="s">
        <v>428</v>
      </c>
      <c r="S558" s="106" t="str" cm="1">
        <f t="array" ref="S558">IF(TRIM($D558)="","(tidak diisi)",IFERROR(INDEX(Kamus!$B$3:$B$28,MATCH(TRUE,ISNUMBER(SEARCH(Kamus!$A$3:$A$28,$D558)),0)),"Jabatan Lainnya"))</f>
        <v>Ketua Pengadilan</v>
      </c>
      <c r="T558" s="106" t="str" cm="1">
        <f t="array" ref="T558">IF(TRIM($I558)="","(tidak diisi)",IFERROR(INDEX(Kamus!$E$3:$E$162,MATCH(TRUE,ISNUMBER(SEARCH(Kamus!$D$3:$D$162,$I558)),0)),"Barang Lain / Tidak Terinci"))</f>
        <v>Uang &amp; Setara Uang</v>
      </c>
      <c r="U558" s="106" t="str" cm="1">
        <f t="array" ref="U558">IF(TRIM($I558)="","(tidak diisi)",IFERROR(INDEX(Kamus!$H$3:$H$75,MATCH(TRUE,ISNUMBER(SEARCH(Kamus!$G$3:$G$75,$I558)),0)),"Pemberian Umum / Tanpa Konteks"))</f>
        <v>Pemberian Uang Langsung</v>
      </c>
      <c r="V558" s="106" t="str">
        <f t="shared" si="24"/>
        <v>2025</v>
      </c>
      <c r="W558" s="106" t="str" cm="1">
        <f t="array" ref="W558">IF(TRIM($K558)="","(tidak diisi)",IFERROR(INDEX(Kamus!$K$3:$K$118,MATCH(TRUE,ISNUMBER(SEARCH(Kamus!$J$3:$J$118,$K558)),0)),"Individu / Perorangan"))</f>
        <v>Individu / Perorangan</v>
      </c>
      <c r="X558" s="106" t="str">
        <f t="shared" si="25"/>
        <v>10</v>
      </c>
      <c r="Y558" s="106" t="str" cm="1">
        <f t="array" ref="Y558">IFERROR(INDEX(Kamus!$N$3:$N$111,MATCH(TRUE,ISNUMBER(SEARCH(Kamus!$M$3:$M$111,$I558)),0)),"")</f>
        <v/>
      </c>
      <c r="Z558" s="106" t="str">
        <f>IF(AND(OR($X558="02",$X558="03",$X558="04"),OR($T558="Parsel/Bingkisan (tidak dirinci)",$T558="Makanan &amp; Minuman",$T558="Peralatan Rumah Tangga / Pecah Belah",$T558="Pakaian &amp; Kain")),"Momen Hari Raya (dugaan musiman)",IFERROR(VLOOKUP($W558,Kamus!$P$3:$Q$14,2,FALSE),"Tidak Teridentifikasi"))</f>
        <v>Relasi Personal / Tidak Teridentifikasi</v>
      </c>
      <c r="AA558" s="106" t="str">
        <f t="shared" si="26"/>
        <v>Relasi Personal / Tidak Teridentifikasi</v>
      </c>
    </row>
    <row r="559" spans="1:27">
      <c r="A559" s="106">
        <v>558</v>
      </c>
      <c r="B559" s="106" t="s">
        <v>1002</v>
      </c>
      <c r="C559" s="107" t="s">
        <v>1003</v>
      </c>
      <c r="D559" s="106" t="s">
        <v>1004</v>
      </c>
      <c r="E559" s="106" t="s">
        <v>1005</v>
      </c>
      <c r="F559" s="106" t="s">
        <v>3767</v>
      </c>
      <c r="G559" s="106" t="s">
        <v>1006</v>
      </c>
      <c r="H559" s="106" t="s">
        <v>3636</v>
      </c>
      <c r="I559" s="106" t="s">
        <v>3768</v>
      </c>
      <c r="J559" s="106">
        <v>1153400</v>
      </c>
      <c r="K559" s="106" t="s">
        <v>3769</v>
      </c>
      <c r="L559" s="106" t="s">
        <v>3770</v>
      </c>
      <c r="M559" s="106" t="s">
        <v>1110</v>
      </c>
      <c r="N559" s="106" t="s">
        <v>3771</v>
      </c>
      <c r="O559" s="106" t="s">
        <v>274</v>
      </c>
      <c r="S559" s="106" t="str" cm="1">
        <f t="array" ref="S559">IF(TRIM($D559)="","(tidak diisi)",IFERROR(INDEX(Kamus!$B$3:$B$28,MATCH(TRUE,ISNUMBER(SEARCH(Kamus!$A$3:$A$28,$D559)),0)),"Jabatan Lainnya"))</f>
        <v>Sekretaris</v>
      </c>
      <c r="T559" s="106" t="str" cm="1">
        <f t="array" ref="T559">IF(TRIM($I559)="","(tidak diisi)",IFERROR(INDEX(Kamus!$E$3:$E$162,MATCH(TRUE,ISNUMBER(SEARCH(Kamus!$D$3:$D$162,$I559)),0)),"Barang Lain / Tidak Terinci"))</f>
        <v>Uang &amp; Setara Uang</v>
      </c>
      <c r="U559" s="106" t="str" cm="1">
        <f t="array" ref="U559">IF(TRIM($I559)="","(tidak diisi)",IFERROR(INDEX(Kamus!$H$3:$H$75,MATCH(TRUE,ISNUMBER(SEARCH(Kamus!$G$3:$G$75,$I559)),0)),"Pemberian Umum / Tanpa Konteks"))</f>
        <v>Pemberian Uang Langsung</v>
      </c>
      <c r="V559" s="106" t="str">
        <f t="shared" si="24"/>
        <v>2025</v>
      </c>
      <c r="W559" s="106" t="str" cm="1">
        <f t="array" ref="W559">IF(TRIM($K559)="","(tidak diisi)",IFERROR(INDEX(Kamus!$K$3:$K$118,MATCH(TRUE,ISNUMBER(SEARCH(Kamus!$J$3:$J$118,$K559)),0)),"Individu / Perorangan"))</f>
        <v>Individu / Perorangan</v>
      </c>
      <c r="X559" s="106" t="str">
        <f t="shared" si="25"/>
        <v>10</v>
      </c>
      <c r="Y559" s="106" t="str" cm="1">
        <f t="array" ref="Y559">IFERROR(INDEX(Kamus!$N$3:$N$111,MATCH(TRUE,ISNUMBER(SEARCH(Kamus!$M$3:$M$111,$I559)),0)),"")</f>
        <v/>
      </c>
      <c r="Z559" s="106" t="str">
        <f>IF(AND(OR($X559="02",$X559="03",$X559="04"),OR($T559="Parsel/Bingkisan (tidak dirinci)",$T559="Makanan &amp; Minuman",$T559="Peralatan Rumah Tangga / Pecah Belah",$T559="Pakaian &amp; Kain")),"Momen Hari Raya (dugaan musiman)",IFERROR(VLOOKUP($W559,Kamus!$P$3:$Q$14,2,FALSE),"Tidak Teridentifikasi"))</f>
        <v>Relasi Personal / Tidak Teridentifikasi</v>
      </c>
      <c r="AA559" s="106" t="str">
        <f t="shared" si="26"/>
        <v>Relasi Personal / Tidak Teridentifikasi</v>
      </c>
    </row>
    <row r="560" spans="1:27">
      <c r="A560" s="106">
        <v>559</v>
      </c>
      <c r="B560" s="106" t="s">
        <v>1002</v>
      </c>
      <c r="C560" s="107" t="s">
        <v>1003</v>
      </c>
      <c r="D560" s="106" t="s">
        <v>1004</v>
      </c>
      <c r="E560" s="106" t="s">
        <v>1005</v>
      </c>
      <c r="F560" s="106" t="s">
        <v>3767</v>
      </c>
      <c r="G560" s="106" t="s">
        <v>1006</v>
      </c>
      <c r="H560" s="106" t="s">
        <v>3636</v>
      </c>
      <c r="I560" s="106" t="s">
        <v>1017</v>
      </c>
      <c r="J560" s="106">
        <v>25650000</v>
      </c>
      <c r="K560" s="106" t="s">
        <v>3769</v>
      </c>
      <c r="L560" s="106" t="s">
        <v>3770</v>
      </c>
      <c r="M560" s="106" t="s">
        <v>1110</v>
      </c>
      <c r="N560" s="106" t="s">
        <v>3771</v>
      </c>
      <c r="O560" s="106" t="s">
        <v>274</v>
      </c>
      <c r="S560" s="106" t="str" cm="1">
        <f t="array" ref="S560">IF(TRIM($D560)="","(tidak diisi)",IFERROR(INDEX(Kamus!$B$3:$B$28,MATCH(TRUE,ISNUMBER(SEARCH(Kamus!$A$3:$A$28,$D560)),0)),"Jabatan Lainnya"))</f>
        <v>Sekretaris</v>
      </c>
      <c r="T560" s="106" t="str" cm="1">
        <f t="array" ref="T560">IF(TRIM($I560)="","(tidak diisi)",IFERROR(INDEX(Kamus!$E$3:$E$162,MATCH(TRUE,ISNUMBER(SEARCH(Kamus!$D$3:$D$162,$I560)),0)),"Barang Lain / Tidak Terinci"))</f>
        <v>Uang &amp; Setara Uang</v>
      </c>
      <c r="U560" s="106" t="str" cm="1">
        <f t="array" ref="U560">IF(TRIM($I560)="","(tidak diisi)",IFERROR(INDEX(Kamus!$H$3:$H$75,MATCH(TRUE,ISNUMBER(SEARCH(Kamus!$G$3:$G$75,$I560)),0)),"Pemberian Umum / Tanpa Konteks"))</f>
        <v>Pemberian Uang Langsung</v>
      </c>
      <c r="V560" s="106" t="str">
        <f t="shared" si="24"/>
        <v>2025</v>
      </c>
      <c r="W560" s="106" t="str" cm="1">
        <f t="array" ref="W560">IF(TRIM($K560)="","(tidak diisi)",IFERROR(INDEX(Kamus!$K$3:$K$118,MATCH(TRUE,ISNUMBER(SEARCH(Kamus!$J$3:$J$118,$K560)),0)),"Individu / Perorangan"))</f>
        <v>Individu / Perorangan</v>
      </c>
      <c r="X560" s="106" t="str">
        <f t="shared" si="25"/>
        <v>10</v>
      </c>
      <c r="Y560" s="106" t="str" cm="1">
        <f t="array" ref="Y560">IFERROR(INDEX(Kamus!$N$3:$N$111,MATCH(TRUE,ISNUMBER(SEARCH(Kamus!$M$3:$M$111,$I560)),0)),"")</f>
        <v/>
      </c>
      <c r="Z560" s="106" t="str">
        <f>IF(AND(OR($X560="02",$X560="03",$X560="04"),OR($T560="Parsel/Bingkisan (tidak dirinci)",$T560="Makanan &amp; Minuman",$T560="Peralatan Rumah Tangga / Pecah Belah",$T560="Pakaian &amp; Kain")),"Momen Hari Raya (dugaan musiman)",IFERROR(VLOOKUP($W560,Kamus!$P$3:$Q$14,2,FALSE),"Tidak Teridentifikasi"))</f>
        <v>Relasi Personal / Tidak Teridentifikasi</v>
      </c>
      <c r="AA560" s="106" t="str">
        <f t="shared" si="26"/>
        <v>Relasi Personal / Tidak Teridentifikasi</v>
      </c>
    </row>
    <row r="561" spans="1:27">
      <c r="A561" s="106">
        <v>560</v>
      </c>
      <c r="B561" s="106" t="s">
        <v>3772</v>
      </c>
      <c r="C561" s="107" t="s">
        <v>3773</v>
      </c>
      <c r="D561" s="106" t="s">
        <v>390</v>
      </c>
      <c r="E561" s="106" t="s">
        <v>3774</v>
      </c>
      <c r="F561" s="106" t="s">
        <v>3775</v>
      </c>
      <c r="G561" s="106" t="s">
        <v>1006</v>
      </c>
      <c r="H561" s="106" t="s">
        <v>3636</v>
      </c>
      <c r="I561" s="106" t="s">
        <v>3768</v>
      </c>
      <c r="J561" s="106">
        <v>16687400</v>
      </c>
      <c r="K561" s="106" t="s">
        <v>3769</v>
      </c>
      <c r="L561" s="106" t="s">
        <v>3776</v>
      </c>
      <c r="M561" s="106" t="s">
        <v>1110</v>
      </c>
      <c r="N561" s="106" t="s">
        <v>3777</v>
      </c>
      <c r="O561" s="106" t="s">
        <v>274</v>
      </c>
      <c r="P561" s="106" t="s">
        <v>390</v>
      </c>
      <c r="Q561" s="106" t="s">
        <v>367</v>
      </c>
      <c r="S561" s="106" t="str" cm="1">
        <f t="array" ref="S561">IF(TRIM($D561)="","(tidak diisi)",IFERROR(INDEX(Kamus!$B$3:$B$28,MATCH(TRUE,ISNUMBER(SEARCH(Kamus!$A$3:$A$28,$D561)),0)),"Jabatan Lainnya"))</f>
        <v>Panitera</v>
      </c>
      <c r="T561" s="106" t="str" cm="1">
        <f t="array" ref="T561">IF(TRIM($I561)="","(tidak diisi)",IFERROR(INDEX(Kamus!$E$3:$E$162,MATCH(TRUE,ISNUMBER(SEARCH(Kamus!$D$3:$D$162,$I561)),0)),"Barang Lain / Tidak Terinci"))</f>
        <v>Uang &amp; Setara Uang</v>
      </c>
      <c r="U561" s="106" t="str" cm="1">
        <f t="array" ref="U561">IF(TRIM($I561)="","(tidak diisi)",IFERROR(INDEX(Kamus!$H$3:$H$75,MATCH(TRUE,ISNUMBER(SEARCH(Kamus!$G$3:$G$75,$I561)),0)),"Pemberian Umum / Tanpa Konteks"))</f>
        <v>Pemberian Uang Langsung</v>
      </c>
      <c r="V561" s="106" t="str">
        <f t="shared" si="24"/>
        <v>2025</v>
      </c>
      <c r="W561" s="106" t="str" cm="1">
        <f t="array" ref="W561">IF(TRIM($K561)="","(tidak diisi)",IFERROR(INDEX(Kamus!$K$3:$K$118,MATCH(TRUE,ISNUMBER(SEARCH(Kamus!$J$3:$J$118,$K561)),0)),"Individu / Perorangan"))</f>
        <v>Individu / Perorangan</v>
      </c>
      <c r="X561" s="106" t="str">
        <f t="shared" si="25"/>
        <v>10</v>
      </c>
      <c r="Y561" s="106" t="str" cm="1">
        <f t="array" ref="Y561">IFERROR(INDEX(Kamus!$N$3:$N$111,MATCH(TRUE,ISNUMBER(SEARCH(Kamus!$M$3:$M$111,$I561)),0)),"")</f>
        <v/>
      </c>
      <c r="Z561" s="106" t="str">
        <f>IF(AND(OR($X561="02",$X561="03",$X561="04"),OR($T561="Parsel/Bingkisan (tidak dirinci)",$T561="Makanan &amp; Minuman",$T561="Peralatan Rumah Tangga / Pecah Belah",$T561="Pakaian &amp; Kain")),"Momen Hari Raya (dugaan musiman)",IFERROR(VLOOKUP($W561,Kamus!$P$3:$Q$14,2,FALSE),"Tidak Teridentifikasi"))</f>
        <v>Relasi Personal / Tidak Teridentifikasi</v>
      </c>
      <c r="AA561" s="106" t="str">
        <f t="shared" si="26"/>
        <v>Relasi Personal / Tidak Teridentifikasi</v>
      </c>
    </row>
    <row r="562" spans="1:27">
      <c r="A562" s="106">
        <v>561</v>
      </c>
      <c r="B562" s="106" t="s">
        <v>3772</v>
      </c>
      <c r="C562" s="107" t="s">
        <v>3773</v>
      </c>
      <c r="D562" s="106" t="s">
        <v>390</v>
      </c>
      <c r="E562" s="106" t="s">
        <v>3774</v>
      </c>
      <c r="F562" s="106" t="s">
        <v>3775</v>
      </c>
      <c r="G562" s="106" t="s">
        <v>1006</v>
      </c>
      <c r="H562" s="106" t="s">
        <v>3636</v>
      </c>
      <c r="I562" s="106" t="s">
        <v>1017</v>
      </c>
      <c r="J562" s="106">
        <v>15700000</v>
      </c>
      <c r="K562" s="106" t="s">
        <v>3769</v>
      </c>
      <c r="L562" s="106" t="s">
        <v>3776</v>
      </c>
      <c r="M562" s="106" t="s">
        <v>1110</v>
      </c>
      <c r="N562" s="106" t="s">
        <v>3777</v>
      </c>
      <c r="O562" s="106" t="s">
        <v>274</v>
      </c>
      <c r="P562" s="106" t="s">
        <v>390</v>
      </c>
      <c r="Q562" s="106" t="s">
        <v>367</v>
      </c>
      <c r="S562" s="106" t="str" cm="1">
        <f t="array" ref="S562">IF(TRIM($D562)="","(tidak diisi)",IFERROR(INDEX(Kamus!$B$3:$B$28,MATCH(TRUE,ISNUMBER(SEARCH(Kamus!$A$3:$A$28,$D562)),0)),"Jabatan Lainnya"))</f>
        <v>Panitera</v>
      </c>
      <c r="T562" s="106" t="str" cm="1">
        <f t="array" ref="T562">IF(TRIM($I562)="","(tidak diisi)",IFERROR(INDEX(Kamus!$E$3:$E$162,MATCH(TRUE,ISNUMBER(SEARCH(Kamus!$D$3:$D$162,$I562)),0)),"Barang Lain / Tidak Terinci"))</f>
        <v>Uang &amp; Setara Uang</v>
      </c>
      <c r="U562" s="106" t="str" cm="1">
        <f t="array" ref="U562">IF(TRIM($I562)="","(tidak diisi)",IFERROR(INDEX(Kamus!$H$3:$H$75,MATCH(TRUE,ISNUMBER(SEARCH(Kamus!$G$3:$G$75,$I562)),0)),"Pemberian Umum / Tanpa Konteks"))</f>
        <v>Pemberian Uang Langsung</v>
      </c>
      <c r="V562" s="106" t="str">
        <f t="shared" si="24"/>
        <v>2025</v>
      </c>
      <c r="W562" s="106" t="str" cm="1">
        <f t="array" ref="W562">IF(TRIM($K562)="","(tidak diisi)",IFERROR(INDEX(Kamus!$K$3:$K$118,MATCH(TRUE,ISNUMBER(SEARCH(Kamus!$J$3:$J$118,$K562)),0)),"Individu / Perorangan"))</f>
        <v>Individu / Perorangan</v>
      </c>
      <c r="X562" s="106" t="str">
        <f t="shared" si="25"/>
        <v>10</v>
      </c>
      <c r="Y562" s="106" t="str" cm="1">
        <f t="array" ref="Y562">IFERROR(INDEX(Kamus!$N$3:$N$111,MATCH(TRUE,ISNUMBER(SEARCH(Kamus!$M$3:$M$111,$I562)),0)),"")</f>
        <v/>
      </c>
      <c r="Z562" s="106" t="str">
        <f>IF(AND(OR($X562="02",$X562="03",$X562="04"),OR($T562="Parsel/Bingkisan (tidak dirinci)",$T562="Makanan &amp; Minuman",$T562="Peralatan Rumah Tangga / Pecah Belah",$T562="Pakaian &amp; Kain")),"Momen Hari Raya (dugaan musiman)",IFERROR(VLOOKUP($W562,Kamus!$P$3:$Q$14,2,FALSE),"Tidak Teridentifikasi"))</f>
        <v>Relasi Personal / Tidak Teridentifikasi</v>
      </c>
      <c r="AA562" s="106" t="str">
        <f t="shared" si="26"/>
        <v>Relasi Personal / Tidak Teridentifikasi</v>
      </c>
    </row>
    <row r="563" spans="1:27">
      <c r="A563" s="106">
        <v>562</v>
      </c>
      <c r="B563" s="106" t="s">
        <v>3772</v>
      </c>
      <c r="C563" s="107" t="s">
        <v>3773</v>
      </c>
      <c r="D563" s="106" t="s">
        <v>390</v>
      </c>
      <c r="E563" s="106" t="s">
        <v>3774</v>
      </c>
      <c r="F563" s="106" t="s">
        <v>3775</v>
      </c>
      <c r="G563" s="106" t="s">
        <v>1006</v>
      </c>
      <c r="H563" s="106" t="s">
        <v>3636</v>
      </c>
      <c r="I563" s="106" t="s">
        <v>3778</v>
      </c>
      <c r="J563" s="106">
        <v>5874685</v>
      </c>
      <c r="K563" s="106" t="s">
        <v>3769</v>
      </c>
      <c r="L563" s="106" t="s">
        <v>3776</v>
      </c>
      <c r="M563" s="106" t="s">
        <v>1110</v>
      </c>
      <c r="N563" s="106" t="s">
        <v>3777</v>
      </c>
      <c r="O563" s="106" t="s">
        <v>274</v>
      </c>
      <c r="P563" s="106" t="s">
        <v>390</v>
      </c>
      <c r="Q563" s="106" t="s">
        <v>367</v>
      </c>
      <c r="S563" s="106" t="str" cm="1">
        <f t="array" ref="S563">IF(TRIM($D563)="","(tidak diisi)",IFERROR(INDEX(Kamus!$B$3:$B$28,MATCH(TRUE,ISNUMBER(SEARCH(Kamus!$A$3:$A$28,$D563)),0)),"Jabatan Lainnya"))</f>
        <v>Panitera</v>
      </c>
      <c r="T563" s="106" t="str" cm="1">
        <f t="array" ref="T563">IF(TRIM($I563)="","(tidak diisi)",IFERROR(INDEX(Kamus!$E$3:$E$162,MATCH(TRUE,ISNUMBER(SEARCH(Kamus!$D$3:$D$162,$I563)),0)),"Barang Lain / Tidak Terinci"))</f>
        <v>Uang &amp; Setara Uang</v>
      </c>
      <c r="U563" s="106" t="str" cm="1">
        <f t="array" ref="U563">IF(TRIM($I563)="","(tidak diisi)",IFERROR(INDEX(Kamus!$H$3:$H$75,MATCH(TRUE,ISNUMBER(SEARCH(Kamus!$G$3:$G$75,$I563)),0)),"Pemberian Umum / Tanpa Konteks"))</f>
        <v>Pemberian Uang Langsung</v>
      </c>
      <c r="V563" s="106" t="str">
        <f t="shared" si="24"/>
        <v>2025</v>
      </c>
      <c r="W563" s="106" t="str" cm="1">
        <f t="array" ref="W563">IF(TRIM($K563)="","(tidak diisi)",IFERROR(INDEX(Kamus!$K$3:$K$118,MATCH(TRUE,ISNUMBER(SEARCH(Kamus!$J$3:$J$118,$K563)),0)),"Individu / Perorangan"))</f>
        <v>Individu / Perorangan</v>
      </c>
      <c r="X563" s="106" t="str">
        <f t="shared" si="25"/>
        <v>10</v>
      </c>
      <c r="Y563" s="106" t="str" cm="1">
        <f t="array" ref="Y563">IFERROR(INDEX(Kamus!$N$3:$N$111,MATCH(TRUE,ISNUMBER(SEARCH(Kamus!$M$3:$M$111,$I563)),0)),"")</f>
        <v/>
      </c>
      <c r="Z563" s="106" t="str">
        <f>IF(AND(OR($X563="02",$X563="03",$X563="04"),OR($T563="Parsel/Bingkisan (tidak dirinci)",$T563="Makanan &amp; Minuman",$T563="Peralatan Rumah Tangga / Pecah Belah",$T563="Pakaian &amp; Kain")),"Momen Hari Raya (dugaan musiman)",IFERROR(VLOOKUP($W563,Kamus!$P$3:$Q$14,2,FALSE),"Tidak Teridentifikasi"))</f>
        <v>Relasi Personal / Tidak Teridentifikasi</v>
      </c>
      <c r="AA563" s="106" t="str">
        <f t="shared" si="26"/>
        <v>Relasi Personal / Tidak Teridentifikasi</v>
      </c>
    </row>
    <row r="564" spans="1:27">
      <c r="A564" s="106">
        <v>563</v>
      </c>
      <c r="B564" s="106" t="s">
        <v>1505</v>
      </c>
      <c r="C564" s="107" t="s">
        <v>1506</v>
      </c>
      <c r="D564" s="106" t="s">
        <v>1507</v>
      </c>
      <c r="E564" s="106" t="s">
        <v>1166</v>
      </c>
      <c r="F564" s="106" t="s">
        <v>3779</v>
      </c>
      <c r="G564" s="106" t="s">
        <v>1006</v>
      </c>
      <c r="H564" s="106" t="s">
        <v>3780</v>
      </c>
      <c r="I564" s="106" t="s">
        <v>3781</v>
      </c>
      <c r="K564" s="106" t="s">
        <v>3782</v>
      </c>
      <c r="L564" s="106" t="s">
        <v>3783</v>
      </c>
      <c r="O564" s="106" t="s">
        <v>274</v>
      </c>
      <c r="P564" s="106" t="s">
        <v>1173</v>
      </c>
      <c r="Q564" s="106" t="s">
        <v>431</v>
      </c>
      <c r="S564" s="106" t="str" cm="1">
        <f t="array" ref="S564">IF(TRIM($D564)="","(tidak diisi)",IFERROR(INDEX(Kamus!$B$3:$B$28,MATCH(TRUE,ISNUMBER(SEARCH(Kamus!$A$3:$A$28,$D564)),0)),"Jabatan Lainnya"))</f>
        <v>Wakil Ketua Pengadilan</v>
      </c>
      <c r="T564" s="106" t="str" cm="1">
        <f t="array" ref="T564">IF(TRIM($I564)="","(tidak diisi)",IFERROR(INDEX(Kamus!$E$3:$E$162,MATCH(TRUE,ISNUMBER(SEARCH(Kamus!$D$3:$D$162,$I564)),0)),"Barang Lain / Tidak Terinci"))</f>
        <v>Barang Lain / Tidak Terinci</v>
      </c>
      <c r="U564" s="106" t="str" cm="1">
        <f t="array" ref="U564">IF(TRIM($I564)="","(tidak diisi)",IFERROR(INDEX(Kamus!$H$3:$H$75,MATCH(TRUE,ISNUMBER(SEARCH(Kamus!$G$3:$G$75,$I564)),0)),"Pemberian Umum / Tanpa Konteks"))</f>
        <v>Pemberian Umum / Tanpa Konteks</v>
      </c>
      <c r="V564" s="106" t="str">
        <f t="shared" si="24"/>
        <v>2025</v>
      </c>
      <c r="W564" s="106" t="str" cm="1">
        <f t="array" ref="W564">IF(TRIM($K564)="","(tidak diisi)",IFERROR(INDEX(Kamus!$K$3:$K$118,MATCH(TRUE,ISNUMBER(SEARCH(Kamus!$J$3:$J$118,$K564)),0)),"Individu / Perorangan"))</f>
        <v>Individu / Perorangan</v>
      </c>
      <c r="X564" s="106" t="str">
        <f t="shared" si="25"/>
        <v>10</v>
      </c>
      <c r="Y564" s="106" t="str" cm="1">
        <f t="array" ref="Y564">IFERROR(INDEX(Kamus!$N$3:$N$111,MATCH(TRUE,ISNUMBER(SEARCH(Kamus!$M$3:$M$111,$I564)),0)),"")</f>
        <v/>
      </c>
      <c r="Z564" s="106" t="str">
        <f>IF(AND(OR($X564="02",$X564="03",$X564="04"),OR($T564="Parsel/Bingkisan (tidak dirinci)",$T564="Makanan &amp; Minuman",$T564="Peralatan Rumah Tangga / Pecah Belah",$T564="Pakaian &amp; Kain")),"Momen Hari Raya (dugaan musiman)",IFERROR(VLOOKUP($W564,Kamus!$P$3:$Q$14,2,FALSE),"Tidak Teridentifikasi"))</f>
        <v>Relasi Personal / Tidak Teridentifikasi</v>
      </c>
      <c r="AA564" s="106" t="str">
        <f t="shared" si="26"/>
        <v>Relasi Personal / Tidak Teridentifikasi</v>
      </c>
    </row>
    <row r="565" spans="1:27">
      <c r="A565" s="106">
        <v>564</v>
      </c>
      <c r="B565" s="106" t="s">
        <v>1197</v>
      </c>
      <c r="C565" s="107" t="s">
        <v>1198</v>
      </c>
      <c r="D565" s="106" t="s">
        <v>1199</v>
      </c>
      <c r="E565" s="106" t="s">
        <v>1200</v>
      </c>
      <c r="F565" s="106" t="s">
        <v>3784</v>
      </c>
      <c r="G565" s="106" t="s">
        <v>1006</v>
      </c>
      <c r="H565" s="106" t="s">
        <v>3754</v>
      </c>
      <c r="I565" s="106" t="s">
        <v>3785</v>
      </c>
      <c r="K565" s="106" t="s">
        <v>3786</v>
      </c>
      <c r="L565" s="106" t="s">
        <v>3787</v>
      </c>
      <c r="O565" s="106" t="s">
        <v>274</v>
      </c>
      <c r="P565" s="106" t="s">
        <v>1205</v>
      </c>
      <c r="Q565" s="106" t="s">
        <v>366</v>
      </c>
      <c r="S565" s="106" t="str" cm="1">
        <f t="array" ref="S565">IF(TRIM($D565)="","(tidak diisi)",IFERROR(INDEX(Kamus!$B$3:$B$28,MATCH(TRUE,ISNUMBER(SEARCH(Kamus!$A$3:$A$28,$D565)),0)),"Jabatan Lainnya"))</f>
        <v>Pimpinan Satker/Direktorat</v>
      </c>
      <c r="T565" s="106" t="str" cm="1">
        <f t="array" ref="T565">IF(TRIM($I565)="","(tidak diisi)",IFERROR(INDEX(Kamus!$E$3:$E$162,MATCH(TRUE,ISNUMBER(SEARCH(Kamus!$D$3:$D$162,$I565)),0)),"Barang Lain / Tidak Terinci"))</f>
        <v>Makanan &amp; Minuman</v>
      </c>
      <c r="U565" s="106" t="str" cm="1">
        <f t="array" ref="U565">IF(TRIM($I565)="","(tidak diisi)",IFERROR(INDEX(Kamus!$H$3:$H$75,MATCH(TRUE,ISNUMBER(SEARCH(Kamus!$G$3:$G$75,$I565)),0)),"Pemberian Umum / Tanpa Konteks"))</f>
        <v>Oleh-oleh / Buah Tangan Perjalanan</v>
      </c>
      <c r="V565" s="106" t="str">
        <f t="shared" si="24"/>
        <v>2025</v>
      </c>
      <c r="W565" s="106" t="str" cm="1">
        <f t="array" ref="W565">IF(TRIM($K565)="","(tidak diisi)",IFERROR(INDEX(Kamus!$K$3:$K$118,MATCH(TRUE,ISNUMBER(SEARCH(Kamus!$J$3:$J$118,$K565)),0)),"Individu / Perorangan"))</f>
        <v>Individu / Perorangan</v>
      </c>
      <c r="X565" s="106" t="str">
        <f t="shared" si="25"/>
        <v>10</v>
      </c>
      <c r="Y565" s="106" t="str" cm="1">
        <f t="array" ref="Y565">IFERROR(INDEX(Kamus!$N$3:$N$111,MATCH(TRUE,ISNUMBER(SEARCH(Kamus!$M$3:$M$111,$I565)),0)),"")</f>
        <v/>
      </c>
      <c r="Z565" s="106" t="str">
        <f>IF(AND(OR($X565="02",$X565="03",$X565="04"),OR($T565="Parsel/Bingkisan (tidak dirinci)",$T565="Makanan &amp; Minuman",$T565="Peralatan Rumah Tangga / Pecah Belah",$T565="Pakaian &amp; Kain")),"Momen Hari Raya (dugaan musiman)",IFERROR(VLOOKUP($W565,Kamus!$P$3:$Q$14,2,FALSE),"Tidak Teridentifikasi"))</f>
        <v>Relasi Personal / Tidak Teridentifikasi</v>
      </c>
      <c r="AA565" s="106" t="str">
        <f t="shared" si="26"/>
        <v>Relasi Personal / Tidak Teridentifikasi</v>
      </c>
    </row>
    <row r="566" spans="1:27">
      <c r="A566" s="106">
        <v>565</v>
      </c>
      <c r="B566" s="106" t="s">
        <v>3727</v>
      </c>
      <c r="C566" s="107" t="s">
        <v>3728</v>
      </c>
      <c r="D566" s="106" t="s">
        <v>1042</v>
      </c>
      <c r="E566" s="106" t="s">
        <v>2150</v>
      </c>
      <c r="F566" s="106" t="s">
        <v>3788</v>
      </c>
      <c r="G566" s="106" t="s">
        <v>1006</v>
      </c>
      <c r="H566" s="106" t="s">
        <v>3789</v>
      </c>
      <c r="I566" s="106" t="s">
        <v>3790</v>
      </c>
      <c r="K566" s="106" t="s">
        <v>3791</v>
      </c>
      <c r="L566" s="106" t="s">
        <v>3792</v>
      </c>
      <c r="O566" s="106" t="s">
        <v>274</v>
      </c>
      <c r="P566" s="106" t="s">
        <v>604</v>
      </c>
      <c r="Q566" s="106" t="s">
        <v>429</v>
      </c>
      <c r="S566" s="106" t="str" cm="1">
        <f t="array" ref="S566">IF(TRIM($D566)="","(tidak diisi)",IFERROR(INDEX(Kamus!$B$3:$B$28,MATCH(TRUE,ISNUMBER(SEARCH(Kamus!$A$3:$A$28,$D566)),0)),"Jabatan Lainnya"))</f>
        <v>Ketua Pengadilan</v>
      </c>
      <c r="T566" s="106" t="str" cm="1">
        <f t="array" ref="T566">IF(TRIM($I566)="","(tidak diisi)",IFERROR(INDEX(Kamus!$E$3:$E$162,MATCH(TRUE,ISNUMBER(SEARCH(Kamus!$D$3:$D$162,$I566)),0)),"Barang Lain / Tidak Terinci"))</f>
        <v>Suvenir &amp; Merchandise</v>
      </c>
      <c r="U566" s="106" t="str" cm="1">
        <f t="array" ref="U566">IF(TRIM($I566)="","(tidak diisi)",IFERROR(INDEX(Kamus!$H$3:$H$75,MATCH(TRUE,ISNUMBER(SEARCH(Kamus!$G$3:$G$75,$I566)),0)),"Pemberian Umum / Tanpa Konteks"))</f>
        <v>Suvenir / Merchandise Kegiatan &amp; Kunjungan</v>
      </c>
      <c r="V566" s="106" t="str">
        <f t="shared" si="24"/>
        <v>2025</v>
      </c>
      <c r="W566" s="106" t="str" cm="1">
        <f t="array" ref="W566">IF(TRIM($K566)="","(tidak diisi)",IFERROR(INDEX(Kamus!$K$3:$K$118,MATCH(TRUE,ISNUMBER(SEARCH(Kamus!$J$3:$J$118,$K566)),0)),"Individu / Perorangan"))</f>
        <v>Individu / Perorangan</v>
      </c>
      <c r="X566" s="106" t="str">
        <f t="shared" si="25"/>
        <v>10</v>
      </c>
      <c r="Y566" s="106" t="str" cm="1">
        <f t="array" ref="Y566">IFERROR(INDEX(Kamus!$N$3:$N$111,MATCH(TRUE,ISNUMBER(SEARCH(Kamus!$M$3:$M$111,$I566)),0)),"")</f>
        <v/>
      </c>
      <c r="Z566" s="106" t="str">
        <f>IF(AND(OR($X566="02",$X566="03",$X566="04"),OR($T566="Parsel/Bingkisan (tidak dirinci)",$T566="Makanan &amp; Minuman",$T566="Peralatan Rumah Tangga / Pecah Belah",$T566="Pakaian &amp; Kain")),"Momen Hari Raya (dugaan musiman)",IFERROR(VLOOKUP($W566,Kamus!$P$3:$Q$14,2,FALSE),"Tidak Teridentifikasi"))</f>
        <v>Relasi Personal / Tidak Teridentifikasi</v>
      </c>
      <c r="AA566" s="106" t="str">
        <f t="shared" si="26"/>
        <v>Relasi Personal / Tidak Teridentifikasi</v>
      </c>
    </row>
    <row r="567" spans="1:27">
      <c r="A567" s="106">
        <v>566</v>
      </c>
      <c r="B567" s="106" t="s">
        <v>2743</v>
      </c>
      <c r="C567" s="107" t="s">
        <v>2744</v>
      </c>
      <c r="D567" s="106" t="s">
        <v>1319</v>
      </c>
      <c r="E567" s="106" t="s">
        <v>2150</v>
      </c>
      <c r="F567" s="106" t="s">
        <v>3793</v>
      </c>
      <c r="G567" s="106" t="s">
        <v>1006</v>
      </c>
      <c r="H567" s="106" t="s">
        <v>3789</v>
      </c>
      <c r="I567" s="106" t="s">
        <v>3790</v>
      </c>
      <c r="K567" s="106" t="s">
        <v>3794</v>
      </c>
      <c r="L567" s="106" t="s">
        <v>3795</v>
      </c>
      <c r="O567" s="106" t="s">
        <v>274</v>
      </c>
      <c r="P567" s="106" t="s">
        <v>604</v>
      </c>
      <c r="Q567" s="106" t="s">
        <v>429</v>
      </c>
      <c r="S567" s="106" t="str" cm="1">
        <f t="array" ref="S567">IF(TRIM($D567)="","(tidak diisi)",IFERROR(INDEX(Kamus!$B$3:$B$28,MATCH(TRUE,ISNUMBER(SEARCH(Kamus!$A$3:$A$28,$D567)),0)),"Jabatan Lainnya"))</f>
        <v>Wakil Ketua Pengadilan</v>
      </c>
      <c r="T567" s="106" t="str" cm="1">
        <f t="array" ref="T567">IF(TRIM($I567)="","(tidak diisi)",IFERROR(INDEX(Kamus!$E$3:$E$162,MATCH(TRUE,ISNUMBER(SEARCH(Kamus!$D$3:$D$162,$I567)),0)),"Barang Lain / Tidak Terinci"))</f>
        <v>Suvenir &amp; Merchandise</v>
      </c>
      <c r="U567" s="106" t="str" cm="1">
        <f t="array" ref="U567">IF(TRIM($I567)="","(tidak diisi)",IFERROR(INDEX(Kamus!$H$3:$H$75,MATCH(TRUE,ISNUMBER(SEARCH(Kamus!$G$3:$G$75,$I567)),0)),"Pemberian Umum / Tanpa Konteks"))</f>
        <v>Suvenir / Merchandise Kegiatan &amp; Kunjungan</v>
      </c>
      <c r="V567" s="106" t="str">
        <f t="shared" si="24"/>
        <v>2025</v>
      </c>
      <c r="W567" s="106" t="str" cm="1">
        <f t="array" ref="W567">IF(TRIM($K567)="","(tidak diisi)",IFERROR(INDEX(Kamus!$K$3:$K$118,MATCH(TRUE,ISNUMBER(SEARCH(Kamus!$J$3:$J$118,$K567)),0)),"Individu / Perorangan"))</f>
        <v>Individu / Perorangan</v>
      </c>
      <c r="X567" s="106" t="str">
        <f t="shared" si="25"/>
        <v>10</v>
      </c>
      <c r="Y567" s="106" t="str" cm="1">
        <f t="array" ref="Y567">IFERROR(INDEX(Kamus!$N$3:$N$111,MATCH(TRUE,ISNUMBER(SEARCH(Kamus!$M$3:$M$111,$I567)),0)),"")</f>
        <v/>
      </c>
      <c r="Z567" s="106" t="str">
        <f>IF(AND(OR($X567="02",$X567="03",$X567="04"),OR($T567="Parsel/Bingkisan (tidak dirinci)",$T567="Makanan &amp; Minuman",$T567="Peralatan Rumah Tangga / Pecah Belah",$T567="Pakaian &amp; Kain")),"Momen Hari Raya (dugaan musiman)",IFERROR(VLOOKUP($W567,Kamus!$P$3:$Q$14,2,FALSE),"Tidak Teridentifikasi"))</f>
        <v>Relasi Personal / Tidak Teridentifikasi</v>
      </c>
      <c r="AA567" s="106" t="str">
        <f t="shared" si="26"/>
        <v>Relasi Personal / Tidak Teridentifikasi</v>
      </c>
    </row>
    <row r="568" spans="1:27">
      <c r="A568" s="106">
        <v>567</v>
      </c>
      <c r="B568" s="106" t="s">
        <v>1334</v>
      </c>
      <c r="C568" s="107" t="s">
        <v>1335</v>
      </c>
      <c r="D568" s="106" t="s">
        <v>1336</v>
      </c>
      <c r="E568" s="106" t="s">
        <v>1005</v>
      </c>
      <c r="F568" s="106" t="s">
        <v>3796</v>
      </c>
      <c r="G568" s="106" t="s">
        <v>1006</v>
      </c>
      <c r="H568" s="106" t="s">
        <v>3797</v>
      </c>
      <c r="I568" s="106" t="s">
        <v>2711</v>
      </c>
      <c r="K568" s="106" t="s">
        <v>3798</v>
      </c>
      <c r="L568" s="106" t="s">
        <v>3799</v>
      </c>
      <c r="O568" s="106" t="s">
        <v>274</v>
      </c>
      <c r="S568" s="106" t="str" cm="1">
        <f t="array" ref="S568">IF(TRIM($D568)="","(tidak diisi)",IFERROR(INDEX(Kamus!$B$3:$B$28,MATCH(TRUE,ISNUMBER(SEARCH(Kamus!$A$3:$A$28,$D568)),0)),"Jabatan Lainnya"))</f>
        <v>Panitera</v>
      </c>
      <c r="T568" s="106" t="str" cm="1">
        <f t="array" ref="T568">IF(TRIM($I568)="","(tidak diisi)",IFERROR(INDEX(Kamus!$E$3:$E$162,MATCH(TRUE,ISNUMBER(SEARCH(Kamus!$D$3:$D$162,$I568)),0)),"Barang Lain / Tidak Terinci"))</f>
        <v>Makanan &amp; Minuman</v>
      </c>
      <c r="U568" s="106" t="str" cm="1">
        <f t="array" ref="U568">IF(TRIM($I568)="","(tidak diisi)",IFERROR(INDEX(Kamus!$H$3:$H$75,MATCH(TRUE,ISNUMBER(SEARCH(Kamus!$G$3:$G$75,$I568)),0)),"Pemberian Umum / Tanpa Konteks"))</f>
        <v>Pemberian Umum / Tanpa Konteks</v>
      </c>
      <c r="V568" s="106" t="str">
        <f t="shared" si="24"/>
        <v>2025</v>
      </c>
      <c r="W568" s="106" t="str" cm="1">
        <f t="array" ref="W568">IF(TRIM($K568)="","(tidak diisi)",IFERROR(INDEX(Kamus!$K$3:$K$118,MATCH(TRUE,ISNUMBER(SEARCH(Kamus!$J$3:$J$118,$K568)),0)),"Individu / Perorangan"))</f>
        <v>Internal Peradilan / Instansi Sendiri</v>
      </c>
      <c r="X568" s="106" t="str">
        <f t="shared" si="25"/>
        <v>10</v>
      </c>
      <c r="Y568" s="106" t="str" cm="1">
        <f t="array" ref="Y568">IFERROR(INDEX(Kamus!$N$3:$N$111,MATCH(TRUE,ISNUMBER(SEARCH(Kamus!$M$3:$M$111,$I568)),0)),"")</f>
        <v/>
      </c>
      <c r="Z568" s="106" t="str">
        <f>IF(AND(OR($X568="02",$X568="03",$X568="04"),OR($T568="Parsel/Bingkisan (tidak dirinci)",$T568="Makanan &amp; Minuman",$T568="Peralatan Rumah Tangga / Pecah Belah",$T568="Pakaian &amp; Kain")),"Momen Hari Raya (dugaan musiman)",IFERROR(VLOOKUP($W568,Kamus!$P$3:$Q$14,2,FALSE),"Tidak Teridentifikasi"))</f>
        <v>Kunjungan/Koordinasi Internal Peradilan (dugaan)</v>
      </c>
      <c r="AA568" s="106" t="str">
        <f t="shared" si="26"/>
        <v>Kunjungan/Koordinasi Internal Peradilan (dugaan)</v>
      </c>
    </row>
    <row r="569" spans="1:27">
      <c r="A569" s="106">
        <v>568</v>
      </c>
      <c r="B569" s="106" t="s">
        <v>1598</v>
      </c>
      <c r="C569" s="107" t="s">
        <v>1599</v>
      </c>
      <c r="D569" s="106" t="s">
        <v>1600</v>
      </c>
      <c r="E569" s="106" t="s">
        <v>1166</v>
      </c>
      <c r="F569" s="106" t="s">
        <v>3800</v>
      </c>
      <c r="G569" s="106" t="s">
        <v>1074</v>
      </c>
      <c r="H569" s="106" t="s">
        <v>3801</v>
      </c>
      <c r="I569" s="106" t="s">
        <v>3802</v>
      </c>
      <c r="K569" s="106" t="s">
        <v>3803</v>
      </c>
      <c r="L569" s="106" t="s">
        <v>3804</v>
      </c>
      <c r="O569" s="106" t="s">
        <v>274</v>
      </c>
      <c r="P569" s="106" t="s">
        <v>1173</v>
      </c>
      <c r="Q569" s="106" t="s">
        <v>431</v>
      </c>
      <c r="S569" s="106" t="str" cm="1">
        <f t="array" ref="S569">IF(TRIM($D569)="","(tidak diisi)",IFERROR(INDEX(Kamus!$B$3:$B$28,MATCH(TRUE,ISNUMBER(SEARCH(Kamus!$A$3:$A$28,$D569)),0)),"Jabatan Lainnya"))</f>
        <v>Staf/Pegawai Pelaksana</v>
      </c>
      <c r="T569" s="106" t="str" cm="1">
        <f t="array" ref="T569">IF(TRIM($I569)="","(tidak diisi)",IFERROR(INDEX(Kamus!$E$3:$E$162,MATCH(TRUE,ISNUMBER(SEARCH(Kamus!$D$3:$D$162,$I569)),0)),"Barang Lain / Tidak Terinci"))</f>
        <v>Buku &amp; Publikasi</v>
      </c>
      <c r="U569" s="106" t="str" cm="1">
        <f t="array" ref="U569">IF(TRIM($I569)="","(tidak diisi)",IFERROR(INDEX(Kamus!$H$3:$H$75,MATCH(TRUE,ISNUMBER(SEARCH(Kamus!$G$3:$G$75,$I569)),0)),"Pemberian Umum / Tanpa Konteks"))</f>
        <v>Pemberian Umum / Tanpa Konteks</v>
      </c>
      <c r="V569" s="106" t="str">
        <f t="shared" si="24"/>
        <v>2025</v>
      </c>
      <c r="W569" s="106" t="str" cm="1">
        <f t="array" ref="W569">IF(TRIM($K569)="","(tidak diisi)",IFERROR(INDEX(Kamus!$K$3:$K$118,MATCH(TRUE,ISNUMBER(SEARCH(Kamus!$J$3:$J$118,$K569)),0)),"Individu / Perorangan"))</f>
        <v>Bank &amp; Lembaga Keuangan</v>
      </c>
      <c r="X569" s="106" t="str">
        <f t="shared" si="25"/>
        <v>10</v>
      </c>
      <c r="Y569" s="106" t="str" cm="1">
        <f t="array" ref="Y569">IFERROR(INDEX(Kamus!$N$3:$N$111,MATCH(TRUE,ISNUMBER(SEARCH(Kamus!$M$3:$M$111,$I569)),0)),"")</f>
        <v/>
      </c>
      <c r="Z569" s="106" t="str">
        <f>IF(AND(OR($X569="02",$X569="03",$X569="04"),OR($T569="Parsel/Bingkisan (tidak dirinci)",$T569="Makanan &amp; Minuman",$T569="Peralatan Rumah Tangga / Pecah Belah",$T569="Pakaian &amp; Kain")),"Momen Hari Raya (dugaan musiman)",IFERROR(VLOOKUP($W569,Kamus!$P$3:$Q$14,2,FALSE),"Tidak Teridentifikasi"))</f>
        <v>Relasi Layanan/Kerja Sama Perbankan (dugaan)</v>
      </c>
      <c r="AA569" s="106" t="str">
        <f t="shared" si="26"/>
        <v>Relasi Layanan/Kerja Sama Perbankan (dugaan)</v>
      </c>
    </row>
    <row r="570" spans="1:27">
      <c r="A570" s="106">
        <v>569</v>
      </c>
      <c r="B570" s="106" t="s">
        <v>3805</v>
      </c>
      <c r="C570" s="107" t="s">
        <v>3806</v>
      </c>
      <c r="D570" s="106" t="s">
        <v>1033</v>
      </c>
      <c r="E570" s="106" t="s">
        <v>3807</v>
      </c>
      <c r="F570" s="106" t="s">
        <v>3808</v>
      </c>
      <c r="G570" s="106" t="s">
        <v>1006</v>
      </c>
      <c r="H570" s="106" t="s">
        <v>3801</v>
      </c>
      <c r="I570" s="106" t="s">
        <v>3809</v>
      </c>
      <c r="J570" s="106">
        <v>1200000</v>
      </c>
      <c r="K570" s="106" t="s">
        <v>3810</v>
      </c>
      <c r="L570" s="106" t="s">
        <v>3811</v>
      </c>
      <c r="M570" s="106" t="s">
        <v>1171</v>
      </c>
      <c r="N570" s="106" t="s">
        <v>3812</v>
      </c>
      <c r="O570" s="106" t="s">
        <v>274</v>
      </c>
      <c r="P570" s="106" t="s">
        <v>3813</v>
      </c>
      <c r="Q570" s="106" t="s">
        <v>362</v>
      </c>
      <c r="S570" s="106" t="str" cm="1">
        <f t="array" ref="S570">IF(TRIM($D570)="","(tidak diisi)",IFERROR(INDEX(Kamus!$B$3:$B$28,MATCH(TRUE,ISNUMBER(SEARCH(Kamus!$A$3:$A$28,$D570)),0)),"Jabatan Lainnya"))</f>
        <v>Hakim</v>
      </c>
      <c r="T570" s="106" t="str" cm="1">
        <f t="array" ref="T570">IF(TRIM($I570)="","(tidak diisi)",IFERROR(INDEX(Kamus!$E$3:$E$162,MATCH(TRUE,ISNUMBER(SEARCH(Kamus!$D$3:$D$162,$I570)),0)),"Barang Lain / Tidak Terinci"))</f>
        <v>Elektronik &amp; Gadget</v>
      </c>
      <c r="U570" s="106" t="str" cm="1">
        <f t="array" ref="U570">IF(TRIM($I570)="","(tidak diisi)",IFERROR(INDEX(Kamus!$H$3:$H$75,MATCH(TRUE,ISNUMBER(SEARCH(Kamus!$G$3:$G$75,$I570)),0)),"Pemberian Umum / Tanpa Konteks"))</f>
        <v>Pemberian Umum / Tanpa Konteks</v>
      </c>
      <c r="V570" s="106" t="str">
        <f t="shared" si="24"/>
        <v>2025</v>
      </c>
      <c r="W570" s="106" t="str" cm="1">
        <f t="array" ref="W570">IF(TRIM($K570)="","(tidak diisi)",IFERROR(INDEX(Kamus!$K$3:$K$118,MATCH(TRUE,ISNUMBER(SEARCH(Kamus!$J$3:$J$118,$K570)),0)),"Individu / Perorangan"))</f>
        <v>Individu / Perorangan</v>
      </c>
      <c r="X570" s="106" t="str">
        <f t="shared" si="25"/>
        <v>10</v>
      </c>
      <c r="Y570" s="106" t="str" cm="1">
        <f t="array" ref="Y570">IFERROR(INDEX(Kamus!$N$3:$N$111,MATCH(TRUE,ISNUMBER(SEARCH(Kamus!$M$3:$M$111,$I570)),0)),"")</f>
        <v/>
      </c>
      <c r="Z570" s="106" t="str">
        <f>IF(AND(OR($X570="02",$X570="03",$X570="04"),OR($T570="Parsel/Bingkisan (tidak dirinci)",$T570="Makanan &amp; Minuman",$T570="Peralatan Rumah Tangga / Pecah Belah",$T570="Pakaian &amp; Kain")),"Momen Hari Raya (dugaan musiman)",IFERROR(VLOOKUP($W570,Kamus!$P$3:$Q$14,2,FALSE),"Tidak Teridentifikasi"))</f>
        <v>Relasi Personal / Tidak Teridentifikasi</v>
      </c>
      <c r="AA570" s="106" t="str">
        <f t="shared" si="26"/>
        <v>Relasi Personal / Tidak Teridentifikasi</v>
      </c>
    </row>
    <row r="571" spans="1:27">
      <c r="A571" s="106">
        <v>570</v>
      </c>
      <c r="B571" s="106" t="s">
        <v>3814</v>
      </c>
      <c r="C571" s="107" t="s">
        <v>3815</v>
      </c>
      <c r="D571" s="106" t="s">
        <v>1024</v>
      </c>
      <c r="E571" s="106" t="s">
        <v>2150</v>
      </c>
      <c r="F571" s="106" t="s">
        <v>3816</v>
      </c>
      <c r="G571" s="106" t="s">
        <v>1006</v>
      </c>
      <c r="H571" s="106" t="s">
        <v>3789</v>
      </c>
      <c r="I571" s="106" t="s">
        <v>3817</v>
      </c>
      <c r="K571" s="106" t="s">
        <v>3818</v>
      </c>
      <c r="L571" s="106" t="s">
        <v>3819</v>
      </c>
      <c r="O571" s="106" t="s">
        <v>274</v>
      </c>
      <c r="P571" s="106" t="s">
        <v>604</v>
      </c>
      <c r="Q571" s="106" t="s">
        <v>429</v>
      </c>
      <c r="S571" s="106" t="str" cm="1">
        <f t="array" ref="S571">IF(TRIM($D571)="","(tidak diisi)",IFERROR(INDEX(Kamus!$B$3:$B$28,MATCH(TRUE,ISNUMBER(SEARCH(Kamus!$A$3:$A$28,$D571)),0)),"Jabatan Lainnya"))</f>
        <v>Sekretaris</v>
      </c>
      <c r="T571" s="106" t="str" cm="1">
        <f t="array" ref="T571">IF(TRIM($I571)="","(tidak diisi)",IFERROR(INDEX(Kamus!$E$3:$E$162,MATCH(TRUE,ISNUMBER(SEARCH(Kamus!$D$3:$D$162,$I571)),0)),"Barang Lain / Tidak Terinci"))</f>
        <v>Suvenir &amp; Merchandise</v>
      </c>
      <c r="U571" s="106" t="str" cm="1">
        <f t="array" ref="U571">IF(TRIM($I571)="","(tidak diisi)",IFERROR(INDEX(Kamus!$H$3:$H$75,MATCH(TRUE,ISNUMBER(SEARCH(Kamus!$G$3:$G$75,$I571)),0)),"Pemberian Umum / Tanpa Konteks"))</f>
        <v>Suvenir / Merchandise Kegiatan &amp; Kunjungan</v>
      </c>
      <c r="V571" s="106" t="str">
        <f t="shared" si="24"/>
        <v>2025</v>
      </c>
      <c r="W571" s="106" t="str" cm="1">
        <f t="array" ref="W571">IF(TRIM($K571)="","(tidak diisi)",IFERROR(INDEX(Kamus!$K$3:$K$118,MATCH(TRUE,ISNUMBER(SEARCH(Kamus!$J$3:$J$118,$K571)),0)),"Individu / Perorangan"))</f>
        <v>Bank &amp; Lembaga Keuangan</v>
      </c>
      <c r="X571" s="106" t="str">
        <f t="shared" si="25"/>
        <v>10</v>
      </c>
      <c r="Y571" s="106" t="str" cm="1">
        <f t="array" ref="Y571">IFERROR(INDEX(Kamus!$N$3:$N$111,MATCH(TRUE,ISNUMBER(SEARCH(Kamus!$M$3:$M$111,$I571)),0)),"")</f>
        <v/>
      </c>
      <c r="Z571" s="106" t="str">
        <f>IF(AND(OR($X571="02",$X571="03",$X571="04"),OR($T571="Parsel/Bingkisan (tidak dirinci)",$T571="Makanan &amp; Minuman",$T571="Peralatan Rumah Tangga / Pecah Belah",$T571="Pakaian &amp; Kain")),"Momen Hari Raya (dugaan musiman)",IFERROR(VLOOKUP($W571,Kamus!$P$3:$Q$14,2,FALSE),"Tidak Teridentifikasi"))</f>
        <v>Relasi Layanan/Kerja Sama Perbankan (dugaan)</v>
      </c>
      <c r="AA571" s="106" t="str">
        <f t="shared" si="26"/>
        <v>Relasi Layanan/Kerja Sama Perbankan (dugaan)</v>
      </c>
    </row>
    <row r="572" spans="1:27">
      <c r="A572" s="106">
        <v>571</v>
      </c>
      <c r="B572" s="106" t="s">
        <v>3820</v>
      </c>
      <c r="C572" s="107" t="s">
        <v>3821</v>
      </c>
      <c r="D572" s="106" t="s">
        <v>1137</v>
      </c>
      <c r="E572" s="106" t="s">
        <v>3543</v>
      </c>
      <c r="F572" s="106" t="s">
        <v>3822</v>
      </c>
      <c r="G572" s="106" t="s">
        <v>1006</v>
      </c>
      <c r="H572" s="106" t="s">
        <v>3823</v>
      </c>
      <c r="I572" s="106" t="s">
        <v>3824</v>
      </c>
      <c r="K572" s="106" t="s">
        <v>3446</v>
      </c>
      <c r="L572" s="106" t="s">
        <v>3825</v>
      </c>
      <c r="O572" s="106" t="s">
        <v>274</v>
      </c>
      <c r="P572" s="106" t="s">
        <v>302</v>
      </c>
      <c r="Q572" s="106" t="s">
        <v>302</v>
      </c>
      <c r="S572" s="106" t="str" cm="1">
        <f t="array" ref="S572">IF(TRIM($D572)="","(tidak diisi)",IFERROR(INDEX(Kamus!$B$3:$B$28,MATCH(TRUE,ISNUMBER(SEARCH(Kamus!$A$3:$A$28,$D572)),0)),"Jabatan Lainnya"))</f>
        <v>Hakim</v>
      </c>
      <c r="T572" s="106" t="str" cm="1">
        <f t="array" ref="T572">IF(TRIM($I572)="","(tidak diisi)",IFERROR(INDEX(Kamus!$E$3:$E$162,MATCH(TRUE,ISNUMBER(SEARCH(Kamus!$D$3:$D$162,$I572)),0)),"Barang Lain / Tidak Terinci"))</f>
        <v>Suvenir &amp; Merchandise</v>
      </c>
      <c r="U572" s="106" t="str" cm="1">
        <f t="array" ref="U572">IF(TRIM($I572)="","(tidak diisi)",IFERROR(INDEX(Kamus!$H$3:$H$75,MATCH(TRUE,ISNUMBER(SEARCH(Kamus!$G$3:$G$75,$I572)),0)),"Pemberian Umum / Tanpa Konteks"))</f>
        <v>Suvenir / Merchandise Kegiatan &amp; Kunjungan</v>
      </c>
      <c r="V572" s="106" t="str">
        <f t="shared" si="24"/>
        <v>2025</v>
      </c>
      <c r="W572" s="106" t="str" cm="1">
        <f t="array" ref="W572">IF(TRIM($K572)="","(tidak diisi)",IFERROR(INDEX(Kamus!$K$3:$K$118,MATCH(TRUE,ISNUMBER(SEARCH(Kamus!$J$3:$J$118,$K572)),0)),"Individu / Perorangan"))</f>
        <v>Individu / Perorangan</v>
      </c>
      <c r="X572" s="106" t="str">
        <f t="shared" si="25"/>
        <v>11</v>
      </c>
      <c r="Y572" s="106" t="str" cm="1">
        <f t="array" ref="Y572">IFERROR(INDEX(Kamus!$N$3:$N$111,MATCH(TRUE,ISNUMBER(SEARCH(Kamus!$M$3:$M$111,$I572)),0)),"")</f>
        <v/>
      </c>
      <c r="Z572" s="106" t="str">
        <f>IF(AND(OR($X572="02",$X572="03",$X572="04"),OR($T572="Parsel/Bingkisan (tidak dirinci)",$T572="Makanan &amp; Minuman",$T572="Peralatan Rumah Tangga / Pecah Belah",$T572="Pakaian &amp; Kain")),"Momen Hari Raya (dugaan musiman)",IFERROR(VLOOKUP($W572,Kamus!$P$3:$Q$14,2,FALSE),"Tidak Teridentifikasi"))</f>
        <v>Relasi Personal / Tidak Teridentifikasi</v>
      </c>
      <c r="AA572" s="106" t="str">
        <f t="shared" si="26"/>
        <v>Relasi Personal / Tidak Teridentifikasi</v>
      </c>
    </row>
    <row r="573" spans="1:27">
      <c r="A573" s="106">
        <v>572</v>
      </c>
      <c r="B573" s="106" t="s">
        <v>1022</v>
      </c>
      <c r="C573" s="107" t="s">
        <v>1023</v>
      </c>
      <c r="D573" s="106" t="s">
        <v>1024</v>
      </c>
      <c r="E573" s="106" t="s">
        <v>1025</v>
      </c>
      <c r="F573" s="106" t="s">
        <v>3826</v>
      </c>
      <c r="G573" s="106" t="s">
        <v>1006</v>
      </c>
      <c r="H573" s="106" t="s">
        <v>3827</v>
      </c>
      <c r="I573" s="106" t="s">
        <v>3828</v>
      </c>
      <c r="K573" s="106" t="s">
        <v>3829</v>
      </c>
      <c r="L573" s="106" t="s">
        <v>3830</v>
      </c>
      <c r="O573" s="106" t="s">
        <v>274</v>
      </c>
      <c r="P573" s="106" t="s">
        <v>561</v>
      </c>
      <c r="Q573" s="106" t="s">
        <v>428</v>
      </c>
      <c r="S573" s="106" t="str" cm="1">
        <f t="array" ref="S573">IF(TRIM($D573)="","(tidak diisi)",IFERROR(INDEX(Kamus!$B$3:$B$28,MATCH(TRUE,ISNUMBER(SEARCH(Kamus!$A$3:$A$28,$D573)),0)),"Jabatan Lainnya"))</f>
        <v>Sekretaris</v>
      </c>
      <c r="T573" s="106" t="str" cm="1">
        <f t="array" ref="T573">IF(TRIM($I573)="","(tidak diisi)",IFERROR(INDEX(Kamus!$E$3:$E$162,MATCH(TRUE,ISNUMBER(SEARCH(Kamus!$D$3:$D$162,$I573)),0)),"Barang Lain / Tidak Terinci"))</f>
        <v>Peralatan Rumah Tangga / Pecah Belah</v>
      </c>
      <c r="U573" s="106" t="str" cm="1">
        <f t="array" ref="U573">IF(TRIM($I573)="","(tidak diisi)",IFERROR(INDEX(Kamus!$H$3:$H$75,MATCH(TRUE,ISNUMBER(SEARCH(Kamus!$G$3:$G$75,$I573)),0)),"Pemberian Umum / Tanpa Konteks"))</f>
        <v>Pemberian Umum / Tanpa Konteks</v>
      </c>
      <c r="V573" s="106" t="str">
        <f t="shared" si="24"/>
        <v>2025</v>
      </c>
      <c r="W573" s="106" t="str" cm="1">
        <f t="array" ref="W573">IF(TRIM($K573)="","(tidak diisi)",IFERROR(INDEX(Kamus!$K$3:$K$118,MATCH(TRUE,ISNUMBER(SEARCH(Kamus!$J$3:$J$118,$K573)),0)),"Individu / Perorangan"))</f>
        <v>Individu / Perorangan</v>
      </c>
      <c r="X573" s="106" t="str">
        <f t="shared" si="25"/>
        <v>11</v>
      </c>
      <c r="Y573" s="106" t="str" cm="1">
        <f t="array" ref="Y573">IFERROR(INDEX(Kamus!$N$3:$N$111,MATCH(TRUE,ISNUMBER(SEARCH(Kamus!$M$3:$M$111,$I573)),0)),"")</f>
        <v/>
      </c>
      <c r="Z573" s="106" t="str">
        <f>IF(AND(OR($X573="02",$X573="03",$X573="04"),OR($T573="Parsel/Bingkisan (tidak dirinci)",$T573="Makanan &amp; Minuman",$T573="Peralatan Rumah Tangga / Pecah Belah",$T573="Pakaian &amp; Kain")),"Momen Hari Raya (dugaan musiman)",IFERROR(VLOOKUP($W573,Kamus!$P$3:$Q$14,2,FALSE),"Tidak Teridentifikasi"))</f>
        <v>Relasi Personal / Tidak Teridentifikasi</v>
      </c>
      <c r="AA573" s="106" t="str">
        <f t="shared" si="26"/>
        <v>Relasi Personal / Tidak Teridentifikasi</v>
      </c>
    </row>
    <row r="574" spans="1:27">
      <c r="A574" s="106">
        <v>573</v>
      </c>
      <c r="B574" s="106" t="s">
        <v>2661</v>
      </c>
      <c r="C574" s="107" t="s">
        <v>2662</v>
      </c>
      <c r="D574" s="106" t="s">
        <v>1033</v>
      </c>
      <c r="E574" s="106" t="s">
        <v>2663</v>
      </c>
      <c r="F574" s="106" t="s">
        <v>3831</v>
      </c>
      <c r="G574" s="106" t="s">
        <v>1006</v>
      </c>
      <c r="H574" s="106" t="s">
        <v>3832</v>
      </c>
      <c r="I574" s="106" t="s">
        <v>1017</v>
      </c>
      <c r="J574" s="106">
        <v>1200000</v>
      </c>
      <c r="K574" s="106" t="s">
        <v>3833</v>
      </c>
      <c r="L574" s="106" t="s">
        <v>3834</v>
      </c>
      <c r="M574" s="106" t="s">
        <v>1020</v>
      </c>
      <c r="O574" s="106" t="s">
        <v>274</v>
      </c>
      <c r="P574" s="106" t="s">
        <v>2668</v>
      </c>
      <c r="Q574" s="106" t="s">
        <v>395</v>
      </c>
      <c r="S574" s="106" t="str" cm="1">
        <f t="array" ref="S574">IF(TRIM($D574)="","(tidak diisi)",IFERROR(INDEX(Kamus!$B$3:$B$28,MATCH(TRUE,ISNUMBER(SEARCH(Kamus!$A$3:$A$28,$D574)),0)),"Jabatan Lainnya"))</f>
        <v>Hakim</v>
      </c>
      <c r="T574" s="106" t="str" cm="1">
        <f t="array" ref="T574">IF(TRIM($I574)="","(tidak diisi)",IFERROR(INDEX(Kamus!$E$3:$E$162,MATCH(TRUE,ISNUMBER(SEARCH(Kamus!$D$3:$D$162,$I574)),0)),"Barang Lain / Tidak Terinci"))</f>
        <v>Uang &amp; Setara Uang</v>
      </c>
      <c r="U574" s="106" t="str" cm="1">
        <f t="array" ref="U574">IF(TRIM($I574)="","(tidak diisi)",IFERROR(INDEX(Kamus!$H$3:$H$75,MATCH(TRUE,ISNUMBER(SEARCH(Kamus!$G$3:$G$75,$I574)),0)),"Pemberian Umum / Tanpa Konteks"))</f>
        <v>Pemberian Uang Langsung</v>
      </c>
      <c r="V574" s="106" t="str">
        <f t="shared" si="24"/>
        <v>2025</v>
      </c>
      <c r="W574" s="106" t="str" cm="1">
        <f t="array" ref="W574">IF(TRIM($K574)="","(tidak diisi)",IFERROR(INDEX(Kamus!$K$3:$K$118,MATCH(TRUE,ISNUMBER(SEARCH(Kamus!$J$3:$J$118,$K574)),0)),"Individu / Perorangan"))</f>
        <v>Organisasi / Panitia Kegiatan</v>
      </c>
      <c r="X574" s="106" t="str">
        <f t="shared" si="25"/>
        <v>11</v>
      </c>
      <c r="Y574" s="106" t="str" cm="1">
        <f t="array" ref="Y574">IFERROR(INDEX(Kamus!$N$3:$N$111,MATCH(TRUE,ISNUMBER(SEARCH(Kamus!$M$3:$M$111,$I574)),0)),"")</f>
        <v/>
      </c>
      <c r="Z574" s="106" t="str">
        <f>IF(AND(OR($X574="02",$X574="03",$X574="04"),OR($T574="Parsel/Bingkisan (tidak dirinci)",$T574="Makanan &amp; Minuman",$T574="Peralatan Rumah Tangga / Pecah Belah",$T574="Pakaian &amp; Kain")),"Momen Hari Raya (dugaan musiman)",IFERROR(VLOOKUP($W574,Kamus!$P$3:$Q$14,2,FALSE),"Tidak Teridentifikasi"))</f>
        <v>Kegiatan Organisasi/Panitia (dugaan)</v>
      </c>
      <c r="AA574" s="106" t="str">
        <f t="shared" si="26"/>
        <v>Kegiatan Organisasi/Panitia (dugaan)</v>
      </c>
    </row>
    <row r="575" spans="1:27">
      <c r="A575" s="106">
        <v>574</v>
      </c>
      <c r="B575" s="106" t="s">
        <v>2005</v>
      </c>
      <c r="C575" s="107" t="s">
        <v>2006</v>
      </c>
      <c r="D575" s="106" t="s">
        <v>1843</v>
      </c>
      <c r="E575" s="106" t="s">
        <v>2007</v>
      </c>
      <c r="F575" s="106" t="s">
        <v>3835</v>
      </c>
      <c r="G575" s="106" t="s">
        <v>1006</v>
      </c>
      <c r="H575" s="106" t="s">
        <v>3836</v>
      </c>
      <c r="I575" s="106" t="s">
        <v>3837</v>
      </c>
      <c r="K575" s="106" t="s">
        <v>3838</v>
      </c>
      <c r="L575" s="106" t="s">
        <v>3839</v>
      </c>
      <c r="O575" s="106" t="s">
        <v>274</v>
      </c>
      <c r="P575" s="106" t="s">
        <v>2012</v>
      </c>
      <c r="Q575" s="106" t="s">
        <v>402</v>
      </c>
      <c r="S575" s="106" t="str" cm="1">
        <f t="array" ref="S575">IF(TRIM($D575)="","(tidak diisi)",IFERROR(INDEX(Kamus!$B$3:$B$28,MATCH(TRUE,ISNUMBER(SEARCH(Kamus!$A$3:$A$28,$D575)),0)),"Jabatan Lainnya"))</f>
        <v>Ketua Pengadilan</v>
      </c>
      <c r="T575" s="106" t="str" cm="1">
        <f t="array" ref="T575">IF(TRIM($I575)="","(tidak diisi)",IFERROR(INDEX(Kamus!$E$3:$E$162,MATCH(TRUE,ISNUMBER(SEARCH(Kamus!$D$3:$D$162,$I575)),0)),"Barang Lain / Tidak Terinci"))</f>
        <v>Makanan &amp; Minuman</v>
      </c>
      <c r="U575" s="106" t="str" cm="1">
        <f t="array" ref="U575">IF(TRIM($I575)="","(tidak diisi)",IFERROR(INDEX(Kamus!$H$3:$H$75,MATCH(TRUE,ISNUMBER(SEARCH(Kamus!$G$3:$G$75,$I575)),0)),"Pemberian Umum / Tanpa Konteks"))</f>
        <v>Parsel/Bingkisan Umum (non-hari raya)</v>
      </c>
      <c r="V575" s="106" t="str">
        <f t="shared" si="24"/>
        <v>2025</v>
      </c>
      <c r="W575" s="106" t="str" cm="1">
        <f t="array" ref="W575">IF(TRIM($K575)="","(tidak diisi)",IFERROR(INDEX(Kamus!$K$3:$K$118,MATCH(TRUE,ISNUMBER(SEARCH(Kamus!$J$3:$J$118,$K575)),0)),"Individu / Perorangan"))</f>
        <v>Individu / Perorangan</v>
      </c>
      <c r="X575" s="106" t="str">
        <f t="shared" si="25"/>
        <v>11</v>
      </c>
      <c r="Y575" s="106" t="str" cm="1">
        <f t="array" ref="Y575">IFERROR(INDEX(Kamus!$N$3:$N$111,MATCH(TRUE,ISNUMBER(SEARCH(Kamus!$M$3:$M$111,$I575)),0)),"")</f>
        <v/>
      </c>
      <c r="Z575" s="106" t="str">
        <f>IF(AND(OR($X575="02",$X575="03",$X575="04"),OR($T575="Parsel/Bingkisan (tidak dirinci)",$T575="Makanan &amp; Minuman",$T575="Peralatan Rumah Tangga / Pecah Belah",$T575="Pakaian &amp; Kain")),"Momen Hari Raya (dugaan musiman)",IFERROR(VLOOKUP($W575,Kamus!$P$3:$Q$14,2,FALSE),"Tidak Teridentifikasi"))</f>
        <v>Relasi Personal / Tidak Teridentifikasi</v>
      </c>
      <c r="AA575" s="106" t="str">
        <f t="shared" si="26"/>
        <v>Relasi Personal / Tidak Teridentifikasi</v>
      </c>
    </row>
    <row r="576" spans="1:27">
      <c r="A576" s="106">
        <v>575</v>
      </c>
      <c r="B576" s="106" t="s">
        <v>1088</v>
      </c>
      <c r="C576" s="107" t="s">
        <v>1089</v>
      </c>
      <c r="D576" s="106" t="s">
        <v>1033</v>
      </c>
      <c r="E576" s="106" t="s">
        <v>1090</v>
      </c>
      <c r="F576" s="106" t="s">
        <v>3840</v>
      </c>
      <c r="G576" s="106" t="s">
        <v>1006</v>
      </c>
      <c r="H576" s="106" t="s">
        <v>3644</v>
      </c>
      <c r="I576" s="106" t="s">
        <v>1017</v>
      </c>
      <c r="J576" s="106">
        <v>650000</v>
      </c>
      <c r="K576" s="106" t="s">
        <v>3760</v>
      </c>
      <c r="L576" s="106" t="s">
        <v>3841</v>
      </c>
      <c r="M576" s="106" t="s">
        <v>1020</v>
      </c>
      <c r="O576" s="106" t="s">
        <v>274</v>
      </c>
      <c r="P576" s="106" t="s">
        <v>1095</v>
      </c>
      <c r="Q576" s="106" t="s">
        <v>348</v>
      </c>
      <c r="S576" s="106" t="str" cm="1">
        <f t="array" ref="S576">IF(TRIM($D576)="","(tidak diisi)",IFERROR(INDEX(Kamus!$B$3:$B$28,MATCH(TRUE,ISNUMBER(SEARCH(Kamus!$A$3:$A$28,$D576)),0)),"Jabatan Lainnya"))</f>
        <v>Hakim</v>
      </c>
      <c r="T576" s="106" t="str" cm="1">
        <f t="array" ref="T576">IF(TRIM($I576)="","(tidak diisi)",IFERROR(INDEX(Kamus!$E$3:$E$162,MATCH(TRUE,ISNUMBER(SEARCH(Kamus!$D$3:$D$162,$I576)),0)),"Barang Lain / Tidak Terinci"))</f>
        <v>Uang &amp; Setara Uang</v>
      </c>
      <c r="U576" s="106" t="str" cm="1">
        <f t="array" ref="U576">IF(TRIM($I576)="","(tidak diisi)",IFERROR(INDEX(Kamus!$H$3:$H$75,MATCH(TRUE,ISNUMBER(SEARCH(Kamus!$G$3:$G$75,$I576)),0)),"Pemberian Umum / Tanpa Konteks"))</f>
        <v>Pemberian Uang Langsung</v>
      </c>
      <c r="V576" s="106" t="str">
        <f t="shared" si="24"/>
        <v>2025</v>
      </c>
      <c r="W576" s="106" t="str" cm="1">
        <f t="array" ref="W576">IF(TRIM($K576)="","(tidak diisi)",IFERROR(INDEX(Kamus!$K$3:$K$118,MATCH(TRUE,ISNUMBER(SEARCH(Kamus!$J$3:$J$118,$K576)),0)),"Individu / Perorangan"))</f>
        <v>Individu / Perorangan</v>
      </c>
      <c r="X576" s="106" t="str">
        <f t="shared" si="25"/>
        <v>10</v>
      </c>
      <c r="Y576" s="106" t="str" cm="1">
        <f t="array" ref="Y576">IFERROR(INDEX(Kamus!$N$3:$N$111,MATCH(TRUE,ISNUMBER(SEARCH(Kamus!$M$3:$M$111,$I576)),0)),"")</f>
        <v/>
      </c>
      <c r="Z576" s="106" t="str">
        <f>IF(AND(OR($X576="02",$X576="03",$X576="04"),OR($T576="Parsel/Bingkisan (tidak dirinci)",$T576="Makanan &amp; Minuman",$T576="Peralatan Rumah Tangga / Pecah Belah",$T576="Pakaian &amp; Kain")),"Momen Hari Raya (dugaan musiman)",IFERROR(VLOOKUP($W576,Kamus!$P$3:$Q$14,2,FALSE),"Tidak Teridentifikasi"))</f>
        <v>Relasi Personal / Tidak Teridentifikasi</v>
      </c>
      <c r="AA576" s="106" t="str">
        <f t="shared" si="26"/>
        <v>Relasi Personal / Tidak Teridentifikasi</v>
      </c>
    </row>
    <row r="577" spans="1:27">
      <c r="A577" s="106">
        <v>576</v>
      </c>
      <c r="B577" s="106" t="s">
        <v>1088</v>
      </c>
      <c r="C577" s="107" t="s">
        <v>1089</v>
      </c>
      <c r="D577" s="106" t="s">
        <v>1033</v>
      </c>
      <c r="E577" s="106" t="s">
        <v>1090</v>
      </c>
      <c r="F577" s="106" t="s">
        <v>3842</v>
      </c>
      <c r="G577" s="106" t="s">
        <v>1006</v>
      </c>
      <c r="H577" s="106" t="s">
        <v>3836</v>
      </c>
      <c r="I577" s="106" t="s">
        <v>3843</v>
      </c>
      <c r="K577" s="106" t="s">
        <v>3844</v>
      </c>
      <c r="L577" s="106" t="s">
        <v>3845</v>
      </c>
      <c r="O577" s="106" t="s">
        <v>274</v>
      </c>
      <c r="P577" s="106" t="s">
        <v>1095</v>
      </c>
      <c r="Q577" s="106" t="s">
        <v>348</v>
      </c>
      <c r="S577" s="106" t="str" cm="1">
        <f t="array" ref="S577">IF(TRIM($D577)="","(tidak diisi)",IFERROR(INDEX(Kamus!$B$3:$B$28,MATCH(TRUE,ISNUMBER(SEARCH(Kamus!$A$3:$A$28,$D577)),0)),"Jabatan Lainnya"))</f>
        <v>Hakim</v>
      </c>
      <c r="T577" s="106" t="str" cm="1">
        <f t="array" ref="T577">IF(TRIM($I577)="","(tidak diisi)",IFERROR(INDEX(Kamus!$E$3:$E$162,MATCH(TRUE,ISNUMBER(SEARCH(Kamus!$D$3:$D$162,$I577)),0)),"Barang Lain / Tidak Terinci"))</f>
        <v>Pakaian &amp; Kain</v>
      </c>
      <c r="U577" s="106" t="str" cm="1">
        <f t="array" ref="U577">IF(TRIM($I577)="","(tidak diisi)",IFERROR(INDEX(Kamus!$H$3:$H$75,MATCH(TRUE,ISNUMBER(SEARCH(Kamus!$G$3:$G$75,$I577)),0)),"Pemberian Umum / Tanpa Konteks"))</f>
        <v>Pemberian Umum / Tanpa Konteks</v>
      </c>
      <c r="V577" s="106" t="str">
        <f t="shared" si="24"/>
        <v>2025</v>
      </c>
      <c r="W577" s="106" t="str" cm="1">
        <f t="array" ref="W577">IF(TRIM($K577)="","(tidak diisi)",IFERROR(INDEX(Kamus!$K$3:$K$118,MATCH(TRUE,ISNUMBER(SEARCH(Kamus!$J$3:$J$118,$K577)),0)),"Individu / Perorangan"))</f>
        <v>Individu / Perorangan</v>
      </c>
      <c r="X577" s="106" t="str">
        <f t="shared" si="25"/>
        <v>11</v>
      </c>
      <c r="Y577" s="106" t="str" cm="1">
        <f t="array" ref="Y577">IFERROR(INDEX(Kamus!$N$3:$N$111,MATCH(TRUE,ISNUMBER(SEARCH(Kamus!$M$3:$M$111,$I577)),0)),"")</f>
        <v/>
      </c>
      <c r="Z577" s="106" t="str">
        <f>IF(AND(OR($X577="02",$X577="03",$X577="04"),OR($T577="Parsel/Bingkisan (tidak dirinci)",$T577="Makanan &amp; Minuman",$T577="Peralatan Rumah Tangga / Pecah Belah",$T577="Pakaian &amp; Kain")),"Momen Hari Raya (dugaan musiman)",IFERROR(VLOOKUP($W577,Kamus!$P$3:$Q$14,2,FALSE),"Tidak Teridentifikasi"))</f>
        <v>Relasi Personal / Tidak Teridentifikasi</v>
      </c>
      <c r="AA577" s="106" t="str">
        <f t="shared" si="26"/>
        <v>Relasi Personal / Tidak Teridentifikasi</v>
      </c>
    </row>
    <row r="578" spans="1:27">
      <c r="A578" s="106">
        <v>577</v>
      </c>
      <c r="B578" s="106" t="s">
        <v>1088</v>
      </c>
      <c r="C578" s="107" t="s">
        <v>1089</v>
      </c>
      <c r="D578" s="106" t="s">
        <v>1033</v>
      </c>
      <c r="E578" s="106" t="s">
        <v>1090</v>
      </c>
      <c r="F578" s="106" t="s">
        <v>3846</v>
      </c>
      <c r="G578" s="106" t="s">
        <v>1006</v>
      </c>
      <c r="H578" s="106" t="s">
        <v>3618</v>
      </c>
      <c r="I578" s="106" t="s">
        <v>3847</v>
      </c>
      <c r="J578" s="106">
        <v>175000</v>
      </c>
      <c r="K578" s="106" t="s">
        <v>3848</v>
      </c>
      <c r="L578" s="106" t="s">
        <v>3849</v>
      </c>
      <c r="M578" s="106" t="s">
        <v>1171</v>
      </c>
      <c r="N578" s="106" t="s">
        <v>3850</v>
      </c>
      <c r="O578" s="106" t="s">
        <v>274</v>
      </c>
      <c r="P578" s="106" t="s">
        <v>1095</v>
      </c>
      <c r="Q578" s="106" t="s">
        <v>348</v>
      </c>
      <c r="S578" s="106" t="str" cm="1">
        <f t="array" ref="S578">IF(TRIM($D578)="","(tidak diisi)",IFERROR(INDEX(Kamus!$B$3:$B$28,MATCH(TRUE,ISNUMBER(SEARCH(Kamus!$A$3:$A$28,$D578)),0)),"Jabatan Lainnya"))</f>
        <v>Hakim</v>
      </c>
      <c r="T578" s="106" t="str" cm="1">
        <f t="array" ref="T578">IF(TRIM($I578)="","(tidak diisi)",IFERROR(INDEX(Kamus!$E$3:$E$162,MATCH(TRUE,ISNUMBER(SEARCH(Kamus!$D$3:$D$162,$I578)),0)),"Barang Lain / Tidak Terinci"))</f>
        <v>Fasilitas &amp; Jasa</v>
      </c>
      <c r="U578" s="106" t="str" cm="1">
        <f t="array" ref="U578">IF(TRIM($I578)="","(tidak diisi)",IFERROR(INDEX(Kamus!$H$3:$H$75,MATCH(TRUE,ISNUMBER(SEARCH(Kamus!$G$3:$G$75,$I578)),0)),"Pemberian Umum / Tanpa Konteks"))</f>
        <v>Pemberian Umum / Tanpa Konteks</v>
      </c>
      <c r="V578" s="106" t="str">
        <f t="shared" si="24"/>
        <v>2025</v>
      </c>
      <c r="W578" s="106" t="str" cm="1">
        <f t="array" ref="W578">IF(TRIM($K578)="","(tidak diisi)",IFERROR(INDEX(Kamus!$K$3:$K$118,MATCH(TRUE,ISNUMBER(SEARCH(Kamus!$J$3:$J$118,$K578)),0)),"Individu / Perorangan"))</f>
        <v>Individu / Perorangan</v>
      </c>
      <c r="X578" s="106" t="str">
        <f t="shared" si="25"/>
        <v>10</v>
      </c>
      <c r="Y578" s="106" t="str" cm="1">
        <f t="array" ref="Y578">IFERROR(INDEX(Kamus!$N$3:$N$111,MATCH(TRUE,ISNUMBER(SEARCH(Kamus!$M$3:$M$111,$I578)),0)),"")</f>
        <v/>
      </c>
      <c r="Z578" s="106" t="str">
        <f>IF(AND(OR($X578="02",$X578="03",$X578="04"),OR($T578="Parsel/Bingkisan (tidak dirinci)",$T578="Makanan &amp; Minuman",$T578="Peralatan Rumah Tangga / Pecah Belah",$T578="Pakaian &amp; Kain")),"Momen Hari Raya (dugaan musiman)",IFERROR(VLOOKUP($W578,Kamus!$P$3:$Q$14,2,FALSE),"Tidak Teridentifikasi"))</f>
        <v>Relasi Personal / Tidak Teridentifikasi</v>
      </c>
      <c r="AA578" s="106" t="str">
        <f t="shared" si="26"/>
        <v>Relasi Personal / Tidak Teridentifikasi</v>
      </c>
    </row>
    <row r="579" spans="1:27">
      <c r="A579" s="106">
        <v>578</v>
      </c>
      <c r="B579" s="106" t="s">
        <v>3727</v>
      </c>
      <c r="C579" s="107" t="s">
        <v>3728</v>
      </c>
      <c r="D579" s="106" t="s">
        <v>1042</v>
      </c>
      <c r="E579" s="106" t="s">
        <v>2150</v>
      </c>
      <c r="F579" s="106" t="s">
        <v>3851</v>
      </c>
      <c r="G579" s="106" t="s">
        <v>1006</v>
      </c>
      <c r="H579" s="106" t="s">
        <v>3852</v>
      </c>
      <c r="I579" s="106" t="s">
        <v>3853</v>
      </c>
      <c r="J579" s="106">
        <v>100000</v>
      </c>
      <c r="K579" s="106" t="s">
        <v>3854</v>
      </c>
      <c r="L579" s="106" t="s">
        <v>3855</v>
      </c>
      <c r="M579" s="106" t="s">
        <v>1039</v>
      </c>
      <c r="O579" s="106" t="s">
        <v>274</v>
      </c>
      <c r="P579" s="106" t="s">
        <v>604</v>
      </c>
      <c r="Q579" s="106" t="s">
        <v>429</v>
      </c>
      <c r="S579" s="106" t="str" cm="1">
        <f t="array" ref="S579">IF(TRIM($D579)="","(tidak diisi)",IFERROR(INDEX(Kamus!$B$3:$B$28,MATCH(TRUE,ISNUMBER(SEARCH(Kamus!$A$3:$A$28,$D579)),0)),"Jabatan Lainnya"))</f>
        <v>Ketua Pengadilan</v>
      </c>
      <c r="T579" s="106" t="str" cm="1">
        <f t="array" ref="T579">IF(TRIM($I579)="","(tidak diisi)",IFERROR(INDEX(Kamus!$E$3:$E$162,MATCH(TRUE,ISNUMBER(SEARCH(Kamus!$D$3:$D$162,$I579)),0)),"Barang Lain / Tidak Terinci"))</f>
        <v>Barang Lain / Tidak Terinci</v>
      </c>
      <c r="U579" s="106" t="str" cm="1">
        <f t="array" ref="U579">IF(TRIM($I579)="","(tidak diisi)",IFERROR(INDEX(Kamus!$H$3:$H$75,MATCH(TRUE,ISNUMBER(SEARCH(Kamus!$G$3:$G$75,$I579)),0)),"Pemberian Umum / Tanpa Konteks"))</f>
        <v>Pemberian Umum / Tanpa Konteks</v>
      </c>
      <c r="V579" s="106" t="str">
        <f t="shared" ref="V579:V642" si="27">IF($H579="","(tidak diisi)",IF(ISNUMBER($H579),TEXT(YEAR($H579),"0"),LEFT($H579,4)))</f>
        <v>2025</v>
      </c>
      <c r="W579" s="106" t="str" cm="1">
        <f t="array" ref="W579">IF(TRIM($K579)="","(tidak diisi)",IFERROR(INDEX(Kamus!$K$3:$K$118,MATCH(TRUE,ISNUMBER(SEARCH(Kamus!$J$3:$J$118,$K579)),0)),"Individu / Perorangan"))</f>
        <v>Individu / Perorangan</v>
      </c>
      <c r="X579" s="106" t="str">
        <f t="shared" ref="X579:X642" si="28">IF($H579="","(tidak diisi)",IF(ISNUMBER($H579),TEXT(MONTH($H579),"00"),MID($H579,6,2)))</f>
        <v>11</v>
      </c>
      <c r="Y579" s="106" t="str" cm="1">
        <f t="array" ref="Y579">IFERROR(INDEX(Kamus!$N$3:$N$111,MATCH(TRUE,ISNUMBER(SEARCH(Kamus!$M$3:$M$111,$I579)),0)),"")</f>
        <v/>
      </c>
      <c r="Z579" s="106" t="str">
        <f>IF(AND(OR($X579="02",$X579="03",$X579="04"),OR($T579="Parsel/Bingkisan (tidak dirinci)",$T579="Makanan &amp; Minuman",$T579="Peralatan Rumah Tangga / Pecah Belah",$T579="Pakaian &amp; Kain")),"Momen Hari Raya (dugaan musiman)",IFERROR(VLOOKUP($W579,Kamus!$P$3:$Q$14,2,FALSE),"Tidak Teridentifikasi"))</f>
        <v>Relasi Personal / Tidak Teridentifikasi</v>
      </c>
      <c r="AA579" s="106" t="str">
        <f t="shared" ref="AA579:AA642" si="29">IF($Y579="",$Z579,$Y579)</f>
        <v>Relasi Personal / Tidak Teridentifikasi</v>
      </c>
    </row>
    <row r="580" spans="1:27">
      <c r="A580" s="106">
        <v>579</v>
      </c>
      <c r="B580" s="106" t="s">
        <v>1292</v>
      </c>
      <c r="C580" s="107" t="s">
        <v>1293</v>
      </c>
      <c r="D580" s="106" t="s">
        <v>1024</v>
      </c>
      <c r="E580" s="106" t="s">
        <v>1294</v>
      </c>
      <c r="F580" s="106" t="s">
        <v>3856</v>
      </c>
      <c r="G580" s="106" t="s">
        <v>1006</v>
      </c>
      <c r="H580" s="106" t="s">
        <v>3857</v>
      </c>
      <c r="I580" s="106" t="s">
        <v>1104</v>
      </c>
      <c r="J580" s="106">
        <v>125000</v>
      </c>
      <c r="K580" s="106" t="s">
        <v>3858</v>
      </c>
      <c r="L580" s="106" t="s">
        <v>3859</v>
      </c>
      <c r="M580" s="106" t="s">
        <v>1020</v>
      </c>
      <c r="O580" s="106" t="s">
        <v>274</v>
      </c>
      <c r="P580" s="106" t="s">
        <v>1298</v>
      </c>
      <c r="Q580" s="106" t="s">
        <v>428</v>
      </c>
      <c r="S580" s="106" t="str" cm="1">
        <f t="array" ref="S580">IF(TRIM($D580)="","(tidak diisi)",IFERROR(INDEX(Kamus!$B$3:$B$28,MATCH(TRUE,ISNUMBER(SEARCH(Kamus!$A$3:$A$28,$D580)),0)),"Jabatan Lainnya"))</f>
        <v>Sekretaris</v>
      </c>
      <c r="T580" s="106" t="str" cm="1">
        <f t="array" ref="T580">IF(TRIM($I580)="","(tidak diisi)",IFERROR(INDEX(Kamus!$E$3:$E$162,MATCH(TRUE,ISNUMBER(SEARCH(Kamus!$D$3:$D$162,$I580)),0)),"Barang Lain / Tidak Terinci"))</f>
        <v>Pakaian &amp; Kain</v>
      </c>
      <c r="U580" s="106" t="str" cm="1">
        <f t="array" ref="U580">IF(TRIM($I580)="","(tidak diisi)",IFERROR(INDEX(Kamus!$H$3:$H$75,MATCH(TRUE,ISNUMBER(SEARCH(Kamus!$G$3:$G$75,$I580)),0)),"Pemberian Umum / Tanpa Konteks"))</f>
        <v>Pemberian Umum / Tanpa Konteks</v>
      </c>
      <c r="V580" s="106" t="str">
        <f t="shared" si="27"/>
        <v>2025</v>
      </c>
      <c r="W580" s="106" t="str" cm="1">
        <f t="array" ref="W580">IF(TRIM($K580)="","(tidak diisi)",IFERROR(INDEX(Kamus!$K$3:$K$118,MATCH(TRUE,ISNUMBER(SEARCH(Kamus!$J$3:$J$118,$K580)),0)),"Individu / Perorangan"))</f>
        <v>Individu / Perorangan</v>
      </c>
      <c r="X580" s="106" t="str">
        <f t="shared" si="28"/>
        <v>11</v>
      </c>
      <c r="Y580" s="106" t="str" cm="1">
        <f t="array" ref="Y580">IFERROR(INDEX(Kamus!$N$3:$N$111,MATCH(TRUE,ISNUMBER(SEARCH(Kamus!$M$3:$M$111,$I580)),0)),"")</f>
        <v/>
      </c>
      <c r="Z580" s="106" t="str">
        <f>IF(AND(OR($X580="02",$X580="03",$X580="04"),OR($T580="Parsel/Bingkisan (tidak dirinci)",$T580="Makanan &amp; Minuman",$T580="Peralatan Rumah Tangga / Pecah Belah",$T580="Pakaian &amp; Kain")),"Momen Hari Raya (dugaan musiman)",IFERROR(VLOOKUP($W580,Kamus!$P$3:$Q$14,2,FALSE),"Tidak Teridentifikasi"))</f>
        <v>Relasi Personal / Tidak Teridentifikasi</v>
      </c>
      <c r="AA580" s="106" t="str">
        <f t="shared" si="29"/>
        <v>Relasi Personal / Tidak Teridentifikasi</v>
      </c>
    </row>
    <row r="581" spans="1:27">
      <c r="A581" s="106">
        <v>580</v>
      </c>
      <c r="B581" s="106" t="s">
        <v>2661</v>
      </c>
      <c r="C581" s="107" t="s">
        <v>2662</v>
      </c>
      <c r="D581" s="106" t="s">
        <v>1033</v>
      </c>
      <c r="E581" s="106" t="s">
        <v>2663</v>
      </c>
      <c r="F581" s="106" t="s">
        <v>3860</v>
      </c>
      <c r="G581" s="106" t="s">
        <v>1074</v>
      </c>
      <c r="H581" s="106" t="s">
        <v>3861</v>
      </c>
      <c r="I581" s="106" t="s">
        <v>1017</v>
      </c>
      <c r="J581" s="106">
        <v>2000000</v>
      </c>
      <c r="K581" s="106" t="s">
        <v>3862</v>
      </c>
      <c r="L581" s="106" t="s">
        <v>3863</v>
      </c>
      <c r="M581" s="106" t="s">
        <v>2247</v>
      </c>
      <c r="N581" s="106" t="s">
        <v>3864</v>
      </c>
      <c r="O581" s="106" t="s">
        <v>274</v>
      </c>
      <c r="P581" s="106" t="s">
        <v>2668</v>
      </c>
      <c r="Q581" s="106" t="s">
        <v>395</v>
      </c>
      <c r="S581" s="106" t="str" cm="1">
        <f t="array" ref="S581">IF(TRIM($D581)="","(tidak diisi)",IFERROR(INDEX(Kamus!$B$3:$B$28,MATCH(TRUE,ISNUMBER(SEARCH(Kamus!$A$3:$A$28,$D581)),0)),"Jabatan Lainnya"))</f>
        <v>Hakim</v>
      </c>
      <c r="T581" s="106" t="str" cm="1">
        <f t="array" ref="T581">IF(TRIM($I581)="","(tidak diisi)",IFERROR(INDEX(Kamus!$E$3:$E$162,MATCH(TRUE,ISNUMBER(SEARCH(Kamus!$D$3:$D$162,$I581)),0)),"Barang Lain / Tidak Terinci"))</f>
        <v>Uang &amp; Setara Uang</v>
      </c>
      <c r="U581" s="106" t="str" cm="1">
        <f t="array" ref="U581">IF(TRIM($I581)="","(tidak diisi)",IFERROR(INDEX(Kamus!$H$3:$H$75,MATCH(TRUE,ISNUMBER(SEARCH(Kamus!$G$3:$G$75,$I581)),0)),"Pemberian Umum / Tanpa Konteks"))</f>
        <v>Pemberian Uang Langsung</v>
      </c>
      <c r="V581" s="106" t="str">
        <f t="shared" si="27"/>
        <v>2025</v>
      </c>
      <c r="W581" s="106" t="str" cm="1">
        <f t="array" ref="W581">IF(TRIM($K581)="","(tidak diisi)",IFERROR(INDEX(Kamus!$K$3:$K$118,MATCH(TRUE,ISNUMBER(SEARCH(Kamus!$J$3:$J$118,$K581)),0)),"Individu / Perorangan"))</f>
        <v>Individu / Perorangan</v>
      </c>
      <c r="X581" s="106" t="str">
        <f t="shared" si="28"/>
        <v>09</v>
      </c>
      <c r="Y581" s="106" t="str" cm="1">
        <f t="array" ref="Y581">IFERROR(INDEX(Kamus!$N$3:$N$111,MATCH(TRUE,ISNUMBER(SEARCH(Kamus!$M$3:$M$111,$I581)),0)),"")</f>
        <v/>
      </c>
      <c r="Z581" s="106" t="str">
        <f>IF(AND(OR($X581="02",$X581="03",$X581="04"),OR($T581="Parsel/Bingkisan (tidak dirinci)",$T581="Makanan &amp; Minuman",$T581="Peralatan Rumah Tangga / Pecah Belah",$T581="Pakaian &amp; Kain")),"Momen Hari Raya (dugaan musiman)",IFERROR(VLOOKUP($W581,Kamus!$P$3:$Q$14,2,FALSE),"Tidak Teridentifikasi"))</f>
        <v>Relasi Personal / Tidak Teridentifikasi</v>
      </c>
      <c r="AA581" s="106" t="str">
        <f t="shared" si="29"/>
        <v>Relasi Personal / Tidak Teridentifikasi</v>
      </c>
    </row>
    <row r="582" spans="1:27">
      <c r="A582" s="106">
        <v>581</v>
      </c>
      <c r="B582" s="106" t="s">
        <v>3865</v>
      </c>
      <c r="C582" s="107" t="s">
        <v>3866</v>
      </c>
      <c r="D582" s="106" t="s">
        <v>1042</v>
      </c>
      <c r="E582" s="106" t="s">
        <v>1005</v>
      </c>
      <c r="F582" s="106" t="s">
        <v>3867</v>
      </c>
      <c r="G582" s="106" t="s">
        <v>1006</v>
      </c>
      <c r="H582" s="106" t="s">
        <v>3868</v>
      </c>
      <c r="I582" s="106" t="s">
        <v>2697</v>
      </c>
      <c r="J582" s="106">
        <v>38900</v>
      </c>
      <c r="K582" s="106" t="s">
        <v>3869</v>
      </c>
      <c r="L582" s="106" t="s">
        <v>3870</v>
      </c>
      <c r="M582" s="106" t="s">
        <v>1171</v>
      </c>
      <c r="N582" s="106" t="s">
        <v>3871</v>
      </c>
      <c r="O582" s="106" t="s">
        <v>274</v>
      </c>
      <c r="S582" s="106" t="str" cm="1">
        <f t="array" ref="S582">IF(TRIM($D582)="","(tidak diisi)",IFERROR(INDEX(Kamus!$B$3:$B$28,MATCH(TRUE,ISNUMBER(SEARCH(Kamus!$A$3:$A$28,$D582)),0)),"Jabatan Lainnya"))</f>
        <v>Ketua Pengadilan</v>
      </c>
      <c r="T582" s="106" t="str" cm="1">
        <f t="array" ref="T582">IF(TRIM($I582)="","(tidak diisi)",IFERROR(INDEX(Kamus!$E$3:$E$162,MATCH(TRUE,ISNUMBER(SEARCH(Kamus!$D$3:$D$162,$I582)),0)),"Barang Lain / Tidak Terinci"))</f>
        <v>Pakaian &amp; Kain</v>
      </c>
      <c r="U582" s="106" t="str" cm="1">
        <f t="array" ref="U582">IF(TRIM($I582)="","(tidak diisi)",IFERROR(INDEX(Kamus!$H$3:$H$75,MATCH(TRUE,ISNUMBER(SEARCH(Kamus!$G$3:$G$75,$I582)),0)),"Pemberian Umum / Tanpa Konteks"))</f>
        <v>Pemberian Umum / Tanpa Konteks</v>
      </c>
      <c r="V582" s="106" t="str">
        <f t="shared" si="27"/>
        <v>2025</v>
      </c>
      <c r="W582" s="106" t="str" cm="1">
        <f t="array" ref="W582">IF(TRIM($K582)="","(tidak diisi)",IFERROR(INDEX(Kamus!$K$3:$K$118,MATCH(TRUE,ISNUMBER(SEARCH(Kamus!$J$3:$J$118,$K582)),0)),"Individu / Perorangan"))</f>
        <v>Individu / Perorangan</v>
      </c>
      <c r="X582" s="106" t="str">
        <f t="shared" si="28"/>
        <v>11</v>
      </c>
      <c r="Y582" s="106" t="str" cm="1">
        <f t="array" ref="Y582">IFERROR(INDEX(Kamus!$N$3:$N$111,MATCH(TRUE,ISNUMBER(SEARCH(Kamus!$M$3:$M$111,$I582)),0)),"")</f>
        <v/>
      </c>
      <c r="Z582" s="106" t="str">
        <f>IF(AND(OR($X582="02",$X582="03",$X582="04"),OR($T582="Parsel/Bingkisan (tidak dirinci)",$T582="Makanan &amp; Minuman",$T582="Peralatan Rumah Tangga / Pecah Belah",$T582="Pakaian &amp; Kain")),"Momen Hari Raya (dugaan musiman)",IFERROR(VLOOKUP($W582,Kamus!$P$3:$Q$14,2,FALSE),"Tidak Teridentifikasi"))</f>
        <v>Relasi Personal / Tidak Teridentifikasi</v>
      </c>
      <c r="AA582" s="106" t="str">
        <f t="shared" si="29"/>
        <v>Relasi Personal / Tidak Teridentifikasi</v>
      </c>
    </row>
    <row r="583" spans="1:27">
      <c r="A583" s="106">
        <v>582</v>
      </c>
      <c r="B583" s="106" t="s">
        <v>3872</v>
      </c>
      <c r="C583" s="107" t="s">
        <v>3873</v>
      </c>
      <c r="D583" s="106" t="s">
        <v>1319</v>
      </c>
      <c r="E583" s="106" t="s">
        <v>1176</v>
      </c>
      <c r="F583" s="106" t="s">
        <v>3874</v>
      </c>
      <c r="G583" s="106" t="s">
        <v>1006</v>
      </c>
      <c r="H583" s="106" t="s">
        <v>3875</v>
      </c>
      <c r="I583" s="106" t="s">
        <v>3876</v>
      </c>
      <c r="J583" s="106">
        <v>250000</v>
      </c>
      <c r="K583" s="106" t="s">
        <v>3877</v>
      </c>
      <c r="L583" s="106" t="s">
        <v>3878</v>
      </c>
      <c r="M583" s="106" t="s">
        <v>1039</v>
      </c>
      <c r="O583" s="106" t="s">
        <v>274</v>
      </c>
      <c r="P583" s="106" t="s">
        <v>1181</v>
      </c>
      <c r="Q583" s="106" t="s">
        <v>429</v>
      </c>
      <c r="S583" s="106" t="str" cm="1">
        <f t="array" ref="S583">IF(TRIM($D583)="","(tidak diisi)",IFERROR(INDEX(Kamus!$B$3:$B$28,MATCH(TRUE,ISNUMBER(SEARCH(Kamus!$A$3:$A$28,$D583)),0)),"Jabatan Lainnya"))</f>
        <v>Wakil Ketua Pengadilan</v>
      </c>
      <c r="T583" s="106" t="str" cm="1">
        <f t="array" ref="T583">IF(TRIM($I583)="","(tidak diisi)",IFERROR(INDEX(Kamus!$E$3:$E$162,MATCH(TRUE,ISNUMBER(SEARCH(Kamus!$D$3:$D$162,$I583)),0)),"Barang Lain / Tidak Terinci"))</f>
        <v>Buku &amp; Publikasi</v>
      </c>
      <c r="U583" s="106" t="str" cm="1">
        <f t="array" ref="U583">IF(TRIM($I583)="","(tidak diisi)",IFERROR(INDEX(Kamus!$H$3:$H$75,MATCH(TRUE,ISNUMBER(SEARCH(Kamus!$G$3:$G$75,$I583)),0)),"Pemberian Umum / Tanpa Konteks"))</f>
        <v>Suvenir / Merchandise Kegiatan &amp; Kunjungan</v>
      </c>
      <c r="V583" s="106" t="str">
        <f t="shared" si="27"/>
        <v>2025</v>
      </c>
      <c r="W583" s="106" t="str" cm="1">
        <f t="array" ref="W583">IF(TRIM($K583)="","(tidak diisi)",IFERROR(INDEX(Kamus!$K$3:$K$118,MATCH(TRUE,ISNUMBER(SEARCH(Kamus!$J$3:$J$118,$K583)),0)),"Individu / Perorangan"))</f>
        <v>Individu / Perorangan</v>
      </c>
      <c r="X583" s="106" t="str">
        <f t="shared" si="28"/>
        <v>10</v>
      </c>
      <c r="Y583" s="106" t="str" cm="1">
        <f t="array" ref="Y583">IFERROR(INDEX(Kamus!$N$3:$N$111,MATCH(TRUE,ISNUMBER(SEARCH(Kamus!$M$3:$M$111,$I583)),0)),"")</f>
        <v/>
      </c>
      <c r="Z583" s="106" t="str">
        <f>IF(AND(OR($X583="02",$X583="03",$X583="04"),OR($T583="Parsel/Bingkisan (tidak dirinci)",$T583="Makanan &amp; Minuman",$T583="Peralatan Rumah Tangga / Pecah Belah",$T583="Pakaian &amp; Kain")),"Momen Hari Raya (dugaan musiman)",IFERROR(VLOOKUP($W583,Kamus!$P$3:$Q$14,2,FALSE),"Tidak Teridentifikasi"))</f>
        <v>Relasi Personal / Tidak Teridentifikasi</v>
      </c>
      <c r="AA583" s="106" t="str">
        <f t="shared" si="29"/>
        <v>Relasi Personal / Tidak Teridentifikasi</v>
      </c>
    </row>
    <row r="584" spans="1:27">
      <c r="A584" s="106">
        <v>583</v>
      </c>
      <c r="B584" s="106" t="s">
        <v>3879</v>
      </c>
      <c r="C584" s="107" t="s">
        <v>3880</v>
      </c>
      <c r="D584" s="106" t="s">
        <v>3881</v>
      </c>
      <c r="E584" s="106" t="s">
        <v>3882</v>
      </c>
      <c r="F584" s="106" t="s">
        <v>3883</v>
      </c>
      <c r="G584" s="106" t="s">
        <v>1006</v>
      </c>
      <c r="H584" s="106" t="s">
        <v>3868</v>
      </c>
      <c r="I584" s="106" t="s">
        <v>3884</v>
      </c>
      <c r="K584" s="106" t="s">
        <v>3885</v>
      </c>
      <c r="L584" s="106" t="s">
        <v>3886</v>
      </c>
      <c r="O584" s="106" t="s">
        <v>274</v>
      </c>
      <c r="P584" s="106" t="s">
        <v>3887</v>
      </c>
      <c r="Q584" s="106" t="s">
        <v>409</v>
      </c>
      <c r="S584" s="106" t="str" cm="1">
        <f t="array" ref="S584">IF(TRIM($D584)="","(tidak diisi)",IFERROR(INDEX(Kamus!$B$3:$B$28,MATCH(TRUE,ISNUMBER(SEARCH(Kamus!$A$3:$A$28,$D584)),0)),"Jabatan Lainnya"))</f>
        <v>Wakil Ketua Pengadilan</v>
      </c>
      <c r="T584" s="106" t="str" cm="1">
        <f t="array" ref="T584">IF(TRIM($I584)="","(tidak diisi)",IFERROR(INDEX(Kamus!$E$3:$E$162,MATCH(TRUE,ISNUMBER(SEARCH(Kamus!$D$3:$D$162,$I584)),0)),"Barang Lain / Tidak Terinci"))</f>
        <v>Makanan &amp; Minuman</v>
      </c>
      <c r="U584" s="106" t="str" cm="1">
        <f t="array" ref="U584">IF(TRIM($I584)="","(tidak diisi)",IFERROR(INDEX(Kamus!$H$3:$H$75,MATCH(TRUE,ISNUMBER(SEARCH(Kamus!$G$3:$G$75,$I584)),0)),"Pemberian Umum / Tanpa Konteks"))</f>
        <v>Pemberian Umum / Tanpa Konteks</v>
      </c>
      <c r="V584" s="106" t="str">
        <f t="shared" si="27"/>
        <v>2025</v>
      </c>
      <c r="W584" s="106" t="str" cm="1">
        <f t="array" ref="W584">IF(TRIM($K584)="","(tidak diisi)",IFERROR(INDEX(Kamus!$K$3:$K$118,MATCH(TRUE,ISNUMBER(SEARCH(Kamus!$J$3:$J$118,$K584)),0)),"Individu / Perorangan"))</f>
        <v>Individu / Perorangan</v>
      </c>
      <c r="X584" s="106" t="str">
        <f t="shared" si="28"/>
        <v>11</v>
      </c>
      <c r="Y584" s="106" t="str" cm="1">
        <f t="array" ref="Y584">IFERROR(INDEX(Kamus!$N$3:$N$111,MATCH(TRUE,ISNUMBER(SEARCH(Kamus!$M$3:$M$111,$I584)),0)),"")</f>
        <v/>
      </c>
      <c r="Z584" s="106" t="str">
        <f>IF(AND(OR($X584="02",$X584="03",$X584="04"),OR($T584="Parsel/Bingkisan (tidak dirinci)",$T584="Makanan &amp; Minuman",$T584="Peralatan Rumah Tangga / Pecah Belah",$T584="Pakaian &amp; Kain")),"Momen Hari Raya (dugaan musiman)",IFERROR(VLOOKUP($W584,Kamus!$P$3:$Q$14,2,FALSE),"Tidak Teridentifikasi"))</f>
        <v>Relasi Personal / Tidak Teridentifikasi</v>
      </c>
      <c r="AA584" s="106" t="str">
        <f t="shared" si="29"/>
        <v>Relasi Personal / Tidak Teridentifikasi</v>
      </c>
    </row>
    <row r="585" spans="1:27">
      <c r="A585" s="106">
        <v>584</v>
      </c>
      <c r="B585" s="106" t="s">
        <v>3879</v>
      </c>
      <c r="C585" s="107" t="s">
        <v>3880</v>
      </c>
      <c r="D585" s="106" t="s">
        <v>3881</v>
      </c>
      <c r="E585" s="106" t="s">
        <v>3882</v>
      </c>
      <c r="F585" s="106" t="s">
        <v>3888</v>
      </c>
      <c r="G585" s="106" t="s">
        <v>1006</v>
      </c>
      <c r="H585" s="106" t="s">
        <v>3889</v>
      </c>
      <c r="I585" s="106" t="s">
        <v>1492</v>
      </c>
      <c r="K585" s="106" t="s">
        <v>3890</v>
      </c>
      <c r="L585" s="106" t="s">
        <v>3891</v>
      </c>
      <c r="O585" s="106" t="s">
        <v>274</v>
      </c>
      <c r="P585" s="106" t="s">
        <v>3887</v>
      </c>
      <c r="Q585" s="106" t="s">
        <v>409</v>
      </c>
      <c r="S585" s="106" t="str" cm="1">
        <f t="array" ref="S585">IF(TRIM($D585)="","(tidak diisi)",IFERROR(INDEX(Kamus!$B$3:$B$28,MATCH(TRUE,ISNUMBER(SEARCH(Kamus!$A$3:$A$28,$D585)),0)),"Jabatan Lainnya"))</f>
        <v>Wakil Ketua Pengadilan</v>
      </c>
      <c r="T585" s="106" t="str" cm="1">
        <f t="array" ref="T585">IF(TRIM($I585)="","(tidak diisi)",IFERROR(INDEX(Kamus!$E$3:$E$162,MATCH(TRUE,ISNUMBER(SEARCH(Kamus!$D$3:$D$162,$I585)),0)),"Barang Lain / Tidak Terinci"))</f>
        <v>Pakaian &amp; Kain</v>
      </c>
      <c r="U585" s="106" t="str" cm="1">
        <f t="array" ref="U585">IF(TRIM($I585)="","(tidak diisi)",IFERROR(INDEX(Kamus!$H$3:$H$75,MATCH(TRUE,ISNUMBER(SEARCH(Kamus!$G$3:$G$75,$I585)),0)),"Pemberian Umum / Tanpa Konteks"))</f>
        <v>Pemberian Umum / Tanpa Konteks</v>
      </c>
      <c r="V585" s="106" t="str">
        <f t="shared" si="27"/>
        <v>2025</v>
      </c>
      <c r="W585" s="106" t="str" cm="1">
        <f t="array" ref="W585">IF(TRIM($K585)="","(tidak diisi)",IFERROR(INDEX(Kamus!$K$3:$K$118,MATCH(TRUE,ISNUMBER(SEARCH(Kamus!$J$3:$J$118,$K585)),0)),"Individu / Perorangan"))</f>
        <v>Individu / Perorangan</v>
      </c>
      <c r="X585" s="106" t="str">
        <f t="shared" si="28"/>
        <v>11</v>
      </c>
      <c r="Y585" s="106" t="str" cm="1">
        <f t="array" ref="Y585">IFERROR(INDEX(Kamus!$N$3:$N$111,MATCH(TRUE,ISNUMBER(SEARCH(Kamus!$M$3:$M$111,$I585)),0)),"")</f>
        <v/>
      </c>
      <c r="Z585" s="106" t="str">
        <f>IF(AND(OR($X585="02",$X585="03",$X585="04"),OR($T585="Parsel/Bingkisan (tidak dirinci)",$T585="Makanan &amp; Minuman",$T585="Peralatan Rumah Tangga / Pecah Belah",$T585="Pakaian &amp; Kain")),"Momen Hari Raya (dugaan musiman)",IFERROR(VLOOKUP($W585,Kamus!$P$3:$Q$14,2,FALSE),"Tidak Teridentifikasi"))</f>
        <v>Relasi Personal / Tidak Teridentifikasi</v>
      </c>
      <c r="AA585" s="106" t="str">
        <f t="shared" si="29"/>
        <v>Relasi Personal / Tidak Teridentifikasi</v>
      </c>
    </row>
    <row r="586" spans="1:27">
      <c r="A586" s="106">
        <v>585</v>
      </c>
      <c r="B586" s="106" t="s">
        <v>3879</v>
      </c>
      <c r="C586" s="107" t="s">
        <v>3880</v>
      </c>
      <c r="D586" s="106" t="s">
        <v>3881</v>
      </c>
      <c r="E586" s="106" t="s">
        <v>3882</v>
      </c>
      <c r="F586" s="106" t="s">
        <v>3892</v>
      </c>
      <c r="G586" s="106" t="s">
        <v>1006</v>
      </c>
      <c r="H586" s="106" t="s">
        <v>3823</v>
      </c>
      <c r="I586" s="106" t="s">
        <v>3893</v>
      </c>
      <c r="K586" s="106" t="s">
        <v>3894</v>
      </c>
      <c r="L586" s="106" t="s">
        <v>3895</v>
      </c>
      <c r="O586" s="106" t="s">
        <v>274</v>
      </c>
      <c r="P586" s="106" t="s">
        <v>3887</v>
      </c>
      <c r="Q586" s="106" t="s">
        <v>409</v>
      </c>
      <c r="S586" s="106" t="str" cm="1">
        <f t="array" ref="S586">IF(TRIM($D586)="","(tidak diisi)",IFERROR(INDEX(Kamus!$B$3:$B$28,MATCH(TRUE,ISNUMBER(SEARCH(Kamus!$A$3:$A$28,$D586)),0)),"Jabatan Lainnya"))</f>
        <v>Wakil Ketua Pengadilan</v>
      </c>
      <c r="T586" s="106" t="str" cm="1">
        <f t="array" ref="T586">IF(TRIM($I586)="","(tidak diisi)",IFERROR(INDEX(Kamus!$E$3:$E$162,MATCH(TRUE,ISNUMBER(SEARCH(Kamus!$D$3:$D$162,$I586)),0)),"Barang Lain / Tidak Terinci"))</f>
        <v>Karangan Bunga / Ucapan</v>
      </c>
      <c r="U586" s="106" t="str" cm="1">
        <f t="array" ref="U586">IF(TRIM($I586)="","(tidak diisi)",IFERROR(INDEX(Kamus!$H$3:$H$75,MATCH(TRUE,ISNUMBER(SEARCH(Kamus!$G$3:$G$75,$I586)),0)),"Pemberian Umum / Tanpa Konteks"))</f>
        <v>Ucapan Duka/Selamat (Karangan Bunga)</v>
      </c>
      <c r="V586" s="106" t="str">
        <f t="shared" si="27"/>
        <v>2025</v>
      </c>
      <c r="W586" s="106" t="str" cm="1">
        <f t="array" ref="W586">IF(TRIM($K586)="","(tidak diisi)",IFERROR(INDEX(Kamus!$K$3:$K$118,MATCH(TRUE,ISNUMBER(SEARCH(Kamus!$J$3:$J$118,$K586)),0)),"Individu / Perorangan"))</f>
        <v>Individu / Perorangan</v>
      </c>
      <c r="X586" s="106" t="str">
        <f t="shared" si="28"/>
        <v>11</v>
      </c>
      <c r="Y586" s="106" t="str" cm="1">
        <f t="array" ref="Y586">IFERROR(INDEX(Kamus!$N$3:$N$111,MATCH(TRUE,ISNUMBER(SEARCH(Kamus!$M$3:$M$111,$I586)),0)),"")</f>
        <v>Ucapan Selamat/Duka atas Acara Instansi</v>
      </c>
      <c r="Z586" s="106" t="str">
        <f>IF(AND(OR($X586="02",$X586="03",$X586="04"),OR($T586="Parsel/Bingkisan (tidak dirinci)",$T586="Makanan &amp; Minuman",$T586="Peralatan Rumah Tangga / Pecah Belah",$T586="Pakaian &amp; Kain")),"Momen Hari Raya (dugaan musiman)",IFERROR(VLOOKUP($W586,Kamus!$P$3:$Q$14,2,FALSE),"Tidak Teridentifikasi"))</f>
        <v>Relasi Personal / Tidak Teridentifikasi</v>
      </c>
      <c r="AA586" s="106" t="str">
        <f t="shared" si="29"/>
        <v>Ucapan Selamat/Duka atas Acara Instansi</v>
      </c>
    </row>
    <row r="587" spans="1:27">
      <c r="A587" s="106">
        <v>586</v>
      </c>
      <c r="B587" s="106" t="s">
        <v>3896</v>
      </c>
      <c r="C587" s="107" t="s">
        <v>3897</v>
      </c>
      <c r="D587" s="106" t="s">
        <v>3375</v>
      </c>
      <c r="E587" s="106" t="s">
        <v>3898</v>
      </c>
      <c r="F587" s="106" t="s">
        <v>3899</v>
      </c>
      <c r="G587" s="106" t="s">
        <v>1006</v>
      </c>
      <c r="H587" s="106" t="s">
        <v>3900</v>
      </c>
      <c r="I587" s="106" t="s">
        <v>3901</v>
      </c>
      <c r="K587" s="106" t="s">
        <v>3902</v>
      </c>
      <c r="L587" s="106" t="s">
        <v>3903</v>
      </c>
      <c r="O587" s="106" t="s">
        <v>274</v>
      </c>
      <c r="P587" s="106" t="s">
        <v>2012</v>
      </c>
      <c r="Q587" s="106" t="s">
        <v>308</v>
      </c>
      <c r="S587" s="106" t="str" cm="1">
        <f t="array" ref="S587">IF(TRIM($D587)="","(tidak diisi)",IFERROR(INDEX(Kamus!$B$3:$B$28,MATCH(TRUE,ISNUMBER(SEARCH(Kamus!$A$3:$A$28,$D587)),0)),"Jabatan Lainnya"))</f>
        <v>Staf/Pegawai Pelaksana</v>
      </c>
      <c r="T587" s="106" t="str" cm="1">
        <f t="array" ref="T587">IF(TRIM($I587)="","(tidak diisi)",IFERROR(INDEX(Kamus!$E$3:$E$162,MATCH(TRUE,ISNUMBER(SEARCH(Kamus!$D$3:$D$162,$I587)),0)),"Barang Lain / Tidak Terinci"))</f>
        <v>Makanan &amp; Minuman</v>
      </c>
      <c r="U587" s="106" t="str" cm="1">
        <f t="array" ref="U587">IF(TRIM($I587)="","(tidak diisi)",IFERROR(INDEX(Kamus!$H$3:$H$75,MATCH(TRUE,ISNUMBER(SEARCH(Kamus!$G$3:$G$75,$I587)),0)),"Pemberian Umum / Tanpa Konteks"))</f>
        <v>Pemberian Umum / Tanpa Konteks</v>
      </c>
      <c r="V587" s="106" t="str">
        <f t="shared" si="27"/>
        <v>2025</v>
      </c>
      <c r="W587" s="106" t="str" cm="1">
        <f t="array" ref="W587">IF(TRIM($K587)="","(tidak diisi)",IFERROR(INDEX(Kamus!$K$3:$K$118,MATCH(TRUE,ISNUMBER(SEARCH(Kamus!$J$3:$J$118,$K587)),0)),"Individu / Perorangan"))</f>
        <v>Individu / Perorangan</v>
      </c>
      <c r="X587" s="106" t="str">
        <f t="shared" si="28"/>
        <v>11</v>
      </c>
      <c r="Y587" s="106" t="str" cm="1">
        <f t="array" ref="Y587">IFERROR(INDEX(Kamus!$N$3:$N$111,MATCH(TRUE,ISNUMBER(SEARCH(Kamus!$M$3:$M$111,$I587)),0)),"")</f>
        <v/>
      </c>
      <c r="Z587" s="106" t="str">
        <f>IF(AND(OR($X587="02",$X587="03",$X587="04"),OR($T587="Parsel/Bingkisan (tidak dirinci)",$T587="Makanan &amp; Minuman",$T587="Peralatan Rumah Tangga / Pecah Belah",$T587="Pakaian &amp; Kain")),"Momen Hari Raya (dugaan musiman)",IFERROR(VLOOKUP($W587,Kamus!$P$3:$Q$14,2,FALSE),"Tidak Teridentifikasi"))</f>
        <v>Relasi Personal / Tidak Teridentifikasi</v>
      </c>
      <c r="AA587" s="106" t="str">
        <f t="shared" si="29"/>
        <v>Relasi Personal / Tidak Teridentifikasi</v>
      </c>
    </row>
    <row r="588" spans="1:27">
      <c r="A588" s="106">
        <v>587</v>
      </c>
      <c r="B588" s="106" t="s">
        <v>2661</v>
      </c>
      <c r="C588" s="107" t="s">
        <v>2662</v>
      </c>
      <c r="D588" s="106" t="s">
        <v>1033</v>
      </c>
      <c r="E588" s="106" t="s">
        <v>2663</v>
      </c>
      <c r="F588" s="106" t="s">
        <v>3904</v>
      </c>
      <c r="G588" s="106" t="s">
        <v>1074</v>
      </c>
      <c r="H588" s="106" t="s">
        <v>3905</v>
      </c>
      <c r="I588" s="106" t="s">
        <v>3906</v>
      </c>
      <c r="K588" s="106" t="s">
        <v>3907</v>
      </c>
      <c r="L588" s="106" t="s">
        <v>3908</v>
      </c>
      <c r="O588" s="106" t="s">
        <v>274</v>
      </c>
      <c r="P588" s="106" t="s">
        <v>2668</v>
      </c>
      <c r="Q588" s="106" t="s">
        <v>395</v>
      </c>
      <c r="S588" s="106" t="str" cm="1">
        <f t="array" ref="S588">IF(TRIM($D588)="","(tidak diisi)",IFERROR(INDEX(Kamus!$B$3:$B$28,MATCH(TRUE,ISNUMBER(SEARCH(Kamus!$A$3:$A$28,$D588)),0)),"Jabatan Lainnya"))</f>
        <v>Hakim</v>
      </c>
      <c r="T588" s="106" t="str" cm="1">
        <f t="array" ref="T588">IF(TRIM($I588)="","(tidak diisi)",IFERROR(INDEX(Kamus!$E$3:$E$162,MATCH(TRUE,ISNUMBER(SEARCH(Kamus!$D$3:$D$162,$I588)),0)),"Barang Lain / Tidak Terinci"))</f>
        <v>Makanan &amp; Minuman</v>
      </c>
      <c r="U588" s="106" t="str" cm="1">
        <f t="array" ref="U588">IF(TRIM($I588)="","(tidak diisi)",IFERROR(INDEX(Kamus!$H$3:$H$75,MATCH(TRUE,ISNUMBER(SEARCH(Kamus!$G$3:$G$75,$I588)),0)),"Pemberian Umum / Tanpa Konteks"))</f>
        <v>Pemberian Umum / Tanpa Konteks</v>
      </c>
      <c r="V588" s="106" t="str">
        <f t="shared" si="27"/>
        <v>2025</v>
      </c>
      <c r="W588" s="106" t="str" cm="1">
        <f t="array" ref="W588">IF(TRIM($K588)="","(tidak diisi)",IFERROR(INDEX(Kamus!$K$3:$K$118,MATCH(TRUE,ISNUMBER(SEARCH(Kamus!$J$3:$J$118,$K588)),0)),"Individu / Perorangan"))</f>
        <v>Individu / Perorangan</v>
      </c>
      <c r="X588" s="106" t="str">
        <f t="shared" si="28"/>
        <v>11</v>
      </c>
      <c r="Y588" s="106" t="str" cm="1">
        <f t="array" ref="Y588">IFERROR(INDEX(Kamus!$N$3:$N$111,MATCH(TRUE,ISNUMBER(SEARCH(Kamus!$M$3:$M$111,$I588)),0)),"")</f>
        <v/>
      </c>
      <c r="Z588" s="106" t="str">
        <f>IF(AND(OR($X588="02",$X588="03",$X588="04"),OR($T588="Parsel/Bingkisan (tidak dirinci)",$T588="Makanan &amp; Minuman",$T588="Peralatan Rumah Tangga / Pecah Belah",$T588="Pakaian &amp; Kain")),"Momen Hari Raya (dugaan musiman)",IFERROR(VLOOKUP($W588,Kamus!$P$3:$Q$14,2,FALSE),"Tidak Teridentifikasi"))</f>
        <v>Relasi Personal / Tidak Teridentifikasi</v>
      </c>
      <c r="AA588" s="106" t="str">
        <f t="shared" si="29"/>
        <v>Relasi Personal / Tidak Teridentifikasi</v>
      </c>
    </row>
    <row r="589" spans="1:27">
      <c r="A589" s="106">
        <v>588</v>
      </c>
      <c r="B589" s="106" t="s">
        <v>1722</v>
      </c>
      <c r="C589" s="107" t="s">
        <v>1723</v>
      </c>
      <c r="D589" s="106" t="s">
        <v>1208</v>
      </c>
      <c r="E589" s="106" t="s">
        <v>1166</v>
      </c>
      <c r="G589" s="106" t="s">
        <v>1006</v>
      </c>
      <c r="L589" s="106" t="s">
        <v>3909</v>
      </c>
      <c r="O589" s="106" t="s">
        <v>274</v>
      </c>
      <c r="P589" s="106" t="s">
        <v>1173</v>
      </c>
      <c r="Q589" s="106" t="s">
        <v>431</v>
      </c>
      <c r="S589" s="106" t="str" cm="1">
        <f t="array" ref="S589">IF(TRIM($D589)="","(tidak diisi)",IFERROR(INDEX(Kamus!$B$3:$B$28,MATCH(TRUE,ISNUMBER(SEARCH(Kamus!$A$3:$A$28,$D589)),0)),"Jabatan Lainnya"))</f>
        <v>Staf/Pegawai Pelaksana</v>
      </c>
      <c r="T589" s="106" t="str" cm="1">
        <f t="array" ref="T589">IF(TRIM($I589)="","(tidak diisi)",IFERROR(INDEX(Kamus!$E$3:$E$162,MATCH(TRUE,ISNUMBER(SEARCH(Kamus!$D$3:$D$162,$I589)),0)),"Barang Lain / Tidak Terinci"))</f>
        <v>(tidak diisi)</v>
      </c>
      <c r="U589" s="106" t="str" cm="1">
        <f t="array" ref="U589">IF(TRIM($I589)="","(tidak diisi)",IFERROR(INDEX(Kamus!$H$3:$H$75,MATCH(TRUE,ISNUMBER(SEARCH(Kamus!$G$3:$G$75,$I589)),0)),"Pemberian Umum / Tanpa Konteks"))</f>
        <v>(tidak diisi)</v>
      </c>
      <c r="V589" s="106" t="str">
        <f t="shared" si="27"/>
        <v>(tidak diisi)</v>
      </c>
      <c r="W589" s="106" t="str" cm="1">
        <f t="array" ref="W589">IF(TRIM($K589)="","(tidak diisi)",IFERROR(INDEX(Kamus!$K$3:$K$118,MATCH(TRUE,ISNUMBER(SEARCH(Kamus!$J$3:$J$118,$K589)),0)),"Individu / Perorangan"))</f>
        <v>(tidak diisi)</v>
      </c>
      <c r="X589" s="106" t="str">
        <f t="shared" si="28"/>
        <v>(tidak diisi)</v>
      </c>
      <c r="Y589" s="106" t="str" cm="1">
        <f t="array" ref="Y589">IFERROR(INDEX(Kamus!$N$3:$N$111,MATCH(TRUE,ISNUMBER(SEARCH(Kamus!$M$3:$M$111,$I589)),0)),"")</f>
        <v/>
      </c>
      <c r="Z589" s="106" t="str">
        <f>IF(AND(OR($X589="02",$X589="03",$X589="04"),OR($T589="Parsel/Bingkisan (tidak dirinci)",$T589="Makanan &amp; Minuman",$T589="Peralatan Rumah Tangga / Pecah Belah",$T589="Pakaian &amp; Kain")),"Momen Hari Raya (dugaan musiman)",IFERROR(VLOOKUP($W589,Kamus!$P$3:$Q$14,2,FALSE),"Tidak Teridentifikasi"))</f>
        <v>Tidak Teridentifikasi</v>
      </c>
      <c r="AA589" s="106" t="str">
        <f t="shared" si="29"/>
        <v>Tidak Teridentifikasi</v>
      </c>
    </row>
    <row r="590" spans="1:27">
      <c r="A590" s="106">
        <v>589</v>
      </c>
      <c r="B590" s="106" t="s">
        <v>3910</v>
      </c>
      <c r="C590" s="107" t="s">
        <v>3911</v>
      </c>
      <c r="D590" s="106" t="s">
        <v>1033</v>
      </c>
      <c r="E590" s="106" t="s">
        <v>1005</v>
      </c>
      <c r="F590" s="106" t="s">
        <v>3912</v>
      </c>
      <c r="G590" s="106" t="s">
        <v>1006</v>
      </c>
      <c r="H590" s="106" t="s">
        <v>3905</v>
      </c>
      <c r="I590" s="106" t="s">
        <v>3913</v>
      </c>
      <c r="J590" s="106">
        <v>100000</v>
      </c>
      <c r="K590" s="106" t="s">
        <v>3914</v>
      </c>
      <c r="L590" s="106" t="s">
        <v>3915</v>
      </c>
      <c r="M590" s="106" t="s">
        <v>1171</v>
      </c>
      <c r="N590" s="106" t="s">
        <v>3916</v>
      </c>
      <c r="O590" s="106" t="s">
        <v>274</v>
      </c>
      <c r="S590" s="106" t="str" cm="1">
        <f t="array" ref="S590">IF(TRIM($D590)="","(tidak diisi)",IFERROR(INDEX(Kamus!$B$3:$B$28,MATCH(TRUE,ISNUMBER(SEARCH(Kamus!$A$3:$A$28,$D590)),0)),"Jabatan Lainnya"))</f>
        <v>Hakim</v>
      </c>
      <c r="T590" s="106" t="str" cm="1">
        <f t="array" ref="T590">IF(TRIM($I590)="","(tidak diisi)",IFERROR(INDEX(Kamus!$E$3:$E$162,MATCH(TRUE,ISNUMBER(SEARCH(Kamus!$D$3:$D$162,$I590)),0)),"Barang Lain / Tidak Terinci"))</f>
        <v>Pakaian &amp; Kain</v>
      </c>
      <c r="U590" s="106" t="str" cm="1">
        <f t="array" ref="U590">IF(TRIM($I590)="","(tidak diisi)",IFERROR(INDEX(Kamus!$H$3:$H$75,MATCH(TRUE,ISNUMBER(SEARCH(Kamus!$G$3:$G$75,$I590)),0)),"Pemberian Umum / Tanpa Konteks"))</f>
        <v>Oleh-oleh / Buah Tangan Perjalanan</v>
      </c>
      <c r="V590" s="106" t="str">
        <f t="shared" si="27"/>
        <v>2025</v>
      </c>
      <c r="W590" s="106" t="str" cm="1">
        <f t="array" ref="W590">IF(TRIM($K590)="","(tidak diisi)",IFERROR(INDEX(Kamus!$K$3:$K$118,MATCH(TRUE,ISNUMBER(SEARCH(Kamus!$J$3:$J$118,$K590)),0)),"Individu / Perorangan"))</f>
        <v>Individu / Perorangan</v>
      </c>
      <c r="X590" s="106" t="str">
        <f t="shared" si="28"/>
        <v>11</v>
      </c>
      <c r="Y590" s="106" t="str" cm="1">
        <f t="array" ref="Y590">IFERROR(INDEX(Kamus!$N$3:$N$111,MATCH(TRUE,ISNUMBER(SEARCH(Kamus!$M$3:$M$111,$I590)),0)),"")</f>
        <v/>
      </c>
      <c r="Z590" s="106" t="str">
        <f>IF(AND(OR($X590="02",$X590="03",$X590="04"),OR($T590="Parsel/Bingkisan (tidak dirinci)",$T590="Makanan &amp; Minuman",$T590="Peralatan Rumah Tangga / Pecah Belah",$T590="Pakaian &amp; Kain")),"Momen Hari Raya (dugaan musiman)",IFERROR(VLOOKUP($W590,Kamus!$P$3:$Q$14,2,FALSE),"Tidak Teridentifikasi"))</f>
        <v>Relasi Personal / Tidak Teridentifikasi</v>
      </c>
      <c r="AA590" s="106" t="str">
        <f t="shared" si="29"/>
        <v>Relasi Personal / Tidak Teridentifikasi</v>
      </c>
    </row>
    <row r="591" spans="1:27">
      <c r="A591" s="106">
        <v>590</v>
      </c>
      <c r="B591" s="106" t="s">
        <v>3917</v>
      </c>
      <c r="C591" s="107" t="s">
        <v>3918</v>
      </c>
      <c r="D591" s="106" t="s">
        <v>3919</v>
      </c>
      <c r="E591" s="106" t="s">
        <v>2550</v>
      </c>
      <c r="F591" s="106" t="s">
        <v>3920</v>
      </c>
      <c r="G591" s="106" t="s">
        <v>1006</v>
      </c>
      <c r="H591" s="106" t="s">
        <v>3905</v>
      </c>
      <c r="I591" s="106" t="s">
        <v>3921</v>
      </c>
      <c r="J591" s="106">
        <v>100000</v>
      </c>
      <c r="K591" s="106" t="s">
        <v>3914</v>
      </c>
      <c r="L591" s="106" t="s">
        <v>3922</v>
      </c>
      <c r="M591" s="106" t="s">
        <v>1039</v>
      </c>
      <c r="O591" s="106" t="s">
        <v>274</v>
      </c>
      <c r="P591" s="106" t="s">
        <v>2554</v>
      </c>
      <c r="Q591" s="106" t="s">
        <v>372</v>
      </c>
      <c r="S591" s="106" t="str" cm="1">
        <f t="array" ref="S591">IF(TRIM($D591)="","(tidak diisi)",IFERROR(INDEX(Kamus!$B$3:$B$28,MATCH(TRUE,ISNUMBER(SEARCH(Kamus!$A$3:$A$28,$D591)),0)),"Jabatan Lainnya"))</f>
        <v>Staf/Pegawai Pelaksana</v>
      </c>
      <c r="T591" s="106" t="str" cm="1">
        <f t="array" ref="T591">IF(TRIM($I591)="","(tidak diisi)",IFERROR(INDEX(Kamus!$E$3:$E$162,MATCH(TRUE,ISNUMBER(SEARCH(Kamus!$D$3:$D$162,$I591)),0)),"Barang Lain / Tidak Terinci"))</f>
        <v>Pakaian &amp; Kain</v>
      </c>
      <c r="U591" s="106" t="str" cm="1">
        <f t="array" ref="U591">IF(TRIM($I591)="","(tidak diisi)",IFERROR(INDEX(Kamus!$H$3:$H$75,MATCH(TRUE,ISNUMBER(SEARCH(Kamus!$G$3:$G$75,$I591)),0)),"Pemberian Umum / Tanpa Konteks"))</f>
        <v>Oleh-oleh / Buah Tangan Perjalanan</v>
      </c>
      <c r="V591" s="106" t="str">
        <f t="shared" si="27"/>
        <v>2025</v>
      </c>
      <c r="W591" s="106" t="str" cm="1">
        <f t="array" ref="W591">IF(TRIM($K591)="","(tidak diisi)",IFERROR(INDEX(Kamus!$K$3:$K$118,MATCH(TRUE,ISNUMBER(SEARCH(Kamus!$J$3:$J$118,$K591)),0)),"Individu / Perorangan"))</f>
        <v>Individu / Perorangan</v>
      </c>
      <c r="X591" s="106" t="str">
        <f t="shared" si="28"/>
        <v>11</v>
      </c>
      <c r="Y591" s="106" t="str" cm="1">
        <f t="array" ref="Y591">IFERROR(INDEX(Kamus!$N$3:$N$111,MATCH(TRUE,ISNUMBER(SEARCH(Kamus!$M$3:$M$111,$I591)),0)),"")</f>
        <v/>
      </c>
      <c r="Z591" s="106" t="str">
        <f>IF(AND(OR($X591="02",$X591="03",$X591="04"),OR($T591="Parsel/Bingkisan (tidak dirinci)",$T591="Makanan &amp; Minuman",$T591="Peralatan Rumah Tangga / Pecah Belah",$T591="Pakaian &amp; Kain")),"Momen Hari Raya (dugaan musiman)",IFERROR(VLOOKUP($W591,Kamus!$P$3:$Q$14,2,FALSE),"Tidak Teridentifikasi"))</f>
        <v>Relasi Personal / Tidak Teridentifikasi</v>
      </c>
      <c r="AA591" s="106" t="str">
        <f t="shared" si="29"/>
        <v>Relasi Personal / Tidak Teridentifikasi</v>
      </c>
    </row>
    <row r="592" spans="1:27">
      <c r="A592" s="106">
        <v>591</v>
      </c>
      <c r="B592" s="106" t="s">
        <v>3923</v>
      </c>
      <c r="C592" s="107" t="s">
        <v>3924</v>
      </c>
      <c r="D592" s="106" t="s">
        <v>3925</v>
      </c>
      <c r="E592" s="106" t="s">
        <v>2550</v>
      </c>
      <c r="F592" s="106" t="s">
        <v>3926</v>
      </c>
      <c r="G592" s="106" t="s">
        <v>1006</v>
      </c>
      <c r="H592" s="106" t="s">
        <v>3905</v>
      </c>
      <c r="I592" s="106" t="s">
        <v>3927</v>
      </c>
      <c r="J592" s="106">
        <v>100000</v>
      </c>
      <c r="K592" s="106" t="s">
        <v>3914</v>
      </c>
      <c r="L592" s="106" t="s">
        <v>3928</v>
      </c>
      <c r="M592" s="106" t="s">
        <v>1039</v>
      </c>
      <c r="O592" s="106" t="s">
        <v>274</v>
      </c>
      <c r="P592" s="106" t="s">
        <v>2554</v>
      </c>
      <c r="Q592" s="106" t="s">
        <v>372</v>
      </c>
      <c r="S592" s="106" t="str" cm="1">
        <f t="array" ref="S592">IF(TRIM($D592)="","(tidak diisi)",IFERROR(INDEX(Kamus!$B$3:$B$28,MATCH(TRUE,ISNUMBER(SEARCH(Kamus!$A$3:$A$28,$D592)),0)),"Jabatan Lainnya"))</f>
        <v>Staf/Pegawai Pelaksana</v>
      </c>
      <c r="T592" s="106" t="str" cm="1">
        <f t="array" ref="T592">IF(TRIM($I592)="","(tidak diisi)",IFERROR(INDEX(Kamus!$E$3:$E$162,MATCH(TRUE,ISNUMBER(SEARCH(Kamus!$D$3:$D$162,$I592)),0)),"Barang Lain / Tidak Terinci"))</f>
        <v>Pakaian &amp; Kain</v>
      </c>
      <c r="U592" s="106" t="str" cm="1">
        <f t="array" ref="U592">IF(TRIM($I592)="","(tidak diisi)",IFERROR(INDEX(Kamus!$H$3:$H$75,MATCH(TRUE,ISNUMBER(SEARCH(Kamus!$G$3:$G$75,$I592)),0)),"Pemberian Umum / Tanpa Konteks"))</f>
        <v>Oleh-oleh / Buah Tangan Perjalanan</v>
      </c>
      <c r="V592" s="106" t="str">
        <f t="shared" si="27"/>
        <v>2025</v>
      </c>
      <c r="W592" s="106" t="str" cm="1">
        <f t="array" ref="W592">IF(TRIM($K592)="","(tidak diisi)",IFERROR(INDEX(Kamus!$K$3:$K$118,MATCH(TRUE,ISNUMBER(SEARCH(Kamus!$J$3:$J$118,$K592)),0)),"Individu / Perorangan"))</f>
        <v>Individu / Perorangan</v>
      </c>
      <c r="X592" s="106" t="str">
        <f t="shared" si="28"/>
        <v>11</v>
      </c>
      <c r="Y592" s="106" t="str" cm="1">
        <f t="array" ref="Y592">IFERROR(INDEX(Kamus!$N$3:$N$111,MATCH(TRUE,ISNUMBER(SEARCH(Kamus!$M$3:$M$111,$I592)),0)),"")</f>
        <v/>
      </c>
      <c r="Z592" s="106" t="str">
        <f>IF(AND(OR($X592="02",$X592="03",$X592="04"),OR($T592="Parsel/Bingkisan (tidak dirinci)",$T592="Makanan &amp; Minuman",$T592="Peralatan Rumah Tangga / Pecah Belah",$T592="Pakaian &amp; Kain")),"Momen Hari Raya (dugaan musiman)",IFERROR(VLOOKUP($W592,Kamus!$P$3:$Q$14,2,FALSE),"Tidak Teridentifikasi"))</f>
        <v>Relasi Personal / Tidak Teridentifikasi</v>
      </c>
      <c r="AA592" s="106" t="str">
        <f t="shared" si="29"/>
        <v>Relasi Personal / Tidak Teridentifikasi</v>
      </c>
    </row>
    <row r="593" spans="1:27">
      <c r="A593" s="106">
        <v>592</v>
      </c>
      <c r="B593" s="106" t="s">
        <v>3929</v>
      </c>
      <c r="C593" s="107" t="s">
        <v>3930</v>
      </c>
      <c r="D593" s="106" t="s">
        <v>1013</v>
      </c>
      <c r="E593" s="106" t="s">
        <v>2550</v>
      </c>
      <c r="F593" s="106" t="s">
        <v>3931</v>
      </c>
      <c r="G593" s="106" t="s">
        <v>1006</v>
      </c>
      <c r="H593" s="106" t="s">
        <v>3905</v>
      </c>
      <c r="I593" s="106" t="s">
        <v>3932</v>
      </c>
      <c r="J593" s="106">
        <v>100000</v>
      </c>
      <c r="K593" s="106" t="s">
        <v>3914</v>
      </c>
      <c r="L593" s="106" t="s">
        <v>3933</v>
      </c>
      <c r="M593" s="106" t="s">
        <v>1039</v>
      </c>
      <c r="O593" s="106" t="s">
        <v>274</v>
      </c>
      <c r="P593" s="106" t="s">
        <v>2554</v>
      </c>
      <c r="Q593" s="106" t="s">
        <v>372</v>
      </c>
      <c r="S593" s="106" t="str" cm="1">
        <f t="array" ref="S593">IF(TRIM($D593)="","(tidak diisi)",IFERROR(INDEX(Kamus!$B$3:$B$28,MATCH(TRUE,ISNUMBER(SEARCH(Kamus!$A$3:$A$28,$D593)),0)),"Jabatan Lainnya"))</f>
        <v>Panitera</v>
      </c>
      <c r="T593" s="106" t="str" cm="1">
        <f t="array" ref="T593">IF(TRIM($I593)="","(tidak diisi)",IFERROR(INDEX(Kamus!$E$3:$E$162,MATCH(TRUE,ISNUMBER(SEARCH(Kamus!$D$3:$D$162,$I593)),0)),"Barang Lain / Tidak Terinci"))</f>
        <v>Pakaian &amp; Kain</v>
      </c>
      <c r="U593" s="106" t="str" cm="1">
        <f t="array" ref="U593">IF(TRIM($I593)="","(tidak diisi)",IFERROR(INDEX(Kamus!$H$3:$H$75,MATCH(TRUE,ISNUMBER(SEARCH(Kamus!$G$3:$G$75,$I593)),0)),"Pemberian Umum / Tanpa Konteks"))</f>
        <v>Oleh-oleh / Buah Tangan Perjalanan</v>
      </c>
      <c r="V593" s="106" t="str">
        <f t="shared" si="27"/>
        <v>2025</v>
      </c>
      <c r="W593" s="106" t="str" cm="1">
        <f t="array" ref="W593">IF(TRIM($K593)="","(tidak diisi)",IFERROR(INDEX(Kamus!$K$3:$K$118,MATCH(TRUE,ISNUMBER(SEARCH(Kamus!$J$3:$J$118,$K593)),0)),"Individu / Perorangan"))</f>
        <v>Individu / Perorangan</v>
      </c>
      <c r="X593" s="106" t="str">
        <f t="shared" si="28"/>
        <v>11</v>
      </c>
      <c r="Y593" s="106" t="str" cm="1">
        <f t="array" ref="Y593">IFERROR(INDEX(Kamus!$N$3:$N$111,MATCH(TRUE,ISNUMBER(SEARCH(Kamus!$M$3:$M$111,$I593)),0)),"")</f>
        <v/>
      </c>
      <c r="Z593" s="106" t="str">
        <f>IF(AND(OR($X593="02",$X593="03",$X593="04"),OR($T593="Parsel/Bingkisan (tidak dirinci)",$T593="Makanan &amp; Minuman",$T593="Peralatan Rumah Tangga / Pecah Belah",$T593="Pakaian &amp; Kain")),"Momen Hari Raya (dugaan musiman)",IFERROR(VLOOKUP($W593,Kamus!$P$3:$Q$14,2,FALSE),"Tidak Teridentifikasi"))</f>
        <v>Relasi Personal / Tidak Teridentifikasi</v>
      </c>
      <c r="AA593" s="106" t="str">
        <f t="shared" si="29"/>
        <v>Relasi Personal / Tidak Teridentifikasi</v>
      </c>
    </row>
    <row r="594" spans="1:27">
      <c r="A594" s="106">
        <v>593</v>
      </c>
      <c r="B594" s="106" t="s">
        <v>1197</v>
      </c>
      <c r="C594" s="107" t="s">
        <v>1198</v>
      </c>
      <c r="D594" s="106" t="s">
        <v>1199</v>
      </c>
      <c r="E594" s="106" t="s">
        <v>1200</v>
      </c>
      <c r="F594" s="106" t="s">
        <v>3934</v>
      </c>
      <c r="G594" s="106" t="s">
        <v>1006</v>
      </c>
      <c r="H594" s="106" t="s">
        <v>3900</v>
      </c>
      <c r="I594" s="106" t="s">
        <v>3935</v>
      </c>
      <c r="J594" s="106">
        <v>3390000</v>
      </c>
      <c r="K594" s="106" t="s">
        <v>3936</v>
      </c>
      <c r="L594" s="106" t="s">
        <v>3937</v>
      </c>
      <c r="M594" s="106" t="s">
        <v>1110</v>
      </c>
      <c r="N594" s="106" t="s">
        <v>3938</v>
      </c>
      <c r="O594" s="106" t="s">
        <v>274</v>
      </c>
      <c r="P594" s="106" t="s">
        <v>1205</v>
      </c>
      <c r="Q594" s="106" t="s">
        <v>366</v>
      </c>
      <c r="S594" s="106" t="str" cm="1">
        <f t="array" ref="S594">IF(TRIM($D594)="","(tidak diisi)",IFERROR(INDEX(Kamus!$B$3:$B$28,MATCH(TRUE,ISNUMBER(SEARCH(Kamus!$A$3:$A$28,$D594)),0)),"Jabatan Lainnya"))</f>
        <v>Pimpinan Satker/Direktorat</v>
      </c>
      <c r="T594" s="106" t="str" cm="1">
        <f t="array" ref="T594">IF(TRIM($I594)="","(tidak diisi)",IFERROR(INDEX(Kamus!$E$3:$E$162,MATCH(TRUE,ISNUMBER(SEARCH(Kamus!$D$3:$D$162,$I594)),0)),"Barang Lain / Tidak Terinci"))</f>
        <v>Fasilitas &amp; Jasa</v>
      </c>
      <c r="U594" s="106" t="str" cm="1">
        <f t="array" ref="U594">IF(TRIM($I594)="","(tidak diisi)",IFERROR(INDEX(Kamus!$H$3:$H$75,MATCH(TRUE,ISNUMBER(SEARCH(Kamus!$G$3:$G$75,$I594)),0)),"Pemberian Umum / Tanpa Konteks"))</f>
        <v>Pemberian Umum / Tanpa Konteks</v>
      </c>
      <c r="V594" s="106" t="str">
        <f t="shared" si="27"/>
        <v>2025</v>
      </c>
      <c r="W594" s="106" t="str" cm="1">
        <f t="array" ref="W594">IF(TRIM($K594)="","(tidak diisi)",IFERROR(INDEX(Kamus!$K$3:$K$118,MATCH(TRUE,ISNUMBER(SEARCH(Kamus!$J$3:$J$118,$K594)),0)),"Individu / Perorangan"))</f>
        <v>Individu / Perorangan</v>
      </c>
      <c r="X594" s="106" t="str">
        <f t="shared" si="28"/>
        <v>11</v>
      </c>
      <c r="Y594" s="106" t="str" cm="1">
        <f t="array" ref="Y594">IFERROR(INDEX(Kamus!$N$3:$N$111,MATCH(TRUE,ISNUMBER(SEARCH(Kamus!$M$3:$M$111,$I594)),0)),"")</f>
        <v/>
      </c>
      <c r="Z594" s="106" t="str">
        <f>IF(AND(OR($X594="02",$X594="03",$X594="04"),OR($T594="Parsel/Bingkisan (tidak dirinci)",$T594="Makanan &amp; Minuman",$T594="Peralatan Rumah Tangga / Pecah Belah",$T594="Pakaian &amp; Kain")),"Momen Hari Raya (dugaan musiman)",IFERROR(VLOOKUP($W594,Kamus!$P$3:$Q$14,2,FALSE),"Tidak Teridentifikasi"))</f>
        <v>Relasi Personal / Tidak Teridentifikasi</v>
      </c>
      <c r="AA594" s="106" t="str">
        <f t="shared" si="29"/>
        <v>Relasi Personal / Tidak Teridentifikasi</v>
      </c>
    </row>
    <row r="595" spans="1:27">
      <c r="A595" s="106">
        <v>594</v>
      </c>
      <c r="B595" s="106" t="s">
        <v>1040</v>
      </c>
      <c r="C595" s="107" t="s">
        <v>1041</v>
      </c>
      <c r="D595" s="106" t="s">
        <v>1042</v>
      </c>
      <c r="E595" s="106" t="s">
        <v>1043</v>
      </c>
      <c r="F595" s="106" t="s">
        <v>3939</v>
      </c>
      <c r="G595" s="106" t="s">
        <v>1006</v>
      </c>
      <c r="H595" s="106" t="s">
        <v>3940</v>
      </c>
      <c r="I595" s="106" t="s">
        <v>1017</v>
      </c>
      <c r="J595" s="106">
        <v>425000</v>
      </c>
      <c r="K595" s="106" t="s">
        <v>3941</v>
      </c>
      <c r="L595" s="106" t="s">
        <v>3942</v>
      </c>
      <c r="M595" s="106" t="s">
        <v>1020</v>
      </c>
      <c r="O595" s="106" t="s">
        <v>274</v>
      </c>
      <c r="P595" s="106" t="s">
        <v>1047</v>
      </c>
      <c r="Q595" s="106" t="s">
        <v>420</v>
      </c>
      <c r="S595" s="106" t="str" cm="1">
        <f t="array" ref="S595">IF(TRIM($D595)="","(tidak diisi)",IFERROR(INDEX(Kamus!$B$3:$B$28,MATCH(TRUE,ISNUMBER(SEARCH(Kamus!$A$3:$A$28,$D595)),0)),"Jabatan Lainnya"))</f>
        <v>Ketua Pengadilan</v>
      </c>
      <c r="T595" s="106" t="str" cm="1">
        <f t="array" ref="T595">IF(TRIM($I595)="","(tidak diisi)",IFERROR(INDEX(Kamus!$E$3:$E$162,MATCH(TRUE,ISNUMBER(SEARCH(Kamus!$D$3:$D$162,$I595)),0)),"Barang Lain / Tidak Terinci"))</f>
        <v>Uang &amp; Setara Uang</v>
      </c>
      <c r="U595" s="106" t="str" cm="1">
        <f t="array" ref="U595">IF(TRIM($I595)="","(tidak diisi)",IFERROR(INDEX(Kamus!$H$3:$H$75,MATCH(TRUE,ISNUMBER(SEARCH(Kamus!$G$3:$G$75,$I595)),0)),"Pemberian Umum / Tanpa Konteks"))</f>
        <v>Pemberian Uang Langsung</v>
      </c>
      <c r="V595" s="106" t="str">
        <f t="shared" si="27"/>
        <v>2025</v>
      </c>
      <c r="W595" s="106" t="str" cm="1">
        <f t="array" ref="W595">IF(TRIM($K595)="","(tidak diisi)",IFERROR(INDEX(Kamus!$K$3:$K$118,MATCH(TRUE,ISNUMBER(SEARCH(Kamus!$J$3:$J$118,$K595)),0)),"Individu / Perorangan"))</f>
        <v>Individu / Perorangan</v>
      </c>
      <c r="X595" s="106" t="str">
        <f t="shared" si="28"/>
        <v>11</v>
      </c>
      <c r="Y595" s="106" t="str" cm="1">
        <f t="array" ref="Y595">IFERROR(INDEX(Kamus!$N$3:$N$111,MATCH(TRUE,ISNUMBER(SEARCH(Kamus!$M$3:$M$111,$I595)),0)),"")</f>
        <v/>
      </c>
      <c r="Z595" s="106" t="str">
        <f>IF(AND(OR($X595="02",$X595="03",$X595="04"),OR($T595="Parsel/Bingkisan (tidak dirinci)",$T595="Makanan &amp; Minuman",$T595="Peralatan Rumah Tangga / Pecah Belah",$T595="Pakaian &amp; Kain")),"Momen Hari Raya (dugaan musiman)",IFERROR(VLOOKUP($W595,Kamus!$P$3:$Q$14,2,FALSE),"Tidak Teridentifikasi"))</f>
        <v>Relasi Personal / Tidak Teridentifikasi</v>
      </c>
      <c r="AA595" s="106" t="str">
        <f t="shared" si="29"/>
        <v>Relasi Personal / Tidak Teridentifikasi</v>
      </c>
    </row>
    <row r="596" spans="1:27">
      <c r="A596" s="106">
        <v>595</v>
      </c>
      <c r="B596" s="106" t="s">
        <v>1040</v>
      </c>
      <c r="C596" s="107" t="s">
        <v>1041</v>
      </c>
      <c r="D596" s="106" t="s">
        <v>1042</v>
      </c>
      <c r="E596" s="106" t="s">
        <v>1043</v>
      </c>
      <c r="F596" s="106" t="s">
        <v>3943</v>
      </c>
      <c r="G596" s="106" t="s">
        <v>1006</v>
      </c>
      <c r="H596" s="106" t="s">
        <v>3944</v>
      </c>
      <c r="I596" s="106" t="s">
        <v>3257</v>
      </c>
      <c r="K596" s="106" t="s">
        <v>3945</v>
      </c>
      <c r="L596" s="106" t="s">
        <v>3946</v>
      </c>
      <c r="O596" s="106" t="s">
        <v>274</v>
      </c>
      <c r="P596" s="106" t="s">
        <v>1047</v>
      </c>
      <c r="Q596" s="106" t="s">
        <v>420</v>
      </c>
      <c r="S596" s="106" t="str" cm="1">
        <f t="array" ref="S596">IF(TRIM($D596)="","(tidak diisi)",IFERROR(INDEX(Kamus!$B$3:$B$28,MATCH(TRUE,ISNUMBER(SEARCH(Kamus!$A$3:$A$28,$D596)),0)),"Jabatan Lainnya"))</f>
        <v>Ketua Pengadilan</v>
      </c>
      <c r="T596" s="106" t="str" cm="1">
        <f t="array" ref="T596">IF(TRIM($I596)="","(tidak diisi)",IFERROR(INDEX(Kamus!$E$3:$E$162,MATCH(TRUE,ISNUMBER(SEARCH(Kamus!$D$3:$D$162,$I596)),0)),"Barang Lain / Tidak Terinci"))</f>
        <v>Karangan Bunga / Ucapan</v>
      </c>
      <c r="U596" s="106" t="str" cm="1">
        <f t="array" ref="U596">IF(TRIM($I596)="","(tidak diisi)",IFERROR(INDEX(Kamus!$H$3:$H$75,MATCH(TRUE,ISNUMBER(SEARCH(Kamus!$G$3:$G$75,$I596)),0)),"Pemberian Umum / Tanpa Konteks"))</f>
        <v>Ucapan Duka/Selamat (Karangan Bunga)</v>
      </c>
      <c r="V596" s="106" t="str">
        <f t="shared" si="27"/>
        <v>2025</v>
      </c>
      <c r="W596" s="106" t="str" cm="1">
        <f t="array" ref="W596">IF(TRIM($K596)="","(tidak diisi)",IFERROR(INDEX(Kamus!$K$3:$K$118,MATCH(TRUE,ISNUMBER(SEARCH(Kamus!$J$3:$J$118,$K596)),0)),"Individu / Perorangan"))</f>
        <v>Individu / Perorangan</v>
      </c>
      <c r="X596" s="106" t="str">
        <f t="shared" si="28"/>
        <v>11</v>
      </c>
      <c r="Y596" s="106" t="str" cm="1">
        <f t="array" ref="Y596">IFERROR(INDEX(Kamus!$N$3:$N$111,MATCH(TRUE,ISNUMBER(SEARCH(Kamus!$M$3:$M$111,$I596)),0)),"")</f>
        <v>Ucapan Selamat/Duka atas Acara Instansi</v>
      </c>
      <c r="Z596" s="106" t="str">
        <f>IF(AND(OR($X596="02",$X596="03",$X596="04"),OR($T596="Parsel/Bingkisan (tidak dirinci)",$T596="Makanan &amp; Minuman",$T596="Peralatan Rumah Tangga / Pecah Belah",$T596="Pakaian &amp; Kain")),"Momen Hari Raya (dugaan musiman)",IFERROR(VLOOKUP($W596,Kamus!$P$3:$Q$14,2,FALSE),"Tidak Teridentifikasi"))</f>
        <v>Relasi Personal / Tidak Teridentifikasi</v>
      </c>
      <c r="AA596" s="106" t="str">
        <f t="shared" si="29"/>
        <v>Ucapan Selamat/Duka atas Acara Instansi</v>
      </c>
    </row>
    <row r="597" spans="1:27">
      <c r="A597" s="106">
        <v>596</v>
      </c>
      <c r="B597" s="106" t="s">
        <v>3328</v>
      </c>
      <c r="C597" s="107" t="s">
        <v>3329</v>
      </c>
      <c r="D597" s="106" t="s">
        <v>3330</v>
      </c>
      <c r="E597" s="106" t="s">
        <v>2550</v>
      </c>
      <c r="F597" s="106" t="s">
        <v>3947</v>
      </c>
      <c r="G597" s="106" t="s">
        <v>1006</v>
      </c>
      <c r="H597" s="106" t="s">
        <v>3905</v>
      </c>
      <c r="I597" s="106" t="s">
        <v>2572</v>
      </c>
      <c r="K597" s="106" t="s">
        <v>3948</v>
      </c>
      <c r="L597" s="106" t="s">
        <v>3949</v>
      </c>
      <c r="O597" s="106" t="s">
        <v>274</v>
      </c>
      <c r="P597" s="106" t="s">
        <v>2554</v>
      </c>
      <c r="Q597" s="106" t="s">
        <v>372</v>
      </c>
      <c r="S597" s="106" t="str" cm="1">
        <f t="array" ref="S597">IF(TRIM($D597)="","(tidak diisi)",IFERROR(INDEX(Kamus!$B$3:$B$28,MATCH(TRUE,ISNUMBER(SEARCH(Kamus!$A$3:$A$28,$D597)),0)),"Jabatan Lainnya"))</f>
        <v>Jurusita</v>
      </c>
      <c r="T597" s="106" t="str" cm="1">
        <f t="array" ref="T597">IF(TRIM($I597)="","(tidak diisi)",IFERROR(INDEX(Kamus!$E$3:$E$162,MATCH(TRUE,ISNUMBER(SEARCH(Kamus!$D$3:$D$162,$I597)),0)),"Barang Lain / Tidak Terinci"))</f>
        <v>Pakaian &amp; Kain</v>
      </c>
      <c r="U597" s="106" t="str" cm="1">
        <f t="array" ref="U597">IF(TRIM($I597)="","(tidak diisi)",IFERROR(INDEX(Kamus!$H$3:$H$75,MATCH(TRUE,ISNUMBER(SEARCH(Kamus!$G$3:$G$75,$I597)),0)),"Pemberian Umum / Tanpa Konteks"))</f>
        <v>Pemberian Umum / Tanpa Konteks</v>
      </c>
      <c r="V597" s="106" t="str">
        <f t="shared" si="27"/>
        <v>2025</v>
      </c>
      <c r="W597" s="106" t="str" cm="1">
        <f t="array" ref="W597">IF(TRIM($K597)="","(tidak diisi)",IFERROR(INDEX(Kamus!$K$3:$K$118,MATCH(TRUE,ISNUMBER(SEARCH(Kamus!$J$3:$J$118,$K597)),0)),"Individu / Perorangan"))</f>
        <v>Individu / Perorangan</v>
      </c>
      <c r="X597" s="106" t="str">
        <f t="shared" si="28"/>
        <v>11</v>
      </c>
      <c r="Y597" s="106" t="str" cm="1">
        <f t="array" ref="Y597">IFERROR(INDEX(Kamus!$N$3:$N$111,MATCH(TRUE,ISNUMBER(SEARCH(Kamus!$M$3:$M$111,$I597)),0)),"")</f>
        <v/>
      </c>
      <c r="Z597" s="106" t="str">
        <f>IF(AND(OR($X597="02",$X597="03",$X597="04"),OR($T597="Parsel/Bingkisan (tidak dirinci)",$T597="Makanan &amp; Minuman",$T597="Peralatan Rumah Tangga / Pecah Belah",$T597="Pakaian &amp; Kain")),"Momen Hari Raya (dugaan musiman)",IFERROR(VLOOKUP($W597,Kamus!$P$3:$Q$14,2,FALSE),"Tidak Teridentifikasi"))</f>
        <v>Relasi Personal / Tidak Teridentifikasi</v>
      </c>
      <c r="AA597" s="106" t="str">
        <f t="shared" si="29"/>
        <v>Relasi Personal / Tidak Teridentifikasi</v>
      </c>
    </row>
    <row r="598" spans="1:27">
      <c r="A598" s="106">
        <v>597</v>
      </c>
      <c r="B598" s="106" t="s">
        <v>2249</v>
      </c>
      <c r="C598" s="107" t="s">
        <v>2250</v>
      </c>
      <c r="D598" s="106" t="s">
        <v>2251</v>
      </c>
      <c r="E598" s="106" t="s">
        <v>1294</v>
      </c>
      <c r="F598" s="106" t="s">
        <v>3950</v>
      </c>
      <c r="G598" s="106" t="s">
        <v>1006</v>
      </c>
      <c r="H598" s="106" t="s">
        <v>3951</v>
      </c>
      <c r="I598" s="106" t="s">
        <v>3952</v>
      </c>
      <c r="K598" s="106" t="s">
        <v>3392</v>
      </c>
      <c r="L598" s="106" t="s">
        <v>3953</v>
      </c>
      <c r="O598" s="106" t="s">
        <v>274</v>
      </c>
      <c r="P598" s="106" t="s">
        <v>1298</v>
      </c>
      <c r="Q598" s="106" t="s">
        <v>428</v>
      </c>
      <c r="S598" s="106" t="str" cm="1">
        <f t="array" ref="S598">IF(TRIM($D598)="","(tidak diisi)",IFERROR(INDEX(Kamus!$B$3:$B$28,MATCH(TRUE,ISNUMBER(SEARCH(Kamus!$A$3:$A$28,$D598)),0)),"Jabatan Lainnya"))</f>
        <v>Wakil Ketua Pengadilan</v>
      </c>
      <c r="T598" s="106" t="str" cm="1">
        <f t="array" ref="T598">IF(TRIM($I598)="","(tidak diisi)",IFERROR(INDEX(Kamus!$E$3:$E$162,MATCH(TRUE,ISNUMBER(SEARCH(Kamus!$D$3:$D$162,$I598)),0)),"Barang Lain / Tidak Terinci"))</f>
        <v>Pakaian &amp; Kain</v>
      </c>
      <c r="U598" s="106" t="str" cm="1">
        <f t="array" ref="U598">IF(TRIM($I598)="","(tidak diisi)",IFERROR(INDEX(Kamus!$H$3:$H$75,MATCH(TRUE,ISNUMBER(SEARCH(Kamus!$G$3:$G$75,$I598)),0)),"Pemberian Umum / Tanpa Konteks"))</f>
        <v>Pemberian Umum / Tanpa Konteks</v>
      </c>
      <c r="V598" s="106" t="str">
        <f t="shared" si="27"/>
        <v>2025</v>
      </c>
      <c r="W598" s="106" t="str" cm="1">
        <f t="array" ref="W598">IF(TRIM($K598)="","(tidak diisi)",IFERROR(INDEX(Kamus!$K$3:$K$118,MATCH(TRUE,ISNUMBER(SEARCH(Kamus!$J$3:$J$118,$K598)),0)),"Individu / Perorangan"))</f>
        <v>Individu / Perorangan</v>
      </c>
      <c r="X598" s="106" t="str">
        <f t="shared" si="28"/>
        <v>11</v>
      </c>
      <c r="Y598" s="106" t="str" cm="1">
        <f t="array" ref="Y598">IFERROR(INDEX(Kamus!$N$3:$N$111,MATCH(TRUE,ISNUMBER(SEARCH(Kamus!$M$3:$M$111,$I598)),0)),"")</f>
        <v/>
      </c>
      <c r="Z598" s="106" t="str">
        <f>IF(AND(OR($X598="02",$X598="03",$X598="04"),OR($T598="Parsel/Bingkisan (tidak dirinci)",$T598="Makanan &amp; Minuman",$T598="Peralatan Rumah Tangga / Pecah Belah",$T598="Pakaian &amp; Kain")),"Momen Hari Raya (dugaan musiman)",IFERROR(VLOOKUP($W598,Kamus!$P$3:$Q$14,2,FALSE),"Tidak Teridentifikasi"))</f>
        <v>Relasi Personal / Tidak Teridentifikasi</v>
      </c>
      <c r="AA598" s="106" t="str">
        <f t="shared" si="29"/>
        <v>Relasi Personal / Tidak Teridentifikasi</v>
      </c>
    </row>
    <row r="599" spans="1:27">
      <c r="A599" s="106">
        <v>598</v>
      </c>
      <c r="B599" s="106" t="s">
        <v>3879</v>
      </c>
      <c r="C599" s="107" t="s">
        <v>3880</v>
      </c>
      <c r="D599" s="106" t="s">
        <v>3881</v>
      </c>
      <c r="E599" s="106" t="s">
        <v>3882</v>
      </c>
      <c r="F599" s="106" t="s">
        <v>3954</v>
      </c>
      <c r="G599" s="106" t="s">
        <v>1006</v>
      </c>
      <c r="H599" s="106" t="s">
        <v>3951</v>
      </c>
      <c r="I599" s="106" t="s">
        <v>1492</v>
      </c>
      <c r="K599" s="106" t="s">
        <v>3955</v>
      </c>
      <c r="L599" s="106" t="s">
        <v>3956</v>
      </c>
      <c r="O599" s="106" t="s">
        <v>274</v>
      </c>
      <c r="P599" s="106" t="s">
        <v>3887</v>
      </c>
      <c r="Q599" s="106" t="s">
        <v>409</v>
      </c>
      <c r="S599" s="106" t="str" cm="1">
        <f t="array" ref="S599">IF(TRIM($D599)="","(tidak diisi)",IFERROR(INDEX(Kamus!$B$3:$B$28,MATCH(TRUE,ISNUMBER(SEARCH(Kamus!$A$3:$A$28,$D599)),0)),"Jabatan Lainnya"))</f>
        <v>Wakil Ketua Pengadilan</v>
      </c>
      <c r="T599" s="106" t="str" cm="1">
        <f t="array" ref="T599">IF(TRIM($I599)="","(tidak diisi)",IFERROR(INDEX(Kamus!$E$3:$E$162,MATCH(TRUE,ISNUMBER(SEARCH(Kamus!$D$3:$D$162,$I599)),0)),"Barang Lain / Tidak Terinci"))</f>
        <v>Pakaian &amp; Kain</v>
      </c>
      <c r="U599" s="106" t="str" cm="1">
        <f t="array" ref="U599">IF(TRIM($I599)="","(tidak diisi)",IFERROR(INDEX(Kamus!$H$3:$H$75,MATCH(TRUE,ISNUMBER(SEARCH(Kamus!$G$3:$G$75,$I599)),0)),"Pemberian Umum / Tanpa Konteks"))</f>
        <v>Pemberian Umum / Tanpa Konteks</v>
      </c>
      <c r="V599" s="106" t="str">
        <f t="shared" si="27"/>
        <v>2025</v>
      </c>
      <c r="W599" s="106" t="str" cm="1">
        <f t="array" ref="W599">IF(TRIM($K599)="","(tidak diisi)",IFERROR(INDEX(Kamus!$K$3:$K$118,MATCH(TRUE,ISNUMBER(SEARCH(Kamus!$J$3:$J$118,$K599)),0)),"Individu / Perorangan"))</f>
        <v>Individu / Perorangan</v>
      </c>
      <c r="X599" s="106" t="str">
        <f t="shared" si="28"/>
        <v>11</v>
      </c>
      <c r="Y599" s="106" t="str" cm="1">
        <f t="array" ref="Y599">IFERROR(INDEX(Kamus!$N$3:$N$111,MATCH(TRUE,ISNUMBER(SEARCH(Kamus!$M$3:$M$111,$I599)),0)),"")</f>
        <v/>
      </c>
      <c r="Z599" s="106" t="str">
        <f>IF(AND(OR($X599="02",$X599="03",$X599="04"),OR($T599="Parsel/Bingkisan (tidak dirinci)",$T599="Makanan &amp; Minuman",$T599="Peralatan Rumah Tangga / Pecah Belah",$T599="Pakaian &amp; Kain")),"Momen Hari Raya (dugaan musiman)",IFERROR(VLOOKUP($W599,Kamus!$P$3:$Q$14,2,FALSE),"Tidak Teridentifikasi"))</f>
        <v>Relasi Personal / Tidak Teridentifikasi</v>
      </c>
      <c r="AA599" s="106" t="str">
        <f t="shared" si="29"/>
        <v>Relasi Personal / Tidak Teridentifikasi</v>
      </c>
    </row>
    <row r="600" spans="1:27">
      <c r="A600" s="106">
        <v>599</v>
      </c>
      <c r="B600" s="106" t="s">
        <v>3957</v>
      </c>
      <c r="C600" s="107" t="s">
        <v>3958</v>
      </c>
      <c r="D600" s="106" t="s">
        <v>3375</v>
      </c>
      <c r="E600" s="106" t="s">
        <v>3959</v>
      </c>
      <c r="F600" s="106" t="s">
        <v>3960</v>
      </c>
      <c r="G600" s="106" t="s">
        <v>1006</v>
      </c>
      <c r="H600" s="106" t="s">
        <v>3940</v>
      </c>
      <c r="I600" s="106" t="s">
        <v>3961</v>
      </c>
      <c r="K600" s="106" t="s">
        <v>3962</v>
      </c>
      <c r="L600" s="106" t="s">
        <v>3963</v>
      </c>
      <c r="O600" s="106" t="s">
        <v>274</v>
      </c>
      <c r="P600" s="106" t="s">
        <v>3964</v>
      </c>
      <c r="Q600" s="106" t="s">
        <v>428</v>
      </c>
      <c r="S600" s="106" t="str" cm="1">
        <f t="array" ref="S600">IF(TRIM($D600)="","(tidak diisi)",IFERROR(INDEX(Kamus!$B$3:$B$28,MATCH(TRUE,ISNUMBER(SEARCH(Kamus!$A$3:$A$28,$D600)),0)),"Jabatan Lainnya"))</f>
        <v>Staf/Pegawai Pelaksana</v>
      </c>
      <c r="T600" s="106" t="str" cm="1">
        <f t="array" ref="T600">IF(TRIM($I600)="","(tidak diisi)",IFERROR(INDEX(Kamus!$E$3:$E$162,MATCH(TRUE,ISNUMBER(SEARCH(Kamus!$D$3:$D$162,$I600)),0)),"Barang Lain / Tidak Terinci"))</f>
        <v>Makanan &amp; Minuman</v>
      </c>
      <c r="U600" s="106" t="str" cm="1">
        <f t="array" ref="U600">IF(TRIM($I600)="","(tidak diisi)",IFERROR(INDEX(Kamus!$H$3:$H$75,MATCH(TRUE,ISNUMBER(SEARCH(Kamus!$G$3:$G$75,$I600)),0)),"Pemberian Umum / Tanpa Konteks"))</f>
        <v>Pemberian Umum / Tanpa Konteks</v>
      </c>
      <c r="V600" s="106" t="str">
        <f t="shared" si="27"/>
        <v>2025</v>
      </c>
      <c r="W600" s="106" t="str" cm="1">
        <f t="array" ref="W600">IF(TRIM($K600)="","(tidak diisi)",IFERROR(INDEX(Kamus!$K$3:$K$118,MATCH(TRUE,ISNUMBER(SEARCH(Kamus!$J$3:$J$118,$K600)),0)),"Individu / Perorangan"))</f>
        <v>Individu / Perorangan</v>
      </c>
      <c r="X600" s="106" t="str">
        <f t="shared" si="28"/>
        <v>11</v>
      </c>
      <c r="Y600" s="106" t="str" cm="1">
        <f t="array" ref="Y600">IFERROR(INDEX(Kamus!$N$3:$N$111,MATCH(TRUE,ISNUMBER(SEARCH(Kamus!$M$3:$M$111,$I600)),0)),"")</f>
        <v/>
      </c>
      <c r="Z600" s="106" t="str">
        <f>IF(AND(OR($X600="02",$X600="03",$X600="04"),OR($T600="Parsel/Bingkisan (tidak dirinci)",$T600="Makanan &amp; Minuman",$T600="Peralatan Rumah Tangga / Pecah Belah",$T600="Pakaian &amp; Kain")),"Momen Hari Raya (dugaan musiman)",IFERROR(VLOOKUP($W600,Kamus!$P$3:$Q$14,2,FALSE),"Tidak Teridentifikasi"))</f>
        <v>Relasi Personal / Tidak Teridentifikasi</v>
      </c>
      <c r="AA600" s="106" t="str">
        <f t="shared" si="29"/>
        <v>Relasi Personal / Tidak Teridentifikasi</v>
      </c>
    </row>
    <row r="601" spans="1:27">
      <c r="A601" s="106">
        <v>600</v>
      </c>
      <c r="B601" s="106" t="s">
        <v>3174</v>
      </c>
      <c r="C601" s="107" t="s">
        <v>3175</v>
      </c>
      <c r="D601" s="106" t="s">
        <v>1033</v>
      </c>
      <c r="E601" s="106" t="s">
        <v>3176</v>
      </c>
      <c r="F601" s="106" t="s">
        <v>3965</v>
      </c>
      <c r="G601" s="106" t="s">
        <v>1006</v>
      </c>
      <c r="H601" s="106" t="s">
        <v>3951</v>
      </c>
      <c r="I601" s="106" t="s">
        <v>1017</v>
      </c>
      <c r="J601" s="106">
        <v>300000</v>
      </c>
      <c r="K601" s="106" t="s">
        <v>3966</v>
      </c>
      <c r="L601" s="106" t="s">
        <v>3967</v>
      </c>
      <c r="M601" s="106" t="s">
        <v>1171</v>
      </c>
      <c r="N601" s="106" t="s">
        <v>3968</v>
      </c>
      <c r="O601" s="106" t="s">
        <v>274</v>
      </c>
      <c r="P601" s="106" t="s">
        <v>3181</v>
      </c>
      <c r="Q601" s="106" t="s">
        <v>404</v>
      </c>
      <c r="S601" s="106" t="str" cm="1">
        <f t="array" ref="S601">IF(TRIM($D601)="","(tidak diisi)",IFERROR(INDEX(Kamus!$B$3:$B$28,MATCH(TRUE,ISNUMBER(SEARCH(Kamus!$A$3:$A$28,$D601)),0)),"Jabatan Lainnya"))</f>
        <v>Hakim</v>
      </c>
      <c r="T601" s="106" t="str" cm="1">
        <f t="array" ref="T601">IF(TRIM($I601)="","(tidak diisi)",IFERROR(INDEX(Kamus!$E$3:$E$162,MATCH(TRUE,ISNUMBER(SEARCH(Kamus!$D$3:$D$162,$I601)),0)),"Barang Lain / Tidak Terinci"))</f>
        <v>Uang &amp; Setara Uang</v>
      </c>
      <c r="U601" s="106" t="str" cm="1">
        <f t="array" ref="U601">IF(TRIM($I601)="","(tidak diisi)",IFERROR(INDEX(Kamus!$H$3:$H$75,MATCH(TRUE,ISNUMBER(SEARCH(Kamus!$G$3:$G$75,$I601)),0)),"Pemberian Umum / Tanpa Konteks"))</f>
        <v>Pemberian Uang Langsung</v>
      </c>
      <c r="V601" s="106" t="str">
        <f t="shared" si="27"/>
        <v>2025</v>
      </c>
      <c r="W601" s="106" t="str" cm="1">
        <f t="array" ref="W601">IF(TRIM($K601)="","(tidak diisi)",IFERROR(INDEX(Kamus!$K$3:$K$118,MATCH(TRUE,ISNUMBER(SEARCH(Kamus!$J$3:$J$118,$K601)),0)),"Individu / Perorangan"))</f>
        <v>Individu / Perorangan</v>
      </c>
      <c r="X601" s="106" t="str">
        <f t="shared" si="28"/>
        <v>11</v>
      </c>
      <c r="Y601" s="106" t="str" cm="1">
        <f t="array" ref="Y601">IFERROR(INDEX(Kamus!$N$3:$N$111,MATCH(TRUE,ISNUMBER(SEARCH(Kamus!$M$3:$M$111,$I601)),0)),"")</f>
        <v/>
      </c>
      <c r="Z601" s="106" t="str">
        <f>IF(AND(OR($X601="02",$X601="03",$X601="04"),OR($T601="Parsel/Bingkisan (tidak dirinci)",$T601="Makanan &amp; Minuman",$T601="Peralatan Rumah Tangga / Pecah Belah",$T601="Pakaian &amp; Kain")),"Momen Hari Raya (dugaan musiman)",IFERROR(VLOOKUP($W601,Kamus!$P$3:$Q$14,2,FALSE),"Tidak Teridentifikasi"))</f>
        <v>Relasi Personal / Tidak Teridentifikasi</v>
      </c>
      <c r="AA601" s="106" t="str">
        <f t="shared" si="29"/>
        <v>Relasi Personal / Tidak Teridentifikasi</v>
      </c>
    </row>
    <row r="602" spans="1:27">
      <c r="A602" s="106">
        <v>601</v>
      </c>
      <c r="B602" s="106" t="s">
        <v>1187</v>
      </c>
      <c r="C602" s="107" t="s">
        <v>1188</v>
      </c>
      <c r="D602" s="106" t="s">
        <v>1033</v>
      </c>
      <c r="E602" s="106" t="s">
        <v>1189</v>
      </c>
      <c r="F602" s="106" t="s">
        <v>3969</v>
      </c>
      <c r="G602" s="106" t="s">
        <v>1006</v>
      </c>
      <c r="H602" s="106" t="s">
        <v>3970</v>
      </c>
      <c r="I602" s="106" t="s">
        <v>1017</v>
      </c>
      <c r="J602" s="106">
        <v>300000</v>
      </c>
      <c r="K602" s="106" t="s">
        <v>3971</v>
      </c>
      <c r="L602" s="106" t="s">
        <v>3972</v>
      </c>
      <c r="M602" s="106" t="s">
        <v>1110</v>
      </c>
      <c r="N602" s="106" t="s">
        <v>3973</v>
      </c>
      <c r="O602" s="106" t="s">
        <v>274</v>
      </c>
      <c r="P602" s="106" t="s">
        <v>1196</v>
      </c>
      <c r="Q602" s="106" t="s">
        <v>349</v>
      </c>
      <c r="S602" s="106" t="str" cm="1">
        <f t="array" ref="S602">IF(TRIM($D602)="","(tidak diisi)",IFERROR(INDEX(Kamus!$B$3:$B$28,MATCH(TRUE,ISNUMBER(SEARCH(Kamus!$A$3:$A$28,$D602)),0)),"Jabatan Lainnya"))</f>
        <v>Hakim</v>
      </c>
      <c r="T602" s="106" t="str" cm="1">
        <f t="array" ref="T602">IF(TRIM($I602)="","(tidak diisi)",IFERROR(INDEX(Kamus!$E$3:$E$162,MATCH(TRUE,ISNUMBER(SEARCH(Kamus!$D$3:$D$162,$I602)),0)),"Barang Lain / Tidak Terinci"))</f>
        <v>Uang &amp; Setara Uang</v>
      </c>
      <c r="U602" s="106" t="str" cm="1">
        <f t="array" ref="U602">IF(TRIM($I602)="","(tidak diisi)",IFERROR(INDEX(Kamus!$H$3:$H$75,MATCH(TRUE,ISNUMBER(SEARCH(Kamus!$G$3:$G$75,$I602)),0)),"Pemberian Umum / Tanpa Konteks"))</f>
        <v>Pemberian Uang Langsung</v>
      </c>
      <c r="V602" s="106" t="str">
        <f t="shared" si="27"/>
        <v>2025</v>
      </c>
      <c r="W602" s="106" t="str" cm="1">
        <f t="array" ref="W602">IF(TRIM($K602)="","(tidak diisi)",IFERROR(INDEX(Kamus!$K$3:$K$118,MATCH(TRUE,ISNUMBER(SEARCH(Kamus!$J$3:$J$118,$K602)),0)),"Individu / Perorangan"))</f>
        <v>Individu / Perorangan</v>
      </c>
      <c r="X602" s="106" t="str">
        <f t="shared" si="28"/>
        <v>11</v>
      </c>
      <c r="Y602" s="106" t="str" cm="1">
        <f t="array" ref="Y602">IFERROR(INDEX(Kamus!$N$3:$N$111,MATCH(TRUE,ISNUMBER(SEARCH(Kamus!$M$3:$M$111,$I602)),0)),"")</f>
        <v/>
      </c>
      <c r="Z602" s="106" t="str">
        <f>IF(AND(OR($X602="02",$X602="03",$X602="04"),OR($T602="Parsel/Bingkisan (tidak dirinci)",$T602="Makanan &amp; Minuman",$T602="Peralatan Rumah Tangga / Pecah Belah",$T602="Pakaian &amp; Kain")),"Momen Hari Raya (dugaan musiman)",IFERROR(VLOOKUP($W602,Kamus!$P$3:$Q$14,2,FALSE),"Tidak Teridentifikasi"))</f>
        <v>Relasi Personal / Tidak Teridentifikasi</v>
      </c>
      <c r="AA602" s="106" t="str">
        <f t="shared" si="29"/>
        <v>Relasi Personal / Tidak Teridentifikasi</v>
      </c>
    </row>
    <row r="603" spans="1:27">
      <c r="A603" s="106">
        <v>602</v>
      </c>
      <c r="B603" s="106" t="s">
        <v>2249</v>
      </c>
      <c r="C603" s="107" t="s">
        <v>2250</v>
      </c>
      <c r="D603" s="106" t="s">
        <v>2251</v>
      </c>
      <c r="E603" s="106" t="s">
        <v>1294</v>
      </c>
      <c r="F603" s="106" t="s">
        <v>3974</v>
      </c>
      <c r="G603" s="106" t="s">
        <v>1006</v>
      </c>
      <c r="H603" s="106" t="s">
        <v>3970</v>
      </c>
      <c r="I603" s="106" t="s">
        <v>3975</v>
      </c>
      <c r="J603" s="106">
        <v>60000</v>
      </c>
      <c r="K603" s="106" t="s">
        <v>3976</v>
      </c>
      <c r="L603" s="106" t="s">
        <v>3977</v>
      </c>
      <c r="M603" s="106" t="s">
        <v>1039</v>
      </c>
      <c r="O603" s="106" t="s">
        <v>274</v>
      </c>
      <c r="P603" s="106" t="s">
        <v>1298</v>
      </c>
      <c r="Q603" s="106" t="s">
        <v>428</v>
      </c>
      <c r="S603" s="106" t="str" cm="1">
        <f t="array" ref="S603">IF(TRIM($D603)="","(tidak diisi)",IFERROR(INDEX(Kamus!$B$3:$B$28,MATCH(TRUE,ISNUMBER(SEARCH(Kamus!$A$3:$A$28,$D603)),0)),"Jabatan Lainnya"))</f>
        <v>Wakil Ketua Pengadilan</v>
      </c>
      <c r="T603" s="106" t="str" cm="1">
        <f t="array" ref="T603">IF(TRIM($I603)="","(tidak diisi)",IFERROR(INDEX(Kamus!$E$3:$E$162,MATCH(TRUE,ISNUMBER(SEARCH(Kamus!$D$3:$D$162,$I603)),0)),"Barang Lain / Tidak Terinci"))</f>
        <v>Elektronik &amp; Gadget</v>
      </c>
      <c r="U603" s="106" t="str" cm="1">
        <f t="array" ref="U603">IF(TRIM($I603)="","(tidak diisi)",IFERROR(INDEX(Kamus!$H$3:$H$75,MATCH(TRUE,ISNUMBER(SEARCH(Kamus!$G$3:$G$75,$I603)),0)),"Pemberian Umum / Tanpa Konteks"))</f>
        <v>Pemberian Umum / Tanpa Konteks</v>
      </c>
      <c r="V603" s="106" t="str">
        <f t="shared" si="27"/>
        <v>2025</v>
      </c>
      <c r="W603" s="106" t="str" cm="1">
        <f t="array" ref="W603">IF(TRIM($K603)="","(tidak diisi)",IFERROR(INDEX(Kamus!$K$3:$K$118,MATCH(TRUE,ISNUMBER(SEARCH(Kamus!$J$3:$J$118,$K603)),0)),"Individu / Perorangan"))</f>
        <v>Individu / Perorangan</v>
      </c>
      <c r="X603" s="106" t="str">
        <f t="shared" si="28"/>
        <v>11</v>
      </c>
      <c r="Y603" s="106" t="str" cm="1">
        <f t="array" ref="Y603">IFERROR(INDEX(Kamus!$N$3:$N$111,MATCH(TRUE,ISNUMBER(SEARCH(Kamus!$M$3:$M$111,$I603)),0)),"")</f>
        <v/>
      </c>
      <c r="Z603" s="106" t="str">
        <f>IF(AND(OR($X603="02",$X603="03",$X603="04"),OR($T603="Parsel/Bingkisan (tidak dirinci)",$T603="Makanan &amp; Minuman",$T603="Peralatan Rumah Tangga / Pecah Belah",$T603="Pakaian &amp; Kain")),"Momen Hari Raya (dugaan musiman)",IFERROR(VLOOKUP($W603,Kamus!$P$3:$Q$14,2,FALSE),"Tidak Teridentifikasi"))</f>
        <v>Relasi Personal / Tidak Teridentifikasi</v>
      </c>
      <c r="AA603" s="106" t="str">
        <f t="shared" si="29"/>
        <v>Relasi Personal / Tidak Teridentifikasi</v>
      </c>
    </row>
    <row r="604" spans="1:27">
      <c r="A604" s="106">
        <v>603</v>
      </c>
      <c r="B604" s="106" t="s">
        <v>1401</v>
      </c>
      <c r="C604" s="107" t="s">
        <v>1402</v>
      </c>
      <c r="D604" s="106" t="s">
        <v>1081</v>
      </c>
      <c r="E604" s="106" t="s">
        <v>1403</v>
      </c>
      <c r="F604" s="106" t="s">
        <v>3978</v>
      </c>
      <c r="G604" s="106" t="s">
        <v>1006</v>
      </c>
      <c r="H604" s="106" t="s">
        <v>3857</v>
      </c>
      <c r="I604" s="106" t="s">
        <v>3979</v>
      </c>
      <c r="J604" s="106">
        <v>750000</v>
      </c>
      <c r="K604" s="106" t="s">
        <v>3980</v>
      </c>
      <c r="L604" s="106" t="s">
        <v>3981</v>
      </c>
      <c r="M604" s="106" t="s">
        <v>1020</v>
      </c>
      <c r="O604" s="106" t="s">
        <v>274</v>
      </c>
      <c r="P604" s="106" t="s">
        <v>1410</v>
      </c>
      <c r="Q604" s="106" t="s">
        <v>403</v>
      </c>
      <c r="S604" s="106" t="str" cm="1">
        <f t="array" ref="S604">IF(TRIM($D604)="","(tidak diisi)",IFERROR(INDEX(Kamus!$B$3:$B$28,MATCH(TRUE,ISNUMBER(SEARCH(Kamus!$A$3:$A$28,$D604)),0)),"Jabatan Lainnya"))</f>
        <v>Hakim</v>
      </c>
      <c r="T604" s="106" t="str" cm="1">
        <f t="array" ref="T604">IF(TRIM($I604)="","(tidak diisi)",IFERROR(INDEX(Kamus!$E$3:$E$162,MATCH(TRUE,ISNUMBER(SEARCH(Kamus!$D$3:$D$162,$I604)),0)),"Barang Lain / Tidak Terinci"))</f>
        <v>Elektronik &amp; Gadget</v>
      </c>
      <c r="U604" s="106" t="str" cm="1">
        <f t="array" ref="U604">IF(TRIM($I604)="","(tidak diisi)",IFERROR(INDEX(Kamus!$H$3:$H$75,MATCH(TRUE,ISNUMBER(SEARCH(Kamus!$G$3:$G$75,$I604)),0)),"Pemberian Umum / Tanpa Konteks"))</f>
        <v>Suvenir / Merchandise Kegiatan &amp; Kunjungan</v>
      </c>
      <c r="V604" s="106" t="str">
        <f t="shared" si="27"/>
        <v>2025</v>
      </c>
      <c r="W604" s="106" t="str" cm="1">
        <f t="array" ref="W604">IF(TRIM($K604)="","(tidak diisi)",IFERROR(INDEX(Kamus!$K$3:$K$118,MATCH(TRUE,ISNUMBER(SEARCH(Kamus!$J$3:$J$118,$K604)),0)),"Individu / Perorangan"))</f>
        <v>Bank &amp; Lembaga Keuangan</v>
      </c>
      <c r="X604" s="106" t="str">
        <f t="shared" si="28"/>
        <v>11</v>
      </c>
      <c r="Y604" s="106" t="str" cm="1">
        <f t="array" ref="Y604">IFERROR(INDEX(Kamus!$N$3:$N$111,MATCH(TRUE,ISNUMBER(SEARCH(Kamus!$M$3:$M$111,$I604)),0)),"")</f>
        <v>Diklat / Bimtek / Seminar &amp; Narasumber</v>
      </c>
      <c r="Z604" s="106" t="str">
        <f>IF(AND(OR($X604="02",$X604="03",$X604="04"),OR($T604="Parsel/Bingkisan (tidak dirinci)",$T604="Makanan &amp; Minuman",$T604="Peralatan Rumah Tangga / Pecah Belah",$T604="Pakaian &amp; Kain")),"Momen Hari Raya (dugaan musiman)",IFERROR(VLOOKUP($W604,Kamus!$P$3:$Q$14,2,FALSE),"Tidak Teridentifikasi"))</f>
        <v>Relasi Layanan/Kerja Sama Perbankan (dugaan)</v>
      </c>
      <c r="AA604" s="106" t="str">
        <f t="shared" si="29"/>
        <v>Diklat / Bimtek / Seminar &amp; Narasumber</v>
      </c>
    </row>
    <row r="605" spans="1:27">
      <c r="A605" s="106">
        <v>604</v>
      </c>
      <c r="B605" s="106" t="s">
        <v>3879</v>
      </c>
      <c r="C605" s="107" t="s">
        <v>3880</v>
      </c>
      <c r="D605" s="106" t="s">
        <v>3881</v>
      </c>
      <c r="E605" s="106" t="s">
        <v>3882</v>
      </c>
      <c r="F605" s="106" t="s">
        <v>3982</v>
      </c>
      <c r="G605" s="106" t="s">
        <v>1006</v>
      </c>
      <c r="H605" s="106" t="s">
        <v>3868</v>
      </c>
      <c r="I605" s="106" t="s">
        <v>3983</v>
      </c>
      <c r="J605" s="106">
        <v>1140000</v>
      </c>
      <c r="K605" s="106" t="s">
        <v>3984</v>
      </c>
      <c r="L605" s="106" t="s">
        <v>3985</v>
      </c>
      <c r="M605" s="106" t="s">
        <v>1020</v>
      </c>
      <c r="O605" s="106" t="s">
        <v>274</v>
      </c>
      <c r="P605" s="106" t="s">
        <v>3887</v>
      </c>
      <c r="Q605" s="106" t="s">
        <v>409</v>
      </c>
      <c r="S605" s="106" t="str" cm="1">
        <f t="array" ref="S605">IF(TRIM($D605)="","(tidak diisi)",IFERROR(INDEX(Kamus!$B$3:$B$28,MATCH(TRUE,ISNUMBER(SEARCH(Kamus!$A$3:$A$28,$D605)),0)),"Jabatan Lainnya"))</f>
        <v>Wakil Ketua Pengadilan</v>
      </c>
      <c r="T605" s="106" t="str" cm="1">
        <f t="array" ref="T605">IF(TRIM($I605)="","(tidak diisi)",IFERROR(INDEX(Kamus!$E$3:$E$162,MATCH(TRUE,ISNUMBER(SEARCH(Kamus!$D$3:$D$162,$I605)),0)),"Barang Lain / Tidak Terinci"))</f>
        <v>Peralatan Rumah Tangga / Pecah Belah</v>
      </c>
      <c r="U605" s="106" t="str" cm="1">
        <f t="array" ref="U605">IF(TRIM($I605)="","(tidak diisi)",IFERROR(INDEX(Kamus!$H$3:$H$75,MATCH(TRUE,ISNUMBER(SEARCH(Kamus!$G$3:$G$75,$I605)),0)),"Pemberian Umum / Tanpa Konteks"))</f>
        <v>Pemberian Umum / Tanpa Konteks</v>
      </c>
      <c r="V605" s="106" t="str">
        <f t="shared" si="27"/>
        <v>2025</v>
      </c>
      <c r="W605" s="106" t="str" cm="1">
        <f t="array" ref="W605">IF(TRIM($K605)="","(tidak diisi)",IFERROR(INDEX(Kamus!$K$3:$K$118,MATCH(TRUE,ISNUMBER(SEARCH(Kamus!$J$3:$J$118,$K605)),0)),"Individu / Perorangan"))</f>
        <v>Individu / Perorangan</v>
      </c>
      <c r="X605" s="106" t="str">
        <f t="shared" si="28"/>
        <v>11</v>
      </c>
      <c r="Y605" s="106" t="str" cm="1">
        <f t="array" ref="Y605">IFERROR(INDEX(Kamus!$N$3:$N$111,MATCH(TRUE,ISNUMBER(SEARCH(Kamus!$M$3:$M$111,$I605)),0)),"")</f>
        <v/>
      </c>
      <c r="Z605" s="106" t="str">
        <f>IF(AND(OR($X605="02",$X605="03",$X605="04"),OR($T605="Parsel/Bingkisan (tidak dirinci)",$T605="Makanan &amp; Minuman",$T605="Peralatan Rumah Tangga / Pecah Belah",$T605="Pakaian &amp; Kain")),"Momen Hari Raya (dugaan musiman)",IFERROR(VLOOKUP($W605,Kamus!$P$3:$Q$14,2,FALSE),"Tidak Teridentifikasi"))</f>
        <v>Relasi Personal / Tidak Teridentifikasi</v>
      </c>
      <c r="AA605" s="106" t="str">
        <f t="shared" si="29"/>
        <v>Relasi Personal / Tidak Teridentifikasi</v>
      </c>
    </row>
    <row r="606" spans="1:27">
      <c r="A606" s="106">
        <v>605</v>
      </c>
      <c r="B606" s="106" t="s">
        <v>3144</v>
      </c>
      <c r="C606" s="107" t="s">
        <v>3145</v>
      </c>
      <c r="D606" s="106" t="s">
        <v>3146</v>
      </c>
      <c r="E606" s="106" t="s">
        <v>3986</v>
      </c>
      <c r="F606" s="106" t="s">
        <v>3987</v>
      </c>
      <c r="G606" s="106" t="s">
        <v>1006</v>
      </c>
      <c r="H606" s="106" t="s">
        <v>3970</v>
      </c>
      <c r="I606" s="106" t="s">
        <v>3988</v>
      </c>
      <c r="J606" s="106">
        <v>300000</v>
      </c>
      <c r="K606" s="106" t="s">
        <v>3989</v>
      </c>
      <c r="L606" s="106" t="s">
        <v>3990</v>
      </c>
      <c r="M606" s="106" t="s">
        <v>1171</v>
      </c>
      <c r="N606" s="106" t="s">
        <v>3991</v>
      </c>
      <c r="O606" s="106" t="s">
        <v>274</v>
      </c>
      <c r="P606" s="106" t="s">
        <v>445</v>
      </c>
      <c r="Q606" s="106" t="s">
        <v>404</v>
      </c>
      <c r="S606" s="106" t="str" cm="1">
        <f t="array" ref="S606">IF(TRIM($D606)="","(tidak diisi)",IFERROR(INDEX(Kamus!$B$3:$B$28,MATCH(TRUE,ISNUMBER(SEARCH(Kamus!$A$3:$A$28,$D606)),0)),"Jabatan Lainnya"))</f>
        <v>Hakim</v>
      </c>
      <c r="T606" s="106" t="str" cm="1">
        <f t="array" ref="T606">IF(TRIM($I606)="","(tidak diisi)",IFERROR(INDEX(Kamus!$E$3:$E$162,MATCH(TRUE,ISNUMBER(SEARCH(Kamus!$D$3:$D$162,$I606)),0)),"Barang Lain / Tidak Terinci"))</f>
        <v>Uang &amp; Setara Uang</v>
      </c>
      <c r="U606" s="106" t="str" cm="1">
        <f t="array" ref="U606">IF(TRIM($I606)="","(tidak diisi)",IFERROR(INDEX(Kamus!$H$3:$H$75,MATCH(TRUE,ISNUMBER(SEARCH(Kamus!$G$3:$G$75,$I606)),0)),"Pemberian Umum / Tanpa Konteks"))</f>
        <v>Pemberian Uang Langsung</v>
      </c>
      <c r="V606" s="106" t="str">
        <f t="shared" si="27"/>
        <v>2025</v>
      </c>
      <c r="W606" s="106" t="str" cm="1">
        <f t="array" ref="W606">IF(TRIM($K606)="","(tidak diisi)",IFERROR(INDEX(Kamus!$K$3:$K$118,MATCH(TRUE,ISNUMBER(SEARCH(Kamus!$J$3:$J$118,$K606)),0)),"Individu / Perorangan"))</f>
        <v>Bank &amp; Lembaga Keuangan</v>
      </c>
      <c r="X606" s="106" t="str">
        <f t="shared" si="28"/>
        <v>11</v>
      </c>
      <c r="Y606" s="106" t="str" cm="1">
        <f t="array" ref="Y606">IFERROR(INDEX(Kamus!$N$3:$N$111,MATCH(TRUE,ISNUMBER(SEARCH(Kamus!$M$3:$M$111,$I606)),0)),"")</f>
        <v/>
      </c>
      <c r="Z606" s="106" t="str">
        <f>IF(AND(OR($X606="02",$X606="03",$X606="04"),OR($T606="Parsel/Bingkisan (tidak dirinci)",$T606="Makanan &amp; Minuman",$T606="Peralatan Rumah Tangga / Pecah Belah",$T606="Pakaian &amp; Kain")),"Momen Hari Raya (dugaan musiman)",IFERROR(VLOOKUP($W606,Kamus!$P$3:$Q$14,2,FALSE),"Tidak Teridentifikasi"))</f>
        <v>Relasi Layanan/Kerja Sama Perbankan (dugaan)</v>
      </c>
      <c r="AA606" s="106" t="str">
        <f t="shared" si="29"/>
        <v>Relasi Layanan/Kerja Sama Perbankan (dugaan)</v>
      </c>
    </row>
    <row r="607" spans="1:27">
      <c r="A607" s="106">
        <v>606</v>
      </c>
      <c r="B607" s="106" t="s">
        <v>1060</v>
      </c>
      <c r="C607" s="107" t="s">
        <v>1061</v>
      </c>
      <c r="D607" s="106" t="s">
        <v>1033</v>
      </c>
      <c r="E607" s="106" t="s">
        <v>1062</v>
      </c>
      <c r="F607" s="106" t="s">
        <v>3992</v>
      </c>
      <c r="G607" s="106" t="s">
        <v>1006</v>
      </c>
      <c r="H607" s="106" t="s">
        <v>3993</v>
      </c>
      <c r="I607" s="106" t="s">
        <v>1017</v>
      </c>
      <c r="J607" s="106">
        <v>1335000</v>
      </c>
      <c r="K607" s="106" t="s">
        <v>3994</v>
      </c>
      <c r="L607" s="106" t="s">
        <v>3995</v>
      </c>
      <c r="M607" s="106" t="s">
        <v>1110</v>
      </c>
      <c r="N607" s="106" t="s">
        <v>3996</v>
      </c>
      <c r="O607" s="106" t="s">
        <v>274</v>
      </c>
      <c r="P607" s="106" t="s">
        <v>1067</v>
      </c>
      <c r="Q607" s="106" t="s">
        <v>350</v>
      </c>
      <c r="S607" s="106" t="str" cm="1">
        <f t="array" ref="S607">IF(TRIM($D607)="","(tidak diisi)",IFERROR(INDEX(Kamus!$B$3:$B$28,MATCH(TRUE,ISNUMBER(SEARCH(Kamus!$A$3:$A$28,$D607)),0)),"Jabatan Lainnya"))</f>
        <v>Hakim</v>
      </c>
      <c r="T607" s="106" t="str" cm="1">
        <f t="array" ref="T607">IF(TRIM($I607)="","(tidak diisi)",IFERROR(INDEX(Kamus!$E$3:$E$162,MATCH(TRUE,ISNUMBER(SEARCH(Kamus!$D$3:$D$162,$I607)),0)),"Barang Lain / Tidak Terinci"))</f>
        <v>Uang &amp; Setara Uang</v>
      </c>
      <c r="U607" s="106" t="str" cm="1">
        <f t="array" ref="U607">IF(TRIM($I607)="","(tidak diisi)",IFERROR(INDEX(Kamus!$H$3:$H$75,MATCH(TRUE,ISNUMBER(SEARCH(Kamus!$G$3:$G$75,$I607)),0)),"Pemberian Umum / Tanpa Konteks"))</f>
        <v>Pemberian Uang Langsung</v>
      </c>
      <c r="V607" s="106" t="str">
        <f t="shared" si="27"/>
        <v>2025</v>
      </c>
      <c r="W607" s="106" t="str" cm="1">
        <f t="array" ref="W607">IF(TRIM($K607)="","(tidak diisi)",IFERROR(INDEX(Kamus!$K$3:$K$118,MATCH(TRUE,ISNUMBER(SEARCH(Kamus!$J$3:$J$118,$K607)),0)),"Individu / Perorangan"))</f>
        <v>Individu / Perorangan</v>
      </c>
      <c r="X607" s="106" t="str">
        <f t="shared" si="28"/>
        <v>11</v>
      </c>
      <c r="Y607" s="106" t="str" cm="1">
        <f t="array" ref="Y607">IFERROR(INDEX(Kamus!$N$3:$N$111,MATCH(TRUE,ISNUMBER(SEARCH(Kamus!$M$3:$M$111,$I607)),0)),"")</f>
        <v/>
      </c>
      <c r="Z607" s="106" t="str">
        <f>IF(AND(OR($X607="02",$X607="03",$X607="04"),OR($T607="Parsel/Bingkisan (tidak dirinci)",$T607="Makanan &amp; Minuman",$T607="Peralatan Rumah Tangga / Pecah Belah",$T607="Pakaian &amp; Kain")),"Momen Hari Raya (dugaan musiman)",IFERROR(VLOOKUP($W607,Kamus!$P$3:$Q$14,2,FALSE),"Tidak Teridentifikasi"))</f>
        <v>Relasi Personal / Tidak Teridentifikasi</v>
      </c>
      <c r="AA607" s="106" t="str">
        <f t="shared" si="29"/>
        <v>Relasi Personal / Tidak Teridentifikasi</v>
      </c>
    </row>
    <row r="608" spans="1:27">
      <c r="A608" s="106">
        <v>607</v>
      </c>
      <c r="B608" s="106" t="s">
        <v>3997</v>
      </c>
      <c r="C608" s="107" t="s">
        <v>3998</v>
      </c>
      <c r="D608" s="106" t="s">
        <v>3999</v>
      </c>
      <c r="E608" s="106" t="s">
        <v>4000</v>
      </c>
      <c r="F608" s="106" t="s">
        <v>4001</v>
      </c>
      <c r="G608" s="106" t="s">
        <v>1006</v>
      </c>
      <c r="H608" s="106" t="s">
        <v>4002</v>
      </c>
      <c r="I608" s="106" t="s">
        <v>4003</v>
      </c>
      <c r="J608" s="106">
        <v>250000</v>
      </c>
      <c r="K608" s="106" t="s">
        <v>4004</v>
      </c>
      <c r="L608" s="106" t="s">
        <v>4005</v>
      </c>
      <c r="M608" s="106" t="s">
        <v>1020</v>
      </c>
      <c r="O608" s="106" t="s">
        <v>274</v>
      </c>
      <c r="P608" s="106" t="s">
        <v>479</v>
      </c>
      <c r="Q608" s="106" t="s">
        <v>403</v>
      </c>
      <c r="S608" s="106" t="str" cm="1">
        <f t="array" ref="S608">IF(TRIM($D608)="","(tidak diisi)",IFERROR(INDEX(Kamus!$B$3:$B$28,MATCH(TRUE,ISNUMBER(SEARCH(Kamus!$A$3:$A$28,$D608)),0)),"Jabatan Lainnya"))</f>
        <v>Wakil Ketua Pengadilan</v>
      </c>
      <c r="T608" s="106" t="str" cm="1">
        <f t="array" ref="T608">IF(TRIM($I608)="","(tidak diisi)",IFERROR(INDEX(Kamus!$E$3:$E$162,MATCH(TRUE,ISNUMBER(SEARCH(Kamus!$D$3:$D$162,$I608)),0)),"Barang Lain / Tidak Terinci"))</f>
        <v>Suvenir &amp; Merchandise</v>
      </c>
      <c r="U608" s="106" t="str" cm="1">
        <f t="array" ref="U608">IF(TRIM($I608)="","(tidak diisi)",IFERROR(INDEX(Kamus!$H$3:$H$75,MATCH(TRUE,ISNUMBER(SEARCH(Kamus!$G$3:$G$75,$I608)),0)),"Pemberian Umum / Tanpa Konteks"))</f>
        <v>Pemberian Umum / Tanpa Konteks</v>
      </c>
      <c r="V608" s="106" t="str">
        <f t="shared" si="27"/>
        <v>2025</v>
      </c>
      <c r="W608" s="106" t="str" cm="1">
        <f t="array" ref="W608">IF(TRIM($K608)="","(tidak diisi)",IFERROR(INDEX(Kamus!$K$3:$K$118,MATCH(TRUE,ISNUMBER(SEARCH(Kamus!$J$3:$J$118,$K608)),0)),"Individu / Perorangan"))</f>
        <v>Individu / Perorangan</v>
      </c>
      <c r="X608" s="106" t="str">
        <f t="shared" si="28"/>
        <v>11</v>
      </c>
      <c r="Y608" s="106" t="str" cm="1">
        <f t="array" ref="Y608">IFERROR(INDEX(Kamus!$N$3:$N$111,MATCH(TRUE,ISNUMBER(SEARCH(Kamus!$M$3:$M$111,$I608)),0)),"")</f>
        <v/>
      </c>
      <c r="Z608" s="106" t="str">
        <f>IF(AND(OR($X608="02",$X608="03",$X608="04"),OR($T608="Parsel/Bingkisan (tidak dirinci)",$T608="Makanan &amp; Minuman",$T608="Peralatan Rumah Tangga / Pecah Belah",$T608="Pakaian &amp; Kain")),"Momen Hari Raya (dugaan musiman)",IFERROR(VLOOKUP($W608,Kamus!$P$3:$Q$14,2,FALSE),"Tidak Teridentifikasi"))</f>
        <v>Relasi Personal / Tidak Teridentifikasi</v>
      </c>
      <c r="AA608" s="106" t="str">
        <f t="shared" si="29"/>
        <v>Relasi Personal / Tidak Teridentifikasi</v>
      </c>
    </row>
    <row r="609" spans="1:27">
      <c r="A609" s="106">
        <v>608</v>
      </c>
      <c r="B609" s="106" t="s">
        <v>3997</v>
      </c>
      <c r="C609" s="107" t="s">
        <v>3998</v>
      </c>
      <c r="D609" s="106" t="s">
        <v>3999</v>
      </c>
      <c r="E609" s="106" t="s">
        <v>4000</v>
      </c>
      <c r="F609" s="106" t="s">
        <v>4006</v>
      </c>
      <c r="G609" s="106" t="s">
        <v>1006</v>
      </c>
      <c r="H609" s="106" t="s">
        <v>3993</v>
      </c>
      <c r="I609" s="106" t="s">
        <v>4007</v>
      </c>
      <c r="J609" s="106">
        <v>550000</v>
      </c>
      <c r="K609" s="106" t="s">
        <v>4008</v>
      </c>
      <c r="L609" s="106" t="s">
        <v>4009</v>
      </c>
      <c r="M609" s="106" t="s">
        <v>1110</v>
      </c>
      <c r="N609" s="106" t="s">
        <v>4010</v>
      </c>
      <c r="O609" s="106" t="s">
        <v>274</v>
      </c>
      <c r="P609" s="106" t="s">
        <v>479</v>
      </c>
      <c r="Q609" s="106" t="s">
        <v>403</v>
      </c>
      <c r="S609" s="106" t="str" cm="1">
        <f t="array" ref="S609">IF(TRIM($D609)="","(tidak diisi)",IFERROR(INDEX(Kamus!$B$3:$B$28,MATCH(TRUE,ISNUMBER(SEARCH(Kamus!$A$3:$A$28,$D609)),0)),"Jabatan Lainnya"))</f>
        <v>Wakil Ketua Pengadilan</v>
      </c>
      <c r="T609" s="106" t="str" cm="1">
        <f t="array" ref="T609">IF(TRIM($I609)="","(tidak diisi)",IFERROR(INDEX(Kamus!$E$3:$E$162,MATCH(TRUE,ISNUMBER(SEARCH(Kamus!$D$3:$D$162,$I609)),0)),"Barang Lain / Tidak Terinci"))</f>
        <v>Karangan Bunga / Ucapan</v>
      </c>
      <c r="U609" s="106" t="str" cm="1">
        <f t="array" ref="U609">IF(TRIM($I609)="","(tidak diisi)",IFERROR(INDEX(Kamus!$H$3:$H$75,MATCH(TRUE,ISNUMBER(SEARCH(Kamus!$G$3:$G$75,$I609)),0)),"Pemberian Umum / Tanpa Konteks"))</f>
        <v>Ucapan Duka/Selamat (Karangan Bunga)</v>
      </c>
      <c r="V609" s="106" t="str">
        <f t="shared" si="27"/>
        <v>2025</v>
      </c>
      <c r="W609" s="106" t="str" cm="1">
        <f t="array" ref="W609">IF(TRIM($K609)="","(tidak diisi)",IFERROR(INDEX(Kamus!$K$3:$K$118,MATCH(TRUE,ISNUMBER(SEARCH(Kamus!$J$3:$J$118,$K609)),0)),"Individu / Perorangan"))</f>
        <v>Individu / Perorangan</v>
      </c>
      <c r="X609" s="106" t="str">
        <f t="shared" si="28"/>
        <v>11</v>
      </c>
      <c r="Y609" s="106" t="str" cm="1">
        <f t="array" ref="Y609">IFERROR(INDEX(Kamus!$N$3:$N$111,MATCH(TRUE,ISNUMBER(SEARCH(Kamus!$M$3:$M$111,$I609)),0)),"")</f>
        <v/>
      </c>
      <c r="Z609" s="106" t="str">
        <f>IF(AND(OR($X609="02",$X609="03",$X609="04"),OR($T609="Parsel/Bingkisan (tidak dirinci)",$T609="Makanan &amp; Minuman",$T609="Peralatan Rumah Tangga / Pecah Belah",$T609="Pakaian &amp; Kain")),"Momen Hari Raya (dugaan musiman)",IFERROR(VLOOKUP($W609,Kamus!$P$3:$Q$14,2,FALSE),"Tidak Teridentifikasi"))</f>
        <v>Relasi Personal / Tidak Teridentifikasi</v>
      </c>
      <c r="AA609" s="106" t="str">
        <f t="shared" si="29"/>
        <v>Relasi Personal / Tidak Teridentifikasi</v>
      </c>
    </row>
    <row r="610" spans="1:27">
      <c r="A610" s="106">
        <v>609</v>
      </c>
      <c r="B610" s="106" t="s">
        <v>1174</v>
      </c>
      <c r="C610" s="107" t="s">
        <v>1175</v>
      </c>
      <c r="D610" s="106" t="s">
        <v>1042</v>
      </c>
      <c r="E610" s="106" t="s">
        <v>1176</v>
      </c>
      <c r="F610" s="106" t="s">
        <v>4011</v>
      </c>
      <c r="G610" s="106" t="s">
        <v>1006</v>
      </c>
      <c r="H610" s="106" t="s">
        <v>4012</v>
      </c>
      <c r="I610" s="106" t="s">
        <v>3790</v>
      </c>
      <c r="J610" s="106">
        <v>50000</v>
      </c>
      <c r="K610" s="106" t="s">
        <v>4013</v>
      </c>
      <c r="L610" s="106" t="s">
        <v>4014</v>
      </c>
      <c r="M610" s="106" t="s">
        <v>1039</v>
      </c>
      <c r="O610" s="106" t="s">
        <v>274</v>
      </c>
      <c r="P610" s="106" t="s">
        <v>1181</v>
      </c>
      <c r="Q610" s="106" t="s">
        <v>429</v>
      </c>
      <c r="S610" s="106" t="str" cm="1">
        <f t="array" ref="S610">IF(TRIM($D610)="","(tidak diisi)",IFERROR(INDEX(Kamus!$B$3:$B$28,MATCH(TRUE,ISNUMBER(SEARCH(Kamus!$A$3:$A$28,$D610)),0)),"Jabatan Lainnya"))</f>
        <v>Ketua Pengadilan</v>
      </c>
      <c r="T610" s="106" t="str" cm="1">
        <f t="array" ref="T610">IF(TRIM($I610)="","(tidak diisi)",IFERROR(INDEX(Kamus!$E$3:$E$162,MATCH(TRUE,ISNUMBER(SEARCH(Kamus!$D$3:$D$162,$I610)),0)),"Barang Lain / Tidak Terinci"))</f>
        <v>Suvenir &amp; Merchandise</v>
      </c>
      <c r="U610" s="106" t="str" cm="1">
        <f t="array" ref="U610">IF(TRIM($I610)="","(tidak diisi)",IFERROR(INDEX(Kamus!$H$3:$H$75,MATCH(TRUE,ISNUMBER(SEARCH(Kamus!$G$3:$G$75,$I610)),0)),"Pemberian Umum / Tanpa Konteks"))</f>
        <v>Suvenir / Merchandise Kegiatan &amp; Kunjungan</v>
      </c>
      <c r="V610" s="106" t="str">
        <f t="shared" si="27"/>
        <v>2025</v>
      </c>
      <c r="W610" s="106" t="str" cm="1">
        <f t="array" ref="W610">IF(TRIM($K610)="","(tidak diisi)",IFERROR(INDEX(Kamus!$K$3:$K$118,MATCH(TRUE,ISNUMBER(SEARCH(Kamus!$J$3:$J$118,$K610)),0)),"Individu / Perorangan"))</f>
        <v>Perusahaan / Vendor</v>
      </c>
      <c r="X610" s="106" t="str">
        <f t="shared" si="28"/>
        <v>12</v>
      </c>
      <c r="Y610" s="106" t="str" cm="1">
        <f t="array" ref="Y610">IFERROR(INDEX(Kamus!$N$3:$N$111,MATCH(TRUE,ISNUMBER(SEARCH(Kamus!$M$3:$M$111,$I610)),0)),"")</f>
        <v/>
      </c>
      <c r="Z610" s="106" t="str">
        <f>IF(AND(OR($X610="02",$X610="03",$X610="04"),OR($T610="Parsel/Bingkisan (tidak dirinci)",$T610="Makanan &amp; Minuman",$T610="Peralatan Rumah Tangga / Pecah Belah",$T610="Pakaian &amp; Kain")),"Momen Hari Raya (dugaan musiman)",IFERROR(VLOOKUP($W610,Kamus!$P$3:$Q$14,2,FALSE),"Tidak Teridentifikasi"))</f>
        <v>Relasi Vendor/Pengadaan (dugaan)</v>
      </c>
      <c r="AA610" s="106" t="str">
        <f t="shared" si="29"/>
        <v>Relasi Vendor/Pengadaan (dugaan)</v>
      </c>
    </row>
    <row r="611" spans="1:27">
      <c r="A611" s="106">
        <v>610</v>
      </c>
      <c r="B611" s="106" t="s">
        <v>4015</v>
      </c>
      <c r="C611" s="107" t="s">
        <v>4016</v>
      </c>
      <c r="D611" s="106" t="s">
        <v>4017</v>
      </c>
      <c r="E611" s="106" t="s">
        <v>3882</v>
      </c>
      <c r="F611" s="106" t="s">
        <v>4018</v>
      </c>
      <c r="G611" s="106" t="s">
        <v>1006</v>
      </c>
      <c r="H611" s="106" t="s">
        <v>4019</v>
      </c>
      <c r="I611" s="106" t="s">
        <v>4020</v>
      </c>
      <c r="J611" s="106">
        <v>20000</v>
      </c>
      <c r="K611" s="106" t="s">
        <v>4021</v>
      </c>
      <c r="L611" s="106" t="s">
        <v>4022</v>
      </c>
      <c r="M611" s="106" t="s">
        <v>1020</v>
      </c>
      <c r="O611" s="106" t="s">
        <v>274</v>
      </c>
      <c r="P611" s="106" t="s">
        <v>3887</v>
      </c>
      <c r="Q611" s="106" t="s">
        <v>409</v>
      </c>
      <c r="S611" s="106" t="str" cm="1">
        <f t="array" ref="S611">IF(TRIM($D611)="","(tidak diisi)",IFERROR(INDEX(Kamus!$B$3:$B$28,MATCH(TRUE,ISNUMBER(SEARCH(Kamus!$A$3:$A$28,$D611)),0)),"Jabatan Lainnya"))</f>
        <v>Jabatan Lainnya</v>
      </c>
      <c r="T611" s="106" t="str" cm="1">
        <f t="array" ref="T611">IF(TRIM($I611)="","(tidak diisi)",IFERROR(INDEX(Kamus!$E$3:$E$162,MATCH(TRUE,ISNUMBER(SEARCH(Kamus!$D$3:$D$162,$I611)),0)),"Barang Lain / Tidak Terinci"))</f>
        <v>Peralatan Rumah Tangga / Pecah Belah</v>
      </c>
      <c r="U611" s="106" t="str" cm="1">
        <f t="array" ref="U611">IF(TRIM($I611)="","(tidak diisi)",IFERROR(INDEX(Kamus!$H$3:$H$75,MATCH(TRUE,ISNUMBER(SEARCH(Kamus!$G$3:$G$75,$I611)),0)),"Pemberian Umum / Tanpa Konteks"))</f>
        <v>Pemberian Umum / Tanpa Konteks</v>
      </c>
      <c r="V611" s="106" t="str">
        <f t="shared" si="27"/>
        <v>2025</v>
      </c>
      <c r="W611" s="106" t="str" cm="1">
        <f t="array" ref="W611">IF(TRIM($K611)="","(tidak diisi)",IFERROR(INDEX(Kamus!$K$3:$K$118,MATCH(TRUE,ISNUMBER(SEARCH(Kamus!$J$3:$J$118,$K611)),0)),"Individu / Perorangan"))</f>
        <v>Individu / Perorangan</v>
      </c>
      <c r="X611" s="106" t="str">
        <f t="shared" si="28"/>
        <v>12</v>
      </c>
      <c r="Y611" s="106" t="str" cm="1">
        <f t="array" ref="Y611">IFERROR(INDEX(Kamus!$N$3:$N$111,MATCH(TRUE,ISNUMBER(SEARCH(Kamus!$M$3:$M$111,$I611)),0)),"")</f>
        <v/>
      </c>
      <c r="Z611" s="106" t="str">
        <f>IF(AND(OR($X611="02",$X611="03",$X611="04"),OR($T611="Parsel/Bingkisan (tidak dirinci)",$T611="Makanan &amp; Minuman",$T611="Peralatan Rumah Tangga / Pecah Belah",$T611="Pakaian &amp; Kain")),"Momen Hari Raya (dugaan musiman)",IFERROR(VLOOKUP($W611,Kamus!$P$3:$Q$14,2,FALSE),"Tidak Teridentifikasi"))</f>
        <v>Relasi Personal / Tidak Teridentifikasi</v>
      </c>
      <c r="AA611" s="106" t="str">
        <f t="shared" si="29"/>
        <v>Relasi Personal / Tidak Teridentifikasi</v>
      </c>
    </row>
    <row r="612" spans="1:27">
      <c r="A612" s="106">
        <v>611</v>
      </c>
      <c r="B612" s="106" t="s">
        <v>4023</v>
      </c>
      <c r="C612" s="107" t="s">
        <v>4024</v>
      </c>
      <c r="D612" s="106" t="s">
        <v>3375</v>
      </c>
      <c r="E612" s="106" t="s">
        <v>3882</v>
      </c>
      <c r="F612" s="106" t="s">
        <v>4025</v>
      </c>
      <c r="G612" s="106" t="s">
        <v>1006</v>
      </c>
      <c r="H612" s="106" t="s">
        <v>4019</v>
      </c>
      <c r="I612" s="106" t="s">
        <v>4020</v>
      </c>
      <c r="K612" s="106" t="s">
        <v>4026</v>
      </c>
      <c r="L612" s="106" t="s">
        <v>4027</v>
      </c>
      <c r="O612" s="106" t="s">
        <v>274</v>
      </c>
      <c r="P612" s="106" t="s">
        <v>3887</v>
      </c>
      <c r="Q612" s="106" t="s">
        <v>409</v>
      </c>
      <c r="S612" s="106" t="str" cm="1">
        <f t="array" ref="S612">IF(TRIM($D612)="","(tidak diisi)",IFERROR(INDEX(Kamus!$B$3:$B$28,MATCH(TRUE,ISNUMBER(SEARCH(Kamus!$A$3:$A$28,$D612)),0)),"Jabatan Lainnya"))</f>
        <v>Staf/Pegawai Pelaksana</v>
      </c>
      <c r="T612" s="106" t="str" cm="1">
        <f t="array" ref="T612">IF(TRIM($I612)="","(tidak diisi)",IFERROR(INDEX(Kamus!$E$3:$E$162,MATCH(TRUE,ISNUMBER(SEARCH(Kamus!$D$3:$D$162,$I612)),0)),"Barang Lain / Tidak Terinci"))</f>
        <v>Peralatan Rumah Tangga / Pecah Belah</v>
      </c>
      <c r="U612" s="106" t="str" cm="1">
        <f t="array" ref="U612">IF(TRIM($I612)="","(tidak diisi)",IFERROR(INDEX(Kamus!$H$3:$H$75,MATCH(TRUE,ISNUMBER(SEARCH(Kamus!$G$3:$G$75,$I612)),0)),"Pemberian Umum / Tanpa Konteks"))</f>
        <v>Pemberian Umum / Tanpa Konteks</v>
      </c>
      <c r="V612" s="106" t="str">
        <f t="shared" si="27"/>
        <v>2025</v>
      </c>
      <c r="W612" s="106" t="str" cm="1">
        <f t="array" ref="W612">IF(TRIM($K612)="","(tidak diisi)",IFERROR(INDEX(Kamus!$K$3:$K$118,MATCH(TRUE,ISNUMBER(SEARCH(Kamus!$J$3:$J$118,$K612)),0)),"Individu / Perorangan"))</f>
        <v>Individu / Perorangan</v>
      </c>
      <c r="X612" s="106" t="str">
        <f t="shared" si="28"/>
        <v>12</v>
      </c>
      <c r="Y612" s="106" t="str" cm="1">
        <f t="array" ref="Y612">IFERROR(INDEX(Kamus!$N$3:$N$111,MATCH(TRUE,ISNUMBER(SEARCH(Kamus!$M$3:$M$111,$I612)),0)),"")</f>
        <v/>
      </c>
      <c r="Z612" s="106" t="str">
        <f>IF(AND(OR($X612="02",$X612="03",$X612="04"),OR($T612="Parsel/Bingkisan (tidak dirinci)",$T612="Makanan &amp; Minuman",$T612="Peralatan Rumah Tangga / Pecah Belah",$T612="Pakaian &amp; Kain")),"Momen Hari Raya (dugaan musiman)",IFERROR(VLOOKUP($W612,Kamus!$P$3:$Q$14,2,FALSE),"Tidak Teridentifikasi"))</f>
        <v>Relasi Personal / Tidak Teridentifikasi</v>
      </c>
      <c r="AA612" s="106" t="str">
        <f t="shared" si="29"/>
        <v>Relasi Personal / Tidak Teridentifikasi</v>
      </c>
    </row>
    <row r="613" spans="1:27">
      <c r="A613" s="106">
        <v>612</v>
      </c>
      <c r="B613" s="106" t="s">
        <v>3879</v>
      </c>
      <c r="C613" s="107" t="s">
        <v>3880</v>
      </c>
      <c r="D613" s="106" t="s">
        <v>3881</v>
      </c>
      <c r="E613" s="106" t="s">
        <v>3882</v>
      </c>
      <c r="F613" s="106" t="s">
        <v>4028</v>
      </c>
      <c r="G613" s="106" t="s">
        <v>1006</v>
      </c>
      <c r="H613" s="106" t="s">
        <v>4019</v>
      </c>
      <c r="I613" s="106" t="s">
        <v>4020</v>
      </c>
      <c r="K613" s="106" t="s">
        <v>4029</v>
      </c>
      <c r="L613" s="106" t="s">
        <v>4030</v>
      </c>
      <c r="O613" s="106" t="s">
        <v>274</v>
      </c>
      <c r="P613" s="106" t="s">
        <v>3887</v>
      </c>
      <c r="Q613" s="106" t="s">
        <v>409</v>
      </c>
      <c r="S613" s="106" t="str" cm="1">
        <f t="array" ref="S613">IF(TRIM($D613)="","(tidak diisi)",IFERROR(INDEX(Kamus!$B$3:$B$28,MATCH(TRUE,ISNUMBER(SEARCH(Kamus!$A$3:$A$28,$D613)),0)),"Jabatan Lainnya"))</f>
        <v>Wakil Ketua Pengadilan</v>
      </c>
      <c r="T613" s="106" t="str" cm="1">
        <f t="array" ref="T613">IF(TRIM($I613)="","(tidak diisi)",IFERROR(INDEX(Kamus!$E$3:$E$162,MATCH(TRUE,ISNUMBER(SEARCH(Kamus!$D$3:$D$162,$I613)),0)),"Barang Lain / Tidak Terinci"))</f>
        <v>Peralatan Rumah Tangga / Pecah Belah</v>
      </c>
      <c r="U613" s="106" t="str" cm="1">
        <f t="array" ref="U613">IF(TRIM($I613)="","(tidak diisi)",IFERROR(INDEX(Kamus!$H$3:$H$75,MATCH(TRUE,ISNUMBER(SEARCH(Kamus!$G$3:$G$75,$I613)),0)),"Pemberian Umum / Tanpa Konteks"))</f>
        <v>Pemberian Umum / Tanpa Konteks</v>
      </c>
      <c r="V613" s="106" t="str">
        <f t="shared" si="27"/>
        <v>2025</v>
      </c>
      <c r="W613" s="106" t="str" cm="1">
        <f t="array" ref="W613">IF(TRIM($K613)="","(tidak diisi)",IFERROR(INDEX(Kamus!$K$3:$K$118,MATCH(TRUE,ISNUMBER(SEARCH(Kamus!$J$3:$J$118,$K613)),0)),"Individu / Perorangan"))</f>
        <v>Individu / Perorangan</v>
      </c>
      <c r="X613" s="106" t="str">
        <f t="shared" si="28"/>
        <v>12</v>
      </c>
      <c r="Y613" s="106" t="str" cm="1">
        <f t="array" ref="Y613">IFERROR(INDEX(Kamus!$N$3:$N$111,MATCH(TRUE,ISNUMBER(SEARCH(Kamus!$M$3:$M$111,$I613)),0)),"")</f>
        <v/>
      </c>
      <c r="Z613" s="106" t="str">
        <f>IF(AND(OR($X613="02",$X613="03",$X613="04"),OR($T613="Parsel/Bingkisan (tidak dirinci)",$T613="Makanan &amp; Minuman",$T613="Peralatan Rumah Tangga / Pecah Belah",$T613="Pakaian &amp; Kain")),"Momen Hari Raya (dugaan musiman)",IFERROR(VLOOKUP($W613,Kamus!$P$3:$Q$14,2,FALSE),"Tidak Teridentifikasi"))</f>
        <v>Relasi Personal / Tidak Teridentifikasi</v>
      </c>
      <c r="AA613" s="106" t="str">
        <f t="shared" si="29"/>
        <v>Relasi Personal / Tidak Teridentifikasi</v>
      </c>
    </row>
    <row r="614" spans="1:27">
      <c r="A614" s="106">
        <v>613</v>
      </c>
      <c r="B614" s="106" t="s">
        <v>4031</v>
      </c>
      <c r="C614" s="107" t="s">
        <v>4032</v>
      </c>
      <c r="D614" s="106" t="s">
        <v>4033</v>
      </c>
      <c r="E614" s="106" t="s">
        <v>3882</v>
      </c>
      <c r="F614" s="106" t="s">
        <v>4034</v>
      </c>
      <c r="G614" s="106" t="s">
        <v>1006</v>
      </c>
      <c r="H614" s="106" t="s">
        <v>4019</v>
      </c>
      <c r="I614" s="106" t="s">
        <v>4020</v>
      </c>
      <c r="K614" s="106" t="s">
        <v>4035</v>
      </c>
      <c r="L614" s="106" t="s">
        <v>4036</v>
      </c>
      <c r="O614" s="106" t="s">
        <v>274</v>
      </c>
      <c r="P614" s="106" t="s">
        <v>3887</v>
      </c>
      <c r="Q614" s="106" t="s">
        <v>409</v>
      </c>
      <c r="S614" s="106" t="str" cm="1">
        <f t="array" ref="S614">IF(TRIM($D614)="","(tidak diisi)",IFERROR(INDEX(Kamus!$B$3:$B$28,MATCH(TRUE,ISNUMBER(SEARCH(Kamus!$A$3:$A$28,$D614)),0)),"Jabatan Lainnya"))</f>
        <v>Staf/Pegawai Pelaksana</v>
      </c>
      <c r="T614" s="106" t="str" cm="1">
        <f t="array" ref="T614">IF(TRIM($I614)="","(tidak diisi)",IFERROR(INDEX(Kamus!$E$3:$E$162,MATCH(TRUE,ISNUMBER(SEARCH(Kamus!$D$3:$D$162,$I614)),0)),"Barang Lain / Tidak Terinci"))</f>
        <v>Peralatan Rumah Tangga / Pecah Belah</v>
      </c>
      <c r="U614" s="106" t="str" cm="1">
        <f t="array" ref="U614">IF(TRIM($I614)="","(tidak diisi)",IFERROR(INDEX(Kamus!$H$3:$H$75,MATCH(TRUE,ISNUMBER(SEARCH(Kamus!$G$3:$G$75,$I614)),0)),"Pemberian Umum / Tanpa Konteks"))</f>
        <v>Pemberian Umum / Tanpa Konteks</v>
      </c>
      <c r="V614" s="106" t="str">
        <f t="shared" si="27"/>
        <v>2025</v>
      </c>
      <c r="W614" s="106" t="str" cm="1">
        <f t="array" ref="W614">IF(TRIM($K614)="","(tidak diisi)",IFERROR(INDEX(Kamus!$K$3:$K$118,MATCH(TRUE,ISNUMBER(SEARCH(Kamus!$J$3:$J$118,$K614)),0)),"Individu / Perorangan"))</f>
        <v>Individu / Perorangan</v>
      </c>
      <c r="X614" s="106" t="str">
        <f t="shared" si="28"/>
        <v>12</v>
      </c>
      <c r="Y614" s="106" t="str" cm="1">
        <f t="array" ref="Y614">IFERROR(INDEX(Kamus!$N$3:$N$111,MATCH(TRUE,ISNUMBER(SEARCH(Kamus!$M$3:$M$111,$I614)),0)),"")</f>
        <v/>
      </c>
      <c r="Z614" s="106" t="str">
        <f>IF(AND(OR($X614="02",$X614="03",$X614="04"),OR($T614="Parsel/Bingkisan (tidak dirinci)",$T614="Makanan &amp; Minuman",$T614="Peralatan Rumah Tangga / Pecah Belah",$T614="Pakaian &amp; Kain")),"Momen Hari Raya (dugaan musiman)",IFERROR(VLOOKUP($W614,Kamus!$P$3:$Q$14,2,FALSE),"Tidak Teridentifikasi"))</f>
        <v>Relasi Personal / Tidak Teridentifikasi</v>
      </c>
      <c r="AA614" s="106" t="str">
        <f t="shared" si="29"/>
        <v>Relasi Personal / Tidak Teridentifikasi</v>
      </c>
    </row>
    <row r="615" spans="1:27">
      <c r="A615" s="106">
        <v>614</v>
      </c>
      <c r="B615" s="106" t="s">
        <v>4037</v>
      </c>
      <c r="C615" s="107" t="s">
        <v>4038</v>
      </c>
      <c r="D615" s="106" t="s">
        <v>4039</v>
      </c>
      <c r="E615" s="106" t="s">
        <v>3882</v>
      </c>
      <c r="F615" s="106" t="s">
        <v>4040</v>
      </c>
      <c r="G615" s="106" t="s">
        <v>1006</v>
      </c>
      <c r="H615" s="106" t="s">
        <v>4019</v>
      </c>
      <c r="I615" s="106" t="s">
        <v>4020</v>
      </c>
      <c r="K615" s="106" t="s">
        <v>4041</v>
      </c>
      <c r="L615" s="106" t="s">
        <v>4042</v>
      </c>
      <c r="O615" s="106" t="s">
        <v>274</v>
      </c>
      <c r="P615" s="106" t="s">
        <v>3887</v>
      </c>
      <c r="Q615" s="106" t="s">
        <v>409</v>
      </c>
      <c r="S615" s="106" t="str" cm="1">
        <f t="array" ref="S615">IF(TRIM($D615)="","(tidak diisi)",IFERROR(INDEX(Kamus!$B$3:$B$28,MATCH(TRUE,ISNUMBER(SEARCH(Kamus!$A$3:$A$28,$D615)),0)),"Jabatan Lainnya"))</f>
        <v>Staf/Pegawai Pelaksana</v>
      </c>
      <c r="T615" s="106" t="str" cm="1">
        <f t="array" ref="T615">IF(TRIM($I615)="","(tidak diisi)",IFERROR(INDEX(Kamus!$E$3:$E$162,MATCH(TRUE,ISNUMBER(SEARCH(Kamus!$D$3:$D$162,$I615)),0)),"Barang Lain / Tidak Terinci"))</f>
        <v>Peralatan Rumah Tangga / Pecah Belah</v>
      </c>
      <c r="U615" s="106" t="str" cm="1">
        <f t="array" ref="U615">IF(TRIM($I615)="","(tidak diisi)",IFERROR(INDEX(Kamus!$H$3:$H$75,MATCH(TRUE,ISNUMBER(SEARCH(Kamus!$G$3:$G$75,$I615)),0)),"Pemberian Umum / Tanpa Konteks"))</f>
        <v>Pemberian Umum / Tanpa Konteks</v>
      </c>
      <c r="V615" s="106" t="str">
        <f t="shared" si="27"/>
        <v>2025</v>
      </c>
      <c r="W615" s="106" t="str" cm="1">
        <f t="array" ref="W615">IF(TRIM($K615)="","(tidak diisi)",IFERROR(INDEX(Kamus!$K$3:$K$118,MATCH(TRUE,ISNUMBER(SEARCH(Kamus!$J$3:$J$118,$K615)),0)),"Individu / Perorangan"))</f>
        <v>Individu / Perorangan</v>
      </c>
      <c r="X615" s="106" t="str">
        <f t="shared" si="28"/>
        <v>12</v>
      </c>
      <c r="Y615" s="106" t="str" cm="1">
        <f t="array" ref="Y615">IFERROR(INDEX(Kamus!$N$3:$N$111,MATCH(TRUE,ISNUMBER(SEARCH(Kamus!$M$3:$M$111,$I615)),0)),"")</f>
        <v/>
      </c>
      <c r="Z615" s="106" t="str">
        <f>IF(AND(OR($X615="02",$X615="03",$X615="04"),OR($T615="Parsel/Bingkisan (tidak dirinci)",$T615="Makanan &amp; Minuman",$T615="Peralatan Rumah Tangga / Pecah Belah",$T615="Pakaian &amp; Kain")),"Momen Hari Raya (dugaan musiman)",IFERROR(VLOOKUP($W615,Kamus!$P$3:$Q$14,2,FALSE),"Tidak Teridentifikasi"))</f>
        <v>Relasi Personal / Tidak Teridentifikasi</v>
      </c>
      <c r="AA615" s="106" t="str">
        <f t="shared" si="29"/>
        <v>Relasi Personal / Tidak Teridentifikasi</v>
      </c>
    </row>
    <row r="616" spans="1:27">
      <c r="A616" s="106">
        <v>615</v>
      </c>
      <c r="B616" s="106" t="s">
        <v>4043</v>
      </c>
      <c r="C616" s="107" t="s">
        <v>4044</v>
      </c>
      <c r="D616" s="106" t="s">
        <v>2259</v>
      </c>
      <c r="E616" s="106" t="s">
        <v>3882</v>
      </c>
      <c r="F616" s="106" t="s">
        <v>4045</v>
      </c>
      <c r="G616" s="106" t="s">
        <v>1006</v>
      </c>
      <c r="H616" s="106" t="s">
        <v>4019</v>
      </c>
      <c r="I616" s="106" t="s">
        <v>4046</v>
      </c>
      <c r="K616" s="106" t="s">
        <v>4029</v>
      </c>
      <c r="L616" s="106" t="s">
        <v>4047</v>
      </c>
      <c r="O616" s="106" t="s">
        <v>274</v>
      </c>
      <c r="P616" s="106" t="s">
        <v>3887</v>
      </c>
      <c r="Q616" s="106" t="s">
        <v>409</v>
      </c>
      <c r="S616" s="106" t="str" cm="1">
        <f t="array" ref="S616">IF(TRIM($D616)="","(tidak diisi)",IFERROR(INDEX(Kamus!$B$3:$B$28,MATCH(TRUE,ISNUMBER(SEARCH(Kamus!$A$3:$A$28,$D616)),0)),"Jabatan Lainnya"))</f>
        <v>Staf/Pegawai Pelaksana</v>
      </c>
      <c r="T616" s="106" t="str" cm="1">
        <f t="array" ref="T616">IF(TRIM($I616)="","(tidak diisi)",IFERROR(INDEX(Kamus!$E$3:$E$162,MATCH(TRUE,ISNUMBER(SEARCH(Kamus!$D$3:$D$162,$I616)),0)),"Barang Lain / Tidak Terinci"))</f>
        <v>Peralatan Rumah Tangga / Pecah Belah</v>
      </c>
      <c r="U616" s="106" t="str" cm="1">
        <f t="array" ref="U616">IF(TRIM($I616)="","(tidak diisi)",IFERROR(INDEX(Kamus!$H$3:$H$75,MATCH(TRUE,ISNUMBER(SEARCH(Kamus!$G$3:$G$75,$I616)),0)),"Pemberian Umum / Tanpa Konteks"))</f>
        <v>Pemberian Umum / Tanpa Konteks</v>
      </c>
      <c r="V616" s="106" t="str">
        <f t="shared" si="27"/>
        <v>2025</v>
      </c>
      <c r="W616" s="106" t="str" cm="1">
        <f t="array" ref="W616">IF(TRIM($K616)="","(tidak diisi)",IFERROR(INDEX(Kamus!$K$3:$K$118,MATCH(TRUE,ISNUMBER(SEARCH(Kamus!$J$3:$J$118,$K616)),0)),"Individu / Perorangan"))</f>
        <v>Individu / Perorangan</v>
      </c>
      <c r="X616" s="106" t="str">
        <f t="shared" si="28"/>
        <v>12</v>
      </c>
      <c r="Y616" s="106" t="str" cm="1">
        <f t="array" ref="Y616">IFERROR(INDEX(Kamus!$N$3:$N$111,MATCH(TRUE,ISNUMBER(SEARCH(Kamus!$M$3:$M$111,$I616)),0)),"")</f>
        <v/>
      </c>
      <c r="Z616" s="106" t="str">
        <f>IF(AND(OR($X616="02",$X616="03",$X616="04"),OR($T616="Parsel/Bingkisan (tidak dirinci)",$T616="Makanan &amp; Minuman",$T616="Peralatan Rumah Tangga / Pecah Belah",$T616="Pakaian &amp; Kain")),"Momen Hari Raya (dugaan musiman)",IFERROR(VLOOKUP($W616,Kamus!$P$3:$Q$14,2,FALSE),"Tidak Teridentifikasi"))</f>
        <v>Relasi Personal / Tidak Teridentifikasi</v>
      </c>
      <c r="AA616" s="106" t="str">
        <f t="shared" si="29"/>
        <v>Relasi Personal / Tidak Teridentifikasi</v>
      </c>
    </row>
    <row r="617" spans="1:27">
      <c r="A617" s="106">
        <v>616</v>
      </c>
      <c r="B617" s="106" t="s">
        <v>4048</v>
      </c>
      <c r="C617" s="107" t="s">
        <v>4049</v>
      </c>
      <c r="D617" s="106" t="s">
        <v>4050</v>
      </c>
      <c r="E617" s="106" t="s">
        <v>3882</v>
      </c>
      <c r="F617" s="106" t="s">
        <v>4051</v>
      </c>
      <c r="G617" s="106" t="s">
        <v>1006</v>
      </c>
      <c r="H617" s="106" t="s">
        <v>4019</v>
      </c>
      <c r="I617" s="106" t="s">
        <v>4020</v>
      </c>
      <c r="K617" s="106" t="s">
        <v>4052</v>
      </c>
      <c r="L617" s="106" t="s">
        <v>4053</v>
      </c>
      <c r="O617" s="106" t="s">
        <v>274</v>
      </c>
      <c r="P617" s="106" t="s">
        <v>3887</v>
      </c>
      <c r="Q617" s="106" t="s">
        <v>409</v>
      </c>
      <c r="S617" s="106" t="str" cm="1">
        <f t="array" ref="S617">IF(TRIM($D617)="","(tidak diisi)",IFERROR(INDEX(Kamus!$B$3:$B$28,MATCH(TRUE,ISNUMBER(SEARCH(Kamus!$A$3:$A$28,$D617)),0)),"Jabatan Lainnya"))</f>
        <v>Jabatan Lainnya</v>
      </c>
      <c r="T617" s="106" t="str" cm="1">
        <f t="array" ref="T617">IF(TRIM($I617)="","(tidak diisi)",IFERROR(INDEX(Kamus!$E$3:$E$162,MATCH(TRUE,ISNUMBER(SEARCH(Kamus!$D$3:$D$162,$I617)),0)),"Barang Lain / Tidak Terinci"))</f>
        <v>Peralatan Rumah Tangga / Pecah Belah</v>
      </c>
      <c r="U617" s="106" t="str" cm="1">
        <f t="array" ref="U617">IF(TRIM($I617)="","(tidak diisi)",IFERROR(INDEX(Kamus!$H$3:$H$75,MATCH(TRUE,ISNUMBER(SEARCH(Kamus!$G$3:$G$75,$I617)),0)),"Pemberian Umum / Tanpa Konteks"))</f>
        <v>Pemberian Umum / Tanpa Konteks</v>
      </c>
      <c r="V617" s="106" t="str">
        <f t="shared" si="27"/>
        <v>2025</v>
      </c>
      <c r="W617" s="106" t="str" cm="1">
        <f t="array" ref="W617">IF(TRIM($K617)="","(tidak diisi)",IFERROR(INDEX(Kamus!$K$3:$K$118,MATCH(TRUE,ISNUMBER(SEARCH(Kamus!$J$3:$J$118,$K617)),0)),"Individu / Perorangan"))</f>
        <v>Individu / Perorangan</v>
      </c>
      <c r="X617" s="106" t="str">
        <f t="shared" si="28"/>
        <v>12</v>
      </c>
      <c r="Y617" s="106" t="str" cm="1">
        <f t="array" ref="Y617">IFERROR(INDEX(Kamus!$N$3:$N$111,MATCH(TRUE,ISNUMBER(SEARCH(Kamus!$M$3:$M$111,$I617)),0)),"")</f>
        <v/>
      </c>
      <c r="Z617" s="106" t="str">
        <f>IF(AND(OR($X617="02",$X617="03",$X617="04"),OR($T617="Parsel/Bingkisan (tidak dirinci)",$T617="Makanan &amp; Minuman",$T617="Peralatan Rumah Tangga / Pecah Belah",$T617="Pakaian &amp; Kain")),"Momen Hari Raya (dugaan musiman)",IFERROR(VLOOKUP($W617,Kamus!$P$3:$Q$14,2,FALSE),"Tidak Teridentifikasi"))</f>
        <v>Relasi Personal / Tidak Teridentifikasi</v>
      </c>
      <c r="AA617" s="106" t="str">
        <f t="shared" si="29"/>
        <v>Relasi Personal / Tidak Teridentifikasi</v>
      </c>
    </row>
    <row r="618" spans="1:27">
      <c r="A618" s="106">
        <v>617</v>
      </c>
      <c r="B618" s="106" t="s">
        <v>1197</v>
      </c>
      <c r="C618" s="107" t="s">
        <v>1198</v>
      </c>
      <c r="D618" s="106" t="s">
        <v>1199</v>
      </c>
      <c r="E618" s="106" t="s">
        <v>1200</v>
      </c>
      <c r="F618" s="106" t="s">
        <v>4054</v>
      </c>
      <c r="G618" s="106" t="s">
        <v>1006</v>
      </c>
      <c r="H618" s="106" t="s">
        <v>4055</v>
      </c>
      <c r="I618" s="106" t="s">
        <v>4056</v>
      </c>
      <c r="J618" s="106">
        <v>200000</v>
      </c>
      <c r="K618" s="106" t="s">
        <v>4057</v>
      </c>
      <c r="L618" s="106" t="s">
        <v>4058</v>
      </c>
      <c r="M618" s="106" t="s">
        <v>1020</v>
      </c>
      <c r="O618" s="106" t="s">
        <v>274</v>
      </c>
      <c r="P618" s="106" t="s">
        <v>1205</v>
      </c>
      <c r="Q618" s="106" t="s">
        <v>366</v>
      </c>
      <c r="S618" s="106" t="str" cm="1">
        <f t="array" ref="S618">IF(TRIM($D618)="","(tidak diisi)",IFERROR(INDEX(Kamus!$B$3:$B$28,MATCH(TRUE,ISNUMBER(SEARCH(Kamus!$A$3:$A$28,$D618)),0)),"Jabatan Lainnya"))</f>
        <v>Pimpinan Satker/Direktorat</v>
      </c>
      <c r="T618" s="106" t="str" cm="1">
        <f t="array" ref="T618">IF(TRIM($I618)="","(tidak diisi)",IFERROR(INDEX(Kamus!$E$3:$E$162,MATCH(TRUE,ISNUMBER(SEARCH(Kamus!$D$3:$D$162,$I618)),0)),"Barang Lain / Tidak Terinci"))</f>
        <v>Makanan &amp; Minuman</v>
      </c>
      <c r="U618" s="106" t="str" cm="1">
        <f t="array" ref="U618">IF(TRIM($I618)="","(tidak diisi)",IFERROR(INDEX(Kamus!$H$3:$H$75,MATCH(TRUE,ISNUMBER(SEARCH(Kamus!$G$3:$G$75,$I618)),0)),"Pemberian Umum / Tanpa Konteks"))</f>
        <v>Jamuan / Konsumsi Rapat &amp; Kegiatan</v>
      </c>
      <c r="V618" s="106" t="str">
        <f t="shared" si="27"/>
        <v>2025</v>
      </c>
      <c r="W618" s="106" t="str" cm="1">
        <f t="array" ref="W618">IF(TRIM($K618)="","(tidak diisi)",IFERROR(INDEX(Kamus!$K$3:$K$118,MATCH(TRUE,ISNUMBER(SEARCH(Kamus!$J$3:$J$118,$K618)),0)),"Individu / Perorangan"))</f>
        <v>Individu / Perorangan</v>
      </c>
      <c r="X618" s="106" t="str">
        <f t="shared" si="28"/>
        <v>12</v>
      </c>
      <c r="Y618" s="106" t="str" cm="1">
        <f t="array" ref="Y618">IFERROR(INDEX(Kamus!$N$3:$N$111,MATCH(TRUE,ISNUMBER(SEARCH(Kamus!$M$3:$M$111,$I618)),0)),"")</f>
        <v>Rapat / Jamuan Dinas</v>
      </c>
      <c r="Z618" s="106" t="str">
        <f>IF(AND(OR($X618="02",$X618="03",$X618="04"),OR($T618="Parsel/Bingkisan (tidak dirinci)",$T618="Makanan &amp; Minuman",$T618="Peralatan Rumah Tangga / Pecah Belah",$T618="Pakaian &amp; Kain")),"Momen Hari Raya (dugaan musiman)",IFERROR(VLOOKUP($W618,Kamus!$P$3:$Q$14,2,FALSE),"Tidak Teridentifikasi"))</f>
        <v>Relasi Personal / Tidak Teridentifikasi</v>
      </c>
      <c r="AA618" s="106" t="str">
        <f t="shared" si="29"/>
        <v>Rapat / Jamuan Dinas</v>
      </c>
    </row>
    <row r="619" spans="1:27">
      <c r="A619" s="106">
        <v>618</v>
      </c>
      <c r="B619" s="106" t="s">
        <v>1334</v>
      </c>
      <c r="C619" s="107" t="s">
        <v>1335</v>
      </c>
      <c r="D619" s="106" t="s">
        <v>1336</v>
      </c>
      <c r="E619" s="106" t="s">
        <v>1005</v>
      </c>
      <c r="F619" s="106" t="s">
        <v>4059</v>
      </c>
      <c r="G619" s="106" t="s">
        <v>1006</v>
      </c>
      <c r="H619" s="106" t="s">
        <v>4055</v>
      </c>
      <c r="I619" s="106" t="s">
        <v>4060</v>
      </c>
      <c r="K619" s="106" t="s">
        <v>4061</v>
      </c>
      <c r="L619" s="106" t="s">
        <v>4062</v>
      </c>
      <c r="O619" s="106" t="s">
        <v>274</v>
      </c>
      <c r="S619" s="106" t="str" cm="1">
        <f t="array" ref="S619">IF(TRIM($D619)="","(tidak diisi)",IFERROR(INDEX(Kamus!$B$3:$B$28,MATCH(TRUE,ISNUMBER(SEARCH(Kamus!$A$3:$A$28,$D619)),0)),"Jabatan Lainnya"))</f>
        <v>Panitera</v>
      </c>
      <c r="T619" s="106" t="str" cm="1">
        <f t="array" ref="T619">IF(TRIM($I619)="","(tidak diisi)",IFERROR(INDEX(Kamus!$E$3:$E$162,MATCH(TRUE,ISNUMBER(SEARCH(Kamus!$D$3:$D$162,$I619)),0)),"Barang Lain / Tidak Terinci"))</f>
        <v>Makanan &amp; Minuman</v>
      </c>
      <c r="U619" s="106" t="str" cm="1">
        <f t="array" ref="U619">IF(TRIM($I619)="","(tidak diisi)",IFERROR(INDEX(Kamus!$H$3:$H$75,MATCH(TRUE,ISNUMBER(SEARCH(Kamus!$G$3:$G$75,$I619)),0)),"Pemberian Umum / Tanpa Konteks"))</f>
        <v>Pemberian Umum / Tanpa Konteks</v>
      </c>
      <c r="V619" s="106" t="str">
        <f t="shared" si="27"/>
        <v>2025</v>
      </c>
      <c r="W619" s="106" t="str" cm="1">
        <f t="array" ref="W619">IF(TRIM($K619)="","(tidak diisi)",IFERROR(INDEX(Kamus!$K$3:$K$118,MATCH(TRUE,ISNUMBER(SEARCH(Kamus!$J$3:$J$118,$K619)),0)),"Individu / Perorangan"))</f>
        <v>Individu / Perorangan</v>
      </c>
      <c r="X619" s="106" t="str">
        <f t="shared" si="28"/>
        <v>12</v>
      </c>
      <c r="Y619" s="106" t="str" cm="1">
        <f t="array" ref="Y619">IFERROR(INDEX(Kamus!$N$3:$N$111,MATCH(TRUE,ISNUMBER(SEARCH(Kamus!$M$3:$M$111,$I619)),0)),"")</f>
        <v/>
      </c>
      <c r="Z619" s="106" t="str">
        <f>IF(AND(OR($X619="02",$X619="03",$X619="04"),OR($T619="Parsel/Bingkisan (tidak dirinci)",$T619="Makanan &amp; Minuman",$T619="Peralatan Rumah Tangga / Pecah Belah",$T619="Pakaian &amp; Kain")),"Momen Hari Raya (dugaan musiman)",IFERROR(VLOOKUP($W619,Kamus!$P$3:$Q$14,2,FALSE),"Tidak Teridentifikasi"))</f>
        <v>Relasi Personal / Tidak Teridentifikasi</v>
      </c>
      <c r="AA619" s="106" t="str">
        <f t="shared" si="29"/>
        <v>Relasi Personal / Tidak Teridentifikasi</v>
      </c>
    </row>
    <row r="620" spans="1:27">
      <c r="A620" s="106">
        <v>619</v>
      </c>
      <c r="B620" s="106" t="s">
        <v>3879</v>
      </c>
      <c r="C620" s="107" t="s">
        <v>3880</v>
      </c>
      <c r="D620" s="106" t="s">
        <v>3881</v>
      </c>
      <c r="E620" s="106" t="s">
        <v>3882</v>
      </c>
      <c r="F620" s="106" t="s">
        <v>4063</v>
      </c>
      <c r="G620" s="106" t="s">
        <v>1006</v>
      </c>
      <c r="H620" s="106" t="s">
        <v>4064</v>
      </c>
      <c r="I620" s="106" t="s">
        <v>4065</v>
      </c>
      <c r="K620" s="106" t="s">
        <v>4066</v>
      </c>
      <c r="L620" s="106" t="s">
        <v>4067</v>
      </c>
      <c r="O620" s="106" t="s">
        <v>274</v>
      </c>
      <c r="P620" s="106" t="s">
        <v>3887</v>
      </c>
      <c r="Q620" s="106" t="s">
        <v>409</v>
      </c>
      <c r="S620" s="106" t="str" cm="1">
        <f t="array" ref="S620">IF(TRIM($D620)="","(tidak diisi)",IFERROR(INDEX(Kamus!$B$3:$B$28,MATCH(TRUE,ISNUMBER(SEARCH(Kamus!$A$3:$A$28,$D620)),0)),"Jabatan Lainnya"))</f>
        <v>Wakil Ketua Pengadilan</v>
      </c>
      <c r="T620" s="106" t="str" cm="1">
        <f t="array" ref="T620">IF(TRIM($I620)="","(tidak diisi)",IFERROR(INDEX(Kamus!$E$3:$E$162,MATCH(TRUE,ISNUMBER(SEARCH(Kamus!$D$3:$D$162,$I620)),0)),"Barang Lain / Tidak Terinci"))</f>
        <v>Peralatan Rumah Tangga / Pecah Belah</v>
      </c>
      <c r="U620" s="106" t="str" cm="1">
        <f t="array" ref="U620">IF(TRIM($I620)="","(tidak diisi)",IFERROR(INDEX(Kamus!$H$3:$H$75,MATCH(TRUE,ISNUMBER(SEARCH(Kamus!$G$3:$G$75,$I620)),0)),"Pemberian Umum / Tanpa Konteks"))</f>
        <v>Pemberian Umum / Tanpa Konteks</v>
      </c>
      <c r="V620" s="106" t="str">
        <f t="shared" si="27"/>
        <v>2025</v>
      </c>
      <c r="W620" s="106" t="str" cm="1">
        <f t="array" ref="W620">IF(TRIM($K620)="","(tidak diisi)",IFERROR(INDEX(Kamus!$K$3:$K$118,MATCH(TRUE,ISNUMBER(SEARCH(Kamus!$J$3:$J$118,$K620)),0)),"Individu / Perorangan"))</f>
        <v>Individu / Perorangan</v>
      </c>
      <c r="X620" s="106" t="str">
        <f t="shared" si="28"/>
        <v>12</v>
      </c>
      <c r="Y620" s="106" t="str" cm="1">
        <f t="array" ref="Y620">IFERROR(INDEX(Kamus!$N$3:$N$111,MATCH(TRUE,ISNUMBER(SEARCH(Kamus!$M$3:$M$111,$I620)),0)),"")</f>
        <v/>
      </c>
      <c r="Z620" s="106" t="str">
        <f>IF(AND(OR($X620="02",$X620="03",$X620="04"),OR($T620="Parsel/Bingkisan (tidak dirinci)",$T620="Makanan &amp; Minuman",$T620="Peralatan Rumah Tangga / Pecah Belah",$T620="Pakaian &amp; Kain")),"Momen Hari Raya (dugaan musiman)",IFERROR(VLOOKUP($W620,Kamus!$P$3:$Q$14,2,FALSE),"Tidak Teridentifikasi"))</f>
        <v>Relasi Personal / Tidak Teridentifikasi</v>
      </c>
      <c r="AA620" s="106" t="str">
        <f t="shared" si="29"/>
        <v>Relasi Personal / Tidak Teridentifikasi</v>
      </c>
    </row>
    <row r="621" spans="1:27">
      <c r="A621" s="106">
        <v>620</v>
      </c>
      <c r="B621" s="106" t="s">
        <v>4015</v>
      </c>
      <c r="C621" s="107" t="s">
        <v>4016</v>
      </c>
      <c r="D621" s="106" t="s">
        <v>4017</v>
      </c>
      <c r="E621" s="106" t="s">
        <v>3882</v>
      </c>
      <c r="F621" s="106" t="s">
        <v>4068</v>
      </c>
      <c r="G621" s="106" t="s">
        <v>1006</v>
      </c>
      <c r="H621" s="106" t="s">
        <v>4064</v>
      </c>
      <c r="I621" s="106" t="s">
        <v>4069</v>
      </c>
      <c r="K621" s="106" t="s">
        <v>4070</v>
      </c>
      <c r="L621" s="106" t="s">
        <v>4071</v>
      </c>
      <c r="O621" s="106" t="s">
        <v>274</v>
      </c>
      <c r="P621" s="106" t="s">
        <v>3887</v>
      </c>
      <c r="Q621" s="106" t="s">
        <v>409</v>
      </c>
      <c r="S621" s="106" t="str" cm="1">
        <f t="array" ref="S621">IF(TRIM($D621)="","(tidak diisi)",IFERROR(INDEX(Kamus!$B$3:$B$28,MATCH(TRUE,ISNUMBER(SEARCH(Kamus!$A$3:$A$28,$D621)),0)),"Jabatan Lainnya"))</f>
        <v>Jabatan Lainnya</v>
      </c>
      <c r="T621" s="106" t="str" cm="1">
        <f t="array" ref="T621">IF(TRIM($I621)="","(tidak diisi)",IFERROR(INDEX(Kamus!$E$3:$E$162,MATCH(TRUE,ISNUMBER(SEARCH(Kamus!$D$3:$D$162,$I621)),0)),"Barang Lain / Tidak Terinci"))</f>
        <v>Peralatan Rumah Tangga / Pecah Belah</v>
      </c>
      <c r="U621" s="106" t="str" cm="1">
        <f t="array" ref="U621">IF(TRIM($I621)="","(tidak diisi)",IFERROR(INDEX(Kamus!$H$3:$H$75,MATCH(TRUE,ISNUMBER(SEARCH(Kamus!$G$3:$G$75,$I621)),0)),"Pemberian Umum / Tanpa Konteks"))</f>
        <v>Pemberian Umum / Tanpa Konteks</v>
      </c>
      <c r="V621" s="106" t="str">
        <f t="shared" si="27"/>
        <v>2025</v>
      </c>
      <c r="W621" s="106" t="str" cm="1">
        <f t="array" ref="W621">IF(TRIM($K621)="","(tidak diisi)",IFERROR(INDEX(Kamus!$K$3:$K$118,MATCH(TRUE,ISNUMBER(SEARCH(Kamus!$J$3:$J$118,$K621)),0)),"Individu / Perorangan"))</f>
        <v>Individu / Perorangan</v>
      </c>
      <c r="X621" s="106" t="str">
        <f t="shared" si="28"/>
        <v>12</v>
      </c>
      <c r="Y621" s="106" t="str" cm="1">
        <f t="array" ref="Y621">IFERROR(INDEX(Kamus!$N$3:$N$111,MATCH(TRUE,ISNUMBER(SEARCH(Kamus!$M$3:$M$111,$I621)),0)),"")</f>
        <v/>
      </c>
      <c r="Z621" s="106" t="str">
        <f>IF(AND(OR($X621="02",$X621="03",$X621="04"),OR($T621="Parsel/Bingkisan (tidak dirinci)",$T621="Makanan &amp; Minuman",$T621="Peralatan Rumah Tangga / Pecah Belah",$T621="Pakaian &amp; Kain")),"Momen Hari Raya (dugaan musiman)",IFERROR(VLOOKUP($W621,Kamus!$P$3:$Q$14,2,FALSE),"Tidak Teridentifikasi"))</f>
        <v>Relasi Personal / Tidak Teridentifikasi</v>
      </c>
      <c r="AA621" s="106" t="str">
        <f t="shared" si="29"/>
        <v>Relasi Personal / Tidak Teridentifikasi</v>
      </c>
    </row>
    <row r="622" spans="1:27">
      <c r="A622" s="106">
        <v>621</v>
      </c>
      <c r="B622" s="106" t="s">
        <v>4015</v>
      </c>
      <c r="C622" s="107" t="s">
        <v>4016</v>
      </c>
      <c r="D622" s="106" t="s">
        <v>4017</v>
      </c>
      <c r="E622" s="106" t="s">
        <v>3882</v>
      </c>
      <c r="F622" s="106" t="s">
        <v>4072</v>
      </c>
      <c r="G622" s="106" t="s">
        <v>1006</v>
      </c>
      <c r="H622" s="106" t="s">
        <v>3730</v>
      </c>
      <c r="I622" s="106" t="s">
        <v>1634</v>
      </c>
      <c r="J622" s="106">
        <v>120000</v>
      </c>
      <c r="K622" s="106" t="s">
        <v>4073</v>
      </c>
      <c r="L622" s="106" t="s">
        <v>4074</v>
      </c>
      <c r="M622" s="106" t="s">
        <v>1020</v>
      </c>
      <c r="O622" s="106" t="s">
        <v>274</v>
      </c>
      <c r="P622" s="106" t="s">
        <v>3887</v>
      </c>
      <c r="Q622" s="106" t="s">
        <v>409</v>
      </c>
      <c r="S622" s="106" t="str" cm="1">
        <f t="array" ref="S622">IF(TRIM($D622)="","(tidak diisi)",IFERROR(INDEX(Kamus!$B$3:$B$28,MATCH(TRUE,ISNUMBER(SEARCH(Kamus!$A$3:$A$28,$D622)),0)),"Jabatan Lainnya"))</f>
        <v>Jabatan Lainnya</v>
      </c>
      <c r="T622" s="106" t="str" cm="1">
        <f t="array" ref="T622">IF(TRIM($I622)="","(tidak diisi)",IFERROR(INDEX(Kamus!$E$3:$E$162,MATCH(TRUE,ISNUMBER(SEARCH(Kamus!$D$3:$D$162,$I622)),0)),"Barang Lain / Tidak Terinci"))</f>
        <v>Pakaian &amp; Kain</v>
      </c>
      <c r="U622" s="106" t="str" cm="1">
        <f t="array" ref="U622">IF(TRIM($I622)="","(tidak diisi)",IFERROR(INDEX(Kamus!$H$3:$H$75,MATCH(TRUE,ISNUMBER(SEARCH(Kamus!$G$3:$G$75,$I622)),0)),"Pemberian Umum / Tanpa Konteks"))</f>
        <v>Pemberian Umum / Tanpa Konteks</v>
      </c>
      <c r="V622" s="106" t="str">
        <f t="shared" si="27"/>
        <v>2025</v>
      </c>
      <c r="W622" s="106" t="str" cm="1">
        <f t="array" ref="W622">IF(TRIM($K622)="","(tidak diisi)",IFERROR(INDEX(Kamus!$K$3:$K$118,MATCH(TRUE,ISNUMBER(SEARCH(Kamus!$J$3:$J$118,$K622)),0)),"Individu / Perorangan"))</f>
        <v>Individu / Perorangan</v>
      </c>
      <c r="X622" s="106" t="str">
        <f t="shared" si="28"/>
        <v>10</v>
      </c>
      <c r="Y622" s="106" t="str" cm="1">
        <f t="array" ref="Y622">IFERROR(INDEX(Kamus!$N$3:$N$111,MATCH(TRUE,ISNUMBER(SEARCH(Kamus!$M$3:$M$111,$I622)),0)),"")</f>
        <v/>
      </c>
      <c r="Z622" s="106" t="str">
        <f>IF(AND(OR($X622="02",$X622="03",$X622="04"),OR($T622="Parsel/Bingkisan (tidak dirinci)",$T622="Makanan &amp; Minuman",$T622="Peralatan Rumah Tangga / Pecah Belah",$T622="Pakaian &amp; Kain")),"Momen Hari Raya (dugaan musiman)",IFERROR(VLOOKUP($W622,Kamus!$P$3:$Q$14,2,FALSE),"Tidak Teridentifikasi"))</f>
        <v>Relasi Personal / Tidak Teridentifikasi</v>
      </c>
      <c r="AA622" s="106" t="str">
        <f t="shared" si="29"/>
        <v>Relasi Personal / Tidak Teridentifikasi</v>
      </c>
    </row>
    <row r="623" spans="1:27">
      <c r="A623" s="106">
        <v>622</v>
      </c>
      <c r="B623" s="106" t="s">
        <v>4023</v>
      </c>
      <c r="C623" s="107" t="s">
        <v>4024</v>
      </c>
      <c r="D623" s="106" t="s">
        <v>3375</v>
      </c>
      <c r="E623" s="106" t="s">
        <v>3882</v>
      </c>
      <c r="F623" s="106" t="s">
        <v>4075</v>
      </c>
      <c r="G623" s="106" t="s">
        <v>1006</v>
      </c>
      <c r="H623" s="106" t="s">
        <v>4064</v>
      </c>
      <c r="I623" s="106" t="s">
        <v>4076</v>
      </c>
      <c r="K623" s="106" t="s">
        <v>4077</v>
      </c>
      <c r="L623" s="106" t="s">
        <v>4078</v>
      </c>
      <c r="O623" s="106" t="s">
        <v>274</v>
      </c>
      <c r="P623" s="106" t="s">
        <v>3887</v>
      </c>
      <c r="Q623" s="106" t="s">
        <v>409</v>
      </c>
      <c r="S623" s="106" t="str" cm="1">
        <f t="array" ref="S623">IF(TRIM($D623)="","(tidak diisi)",IFERROR(INDEX(Kamus!$B$3:$B$28,MATCH(TRUE,ISNUMBER(SEARCH(Kamus!$A$3:$A$28,$D623)),0)),"Jabatan Lainnya"))</f>
        <v>Staf/Pegawai Pelaksana</v>
      </c>
      <c r="T623" s="106" t="str" cm="1">
        <f t="array" ref="T623">IF(TRIM($I623)="","(tidak diisi)",IFERROR(INDEX(Kamus!$E$3:$E$162,MATCH(TRUE,ISNUMBER(SEARCH(Kamus!$D$3:$D$162,$I623)),0)),"Barang Lain / Tidak Terinci"))</f>
        <v>Peralatan Rumah Tangga / Pecah Belah</v>
      </c>
      <c r="U623" s="106" t="str" cm="1">
        <f t="array" ref="U623">IF(TRIM($I623)="","(tidak diisi)",IFERROR(INDEX(Kamus!$H$3:$H$75,MATCH(TRUE,ISNUMBER(SEARCH(Kamus!$G$3:$G$75,$I623)),0)),"Pemberian Umum / Tanpa Konteks"))</f>
        <v>Pemberian Umum / Tanpa Konteks</v>
      </c>
      <c r="V623" s="106" t="str">
        <f t="shared" si="27"/>
        <v>2025</v>
      </c>
      <c r="W623" s="106" t="str" cm="1">
        <f t="array" ref="W623">IF(TRIM($K623)="","(tidak diisi)",IFERROR(INDEX(Kamus!$K$3:$K$118,MATCH(TRUE,ISNUMBER(SEARCH(Kamus!$J$3:$J$118,$K623)),0)),"Individu / Perorangan"))</f>
        <v>Individu / Perorangan</v>
      </c>
      <c r="X623" s="106" t="str">
        <f t="shared" si="28"/>
        <v>12</v>
      </c>
      <c r="Y623" s="106" t="str" cm="1">
        <f t="array" ref="Y623">IFERROR(INDEX(Kamus!$N$3:$N$111,MATCH(TRUE,ISNUMBER(SEARCH(Kamus!$M$3:$M$111,$I623)),0)),"")</f>
        <v/>
      </c>
      <c r="Z623" s="106" t="str">
        <f>IF(AND(OR($X623="02",$X623="03",$X623="04"),OR($T623="Parsel/Bingkisan (tidak dirinci)",$T623="Makanan &amp; Minuman",$T623="Peralatan Rumah Tangga / Pecah Belah",$T623="Pakaian &amp; Kain")),"Momen Hari Raya (dugaan musiman)",IFERROR(VLOOKUP($W623,Kamus!$P$3:$Q$14,2,FALSE),"Tidak Teridentifikasi"))</f>
        <v>Relasi Personal / Tidak Teridentifikasi</v>
      </c>
      <c r="AA623" s="106" t="str">
        <f t="shared" si="29"/>
        <v>Relasi Personal / Tidak Teridentifikasi</v>
      </c>
    </row>
    <row r="624" spans="1:27">
      <c r="A624" s="106">
        <v>623</v>
      </c>
      <c r="B624" s="106" t="s">
        <v>4023</v>
      </c>
      <c r="C624" s="107" t="s">
        <v>4024</v>
      </c>
      <c r="D624" s="106" t="s">
        <v>3375</v>
      </c>
      <c r="E624" s="106" t="s">
        <v>3882</v>
      </c>
      <c r="F624" s="106" t="s">
        <v>4079</v>
      </c>
      <c r="G624" s="106" t="s">
        <v>1006</v>
      </c>
      <c r="H624" s="106" t="s">
        <v>4080</v>
      </c>
      <c r="I624" s="106" t="s">
        <v>1492</v>
      </c>
      <c r="J624" s="106">
        <v>120000</v>
      </c>
      <c r="K624" s="106" t="s">
        <v>4081</v>
      </c>
      <c r="L624" s="106" t="s">
        <v>4082</v>
      </c>
      <c r="M624" s="106" t="s">
        <v>1020</v>
      </c>
      <c r="O624" s="106" t="s">
        <v>274</v>
      </c>
      <c r="P624" s="106" t="s">
        <v>3887</v>
      </c>
      <c r="Q624" s="106" t="s">
        <v>409</v>
      </c>
      <c r="S624" s="106" t="str" cm="1">
        <f t="array" ref="S624">IF(TRIM($D624)="","(tidak diisi)",IFERROR(INDEX(Kamus!$B$3:$B$28,MATCH(TRUE,ISNUMBER(SEARCH(Kamus!$A$3:$A$28,$D624)),0)),"Jabatan Lainnya"))</f>
        <v>Staf/Pegawai Pelaksana</v>
      </c>
      <c r="T624" s="106" t="str" cm="1">
        <f t="array" ref="T624">IF(TRIM($I624)="","(tidak diisi)",IFERROR(INDEX(Kamus!$E$3:$E$162,MATCH(TRUE,ISNUMBER(SEARCH(Kamus!$D$3:$D$162,$I624)),0)),"Barang Lain / Tidak Terinci"))</f>
        <v>Pakaian &amp; Kain</v>
      </c>
      <c r="U624" s="106" t="str" cm="1">
        <f t="array" ref="U624">IF(TRIM($I624)="","(tidak diisi)",IFERROR(INDEX(Kamus!$H$3:$H$75,MATCH(TRUE,ISNUMBER(SEARCH(Kamus!$G$3:$G$75,$I624)),0)),"Pemberian Umum / Tanpa Konteks"))</f>
        <v>Pemberian Umum / Tanpa Konteks</v>
      </c>
      <c r="V624" s="106" t="str">
        <f t="shared" si="27"/>
        <v>2025</v>
      </c>
      <c r="W624" s="106" t="str" cm="1">
        <f t="array" ref="W624">IF(TRIM($K624)="","(tidak diisi)",IFERROR(INDEX(Kamus!$K$3:$K$118,MATCH(TRUE,ISNUMBER(SEARCH(Kamus!$J$3:$J$118,$K624)),0)),"Individu / Perorangan"))</f>
        <v>Individu / Perorangan</v>
      </c>
      <c r="X624" s="106" t="str">
        <f t="shared" si="28"/>
        <v>10</v>
      </c>
      <c r="Y624" s="106" t="str" cm="1">
        <f t="array" ref="Y624">IFERROR(INDEX(Kamus!$N$3:$N$111,MATCH(TRUE,ISNUMBER(SEARCH(Kamus!$M$3:$M$111,$I624)),0)),"")</f>
        <v/>
      </c>
      <c r="Z624" s="106" t="str">
        <f>IF(AND(OR($X624="02",$X624="03",$X624="04"),OR($T624="Parsel/Bingkisan (tidak dirinci)",$T624="Makanan &amp; Minuman",$T624="Peralatan Rumah Tangga / Pecah Belah",$T624="Pakaian &amp; Kain")),"Momen Hari Raya (dugaan musiman)",IFERROR(VLOOKUP($W624,Kamus!$P$3:$Q$14,2,FALSE),"Tidak Teridentifikasi"))</f>
        <v>Relasi Personal / Tidak Teridentifikasi</v>
      </c>
      <c r="AA624" s="106" t="str">
        <f t="shared" si="29"/>
        <v>Relasi Personal / Tidak Teridentifikasi</v>
      </c>
    </row>
    <row r="625" spans="1:27">
      <c r="A625" s="106">
        <v>624</v>
      </c>
      <c r="B625" s="106" t="s">
        <v>4031</v>
      </c>
      <c r="C625" s="107" t="s">
        <v>4032</v>
      </c>
      <c r="D625" s="106" t="s">
        <v>4033</v>
      </c>
      <c r="E625" s="106" t="s">
        <v>3882</v>
      </c>
      <c r="F625" s="106" t="s">
        <v>4083</v>
      </c>
      <c r="G625" s="106" t="s">
        <v>1006</v>
      </c>
      <c r="H625" s="106" t="s">
        <v>4064</v>
      </c>
      <c r="I625" s="106" t="s">
        <v>4084</v>
      </c>
      <c r="K625" s="106" t="s">
        <v>4085</v>
      </c>
      <c r="L625" s="106" t="s">
        <v>4086</v>
      </c>
      <c r="O625" s="106" t="s">
        <v>274</v>
      </c>
      <c r="P625" s="106" t="s">
        <v>3887</v>
      </c>
      <c r="Q625" s="106" t="s">
        <v>409</v>
      </c>
      <c r="S625" s="106" t="str" cm="1">
        <f t="array" ref="S625">IF(TRIM($D625)="","(tidak diisi)",IFERROR(INDEX(Kamus!$B$3:$B$28,MATCH(TRUE,ISNUMBER(SEARCH(Kamus!$A$3:$A$28,$D625)),0)),"Jabatan Lainnya"))</f>
        <v>Staf/Pegawai Pelaksana</v>
      </c>
      <c r="T625" s="106" t="str" cm="1">
        <f t="array" ref="T625">IF(TRIM($I625)="","(tidak diisi)",IFERROR(INDEX(Kamus!$E$3:$E$162,MATCH(TRUE,ISNUMBER(SEARCH(Kamus!$D$3:$D$162,$I625)),0)),"Barang Lain / Tidak Terinci"))</f>
        <v>Peralatan Rumah Tangga / Pecah Belah</v>
      </c>
      <c r="U625" s="106" t="str" cm="1">
        <f t="array" ref="U625">IF(TRIM($I625)="","(tidak diisi)",IFERROR(INDEX(Kamus!$H$3:$H$75,MATCH(TRUE,ISNUMBER(SEARCH(Kamus!$G$3:$G$75,$I625)),0)),"Pemberian Umum / Tanpa Konteks"))</f>
        <v>Pemberian Umum / Tanpa Konteks</v>
      </c>
      <c r="V625" s="106" t="str">
        <f t="shared" si="27"/>
        <v>2025</v>
      </c>
      <c r="W625" s="106" t="str" cm="1">
        <f t="array" ref="W625">IF(TRIM($K625)="","(tidak diisi)",IFERROR(INDEX(Kamus!$K$3:$K$118,MATCH(TRUE,ISNUMBER(SEARCH(Kamus!$J$3:$J$118,$K625)),0)),"Individu / Perorangan"))</f>
        <v>Individu / Perorangan</v>
      </c>
      <c r="X625" s="106" t="str">
        <f t="shared" si="28"/>
        <v>12</v>
      </c>
      <c r="Y625" s="106" t="str" cm="1">
        <f t="array" ref="Y625">IFERROR(INDEX(Kamus!$N$3:$N$111,MATCH(TRUE,ISNUMBER(SEARCH(Kamus!$M$3:$M$111,$I625)),0)),"")</f>
        <v/>
      </c>
      <c r="Z625" s="106" t="str">
        <f>IF(AND(OR($X625="02",$X625="03",$X625="04"),OR($T625="Parsel/Bingkisan (tidak dirinci)",$T625="Makanan &amp; Minuman",$T625="Peralatan Rumah Tangga / Pecah Belah",$T625="Pakaian &amp; Kain")),"Momen Hari Raya (dugaan musiman)",IFERROR(VLOOKUP($W625,Kamus!$P$3:$Q$14,2,FALSE),"Tidak Teridentifikasi"))</f>
        <v>Relasi Personal / Tidak Teridentifikasi</v>
      </c>
      <c r="AA625" s="106" t="str">
        <f t="shared" si="29"/>
        <v>Relasi Personal / Tidak Teridentifikasi</v>
      </c>
    </row>
    <row r="626" spans="1:27">
      <c r="A626" s="106">
        <v>625</v>
      </c>
      <c r="B626" s="106" t="s">
        <v>4048</v>
      </c>
      <c r="C626" s="107" t="s">
        <v>4049</v>
      </c>
      <c r="D626" s="106" t="s">
        <v>4050</v>
      </c>
      <c r="E626" s="106" t="s">
        <v>3882</v>
      </c>
      <c r="F626" s="106" t="s">
        <v>4087</v>
      </c>
      <c r="G626" s="106" t="s">
        <v>1006</v>
      </c>
      <c r="H626" s="106" t="s">
        <v>4064</v>
      </c>
      <c r="I626" s="106" t="s">
        <v>4069</v>
      </c>
      <c r="K626" s="106" t="s">
        <v>4088</v>
      </c>
      <c r="L626" s="106" t="s">
        <v>4089</v>
      </c>
      <c r="O626" s="106" t="s">
        <v>274</v>
      </c>
      <c r="P626" s="106" t="s">
        <v>3887</v>
      </c>
      <c r="Q626" s="106" t="s">
        <v>409</v>
      </c>
      <c r="S626" s="106" t="str" cm="1">
        <f t="array" ref="S626">IF(TRIM($D626)="","(tidak diisi)",IFERROR(INDEX(Kamus!$B$3:$B$28,MATCH(TRUE,ISNUMBER(SEARCH(Kamus!$A$3:$A$28,$D626)),0)),"Jabatan Lainnya"))</f>
        <v>Jabatan Lainnya</v>
      </c>
      <c r="T626" s="106" t="str" cm="1">
        <f t="array" ref="T626">IF(TRIM($I626)="","(tidak diisi)",IFERROR(INDEX(Kamus!$E$3:$E$162,MATCH(TRUE,ISNUMBER(SEARCH(Kamus!$D$3:$D$162,$I626)),0)),"Barang Lain / Tidak Terinci"))</f>
        <v>Peralatan Rumah Tangga / Pecah Belah</v>
      </c>
      <c r="U626" s="106" t="str" cm="1">
        <f t="array" ref="U626">IF(TRIM($I626)="","(tidak diisi)",IFERROR(INDEX(Kamus!$H$3:$H$75,MATCH(TRUE,ISNUMBER(SEARCH(Kamus!$G$3:$G$75,$I626)),0)),"Pemberian Umum / Tanpa Konteks"))</f>
        <v>Pemberian Umum / Tanpa Konteks</v>
      </c>
      <c r="V626" s="106" t="str">
        <f t="shared" si="27"/>
        <v>2025</v>
      </c>
      <c r="W626" s="106" t="str" cm="1">
        <f t="array" ref="W626">IF(TRIM($K626)="","(tidak diisi)",IFERROR(INDEX(Kamus!$K$3:$K$118,MATCH(TRUE,ISNUMBER(SEARCH(Kamus!$J$3:$J$118,$K626)),0)),"Individu / Perorangan"))</f>
        <v>Individu / Perorangan</v>
      </c>
      <c r="X626" s="106" t="str">
        <f t="shared" si="28"/>
        <v>12</v>
      </c>
      <c r="Y626" s="106" t="str" cm="1">
        <f t="array" ref="Y626">IFERROR(INDEX(Kamus!$N$3:$N$111,MATCH(TRUE,ISNUMBER(SEARCH(Kamus!$M$3:$M$111,$I626)),0)),"")</f>
        <v/>
      </c>
      <c r="Z626" s="106" t="str">
        <f>IF(AND(OR($X626="02",$X626="03",$X626="04"),OR($T626="Parsel/Bingkisan (tidak dirinci)",$T626="Makanan &amp; Minuman",$T626="Peralatan Rumah Tangga / Pecah Belah",$T626="Pakaian &amp; Kain")),"Momen Hari Raya (dugaan musiman)",IFERROR(VLOOKUP($W626,Kamus!$P$3:$Q$14,2,FALSE),"Tidak Teridentifikasi"))</f>
        <v>Relasi Personal / Tidak Teridentifikasi</v>
      </c>
      <c r="AA626" s="106" t="str">
        <f t="shared" si="29"/>
        <v>Relasi Personal / Tidak Teridentifikasi</v>
      </c>
    </row>
    <row r="627" spans="1:27">
      <c r="A627" s="106">
        <v>626</v>
      </c>
      <c r="B627" s="106" t="s">
        <v>4015</v>
      </c>
      <c r="C627" s="107" t="s">
        <v>4016</v>
      </c>
      <c r="D627" s="106" t="s">
        <v>4017</v>
      </c>
      <c r="E627" s="106" t="s">
        <v>3882</v>
      </c>
      <c r="F627" s="106" t="s">
        <v>4090</v>
      </c>
      <c r="G627" s="106" t="s">
        <v>1006</v>
      </c>
      <c r="H627" s="106" t="s">
        <v>4091</v>
      </c>
      <c r="I627" s="106" t="s">
        <v>4020</v>
      </c>
      <c r="J627" s="106">
        <v>20000</v>
      </c>
      <c r="K627" s="106" t="s">
        <v>4092</v>
      </c>
      <c r="L627" s="106" t="s">
        <v>4093</v>
      </c>
      <c r="M627" s="106" t="s">
        <v>1020</v>
      </c>
      <c r="O627" s="106" t="s">
        <v>274</v>
      </c>
      <c r="P627" s="106" t="s">
        <v>3887</v>
      </c>
      <c r="Q627" s="106" t="s">
        <v>409</v>
      </c>
      <c r="S627" s="106" t="str" cm="1">
        <f t="array" ref="S627">IF(TRIM($D627)="","(tidak diisi)",IFERROR(INDEX(Kamus!$B$3:$B$28,MATCH(TRUE,ISNUMBER(SEARCH(Kamus!$A$3:$A$28,$D627)),0)),"Jabatan Lainnya"))</f>
        <v>Jabatan Lainnya</v>
      </c>
      <c r="T627" s="106" t="str" cm="1">
        <f t="array" ref="T627">IF(TRIM($I627)="","(tidak diisi)",IFERROR(INDEX(Kamus!$E$3:$E$162,MATCH(TRUE,ISNUMBER(SEARCH(Kamus!$D$3:$D$162,$I627)),0)),"Barang Lain / Tidak Terinci"))</f>
        <v>Peralatan Rumah Tangga / Pecah Belah</v>
      </c>
      <c r="U627" s="106" t="str" cm="1">
        <f t="array" ref="U627">IF(TRIM($I627)="","(tidak diisi)",IFERROR(INDEX(Kamus!$H$3:$H$75,MATCH(TRUE,ISNUMBER(SEARCH(Kamus!$G$3:$G$75,$I627)),0)),"Pemberian Umum / Tanpa Konteks"))</f>
        <v>Pemberian Umum / Tanpa Konteks</v>
      </c>
      <c r="V627" s="106" t="str">
        <f t="shared" si="27"/>
        <v>2024</v>
      </c>
      <c r="W627" s="106" t="str" cm="1">
        <f t="array" ref="W627">IF(TRIM($K627)="","(tidak diisi)",IFERROR(INDEX(Kamus!$K$3:$K$118,MATCH(TRUE,ISNUMBER(SEARCH(Kamus!$J$3:$J$118,$K627)),0)),"Individu / Perorangan"))</f>
        <v>Individu / Perorangan</v>
      </c>
      <c r="X627" s="106" t="str">
        <f t="shared" si="28"/>
        <v>07</v>
      </c>
      <c r="Y627" s="106" t="str" cm="1">
        <f t="array" ref="Y627">IFERROR(INDEX(Kamus!$N$3:$N$111,MATCH(TRUE,ISNUMBER(SEARCH(Kamus!$M$3:$M$111,$I627)),0)),"")</f>
        <v/>
      </c>
      <c r="Z627" s="106" t="str">
        <f>IF(AND(OR($X627="02",$X627="03",$X627="04"),OR($T627="Parsel/Bingkisan (tidak dirinci)",$T627="Makanan &amp; Minuman",$T627="Peralatan Rumah Tangga / Pecah Belah",$T627="Pakaian &amp; Kain")),"Momen Hari Raya (dugaan musiman)",IFERROR(VLOOKUP($W627,Kamus!$P$3:$Q$14,2,FALSE),"Tidak Teridentifikasi"))</f>
        <v>Relasi Personal / Tidak Teridentifikasi</v>
      </c>
      <c r="AA627" s="106" t="str">
        <f t="shared" si="29"/>
        <v>Relasi Personal / Tidak Teridentifikasi</v>
      </c>
    </row>
    <row r="628" spans="1:27">
      <c r="A628" s="106">
        <v>627</v>
      </c>
      <c r="B628" s="106" t="s">
        <v>1806</v>
      </c>
      <c r="C628" s="107" t="s">
        <v>1807</v>
      </c>
      <c r="D628" s="106" t="s">
        <v>1808</v>
      </c>
      <c r="E628" s="106" t="s">
        <v>1809</v>
      </c>
      <c r="F628" s="106" t="s">
        <v>4094</v>
      </c>
      <c r="G628" s="106" t="s">
        <v>1006</v>
      </c>
      <c r="H628" s="106" t="s">
        <v>4064</v>
      </c>
      <c r="I628" s="106" t="s">
        <v>4095</v>
      </c>
      <c r="J628" s="106">
        <v>31000</v>
      </c>
      <c r="K628" s="106" t="s">
        <v>4096</v>
      </c>
      <c r="L628" s="106" t="s">
        <v>4097</v>
      </c>
      <c r="M628" s="106" t="s">
        <v>1039</v>
      </c>
      <c r="O628" s="106" t="s">
        <v>274</v>
      </c>
      <c r="P628" s="106" t="s">
        <v>1815</v>
      </c>
      <c r="Q628" s="106" t="s">
        <v>428</v>
      </c>
      <c r="S628" s="106" t="str" cm="1">
        <f t="array" ref="S628">IF(TRIM($D628)="","(tidak diisi)",IFERROR(INDEX(Kamus!$B$3:$B$28,MATCH(TRUE,ISNUMBER(SEARCH(Kamus!$A$3:$A$28,$D628)),0)),"Jabatan Lainnya"))</f>
        <v>Ketua Pengadilan</v>
      </c>
      <c r="T628" s="106" t="str" cm="1">
        <f t="array" ref="T628">IF(TRIM($I628)="","(tidak diisi)",IFERROR(INDEX(Kamus!$E$3:$E$162,MATCH(TRUE,ISNUMBER(SEARCH(Kamus!$D$3:$D$162,$I628)),0)),"Barang Lain / Tidak Terinci"))</f>
        <v>Suvenir &amp; Merchandise</v>
      </c>
      <c r="U628" s="106" t="str" cm="1">
        <f t="array" ref="U628">IF(TRIM($I628)="","(tidak diisi)",IFERROR(INDEX(Kamus!$H$3:$H$75,MATCH(TRUE,ISNUMBER(SEARCH(Kamus!$G$3:$G$75,$I628)),0)),"Pemberian Umum / Tanpa Konteks"))</f>
        <v>Pemberian Umum / Tanpa Konteks</v>
      </c>
      <c r="V628" s="106" t="str">
        <f t="shared" si="27"/>
        <v>2025</v>
      </c>
      <c r="W628" s="106" t="str" cm="1">
        <f t="array" ref="W628">IF(TRIM($K628)="","(tidak diisi)",IFERROR(INDEX(Kamus!$K$3:$K$118,MATCH(TRUE,ISNUMBER(SEARCH(Kamus!$J$3:$J$118,$K628)),0)),"Individu / Perorangan"))</f>
        <v>Individu / Perorangan</v>
      </c>
      <c r="X628" s="106" t="str">
        <f t="shared" si="28"/>
        <v>12</v>
      </c>
      <c r="Y628" s="106" t="str" cm="1">
        <f t="array" ref="Y628">IFERROR(INDEX(Kamus!$N$3:$N$111,MATCH(TRUE,ISNUMBER(SEARCH(Kamus!$M$3:$M$111,$I628)),0)),"")</f>
        <v/>
      </c>
      <c r="Z628" s="106" t="str">
        <f>IF(AND(OR($X628="02",$X628="03",$X628="04"),OR($T628="Parsel/Bingkisan (tidak dirinci)",$T628="Makanan &amp; Minuman",$T628="Peralatan Rumah Tangga / Pecah Belah",$T628="Pakaian &amp; Kain")),"Momen Hari Raya (dugaan musiman)",IFERROR(VLOOKUP($W628,Kamus!$P$3:$Q$14,2,FALSE),"Tidak Teridentifikasi"))</f>
        <v>Relasi Personal / Tidak Teridentifikasi</v>
      </c>
      <c r="AA628" s="106" t="str">
        <f t="shared" si="29"/>
        <v>Relasi Personal / Tidak Teridentifikasi</v>
      </c>
    </row>
    <row r="629" spans="1:27">
      <c r="A629" s="106">
        <v>628</v>
      </c>
      <c r="B629" s="106" t="s">
        <v>1806</v>
      </c>
      <c r="C629" s="107" t="s">
        <v>1807</v>
      </c>
      <c r="D629" s="106" t="s">
        <v>1808</v>
      </c>
      <c r="E629" s="106" t="s">
        <v>1809</v>
      </c>
      <c r="F629" s="106" t="s">
        <v>4098</v>
      </c>
      <c r="G629" s="106" t="s">
        <v>1006</v>
      </c>
      <c r="H629" s="106" t="s">
        <v>4099</v>
      </c>
      <c r="I629" s="106" t="s">
        <v>4100</v>
      </c>
      <c r="J629" s="106">
        <v>200000</v>
      </c>
      <c r="K629" s="106" t="s">
        <v>4101</v>
      </c>
      <c r="L629" s="106" t="s">
        <v>4102</v>
      </c>
      <c r="M629" s="106" t="s">
        <v>1171</v>
      </c>
      <c r="N629" s="106" t="s">
        <v>4103</v>
      </c>
      <c r="O629" s="106" t="s">
        <v>274</v>
      </c>
      <c r="P629" s="106" t="s">
        <v>1815</v>
      </c>
      <c r="Q629" s="106" t="s">
        <v>428</v>
      </c>
      <c r="S629" s="106" t="str" cm="1">
        <f t="array" ref="S629">IF(TRIM($D629)="","(tidak diisi)",IFERROR(INDEX(Kamus!$B$3:$B$28,MATCH(TRUE,ISNUMBER(SEARCH(Kamus!$A$3:$A$28,$D629)),0)),"Jabatan Lainnya"))</f>
        <v>Ketua Pengadilan</v>
      </c>
      <c r="T629" s="106" t="str" cm="1">
        <f t="array" ref="T629">IF(TRIM($I629)="","(tidak diisi)",IFERROR(INDEX(Kamus!$E$3:$E$162,MATCH(TRUE,ISNUMBER(SEARCH(Kamus!$D$3:$D$162,$I629)),0)),"Barang Lain / Tidak Terinci"))</f>
        <v>Pakaian &amp; Kain</v>
      </c>
      <c r="U629" s="106" t="str" cm="1">
        <f t="array" ref="U629">IF(TRIM($I629)="","(tidak diisi)",IFERROR(INDEX(Kamus!$H$3:$H$75,MATCH(TRUE,ISNUMBER(SEARCH(Kamus!$G$3:$G$75,$I629)),0)),"Pemberian Umum / Tanpa Konteks"))</f>
        <v>Pemberian Umum / Tanpa Konteks</v>
      </c>
      <c r="V629" s="106" t="str">
        <f t="shared" si="27"/>
        <v>2025</v>
      </c>
      <c r="W629" s="106" t="str" cm="1">
        <f t="array" ref="W629">IF(TRIM($K629)="","(tidak diisi)",IFERROR(INDEX(Kamus!$K$3:$K$118,MATCH(TRUE,ISNUMBER(SEARCH(Kamus!$J$3:$J$118,$K629)),0)),"Individu / Perorangan"))</f>
        <v>Individu / Perorangan</v>
      </c>
      <c r="X629" s="106" t="str">
        <f t="shared" si="28"/>
        <v>12</v>
      </c>
      <c r="Y629" s="106" t="str" cm="1">
        <f t="array" ref="Y629">IFERROR(INDEX(Kamus!$N$3:$N$111,MATCH(TRUE,ISNUMBER(SEARCH(Kamus!$M$3:$M$111,$I629)),0)),"")</f>
        <v/>
      </c>
      <c r="Z629" s="106" t="str">
        <f>IF(AND(OR($X629="02",$X629="03",$X629="04"),OR($T629="Parsel/Bingkisan (tidak dirinci)",$T629="Makanan &amp; Minuman",$T629="Peralatan Rumah Tangga / Pecah Belah",$T629="Pakaian &amp; Kain")),"Momen Hari Raya (dugaan musiman)",IFERROR(VLOOKUP($W629,Kamus!$P$3:$Q$14,2,FALSE),"Tidak Teridentifikasi"))</f>
        <v>Relasi Personal / Tidak Teridentifikasi</v>
      </c>
      <c r="AA629" s="106" t="str">
        <f t="shared" si="29"/>
        <v>Relasi Personal / Tidak Teridentifikasi</v>
      </c>
    </row>
    <row r="630" spans="1:27">
      <c r="A630" s="106">
        <v>629</v>
      </c>
      <c r="B630" s="106" t="s">
        <v>4104</v>
      </c>
      <c r="C630" s="107" t="s">
        <v>4105</v>
      </c>
      <c r="D630" s="106" t="s">
        <v>1033</v>
      </c>
      <c r="E630" s="106" t="s">
        <v>4106</v>
      </c>
      <c r="F630" s="106" t="s">
        <v>4107</v>
      </c>
      <c r="G630" s="106" t="s">
        <v>1006</v>
      </c>
      <c r="H630" s="106" t="s">
        <v>4099</v>
      </c>
      <c r="I630" s="106" t="s">
        <v>4108</v>
      </c>
      <c r="J630" s="106">
        <v>175000</v>
      </c>
      <c r="K630" s="106" t="s">
        <v>4109</v>
      </c>
      <c r="L630" s="106" t="s">
        <v>4110</v>
      </c>
      <c r="M630" s="106" t="s">
        <v>1171</v>
      </c>
      <c r="N630" s="106" t="s">
        <v>4111</v>
      </c>
      <c r="O630" s="106" t="s">
        <v>274</v>
      </c>
      <c r="P630" s="106" t="s">
        <v>4112</v>
      </c>
      <c r="Q630" s="106" t="s">
        <v>406</v>
      </c>
      <c r="S630" s="106" t="str" cm="1">
        <f t="array" ref="S630">IF(TRIM($D630)="","(tidak diisi)",IFERROR(INDEX(Kamus!$B$3:$B$28,MATCH(TRUE,ISNUMBER(SEARCH(Kamus!$A$3:$A$28,$D630)),0)),"Jabatan Lainnya"))</f>
        <v>Hakim</v>
      </c>
      <c r="T630" s="106" t="str" cm="1">
        <f t="array" ref="T630">IF(TRIM($I630)="","(tidak diisi)",IFERROR(INDEX(Kamus!$E$3:$E$162,MATCH(TRUE,ISNUMBER(SEARCH(Kamus!$D$3:$D$162,$I630)),0)),"Barang Lain / Tidak Terinci"))</f>
        <v>Makanan &amp; Minuman</v>
      </c>
      <c r="U630" s="106" t="str" cm="1">
        <f t="array" ref="U630">IF(TRIM($I630)="","(tidak diisi)",IFERROR(INDEX(Kamus!$H$3:$H$75,MATCH(TRUE,ISNUMBER(SEARCH(Kamus!$G$3:$G$75,$I630)),0)),"Pemberian Umum / Tanpa Konteks"))</f>
        <v>Bingkisan Hari Raya / Keagamaan</v>
      </c>
      <c r="V630" s="106" t="str">
        <f t="shared" si="27"/>
        <v>2025</v>
      </c>
      <c r="W630" s="106" t="str" cm="1">
        <f t="array" ref="W630">IF(TRIM($K630)="","(tidak diisi)",IFERROR(INDEX(Kamus!$K$3:$K$118,MATCH(TRUE,ISNUMBER(SEARCH(Kamus!$J$3:$J$118,$K630)),0)),"Individu / Perorangan"))</f>
        <v>Individu / Perorangan</v>
      </c>
      <c r="X630" s="106" t="str">
        <f t="shared" si="28"/>
        <v>12</v>
      </c>
      <c r="Y630" s="106" t="str" cm="1">
        <f t="array" ref="Y630">IFERROR(INDEX(Kamus!$N$3:$N$111,MATCH(TRUE,ISNUMBER(SEARCH(Kamus!$M$3:$M$111,$I630)),0)),"")</f>
        <v>Momen Hari Besar Keagamaan Lain</v>
      </c>
      <c r="Z630" s="106" t="str">
        <f>IF(AND(OR($X630="02",$X630="03",$X630="04"),OR($T630="Parsel/Bingkisan (tidak dirinci)",$T630="Makanan &amp; Minuman",$T630="Peralatan Rumah Tangga / Pecah Belah",$T630="Pakaian &amp; Kain")),"Momen Hari Raya (dugaan musiman)",IFERROR(VLOOKUP($W630,Kamus!$P$3:$Q$14,2,FALSE),"Tidak Teridentifikasi"))</f>
        <v>Relasi Personal / Tidak Teridentifikasi</v>
      </c>
      <c r="AA630" s="106" t="str">
        <f t="shared" si="29"/>
        <v>Momen Hari Besar Keagamaan Lain</v>
      </c>
    </row>
    <row r="631" spans="1:27">
      <c r="A631" s="106">
        <v>630</v>
      </c>
      <c r="B631" s="106" t="s">
        <v>1806</v>
      </c>
      <c r="C631" s="107" t="s">
        <v>1807</v>
      </c>
      <c r="D631" s="106" t="s">
        <v>1808</v>
      </c>
      <c r="E631" s="106" t="s">
        <v>1809</v>
      </c>
      <c r="F631" s="106" t="s">
        <v>4113</v>
      </c>
      <c r="G631" s="106" t="s">
        <v>1006</v>
      </c>
      <c r="H631" s="106" t="s">
        <v>4114</v>
      </c>
      <c r="I631" s="106" t="s">
        <v>4115</v>
      </c>
      <c r="J631" s="106">
        <v>4000</v>
      </c>
      <c r="K631" s="106" t="s">
        <v>4116</v>
      </c>
      <c r="L631" s="106" t="s">
        <v>4117</v>
      </c>
      <c r="M631" s="106" t="s">
        <v>1039</v>
      </c>
      <c r="O631" s="106" t="s">
        <v>274</v>
      </c>
      <c r="P631" s="106" t="s">
        <v>1815</v>
      </c>
      <c r="Q631" s="106" t="s">
        <v>428</v>
      </c>
      <c r="S631" s="106" t="str" cm="1">
        <f t="array" ref="S631">IF(TRIM($D631)="","(tidak diisi)",IFERROR(INDEX(Kamus!$B$3:$B$28,MATCH(TRUE,ISNUMBER(SEARCH(Kamus!$A$3:$A$28,$D631)),0)),"Jabatan Lainnya"))</f>
        <v>Ketua Pengadilan</v>
      </c>
      <c r="T631" s="106" t="str" cm="1">
        <f t="array" ref="T631">IF(TRIM($I631)="","(tidak diisi)",IFERROR(INDEX(Kamus!$E$3:$E$162,MATCH(TRUE,ISNUMBER(SEARCH(Kamus!$D$3:$D$162,$I631)),0)),"Barang Lain / Tidak Terinci"))</f>
        <v>Makanan &amp; Minuman</v>
      </c>
      <c r="U631" s="106" t="str" cm="1">
        <f t="array" ref="U631">IF(TRIM($I631)="","(tidak diisi)",IFERROR(INDEX(Kamus!$H$3:$H$75,MATCH(TRUE,ISNUMBER(SEARCH(Kamus!$G$3:$G$75,$I631)),0)),"Pemberian Umum / Tanpa Konteks"))</f>
        <v>Pemberian Umum / Tanpa Konteks</v>
      </c>
      <c r="V631" s="106" t="str">
        <f t="shared" si="27"/>
        <v>2025</v>
      </c>
      <c r="W631" s="106" t="str" cm="1">
        <f t="array" ref="W631">IF(TRIM($K631)="","(tidak diisi)",IFERROR(INDEX(Kamus!$K$3:$K$118,MATCH(TRUE,ISNUMBER(SEARCH(Kamus!$J$3:$J$118,$K631)),0)),"Individu / Perorangan"))</f>
        <v>Kampus &amp; Sekolah</v>
      </c>
      <c r="X631" s="106" t="str">
        <f t="shared" si="28"/>
        <v>12</v>
      </c>
      <c r="Y631" s="106" t="str" cm="1">
        <f t="array" ref="Y631">IFERROR(INDEX(Kamus!$N$3:$N$111,MATCH(TRUE,ISNUMBER(SEARCH(Kamus!$M$3:$M$111,$I631)),0)),"")</f>
        <v/>
      </c>
      <c r="Z631" s="106" t="str">
        <f>IF(AND(OR($X631="02",$X631="03",$X631="04"),OR($T631="Parsel/Bingkisan (tidak dirinci)",$T631="Makanan &amp; Minuman",$T631="Peralatan Rumah Tangga / Pecah Belah",$T631="Pakaian &amp; Kain")),"Momen Hari Raya (dugaan musiman)",IFERROR(VLOOKUP($W631,Kamus!$P$3:$Q$14,2,FALSE),"Tidak Teridentifikasi"))</f>
        <v>Kerja Sama Pendidikan/PKL (dugaan)</v>
      </c>
      <c r="AA631" s="106" t="str">
        <f t="shared" si="29"/>
        <v>Kerja Sama Pendidikan/PKL (dugaan)</v>
      </c>
    </row>
    <row r="632" spans="1:27">
      <c r="A632" s="106">
        <v>631</v>
      </c>
      <c r="B632" s="106" t="s">
        <v>3275</v>
      </c>
      <c r="C632" s="107" t="s">
        <v>3276</v>
      </c>
      <c r="D632" s="106" t="s">
        <v>1042</v>
      </c>
      <c r="E632" s="106" t="s">
        <v>1005</v>
      </c>
      <c r="F632" s="106" t="s">
        <v>4118</v>
      </c>
      <c r="G632" s="106" t="s">
        <v>1006</v>
      </c>
      <c r="H632" s="106" t="s">
        <v>4119</v>
      </c>
      <c r="I632" s="106" t="s">
        <v>3171</v>
      </c>
      <c r="K632" s="106" t="s">
        <v>4120</v>
      </c>
      <c r="L632" s="106" t="s">
        <v>4121</v>
      </c>
      <c r="O632" s="106" t="s">
        <v>274</v>
      </c>
      <c r="S632" s="106" t="str" cm="1">
        <f t="array" ref="S632">IF(TRIM($D632)="","(tidak diisi)",IFERROR(INDEX(Kamus!$B$3:$B$28,MATCH(TRUE,ISNUMBER(SEARCH(Kamus!$A$3:$A$28,$D632)),0)),"Jabatan Lainnya"))</f>
        <v>Ketua Pengadilan</v>
      </c>
      <c r="T632" s="106" t="str" cm="1">
        <f t="array" ref="T632">IF(TRIM($I632)="","(tidak diisi)",IFERROR(INDEX(Kamus!$E$3:$E$162,MATCH(TRUE,ISNUMBER(SEARCH(Kamus!$D$3:$D$162,$I632)),0)),"Barang Lain / Tidak Terinci"))</f>
        <v>Karangan Bunga / Ucapan</v>
      </c>
      <c r="U632" s="106" t="str" cm="1">
        <f t="array" ref="U632">IF(TRIM($I632)="","(tidak diisi)",IFERROR(INDEX(Kamus!$H$3:$H$75,MATCH(TRUE,ISNUMBER(SEARCH(Kamus!$G$3:$G$75,$I632)),0)),"Pemberian Umum / Tanpa Konteks"))</f>
        <v>Ucapan Duka/Selamat (Karangan Bunga)</v>
      </c>
      <c r="V632" s="106" t="str">
        <f t="shared" si="27"/>
        <v>2025</v>
      </c>
      <c r="W632" s="106" t="str" cm="1">
        <f t="array" ref="W632">IF(TRIM($K632)="","(tidak diisi)",IFERROR(INDEX(Kamus!$K$3:$K$118,MATCH(TRUE,ISNUMBER(SEARCH(Kamus!$J$3:$J$118,$K632)),0)),"Individu / Perorangan"))</f>
        <v>Individu / Perorangan</v>
      </c>
      <c r="X632" s="106" t="str">
        <f t="shared" si="28"/>
        <v>12</v>
      </c>
      <c r="Y632" s="106" t="str" cm="1">
        <f t="array" ref="Y632">IFERROR(INDEX(Kamus!$N$3:$N$111,MATCH(TRUE,ISNUMBER(SEARCH(Kamus!$M$3:$M$111,$I632)),0)),"")</f>
        <v>Ucapan Selamat/Duka atas Acara Instansi</v>
      </c>
      <c r="Z632" s="106" t="str">
        <f>IF(AND(OR($X632="02",$X632="03",$X632="04"),OR($T632="Parsel/Bingkisan (tidak dirinci)",$T632="Makanan &amp; Minuman",$T632="Peralatan Rumah Tangga / Pecah Belah",$T632="Pakaian &amp; Kain")),"Momen Hari Raya (dugaan musiman)",IFERROR(VLOOKUP($W632,Kamus!$P$3:$Q$14,2,FALSE),"Tidak Teridentifikasi"))</f>
        <v>Relasi Personal / Tidak Teridentifikasi</v>
      </c>
      <c r="AA632" s="106" t="str">
        <f t="shared" si="29"/>
        <v>Ucapan Selamat/Duka atas Acara Instansi</v>
      </c>
    </row>
    <row r="633" spans="1:27">
      <c r="A633" s="106">
        <v>632</v>
      </c>
      <c r="B633" s="106" t="s">
        <v>4122</v>
      </c>
      <c r="C633" s="107" t="s">
        <v>4123</v>
      </c>
      <c r="D633" s="106" t="s">
        <v>1033</v>
      </c>
      <c r="E633" s="106" t="s">
        <v>4124</v>
      </c>
      <c r="F633" s="106" t="s">
        <v>4125</v>
      </c>
      <c r="G633" s="106" t="s">
        <v>1006</v>
      </c>
      <c r="H633" s="106" t="s">
        <v>4126</v>
      </c>
      <c r="I633" s="106" t="s">
        <v>3196</v>
      </c>
      <c r="J633" s="106">
        <v>200000</v>
      </c>
      <c r="K633" s="106" t="s">
        <v>4127</v>
      </c>
      <c r="L633" s="106" t="s">
        <v>4128</v>
      </c>
      <c r="M633" s="106" t="s">
        <v>1171</v>
      </c>
      <c r="N633" s="106" t="s">
        <v>4129</v>
      </c>
      <c r="O633" s="106" t="s">
        <v>274</v>
      </c>
      <c r="P633" s="106" t="s">
        <v>4130</v>
      </c>
      <c r="Q633" s="106" t="s">
        <v>422</v>
      </c>
      <c r="S633" s="106" t="str" cm="1">
        <f t="array" ref="S633">IF(TRIM($D633)="","(tidak diisi)",IFERROR(INDEX(Kamus!$B$3:$B$28,MATCH(TRUE,ISNUMBER(SEARCH(Kamus!$A$3:$A$28,$D633)),0)),"Jabatan Lainnya"))</f>
        <v>Hakim</v>
      </c>
      <c r="T633" s="106" t="str" cm="1">
        <f t="array" ref="T633">IF(TRIM($I633)="","(tidak diisi)",IFERROR(INDEX(Kamus!$E$3:$E$162,MATCH(TRUE,ISNUMBER(SEARCH(Kamus!$D$3:$D$162,$I633)),0)),"Barang Lain / Tidak Terinci"))</f>
        <v>Pakaian &amp; Kain</v>
      </c>
      <c r="U633" s="106" t="str" cm="1">
        <f t="array" ref="U633">IF(TRIM($I633)="","(tidak diisi)",IFERROR(INDEX(Kamus!$H$3:$H$75,MATCH(TRUE,ISNUMBER(SEARCH(Kamus!$G$3:$G$75,$I633)),0)),"Pemberian Umum / Tanpa Konteks"))</f>
        <v>Pemberian Umum / Tanpa Konteks</v>
      </c>
      <c r="V633" s="106" t="str">
        <f t="shared" si="27"/>
        <v>2025</v>
      </c>
      <c r="W633" s="106" t="str" cm="1">
        <f t="array" ref="W633">IF(TRIM($K633)="","(tidak diisi)",IFERROR(INDEX(Kamus!$K$3:$K$118,MATCH(TRUE,ISNUMBER(SEARCH(Kamus!$J$3:$J$118,$K633)),0)),"Individu / Perorangan"))</f>
        <v>Kampus &amp; Sekolah</v>
      </c>
      <c r="X633" s="106" t="str">
        <f t="shared" si="28"/>
        <v>12</v>
      </c>
      <c r="Y633" s="106" t="str" cm="1">
        <f t="array" ref="Y633">IFERROR(INDEX(Kamus!$N$3:$N$111,MATCH(TRUE,ISNUMBER(SEARCH(Kamus!$M$3:$M$111,$I633)),0)),"")</f>
        <v/>
      </c>
      <c r="Z633" s="106" t="str">
        <f>IF(AND(OR($X633="02",$X633="03",$X633="04"),OR($T633="Parsel/Bingkisan (tidak dirinci)",$T633="Makanan &amp; Minuman",$T633="Peralatan Rumah Tangga / Pecah Belah",$T633="Pakaian &amp; Kain")),"Momen Hari Raya (dugaan musiman)",IFERROR(VLOOKUP($W633,Kamus!$P$3:$Q$14,2,FALSE),"Tidak Teridentifikasi"))</f>
        <v>Kerja Sama Pendidikan/PKL (dugaan)</v>
      </c>
      <c r="AA633" s="106" t="str">
        <f t="shared" si="29"/>
        <v>Kerja Sama Pendidikan/PKL (dugaan)</v>
      </c>
    </row>
    <row r="634" spans="1:27">
      <c r="A634" s="106">
        <v>633</v>
      </c>
      <c r="B634" s="106" t="s">
        <v>4122</v>
      </c>
      <c r="C634" s="107" t="s">
        <v>4123</v>
      </c>
      <c r="D634" s="106" t="s">
        <v>1033</v>
      </c>
      <c r="E634" s="106" t="s">
        <v>4124</v>
      </c>
      <c r="F634" s="106" t="s">
        <v>4125</v>
      </c>
      <c r="G634" s="106" t="s">
        <v>1006</v>
      </c>
      <c r="H634" s="106" t="s">
        <v>4126</v>
      </c>
      <c r="I634" s="106" t="s">
        <v>4131</v>
      </c>
      <c r="J634" s="106">
        <v>50000</v>
      </c>
      <c r="K634" s="106" t="s">
        <v>4132</v>
      </c>
      <c r="L634" s="106" t="s">
        <v>4128</v>
      </c>
      <c r="M634" s="106" t="s">
        <v>1020</v>
      </c>
      <c r="N634" s="106" t="s">
        <v>4129</v>
      </c>
      <c r="O634" s="106" t="s">
        <v>274</v>
      </c>
      <c r="P634" s="106" t="s">
        <v>4130</v>
      </c>
      <c r="Q634" s="106" t="s">
        <v>422</v>
      </c>
      <c r="S634" s="106" t="str" cm="1">
        <f t="array" ref="S634">IF(TRIM($D634)="","(tidak diisi)",IFERROR(INDEX(Kamus!$B$3:$B$28,MATCH(TRUE,ISNUMBER(SEARCH(Kamus!$A$3:$A$28,$D634)),0)),"Jabatan Lainnya"))</f>
        <v>Hakim</v>
      </c>
      <c r="T634" s="106" t="str" cm="1">
        <f t="array" ref="T634">IF(TRIM($I634)="","(tidak diisi)",IFERROR(INDEX(Kamus!$E$3:$E$162,MATCH(TRUE,ISNUMBER(SEARCH(Kamus!$D$3:$D$162,$I634)),0)),"Barang Lain / Tidak Terinci"))</f>
        <v>Barang Lain / Tidak Terinci</v>
      </c>
      <c r="U634" s="106" t="str" cm="1">
        <f t="array" ref="U634">IF(TRIM($I634)="","(tidak diisi)",IFERROR(INDEX(Kamus!$H$3:$H$75,MATCH(TRUE,ISNUMBER(SEARCH(Kamus!$G$3:$G$75,$I634)),0)),"Pemberian Umum / Tanpa Konteks"))</f>
        <v>Pemberian Umum / Tanpa Konteks</v>
      </c>
      <c r="V634" s="106" t="str">
        <f t="shared" si="27"/>
        <v>2025</v>
      </c>
      <c r="W634" s="106" t="str" cm="1">
        <f t="array" ref="W634">IF(TRIM($K634)="","(tidak diisi)",IFERROR(INDEX(Kamus!$K$3:$K$118,MATCH(TRUE,ISNUMBER(SEARCH(Kamus!$J$3:$J$118,$K634)),0)),"Individu / Perorangan"))</f>
        <v>Kampus &amp; Sekolah</v>
      </c>
      <c r="X634" s="106" t="str">
        <f t="shared" si="28"/>
        <v>12</v>
      </c>
      <c r="Y634" s="106" t="str" cm="1">
        <f t="array" ref="Y634">IFERROR(INDEX(Kamus!$N$3:$N$111,MATCH(TRUE,ISNUMBER(SEARCH(Kamus!$M$3:$M$111,$I634)),0)),"")</f>
        <v/>
      </c>
      <c r="Z634" s="106" t="str">
        <f>IF(AND(OR($X634="02",$X634="03",$X634="04"),OR($T634="Parsel/Bingkisan (tidak dirinci)",$T634="Makanan &amp; Minuman",$T634="Peralatan Rumah Tangga / Pecah Belah",$T634="Pakaian &amp; Kain")),"Momen Hari Raya (dugaan musiman)",IFERROR(VLOOKUP($W634,Kamus!$P$3:$Q$14,2,FALSE),"Tidak Teridentifikasi"))</f>
        <v>Kerja Sama Pendidikan/PKL (dugaan)</v>
      </c>
      <c r="AA634" s="106" t="str">
        <f t="shared" si="29"/>
        <v>Kerja Sama Pendidikan/PKL (dugaan)</v>
      </c>
    </row>
    <row r="635" spans="1:27">
      <c r="A635" s="106">
        <v>634</v>
      </c>
      <c r="B635" s="106" t="s">
        <v>3397</v>
      </c>
      <c r="C635" s="107" t="s">
        <v>3398</v>
      </c>
      <c r="D635" s="106" t="s">
        <v>3399</v>
      </c>
      <c r="E635" s="106" t="s">
        <v>2860</v>
      </c>
      <c r="F635" s="106" t="s">
        <v>4133</v>
      </c>
      <c r="G635" s="106" t="s">
        <v>1006</v>
      </c>
      <c r="H635" s="106" t="s">
        <v>4099</v>
      </c>
      <c r="I635" s="106" t="s">
        <v>1017</v>
      </c>
      <c r="J635" s="106">
        <v>2754399</v>
      </c>
      <c r="K635" s="106" t="s">
        <v>367</v>
      </c>
      <c r="L635" s="106" t="s">
        <v>4134</v>
      </c>
      <c r="M635" s="106" t="s">
        <v>1171</v>
      </c>
      <c r="N635" s="106" t="s">
        <v>4135</v>
      </c>
      <c r="O635" s="106" t="s">
        <v>274</v>
      </c>
      <c r="P635" s="106" t="s">
        <v>2862</v>
      </c>
      <c r="Q635" s="106" t="s">
        <v>362</v>
      </c>
      <c r="S635" s="106" t="str" cm="1">
        <f t="array" ref="S635">IF(TRIM($D635)="","(tidak diisi)",IFERROR(INDEX(Kamus!$B$3:$B$28,MATCH(TRUE,ISNUMBER(SEARCH(Kamus!$A$3:$A$28,$D635)),0)),"Jabatan Lainnya"))</f>
        <v>Pejabat Struktural (Kasubbag/Kabag)</v>
      </c>
      <c r="T635" s="106" t="str" cm="1">
        <f t="array" ref="T635">IF(TRIM($I635)="","(tidak diisi)",IFERROR(INDEX(Kamus!$E$3:$E$162,MATCH(TRUE,ISNUMBER(SEARCH(Kamus!$D$3:$D$162,$I635)),0)),"Barang Lain / Tidak Terinci"))</f>
        <v>Uang &amp; Setara Uang</v>
      </c>
      <c r="U635" s="106" t="str" cm="1">
        <f t="array" ref="U635">IF(TRIM($I635)="","(tidak diisi)",IFERROR(INDEX(Kamus!$H$3:$H$75,MATCH(TRUE,ISNUMBER(SEARCH(Kamus!$G$3:$G$75,$I635)),0)),"Pemberian Umum / Tanpa Konteks"))</f>
        <v>Pemberian Uang Langsung</v>
      </c>
      <c r="V635" s="106" t="str">
        <f t="shared" si="27"/>
        <v>2025</v>
      </c>
      <c r="W635" s="106" t="str" cm="1">
        <f t="array" ref="W635">IF(TRIM($K635)="","(tidak diisi)",IFERROR(INDEX(Kamus!$K$3:$K$118,MATCH(TRUE,ISNUMBER(SEARCH(Kamus!$J$3:$J$118,$K635)),0)),"Individu / Perorangan"))</f>
        <v>Internal Peradilan / Instansi Sendiri</v>
      </c>
      <c r="X635" s="106" t="str">
        <f t="shared" si="28"/>
        <v>12</v>
      </c>
      <c r="Y635" s="106" t="str" cm="1">
        <f t="array" ref="Y635">IFERROR(INDEX(Kamus!$N$3:$N$111,MATCH(TRUE,ISNUMBER(SEARCH(Kamus!$M$3:$M$111,$I635)),0)),"")</f>
        <v/>
      </c>
      <c r="Z635" s="106" t="str">
        <f>IF(AND(OR($X635="02",$X635="03",$X635="04"),OR($T635="Parsel/Bingkisan (tidak dirinci)",$T635="Makanan &amp; Minuman",$T635="Peralatan Rumah Tangga / Pecah Belah",$T635="Pakaian &amp; Kain")),"Momen Hari Raya (dugaan musiman)",IFERROR(VLOOKUP($W635,Kamus!$P$3:$Q$14,2,FALSE),"Tidak Teridentifikasi"))</f>
        <v>Kunjungan/Koordinasi Internal Peradilan (dugaan)</v>
      </c>
      <c r="AA635" s="106" t="str">
        <f t="shared" si="29"/>
        <v>Kunjungan/Koordinasi Internal Peradilan (dugaan)</v>
      </c>
    </row>
    <row r="636" spans="1:27">
      <c r="A636" s="106">
        <v>635</v>
      </c>
      <c r="B636" s="106" t="s">
        <v>4136</v>
      </c>
      <c r="C636" s="107" t="s">
        <v>4137</v>
      </c>
      <c r="D636" s="106" t="s">
        <v>4138</v>
      </c>
      <c r="E636" s="106" t="s">
        <v>1005</v>
      </c>
      <c r="F636" s="106" t="s">
        <v>4139</v>
      </c>
      <c r="G636" s="106" t="s">
        <v>1006</v>
      </c>
      <c r="H636" s="106" t="s">
        <v>4126</v>
      </c>
      <c r="I636" s="106" t="s">
        <v>4140</v>
      </c>
      <c r="J636" s="106">
        <v>220849</v>
      </c>
      <c r="K636" s="106" t="s">
        <v>4141</v>
      </c>
      <c r="L636" s="106" t="s">
        <v>4142</v>
      </c>
      <c r="M636" s="106" t="s">
        <v>1171</v>
      </c>
      <c r="N636" s="106" t="s">
        <v>4143</v>
      </c>
      <c r="O636" s="106" t="s">
        <v>274</v>
      </c>
      <c r="S636" s="106" t="str" cm="1">
        <f t="array" ref="S636">IF(TRIM($D636)="","(tidak diisi)",IFERROR(INDEX(Kamus!$B$3:$B$28,MATCH(TRUE,ISNUMBER(SEARCH(Kamus!$A$3:$A$28,$D636)),0)),"Jabatan Lainnya"))</f>
        <v>Hakim</v>
      </c>
      <c r="T636" s="106" t="str" cm="1">
        <f t="array" ref="T636">IF(TRIM($I636)="","(tidak diisi)",IFERROR(INDEX(Kamus!$E$3:$E$162,MATCH(TRUE,ISNUMBER(SEARCH(Kamus!$D$3:$D$162,$I636)),0)),"Barang Lain / Tidak Terinci"))</f>
        <v>Peralatan Rumah Tangga / Pecah Belah</v>
      </c>
      <c r="U636" s="106" t="str" cm="1">
        <f t="array" ref="U636">IF(TRIM($I636)="","(tidak diisi)",IFERROR(INDEX(Kamus!$H$3:$H$75,MATCH(TRUE,ISNUMBER(SEARCH(Kamus!$G$3:$G$75,$I636)),0)),"Pemberian Umum / Tanpa Konteks"))</f>
        <v>Parsel/Bingkisan Umum (non-hari raya)</v>
      </c>
      <c r="V636" s="106" t="str">
        <f t="shared" si="27"/>
        <v>2025</v>
      </c>
      <c r="W636" s="106" t="str" cm="1">
        <f t="array" ref="W636">IF(TRIM($K636)="","(tidak diisi)",IFERROR(INDEX(Kamus!$K$3:$K$118,MATCH(TRUE,ISNUMBER(SEARCH(Kamus!$J$3:$J$118,$K636)),0)),"Individu / Perorangan"))</f>
        <v>Individu / Perorangan</v>
      </c>
      <c r="X636" s="106" t="str">
        <f t="shared" si="28"/>
        <v>12</v>
      </c>
      <c r="Y636" s="106" t="str" cm="1">
        <f t="array" ref="Y636">IFERROR(INDEX(Kamus!$N$3:$N$111,MATCH(TRUE,ISNUMBER(SEARCH(Kamus!$M$3:$M$111,$I636)),0)),"")</f>
        <v/>
      </c>
      <c r="Z636" s="106" t="str">
        <f>IF(AND(OR($X636="02",$X636="03",$X636="04"),OR($T636="Parsel/Bingkisan (tidak dirinci)",$T636="Makanan &amp; Minuman",$T636="Peralatan Rumah Tangga / Pecah Belah",$T636="Pakaian &amp; Kain")),"Momen Hari Raya (dugaan musiman)",IFERROR(VLOOKUP($W636,Kamus!$P$3:$Q$14,2,FALSE),"Tidak Teridentifikasi"))</f>
        <v>Relasi Personal / Tidak Teridentifikasi</v>
      </c>
      <c r="AA636" s="106" t="str">
        <f t="shared" si="29"/>
        <v>Relasi Personal / Tidak Teridentifikasi</v>
      </c>
    </row>
    <row r="637" spans="1:27">
      <c r="A637" s="106">
        <v>636</v>
      </c>
      <c r="B637" s="106" t="s">
        <v>4144</v>
      </c>
      <c r="C637" s="107" t="s">
        <v>4145</v>
      </c>
      <c r="D637" s="106" t="s">
        <v>4146</v>
      </c>
      <c r="E637" s="106" t="s">
        <v>1176</v>
      </c>
      <c r="F637" s="106" t="s">
        <v>4147</v>
      </c>
      <c r="G637" s="106" t="s">
        <v>1006</v>
      </c>
      <c r="H637" s="106" t="s">
        <v>4148</v>
      </c>
      <c r="I637" s="106" t="s">
        <v>4149</v>
      </c>
      <c r="J637" s="106">
        <v>100000</v>
      </c>
      <c r="K637" s="106" t="s">
        <v>4150</v>
      </c>
      <c r="L637" s="106" t="s">
        <v>4151</v>
      </c>
      <c r="M637" s="106" t="s">
        <v>1039</v>
      </c>
      <c r="N637" s="106" t="s">
        <v>4152</v>
      </c>
      <c r="O637" s="106" t="s">
        <v>274</v>
      </c>
      <c r="P637" s="106" t="s">
        <v>1181</v>
      </c>
      <c r="Q637" s="106" t="s">
        <v>429</v>
      </c>
      <c r="S637" s="106" t="str" cm="1">
        <f t="array" ref="S637">IF(TRIM($D637)="","(tidak diisi)",IFERROR(INDEX(Kamus!$B$3:$B$28,MATCH(TRUE,ISNUMBER(SEARCH(Kamus!$A$3:$A$28,$D637)),0)),"Jabatan Lainnya"))</f>
        <v>Pejabat Struktural (Kasubbag/Kabag)</v>
      </c>
      <c r="T637" s="106" t="str" cm="1">
        <f t="array" ref="T637">IF(TRIM($I637)="","(tidak diisi)",IFERROR(INDEX(Kamus!$E$3:$E$162,MATCH(TRUE,ISNUMBER(SEARCH(Kamus!$D$3:$D$162,$I637)),0)),"Barang Lain / Tidak Terinci"))</f>
        <v>Suvenir &amp; Merchandise</v>
      </c>
      <c r="U637" s="106" t="str" cm="1">
        <f t="array" ref="U637">IF(TRIM($I637)="","(tidak diisi)",IFERROR(INDEX(Kamus!$H$3:$H$75,MATCH(TRUE,ISNUMBER(SEARCH(Kamus!$G$3:$G$75,$I637)),0)),"Pemberian Umum / Tanpa Konteks"))</f>
        <v>Suvenir / Merchandise Kegiatan &amp; Kunjungan</v>
      </c>
      <c r="V637" s="106" t="str">
        <f t="shared" si="27"/>
        <v>2025</v>
      </c>
      <c r="W637" s="106" t="str" cm="1">
        <f t="array" ref="W637">IF(TRIM($K637)="","(tidak diisi)",IFERROR(INDEX(Kamus!$K$3:$K$118,MATCH(TRUE,ISNUMBER(SEARCH(Kamus!$J$3:$J$118,$K637)),0)),"Individu / Perorangan"))</f>
        <v>Kampus &amp; Sekolah</v>
      </c>
      <c r="X637" s="106" t="str">
        <f t="shared" si="28"/>
        <v>12</v>
      </c>
      <c r="Y637" s="106" t="str" cm="1">
        <f t="array" ref="Y637">IFERROR(INDEX(Kamus!$N$3:$N$111,MATCH(TRUE,ISNUMBER(SEARCH(Kamus!$M$3:$M$111,$I637)),0)),"")</f>
        <v/>
      </c>
      <c r="Z637" s="106" t="str">
        <f>IF(AND(OR($X637="02",$X637="03",$X637="04"),OR($T637="Parsel/Bingkisan (tidak dirinci)",$T637="Makanan &amp; Minuman",$T637="Peralatan Rumah Tangga / Pecah Belah",$T637="Pakaian &amp; Kain")),"Momen Hari Raya (dugaan musiman)",IFERROR(VLOOKUP($W637,Kamus!$P$3:$Q$14,2,FALSE),"Tidak Teridentifikasi"))</f>
        <v>Kerja Sama Pendidikan/PKL (dugaan)</v>
      </c>
      <c r="AA637" s="106" t="str">
        <f t="shared" si="29"/>
        <v>Kerja Sama Pendidikan/PKL (dugaan)</v>
      </c>
    </row>
    <row r="638" spans="1:27">
      <c r="A638" s="106">
        <v>637</v>
      </c>
      <c r="B638" s="106" t="s">
        <v>4144</v>
      </c>
      <c r="C638" s="107" t="s">
        <v>4145</v>
      </c>
      <c r="D638" s="106" t="s">
        <v>4146</v>
      </c>
      <c r="E638" s="106" t="s">
        <v>1176</v>
      </c>
      <c r="F638" s="106" t="s">
        <v>4147</v>
      </c>
      <c r="G638" s="106" t="s">
        <v>1006</v>
      </c>
      <c r="H638" s="106" t="s">
        <v>4148</v>
      </c>
      <c r="I638" s="106" t="s">
        <v>1398</v>
      </c>
      <c r="J638" s="106">
        <v>100000</v>
      </c>
      <c r="K638" s="106" t="s">
        <v>4150</v>
      </c>
      <c r="L638" s="106" t="s">
        <v>4151</v>
      </c>
      <c r="M638" s="106" t="s">
        <v>1039</v>
      </c>
      <c r="N638" s="106" t="s">
        <v>4152</v>
      </c>
      <c r="O638" s="106" t="s">
        <v>274</v>
      </c>
      <c r="P638" s="106" t="s">
        <v>1181</v>
      </c>
      <c r="Q638" s="106" t="s">
        <v>429</v>
      </c>
      <c r="S638" s="106" t="str" cm="1">
        <f t="array" ref="S638">IF(TRIM($D638)="","(tidak diisi)",IFERROR(INDEX(Kamus!$B$3:$B$28,MATCH(TRUE,ISNUMBER(SEARCH(Kamus!$A$3:$A$28,$D638)),0)),"Jabatan Lainnya"))</f>
        <v>Pejabat Struktural (Kasubbag/Kabag)</v>
      </c>
      <c r="T638" s="106" t="str" cm="1">
        <f t="array" ref="T638">IF(TRIM($I638)="","(tidak diisi)",IFERROR(INDEX(Kamus!$E$3:$E$162,MATCH(TRUE,ISNUMBER(SEARCH(Kamus!$D$3:$D$162,$I638)),0)),"Barang Lain / Tidak Terinci"))</f>
        <v>Suvenir &amp; Merchandise</v>
      </c>
      <c r="U638" s="106" t="str" cm="1">
        <f t="array" ref="U638">IF(TRIM($I638)="","(tidak diisi)",IFERROR(INDEX(Kamus!$H$3:$H$75,MATCH(TRUE,ISNUMBER(SEARCH(Kamus!$G$3:$G$75,$I638)),0)),"Pemberian Umum / Tanpa Konteks"))</f>
        <v>Suvenir / Merchandise Kegiatan &amp; Kunjungan</v>
      </c>
      <c r="V638" s="106" t="str">
        <f t="shared" si="27"/>
        <v>2025</v>
      </c>
      <c r="W638" s="106" t="str" cm="1">
        <f t="array" ref="W638">IF(TRIM($K638)="","(tidak diisi)",IFERROR(INDEX(Kamus!$K$3:$K$118,MATCH(TRUE,ISNUMBER(SEARCH(Kamus!$J$3:$J$118,$K638)),0)),"Individu / Perorangan"))</f>
        <v>Kampus &amp; Sekolah</v>
      </c>
      <c r="X638" s="106" t="str">
        <f t="shared" si="28"/>
        <v>12</v>
      </c>
      <c r="Y638" s="106" t="str" cm="1">
        <f t="array" ref="Y638">IFERROR(INDEX(Kamus!$N$3:$N$111,MATCH(TRUE,ISNUMBER(SEARCH(Kamus!$M$3:$M$111,$I638)),0)),"")</f>
        <v/>
      </c>
      <c r="Z638" s="106" t="str">
        <f>IF(AND(OR($X638="02",$X638="03",$X638="04"),OR($T638="Parsel/Bingkisan (tidak dirinci)",$T638="Makanan &amp; Minuman",$T638="Peralatan Rumah Tangga / Pecah Belah",$T638="Pakaian &amp; Kain")),"Momen Hari Raya (dugaan musiman)",IFERROR(VLOOKUP($W638,Kamus!$P$3:$Q$14,2,FALSE),"Tidak Teridentifikasi"))</f>
        <v>Kerja Sama Pendidikan/PKL (dugaan)</v>
      </c>
      <c r="AA638" s="106" t="str">
        <f t="shared" si="29"/>
        <v>Kerja Sama Pendidikan/PKL (dugaan)</v>
      </c>
    </row>
    <row r="639" spans="1:27">
      <c r="A639" s="106">
        <v>638</v>
      </c>
      <c r="B639" s="106" t="s">
        <v>4144</v>
      </c>
      <c r="C639" s="107" t="s">
        <v>4145</v>
      </c>
      <c r="D639" s="106" t="s">
        <v>4146</v>
      </c>
      <c r="E639" s="106" t="s">
        <v>1176</v>
      </c>
      <c r="F639" s="106" t="s">
        <v>4147</v>
      </c>
      <c r="G639" s="106" t="s">
        <v>1006</v>
      </c>
      <c r="H639" s="106" t="s">
        <v>4148</v>
      </c>
      <c r="I639" s="106" t="s">
        <v>4095</v>
      </c>
      <c r="J639" s="106">
        <v>25900</v>
      </c>
      <c r="K639" s="106" t="s">
        <v>4150</v>
      </c>
      <c r="L639" s="106" t="s">
        <v>4151</v>
      </c>
      <c r="M639" s="106" t="s">
        <v>1171</v>
      </c>
      <c r="N639" s="106" t="s">
        <v>4152</v>
      </c>
      <c r="O639" s="106" t="s">
        <v>274</v>
      </c>
      <c r="P639" s="106" t="s">
        <v>1181</v>
      </c>
      <c r="Q639" s="106" t="s">
        <v>429</v>
      </c>
      <c r="S639" s="106" t="str" cm="1">
        <f t="array" ref="S639">IF(TRIM($D639)="","(tidak diisi)",IFERROR(INDEX(Kamus!$B$3:$B$28,MATCH(TRUE,ISNUMBER(SEARCH(Kamus!$A$3:$A$28,$D639)),0)),"Jabatan Lainnya"))</f>
        <v>Pejabat Struktural (Kasubbag/Kabag)</v>
      </c>
      <c r="T639" s="106" t="str" cm="1">
        <f t="array" ref="T639">IF(TRIM($I639)="","(tidak diisi)",IFERROR(INDEX(Kamus!$E$3:$E$162,MATCH(TRUE,ISNUMBER(SEARCH(Kamus!$D$3:$D$162,$I639)),0)),"Barang Lain / Tidak Terinci"))</f>
        <v>Suvenir &amp; Merchandise</v>
      </c>
      <c r="U639" s="106" t="str" cm="1">
        <f t="array" ref="U639">IF(TRIM($I639)="","(tidak diisi)",IFERROR(INDEX(Kamus!$H$3:$H$75,MATCH(TRUE,ISNUMBER(SEARCH(Kamus!$G$3:$G$75,$I639)),0)),"Pemberian Umum / Tanpa Konteks"))</f>
        <v>Pemberian Umum / Tanpa Konteks</v>
      </c>
      <c r="V639" s="106" t="str">
        <f t="shared" si="27"/>
        <v>2025</v>
      </c>
      <c r="W639" s="106" t="str" cm="1">
        <f t="array" ref="W639">IF(TRIM($K639)="","(tidak diisi)",IFERROR(INDEX(Kamus!$K$3:$K$118,MATCH(TRUE,ISNUMBER(SEARCH(Kamus!$J$3:$J$118,$K639)),0)),"Individu / Perorangan"))</f>
        <v>Kampus &amp; Sekolah</v>
      </c>
      <c r="X639" s="106" t="str">
        <f t="shared" si="28"/>
        <v>12</v>
      </c>
      <c r="Y639" s="106" t="str" cm="1">
        <f t="array" ref="Y639">IFERROR(INDEX(Kamus!$N$3:$N$111,MATCH(TRUE,ISNUMBER(SEARCH(Kamus!$M$3:$M$111,$I639)),0)),"")</f>
        <v/>
      </c>
      <c r="Z639" s="106" t="str">
        <f>IF(AND(OR($X639="02",$X639="03",$X639="04"),OR($T639="Parsel/Bingkisan (tidak dirinci)",$T639="Makanan &amp; Minuman",$T639="Peralatan Rumah Tangga / Pecah Belah",$T639="Pakaian &amp; Kain")),"Momen Hari Raya (dugaan musiman)",IFERROR(VLOOKUP($W639,Kamus!$P$3:$Q$14,2,FALSE),"Tidak Teridentifikasi"))</f>
        <v>Kerja Sama Pendidikan/PKL (dugaan)</v>
      </c>
      <c r="AA639" s="106" t="str">
        <f t="shared" si="29"/>
        <v>Kerja Sama Pendidikan/PKL (dugaan)</v>
      </c>
    </row>
    <row r="640" spans="1:27">
      <c r="A640" s="106">
        <v>639</v>
      </c>
      <c r="B640" s="106" t="s">
        <v>1105</v>
      </c>
      <c r="C640" s="107" t="s">
        <v>1106</v>
      </c>
      <c r="D640" s="106" t="s">
        <v>1042</v>
      </c>
      <c r="E640" s="106" t="s">
        <v>1014</v>
      </c>
      <c r="F640" s="106" t="s">
        <v>4153</v>
      </c>
      <c r="G640" s="106" t="s">
        <v>1006</v>
      </c>
      <c r="H640" s="106" t="s">
        <v>4154</v>
      </c>
      <c r="I640" s="106" t="s">
        <v>4155</v>
      </c>
      <c r="K640" s="106" t="s">
        <v>4156</v>
      </c>
      <c r="L640" s="106" t="s">
        <v>4157</v>
      </c>
      <c r="O640" s="106" t="s">
        <v>274</v>
      </c>
      <c r="P640" s="106" t="s">
        <v>1021</v>
      </c>
      <c r="Q640" s="106" t="s">
        <v>428</v>
      </c>
      <c r="S640" s="106" t="str" cm="1">
        <f t="array" ref="S640">IF(TRIM($D640)="","(tidak diisi)",IFERROR(INDEX(Kamus!$B$3:$B$28,MATCH(TRUE,ISNUMBER(SEARCH(Kamus!$A$3:$A$28,$D640)),0)),"Jabatan Lainnya"))</f>
        <v>Ketua Pengadilan</v>
      </c>
      <c r="T640" s="106" t="str" cm="1">
        <f t="array" ref="T640">IF(TRIM($I640)="","(tidak diisi)",IFERROR(INDEX(Kamus!$E$3:$E$162,MATCH(TRUE,ISNUMBER(SEARCH(Kamus!$D$3:$D$162,$I640)),0)),"Barang Lain / Tidak Terinci"))</f>
        <v>Suvenir &amp; Merchandise</v>
      </c>
      <c r="U640" s="106" t="str" cm="1">
        <f t="array" ref="U640">IF(TRIM($I640)="","(tidak diisi)",IFERROR(INDEX(Kamus!$H$3:$H$75,MATCH(TRUE,ISNUMBER(SEARCH(Kamus!$G$3:$G$75,$I640)),0)),"Pemberian Umum / Tanpa Konteks"))</f>
        <v>Suvenir / Merchandise Kegiatan &amp; Kunjungan</v>
      </c>
      <c r="V640" s="106" t="str">
        <f t="shared" si="27"/>
        <v>2025</v>
      </c>
      <c r="W640" s="106" t="str" cm="1">
        <f t="array" ref="W640">IF(TRIM($K640)="","(tidak diisi)",IFERROR(INDEX(Kamus!$K$3:$K$118,MATCH(TRUE,ISNUMBER(SEARCH(Kamus!$J$3:$J$118,$K640)),0)),"Individu / Perorangan"))</f>
        <v>Kampus &amp; Sekolah</v>
      </c>
      <c r="X640" s="106" t="str">
        <f t="shared" si="28"/>
        <v>12</v>
      </c>
      <c r="Y640" s="106" t="str" cm="1">
        <f t="array" ref="Y640">IFERROR(INDEX(Kamus!$N$3:$N$111,MATCH(TRUE,ISNUMBER(SEARCH(Kamus!$M$3:$M$111,$I640)),0)),"")</f>
        <v/>
      </c>
      <c r="Z640" s="106" t="str">
        <f>IF(AND(OR($X640="02",$X640="03",$X640="04"),OR($T640="Parsel/Bingkisan (tidak dirinci)",$T640="Makanan &amp; Minuman",$T640="Peralatan Rumah Tangga / Pecah Belah",$T640="Pakaian &amp; Kain")),"Momen Hari Raya (dugaan musiman)",IFERROR(VLOOKUP($W640,Kamus!$P$3:$Q$14,2,FALSE),"Tidak Teridentifikasi"))</f>
        <v>Kerja Sama Pendidikan/PKL (dugaan)</v>
      </c>
      <c r="AA640" s="106" t="str">
        <f t="shared" si="29"/>
        <v>Kerja Sama Pendidikan/PKL (dugaan)</v>
      </c>
    </row>
    <row r="641" spans="1:27">
      <c r="A641" s="106">
        <v>640</v>
      </c>
      <c r="B641" s="106" t="s">
        <v>4015</v>
      </c>
      <c r="C641" s="107" t="s">
        <v>4016</v>
      </c>
      <c r="D641" s="106" t="s">
        <v>4017</v>
      </c>
      <c r="E641" s="106" t="s">
        <v>3882</v>
      </c>
      <c r="F641" s="106" t="s">
        <v>4158</v>
      </c>
      <c r="G641" s="106" t="s">
        <v>1074</v>
      </c>
      <c r="H641" s="106" t="s">
        <v>4159</v>
      </c>
      <c r="I641" s="106" t="s">
        <v>4160</v>
      </c>
      <c r="K641" s="106" t="s">
        <v>4161</v>
      </c>
      <c r="L641" s="106" t="s">
        <v>4162</v>
      </c>
      <c r="O641" s="106" t="s">
        <v>274</v>
      </c>
      <c r="P641" s="106" t="s">
        <v>3887</v>
      </c>
      <c r="Q641" s="106" t="s">
        <v>409</v>
      </c>
      <c r="S641" s="106" t="str" cm="1">
        <f t="array" ref="S641">IF(TRIM($D641)="","(tidak diisi)",IFERROR(INDEX(Kamus!$B$3:$B$28,MATCH(TRUE,ISNUMBER(SEARCH(Kamus!$A$3:$A$28,$D641)),0)),"Jabatan Lainnya"))</f>
        <v>Jabatan Lainnya</v>
      </c>
      <c r="T641" s="106" t="str" cm="1">
        <f t="array" ref="T641">IF(TRIM($I641)="","(tidak diisi)",IFERROR(INDEX(Kamus!$E$3:$E$162,MATCH(TRUE,ISNUMBER(SEARCH(Kamus!$D$3:$D$162,$I641)),0)),"Barang Lain / Tidak Terinci"))</f>
        <v>Uang &amp; Setara Uang</v>
      </c>
      <c r="U641" s="106" t="str" cm="1">
        <f t="array" ref="U641">IF(TRIM($I641)="","(tidak diisi)",IFERROR(INDEX(Kamus!$H$3:$H$75,MATCH(TRUE,ISNUMBER(SEARCH(Kamus!$G$3:$G$75,$I641)),0)),"Pemberian Umum / Tanpa Konteks"))</f>
        <v>Pemberian Uang Langsung</v>
      </c>
      <c r="V641" s="106" t="str">
        <f t="shared" si="27"/>
        <v>2025</v>
      </c>
      <c r="W641" s="106" t="str" cm="1">
        <f t="array" ref="W641">IF(TRIM($K641)="","(tidak diisi)",IFERROR(INDEX(Kamus!$K$3:$K$118,MATCH(TRUE,ISNUMBER(SEARCH(Kamus!$J$3:$J$118,$K641)),0)),"Individu / Perorangan"))</f>
        <v>Individu / Perorangan</v>
      </c>
      <c r="X641" s="106" t="str">
        <f t="shared" si="28"/>
        <v>12</v>
      </c>
      <c r="Y641" s="106" t="str" cm="1">
        <f t="array" ref="Y641">IFERROR(INDEX(Kamus!$N$3:$N$111,MATCH(TRUE,ISNUMBER(SEARCH(Kamus!$M$3:$M$111,$I641)),0)),"")</f>
        <v/>
      </c>
      <c r="Z641" s="106" t="str">
        <f>IF(AND(OR($X641="02",$X641="03",$X641="04"),OR($T641="Parsel/Bingkisan (tidak dirinci)",$T641="Makanan &amp; Minuman",$T641="Peralatan Rumah Tangga / Pecah Belah",$T641="Pakaian &amp; Kain")),"Momen Hari Raya (dugaan musiman)",IFERROR(VLOOKUP($W641,Kamus!$P$3:$Q$14,2,FALSE),"Tidak Teridentifikasi"))</f>
        <v>Relasi Personal / Tidak Teridentifikasi</v>
      </c>
      <c r="AA641" s="106" t="str">
        <f t="shared" si="29"/>
        <v>Relasi Personal / Tidak Teridentifikasi</v>
      </c>
    </row>
    <row r="642" spans="1:27">
      <c r="A642" s="106">
        <v>641</v>
      </c>
      <c r="B642" s="106" t="s">
        <v>2661</v>
      </c>
      <c r="C642" s="107" t="s">
        <v>2662</v>
      </c>
      <c r="D642" s="106" t="s">
        <v>1033</v>
      </c>
      <c r="E642" s="106" t="s">
        <v>2663</v>
      </c>
      <c r="F642" s="106" t="s">
        <v>4163</v>
      </c>
      <c r="G642" s="106" t="s">
        <v>1006</v>
      </c>
      <c r="H642" s="106" t="s">
        <v>4099</v>
      </c>
      <c r="I642" s="106" t="s">
        <v>4164</v>
      </c>
      <c r="J642" s="106">
        <v>67932</v>
      </c>
      <c r="K642" s="106" t="s">
        <v>4165</v>
      </c>
      <c r="L642" s="106" t="s">
        <v>4166</v>
      </c>
      <c r="M642" s="106" t="s">
        <v>1171</v>
      </c>
      <c r="N642" s="106" t="s">
        <v>4167</v>
      </c>
      <c r="O642" s="106" t="s">
        <v>274</v>
      </c>
      <c r="P642" s="106" t="s">
        <v>2668</v>
      </c>
      <c r="Q642" s="106" t="s">
        <v>395</v>
      </c>
      <c r="S642" s="106" t="str" cm="1">
        <f t="array" ref="S642">IF(TRIM($D642)="","(tidak diisi)",IFERROR(INDEX(Kamus!$B$3:$B$28,MATCH(TRUE,ISNUMBER(SEARCH(Kamus!$A$3:$A$28,$D642)),0)),"Jabatan Lainnya"))</f>
        <v>Hakim</v>
      </c>
      <c r="T642" s="106" t="str" cm="1">
        <f t="array" ref="T642">IF(TRIM($I642)="","(tidak diisi)",IFERROR(INDEX(Kamus!$E$3:$E$162,MATCH(TRUE,ISNUMBER(SEARCH(Kamus!$D$3:$D$162,$I642)),0)),"Barang Lain / Tidak Terinci"))</f>
        <v>Buku &amp; Publikasi</v>
      </c>
      <c r="U642" s="106" t="str" cm="1">
        <f t="array" ref="U642">IF(TRIM($I642)="","(tidak diisi)",IFERROR(INDEX(Kamus!$H$3:$H$75,MATCH(TRUE,ISNUMBER(SEARCH(Kamus!$G$3:$G$75,$I642)),0)),"Pemberian Umum / Tanpa Konteks"))</f>
        <v>Pemberian Umum / Tanpa Konteks</v>
      </c>
      <c r="V642" s="106" t="str">
        <f t="shared" si="27"/>
        <v>2025</v>
      </c>
      <c r="W642" s="106" t="str" cm="1">
        <f t="array" ref="W642">IF(TRIM($K642)="","(tidak diisi)",IFERROR(INDEX(Kamus!$K$3:$K$118,MATCH(TRUE,ISNUMBER(SEARCH(Kamus!$J$3:$J$118,$K642)),0)),"Individu / Perorangan"))</f>
        <v>Individu / Perorangan</v>
      </c>
      <c r="X642" s="106" t="str">
        <f t="shared" si="28"/>
        <v>12</v>
      </c>
      <c r="Y642" s="106" t="str" cm="1">
        <f t="array" ref="Y642">IFERROR(INDEX(Kamus!$N$3:$N$111,MATCH(TRUE,ISNUMBER(SEARCH(Kamus!$M$3:$M$111,$I642)),0)),"")</f>
        <v/>
      </c>
      <c r="Z642" s="106" t="str">
        <f>IF(AND(OR($X642="02",$X642="03",$X642="04"),OR($T642="Parsel/Bingkisan (tidak dirinci)",$T642="Makanan &amp; Minuman",$T642="Peralatan Rumah Tangga / Pecah Belah",$T642="Pakaian &amp; Kain")),"Momen Hari Raya (dugaan musiman)",IFERROR(VLOOKUP($W642,Kamus!$P$3:$Q$14,2,FALSE),"Tidak Teridentifikasi"))</f>
        <v>Relasi Personal / Tidak Teridentifikasi</v>
      </c>
      <c r="AA642" s="106" t="str">
        <f t="shared" si="29"/>
        <v>Relasi Personal / Tidak Teridentifikasi</v>
      </c>
    </row>
    <row r="643" spans="1:27">
      <c r="A643" s="106">
        <v>642</v>
      </c>
      <c r="B643" s="106" t="s">
        <v>4168</v>
      </c>
      <c r="C643" s="107" t="s">
        <v>4169</v>
      </c>
      <c r="D643" s="106" t="s">
        <v>1042</v>
      </c>
      <c r="E643" s="106" t="s">
        <v>1005</v>
      </c>
      <c r="F643" s="106" t="s">
        <v>4170</v>
      </c>
      <c r="G643" s="106" t="s">
        <v>1006</v>
      </c>
      <c r="H643" s="106" t="s">
        <v>4114</v>
      </c>
      <c r="I643" s="106" t="s">
        <v>4171</v>
      </c>
      <c r="J643" s="106">
        <v>500000</v>
      </c>
      <c r="K643" s="106" t="s">
        <v>4172</v>
      </c>
      <c r="L643" s="106" t="s">
        <v>4173</v>
      </c>
      <c r="M643" s="106" t="s">
        <v>1171</v>
      </c>
      <c r="N643" s="106" t="s">
        <v>4174</v>
      </c>
      <c r="O643" s="106" t="s">
        <v>274</v>
      </c>
      <c r="S643" s="106" t="str" cm="1">
        <f t="array" ref="S643">IF(TRIM($D643)="","(tidak diisi)",IFERROR(INDEX(Kamus!$B$3:$B$28,MATCH(TRUE,ISNUMBER(SEARCH(Kamus!$A$3:$A$28,$D643)),0)),"Jabatan Lainnya"))</f>
        <v>Ketua Pengadilan</v>
      </c>
      <c r="T643" s="106" t="str" cm="1">
        <f t="array" ref="T643">IF(TRIM($I643)="","(tidak diisi)",IFERROR(INDEX(Kamus!$E$3:$E$162,MATCH(TRUE,ISNUMBER(SEARCH(Kamus!$D$3:$D$162,$I643)),0)),"Barang Lain / Tidak Terinci"))</f>
        <v>Pakaian &amp; Kain</v>
      </c>
      <c r="U643" s="106" t="str" cm="1">
        <f t="array" ref="U643">IF(TRIM($I643)="","(tidak diisi)",IFERROR(INDEX(Kamus!$H$3:$H$75,MATCH(TRUE,ISNUMBER(SEARCH(Kamus!$G$3:$G$75,$I643)),0)),"Pemberian Umum / Tanpa Konteks"))</f>
        <v>Pemberian Umum / Tanpa Konteks</v>
      </c>
      <c r="V643" s="106" t="str">
        <f t="shared" ref="V643:V706" si="30">IF($H643="","(tidak diisi)",IF(ISNUMBER($H643),TEXT(YEAR($H643),"0"),LEFT($H643,4)))</f>
        <v>2025</v>
      </c>
      <c r="W643" s="106" t="str" cm="1">
        <f t="array" ref="W643">IF(TRIM($K643)="","(tidak diisi)",IFERROR(INDEX(Kamus!$K$3:$K$118,MATCH(TRUE,ISNUMBER(SEARCH(Kamus!$J$3:$J$118,$K643)),0)),"Individu / Perorangan"))</f>
        <v>Individu / Perorangan</v>
      </c>
      <c r="X643" s="106" t="str">
        <f t="shared" ref="X643:X706" si="31">IF($H643="","(tidak diisi)",IF(ISNUMBER($H643),TEXT(MONTH($H643),"00"),MID($H643,6,2)))</f>
        <v>12</v>
      </c>
      <c r="Y643" s="106" t="str" cm="1">
        <f t="array" ref="Y643">IFERROR(INDEX(Kamus!$N$3:$N$111,MATCH(TRUE,ISNUMBER(SEARCH(Kamus!$M$3:$M$111,$I643)),0)),"")</f>
        <v/>
      </c>
      <c r="Z643" s="106" t="str">
        <f>IF(AND(OR($X643="02",$X643="03",$X643="04"),OR($T643="Parsel/Bingkisan (tidak dirinci)",$T643="Makanan &amp; Minuman",$T643="Peralatan Rumah Tangga / Pecah Belah",$T643="Pakaian &amp; Kain")),"Momen Hari Raya (dugaan musiman)",IFERROR(VLOOKUP($W643,Kamus!$P$3:$Q$14,2,FALSE),"Tidak Teridentifikasi"))</f>
        <v>Relasi Personal / Tidak Teridentifikasi</v>
      </c>
      <c r="AA643" s="106" t="str">
        <f t="shared" ref="AA643:AA706" si="32">IF($Y643="",$Z643,$Y643)</f>
        <v>Relasi Personal / Tidak Teridentifikasi</v>
      </c>
    </row>
    <row r="644" spans="1:27">
      <c r="A644" s="106">
        <v>643</v>
      </c>
      <c r="B644" s="106" t="s">
        <v>3997</v>
      </c>
      <c r="C644" s="107" t="s">
        <v>3998</v>
      </c>
      <c r="D644" s="106" t="s">
        <v>3999</v>
      </c>
      <c r="E644" s="106" t="s">
        <v>4000</v>
      </c>
      <c r="F644" s="106" t="s">
        <v>4175</v>
      </c>
      <c r="G644" s="106" t="s">
        <v>1074</v>
      </c>
      <c r="H644" s="106" t="s">
        <v>4176</v>
      </c>
      <c r="I644" s="106" t="s">
        <v>4177</v>
      </c>
      <c r="K644" s="106" t="s">
        <v>4178</v>
      </c>
      <c r="L644" s="106" t="s">
        <v>4179</v>
      </c>
      <c r="O644" s="106" t="s">
        <v>274</v>
      </c>
      <c r="P644" s="106" t="s">
        <v>479</v>
      </c>
      <c r="Q644" s="106" t="s">
        <v>403</v>
      </c>
      <c r="S644" s="106" t="str" cm="1">
        <f t="array" ref="S644">IF(TRIM($D644)="","(tidak diisi)",IFERROR(INDEX(Kamus!$B$3:$B$28,MATCH(TRUE,ISNUMBER(SEARCH(Kamus!$A$3:$A$28,$D644)),0)),"Jabatan Lainnya"))</f>
        <v>Wakil Ketua Pengadilan</v>
      </c>
      <c r="T644" s="106" t="str" cm="1">
        <f t="array" ref="T644">IF(TRIM($I644)="","(tidak diisi)",IFERROR(INDEX(Kamus!$E$3:$E$162,MATCH(TRUE,ISNUMBER(SEARCH(Kamus!$D$3:$D$162,$I644)),0)),"Barang Lain / Tidak Terinci"))</f>
        <v>Makanan &amp; Minuman</v>
      </c>
      <c r="U644" s="106" t="str" cm="1">
        <f t="array" ref="U644">IF(TRIM($I644)="","(tidak diisi)",IFERROR(INDEX(Kamus!$H$3:$H$75,MATCH(TRUE,ISNUMBER(SEARCH(Kamus!$G$3:$G$75,$I644)),0)),"Pemberian Umum / Tanpa Konteks"))</f>
        <v>Parsel/Bingkisan Umum (non-hari raya)</v>
      </c>
      <c r="V644" s="106" t="str">
        <f t="shared" si="30"/>
        <v>2025</v>
      </c>
      <c r="W644" s="106" t="str" cm="1">
        <f t="array" ref="W644">IF(TRIM($K644)="","(tidak diisi)",IFERROR(INDEX(Kamus!$K$3:$K$118,MATCH(TRUE,ISNUMBER(SEARCH(Kamus!$J$3:$J$118,$K644)),0)),"Individu / Perorangan"))</f>
        <v>Bank &amp; Lembaga Keuangan</v>
      </c>
      <c r="X644" s="106" t="str">
        <f t="shared" si="31"/>
        <v>12</v>
      </c>
      <c r="Y644" s="106" t="str" cm="1">
        <f t="array" ref="Y644">IFERROR(INDEX(Kamus!$N$3:$N$111,MATCH(TRUE,ISNUMBER(SEARCH(Kamus!$M$3:$M$111,$I644)),0)),"")</f>
        <v/>
      </c>
      <c r="Z644" s="106" t="str">
        <f>IF(AND(OR($X644="02",$X644="03",$X644="04"),OR($T644="Parsel/Bingkisan (tidak dirinci)",$T644="Makanan &amp; Minuman",$T644="Peralatan Rumah Tangga / Pecah Belah",$T644="Pakaian &amp; Kain")),"Momen Hari Raya (dugaan musiman)",IFERROR(VLOOKUP($W644,Kamus!$P$3:$Q$14,2,FALSE),"Tidak Teridentifikasi"))</f>
        <v>Relasi Layanan/Kerja Sama Perbankan (dugaan)</v>
      </c>
      <c r="AA644" s="106" t="str">
        <f t="shared" si="32"/>
        <v>Relasi Layanan/Kerja Sama Perbankan (dugaan)</v>
      </c>
    </row>
    <row r="645" spans="1:27">
      <c r="A645" s="106">
        <v>644</v>
      </c>
      <c r="B645" s="106" t="s">
        <v>4180</v>
      </c>
      <c r="C645" s="107" t="s">
        <v>4181</v>
      </c>
      <c r="D645" s="106" t="s">
        <v>4182</v>
      </c>
      <c r="E645" s="106" t="s">
        <v>1005</v>
      </c>
      <c r="F645" s="106" t="s">
        <v>4183</v>
      </c>
      <c r="G645" s="106" t="s">
        <v>1006</v>
      </c>
      <c r="H645" s="106" t="s">
        <v>4184</v>
      </c>
      <c r="I645" s="106" t="s">
        <v>4185</v>
      </c>
      <c r="K645" s="106" t="s">
        <v>4186</v>
      </c>
      <c r="L645" s="106" t="s">
        <v>4187</v>
      </c>
      <c r="O645" s="106" t="s">
        <v>274</v>
      </c>
      <c r="S645" s="106" t="str" cm="1">
        <f t="array" ref="S645">IF(TRIM($D645)="","(tidak diisi)",IFERROR(INDEX(Kamus!$B$3:$B$28,MATCH(TRUE,ISNUMBER(SEARCH(Kamus!$A$3:$A$28,$D645)),0)),"Jabatan Lainnya"))</f>
        <v>Ketua Pengadilan</v>
      </c>
      <c r="T645" s="106" t="str" cm="1">
        <f t="array" ref="T645">IF(TRIM($I645)="","(tidak diisi)",IFERROR(INDEX(Kamus!$E$3:$E$162,MATCH(TRUE,ISNUMBER(SEARCH(Kamus!$D$3:$D$162,$I645)),0)),"Barang Lain / Tidak Terinci"))</f>
        <v>Makanan &amp; Minuman</v>
      </c>
      <c r="U645" s="106" t="str" cm="1">
        <f t="array" ref="U645">IF(TRIM($I645)="","(tidak diisi)",IFERROR(INDEX(Kamus!$H$3:$H$75,MATCH(TRUE,ISNUMBER(SEARCH(Kamus!$G$3:$G$75,$I645)),0)),"Pemberian Umum / Tanpa Konteks"))</f>
        <v>Parsel/Bingkisan Umum (non-hari raya)</v>
      </c>
      <c r="V645" s="106" t="str">
        <f t="shared" si="30"/>
        <v>2025</v>
      </c>
      <c r="W645" s="106" t="str" cm="1">
        <f t="array" ref="W645">IF(TRIM($K645)="","(tidak diisi)",IFERROR(INDEX(Kamus!$K$3:$K$118,MATCH(TRUE,ISNUMBER(SEARCH(Kamus!$J$3:$J$118,$K645)),0)),"Individu / Perorangan"))</f>
        <v>Aparat/Instansi Penegak Hukum &amp; Vertikal</v>
      </c>
      <c r="X645" s="106" t="str">
        <f t="shared" si="31"/>
        <v>12</v>
      </c>
      <c r="Y645" s="106" t="str" cm="1">
        <f t="array" ref="Y645">IFERROR(INDEX(Kamus!$N$3:$N$111,MATCH(TRUE,ISNUMBER(SEARCH(Kamus!$M$3:$M$111,$I645)),0)),"")</f>
        <v/>
      </c>
      <c r="Z645" s="106" t="str">
        <f>IF(AND(OR($X645="02",$X645="03",$X645="04"),OR($T645="Parsel/Bingkisan (tidak dirinci)",$T645="Makanan &amp; Minuman",$T645="Peralatan Rumah Tangga / Pecah Belah",$T645="Pakaian &amp; Kain")),"Momen Hari Raya (dugaan musiman)",IFERROR(VLOOKUP($W645,Kamus!$P$3:$Q$14,2,FALSE),"Tidak Teridentifikasi"))</f>
        <v>Koordinasi Antarinstansi (dugaan)</v>
      </c>
      <c r="AA645" s="106" t="str">
        <f t="shared" si="32"/>
        <v>Koordinasi Antarinstansi (dugaan)</v>
      </c>
    </row>
    <row r="646" spans="1:27">
      <c r="A646" s="106">
        <v>645</v>
      </c>
      <c r="B646" s="106" t="s">
        <v>1900</v>
      </c>
      <c r="C646" s="107" t="s">
        <v>1901</v>
      </c>
      <c r="D646" s="106" t="s">
        <v>1902</v>
      </c>
      <c r="E646" s="106" t="s">
        <v>1903</v>
      </c>
      <c r="F646" s="106" t="s">
        <v>4188</v>
      </c>
      <c r="G646" s="106" t="s">
        <v>1006</v>
      </c>
      <c r="H646" s="106" t="s">
        <v>4189</v>
      </c>
      <c r="I646" s="106" t="s">
        <v>4190</v>
      </c>
      <c r="J646" s="106">
        <v>250000</v>
      </c>
      <c r="K646" s="106" t="s">
        <v>4191</v>
      </c>
      <c r="L646" s="106" t="s">
        <v>4192</v>
      </c>
      <c r="M646" s="106" t="s">
        <v>1171</v>
      </c>
      <c r="N646" s="106" t="s">
        <v>4193</v>
      </c>
      <c r="O646" s="106" t="s">
        <v>274</v>
      </c>
      <c r="P646" s="106" t="s">
        <v>1907</v>
      </c>
      <c r="Q646" s="106" t="s">
        <v>404</v>
      </c>
      <c r="S646" s="106" t="str" cm="1">
        <f t="array" ref="S646">IF(TRIM($D646)="","(tidak diisi)",IFERROR(INDEX(Kamus!$B$3:$B$28,MATCH(TRUE,ISNUMBER(SEARCH(Kamus!$A$3:$A$28,$D646)),0)),"Jabatan Lainnya"))</f>
        <v>Ketua Pengadilan</v>
      </c>
      <c r="T646" s="106" t="str" cm="1">
        <f t="array" ref="T646">IF(TRIM($I646)="","(tidak diisi)",IFERROR(INDEX(Kamus!$E$3:$E$162,MATCH(TRUE,ISNUMBER(SEARCH(Kamus!$D$3:$D$162,$I646)),0)),"Barang Lain / Tidak Terinci"))</f>
        <v>Parsel/Bingkisan (tidak dirinci)</v>
      </c>
      <c r="U646" s="106" t="str" cm="1">
        <f t="array" ref="U646">IF(TRIM($I646)="","(tidak diisi)",IFERROR(INDEX(Kamus!$H$3:$H$75,MATCH(TRUE,ISNUMBER(SEARCH(Kamus!$G$3:$G$75,$I646)),0)),"Pemberian Umum / Tanpa Konteks"))</f>
        <v>Bingkisan Hari Raya / Keagamaan</v>
      </c>
      <c r="V646" s="106" t="str">
        <f t="shared" si="30"/>
        <v>2025</v>
      </c>
      <c r="W646" s="106" t="str" cm="1">
        <f t="array" ref="W646">IF(TRIM($K646)="","(tidak diisi)",IFERROR(INDEX(Kamus!$K$3:$K$118,MATCH(TRUE,ISNUMBER(SEARCH(Kamus!$J$3:$J$118,$K646)),0)),"Individu / Perorangan"))</f>
        <v>Bank &amp; Lembaga Keuangan</v>
      </c>
      <c r="X646" s="106" t="str">
        <f t="shared" si="31"/>
        <v>12</v>
      </c>
      <c r="Y646" s="106" t="str" cm="1">
        <f t="array" ref="Y646">IFERROR(INDEX(Kamus!$N$3:$N$111,MATCH(TRUE,ISNUMBER(SEARCH(Kamus!$M$3:$M$111,$I646)),0)),"")</f>
        <v>Momen Hari Besar Keagamaan Lain</v>
      </c>
      <c r="Z646" s="106" t="str">
        <f>IF(AND(OR($X646="02",$X646="03",$X646="04"),OR($T646="Parsel/Bingkisan (tidak dirinci)",$T646="Makanan &amp; Minuman",$T646="Peralatan Rumah Tangga / Pecah Belah",$T646="Pakaian &amp; Kain")),"Momen Hari Raya (dugaan musiman)",IFERROR(VLOOKUP($W646,Kamus!$P$3:$Q$14,2,FALSE),"Tidak Teridentifikasi"))</f>
        <v>Relasi Layanan/Kerja Sama Perbankan (dugaan)</v>
      </c>
      <c r="AA646" s="106" t="str">
        <f t="shared" si="32"/>
        <v>Momen Hari Besar Keagamaan Lain</v>
      </c>
    </row>
    <row r="647" spans="1:27">
      <c r="A647" s="106">
        <v>646</v>
      </c>
      <c r="B647" s="106" t="s">
        <v>4194</v>
      </c>
      <c r="C647" s="107" t="s">
        <v>4195</v>
      </c>
      <c r="D647" s="106" t="s">
        <v>1042</v>
      </c>
      <c r="E647" s="106" t="s">
        <v>4196</v>
      </c>
      <c r="F647" s="106" t="s">
        <v>4197</v>
      </c>
      <c r="G647" s="106" t="s">
        <v>1006</v>
      </c>
      <c r="H647" s="106" t="s">
        <v>4114</v>
      </c>
      <c r="I647" s="106" t="s">
        <v>1634</v>
      </c>
      <c r="J647" s="106">
        <v>250000</v>
      </c>
      <c r="K647" s="106" t="s">
        <v>4198</v>
      </c>
      <c r="L647" s="106" t="s">
        <v>4199</v>
      </c>
      <c r="M647" s="106" t="s">
        <v>1171</v>
      </c>
      <c r="N647" s="106" t="s">
        <v>4200</v>
      </c>
      <c r="O647" s="106" t="s">
        <v>274</v>
      </c>
      <c r="P647" s="106" t="s">
        <v>402</v>
      </c>
      <c r="Q647" s="106" t="s">
        <v>366</v>
      </c>
      <c r="S647" s="106" t="str" cm="1">
        <f t="array" ref="S647">IF(TRIM($D647)="","(tidak diisi)",IFERROR(INDEX(Kamus!$B$3:$B$28,MATCH(TRUE,ISNUMBER(SEARCH(Kamus!$A$3:$A$28,$D647)),0)),"Jabatan Lainnya"))</f>
        <v>Ketua Pengadilan</v>
      </c>
      <c r="T647" s="106" t="str" cm="1">
        <f t="array" ref="T647">IF(TRIM($I647)="","(tidak diisi)",IFERROR(INDEX(Kamus!$E$3:$E$162,MATCH(TRUE,ISNUMBER(SEARCH(Kamus!$D$3:$D$162,$I647)),0)),"Barang Lain / Tidak Terinci"))</f>
        <v>Pakaian &amp; Kain</v>
      </c>
      <c r="U647" s="106" t="str" cm="1">
        <f t="array" ref="U647">IF(TRIM($I647)="","(tidak diisi)",IFERROR(INDEX(Kamus!$H$3:$H$75,MATCH(TRUE,ISNUMBER(SEARCH(Kamus!$G$3:$G$75,$I647)),0)),"Pemberian Umum / Tanpa Konteks"))</f>
        <v>Pemberian Umum / Tanpa Konteks</v>
      </c>
      <c r="V647" s="106" t="str">
        <f t="shared" si="30"/>
        <v>2025</v>
      </c>
      <c r="W647" s="106" t="str" cm="1">
        <f t="array" ref="W647">IF(TRIM($K647)="","(tidak diisi)",IFERROR(INDEX(Kamus!$K$3:$K$118,MATCH(TRUE,ISNUMBER(SEARCH(Kamus!$J$3:$J$118,$K647)),0)),"Individu / Perorangan"))</f>
        <v>Individu / Perorangan</v>
      </c>
      <c r="X647" s="106" t="str">
        <f t="shared" si="31"/>
        <v>12</v>
      </c>
      <c r="Y647" s="106" t="str" cm="1">
        <f t="array" ref="Y647">IFERROR(INDEX(Kamus!$N$3:$N$111,MATCH(TRUE,ISNUMBER(SEARCH(Kamus!$M$3:$M$111,$I647)),0)),"")</f>
        <v/>
      </c>
      <c r="Z647" s="106" t="str">
        <f>IF(AND(OR($X647="02",$X647="03",$X647="04"),OR($T647="Parsel/Bingkisan (tidak dirinci)",$T647="Makanan &amp; Minuman",$T647="Peralatan Rumah Tangga / Pecah Belah",$T647="Pakaian &amp; Kain")),"Momen Hari Raya (dugaan musiman)",IFERROR(VLOOKUP($W647,Kamus!$P$3:$Q$14,2,FALSE),"Tidak Teridentifikasi"))</f>
        <v>Relasi Personal / Tidak Teridentifikasi</v>
      </c>
      <c r="AA647" s="106" t="str">
        <f t="shared" si="32"/>
        <v>Relasi Personal / Tidak Teridentifikasi</v>
      </c>
    </row>
    <row r="648" spans="1:27">
      <c r="A648" s="106">
        <v>647</v>
      </c>
      <c r="B648" s="106" t="s">
        <v>4201</v>
      </c>
      <c r="C648" s="107" t="s">
        <v>4202</v>
      </c>
      <c r="D648" s="106" t="s">
        <v>4203</v>
      </c>
      <c r="E648" s="106" t="s">
        <v>1005</v>
      </c>
      <c r="F648" s="106" t="s">
        <v>4204</v>
      </c>
      <c r="G648" s="106" t="s">
        <v>1006</v>
      </c>
      <c r="H648" s="106" t="s">
        <v>4205</v>
      </c>
      <c r="I648" s="106" t="s">
        <v>4206</v>
      </c>
      <c r="K648" s="106" t="s">
        <v>4207</v>
      </c>
      <c r="L648" s="106" t="s">
        <v>4208</v>
      </c>
      <c r="O648" s="106" t="s">
        <v>274</v>
      </c>
      <c r="S648" s="106" t="str" cm="1">
        <f t="array" ref="S648">IF(TRIM($D648)="","(tidak diisi)",IFERROR(INDEX(Kamus!$B$3:$B$28,MATCH(TRUE,ISNUMBER(SEARCH(Kamus!$A$3:$A$28,$D648)),0)),"Jabatan Lainnya"))</f>
        <v>Jabatan Lainnya</v>
      </c>
      <c r="T648" s="106" t="str" cm="1">
        <f t="array" ref="T648">IF(TRIM($I648)="","(tidak diisi)",IFERROR(INDEX(Kamus!$E$3:$E$162,MATCH(TRUE,ISNUMBER(SEARCH(Kamus!$D$3:$D$162,$I648)),0)),"Barang Lain / Tidak Terinci"))</f>
        <v>Makanan &amp; Minuman</v>
      </c>
      <c r="U648" s="106" t="str" cm="1">
        <f t="array" ref="U648">IF(TRIM($I648)="","(tidak diisi)",IFERROR(INDEX(Kamus!$H$3:$H$75,MATCH(TRUE,ISNUMBER(SEARCH(Kamus!$G$3:$G$75,$I648)),0)),"Pemberian Umum / Tanpa Konteks"))</f>
        <v>Pemberian Umum / Tanpa Konteks</v>
      </c>
      <c r="V648" s="106" t="str">
        <f t="shared" si="30"/>
        <v>2025</v>
      </c>
      <c r="W648" s="106" t="str" cm="1">
        <f t="array" ref="W648">IF(TRIM($K648)="","(tidak diisi)",IFERROR(INDEX(Kamus!$K$3:$K$118,MATCH(TRUE,ISNUMBER(SEARCH(Kamus!$J$3:$J$118,$K648)),0)),"Individu / Perorangan"))</f>
        <v>Individu / Perorangan</v>
      </c>
      <c r="X648" s="106" t="str">
        <f t="shared" si="31"/>
        <v>12</v>
      </c>
      <c r="Y648" s="106" t="str" cm="1">
        <f t="array" ref="Y648">IFERROR(INDEX(Kamus!$N$3:$N$111,MATCH(TRUE,ISNUMBER(SEARCH(Kamus!$M$3:$M$111,$I648)),0)),"")</f>
        <v/>
      </c>
      <c r="Z648" s="106" t="str">
        <f>IF(AND(OR($X648="02",$X648="03",$X648="04"),OR($T648="Parsel/Bingkisan (tidak dirinci)",$T648="Makanan &amp; Minuman",$T648="Peralatan Rumah Tangga / Pecah Belah",$T648="Pakaian &amp; Kain")),"Momen Hari Raya (dugaan musiman)",IFERROR(VLOOKUP($W648,Kamus!$P$3:$Q$14,2,FALSE),"Tidak Teridentifikasi"))</f>
        <v>Relasi Personal / Tidak Teridentifikasi</v>
      </c>
      <c r="AA648" s="106" t="str">
        <f t="shared" si="32"/>
        <v>Relasi Personal / Tidak Teridentifikasi</v>
      </c>
    </row>
    <row r="649" spans="1:27">
      <c r="A649" s="106">
        <v>648</v>
      </c>
      <c r="B649" s="106" t="s">
        <v>4048</v>
      </c>
      <c r="C649" s="107" t="s">
        <v>4049</v>
      </c>
      <c r="D649" s="106" t="s">
        <v>4050</v>
      </c>
      <c r="E649" s="106" t="s">
        <v>3882</v>
      </c>
      <c r="F649" s="106" t="s">
        <v>4209</v>
      </c>
      <c r="G649" s="106" t="s">
        <v>1074</v>
      </c>
      <c r="H649" s="106" t="s">
        <v>4159</v>
      </c>
      <c r="I649" s="106" t="s">
        <v>4210</v>
      </c>
      <c r="K649" s="106" t="s">
        <v>4161</v>
      </c>
      <c r="L649" s="106" t="s">
        <v>4211</v>
      </c>
      <c r="O649" s="106" t="s">
        <v>274</v>
      </c>
      <c r="P649" s="106" t="s">
        <v>3887</v>
      </c>
      <c r="Q649" s="106" t="s">
        <v>409</v>
      </c>
      <c r="S649" s="106" t="str" cm="1">
        <f t="array" ref="S649">IF(TRIM($D649)="","(tidak diisi)",IFERROR(INDEX(Kamus!$B$3:$B$28,MATCH(TRUE,ISNUMBER(SEARCH(Kamus!$A$3:$A$28,$D649)),0)),"Jabatan Lainnya"))</f>
        <v>Jabatan Lainnya</v>
      </c>
      <c r="T649" s="106" t="str" cm="1">
        <f t="array" ref="T649">IF(TRIM($I649)="","(tidak diisi)",IFERROR(INDEX(Kamus!$E$3:$E$162,MATCH(TRUE,ISNUMBER(SEARCH(Kamus!$D$3:$D$162,$I649)),0)),"Barang Lain / Tidak Terinci"))</f>
        <v>Uang &amp; Setara Uang</v>
      </c>
      <c r="U649" s="106" t="str" cm="1">
        <f t="array" ref="U649">IF(TRIM($I649)="","(tidak diisi)",IFERROR(INDEX(Kamus!$H$3:$H$75,MATCH(TRUE,ISNUMBER(SEARCH(Kamus!$G$3:$G$75,$I649)),0)),"Pemberian Umum / Tanpa Konteks"))</f>
        <v>Pemberian Uang Langsung</v>
      </c>
      <c r="V649" s="106" t="str">
        <f t="shared" si="30"/>
        <v>2025</v>
      </c>
      <c r="W649" s="106" t="str" cm="1">
        <f t="array" ref="W649">IF(TRIM($K649)="","(tidak diisi)",IFERROR(INDEX(Kamus!$K$3:$K$118,MATCH(TRUE,ISNUMBER(SEARCH(Kamus!$J$3:$J$118,$K649)),0)),"Individu / Perorangan"))</f>
        <v>Individu / Perorangan</v>
      </c>
      <c r="X649" s="106" t="str">
        <f t="shared" si="31"/>
        <v>12</v>
      </c>
      <c r="Y649" s="106" t="str" cm="1">
        <f t="array" ref="Y649">IFERROR(INDEX(Kamus!$N$3:$N$111,MATCH(TRUE,ISNUMBER(SEARCH(Kamus!$M$3:$M$111,$I649)),0)),"")</f>
        <v/>
      </c>
      <c r="Z649" s="106" t="str">
        <f>IF(AND(OR($X649="02",$X649="03",$X649="04"),OR($T649="Parsel/Bingkisan (tidak dirinci)",$T649="Makanan &amp; Minuman",$T649="Peralatan Rumah Tangga / Pecah Belah",$T649="Pakaian &amp; Kain")),"Momen Hari Raya (dugaan musiman)",IFERROR(VLOOKUP($W649,Kamus!$P$3:$Q$14,2,FALSE),"Tidak Teridentifikasi"))</f>
        <v>Relasi Personal / Tidak Teridentifikasi</v>
      </c>
      <c r="AA649" s="106" t="str">
        <f t="shared" si="32"/>
        <v>Relasi Personal / Tidak Teridentifikasi</v>
      </c>
    </row>
    <row r="650" spans="1:27">
      <c r="A650" s="106">
        <v>649</v>
      </c>
      <c r="B650" s="106" t="s">
        <v>4212</v>
      </c>
      <c r="C650" s="107" t="s">
        <v>4213</v>
      </c>
      <c r="D650" s="106" t="s">
        <v>4214</v>
      </c>
      <c r="E650" s="106" t="s">
        <v>3341</v>
      </c>
      <c r="F650" s="106" t="s">
        <v>4215</v>
      </c>
      <c r="G650" s="106" t="s">
        <v>1006</v>
      </c>
      <c r="H650" s="106" t="s">
        <v>4216</v>
      </c>
      <c r="I650" s="106" t="s">
        <v>4217</v>
      </c>
      <c r="J650" s="106">
        <v>132000</v>
      </c>
      <c r="K650" s="106" t="s">
        <v>4218</v>
      </c>
      <c r="L650" s="106" t="s">
        <v>4219</v>
      </c>
      <c r="M650" s="106" t="s">
        <v>1039</v>
      </c>
      <c r="O650" s="106" t="s">
        <v>274</v>
      </c>
      <c r="P650" s="106" t="s">
        <v>583</v>
      </c>
      <c r="Q650" s="106" t="s">
        <v>302</v>
      </c>
      <c r="S650" s="106" t="str" cm="1">
        <f t="array" ref="S650">IF(TRIM($D650)="","(tidak diisi)",IFERROR(INDEX(Kamus!$B$3:$B$28,MATCH(TRUE,ISNUMBER(SEARCH(Kamus!$A$3:$A$28,$D650)),0)),"Jabatan Lainnya"))</f>
        <v>Sekretaris</v>
      </c>
      <c r="T650" s="106" t="str" cm="1">
        <f t="array" ref="T650">IF(TRIM($I650)="","(tidak diisi)",IFERROR(INDEX(Kamus!$E$3:$E$162,MATCH(TRUE,ISNUMBER(SEARCH(Kamus!$D$3:$D$162,$I650)),0)),"Barang Lain / Tidak Terinci"))</f>
        <v>Buku &amp; Publikasi</v>
      </c>
      <c r="U650" s="106" t="str" cm="1">
        <f t="array" ref="U650">IF(TRIM($I650)="","(tidak diisi)",IFERROR(INDEX(Kamus!$H$3:$H$75,MATCH(TRUE,ISNUMBER(SEARCH(Kamus!$G$3:$G$75,$I650)),0)),"Pemberian Umum / Tanpa Konteks"))</f>
        <v>Suvenir / Merchandise Kegiatan &amp; Kunjungan</v>
      </c>
      <c r="V650" s="106" t="str">
        <f t="shared" si="30"/>
        <v>2026</v>
      </c>
      <c r="W650" s="106" t="str" cm="1">
        <f t="array" ref="W650">IF(TRIM($K650)="","(tidak diisi)",IFERROR(INDEX(Kamus!$K$3:$K$118,MATCH(TRUE,ISNUMBER(SEARCH(Kamus!$J$3:$J$118,$K650)),0)),"Individu / Perorangan"))</f>
        <v>Kampus &amp; Sekolah</v>
      </c>
      <c r="X650" s="106" t="str">
        <f t="shared" si="31"/>
        <v>01</v>
      </c>
      <c r="Y650" s="106" t="str" cm="1">
        <f t="array" ref="Y650">IFERROR(INDEX(Kamus!$N$3:$N$111,MATCH(TRUE,ISNUMBER(SEARCH(Kamus!$M$3:$M$111,$I650)),0)),"")</f>
        <v/>
      </c>
      <c r="Z650" s="106" t="str">
        <f>IF(AND(OR($X650="02",$X650="03",$X650="04"),OR($T650="Parsel/Bingkisan (tidak dirinci)",$T650="Makanan &amp; Minuman",$T650="Peralatan Rumah Tangga / Pecah Belah",$T650="Pakaian &amp; Kain")),"Momen Hari Raya (dugaan musiman)",IFERROR(VLOOKUP($W650,Kamus!$P$3:$Q$14,2,FALSE),"Tidak Teridentifikasi"))</f>
        <v>Kerja Sama Pendidikan/PKL (dugaan)</v>
      </c>
      <c r="AA650" s="106" t="str">
        <f t="shared" si="32"/>
        <v>Kerja Sama Pendidikan/PKL (dugaan)</v>
      </c>
    </row>
    <row r="651" spans="1:27">
      <c r="A651" s="106">
        <v>650</v>
      </c>
      <c r="B651" s="106" t="s">
        <v>4220</v>
      </c>
      <c r="C651" s="107" t="s">
        <v>4221</v>
      </c>
      <c r="D651" s="106" t="s">
        <v>4222</v>
      </c>
      <c r="E651" s="106" t="s">
        <v>4223</v>
      </c>
      <c r="F651" s="106" t="s">
        <v>4224</v>
      </c>
      <c r="G651" s="106" t="s">
        <v>1006</v>
      </c>
      <c r="H651" s="106" t="s">
        <v>4225</v>
      </c>
      <c r="I651" s="106" t="s">
        <v>3828</v>
      </c>
      <c r="J651" s="106">
        <v>50000</v>
      </c>
      <c r="K651" s="106" t="s">
        <v>4226</v>
      </c>
      <c r="L651" s="106" t="s">
        <v>4227</v>
      </c>
      <c r="M651" s="106" t="s">
        <v>1020</v>
      </c>
      <c r="O651" s="106" t="s">
        <v>274</v>
      </c>
      <c r="P651" s="106" t="s">
        <v>4228</v>
      </c>
      <c r="Q651" s="106" t="s">
        <v>428</v>
      </c>
      <c r="S651" s="106" t="str" cm="1">
        <f t="array" ref="S651">IF(TRIM($D651)="","(tidak diisi)",IFERROR(INDEX(Kamus!$B$3:$B$28,MATCH(TRUE,ISNUMBER(SEARCH(Kamus!$A$3:$A$28,$D651)),0)),"Jabatan Lainnya"))</f>
        <v>Wakil Ketua Pengadilan</v>
      </c>
      <c r="T651" s="106" t="str" cm="1">
        <f t="array" ref="T651">IF(TRIM($I651)="","(tidak diisi)",IFERROR(INDEX(Kamus!$E$3:$E$162,MATCH(TRUE,ISNUMBER(SEARCH(Kamus!$D$3:$D$162,$I651)),0)),"Barang Lain / Tidak Terinci"))</f>
        <v>Peralatan Rumah Tangga / Pecah Belah</v>
      </c>
      <c r="U651" s="106" t="str" cm="1">
        <f t="array" ref="U651">IF(TRIM($I651)="","(tidak diisi)",IFERROR(INDEX(Kamus!$H$3:$H$75,MATCH(TRUE,ISNUMBER(SEARCH(Kamus!$G$3:$G$75,$I651)),0)),"Pemberian Umum / Tanpa Konteks"))</f>
        <v>Pemberian Umum / Tanpa Konteks</v>
      </c>
      <c r="V651" s="106" t="str">
        <f t="shared" si="30"/>
        <v>2025</v>
      </c>
      <c r="W651" s="106" t="str" cm="1">
        <f t="array" ref="W651">IF(TRIM($K651)="","(tidak diisi)",IFERROR(INDEX(Kamus!$K$3:$K$118,MATCH(TRUE,ISNUMBER(SEARCH(Kamus!$J$3:$J$118,$K651)),0)),"Individu / Perorangan"))</f>
        <v>Pemerintah Daerah</v>
      </c>
      <c r="X651" s="106" t="str">
        <f t="shared" si="31"/>
        <v>12</v>
      </c>
      <c r="Y651" s="106" t="str" cm="1">
        <f t="array" ref="Y651">IFERROR(INDEX(Kamus!$N$3:$N$111,MATCH(TRUE,ISNUMBER(SEARCH(Kamus!$M$3:$M$111,$I651)),0)),"")</f>
        <v/>
      </c>
      <c r="Z651" s="106" t="str">
        <f>IF(AND(OR($X651="02",$X651="03",$X651="04"),OR($T651="Parsel/Bingkisan (tidak dirinci)",$T651="Makanan &amp; Minuman",$T651="Peralatan Rumah Tangga / Pecah Belah",$T651="Pakaian &amp; Kain")),"Momen Hari Raya (dugaan musiman)",IFERROR(VLOOKUP($W651,Kamus!$P$3:$Q$14,2,FALSE),"Tidak Teridentifikasi"))</f>
        <v>Koordinasi Antarinstansi (dugaan)</v>
      </c>
      <c r="AA651" s="106" t="str">
        <f t="shared" si="32"/>
        <v>Koordinasi Antarinstansi (dugaan)</v>
      </c>
    </row>
    <row r="652" spans="1:27">
      <c r="A652" s="106">
        <v>651</v>
      </c>
      <c r="B652" s="106" t="s">
        <v>4229</v>
      </c>
      <c r="C652" s="107" t="s">
        <v>4230</v>
      </c>
      <c r="D652" s="106" t="s">
        <v>1013</v>
      </c>
      <c r="E652" s="106" t="s">
        <v>2105</v>
      </c>
      <c r="F652" s="106" t="s">
        <v>4231</v>
      </c>
      <c r="G652" s="106" t="s">
        <v>1006</v>
      </c>
      <c r="H652" s="106" t="s">
        <v>4184</v>
      </c>
      <c r="I652" s="106" t="s">
        <v>1492</v>
      </c>
      <c r="J652" s="106">
        <v>250000</v>
      </c>
      <c r="K652" s="106" t="s">
        <v>4232</v>
      </c>
      <c r="L652" s="106" t="s">
        <v>4233</v>
      </c>
      <c r="M652" s="106" t="s">
        <v>1171</v>
      </c>
      <c r="N652" s="106" t="s">
        <v>4234</v>
      </c>
      <c r="O652" s="106" t="s">
        <v>274</v>
      </c>
      <c r="P652" s="106" t="s">
        <v>2110</v>
      </c>
      <c r="Q652" s="106" t="s">
        <v>429</v>
      </c>
      <c r="S652" s="106" t="str" cm="1">
        <f t="array" ref="S652">IF(TRIM($D652)="","(tidak diisi)",IFERROR(INDEX(Kamus!$B$3:$B$28,MATCH(TRUE,ISNUMBER(SEARCH(Kamus!$A$3:$A$28,$D652)),0)),"Jabatan Lainnya"))</f>
        <v>Panitera</v>
      </c>
      <c r="T652" s="106" t="str" cm="1">
        <f t="array" ref="T652">IF(TRIM($I652)="","(tidak diisi)",IFERROR(INDEX(Kamus!$E$3:$E$162,MATCH(TRUE,ISNUMBER(SEARCH(Kamus!$D$3:$D$162,$I652)),0)),"Barang Lain / Tidak Terinci"))</f>
        <v>Pakaian &amp; Kain</v>
      </c>
      <c r="U652" s="106" t="str" cm="1">
        <f t="array" ref="U652">IF(TRIM($I652)="","(tidak diisi)",IFERROR(INDEX(Kamus!$H$3:$H$75,MATCH(TRUE,ISNUMBER(SEARCH(Kamus!$G$3:$G$75,$I652)),0)),"Pemberian Umum / Tanpa Konteks"))</f>
        <v>Pemberian Umum / Tanpa Konteks</v>
      </c>
      <c r="V652" s="106" t="str">
        <f t="shared" si="30"/>
        <v>2025</v>
      </c>
      <c r="W652" s="106" t="str" cm="1">
        <f t="array" ref="W652">IF(TRIM($K652)="","(tidak diisi)",IFERROR(INDEX(Kamus!$K$3:$K$118,MATCH(TRUE,ISNUMBER(SEARCH(Kamus!$J$3:$J$118,$K652)),0)),"Individu / Perorangan"))</f>
        <v>Individu / Perorangan</v>
      </c>
      <c r="X652" s="106" t="str">
        <f t="shared" si="31"/>
        <v>12</v>
      </c>
      <c r="Y652" s="106" t="str" cm="1">
        <f t="array" ref="Y652">IFERROR(INDEX(Kamus!$N$3:$N$111,MATCH(TRUE,ISNUMBER(SEARCH(Kamus!$M$3:$M$111,$I652)),0)),"")</f>
        <v/>
      </c>
      <c r="Z652" s="106" t="str">
        <f>IF(AND(OR($X652="02",$X652="03",$X652="04"),OR($T652="Parsel/Bingkisan (tidak dirinci)",$T652="Makanan &amp; Minuman",$T652="Peralatan Rumah Tangga / Pecah Belah",$T652="Pakaian &amp; Kain")),"Momen Hari Raya (dugaan musiman)",IFERROR(VLOOKUP($W652,Kamus!$P$3:$Q$14,2,FALSE),"Tidak Teridentifikasi"))</f>
        <v>Relasi Personal / Tidak Teridentifikasi</v>
      </c>
      <c r="AA652" s="106" t="str">
        <f t="shared" si="32"/>
        <v>Relasi Personal / Tidak Teridentifikasi</v>
      </c>
    </row>
    <row r="653" spans="1:27">
      <c r="A653" s="106">
        <v>652</v>
      </c>
      <c r="B653" s="106" t="s">
        <v>4229</v>
      </c>
      <c r="C653" s="107" t="s">
        <v>4230</v>
      </c>
      <c r="D653" s="106" t="s">
        <v>1013</v>
      </c>
      <c r="E653" s="106" t="s">
        <v>2105</v>
      </c>
      <c r="F653" s="106" t="s">
        <v>4231</v>
      </c>
      <c r="G653" s="106" t="s">
        <v>1006</v>
      </c>
      <c r="H653" s="106" t="s">
        <v>4184</v>
      </c>
      <c r="I653" s="106" t="s">
        <v>3802</v>
      </c>
      <c r="J653" s="106">
        <v>50000</v>
      </c>
      <c r="K653" s="106" t="s">
        <v>4232</v>
      </c>
      <c r="L653" s="106" t="s">
        <v>4233</v>
      </c>
      <c r="M653" s="106" t="s">
        <v>1039</v>
      </c>
      <c r="N653" s="106" t="s">
        <v>4234</v>
      </c>
      <c r="O653" s="106" t="s">
        <v>274</v>
      </c>
      <c r="P653" s="106" t="s">
        <v>2110</v>
      </c>
      <c r="Q653" s="106" t="s">
        <v>429</v>
      </c>
      <c r="S653" s="106" t="str" cm="1">
        <f t="array" ref="S653">IF(TRIM($D653)="","(tidak diisi)",IFERROR(INDEX(Kamus!$B$3:$B$28,MATCH(TRUE,ISNUMBER(SEARCH(Kamus!$A$3:$A$28,$D653)),0)),"Jabatan Lainnya"))</f>
        <v>Panitera</v>
      </c>
      <c r="T653" s="106" t="str" cm="1">
        <f t="array" ref="T653">IF(TRIM($I653)="","(tidak diisi)",IFERROR(INDEX(Kamus!$E$3:$E$162,MATCH(TRUE,ISNUMBER(SEARCH(Kamus!$D$3:$D$162,$I653)),0)),"Barang Lain / Tidak Terinci"))</f>
        <v>Buku &amp; Publikasi</v>
      </c>
      <c r="U653" s="106" t="str" cm="1">
        <f t="array" ref="U653">IF(TRIM($I653)="","(tidak diisi)",IFERROR(INDEX(Kamus!$H$3:$H$75,MATCH(TRUE,ISNUMBER(SEARCH(Kamus!$G$3:$G$75,$I653)),0)),"Pemberian Umum / Tanpa Konteks"))</f>
        <v>Pemberian Umum / Tanpa Konteks</v>
      </c>
      <c r="V653" s="106" t="str">
        <f t="shared" si="30"/>
        <v>2025</v>
      </c>
      <c r="W653" s="106" t="str" cm="1">
        <f t="array" ref="W653">IF(TRIM($K653)="","(tidak diisi)",IFERROR(INDEX(Kamus!$K$3:$K$118,MATCH(TRUE,ISNUMBER(SEARCH(Kamus!$J$3:$J$118,$K653)),0)),"Individu / Perorangan"))</f>
        <v>Individu / Perorangan</v>
      </c>
      <c r="X653" s="106" t="str">
        <f t="shared" si="31"/>
        <v>12</v>
      </c>
      <c r="Y653" s="106" t="str" cm="1">
        <f t="array" ref="Y653">IFERROR(INDEX(Kamus!$N$3:$N$111,MATCH(TRUE,ISNUMBER(SEARCH(Kamus!$M$3:$M$111,$I653)),0)),"")</f>
        <v/>
      </c>
      <c r="Z653" s="106" t="str">
        <f>IF(AND(OR($X653="02",$X653="03",$X653="04"),OR($T653="Parsel/Bingkisan (tidak dirinci)",$T653="Makanan &amp; Minuman",$T653="Peralatan Rumah Tangga / Pecah Belah",$T653="Pakaian &amp; Kain")),"Momen Hari Raya (dugaan musiman)",IFERROR(VLOOKUP($W653,Kamus!$P$3:$Q$14,2,FALSE),"Tidak Teridentifikasi"))</f>
        <v>Relasi Personal / Tidak Teridentifikasi</v>
      </c>
      <c r="AA653" s="106" t="str">
        <f t="shared" si="32"/>
        <v>Relasi Personal / Tidak Teridentifikasi</v>
      </c>
    </row>
    <row r="654" spans="1:27">
      <c r="A654" s="106">
        <v>653</v>
      </c>
      <c r="B654" s="106" t="s">
        <v>2567</v>
      </c>
      <c r="C654" s="107" t="s">
        <v>2568</v>
      </c>
      <c r="D654" s="106" t="s">
        <v>2569</v>
      </c>
      <c r="E654" s="106" t="s">
        <v>2570</v>
      </c>
      <c r="F654" s="106" t="s">
        <v>4235</v>
      </c>
      <c r="G654" s="106" t="s">
        <v>1006</v>
      </c>
      <c r="H654" s="106" t="s">
        <v>4236</v>
      </c>
      <c r="I654" s="106" t="s">
        <v>1492</v>
      </c>
      <c r="J654" s="106">
        <v>200000</v>
      </c>
      <c r="K654" s="106" t="s">
        <v>4237</v>
      </c>
      <c r="L654" s="106" t="s">
        <v>4238</v>
      </c>
      <c r="M654" s="106" t="s">
        <v>1171</v>
      </c>
      <c r="N654" s="106" t="s">
        <v>4239</v>
      </c>
      <c r="O654" s="106" t="s">
        <v>274</v>
      </c>
      <c r="P654" s="106" t="s">
        <v>2576</v>
      </c>
      <c r="Q654" s="106" t="s">
        <v>361</v>
      </c>
      <c r="S654" s="106" t="str" cm="1">
        <f t="array" ref="S654">IF(TRIM($D654)="","(tidak diisi)",IFERROR(INDEX(Kamus!$B$3:$B$28,MATCH(TRUE,ISNUMBER(SEARCH(Kamus!$A$3:$A$28,$D654)),0)),"Jabatan Lainnya"))</f>
        <v>Jabatan Lainnya</v>
      </c>
      <c r="T654" s="106" t="str" cm="1">
        <f t="array" ref="T654">IF(TRIM($I654)="","(tidak diisi)",IFERROR(INDEX(Kamus!$E$3:$E$162,MATCH(TRUE,ISNUMBER(SEARCH(Kamus!$D$3:$D$162,$I654)),0)),"Barang Lain / Tidak Terinci"))</f>
        <v>Pakaian &amp; Kain</v>
      </c>
      <c r="U654" s="106" t="str" cm="1">
        <f t="array" ref="U654">IF(TRIM($I654)="","(tidak diisi)",IFERROR(INDEX(Kamus!$H$3:$H$75,MATCH(TRUE,ISNUMBER(SEARCH(Kamus!$G$3:$G$75,$I654)),0)),"Pemberian Umum / Tanpa Konteks"))</f>
        <v>Pemberian Umum / Tanpa Konteks</v>
      </c>
      <c r="V654" s="106" t="str">
        <f t="shared" si="30"/>
        <v>2025</v>
      </c>
      <c r="W654" s="106" t="str" cm="1">
        <f t="array" ref="W654">IF(TRIM($K654)="","(tidak diisi)",IFERROR(INDEX(Kamus!$K$3:$K$118,MATCH(TRUE,ISNUMBER(SEARCH(Kamus!$J$3:$J$118,$K654)),0)),"Individu / Perorangan"))</f>
        <v>Individu / Perorangan</v>
      </c>
      <c r="X654" s="106" t="str">
        <f t="shared" si="31"/>
        <v>12</v>
      </c>
      <c r="Y654" s="106" t="str" cm="1">
        <f t="array" ref="Y654">IFERROR(INDEX(Kamus!$N$3:$N$111,MATCH(TRUE,ISNUMBER(SEARCH(Kamus!$M$3:$M$111,$I654)),0)),"")</f>
        <v/>
      </c>
      <c r="Z654" s="106" t="str">
        <f>IF(AND(OR($X654="02",$X654="03",$X654="04"),OR($T654="Parsel/Bingkisan (tidak dirinci)",$T654="Makanan &amp; Minuman",$T654="Peralatan Rumah Tangga / Pecah Belah",$T654="Pakaian &amp; Kain")),"Momen Hari Raya (dugaan musiman)",IFERROR(VLOOKUP($W654,Kamus!$P$3:$Q$14,2,FALSE),"Tidak Teridentifikasi"))</f>
        <v>Relasi Personal / Tidak Teridentifikasi</v>
      </c>
      <c r="AA654" s="106" t="str">
        <f t="shared" si="32"/>
        <v>Relasi Personal / Tidak Teridentifikasi</v>
      </c>
    </row>
    <row r="655" spans="1:27">
      <c r="A655" s="106">
        <v>654</v>
      </c>
      <c r="B655" s="106" t="s">
        <v>3717</v>
      </c>
      <c r="C655" s="107" t="s">
        <v>3718</v>
      </c>
      <c r="D655" s="106" t="s">
        <v>3719</v>
      </c>
      <c r="E655" s="106" t="s">
        <v>3720</v>
      </c>
      <c r="F655" s="106" t="s">
        <v>4240</v>
      </c>
      <c r="G655" s="106" t="s">
        <v>1006</v>
      </c>
      <c r="H655" s="106" t="s">
        <v>4241</v>
      </c>
      <c r="I655" s="106" t="s">
        <v>4242</v>
      </c>
      <c r="K655" s="106" t="s">
        <v>4243</v>
      </c>
      <c r="L655" s="106" t="s">
        <v>4244</v>
      </c>
      <c r="O655" s="106" t="s">
        <v>274</v>
      </c>
      <c r="P655" s="106" t="s">
        <v>3726</v>
      </c>
      <c r="Q655" s="106" t="s">
        <v>427</v>
      </c>
      <c r="S655" s="106" t="str" cm="1">
        <f t="array" ref="S655">IF(TRIM($D655)="","(tidak diisi)",IFERROR(INDEX(Kamus!$B$3:$B$28,MATCH(TRUE,ISNUMBER(SEARCH(Kamus!$A$3:$A$28,$D655)),0)),"Jabatan Lainnya"))</f>
        <v>Ketua Pengadilan</v>
      </c>
      <c r="T655" s="106" t="str" cm="1">
        <f t="array" ref="T655">IF(TRIM($I655)="","(tidak diisi)",IFERROR(INDEX(Kamus!$E$3:$E$162,MATCH(TRUE,ISNUMBER(SEARCH(Kamus!$D$3:$D$162,$I655)),0)),"Barang Lain / Tidak Terinci"))</f>
        <v>Makanan &amp; Minuman</v>
      </c>
      <c r="U655" s="106" t="str" cm="1">
        <f t="array" ref="U655">IF(TRIM($I655)="","(tidak diisi)",IFERROR(INDEX(Kamus!$H$3:$H$75,MATCH(TRUE,ISNUMBER(SEARCH(Kamus!$G$3:$G$75,$I655)),0)),"Pemberian Umum / Tanpa Konteks"))</f>
        <v>Pemberian Umum / Tanpa Konteks</v>
      </c>
      <c r="V655" s="106" t="str">
        <f t="shared" si="30"/>
        <v>2026</v>
      </c>
      <c r="W655" s="106" t="str" cm="1">
        <f t="array" ref="W655">IF(TRIM($K655)="","(tidak diisi)",IFERROR(INDEX(Kamus!$K$3:$K$118,MATCH(TRUE,ISNUMBER(SEARCH(Kamus!$J$3:$J$118,$K655)),0)),"Individu / Perorangan"))</f>
        <v>Individu / Perorangan</v>
      </c>
      <c r="X655" s="106" t="str">
        <f t="shared" si="31"/>
        <v>01</v>
      </c>
      <c r="Y655" s="106" t="str" cm="1">
        <f t="array" ref="Y655">IFERROR(INDEX(Kamus!$N$3:$N$111,MATCH(TRUE,ISNUMBER(SEARCH(Kamus!$M$3:$M$111,$I655)),0)),"")</f>
        <v/>
      </c>
      <c r="Z655" s="106" t="str">
        <f>IF(AND(OR($X655="02",$X655="03",$X655="04"),OR($T655="Parsel/Bingkisan (tidak dirinci)",$T655="Makanan &amp; Minuman",$T655="Peralatan Rumah Tangga / Pecah Belah",$T655="Pakaian &amp; Kain")),"Momen Hari Raya (dugaan musiman)",IFERROR(VLOOKUP($W655,Kamus!$P$3:$Q$14,2,FALSE),"Tidak Teridentifikasi"))</f>
        <v>Relasi Personal / Tidak Teridentifikasi</v>
      </c>
      <c r="AA655" s="106" t="str">
        <f t="shared" si="32"/>
        <v>Relasi Personal / Tidak Teridentifikasi</v>
      </c>
    </row>
    <row r="656" spans="1:27">
      <c r="A656" s="106">
        <v>655</v>
      </c>
      <c r="B656" s="106" t="s">
        <v>4168</v>
      </c>
      <c r="C656" s="107" t="s">
        <v>4169</v>
      </c>
      <c r="D656" s="106" t="s">
        <v>1042</v>
      </c>
      <c r="E656" s="106" t="s">
        <v>1005</v>
      </c>
      <c r="F656" s="106" t="s">
        <v>4245</v>
      </c>
      <c r="G656" s="106" t="s">
        <v>1006</v>
      </c>
      <c r="H656" s="106" t="s">
        <v>4246</v>
      </c>
      <c r="I656" s="106" t="s">
        <v>4247</v>
      </c>
      <c r="K656" s="106" t="s">
        <v>4248</v>
      </c>
      <c r="L656" s="106" t="s">
        <v>4249</v>
      </c>
      <c r="O656" s="106" t="s">
        <v>274</v>
      </c>
      <c r="S656" s="106" t="str" cm="1">
        <f t="array" ref="S656">IF(TRIM($D656)="","(tidak diisi)",IFERROR(INDEX(Kamus!$B$3:$B$28,MATCH(TRUE,ISNUMBER(SEARCH(Kamus!$A$3:$A$28,$D656)),0)),"Jabatan Lainnya"))</f>
        <v>Ketua Pengadilan</v>
      </c>
      <c r="T656" s="106" t="str" cm="1">
        <f t="array" ref="T656">IF(TRIM($I656)="","(tidak diisi)",IFERROR(INDEX(Kamus!$E$3:$E$162,MATCH(TRUE,ISNUMBER(SEARCH(Kamus!$D$3:$D$162,$I656)),0)),"Barang Lain / Tidak Terinci"))</f>
        <v>Makanan &amp; Minuman</v>
      </c>
      <c r="U656" s="106" t="str" cm="1">
        <f t="array" ref="U656">IF(TRIM($I656)="","(tidak diisi)",IFERROR(INDEX(Kamus!$H$3:$H$75,MATCH(TRUE,ISNUMBER(SEARCH(Kamus!$G$3:$G$75,$I656)),0)),"Pemberian Umum / Tanpa Konteks"))</f>
        <v>Pemberian Umum / Tanpa Konteks</v>
      </c>
      <c r="V656" s="106" t="str">
        <f t="shared" si="30"/>
        <v>2026</v>
      </c>
      <c r="W656" s="106" t="str" cm="1">
        <f t="array" ref="W656">IF(TRIM($K656)="","(tidak diisi)",IFERROR(INDEX(Kamus!$K$3:$K$118,MATCH(TRUE,ISNUMBER(SEARCH(Kamus!$J$3:$J$118,$K656)),0)),"Individu / Perorangan"))</f>
        <v>Individu / Perorangan</v>
      </c>
      <c r="X656" s="106" t="str">
        <f t="shared" si="31"/>
        <v>01</v>
      </c>
      <c r="Y656" s="106" t="str" cm="1">
        <f t="array" ref="Y656">IFERROR(INDEX(Kamus!$N$3:$N$111,MATCH(TRUE,ISNUMBER(SEARCH(Kamus!$M$3:$M$111,$I656)),0)),"")</f>
        <v/>
      </c>
      <c r="Z656" s="106" t="str">
        <f>IF(AND(OR($X656="02",$X656="03",$X656="04"),OR($T656="Parsel/Bingkisan (tidak dirinci)",$T656="Makanan &amp; Minuman",$T656="Peralatan Rumah Tangga / Pecah Belah",$T656="Pakaian &amp; Kain")),"Momen Hari Raya (dugaan musiman)",IFERROR(VLOOKUP($W656,Kamus!$P$3:$Q$14,2,FALSE),"Tidak Teridentifikasi"))</f>
        <v>Relasi Personal / Tidak Teridentifikasi</v>
      </c>
      <c r="AA656" s="106" t="str">
        <f t="shared" si="32"/>
        <v>Relasi Personal / Tidak Teridentifikasi</v>
      </c>
    </row>
    <row r="657" spans="1:27">
      <c r="A657" s="106">
        <v>656</v>
      </c>
      <c r="B657" s="106" t="s">
        <v>4168</v>
      </c>
      <c r="C657" s="107" t="s">
        <v>4169</v>
      </c>
      <c r="D657" s="106" t="s">
        <v>1042</v>
      </c>
      <c r="E657" s="106" t="s">
        <v>1005</v>
      </c>
      <c r="F657" s="106" t="s">
        <v>4250</v>
      </c>
      <c r="G657" s="106" t="s">
        <v>1006</v>
      </c>
      <c r="H657" s="106" t="s">
        <v>4241</v>
      </c>
      <c r="I657" s="106" t="s">
        <v>4251</v>
      </c>
      <c r="J657" s="106">
        <v>600000</v>
      </c>
      <c r="K657" s="106" t="s">
        <v>4252</v>
      </c>
      <c r="L657" s="106" t="s">
        <v>4253</v>
      </c>
      <c r="M657" s="106" t="s">
        <v>1171</v>
      </c>
      <c r="N657" s="106" t="s">
        <v>4254</v>
      </c>
      <c r="O657" s="106" t="s">
        <v>274</v>
      </c>
      <c r="S657" s="106" t="str" cm="1">
        <f t="array" ref="S657">IF(TRIM($D657)="","(tidak diisi)",IFERROR(INDEX(Kamus!$B$3:$B$28,MATCH(TRUE,ISNUMBER(SEARCH(Kamus!$A$3:$A$28,$D657)),0)),"Jabatan Lainnya"))</f>
        <v>Ketua Pengadilan</v>
      </c>
      <c r="T657" s="106" t="str" cm="1">
        <f t="array" ref="T657">IF(TRIM($I657)="","(tidak diisi)",IFERROR(INDEX(Kamus!$E$3:$E$162,MATCH(TRUE,ISNUMBER(SEARCH(Kamus!$D$3:$D$162,$I657)),0)),"Barang Lain / Tidak Terinci"))</f>
        <v>Pakaian &amp; Kain</v>
      </c>
      <c r="U657" s="106" t="str" cm="1">
        <f t="array" ref="U657">IF(TRIM($I657)="","(tidak diisi)",IFERROR(INDEX(Kamus!$H$3:$H$75,MATCH(TRUE,ISNUMBER(SEARCH(Kamus!$G$3:$G$75,$I657)),0)),"Pemberian Umum / Tanpa Konteks"))</f>
        <v>Pemberian Umum / Tanpa Konteks</v>
      </c>
      <c r="V657" s="106" t="str">
        <f t="shared" si="30"/>
        <v>2026</v>
      </c>
      <c r="W657" s="106" t="str" cm="1">
        <f t="array" ref="W657">IF(TRIM($K657)="","(tidak diisi)",IFERROR(INDEX(Kamus!$K$3:$K$118,MATCH(TRUE,ISNUMBER(SEARCH(Kamus!$J$3:$J$118,$K657)),0)),"Individu / Perorangan"))</f>
        <v>Individu / Perorangan</v>
      </c>
      <c r="X657" s="106" t="str">
        <f t="shared" si="31"/>
        <v>01</v>
      </c>
      <c r="Y657" s="106" t="str" cm="1">
        <f t="array" ref="Y657">IFERROR(INDEX(Kamus!$N$3:$N$111,MATCH(TRUE,ISNUMBER(SEARCH(Kamus!$M$3:$M$111,$I657)),0)),"")</f>
        <v/>
      </c>
      <c r="Z657" s="106" t="str">
        <f>IF(AND(OR($X657="02",$X657="03",$X657="04"),OR($T657="Parsel/Bingkisan (tidak dirinci)",$T657="Makanan &amp; Minuman",$T657="Peralatan Rumah Tangga / Pecah Belah",$T657="Pakaian &amp; Kain")),"Momen Hari Raya (dugaan musiman)",IFERROR(VLOOKUP($W657,Kamus!$P$3:$Q$14,2,FALSE),"Tidak Teridentifikasi"))</f>
        <v>Relasi Personal / Tidak Teridentifikasi</v>
      </c>
      <c r="AA657" s="106" t="str">
        <f t="shared" si="32"/>
        <v>Relasi Personal / Tidak Teridentifikasi</v>
      </c>
    </row>
    <row r="658" spans="1:27">
      <c r="A658" s="106">
        <v>657</v>
      </c>
      <c r="B658" s="106" t="s">
        <v>2318</v>
      </c>
      <c r="C658" s="107" t="s">
        <v>2319</v>
      </c>
      <c r="D658" s="106" t="s">
        <v>1042</v>
      </c>
      <c r="E658" s="106" t="s">
        <v>1025</v>
      </c>
      <c r="F658" s="106" t="s">
        <v>4255</v>
      </c>
      <c r="G658" s="106" t="s">
        <v>1006</v>
      </c>
      <c r="H658" s="106" t="s">
        <v>4256</v>
      </c>
      <c r="I658" s="106" t="s">
        <v>4257</v>
      </c>
      <c r="J658" s="106">
        <v>100000</v>
      </c>
      <c r="K658" s="106" t="s">
        <v>4258</v>
      </c>
      <c r="L658" s="106" t="s">
        <v>4259</v>
      </c>
      <c r="M658" s="106" t="s">
        <v>1039</v>
      </c>
      <c r="O658" s="106" t="s">
        <v>274</v>
      </c>
      <c r="P658" s="106" t="s">
        <v>561</v>
      </c>
      <c r="Q658" s="106" t="s">
        <v>428</v>
      </c>
      <c r="S658" s="106" t="str" cm="1">
        <f t="array" ref="S658">IF(TRIM($D658)="","(tidak diisi)",IFERROR(INDEX(Kamus!$B$3:$B$28,MATCH(TRUE,ISNUMBER(SEARCH(Kamus!$A$3:$A$28,$D658)),0)),"Jabatan Lainnya"))</f>
        <v>Ketua Pengadilan</v>
      </c>
      <c r="T658" s="106" t="str" cm="1">
        <f t="array" ref="T658">IF(TRIM($I658)="","(tidak diisi)",IFERROR(INDEX(Kamus!$E$3:$E$162,MATCH(TRUE,ISNUMBER(SEARCH(Kamus!$D$3:$D$162,$I658)),0)),"Barang Lain / Tidak Terinci"))</f>
        <v>Peralatan Rumah Tangga / Pecah Belah</v>
      </c>
      <c r="U658" s="106" t="str" cm="1">
        <f t="array" ref="U658">IF(TRIM($I658)="","(tidak diisi)",IFERROR(INDEX(Kamus!$H$3:$H$75,MATCH(TRUE,ISNUMBER(SEARCH(Kamus!$G$3:$G$75,$I658)),0)),"Pemberian Umum / Tanpa Konteks"))</f>
        <v>Pemberian Umum / Tanpa Konteks</v>
      </c>
      <c r="V658" s="106" t="str">
        <f t="shared" si="30"/>
        <v>2026</v>
      </c>
      <c r="W658" s="106" t="str" cm="1">
        <f t="array" ref="W658">IF(TRIM($K658)="","(tidak diisi)",IFERROR(INDEX(Kamus!$K$3:$K$118,MATCH(TRUE,ISNUMBER(SEARCH(Kamus!$J$3:$J$118,$K658)),0)),"Individu / Perorangan"))</f>
        <v>Individu / Perorangan</v>
      </c>
      <c r="X658" s="106" t="str">
        <f t="shared" si="31"/>
        <v>01</v>
      </c>
      <c r="Y658" s="106" t="str" cm="1">
        <f t="array" ref="Y658">IFERROR(INDEX(Kamus!$N$3:$N$111,MATCH(TRUE,ISNUMBER(SEARCH(Kamus!$M$3:$M$111,$I658)),0)),"")</f>
        <v/>
      </c>
      <c r="Z658" s="106" t="str">
        <f>IF(AND(OR($X658="02",$X658="03",$X658="04"),OR($T658="Parsel/Bingkisan (tidak dirinci)",$T658="Makanan &amp; Minuman",$T658="Peralatan Rumah Tangga / Pecah Belah",$T658="Pakaian &amp; Kain")),"Momen Hari Raya (dugaan musiman)",IFERROR(VLOOKUP($W658,Kamus!$P$3:$Q$14,2,FALSE),"Tidak Teridentifikasi"))</f>
        <v>Relasi Personal / Tidak Teridentifikasi</v>
      </c>
      <c r="AA658" s="106" t="str">
        <f t="shared" si="32"/>
        <v>Relasi Personal / Tidak Teridentifikasi</v>
      </c>
    </row>
    <row r="659" spans="1:27">
      <c r="A659" s="106">
        <v>658</v>
      </c>
      <c r="B659" s="106" t="s">
        <v>4260</v>
      </c>
      <c r="C659" s="107" t="s">
        <v>4261</v>
      </c>
      <c r="D659" s="106" t="s">
        <v>4262</v>
      </c>
      <c r="E659" s="106" t="s">
        <v>1005</v>
      </c>
      <c r="F659" s="106" t="s">
        <v>4263</v>
      </c>
      <c r="G659" s="106" t="s">
        <v>1074</v>
      </c>
      <c r="H659" s="106" t="s">
        <v>4264</v>
      </c>
      <c r="I659" s="106" t="s">
        <v>4265</v>
      </c>
      <c r="J659" s="106">
        <v>50000</v>
      </c>
      <c r="K659" s="106" t="s">
        <v>3879</v>
      </c>
      <c r="L659" s="106" t="s">
        <v>4266</v>
      </c>
      <c r="M659" s="106" t="s">
        <v>2247</v>
      </c>
      <c r="O659" s="106" t="s">
        <v>274</v>
      </c>
      <c r="S659" s="106" t="str" cm="1">
        <f t="array" ref="S659">IF(TRIM($D659)="","(tidak diisi)",IFERROR(INDEX(Kamus!$B$3:$B$28,MATCH(TRUE,ISNUMBER(SEARCH(Kamus!$A$3:$A$28,$D659)),0)),"Jabatan Lainnya"))</f>
        <v>Pejabat Struktural (Kasubbag/Kabag)</v>
      </c>
      <c r="T659" s="106" t="str" cm="1">
        <f t="array" ref="T659">IF(TRIM($I659)="","(tidak diisi)",IFERROR(INDEX(Kamus!$E$3:$E$162,MATCH(TRUE,ISNUMBER(SEARCH(Kamus!$D$3:$D$162,$I659)),0)),"Barang Lain / Tidak Terinci"))</f>
        <v>Uang &amp; Setara Uang</v>
      </c>
      <c r="U659" s="106" t="str" cm="1">
        <f t="array" ref="U659">IF(TRIM($I659)="","(tidak diisi)",IFERROR(INDEX(Kamus!$H$3:$H$75,MATCH(TRUE,ISNUMBER(SEARCH(Kamus!$G$3:$G$75,$I659)),0)),"Pemberian Umum / Tanpa Konteks"))</f>
        <v>Pemberian Uang Langsung</v>
      </c>
      <c r="V659" s="106" t="str">
        <f t="shared" si="30"/>
        <v>2026</v>
      </c>
      <c r="W659" s="106" t="str" cm="1">
        <f t="array" ref="W659">IF(TRIM($K659)="","(tidak diisi)",IFERROR(INDEX(Kamus!$K$3:$K$118,MATCH(TRUE,ISNUMBER(SEARCH(Kamus!$J$3:$J$118,$K659)),0)),"Individu / Perorangan"))</f>
        <v>Individu / Perorangan</v>
      </c>
      <c r="X659" s="106" t="str">
        <f t="shared" si="31"/>
        <v>01</v>
      </c>
      <c r="Y659" s="106" t="str" cm="1">
        <f t="array" ref="Y659">IFERROR(INDEX(Kamus!$N$3:$N$111,MATCH(TRUE,ISNUMBER(SEARCH(Kamus!$M$3:$M$111,$I659)),0)),"")</f>
        <v/>
      </c>
      <c r="Z659" s="106" t="str">
        <f>IF(AND(OR($X659="02",$X659="03",$X659="04"),OR($T659="Parsel/Bingkisan (tidak dirinci)",$T659="Makanan &amp; Minuman",$T659="Peralatan Rumah Tangga / Pecah Belah",$T659="Pakaian &amp; Kain")),"Momen Hari Raya (dugaan musiman)",IFERROR(VLOOKUP($W659,Kamus!$P$3:$Q$14,2,FALSE),"Tidak Teridentifikasi"))</f>
        <v>Relasi Personal / Tidak Teridentifikasi</v>
      </c>
      <c r="AA659" s="106" t="str">
        <f t="shared" si="32"/>
        <v>Relasi Personal / Tidak Teridentifikasi</v>
      </c>
    </row>
    <row r="660" spans="1:27">
      <c r="A660" s="106">
        <v>659</v>
      </c>
      <c r="B660" s="106" t="s">
        <v>4267</v>
      </c>
      <c r="C660" s="107" t="s">
        <v>4268</v>
      </c>
      <c r="D660" s="106" t="s">
        <v>1160</v>
      </c>
      <c r="E660" s="106" t="s">
        <v>3882</v>
      </c>
      <c r="F660" s="106" t="s">
        <v>4269</v>
      </c>
      <c r="G660" s="106" t="s">
        <v>1006</v>
      </c>
      <c r="H660" s="106" t="s">
        <v>4019</v>
      </c>
      <c r="I660" s="106" t="s">
        <v>4020</v>
      </c>
      <c r="K660" s="106" t="s">
        <v>4270</v>
      </c>
      <c r="L660" s="106" t="s">
        <v>4271</v>
      </c>
      <c r="O660" s="106" t="s">
        <v>274</v>
      </c>
      <c r="P660" s="106" t="s">
        <v>3887</v>
      </c>
      <c r="Q660" s="106" t="s">
        <v>409</v>
      </c>
      <c r="S660" s="106" t="str" cm="1">
        <f t="array" ref="S660">IF(TRIM($D660)="","(tidak diisi)",IFERROR(INDEX(Kamus!$B$3:$B$28,MATCH(TRUE,ISNUMBER(SEARCH(Kamus!$A$3:$A$28,$D660)),0)),"Jabatan Lainnya"))</f>
        <v>Panitera</v>
      </c>
      <c r="T660" s="106" t="str" cm="1">
        <f t="array" ref="T660">IF(TRIM($I660)="","(tidak diisi)",IFERROR(INDEX(Kamus!$E$3:$E$162,MATCH(TRUE,ISNUMBER(SEARCH(Kamus!$D$3:$D$162,$I660)),0)),"Barang Lain / Tidak Terinci"))</f>
        <v>Peralatan Rumah Tangga / Pecah Belah</v>
      </c>
      <c r="U660" s="106" t="str" cm="1">
        <f t="array" ref="U660">IF(TRIM($I660)="","(tidak diisi)",IFERROR(INDEX(Kamus!$H$3:$H$75,MATCH(TRUE,ISNUMBER(SEARCH(Kamus!$G$3:$G$75,$I660)),0)),"Pemberian Umum / Tanpa Konteks"))</f>
        <v>Pemberian Umum / Tanpa Konteks</v>
      </c>
      <c r="V660" s="106" t="str">
        <f t="shared" si="30"/>
        <v>2025</v>
      </c>
      <c r="W660" s="106" t="str" cm="1">
        <f t="array" ref="W660">IF(TRIM($K660)="","(tidak diisi)",IFERROR(INDEX(Kamus!$K$3:$K$118,MATCH(TRUE,ISNUMBER(SEARCH(Kamus!$J$3:$J$118,$K660)),0)),"Individu / Perorangan"))</f>
        <v>Individu / Perorangan</v>
      </c>
      <c r="X660" s="106" t="str">
        <f t="shared" si="31"/>
        <v>12</v>
      </c>
      <c r="Y660" s="106" t="str" cm="1">
        <f t="array" ref="Y660">IFERROR(INDEX(Kamus!$N$3:$N$111,MATCH(TRUE,ISNUMBER(SEARCH(Kamus!$M$3:$M$111,$I660)),0)),"")</f>
        <v/>
      </c>
      <c r="Z660" s="106" t="str">
        <f>IF(AND(OR($X660="02",$X660="03",$X660="04"),OR($T660="Parsel/Bingkisan (tidak dirinci)",$T660="Makanan &amp; Minuman",$T660="Peralatan Rumah Tangga / Pecah Belah",$T660="Pakaian &amp; Kain")),"Momen Hari Raya (dugaan musiman)",IFERROR(VLOOKUP($W660,Kamus!$P$3:$Q$14,2,FALSE),"Tidak Teridentifikasi"))</f>
        <v>Relasi Personal / Tidak Teridentifikasi</v>
      </c>
      <c r="AA660" s="106" t="str">
        <f t="shared" si="32"/>
        <v>Relasi Personal / Tidak Teridentifikasi</v>
      </c>
    </row>
    <row r="661" spans="1:27">
      <c r="A661" s="106">
        <v>660</v>
      </c>
      <c r="B661" s="106" t="s">
        <v>3478</v>
      </c>
      <c r="C661" s="107" t="s">
        <v>3479</v>
      </c>
      <c r="D661" s="106" t="s">
        <v>1843</v>
      </c>
      <c r="E661" s="106" t="s">
        <v>1005</v>
      </c>
      <c r="F661" s="106" t="s">
        <v>4272</v>
      </c>
      <c r="G661" s="106" t="s">
        <v>1006</v>
      </c>
      <c r="H661" s="106" t="s">
        <v>4273</v>
      </c>
      <c r="I661" s="106" t="s">
        <v>4274</v>
      </c>
      <c r="J661" s="106">
        <v>1200000</v>
      </c>
      <c r="K661" s="106" t="s">
        <v>4275</v>
      </c>
      <c r="L661" s="106" t="s">
        <v>4276</v>
      </c>
      <c r="M661" s="106" t="s">
        <v>1039</v>
      </c>
      <c r="O661" s="106" t="s">
        <v>274</v>
      </c>
      <c r="S661" s="106" t="str" cm="1">
        <f t="array" ref="S661">IF(TRIM($D661)="","(tidak diisi)",IFERROR(INDEX(Kamus!$B$3:$B$28,MATCH(TRUE,ISNUMBER(SEARCH(Kamus!$A$3:$A$28,$D661)),0)),"Jabatan Lainnya"))</f>
        <v>Ketua Pengadilan</v>
      </c>
      <c r="T661" s="106" t="str" cm="1">
        <f t="array" ref="T661">IF(TRIM($I661)="","(tidak diisi)",IFERROR(INDEX(Kamus!$E$3:$E$162,MATCH(TRUE,ISNUMBER(SEARCH(Kamus!$D$3:$D$162,$I661)),0)),"Barang Lain / Tidak Terinci"))</f>
        <v>Buku &amp; Publikasi</v>
      </c>
      <c r="U661" s="106" t="str" cm="1">
        <f t="array" ref="U661">IF(TRIM($I661)="","(tidak diisi)",IFERROR(INDEX(Kamus!$H$3:$H$75,MATCH(TRUE,ISNUMBER(SEARCH(Kamus!$G$3:$G$75,$I661)),0)),"Pemberian Umum / Tanpa Konteks"))</f>
        <v>Pemberian Umum / Tanpa Konteks</v>
      </c>
      <c r="V661" s="106" t="str">
        <f t="shared" si="30"/>
        <v>2026</v>
      </c>
      <c r="W661" s="106" t="str" cm="1">
        <f t="array" ref="W661">IF(TRIM($K661)="","(tidak diisi)",IFERROR(INDEX(Kamus!$K$3:$K$118,MATCH(TRUE,ISNUMBER(SEARCH(Kamus!$J$3:$J$118,$K661)),0)),"Individu / Perorangan"))</f>
        <v>Aparat/Instansi Penegak Hukum &amp; Vertikal</v>
      </c>
      <c r="X661" s="106" t="str">
        <f t="shared" si="31"/>
        <v>01</v>
      </c>
      <c r="Y661" s="106" t="str" cm="1">
        <f t="array" ref="Y661">IFERROR(INDEX(Kamus!$N$3:$N$111,MATCH(TRUE,ISNUMBER(SEARCH(Kamus!$M$3:$M$111,$I661)),0)),"")</f>
        <v/>
      </c>
      <c r="Z661" s="106" t="str">
        <f>IF(AND(OR($X661="02",$X661="03",$X661="04"),OR($T661="Parsel/Bingkisan (tidak dirinci)",$T661="Makanan &amp; Minuman",$T661="Peralatan Rumah Tangga / Pecah Belah",$T661="Pakaian &amp; Kain")),"Momen Hari Raya (dugaan musiman)",IFERROR(VLOOKUP($W661,Kamus!$P$3:$Q$14,2,FALSE),"Tidak Teridentifikasi"))</f>
        <v>Koordinasi Antarinstansi (dugaan)</v>
      </c>
      <c r="AA661" s="106" t="str">
        <f t="shared" si="32"/>
        <v>Koordinasi Antarinstansi (dugaan)</v>
      </c>
    </row>
    <row r="662" spans="1:27">
      <c r="A662" s="106">
        <v>661</v>
      </c>
      <c r="B662" s="106" t="s">
        <v>4277</v>
      </c>
      <c r="C662" s="107" t="s">
        <v>4278</v>
      </c>
      <c r="D662" s="106" t="s">
        <v>1024</v>
      </c>
      <c r="E662" s="106" t="s">
        <v>3882</v>
      </c>
      <c r="F662" s="106" t="s">
        <v>4279</v>
      </c>
      <c r="G662" s="106" t="s">
        <v>1006</v>
      </c>
      <c r="H662" s="106" t="s">
        <v>4280</v>
      </c>
      <c r="I662" s="106" t="s">
        <v>4281</v>
      </c>
      <c r="J662" s="106">
        <v>25000</v>
      </c>
      <c r="K662" s="106" t="s">
        <v>4282</v>
      </c>
      <c r="L662" s="106" t="s">
        <v>4283</v>
      </c>
      <c r="M662" s="106" t="s">
        <v>1020</v>
      </c>
      <c r="O662" s="106" t="s">
        <v>274</v>
      </c>
      <c r="P662" s="106" t="s">
        <v>3887</v>
      </c>
      <c r="Q662" s="106" t="s">
        <v>409</v>
      </c>
      <c r="S662" s="106" t="str" cm="1">
        <f t="array" ref="S662">IF(TRIM($D662)="","(tidak diisi)",IFERROR(INDEX(Kamus!$B$3:$B$28,MATCH(TRUE,ISNUMBER(SEARCH(Kamus!$A$3:$A$28,$D662)),0)),"Jabatan Lainnya"))</f>
        <v>Sekretaris</v>
      </c>
      <c r="T662" s="106" t="str" cm="1">
        <f t="array" ref="T662">IF(TRIM($I662)="","(tidak diisi)",IFERROR(INDEX(Kamus!$E$3:$E$162,MATCH(TRUE,ISNUMBER(SEARCH(Kamus!$D$3:$D$162,$I662)),0)),"Barang Lain / Tidak Terinci"))</f>
        <v>Barang Lain / Tidak Terinci</v>
      </c>
      <c r="U662" s="106" t="str" cm="1">
        <f t="array" ref="U662">IF(TRIM($I662)="","(tidak diisi)",IFERROR(INDEX(Kamus!$H$3:$H$75,MATCH(TRUE,ISNUMBER(SEARCH(Kamus!$G$3:$G$75,$I662)),0)),"Pemberian Umum / Tanpa Konteks"))</f>
        <v>Pemberian Umum / Tanpa Konteks</v>
      </c>
      <c r="V662" s="106" t="str">
        <f t="shared" si="30"/>
        <v>2026</v>
      </c>
      <c r="W662" s="106" t="str" cm="1">
        <f t="array" ref="W662">IF(TRIM($K662)="","(tidak diisi)",IFERROR(INDEX(Kamus!$K$3:$K$118,MATCH(TRUE,ISNUMBER(SEARCH(Kamus!$J$3:$J$118,$K662)),0)),"Individu / Perorangan"))</f>
        <v>Internal Peradilan / Instansi Sendiri</v>
      </c>
      <c r="X662" s="106" t="str">
        <f t="shared" si="31"/>
        <v>01</v>
      </c>
      <c r="Y662" s="106" t="str" cm="1">
        <f t="array" ref="Y662">IFERROR(INDEX(Kamus!$N$3:$N$111,MATCH(TRUE,ISNUMBER(SEARCH(Kamus!$M$3:$M$111,$I662)),0)),"")</f>
        <v/>
      </c>
      <c r="Z662" s="106" t="str">
        <f>IF(AND(OR($X662="02",$X662="03",$X662="04"),OR($T662="Parsel/Bingkisan (tidak dirinci)",$T662="Makanan &amp; Minuman",$T662="Peralatan Rumah Tangga / Pecah Belah",$T662="Pakaian &amp; Kain")),"Momen Hari Raya (dugaan musiman)",IFERROR(VLOOKUP($W662,Kamus!$P$3:$Q$14,2,FALSE),"Tidak Teridentifikasi"))</f>
        <v>Kunjungan/Koordinasi Internal Peradilan (dugaan)</v>
      </c>
      <c r="AA662" s="106" t="str">
        <f t="shared" si="32"/>
        <v>Kunjungan/Koordinasi Internal Peradilan (dugaan)</v>
      </c>
    </row>
    <row r="663" spans="1:27">
      <c r="A663" s="106">
        <v>662</v>
      </c>
      <c r="B663" s="106" t="s">
        <v>4284</v>
      </c>
      <c r="C663" s="107" t="s">
        <v>4285</v>
      </c>
      <c r="D663" s="106" t="s">
        <v>4286</v>
      </c>
      <c r="E663" s="106" t="s">
        <v>3882</v>
      </c>
      <c r="G663" s="106" t="s">
        <v>1006</v>
      </c>
      <c r="L663" s="106" t="s">
        <v>4287</v>
      </c>
      <c r="O663" s="106" t="s">
        <v>274</v>
      </c>
      <c r="P663" s="106" t="s">
        <v>3887</v>
      </c>
      <c r="Q663" s="106" t="s">
        <v>409</v>
      </c>
      <c r="S663" s="106" t="str" cm="1">
        <f t="array" ref="S663">IF(TRIM($D663)="","(tidak diisi)",IFERROR(INDEX(Kamus!$B$3:$B$28,MATCH(TRUE,ISNUMBER(SEARCH(Kamus!$A$3:$A$28,$D663)),0)),"Jabatan Lainnya"))</f>
        <v>Pejabat Struktural (Kasubbag/Kabag)</v>
      </c>
      <c r="T663" s="106" t="str" cm="1">
        <f t="array" ref="T663">IF(TRIM($I663)="","(tidak diisi)",IFERROR(INDEX(Kamus!$E$3:$E$162,MATCH(TRUE,ISNUMBER(SEARCH(Kamus!$D$3:$D$162,$I663)),0)),"Barang Lain / Tidak Terinci"))</f>
        <v>(tidak diisi)</v>
      </c>
      <c r="U663" s="106" t="str" cm="1">
        <f t="array" ref="U663">IF(TRIM($I663)="","(tidak diisi)",IFERROR(INDEX(Kamus!$H$3:$H$75,MATCH(TRUE,ISNUMBER(SEARCH(Kamus!$G$3:$G$75,$I663)),0)),"Pemberian Umum / Tanpa Konteks"))</f>
        <v>(tidak diisi)</v>
      </c>
      <c r="V663" s="106" t="str">
        <f t="shared" si="30"/>
        <v>(tidak diisi)</v>
      </c>
      <c r="W663" s="106" t="str" cm="1">
        <f t="array" ref="W663">IF(TRIM($K663)="","(tidak diisi)",IFERROR(INDEX(Kamus!$K$3:$K$118,MATCH(TRUE,ISNUMBER(SEARCH(Kamus!$J$3:$J$118,$K663)),0)),"Individu / Perorangan"))</f>
        <v>(tidak diisi)</v>
      </c>
      <c r="X663" s="106" t="str">
        <f t="shared" si="31"/>
        <v>(tidak diisi)</v>
      </c>
      <c r="Y663" s="106" t="str" cm="1">
        <f t="array" ref="Y663">IFERROR(INDEX(Kamus!$N$3:$N$111,MATCH(TRUE,ISNUMBER(SEARCH(Kamus!$M$3:$M$111,$I663)),0)),"")</f>
        <v/>
      </c>
      <c r="Z663" s="106" t="str">
        <f>IF(AND(OR($X663="02",$X663="03",$X663="04"),OR($T663="Parsel/Bingkisan (tidak dirinci)",$T663="Makanan &amp; Minuman",$T663="Peralatan Rumah Tangga / Pecah Belah",$T663="Pakaian &amp; Kain")),"Momen Hari Raya (dugaan musiman)",IFERROR(VLOOKUP($W663,Kamus!$P$3:$Q$14,2,FALSE),"Tidak Teridentifikasi"))</f>
        <v>Tidak Teridentifikasi</v>
      </c>
      <c r="AA663" s="106" t="str">
        <f t="shared" si="32"/>
        <v>Tidak Teridentifikasi</v>
      </c>
    </row>
    <row r="664" spans="1:27">
      <c r="A664" s="106">
        <v>663</v>
      </c>
      <c r="B664" s="106" t="s">
        <v>4288</v>
      </c>
      <c r="C664" s="107" t="s">
        <v>4289</v>
      </c>
      <c r="D664" s="106" t="s">
        <v>2259</v>
      </c>
      <c r="E664" s="106" t="s">
        <v>2150</v>
      </c>
      <c r="F664" s="106" t="s">
        <v>4290</v>
      </c>
      <c r="G664" s="106" t="s">
        <v>1074</v>
      </c>
      <c r="H664" s="106" t="s">
        <v>4273</v>
      </c>
      <c r="I664" s="106" t="s">
        <v>4291</v>
      </c>
      <c r="K664" s="106" t="s">
        <v>4292</v>
      </c>
      <c r="L664" s="106" t="s">
        <v>4293</v>
      </c>
      <c r="O664" s="106" t="s">
        <v>274</v>
      </c>
      <c r="P664" s="106" t="s">
        <v>604</v>
      </c>
      <c r="Q664" s="106" t="s">
        <v>429</v>
      </c>
      <c r="S664" s="106" t="str" cm="1">
        <f t="array" ref="S664">IF(TRIM($D664)="","(tidak diisi)",IFERROR(INDEX(Kamus!$B$3:$B$28,MATCH(TRUE,ISNUMBER(SEARCH(Kamus!$A$3:$A$28,$D664)),0)),"Jabatan Lainnya"))</f>
        <v>Staf/Pegawai Pelaksana</v>
      </c>
      <c r="T664" s="106" t="str" cm="1">
        <f t="array" ref="T664">IF(TRIM($I664)="","(tidak diisi)",IFERROR(INDEX(Kamus!$E$3:$E$162,MATCH(TRUE,ISNUMBER(SEARCH(Kamus!$D$3:$D$162,$I664)),0)),"Barang Lain / Tidak Terinci"))</f>
        <v>Suvenir &amp; Merchandise</v>
      </c>
      <c r="U664" s="106" t="str" cm="1">
        <f t="array" ref="U664">IF(TRIM($I664)="","(tidak diisi)",IFERROR(INDEX(Kamus!$H$3:$H$75,MATCH(TRUE,ISNUMBER(SEARCH(Kamus!$G$3:$G$75,$I664)),0)),"Pemberian Umum / Tanpa Konteks"))</f>
        <v>Suvenir / Merchandise Kegiatan &amp; Kunjungan</v>
      </c>
      <c r="V664" s="106" t="str">
        <f t="shared" si="30"/>
        <v>2026</v>
      </c>
      <c r="W664" s="106" t="str" cm="1">
        <f t="array" ref="W664">IF(TRIM($K664)="","(tidak diisi)",IFERROR(INDEX(Kamus!$K$3:$K$118,MATCH(TRUE,ISNUMBER(SEARCH(Kamus!$J$3:$J$118,$K664)),0)),"Individu / Perorangan"))</f>
        <v>Individu / Perorangan</v>
      </c>
      <c r="X664" s="106" t="str">
        <f t="shared" si="31"/>
        <v>01</v>
      </c>
      <c r="Y664" s="106" t="str" cm="1">
        <f t="array" ref="Y664">IFERROR(INDEX(Kamus!$N$3:$N$111,MATCH(TRUE,ISNUMBER(SEARCH(Kamus!$M$3:$M$111,$I664)),0)),"")</f>
        <v/>
      </c>
      <c r="Z664" s="106" t="str">
        <f>IF(AND(OR($X664="02",$X664="03",$X664="04"),OR($T664="Parsel/Bingkisan (tidak dirinci)",$T664="Makanan &amp; Minuman",$T664="Peralatan Rumah Tangga / Pecah Belah",$T664="Pakaian &amp; Kain")),"Momen Hari Raya (dugaan musiman)",IFERROR(VLOOKUP($W664,Kamus!$P$3:$Q$14,2,FALSE),"Tidak Teridentifikasi"))</f>
        <v>Relasi Personal / Tidak Teridentifikasi</v>
      </c>
      <c r="AA664" s="106" t="str">
        <f t="shared" si="32"/>
        <v>Relasi Personal / Tidak Teridentifikasi</v>
      </c>
    </row>
    <row r="665" spans="1:27">
      <c r="A665" s="106">
        <v>664</v>
      </c>
      <c r="B665" s="106" t="s">
        <v>4294</v>
      </c>
      <c r="C665" s="107" t="s">
        <v>4295</v>
      </c>
      <c r="D665" s="106" t="s">
        <v>1652</v>
      </c>
      <c r="E665" s="106" t="s">
        <v>2998</v>
      </c>
      <c r="F665" s="106" t="s">
        <v>4296</v>
      </c>
      <c r="G665" s="106" t="s">
        <v>1074</v>
      </c>
      <c r="H665" s="106" t="s">
        <v>4280</v>
      </c>
      <c r="I665" s="106" t="s">
        <v>4297</v>
      </c>
      <c r="K665" s="106" t="s">
        <v>4298</v>
      </c>
      <c r="L665" s="106" t="s">
        <v>4299</v>
      </c>
      <c r="O665" s="106" t="s">
        <v>274</v>
      </c>
      <c r="P665" s="106" t="s">
        <v>3003</v>
      </c>
      <c r="Q665" s="106" t="s">
        <v>430</v>
      </c>
      <c r="S665" s="106" t="str" cm="1">
        <f t="array" ref="S665">IF(TRIM($D665)="","(tidak diisi)",IFERROR(INDEX(Kamus!$B$3:$B$28,MATCH(TRUE,ISNUMBER(SEARCH(Kamus!$A$3:$A$28,$D665)),0)),"Jabatan Lainnya"))</f>
        <v>Panitera</v>
      </c>
      <c r="T665" s="106" t="str" cm="1">
        <f t="array" ref="T665">IF(TRIM($I665)="","(tidak diisi)",IFERROR(INDEX(Kamus!$E$3:$E$162,MATCH(TRUE,ISNUMBER(SEARCH(Kamus!$D$3:$D$162,$I665)),0)),"Barang Lain / Tidak Terinci"))</f>
        <v>Uang &amp; Setara Uang</v>
      </c>
      <c r="U665" s="106" t="str" cm="1">
        <f t="array" ref="U665">IF(TRIM($I665)="","(tidak diisi)",IFERROR(INDEX(Kamus!$H$3:$H$75,MATCH(TRUE,ISNUMBER(SEARCH(Kamus!$G$3:$G$75,$I665)),0)),"Pemberian Umum / Tanpa Konteks"))</f>
        <v>Pemberian Uang Langsung</v>
      </c>
      <c r="V665" s="106" t="str">
        <f t="shared" si="30"/>
        <v>2026</v>
      </c>
      <c r="W665" s="106" t="str" cm="1">
        <f t="array" ref="W665">IF(TRIM($K665)="","(tidak diisi)",IFERROR(INDEX(Kamus!$K$3:$K$118,MATCH(TRUE,ISNUMBER(SEARCH(Kamus!$J$3:$J$118,$K665)),0)),"Individu / Perorangan"))</f>
        <v>Individu / Perorangan</v>
      </c>
      <c r="X665" s="106" t="str">
        <f t="shared" si="31"/>
        <v>01</v>
      </c>
      <c r="Y665" s="106" t="str" cm="1">
        <f t="array" ref="Y665">IFERROR(INDEX(Kamus!$N$3:$N$111,MATCH(TRUE,ISNUMBER(SEARCH(Kamus!$M$3:$M$111,$I665)),0)),"")</f>
        <v/>
      </c>
      <c r="Z665" s="106" t="str">
        <f>IF(AND(OR($X665="02",$X665="03",$X665="04"),OR($T665="Parsel/Bingkisan (tidak dirinci)",$T665="Makanan &amp; Minuman",$T665="Peralatan Rumah Tangga / Pecah Belah",$T665="Pakaian &amp; Kain")),"Momen Hari Raya (dugaan musiman)",IFERROR(VLOOKUP($W665,Kamus!$P$3:$Q$14,2,FALSE),"Tidak Teridentifikasi"))</f>
        <v>Relasi Personal / Tidak Teridentifikasi</v>
      </c>
      <c r="AA665" s="106" t="str">
        <f t="shared" si="32"/>
        <v>Relasi Personal / Tidak Teridentifikasi</v>
      </c>
    </row>
    <row r="666" spans="1:27">
      <c r="A666" s="106">
        <v>665</v>
      </c>
      <c r="B666" s="106" t="s">
        <v>4212</v>
      </c>
      <c r="C666" s="107" t="s">
        <v>4213</v>
      </c>
      <c r="D666" s="106" t="s">
        <v>4214</v>
      </c>
      <c r="E666" s="106" t="s">
        <v>3341</v>
      </c>
      <c r="F666" s="106" t="s">
        <v>4300</v>
      </c>
      <c r="G666" s="106" t="s">
        <v>1006</v>
      </c>
      <c r="H666" s="106" t="s">
        <v>4280</v>
      </c>
      <c r="I666" s="106" t="s">
        <v>4301</v>
      </c>
      <c r="J666" s="106">
        <v>120000</v>
      </c>
      <c r="K666" s="106" t="s">
        <v>4302</v>
      </c>
      <c r="L666" s="106" t="s">
        <v>4303</v>
      </c>
      <c r="M666" s="106" t="s">
        <v>2529</v>
      </c>
      <c r="O666" s="106" t="s">
        <v>274</v>
      </c>
      <c r="P666" s="106" t="s">
        <v>583</v>
      </c>
      <c r="Q666" s="106" t="s">
        <v>302</v>
      </c>
      <c r="S666" s="106" t="str" cm="1">
        <f t="array" ref="S666">IF(TRIM($D666)="","(tidak diisi)",IFERROR(INDEX(Kamus!$B$3:$B$28,MATCH(TRUE,ISNUMBER(SEARCH(Kamus!$A$3:$A$28,$D666)),0)),"Jabatan Lainnya"))</f>
        <v>Sekretaris</v>
      </c>
      <c r="T666" s="106" t="str" cm="1">
        <f t="array" ref="T666">IF(TRIM($I666)="","(tidak diisi)",IFERROR(INDEX(Kamus!$E$3:$E$162,MATCH(TRUE,ISNUMBER(SEARCH(Kamus!$D$3:$D$162,$I666)),0)),"Barang Lain / Tidak Terinci"))</f>
        <v>Makanan &amp; Minuman</v>
      </c>
      <c r="U666" s="106" t="str" cm="1">
        <f t="array" ref="U666">IF(TRIM($I666)="","(tidak diisi)",IFERROR(INDEX(Kamus!$H$3:$H$75,MATCH(TRUE,ISNUMBER(SEARCH(Kamus!$G$3:$G$75,$I666)),0)),"Pemberian Umum / Tanpa Konteks"))</f>
        <v>Pemberian Umum / Tanpa Konteks</v>
      </c>
      <c r="V666" s="106" t="str">
        <f t="shared" si="30"/>
        <v>2026</v>
      </c>
      <c r="W666" s="106" t="str" cm="1">
        <f t="array" ref="W666">IF(TRIM($K666)="","(tidak diisi)",IFERROR(INDEX(Kamus!$K$3:$K$118,MATCH(TRUE,ISNUMBER(SEARCH(Kamus!$J$3:$J$118,$K666)),0)),"Individu / Perorangan"))</f>
        <v>Individu / Perorangan</v>
      </c>
      <c r="X666" s="106" t="str">
        <f t="shared" si="31"/>
        <v>01</v>
      </c>
      <c r="Y666" s="106" t="str" cm="1">
        <f t="array" ref="Y666">IFERROR(INDEX(Kamus!$N$3:$N$111,MATCH(TRUE,ISNUMBER(SEARCH(Kamus!$M$3:$M$111,$I666)),0)),"")</f>
        <v/>
      </c>
      <c r="Z666" s="106" t="str">
        <f>IF(AND(OR($X666="02",$X666="03",$X666="04"),OR($T666="Parsel/Bingkisan (tidak dirinci)",$T666="Makanan &amp; Minuman",$T666="Peralatan Rumah Tangga / Pecah Belah",$T666="Pakaian &amp; Kain")),"Momen Hari Raya (dugaan musiman)",IFERROR(VLOOKUP($W666,Kamus!$P$3:$Q$14,2,FALSE),"Tidak Teridentifikasi"))</f>
        <v>Relasi Personal / Tidak Teridentifikasi</v>
      </c>
      <c r="AA666" s="106" t="str">
        <f t="shared" si="32"/>
        <v>Relasi Personal / Tidak Teridentifikasi</v>
      </c>
    </row>
    <row r="667" spans="1:27">
      <c r="A667" s="106">
        <v>666</v>
      </c>
      <c r="B667" s="106" t="s">
        <v>4304</v>
      </c>
      <c r="C667" s="107" t="s">
        <v>4305</v>
      </c>
      <c r="D667" s="106" t="s">
        <v>4306</v>
      </c>
      <c r="E667" s="106" t="s">
        <v>4307</v>
      </c>
      <c r="F667" s="106" t="s">
        <v>4308</v>
      </c>
      <c r="G667" s="106" t="s">
        <v>1006</v>
      </c>
      <c r="H667" s="106" t="s">
        <v>4309</v>
      </c>
      <c r="I667" s="106" t="s">
        <v>4310</v>
      </c>
      <c r="K667" s="106" t="s">
        <v>2121</v>
      </c>
      <c r="L667" s="106" t="s">
        <v>4311</v>
      </c>
      <c r="O667" s="106" t="s">
        <v>274</v>
      </c>
      <c r="P667" s="106" t="s">
        <v>514</v>
      </c>
      <c r="Q667" s="106" t="s">
        <v>402</v>
      </c>
      <c r="S667" s="106" t="str" cm="1">
        <f t="array" ref="S667">IF(TRIM($D667)="","(tidak diisi)",IFERROR(INDEX(Kamus!$B$3:$B$28,MATCH(TRUE,ISNUMBER(SEARCH(Kamus!$A$3:$A$28,$D667)),0)),"Jabatan Lainnya"))</f>
        <v>Wakil Ketua Pengadilan</v>
      </c>
      <c r="T667" s="106" t="str" cm="1">
        <f t="array" ref="T667">IF(TRIM($I667)="","(tidak diisi)",IFERROR(INDEX(Kamus!$E$3:$E$162,MATCH(TRUE,ISNUMBER(SEARCH(Kamus!$D$3:$D$162,$I667)),0)),"Barang Lain / Tidak Terinci"))</f>
        <v>Buku &amp; Publikasi</v>
      </c>
      <c r="U667" s="106" t="str" cm="1">
        <f t="array" ref="U667">IF(TRIM($I667)="","(tidak diisi)",IFERROR(INDEX(Kamus!$H$3:$H$75,MATCH(TRUE,ISNUMBER(SEARCH(Kamus!$G$3:$G$75,$I667)),0)),"Pemberian Umum / Tanpa Konteks"))</f>
        <v>Suvenir / Merchandise Kegiatan &amp; Kunjungan</v>
      </c>
      <c r="V667" s="106" t="str">
        <f t="shared" si="30"/>
        <v>2026</v>
      </c>
      <c r="W667" s="106" t="str" cm="1">
        <f t="array" ref="W667">IF(TRIM($K667)="","(tidak diisi)",IFERROR(INDEX(Kamus!$K$3:$K$118,MATCH(TRUE,ISNUMBER(SEARCH(Kamus!$J$3:$J$118,$K667)),0)),"Individu / Perorangan"))</f>
        <v>Bank &amp; Lembaga Keuangan</v>
      </c>
      <c r="X667" s="106" t="str">
        <f t="shared" si="31"/>
        <v>01</v>
      </c>
      <c r="Y667" s="106" t="str" cm="1">
        <f t="array" ref="Y667">IFERROR(INDEX(Kamus!$N$3:$N$111,MATCH(TRUE,ISNUMBER(SEARCH(Kamus!$M$3:$M$111,$I667)),0)),"")</f>
        <v/>
      </c>
      <c r="Z667" s="106" t="str">
        <f>IF(AND(OR($X667="02",$X667="03",$X667="04"),OR($T667="Parsel/Bingkisan (tidak dirinci)",$T667="Makanan &amp; Minuman",$T667="Peralatan Rumah Tangga / Pecah Belah",$T667="Pakaian &amp; Kain")),"Momen Hari Raya (dugaan musiman)",IFERROR(VLOOKUP($W667,Kamus!$P$3:$Q$14,2,FALSE),"Tidak Teridentifikasi"))</f>
        <v>Relasi Layanan/Kerja Sama Perbankan (dugaan)</v>
      </c>
      <c r="AA667" s="106" t="str">
        <f t="shared" si="32"/>
        <v>Relasi Layanan/Kerja Sama Perbankan (dugaan)</v>
      </c>
    </row>
    <row r="668" spans="1:27">
      <c r="A668" s="106">
        <v>667</v>
      </c>
      <c r="B668" s="106" t="s">
        <v>1891</v>
      </c>
      <c r="C668" s="107" t="s">
        <v>1892</v>
      </c>
      <c r="D668" s="106" t="s">
        <v>1893</v>
      </c>
      <c r="E668" s="106" t="s">
        <v>1894</v>
      </c>
      <c r="F668" s="106" t="s">
        <v>4312</v>
      </c>
      <c r="G668" s="106" t="s">
        <v>1006</v>
      </c>
      <c r="H668" s="106" t="s">
        <v>4309</v>
      </c>
      <c r="I668" s="106" t="s">
        <v>4313</v>
      </c>
      <c r="K668" s="106" t="s">
        <v>2121</v>
      </c>
      <c r="L668" s="106" t="s">
        <v>4314</v>
      </c>
      <c r="O668" s="106" t="s">
        <v>274</v>
      </c>
      <c r="P668" s="106" t="s">
        <v>514</v>
      </c>
      <c r="Q668" s="106" t="s">
        <v>308</v>
      </c>
      <c r="S668" s="106" t="str" cm="1">
        <f t="array" ref="S668">IF(TRIM($D668)="","(tidak diisi)",IFERROR(INDEX(Kamus!$B$3:$B$28,MATCH(TRUE,ISNUMBER(SEARCH(Kamus!$A$3:$A$28,$D668)),0)),"Jabatan Lainnya"))</f>
        <v>Ketua Pengadilan</v>
      </c>
      <c r="T668" s="106" t="str" cm="1">
        <f t="array" ref="T668">IF(TRIM($I668)="","(tidak diisi)",IFERROR(INDEX(Kamus!$E$3:$E$162,MATCH(TRUE,ISNUMBER(SEARCH(Kamus!$D$3:$D$162,$I668)),0)),"Barang Lain / Tidak Terinci"))</f>
        <v>Buku &amp; Publikasi</v>
      </c>
      <c r="U668" s="106" t="str" cm="1">
        <f t="array" ref="U668">IF(TRIM($I668)="","(tidak diisi)",IFERROR(INDEX(Kamus!$H$3:$H$75,MATCH(TRUE,ISNUMBER(SEARCH(Kamus!$G$3:$G$75,$I668)),0)),"Pemberian Umum / Tanpa Konteks"))</f>
        <v>Suvenir / Merchandise Kegiatan &amp; Kunjungan</v>
      </c>
      <c r="V668" s="106" t="str">
        <f t="shared" si="30"/>
        <v>2026</v>
      </c>
      <c r="W668" s="106" t="str" cm="1">
        <f t="array" ref="W668">IF(TRIM($K668)="","(tidak diisi)",IFERROR(INDEX(Kamus!$K$3:$K$118,MATCH(TRUE,ISNUMBER(SEARCH(Kamus!$J$3:$J$118,$K668)),0)),"Individu / Perorangan"))</f>
        <v>Bank &amp; Lembaga Keuangan</v>
      </c>
      <c r="X668" s="106" t="str">
        <f t="shared" si="31"/>
        <v>01</v>
      </c>
      <c r="Y668" s="106" t="str" cm="1">
        <f t="array" ref="Y668">IFERROR(INDEX(Kamus!$N$3:$N$111,MATCH(TRUE,ISNUMBER(SEARCH(Kamus!$M$3:$M$111,$I668)),0)),"")</f>
        <v/>
      </c>
      <c r="Z668" s="106" t="str">
        <f>IF(AND(OR($X668="02",$X668="03",$X668="04"),OR($T668="Parsel/Bingkisan (tidak dirinci)",$T668="Makanan &amp; Minuman",$T668="Peralatan Rumah Tangga / Pecah Belah",$T668="Pakaian &amp; Kain")),"Momen Hari Raya (dugaan musiman)",IFERROR(VLOOKUP($W668,Kamus!$P$3:$Q$14,2,FALSE),"Tidak Teridentifikasi"))</f>
        <v>Relasi Layanan/Kerja Sama Perbankan (dugaan)</v>
      </c>
      <c r="AA668" s="106" t="str">
        <f t="shared" si="32"/>
        <v>Relasi Layanan/Kerja Sama Perbankan (dugaan)</v>
      </c>
    </row>
    <row r="669" spans="1:27">
      <c r="A669" s="106">
        <v>668</v>
      </c>
      <c r="B669" s="106" t="s">
        <v>4315</v>
      </c>
      <c r="C669" s="107" t="s">
        <v>4316</v>
      </c>
      <c r="D669" s="106" t="s">
        <v>4317</v>
      </c>
      <c r="E669" s="106" t="s">
        <v>1894</v>
      </c>
      <c r="F669" s="106" t="s">
        <v>4318</v>
      </c>
      <c r="G669" s="106" t="s">
        <v>1006</v>
      </c>
      <c r="H669" s="106" t="s">
        <v>4309</v>
      </c>
      <c r="I669" s="106" t="s">
        <v>4319</v>
      </c>
      <c r="K669" s="106" t="s">
        <v>2121</v>
      </c>
      <c r="L669" s="106" t="s">
        <v>4320</v>
      </c>
      <c r="O669" s="106" t="s">
        <v>274</v>
      </c>
      <c r="P669" s="106" t="s">
        <v>514</v>
      </c>
      <c r="Q669" s="106" t="s">
        <v>308</v>
      </c>
      <c r="S669" s="106" t="str" cm="1">
        <f t="array" ref="S669">IF(TRIM($D669)="","(tidak diisi)",IFERROR(INDEX(Kamus!$B$3:$B$28,MATCH(TRUE,ISNUMBER(SEARCH(Kamus!$A$3:$A$28,$D669)),0)),"Jabatan Lainnya"))</f>
        <v>Sekretaris</v>
      </c>
      <c r="T669" s="106" t="str" cm="1">
        <f t="array" ref="T669">IF(TRIM($I669)="","(tidak diisi)",IFERROR(INDEX(Kamus!$E$3:$E$162,MATCH(TRUE,ISNUMBER(SEARCH(Kamus!$D$3:$D$162,$I669)),0)),"Barang Lain / Tidak Terinci"))</f>
        <v>Buku &amp; Publikasi</v>
      </c>
      <c r="U669" s="106" t="str" cm="1">
        <f t="array" ref="U669">IF(TRIM($I669)="","(tidak diisi)",IFERROR(INDEX(Kamus!$H$3:$H$75,MATCH(TRUE,ISNUMBER(SEARCH(Kamus!$G$3:$G$75,$I669)),0)),"Pemberian Umum / Tanpa Konteks"))</f>
        <v>Suvenir / Merchandise Kegiatan &amp; Kunjungan</v>
      </c>
      <c r="V669" s="106" t="str">
        <f t="shared" si="30"/>
        <v>2026</v>
      </c>
      <c r="W669" s="106" t="str" cm="1">
        <f t="array" ref="W669">IF(TRIM($K669)="","(tidak diisi)",IFERROR(INDEX(Kamus!$K$3:$K$118,MATCH(TRUE,ISNUMBER(SEARCH(Kamus!$J$3:$J$118,$K669)),0)),"Individu / Perorangan"))</f>
        <v>Bank &amp; Lembaga Keuangan</v>
      </c>
      <c r="X669" s="106" t="str">
        <f t="shared" si="31"/>
        <v>01</v>
      </c>
      <c r="Y669" s="106" t="str" cm="1">
        <f t="array" ref="Y669">IFERROR(INDEX(Kamus!$N$3:$N$111,MATCH(TRUE,ISNUMBER(SEARCH(Kamus!$M$3:$M$111,$I669)),0)),"")</f>
        <v/>
      </c>
      <c r="Z669" s="106" t="str">
        <f>IF(AND(OR($X669="02",$X669="03",$X669="04"),OR($T669="Parsel/Bingkisan (tidak dirinci)",$T669="Makanan &amp; Minuman",$T669="Peralatan Rumah Tangga / Pecah Belah",$T669="Pakaian &amp; Kain")),"Momen Hari Raya (dugaan musiman)",IFERROR(VLOOKUP($W669,Kamus!$P$3:$Q$14,2,FALSE),"Tidak Teridentifikasi"))</f>
        <v>Relasi Layanan/Kerja Sama Perbankan (dugaan)</v>
      </c>
      <c r="AA669" s="106" t="str">
        <f t="shared" si="32"/>
        <v>Relasi Layanan/Kerja Sama Perbankan (dugaan)</v>
      </c>
    </row>
    <row r="670" spans="1:27">
      <c r="A670" s="106">
        <v>669</v>
      </c>
      <c r="B670" s="106" t="s">
        <v>4321</v>
      </c>
      <c r="C670" s="107" t="s">
        <v>4322</v>
      </c>
      <c r="D670" s="106" t="s">
        <v>4323</v>
      </c>
      <c r="E670" s="106" t="s">
        <v>1894</v>
      </c>
      <c r="F670" s="106" t="s">
        <v>4324</v>
      </c>
      <c r="G670" s="106" t="s">
        <v>1006</v>
      </c>
      <c r="H670" s="106" t="s">
        <v>4309</v>
      </c>
      <c r="I670" s="106" t="s">
        <v>4325</v>
      </c>
      <c r="K670" s="106" t="s">
        <v>2121</v>
      </c>
      <c r="L670" s="106" t="s">
        <v>4326</v>
      </c>
      <c r="O670" s="106" t="s">
        <v>274</v>
      </c>
      <c r="P670" s="106" t="s">
        <v>514</v>
      </c>
      <c r="Q670" s="106" t="s">
        <v>308</v>
      </c>
      <c r="S670" s="106" t="str" cm="1">
        <f t="array" ref="S670">IF(TRIM($D670)="","(tidak diisi)",IFERROR(INDEX(Kamus!$B$3:$B$28,MATCH(TRUE,ISNUMBER(SEARCH(Kamus!$A$3:$A$28,$D670)),0)),"Jabatan Lainnya"))</f>
        <v>Panitera</v>
      </c>
      <c r="T670" s="106" t="str" cm="1">
        <f t="array" ref="T670">IF(TRIM($I670)="","(tidak diisi)",IFERROR(INDEX(Kamus!$E$3:$E$162,MATCH(TRUE,ISNUMBER(SEARCH(Kamus!$D$3:$D$162,$I670)),0)),"Barang Lain / Tidak Terinci"))</f>
        <v>Buku &amp; Publikasi</v>
      </c>
      <c r="U670" s="106" t="str" cm="1">
        <f t="array" ref="U670">IF(TRIM($I670)="","(tidak diisi)",IFERROR(INDEX(Kamus!$H$3:$H$75,MATCH(TRUE,ISNUMBER(SEARCH(Kamus!$G$3:$G$75,$I670)),0)),"Pemberian Umum / Tanpa Konteks"))</f>
        <v>Suvenir / Merchandise Kegiatan &amp; Kunjungan</v>
      </c>
      <c r="V670" s="106" t="str">
        <f t="shared" si="30"/>
        <v>2026</v>
      </c>
      <c r="W670" s="106" t="str" cm="1">
        <f t="array" ref="W670">IF(TRIM($K670)="","(tidak diisi)",IFERROR(INDEX(Kamus!$K$3:$K$118,MATCH(TRUE,ISNUMBER(SEARCH(Kamus!$J$3:$J$118,$K670)),0)),"Individu / Perorangan"))</f>
        <v>Bank &amp; Lembaga Keuangan</v>
      </c>
      <c r="X670" s="106" t="str">
        <f t="shared" si="31"/>
        <v>01</v>
      </c>
      <c r="Y670" s="106" t="str" cm="1">
        <f t="array" ref="Y670">IFERROR(INDEX(Kamus!$N$3:$N$111,MATCH(TRUE,ISNUMBER(SEARCH(Kamus!$M$3:$M$111,$I670)),0)),"")</f>
        <v/>
      </c>
      <c r="Z670" s="106" t="str">
        <f>IF(AND(OR($X670="02",$X670="03",$X670="04"),OR($T670="Parsel/Bingkisan (tidak dirinci)",$T670="Makanan &amp; Minuman",$T670="Peralatan Rumah Tangga / Pecah Belah",$T670="Pakaian &amp; Kain")),"Momen Hari Raya (dugaan musiman)",IFERROR(VLOOKUP($W670,Kamus!$P$3:$Q$14,2,FALSE),"Tidak Teridentifikasi"))</f>
        <v>Relasi Layanan/Kerja Sama Perbankan (dugaan)</v>
      </c>
      <c r="AA670" s="106" t="str">
        <f t="shared" si="32"/>
        <v>Relasi Layanan/Kerja Sama Perbankan (dugaan)</v>
      </c>
    </row>
    <row r="671" spans="1:27">
      <c r="A671" s="106">
        <v>670</v>
      </c>
      <c r="B671" s="106" t="s">
        <v>3504</v>
      </c>
      <c r="C671" s="107" t="s">
        <v>3505</v>
      </c>
      <c r="D671" s="106" t="s">
        <v>3506</v>
      </c>
      <c r="E671" s="106" t="s">
        <v>3493</v>
      </c>
      <c r="F671" s="106" t="s">
        <v>4327</v>
      </c>
      <c r="G671" s="106" t="s">
        <v>1006</v>
      </c>
      <c r="H671" s="106" t="s">
        <v>4328</v>
      </c>
      <c r="I671" s="106" t="s">
        <v>4329</v>
      </c>
      <c r="K671" s="106" t="s">
        <v>4330</v>
      </c>
      <c r="L671" s="106" t="s">
        <v>4331</v>
      </c>
      <c r="O671" s="106" t="s">
        <v>274</v>
      </c>
      <c r="P671" s="106" t="s">
        <v>3498</v>
      </c>
      <c r="Q671" s="106" t="s">
        <v>433</v>
      </c>
      <c r="S671" s="106" t="str" cm="1">
        <f t="array" ref="S671">IF(TRIM($D671)="","(tidak diisi)",IFERROR(INDEX(Kamus!$B$3:$B$28,MATCH(TRUE,ISNUMBER(SEARCH(Kamus!$A$3:$A$28,$D671)),0)),"Jabatan Lainnya"))</f>
        <v>Ketua Pengadilan</v>
      </c>
      <c r="T671" s="106" t="str" cm="1">
        <f t="array" ref="T671">IF(TRIM($I671)="","(tidak diisi)",IFERROR(INDEX(Kamus!$E$3:$E$162,MATCH(TRUE,ISNUMBER(SEARCH(Kamus!$D$3:$D$162,$I671)),0)),"Barang Lain / Tidak Terinci"))</f>
        <v>Buku &amp; Publikasi</v>
      </c>
      <c r="U671" s="106" t="str" cm="1">
        <f t="array" ref="U671">IF(TRIM($I671)="","(tidak diisi)",IFERROR(INDEX(Kamus!$H$3:$H$75,MATCH(TRUE,ISNUMBER(SEARCH(Kamus!$G$3:$G$75,$I671)),0)),"Pemberian Umum / Tanpa Konteks"))</f>
        <v>Suvenir / Merchandise Kegiatan &amp; Kunjungan</v>
      </c>
      <c r="V671" s="106" t="str">
        <f t="shared" si="30"/>
        <v>2026</v>
      </c>
      <c r="W671" s="106" t="str" cm="1">
        <f t="array" ref="W671">IF(TRIM($K671)="","(tidak diisi)",IFERROR(INDEX(Kamus!$K$3:$K$118,MATCH(TRUE,ISNUMBER(SEARCH(Kamus!$J$3:$J$118,$K671)),0)),"Individu / Perorangan"))</f>
        <v>Individu / Perorangan</v>
      </c>
      <c r="X671" s="106" t="str">
        <f t="shared" si="31"/>
        <v>01</v>
      </c>
      <c r="Y671" s="106" t="str" cm="1">
        <f t="array" ref="Y671">IFERROR(INDEX(Kamus!$N$3:$N$111,MATCH(TRUE,ISNUMBER(SEARCH(Kamus!$M$3:$M$111,$I671)),0)),"")</f>
        <v/>
      </c>
      <c r="Z671" s="106" t="str">
        <f>IF(AND(OR($X671="02",$X671="03",$X671="04"),OR($T671="Parsel/Bingkisan (tidak dirinci)",$T671="Makanan &amp; Minuman",$T671="Peralatan Rumah Tangga / Pecah Belah",$T671="Pakaian &amp; Kain")),"Momen Hari Raya (dugaan musiman)",IFERROR(VLOOKUP($W671,Kamus!$P$3:$Q$14,2,FALSE),"Tidak Teridentifikasi"))</f>
        <v>Relasi Personal / Tidak Teridentifikasi</v>
      </c>
      <c r="AA671" s="106" t="str">
        <f t="shared" si="32"/>
        <v>Relasi Personal / Tidak Teridentifikasi</v>
      </c>
    </row>
    <row r="672" spans="1:27">
      <c r="A672" s="106">
        <v>671</v>
      </c>
      <c r="B672" s="106" t="s">
        <v>3504</v>
      </c>
      <c r="C672" s="107" t="s">
        <v>3505</v>
      </c>
      <c r="D672" s="106" t="s">
        <v>3506</v>
      </c>
      <c r="E672" s="106" t="s">
        <v>3493</v>
      </c>
      <c r="G672" s="106" t="s">
        <v>1006</v>
      </c>
      <c r="L672" s="106" t="s">
        <v>4332</v>
      </c>
      <c r="O672" s="106" t="s">
        <v>274</v>
      </c>
      <c r="P672" s="106" t="s">
        <v>3498</v>
      </c>
      <c r="Q672" s="106" t="s">
        <v>433</v>
      </c>
      <c r="S672" s="106" t="str" cm="1">
        <f t="array" ref="S672">IF(TRIM($D672)="","(tidak diisi)",IFERROR(INDEX(Kamus!$B$3:$B$28,MATCH(TRUE,ISNUMBER(SEARCH(Kamus!$A$3:$A$28,$D672)),0)),"Jabatan Lainnya"))</f>
        <v>Ketua Pengadilan</v>
      </c>
      <c r="T672" s="106" t="str" cm="1">
        <f t="array" ref="T672">IF(TRIM($I672)="","(tidak diisi)",IFERROR(INDEX(Kamus!$E$3:$E$162,MATCH(TRUE,ISNUMBER(SEARCH(Kamus!$D$3:$D$162,$I672)),0)),"Barang Lain / Tidak Terinci"))</f>
        <v>(tidak diisi)</v>
      </c>
      <c r="U672" s="106" t="str" cm="1">
        <f t="array" ref="U672">IF(TRIM($I672)="","(tidak diisi)",IFERROR(INDEX(Kamus!$H$3:$H$75,MATCH(TRUE,ISNUMBER(SEARCH(Kamus!$G$3:$G$75,$I672)),0)),"Pemberian Umum / Tanpa Konteks"))</f>
        <v>(tidak diisi)</v>
      </c>
      <c r="V672" s="106" t="str">
        <f t="shared" si="30"/>
        <v>(tidak diisi)</v>
      </c>
      <c r="W672" s="106" t="str" cm="1">
        <f t="array" ref="W672">IF(TRIM($K672)="","(tidak diisi)",IFERROR(INDEX(Kamus!$K$3:$K$118,MATCH(TRUE,ISNUMBER(SEARCH(Kamus!$J$3:$J$118,$K672)),0)),"Individu / Perorangan"))</f>
        <v>(tidak diisi)</v>
      </c>
      <c r="X672" s="106" t="str">
        <f t="shared" si="31"/>
        <v>(tidak diisi)</v>
      </c>
      <c r="Y672" s="106" t="str" cm="1">
        <f t="array" ref="Y672">IFERROR(INDEX(Kamus!$N$3:$N$111,MATCH(TRUE,ISNUMBER(SEARCH(Kamus!$M$3:$M$111,$I672)),0)),"")</f>
        <v/>
      </c>
      <c r="Z672" s="106" t="str">
        <f>IF(AND(OR($X672="02",$X672="03",$X672="04"),OR($T672="Parsel/Bingkisan (tidak dirinci)",$T672="Makanan &amp; Minuman",$T672="Peralatan Rumah Tangga / Pecah Belah",$T672="Pakaian &amp; Kain")),"Momen Hari Raya (dugaan musiman)",IFERROR(VLOOKUP($W672,Kamus!$P$3:$Q$14,2,FALSE),"Tidak Teridentifikasi"))</f>
        <v>Tidak Teridentifikasi</v>
      </c>
      <c r="AA672" s="106" t="str">
        <f t="shared" si="32"/>
        <v>Tidak Teridentifikasi</v>
      </c>
    </row>
    <row r="673" spans="1:27">
      <c r="A673" s="106">
        <v>672</v>
      </c>
      <c r="B673" s="106" t="s">
        <v>3504</v>
      </c>
      <c r="C673" s="107" t="s">
        <v>3505</v>
      </c>
      <c r="D673" s="106" t="s">
        <v>3506</v>
      </c>
      <c r="E673" s="106" t="s">
        <v>3493</v>
      </c>
      <c r="G673" s="106" t="s">
        <v>1074</v>
      </c>
      <c r="L673" s="106" t="s">
        <v>4332</v>
      </c>
      <c r="O673" s="106" t="s">
        <v>274</v>
      </c>
      <c r="P673" s="106" t="s">
        <v>3498</v>
      </c>
      <c r="Q673" s="106" t="s">
        <v>433</v>
      </c>
      <c r="S673" s="106" t="str" cm="1">
        <f t="array" ref="S673">IF(TRIM($D673)="","(tidak diisi)",IFERROR(INDEX(Kamus!$B$3:$B$28,MATCH(TRUE,ISNUMBER(SEARCH(Kamus!$A$3:$A$28,$D673)),0)),"Jabatan Lainnya"))</f>
        <v>Ketua Pengadilan</v>
      </c>
      <c r="T673" s="106" t="str" cm="1">
        <f t="array" ref="T673">IF(TRIM($I673)="","(tidak diisi)",IFERROR(INDEX(Kamus!$E$3:$E$162,MATCH(TRUE,ISNUMBER(SEARCH(Kamus!$D$3:$D$162,$I673)),0)),"Barang Lain / Tidak Terinci"))</f>
        <v>(tidak diisi)</v>
      </c>
      <c r="U673" s="106" t="str" cm="1">
        <f t="array" ref="U673">IF(TRIM($I673)="","(tidak diisi)",IFERROR(INDEX(Kamus!$H$3:$H$75,MATCH(TRUE,ISNUMBER(SEARCH(Kamus!$G$3:$G$75,$I673)),0)),"Pemberian Umum / Tanpa Konteks"))</f>
        <v>(tidak diisi)</v>
      </c>
      <c r="V673" s="106" t="str">
        <f t="shared" si="30"/>
        <v>(tidak diisi)</v>
      </c>
      <c r="W673" s="106" t="str" cm="1">
        <f t="array" ref="W673">IF(TRIM($K673)="","(tidak diisi)",IFERROR(INDEX(Kamus!$K$3:$K$118,MATCH(TRUE,ISNUMBER(SEARCH(Kamus!$J$3:$J$118,$K673)),0)),"Individu / Perorangan"))</f>
        <v>(tidak diisi)</v>
      </c>
      <c r="X673" s="106" t="str">
        <f t="shared" si="31"/>
        <v>(tidak diisi)</v>
      </c>
      <c r="Y673" s="106" t="str" cm="1">
        <f t="array" ref="Y673">IFERROR(INDEX(Kamus!$N$3:$N$111,MATCH(TRUE,ISNUMBER(SEARCH(Kamus!$M$3:$M$111,$I673)),0)),"")</f>
        <v/>
      </c>
      <c r="Z673" s="106" t="str">
        <f>IF(AND(OR($X673="02",$X673="03",$X673="04"),OR($T673="Parsel/Bingkisan (tidak dirinci)",$T673="Makanan &amp; Minuman",$T673="Peralatan Rumah Tangga / Pecah Belah",$T673="Pakaian &amp; Kain")),"Momen Hari Raya (dugaan musiman)",IFERROR(VLOOKUP($W673,Kamus!$P$3:$Q$14,2,FALSE),"Tidak Teridentifikasi"))</f>
        <v>Tidak Teridentifikasi</v>
      </c>
      <c r="AA673" s="106" t="str">
        <f t="shared" si="32"/>
        <v>Tidak Teridentifikasi</v>
      </c>
    </row>
    <row r="674" spans="1:27">
      <c r="A674" s="106">
        <v>673</v>
      </c>
      <c r="B674" s="106" t="s">
        <v>3504</v>
      </c>
      <c r="C674" s="107" t="s">
        <v>3505</v>
      </c>
      <c r="D674" s="106" t="s">
        <v>3506</v>
      </c>
      <c r="E674" s="106" t="s">
        <v>3493</v>
      </c>
      <c r="F674" s="106" t="s">
        <v>4333</v>
      </c>
      <c r="G674" s="106" t="s">
        <v>1006</v>
      </c>
      <c r="H674" s="106" t="s">
        <v>4334</v>
      </c>
      <c r="I674" s="106" t="s">
        <v>4335</v>
      </c>
      <c r="K674" s="106" t="s">
        <v>4336</v>
      </c>
      <c r="L674" s="106" t="s">
        <v>4337</v>
      </c>
      <c r="O674" s="106" t="s">
        <v>274</v>
      </c>
      <c r="P674" s="106" t="s">
        <v>3498</v>
      </c>
      <c r="Q674" s="106" t="s">
        <v>433</v>
      </c>
      <c r="S674" s="106" t="str" cm="1">
        <f t="array" ref="S674">IF(TRIM($D674)="","(tidak diisi)",IFERROR(INDEX(Kamus!$B$3:$B$28,MATCH(TRUE,ISNUMBER(SEARCH(Kamus!$A$3:$A$28,$D674)),0)),"Jabatan Lainnya"))</f>
        <v>Ketua Pengadilan</v>
      </c>
      <c r="T674" s="106" t="str" cm="1">
        <f t="array" ref="T674">IF(TRIM($I674)="","(tidak diisi)",IFERROR(INDEX(Kamus!$E$3:$E$162,MATCH(TRUE,ISNUMBER(SEARCH(Kamus!$D$3:$D$162,$I674)),0)),"Barang Lain / Tidak Terinci"))</f>
        <v>Suvenir &amp; Merchandise</v>
      </c>
      <c r="U674" s="106" t="str" cm="1">
        <f t="array" ref="U674">IF(TRIM($I674)="","(tidak diisi)",IFERROR(INDEX(Kamus!$H$3:$H$75,MATCH(TRUE,ISNUMBER(SEARCH(Kamus!$G$3:$G$75,$I674)),0)),"Pemberian Umum / Tanpa Konteks"))</f>
        <v>Pemberian Umum / Tanpa Konteks</v>
      </c>
      <c r="V674" s="106" t="str">
        <f t="shared" si="30"/>
        <v>2026</v>
      </c>
      <c r="W674" s="106" t="str" cm="1">
        <f t="array" ref="W674">IF(TRIM($K674)="","(tidak diisi)",IFERROR(INDEX(Kamus!$K$3:$K$118,MATCH(TRUE,ISNUMBER(SEARCH(Kamus!$J$3:$J$118,$K674)),0)),"Individu / Perorangan"))</f>
        <v>Individu / Perorangan</v>
      </c>
      <c r="X674" s="106" t="str">
        <f t="shared" si="31"/>
        <v>01</v>
      </c>
      <c r="Y674" s="106" t="str" cm="1">
        <f t="array" ref="Y674">IFERROR(INDEX(Kamus!$N$3:$N$111,MATCH(TRUE,ISNUMBER(SEARCH(Kamus!$M$3:$M$111,$I674)),0)),"")</f>
        <v/>
      </c>
      <c r="Z674" s="106" t="str">
        <f>IF(AND(OR($X674="02",$X674="03",$X674="04"),OR($T674="Parsel/Bingkisan (tidak dirinci)",$T674="Makanan &amp; Minuman",$T674="Peralatan Rumah Tangga / Pecah Belah",$T674="Pakaian &amp; Kain")),"Momen Hari Raya (dugaan musiman)",IFERROR(VLOOKUP($W674,Kamus!$P$3:$Q$14,2,FALSE),"Tidak Teridentifikasi"))</f>
        <v>Relasi Personal / Tidak Teridentifikasi</v>
      </c>
      <c r="AA674" s="106" t="str">
        <f t="shared" si="32"/>
        <v>Relasi Personal / Tidak Teridentifikasi</v>
      </c>
    </row>
    <row r="675" spans="1:27">
      <c r="A675" s="106">
        <v>674</v>
      </c>
      <c r="B675" s="106" t="s">
        <v>4338</v>
      </c>
      <c r="C675" s="107" t="s">
        <v>4339</v>
      </c>
      <c r="D675" s="106" t="s">
        <v>1033</v>
      </c>
      <c r="E675" s="106" t="s">
        <v>4340</v>
      </c>
      <c r="F675" s="106" t="s">
        <v>4341</v>
      </c>
      <c r="G675" s="106" t="s">
        <v>1006</v>
      </c>
      <c r="H675" s="106" t="s">
        <v>4342</v>
      </c>
      <c r="I675" s="106" t="s">
        <v>4343</v>
      </c>
      <c r="J675" s="106">
        <v>1700000</v>
      </c>
      <c r="K675" s="106" t="s">
        <v>4344</v>
      </c>
      <c r="L675" s="106" t="s">
        <v>4345</v>
      </c>
      <c r="M675" s="106" t="s">
        <v>1020</v>
      </c>
      <c r="O675" s="106" t="s">
        <v>274</v>
      </c>
      <c r="P675" s="106" t="s">
        <v>445</v>
      </c>
      <c r="Q675" s="106" t="s">
        <v>350</v>
      </c>
      <c r="S675" s="106" t="str" cm="1">
        <f t="array" ref="S675">IF(TRIM($D675)="","(tidak diisi)",IFERROR(INDEX(Kamus!$B$3:$B$28,MATCH(TRUE,ISNUMBER(SEARCH(Kamus!$A$3:$A$28,$D675)),0)),"Jabatan Lainnya"))</f>
        <v>Hakim</v>
      </c>
      <c r="T675" s="106" t="str" cm="1">
        <f t="array" ref="T675">IF(TRIM($I675)="","(tidak diisi)",IFERROR(INDEX(Kamus!$E$3:$E$162,MATCH(TRUE,ISNUMBER(SEARCH(Kamus!$D$3:$D$162,$I675)),0)),"Barang Lain / Tidak Terinci"))</f>
        <v>Peralatan Rumah Tangga / Pecah Belah</v>
      </c>
      <c r="U675" s="106" t="str" cm="1">
        <f t="array" ref="U675">IF(TRIM($I675)="","(tidak diisi)",IFERROR(INDEX(Kamus!$H$3:$H$75,MATCH(TRUE,ISNUMBER(SEARCH(Kamus!$G$3:$G$75,$I675)),0)),"Pemberian Umum / Tanpa Konteks"))</f>
        <v>Pemberian Umum / Tanpa Konteks</v>
      </c>
      <c r="V675" s="106" t="str">
        <f t="shared" si="30"/>
        <v>2026</v>
      </c>
      <c r="W675" s="106" t="str" cm="1">
        <f t="array" ref="W675">IF(TRIM($K675)="","(tidak diisi)",IFERROR(INDEX(Kamus!$K$3:$K$118,MATCH(TRUE,ISNUMBER(SEARCH(Kamus!$J$3:$J$118,$K675)),0)),"Individu / Perorangan"))</f>
        <v>Individu / Perorangan</v>
      </c>
      <c r="X675" s="106" t="str">
        <f t="shared" si="31"/>
        <v>01</v>
      </c>
      <c r="Y675" s="106" t="str" cm="1">
        <f t="array" ref="Y675">IFERROR(INDEX(Kamus!$N$3:$N$111,MATCH(TRUE,ISNUMBER(SEARCH(Kamus!$M$3:$M$111,$I675)),0)),"")</f>
        <v/>
      </c>
      <c r="Z675" s="106" t="str">
        <f>IF(AND(OR($X675="02",$X675="03",$X675="04"),OR($T675="Parsel/Bingkisan (tidak dirinci)",$T675="Makanan &amp; Minuman",$T675="Peralatan Rumah Tangga / Pecah Belah",$T675="Pakaian &amp; Kain")),"Momen Hari Raya (dugaan musiman)",IFERROR(VLOOKUP($W675,Kamus!$P$3:$Q$14,2,FALSE),"Tidak Teridentifikasi"))</f>
        <v>Relasi Personal / Tidak Teridentifikasi</v>
      </c>
      <c r="AA675" s="106" t="str">
        <f t="shared" si="32"/>
        <v>Relasi Personal / Tidak Teridentifikasi</v>
      </c>
    </row>
    <row r="676" spans="1:27">
      <c r="A676" s="106">
        <v>675</v>
      </c>
      <c r="B676" s="106" t="s">
        <v>4346</v>
      </c>
      <c r="C676" s="107" t="s">
        <v>4347</v>
      </c>
      <c r="D676" s="106" t="s">
        <v>4348</v>
      </c>
      <c r="E676" s="106" t="s">
        <v>4349</v>
      </c>
      <c r="F676" s="106" t="s">
        <v>4350</v>
      </c>
      <c r="G676" s="106" t="s">
        <v>1006</v>
      </c>
      <c r="H676" s="106" t="s">
        <v>4351</v>
      </c>
      <c r="I676" s="106" t="s">
        <v>4352</v>
      </c>
      <c r="J676" s="106">
        <v>88000</v>
      </c>
      <c r="K676" s="106" t="s">
        <v>4353</v>
      </c>
      <c r="L676" s="106" t="s">
        <v>4354</v>
      </c>
      <c r="M676" s="106" t="s">
        <v>1171</v>
      </c>
      <c r="N676" s="106" t="s">
        <v>4355</v>
      </c>
      <c r="O676" s="106" t="s">
        <v>274</v>
      </c>
      <c r="P676" s="106" t="s">
        <v>4356</v>
      </c>
      <c r="Q676" s="106" t="s">
        <v>400</v>
      </c>
      <c r="S676" s="106" t="str" cm="1">
        <f t="array" ref="S676">IF(TRIM($D676)="","(tidak diisi)",IFERROR(INDEX(Kamus!$B$3:$B$28,MATCH(TRUE,ISNUMBER(SEARCH(Kamus!$A$3:$A$28,$D676)),0)),"Jabatan Lainnya"))</f>
        <v>Jabatan Lainnya</v>
      </c>
      <c r="T676" s="106" t="str" cm="1">
        <f t="array" ref="T676">IF(TRIM($I676)="","(tidak diisi)",IFERROR(INDEX(Kamus!$E$3:$E$162,MATCH(TRUE,ISNUMBER(SEARCH(Kamus!$D$3:$D$162,$I676)),0)),"Barang Lain / Tidak Terinci"))</f>
        <v>Uang &amp; Setara Uang</v>
      </c>
      <c r="U676" s="106" t="str" cm="1">
        <f t="array" ref="U676">IF(TRIM($I676)="","(tidak diisi)",IFERROR(INDEX(Kamus!$H$3:$H$75,MATCH(TRUE,ISNUMBER(SEARCH(Kamus!$G$3:$G$75,$I676)),0)),"Pemberian Umum / Tanpa Konteks"))</f>
        <v>Pemberian Uang Langsung</v>
      </c>
      <c r="V676" s="106" t="str">
        <f t="shared" si="30"/>
        <v>2026</v>
      </c>
      <c r="W676" s="106" t="str" cm="1">
        <f t="array" ref="W676">IF(TRIM($K676)="","(tidak diisi)",IFERROR(INDEX(Kamus!$K$3:$K$118,MATCH(TRUE,ISNUMBER(SEARCH(Kamus!$J$3:$J$118,$K676)),0)),"Individu / Perorangan"))</f>
        <v>Individu / Perorangan</v>
      </c>
      <c r="X676" s="106" t="str">
        <f t="shared" si="31"/>
        <v>01</v>
      </c>
      <c r="Y676" s="106" t="str" cm="1">
        <f t="array" ref="Y676">IFERROR(INDEX(Kamus!$N$3:$N$111,MATCH(TRUE,ISNUMBER(SEARCH(Kamus!$M$3:$M$111,$I676)),0)),"")</f>
        <v/>
      </c>
      <c r="Z676" s="106" t="str">
        <f>IF(AND(OR($X676="02",$X676="03",$X676="04"),OR($T676="Parsel/Bingkisan (tidak dirinci)",$T676="Makanan &amp; Minuman",$T676="Peralatan Rumah Tangga / Pecah Belah",$T676="Pakaian &amp; Kain")),"Momen Hari Raya (dugaan musiman)",IFERROR(VLOOKUP($W676,Kamus!$P$3:$Q$14,2,FALSE),"Tidak Teridentifikasi"))</f>
        <v>Relasi Personal / Tidak Teridentifikasi</v>
      </c>
      <c r="AA676" s="106" t="str">
        <f t="shared" si="32"/>
        <v>Relasi Personal / Tidak Teridentifikasi</v>
      </c>
    </row>
    <row r="677" spans="1:27">
      <c r="A677" s="106">
        <v>676</v>
      </c>
      <c r="B677" s="106" t="s">
        <v>4357</v>
      </c>
      <c r="C677" s="107" t="s">
        <v>4358</v>
      </c>
      <c r="D677" s="106" t="s">
        <v>4359</v>
      </c>
      <c r="E677" s="106" t="s">
        <v>1005</v>
      </c>
      <c r="F677" s="106" t="s">
        <v>4360</v>
      </c>
      <c r="G677" s="106" t="s">
        <v>1006</v>
      </c>
      <c r="H677" s="106" t="s">
        <v>4361</v>
      </c>
      <c r="I677" s="106" t="s">
        <v>4362</v>
      </c>
      <c r="J677" s="106">
        <v>410148</v>
      </c>
      <c r="K677" s="106" t="s">
        <v>4363</v>
      </c>
      <c r="L677" s="106" t="s">
        <v>4364</v>
      </c>
      <c r="M677" s="106" t="s">
        <v>1171</v>
      </c>
      <c r="N677" s="106" t="s">
        <v>4365</v>
      </c>
      <c r="O677" s="106" t="s">
        <v>274</v>
      </c>
      <c r="S677" s="106" t="str" cm="1">
        <f t="array" ref="S677">IF(TRIM($D677)="","(tidak diisi)",IFERROR(INDEX(Kamus!$B$3:$B$28,MATCH(TRUE,ISNUMBER(SEARCH(Kamus!$A$3:$A$28,$D677)),0)),"Jabatan Lainnya"))</f>
        <v>Ketua Pengadilan</v>
      </c>
      <c r="T677" s="106" t="str" cm="1">
        <f t="array" ref="T677">IF(TRIM($I677)="","(tidak diisi)",IFERROR(INDEX(Kamus!$E$3:$E$162,MATCH(TRUE,ISNUMBER(SEARCH(Kamus!$D$3:$D$162,$I677)),0)),"Barang Lain / Tidak Terinci"))</f>
        <v>Peralatan Rumah Tangga / Pecah Belah</v>
      </c>
      <c r="U677" s="106" t="str" cm="1">
        <f t="array" ref="U677">IF(TRIM($I677)="","(tidak diisi)",IFERROR(INDEX(Kamus!$H$3:$H$75,MATCH(TRUE,ISNUMBER(SEARCH(Kamus!$G$3:$G$75,$I677)),0)),"Pemberian Umum / Tanpa Konteks"))</f>
        <v>Parsel/Bingkisan Umum (non-hari raya)</v>
      </c>
      <c r="V677" s="106" t="str">
        <f t="shared" si="30"/>
        <v>2026</v>
      </c>
      <c r="W677" s="106" t="str" cm="1">
        <f t="array" ref="W677">IF(TRIM($K677)="","(tidak diisi)",IFERROR(INDEX(Kamus!$K$3:$K$118,MATCH(TRUE,ISNUMBER(SEARCH(Kamus!$J$3:$J$118,$K677)),0)),"Individu / Perorangan"))</f>
        <v>Aparat/Instansi Penegak Hukum &amp; Vertikal</v>
      </c>
      <c r="X677" s="106" t="str">
        <f t="shared" si="31"/>
        <v>01</v>
      </c>
      <c r="Y677" s="106" t="str" cm="1">
        <f t="array" ref="Y677">IFERROR(INDEX(Kamus!$N$3:$N$111,MATCH(TRUE,ISNUMBER(SEARCH(Kamus!$M$3:$M$111,$I677)),0)),"")</f>
        <v/>
      </c>
      <c r="Z677" s="106" t="str">
        <f>IF(AND(OR($X677="02",$X677="03",$X677="04"),OR($T677="Parsel/Bingkisan (tidak dirinci)",$T677="Makanan &amp; Minuman",$T677="Peralatan Rumah Tangga / Pecah Belah",$T677="Pakaian &amp; Kain")),"Momen Hari Raya (dugaan musiman)",IFERROR(VLOOKUP($W677,Kamus!$P$3:$Q$14,2,FALSE),"Tidak Teridentifikasi"))</f>
        <v>Koordinasi Antarinstansi (dugaan)</v>
      </c>
      <c r="AA677" s="106" t="str">
        <f t="shared" si="32"/>
        <v>Koordinasi Antarinstansi (dugaan)</v>
      </c>
    </row>
    <row r="678" spans="1:27">
      <c r="A678" s="106">
        <v>677</v>
      </c>
      <c r="B678" s="106" t="s">
        <v>4357</v>
      </c>
      <c r="C678" s="107" t="s">
        <v>4358</v>
      </c>
      <c r="D678" s="106" t="s">
        <v>4359</v>
      </c>
      <c r="E678" s="106" t="s">
        <v>1005</v>
      </c>
      <c r="F678" s="106" t="s">
        <v>4360</v>
      </c>
      <c r="G678" s="106" t="s">
        <v>1006</v>
      </c>
      <c r="H678" s="106" t="s">
        <v>4361</v>
      </c>
      <c r="I678" s="106" t="s">
        <v>4366</v>
      </c>
      <c r="J678" s="106">
        <v>152400</v>
      </c>
      <c r="K678" s="106" t="s">
        <v>4367</v>
      </c>
      <c r="L678" s="106" t="s">
        <v>4364</v>
      </c>
      <c r="M678" s="106" t="s">
        <v>1171</v>
      </c>
      <c r="N678" s="106" t="s">
        <v>4365</v>
      </c>
      <c r="O678" s="106" t="s">
        <v>274</v>
      </c>
      <c r="S678" s="106" t="str" cm="1">
        <f t="array" ref="S678">IF(TRIM($D678)="","(tidak diisi)",IFERROR(INDEX(Kamus!$B$3:$B$28,MATCH(TRUE,ISNUMBER(SEARCH(Kamus!$A$3:$A$28,$D678)),0)),"Jabatan Lainnya"))</f>
        <v>Ketua Pengadilan</v>
      </c>
      <c r="T678" s="106" t="str" cm="1">
        <f t="array" ref="T678">IF(TRIM($I678)="","(tidak diisi)",IFERROR(INDEX(Kamus!$E$3:$E$162,MATCH(TRUE,ISNUMBER(SEARCH(Kamus!$D$3:$D$162,$I678)),0)),"Barang Lain / Tidak Terinci"))</f>
        <v>Peralatan Rumah Tangga / Pecah Belah</v>
      </c>
      <c r="U678" s="106" t="str" cm="1">
        <f t="array" ref="U678">IF(TRIM($I678)="","(tidak diisi)",IFERROR(INDEX(Kamus!$H$3:$H$75,MATCH(TRUE,ISNUMBER(SEARCH(Kamus!$G$3:$G$75,$I678)),0)),"Pemberian Umum / Tanpa Konteks"))</f>
        <v>Parsel/Bingkisan Umum (non-hari raya)</v>
      </c>
      <c r="V678" s="106" t="str">
        <f t="shared" si="30"/>
        <v>2026</v>
      </c>
      <c r="W678" s="106" t="str" cm="1">
        <f t="array" ref="W678">IF(TRIM($K678)="","(tidak diisi)",IFERROR(INDEX(Kamus!$K$3:$K$118,MATCH(TRUE,ISNUMBER(SEARCH(Kamus!$J$3:$J$118,$K678)),0)),"Individu / Perorangan"))</f>
        <v>Bank &amp; Lembaga Keuangan</v>
      </c>
      <c r="X678" s="106" t="str">
        <f t="shared" si="31"/>
        <v>01</v>
      </c>
      <c r="Y678" s="106" t="str" cm="1">
        <f t="array" ref="Y678">IFERROR(INDEX(Kamus!$N$3:$N$111,MATCH(TRUE,ISNUMBER(SEARCH(Kamus!$M$3:$M$111,$I678)),0)),"")</f>
        <v/>
      </c>
      <c r="Z678" s="106" t="str">
        <f>IF(AND(OR($X678="02",$X678="03",$X678="04"),OR($T678="Parsel/Bingkisan (tidak dirinci)",$T678="Makanan &amp; Minuman",$T678="Peralatan Rumah Tangga / Pecah Belah",$T678="Pakaian &amp; Kain")),"Momen Hari Raya (dugaan musiman)",IFERROR(VLOOKUP($W678,Kamus!$P$3:$Q$14,2,FALSE),"Tidak Teridentifikasi"))</f>
        <v>Relasi Layanan/Kerja Sama Perbankan (dugaan)</v>
      </c>
      <c r="AA678" s="106" t="str">
        <f t="shared" si="32"/>
        <v>Relasi Layanan/Kerja Sama Perbankan (dugaan)</v>
      </c>
    </row>
    <row r="679" spans="1:27">
      <c r="A679" s="106">
        <v>678</v>
      </c>
      <c r="B679" s="106" t="s">
        <v>4015</v>
      </c>
      <c r="C679" s="107" t="s">
        <v>4016</v>
      </c>
      <c r="D679" s="106" t="s">
        <v>4017</v>
      </c>
      <c r="E679" s="106" t="s">
        <v>3882</v>
      </c>
      <c r="F679" s="106" t="s">
        <v>4368</v>
      </c>
      <c r="G679" s="106" t="s">
        <v>1006</v>
      </c>
      <c r="H679" s="106" t="s">
        <v>4264</v>
      </c>
      <c r="I679" s="106" t="s">
        <v>4369</v>
      </c>
      <c r="J679" s="106">
        <v>50000</v>
      </c>
      <c r="K679" s="106" t="s">
        <v>4370</v>
      </c>
      <c r="L679" s="106" t="s">
        <v>4371</v>
      </c>
      <c r="M679" s="106" t="s">
        <v>2247</v>
      </c>
      <c r="N679" s="106" t="s">
        <v>4372</v>
      </c>
      <c r="O679" s="106" t="s">
        <v>274</v>
      </c>
      <c r="P679" s="106" t="s">
        <v>3887</v>
      </c>
      <c r="Q679" s="106" t="s">
        <v>409</v>
      </c>
      <c r="S679" s="106" t="str" cm="1">
        <f t="array" ref="S679">IF(TRIM($D679)="","(tidak diisi)",IFERROR(INDEX(Kamus!$B$3:$B$28,MATCH(TRUE,ISNUMBER(SEARCH(Kamus!$A$3:$A$28,$D679)),0)),"Jabatan Lainnya"))</f>
        <v>Jabatan Lainnya</v>
      </c>
      <c r="T679" s="106" t="str" cm="1">
        <f t="array" ref="T679">IF(TRIM($I679)="","(tidak diisi)",IFERROR(INDEX(Kamus!$E$3:$E$162,MATCH(TRUE,ISNUMBER(SEARCH(Kamus!$D$3:$D$162,$I679)),0)),"Barang Lain / Tidak Terinci"))</f>
        <v>Uang &amp; Setara Uang</v>
      </c>
      <c r="U679" s="106" t="str" cm="1">
        <f t="array" ref="U679">IF(TRIM($I679)="","(tidak diisi)",IFERROR(INDEX(Kamus!$H$3:$H$75,MATCH(TRUE,ISNUMBER(SEARCH(Kamus!$G$3:$G$75,$I679)),0)),"Pemberian Umum / Tanpa Konteks"))</f>
        <v>Pemberian Uang Langsung</v>
      </c>
      <c r="V679" s="106" t="str">
        <f t="shared" si="30"/>
        <v>2026</v>
      </c>
      <c r="W679" s="106" t="str" cm="1">
        <f t="array" ref="W679">IF(TRIM($K679)="","(tidak diisi)",IFERROR(INDEX(Kamus!$K$3:$K$118,MATCH(TRUE,ISNUMBER(SEARCH(Kamus!$J$3:$J$118,$K679)),0)),"Individu / Perorangan"))</f>
        <v>Individu / Perorangan</v>
      </c>
      <c r="X679" s="106" t="str">
        <f t="shared" si="31"/>
        <v>01</v>
      </c>
      <c r="Y679" s="106" t="str" cm="1">
        <f t="array" ref="Y679">IFERROR(INDEX(Kamus!$N$3:$N$111,MATCH(TRUE,ISNUMBER(SEARCH(Kamus!$M$3:$M$111,$I679)),0)),"")</f>
        <v/>
      </c>
      <c r="Z679" s="106" t="str">
        <f>IF(AND(OR($X679="02",$X679="03",$X679="04"),OR($T679="Parsel/Bingkisan (tidak dirinci)",$T679="Makanan &amp; Minuman",$T679="Peralatan Rumah Tangga / Pecah Belah",$T679="Pakaian &amp; Kain")),"Momen Hari Raya (dugaan musiman)",IFERROR(VLOOKUP($W679,Kamus!$P$3:$Q$14,2,FALSE),"Tidak Teridentifikasi"))</f>
        <v>Relasi Personal / Tidak Teridentifikasi</v>
      </c>
      <c r="AA679" s="106" t="str">
        <f t="shared" si="32"/>
        <v>Relasi Personal / Tidak Teridentifikasi</v>
      </c>
    </row>
    <row r="680" spans="1:27">
      <c r="A680" s="106">
        <v>679</v>
      </c>
      <c r="B680" s="106" t="s">
        <v>1486</v>
      </c>
      <c r="C680" s="107" t="s">
        <v>1487</v>
      </c>
      <c r="D680" s="106" t="s">
        <v>1488</v>
      </c>
      <c r="E680" s="106" t="s">
        <v>1489</v>
      </c>
      <c r="F680" s="106" t="s">
        <v>4373</v>
      </c>
      <c r="G680" s="106" t="s">
        <v>1006</v>
      </c>
      <c r="H680" s="106" t="s">
        <v>4374</v>
      </c>
      <c r="I680" s="106" t="s">
        <v>4375</v>
      </c>
      <c r="J680" s="106">
        <v>160000</v>
      </c>
      <c r="K680" s="106" t="s">
        <v>4376</v>
      </c>
      <c r="L680" s="106" t="s">
        <v>4377</v>
      </c>
      <c r="M680" s="106" t="s">
        <v>1039</v>
      </c>
      <c r="O680" s="106" t="s">
        <v>274</v>
      </c>
      <c r="P680" s="106" t="s">
        <v>1495</v>
      </c>
      <c r="Q680" s="106" t="s">
        <v>428</v>
      </c>
      <c r="S680" s="106" t="str" cm="1">
        <f t="array" ref="S680">IF(TRIM($D680)="","(tidak diisi)",IFERROR(INDEX(Kamus!$B$3:$B$28,MATCH(TRUE,ISNUMBER(SEARCH(Kamus!$A$3:$A$28,$D680)),0)),"Jabatan Lainnya"))</f>
        <v>Pejabat Struktural (Kasubbag/Kabag)</v>
      </c>
      <c r="T680" s="106" t="str" cm="1">
        <f t="array" ref="T680">IF(TRIM($I680)="","(tidak diisi)",IFERROR(INDEX(Kamus!$E$3:$E$162,MATCH(TRUE,ISNUMBER(SEARCH(Kamus!$D$3:$D$162,$I680)),0)),"Barang Lain / Tidak Terinci"))</f>
        <v>Suvenir &amp; Merchandise</v>
      </c>
      <c r="U680" s="106" t="str" cm="1">
        <f t="array" ref="U680">IF(TRIM($I680)="","(tidak diisi)",IFERROR(INDEX(Kamus!$H$3:$H$75,MATCH(TRUE,ISNUMBER(SEARCH(Kamus!$G$3:$G$75,$I680)),0)),"Pemberian Umum / Tanpa Konteks"))</f>
        <v>Pemberian Umum / Tanpa Konteks</v>
      </c>
      <c r="V680" s="106" t="str">
        <f t="shared" si="30"/>
        <v>2026</v>
      </c>
      <c r="W680" s="106" t="str" cm="1">
        <f t="array" ref="W680">IF(TRIM($K680)="","(tidak diisi)",IFERROR(INDEX(Kamus!$K$3:$K$118,MATCH(TRUE,ISNUMBER(SEARCH(Kamus!$J$3:$J$118,$K680)),0)),"Individu / Perorangan"))</f>
        <v>Bank &amp; Lembaga Keuangan</v>
      </c>
      <c r="X680" s="106" t="str">
        <f t="shared" si="31"/>
        <v>01</v>
      </c>
      <c r="Y680" s="106" t="str" cm="1">
        <f t="array" ref="Y680">IFERROR(INDEX(Kamus!$N$3:$N$111,MATCH(TRUE,ISNUMBER(SEARCH(Kamus!$M$3:$M$111,$I680)),0)),"")</f>
        <v/>
      </c>
      <c r="Z680" s="106" t="str">
        <f>IF(AND(OR($X680="02",$X680="03",$X680="04"),OR($T680="Parsel/Bingkisan (tidak dirinci)",$T680="Makanan &amp; Minuman",$T680="Peralatan Rumah Tangga / Pecah Belah",$T680="Pakaian &amp; Kain")),"Momen Hari Raya (dugaan musiman)",IFERROR(VLOOKUP($W680,Kamus!$P$3:$Q$14,2,FALSE),"Tidak Teridentifikasi"))</f>
        <v>Relasi Layanan/Kerja Sama Perbankan (dugaan)</v>
      </c>
      <c r="AA680" s="106" t="str">
        <f t="shared" si="32"/>
        <v>Relasi Layanan/Kerja Sama Perbankan (dugaan)</v>
      </c>
    </row>
    <row r="681" spans="1:27">
      <c r="A681" s="106">
        <v>680</v>
      </c>
      <c r="B681" s="106" t="s">
        <v>3575</v>
      </c>
      <c r="C681" s="107" t="s">
        <v>3576</v>
      </c>
      <c r="D681" s="106" t="s">
        <v>3146</v>
      </c>
      <c r="E681" s="106" t="s">
        <v>3577</v>
      </c>
      <c r="F681" s="106" t="s">
        <v>4378</v>
      </c>
      <c r="G681" s="106" t="s">
        <v>1006</v>
      </c>
      <c r="H681" s="106" t="s">
        <v>4379</v>
      </c>
      <c r="I681" s="106" t="s">
        <v>4380</v>
      </c>
      <c r="J681" s="106">
        <v>100000</v>
      </c>
      <c r="K681" s="106" t="s">
        <v>4381</v>
      </c>
      <c r="L681" s="106" t="s">
        <v>4382</v>
      </c>
      <c r="M681" s="106" t="s">
        <v>1171</v>
      </c>
      <c r="N681" s="106" t="s">
        <v>4383</v>
      </c>
      <c r="O681" s="106" t="s">
        <v>274</v>
      </c>
      <c r="Q681" s="106" t="s">
        <v>451</v>
      </c>
      <c r="S681" s="106" t="str" cm="1">
        <f t="array" ref="S681">IF(TRIM($D681)="","(tidak diisi)",IFERROR(INDEX(Kamus!$B$3:$B$28,MATCH(TRUE,ISNUMBER(SEARCH(Kamus!$A$3:$A$28,$D681)),0)),"Jabatan Lainnya"))</f>
        <v>Hakim</v>
      </c>
      <c r="T681" s="106" t="str" cm="1">
        <f t="array" ref="T681">IF(TRIM($I681)="","(tidak diisi)",IFERROR(INDEX(Kamus!$E$3:$E$162,MATCH(TRUE,ISNUMBER(SEARCH(Kamus!$D$3:$D$162,$I681)),0)),"Barang Lain / Tidak Terinci"))</f>
        <v>Makanan &amp; Minuman</v>
      </c>
      <c r="U681" s="106" t="str" cm="1">
        <f t="array" ref="U681">IF(TRIM($I681)="","(tidak diisi)",IFERROR(INDEX(Kamus!$H$3:$H$75,MATCH(TRUE,ISNUMBER(SEARCH(Kamus!$G$3:$G$75,$I681)),0)),"Pemberian Umum / Tanpa Konteks"))</f>
        <v>Pemberian Umum / Tanpa Konteks</v>
      </c>
      <c r="V681" s="106" t="str">
        <f t="shared" si="30"/>
        <v>2025</v>
      </c>
      <c r="W681" s="106" t="str" cm="1">
        <f t="array" ref="W681">IF(TRIM($K681)="","(tidak diisi)",IFERROR(INDEX(Kamus!$K$3:$K$118,MATCH(TRUE,ISNUMBER(SEARCH(Kamus!$J$3:$J$118,$K681)),0)),"Individu / Perorangan"))</f>
        <v>Individu / Perorangan</v>
      </c>
      <c r="X681" s="106" t="str">
        <f t="shared" si="31"/>
        <v>12</v>
      </c>
      <c r="Y681" s="106" t="str" cm="1">
        <f t="array" ref="Y681">IFERROR(INDEX(Kamus!$N$3:$N$111,MATCH(TRUE,ISNUMBER(SEARCH(Kamus!$M$3:$M$111,$I681)),0)),"")</f>
        <v/>
      </c>
      <c r="Z681" s="106" t="str">
        <f>IF(AND(OR($X681="02",$X681="03",$X681="04"),OR($T681="Parsel/Bingkisan (tidak dirinci)",$T681="Makanan &amp; Minuman",$T681="Peralatan Rumah Tangga / Pecah Belah",$T681="Pakaian &amp; Kain")),"Momen Hari Raya (dugaan musiman)",IFERROR(VLOOKUP($W681,Kamus!$P$3:$Q$14,2,FALSE),"Tidak Teridentifikasi"))</f>
        <v>Relasi Personal / Tidak Teridentifikasi</v>
      </c>
      <c r="AA681" s="106" t="str">
        <f t="shared" si="32"/>
        <v>Relasi Personal / Tidak Teridentifikasi</v>
      </c>
    </row>
    <row r="682" spans="1:27">
      <c r="A682" s="106">
        <v>681</v>
      </c>
      <c r="B682" s="106" t="s">
        <v>4384</v>
      </c>
      <c r="C682" s="107" t="s">
        <v>4385</v>
      </c>
      <c r="D682" s="106" t="s">
        <v>1160</v>
      </c>
      <c r="E682" s="106" t="s">
        <v>1014</v>
      </c>
      <c r="F682" s="106" t="s">
        <v>4386</v>
      </c>
      <c r="G682" s="106" t="s">
        <v>1006</v>
      </c>
      <c r="H682" s="106" t="s">
        <v>4387</v>
      </c>
      <c r="I682" s="106" t="s">
        <v>1017</v>
      </c>
      <c r="J682" s="106">
        <v>250000</v>
      </c>
      <c r="K682" s="106" t="s">
        <v>4388</v>
      </c>
      <c r="L682" s="106" t="s">
        <v>4389</v>
      </c>
      <c r="M682" s="106" t="s">
        <v>1020</v>
      </c>
      <c r="O682" s="106" t="s">
        <v>274</v>
      </c>
      <c r="P682" s="106" t="s">
        <v>1021</v>
      </c>
      <c r="Q682" s="106" t="s">
        <v>428</v>
      </c>
      <c r="S682" s="106" t="str" cm="1">
        <f t="array" ref="S682">IF(TRIM($D682)="","(tidak diisi)",IFERROR(INDEX(Kamus!$B$3:$B$28,MATCH(TRUE,ISNUMBER(SEARCH(Kamus!$A$3:$A$28,$D682)),0)),"Jabatan Lainnya"))</f>
        <v>Panitera</v>
      </c>
      <c r="T682" s="106" t="str" cm="1">
        <f t="array" ref="T682">IF(TRIM($I682)="","(tidak diisi)",IFERROR(INDEX(Kamus!$E$3:$E$162,MATCH(TRUE,ISNUMBER(SEARCH(Kamus!$D$3:$D$162,$I682)),0)),"Barang Lain / Tidak Terinci"))</f>
        <v>Uang &amp; Setara Uang</v>
      </c>
      <c r="U682" s="106" t="str" cm="1">
        <f t="array" ref="U682">IF(TRIM($I682)="","(tidak diisi)",IFERROR(INDEX(Kamus!$H$3:$H$75,MATCH(TRUE,ISNUMBER(SEARCH(Kamus!$G$3:$G$75,$I682)),0)),"Pemberian Umum / Tanpa Konteks"))</f>
        <v>Pemberian Uang Langsung</v>
      </c>
      <c r="V682" s="106" t="str">
        <f t="shared" si="30"/>
        <v>2026</v>
      </c>
      <c r="W682" s="106" t="str" cm="1">
        <f t="array" ref="W682">IF(TRIM($K682)="","(tidak diisi)",IFERROR(INDEX(Kamus!$K$3:$K$118,MATCH(TRUE,ISNUMBER(SEARCH(Kamus!$J$3:$J$118,$K682)),0)),"Individu / Perorangan"))</f>
        <v>Aparat/Instansi Penegak Hukum &amp; Vertikal</v>
      </c>
      <c r="X682" s="106" t="str">
        <f t="shared" si="31"/>
        <v>01</v>
      </c>
      <c r="Y682" s="106" t="str" cm="1">
        <f t="array" ref="Y682">IFERROR(INDEX(Kamus!$N$3:$N$111,MATCH(TRUE,ISNUMBER(SEARCH(Kamus!$M$3:$M$111,$I682)),0)),"")</f>
        <v/>
      </c>
      <c r="Z682" s="106" t="str">
        <f>IF(AND(OR($X682="02",$X682="03",$X682="04"),OR($T682="Parsel/Bingkisan (tidak dirinci)",$T682="Makanan &amp; Minuman",$T682="Peralatan Rumah Tangga / Pecah Belah",$T682="Pakaian &amp; Kain")),"Momen Hari Raya (dugaan musiman)",IFERROR(VLOOKUP($W682,Kamus!$P$3:$Q$14,2,FALSE),"Tidak Teridentifikasi"))</f>
        <v>Koordinasi Antarinstansi (dugaan)</v>
      </c>
      <c r="AA682" s="106" t="str">
        <f t="shared" si="32"/>
        <v>Koordinasi Antarinstansi (dugaan)</v>
      </c>
    </row>
    <row r="683" spans="1:27">
      <c r="A683" s="106">
        <v>682</v>
      </c>
      <c r="B683" s="106" t="s">
        <v>2724</v>
      </c>
      <c r="C683" s="107" t="s">
        <v>2725</v>
      </c>
      <c r="D683" s="106" t="s">
        <v>1042</v>
      </c>
      <c r="E683" s="106" t="s">
        <v>2726</v>
      </c>
      <c r="F683" s="106" t="s">
        <v>4390</v>
      </c>
      <c r="G683" s="106" t="s">
        <v>1006</v>
      </c>
      <c r="H683" s="106" t="s">
        <v>4391</v>
      </c>
      <c r="I683" s="106" t="s">
        <v>4392</v>
      </c>
      <c r="J683" s="106">
        <v>513920</v>
      </c>
      <c r="K683" s="106" t="s">
        <v>4393</v>
      </c>
      <c r="L683" s="106" t="s">
        <v>4394</v>
      </c>
      <c r="M683" s="106" t="s">
        <v>1171</v>
      </c>
      <c r="N683" s="106" t="s">
        <v>4395</v>
      </c>
      <c r="O683" s="106" t="s">
        <v>274</v>
      </c>
      <c r="P683" s="106" t="s">
        <v>2732</v>
      </c>
      <c r="Q683" s="106" t="s">
        <v>428</v>
      </c>
      <c r="S683" s="106" t="str" cm="1">
        <f t="array" ref="S683">IF(TRIM($D683)="","(tidak diisi)",IFERROR(INDEX(Kamus!$B$3:$B$28,MATCH(TRUE,ISNUMBER(SEARCH(Kamus!$A$3:$A$28,$D683)),0)),"Jabatan Lainnya"))</f>
        <v>Ketua Pengadilan</v>
      </c>
      <c r="T683" s="106" t="str" cm="1">
        <f t="array" ref="T683">IF(TRIM($I683)="","(tidak diisi)",IFERROR(INDEX(Kamus!$E$3:$E$162,MATCH(TRUE,ISNUMBER(SEARCH(Kamus!$D$3:$D$162,$I683)),0)),"Barang Lain / Tidak Terinci"))</f>
        <v>Elektronik &amp; Gadget</v>
      </c>
      <c r="U683" s="106" t="str" cm="1">
        <f t="array" ref="U683">IF(TRIM($I683)="","(tidak diisi)",IFERROR(INDEX(Kamus!$H$3:$H$75,MATCH(TRUE,ISNUMBER(SEARCH(Kamus!$G$3:$G$75,$I683)),0)),"Pemberian Umum / Tanpa Konteks"))</f>
        <v>Pemberian Umum / Tanpa Konteks</v>
      </c>
      <c r="V683" s="106" t="str">
        <f t="shared" si="30"/>
        <v>2026</v>
      </c>
      <c r="W683" s="106" t="str" cm="1">
        <f t="array" ref="W683">IF(TRIM($K683)="","(tidak diisi)",IFERROR(INDEX(Kamus!$K$3:$K$118,MATCH(TRUE,ISNUMBER(SEARCH(Kamus!$J$3:$J$118,$K683)),0)),"Individu / Perorangan"))</f>
        <v>Aparat/Instansi Penegak Hukum &amp; Vertikal</v>
      </c>
      <c r="X683" s="106" t="str">
        <f t="shared" si="31"/>
        <v>01</v>
      </c>
      <c r="Y683" s="106" t="str" cm="1">
        <f t="array" ref="Y683">IFERROR(INDEX(Kamus!$N$3:$N$111,MATCH(TRUE,ISNUMBER(SEARCH(Kamus!$M$3:$M$111,$I683)),0)),"")</f>
        <v/>
      </c>
      <c r="Z683" s="106" t="str">
        <f>IF(AND(OR($X683="02",$X683="03",$X683="04"),OR($T683="Parsel/Bingkisan (tidak dirinci)",$T683="Makanan &amp; Minuman",$T683="Peralatan Rumah Tangga / Pecah Belah",$T683="Pakaian &amp; Kain")),"Momen Hari Raya (dugaan musiman)",IFERROR(VLOOKUP($W683,Kamus!$P$3:$Q$14,2,FALSE),"Tidak Teridentifikasi"))</f>
        <v>Koordinasi Antarinstansi (dugaan)</v>
      </c>
      <c r="AA683" s="106" t="str">
        <f t="shared" si="32"/>
        <v>Koordinasi Antarinstansi (dugaan)</v>
      </c>
    </row>
    <row r="684" spans="1:27">
      <c r="A684" s="106">
        <v>683</v>
      </c>
      <c r="B684" s="106" t="s">
        <v>3727</v>
      </c>
      <c r="C684" s="107" t="s">
        <v>3728</v>
      </c>
      <c r="D684" s="106" t="s">
        <v>1042</v>
      </c>
      <c r="E684" s="106" t="s">
        <v>2150</v>
      </c>
      <c r="F684" s="106" t="s">
        <v>4396</v>
      </c>
      <c r="G684" s="106" t="s">
        <v>1006</v>
      </c>
      <c r="H684" s="106" t="s">
        <v>4397</v>
      </c>
      <c r="I684" s="106" t="s">
        <v>4398</v>
      </c>
      <c r="K684" s="106" t="s">
        <v>4399</v>
      </c>
      <c r="L684" s="106" t="s">
        <v>4400</v>
      </c>
      <c r="O684" s="106" t="s">
        <v>274</v>
      </c>
      <c r="P684" s="106" t="s">
        <v>604</v>
      </c>
      <c r="Q684" s="106" t="s">
        <v>429</v>
      </c>
      <c r="S684" s="106" t="str" cm="1">
        <f t="array" ref="S684">IF(TRIM($D684)="","(tidak diisi)",IFERROR(INDEX(Kamus!$B$3:$B$28,MATCH(TRUE,ISNUMBER(SEARCH(Kamus!$A$3:$A$28,$D684)),0)),"Jabatan Lainnya"))</f>
        <v>Ketua Pengadilan</v>
      </c>
      <c r="T684" s="106" t="str" cm="1">
        <f t="array" ref="T684">IF(TRIM($I684)="","(tidak diisi)",IFERROR(INDEX(Kamus!$E$3:$E$162,MATCH(TRUE,ISNUMBER(SEARCH(Kamus!$D$3:$D$162,$I684)),0)),"Barang Lain / Tidak Terinci"))</f>
        <v>Peralatan Rumah Tangga / Pecah Belah</v>
      </c>
      <c r="U684" s="106" t="str" cm="1">
        <f t="array" ref="U684">IF(TRIM($I684)="","(tidak diisi)",IFERROR(INDEX(Kamus!$H$3:$H$75,MATCH(TRUE,ISNUMBER(SEARCH(Kamus!$G$3:$G$75,$I684)),0)),"Pemberian Umum / Tanpa Konteks"))</f>
        <v>Pemberian Umum / Tanpa Konteks</v>
      </c>
      <c r="V684" s="106" t="str">
        <f t="shared" si="30"/>
        <v>2026</v>
      </c>
      <c r="W684" s="106" t="str" cm="1">
        <f t="array" ref="W684">IF(TRIM($K684)="","(tidak diisi)",IFERROR(INDEX(Kamus!$K$3:$K$118,MATCH(TRUE,ISNUMBER(SEARCH(Kamus!$J$3:$J$118,$K684)),0)),"Individu / Perorangan"))</f>
        <v>Perusahaan / Vendor</v>
      </c>
      <c r="X684" s="106" t="str">
        <f t="shared" si="31"/>
        <v>02</v>
      </c>
      <c r="Y684" s="106" t="str" cm="1">
        <f t="array" ref="Y684">IFERROR(INDEX(Kamus!$N$3:$N$111,MATCH(TRUE,ISNUMBER(SEARCH(Kamus!$M$3:$M$111,$I684)),0)),"")</f>
        <v/>
      </c>
      <c r="Z684" s="106" t="str">
        <f>IF(AND(OR($X684="02",$X684="03",$X684="04"),OR($T684="Parsel/Bingkisan (tidak dirinci)",$T684="Makanan &amp; Minuman",$T684="Peralatan Rumah Tangga / Pecah Belah",$T684="Pakaian &amp; Kain")),"Momen Hari Raya (dugaan musiman)",IFERROR(VLOOKUP($W684,Kamus!$P$3:$Q$14,2,FALSE),"Tidak Teridentifikasi"))</f>
        <v>Momen Hari Raya (dugaan musiman)</v>
      </c>
      <c r="AA684" s="106" t="str">
        <f t="shared" si="32"/>
        <v>Momen Hari Raya (dugaan musiman)</v>
      </c>
    </row>
    <row r="685" spans="1:27">
      <c r="A685" s="106">
        <v>684</v>
      </c>
      <c r="B685" s="106" t="s">
        <v>3727</v>
      </c>
      <c r="C685" s="107" t="s">
        <v>3728</v>
      </c>
      <c r="D685" s="106" t="s">
        <v>1042</v>
      </c>
      <c r="E685" s="106" t="s">
        <v>2150</v>
      </c>
      <c r="F685" s="106" t="s">
        <v>4401</v>
      </c>
      <c r="G685" s="106" t="s">
        <v>1006</v>
      </c>
      <c r="H685" s="106" t="s">
        <v>4397</v>
      </c>
      <c r="I685" s="106" t="s">
        <v>4402</v>
      </c>
      <c r="K685" s="106" t="s">
        <v>4403</v>
      </c>
      <c r="L685" s="106" t="s">
        <v>4404</v>
      </c>
      <c r="O685" s="106" t="s">
        <v>274</v>
      </c>
      <c r="P685" s="106" t="s">
        <v>604</v>
      </c>
      <c r="Q685" s="106" t="s">
        <v>429</v>
      </c>
      <c r="S685" s="106" t="str" cm="1">
        <f t="array" ref="S685">IF(TRIM($D685)="","(tidak diisi)",IFERROR(INDEX(Kamus!$B$3:$B$28,MATCH(TRUE,ISNUMBER(SEARCH(Kamus!$A$3:$A$28,$D685)),0)),"Jabatan Lainnya"))</f>
        <v>Ketua Pengadilan</v>
      </c>
      <c r="T685" s="106" t="str" cm="1">
        <f t="array" ref="T685">IF(TRIM($I685)="","(tidak diisi)",IFERROR(INDEX(Kamus!$E$3:$E$162,MATCH(TRUE,ISNUMBER(SEARCH(Kamus!$D$3:$D$162,$I685)),0)),"Barang Lain / Tidak Terinci"))</f>
        <v>Suvenir &amp; Merchandise</v>
      </c>
      <c r="U685" s="106" t="str" cm="1">
        <f t="array" ref="U685">IF(TRIM($I685)="","(tidak diisi)",IFERROR(INDEX(Kamus!$H$3:$H$75,MATCH(TRUE,ISNUMBER(SEARCH(Kamus!$G$3:$G$75,$I685)),0)),"Pemberian Umum / Tanpa Konteks"))</f>
        <v>Suvenir / Merchandise Kegiatan &amp; Kunjungan</v>
      </c>
      <c r="V685" s="106" t="str">
        <f t="shared" si="30"/>
        <v>2026</v>
      </c>
      <c r="W685" s="106" t="str" cm="1">
        <f t="array" ref="W685">IF(TRIM($K685)="","(tidak diisi)",IFERROR(INDEX(Kamus!$K$3:$K$118,MATCH(TRUE,ISNUMBER(SEARCH(Kamus!$J$3:$J$118,$K685)),0)),"Individu / Perorangan"))</f>
        <v>Perusahaan / Vendor</v>
      </c>
      <c r="X685" s="106" t="str">
        <f t="shared" si="31"/>
        <v>02</v>
      </c>
      <c r="Y685" s="106" t="str" cm="1">
        <f t="array" ref="Y685">IFERROR(INDEX(Kamus!$N$3:$N$111,MATCH(TRUE,ISNUMBER(SEARCH(Kamus!$M$3:$M$111,$I685)),0)),"")</f>
        <v/>
      </c>
      <c r="Z685" s="106" t="str">
        <f>IF(AND(OR($X685="02",$X685="03",$X685="04"),OR($T685="Parsel/Bingkisan (tidak dirinci)",$T685="Makanan &amp; Minuman",$T685="Peralatan Rumah Tangga / Pecah Belah",$T685="Pakaian &amp; Kain")),"Momen Hari Raya (dugaan musiman)",IFERROR(VLOOKUP($W685,Kamus!$P$3:$Q$14,2,FALSE),"Tidak Teridentifikasi"))</f>
        <v>Relasi Vendor/Pengadaan (dugaan)</v>
      </c>
      <c r="AA685" s="106" t="str">
        <f t="shared" si="32"/>
        <v>Relasi Vendor/Pengadaan (dugaan)</v>
      </c>
    </row>
    <row r="686" spans="1:27">
      <c r="A686" s="106">
        <v>685</v>
      </c>
      <c r="B686" s="106" t="s">
        <v>3727</v>
      </c>
      <c r="C686" s="107" t="s">
        <v>3728</v>
      </c>
      <c r="D686" s="106" t="s">
        <v>1042</v>
      </c>
      <c r="E686" s="106" t="s">
        <v>2150</v>
      </c>
      <c r="F686" s="106" t="s">
        <v>4405</v>
      </c>
      <c r="G686" s="106" t="s">
        <v>1006</v>
      </c>
      <c r="H686" s="106" t="s">
        <v>4397</v>
      </c>
      <c r="I686" s="106" t="s">
        <v>4406</v>
      </c>
      <c r="K686" s="106" t="s">
        <v>4407</v>
      </c>
      <c r="L686" s="106" t="s">
        <v>4408</v>
      </c>
      <c r="O686" s="106" t="s">
        <v>274</v>
      </c>
      <c r="P686" s="106" t="s">
        <v>604</v>
      </c>
      <c r="Q686" s="106" t="s">
        <v>429</v>
      </c>
      <c r="S686" s="106" t="str" cm="1">
        <f t="array" ref="S686">IF(TRIM($D686)="","(tidak diisi)",IFERROR(INDEX(Kamus!$B$3:$B$28,MATCH(TRUE,ISNUMBER(SEARCH(Kamus!$A$3:$A$28,$D686)),0)),"Jabatan Lainnya"))</f>
        <v>Ketua Pengadilan</v>
      </c>
      <c r="T686" s="106" t="str" cm="1">
        <f t="array" ref="T686">IF(TRIM($I686)="","(tidak diisi)",IFERROR(INDEX(Kamus!$E$3:$E$162,MATCH(TRUE,ISNUMBER(SEARCH(Kamus!$D$3:$D$162,$I686)),0)),"Barang Lain / Tidak Terinci"))</f>
        <v>Barang Lain / Tidak Terinci</v>
      </c>
      <c r="U686" s="106" t="str" cm="1">
        <f t="array" ref="U686">IF(TRIM($I686)="","(tidak diisi)",IFERROR(INDEX(Kamus!$H$3:$H$75,MATCH(TRUE,ISNUMBER(SEARCH(Kamus!$G$3:$G$75,$I686)),0)),"Pemberian Umum / Tanpa Konteks"))</f>
        <v>Pemberian Umum / Tanpa Konteks</v>
      </c>
      <c r="V686" s="106" t="str">
        <f t="shared" si="30"/>
        <v>2026</v>
      </c>
      <c r="W686" s="106" t="str" cm="1">
        <f t="array" ref="W686">IF(TRIM($K686)="","(tidak diisi)",IFERROR(INDEX(Kamus!$K$3:$K$118,MATCH(TRUE,ISNUMBER(SEARCH(Kamus!$J$3:$J$118,$K686)),0)),"Individu / Perorangan"))</f>
        <v>Perusahaan / Vendor</v>
      </c>
      <c r="X686" s="106" t="str">
        <f t="shared" si="31"/>
        <v>02</v>
      </c>
      <c r="Y686" s="106" t="str" cm="1">
        <f t="array" ref="Y686">IFERROR(INDEX(Kamus!$N$3:$N$111,MATCH(TRUE,ISNUMBER(SEARCH(Kamus!$M$3:$M$111,$I686)),0)),"")</f>
        <v/>
      </c>
      <c r="Z686" s="106" t="str">
        <f>IF(AND(OR($X686="02",$X686="03",$X686="04"),OR($T686="Parsel/Bingkisan (tidak dirinci)",$T686="Makanan &amp; Minuman",$T686="Peralatan Rumah Tangga / Pecah Belah",$T686="Pakaian &amp; Kain")),"Momen Hari Raya (dugaan musiman)",IFERROR(VLOOKUP($W686,Kamus!$P$3:$Q$14,2,FALSE),"Tidak Teridentifikasi"))</f>
        <v>Relasi Vendor/Pengadaan (dugaan)</v>
      </c>
      <c r="AA686" s="106" t="str">
        <f t="shared" si="32"/>
        <v>Relasi Vendor/Pengadaan (dugaan)</v>
      </c>
    </row>
    <row r="687" spans="1:27">
      <c r="A687" s="106">
        <v>686</v>
      </c>
      <c r="B687" s="106" t="s">
        <v>3727</v>
      </c>
      <c r="C687" s="107" t="s">
        <v>3728</v>
      </c>
      <c r="D687" s="106" t="s">
        <v>1042</v>
      </c>
      <c r="E687" s="106" t="s">
        <v>2150</v>
      </c>
      <c r="F687" s="106" t="s">
        <v>4409</v>
      </c>
      <c r="G687" s="106" t="s">
        <v>1006</v>
      </c>
      <c r="H687" s="106" t="s">
        <v>4280</v>
      </c>
      <c r="I687" s="106" t="s">
        <v>4410</v>
      </c>
      <c r="J687" s="106">
        <v>700000</v>
      </c>
      <c r="K687" s="106" t="s">
        <v>4411</v>
      </c>
      <c r="L687" s="106" t="s">
        <v>4412</v>
      </c>
      <c r="M687" s="106" t="s">
        <v>1039</v>
      </c>
      <c r="O687" s="106" t="s">
        <v>274</v>
      </c>
      <c r="P687" s="106" t="s">
        <v>604</v>
      </c>
      <c r="Q687" s="106" t="s">
        <v>429</v>
      </c>
      <c r="S687" s="106" t="str" cm="1">
        <f t="array" ref="S687">IF(TRIM($D687)="","(tidak diisi)",IFERROR(INDEX(Kamus!$B$3:$B$28,MATCH(TRUE,ISNUMBER(SEARCH(Kamus!$A$3:$A$28,$D687)),0)),"Jabatan Lainnya"))</f>
        <v>Ketua Pengadilan</v>
      </c>
      <c r="T687" s="106" t="str" cm="1">
        <f t="array" ref="T687">IF(TRIM($I687)="","(tidak diisi)",IFERROR(INDEX(Kamus!$E$3:$E$162,MATCH(TRUE,ISNUMBER(SEARCH(Kamus!$D$3:$D$162,$I687)),0)),"Barang Lain / Tidak Terinci"))</f>
        <v>Barang Lain / Tidak Terinci</v>
      </c>
      <c r="U687" s="106" t="str" cm="1">
        <f t="array" ref="U687">IF(TRIM($I687)="","(tidak diisi)",IFERROR(INDEX(Kamus!$H$3:$H$75,MATCH(TRUE,ISNUMBER(SEARCH(Kamus!$G$3:$G$75,$I687)),0)),"Pemberian Umum / Tanpa Konteks"))</f>
        <v>Pemberian Umum / Tanpa Konteks</v>
      </c>
      <c r="V687" s="106" t="str">
        <f t="shared" si="30"/>
        <v>2026</v>
      </c>
      <c r="W687" s="106" t="str" cm="1">
        <f t="array" ref="W687">IF(TRIM($K687)="","(tidak diisi)",IFERROR(INDEX(Kamus!$K$3:$K$118,MATCH(TRUE,ISNUMBER(SEARCH(Kamus!$J$3:$J$118,$K687)),0)),"Individu / Perorangan"))</f>
        <v>Bank &amp; Lembaga Keuangan</v>
      </c>
      <c r="X687" s="106" t="str">
        <f t="shared" si="31"/>
        <v>01</v>
      </c>
      <c r="Y687" s="106" t="str" cm="1">
        <f t="array" ref="Y687">IFERROR(INDEX(Kamus!$N$3:$N$111,MATCH(TRUE,ISNUMBER(SEARCH(Kamus!$M$3:$M$111,$I687)),0)),"")</f>
        <v/>
      </c>
      <c r="Z687" s="106" t="str">
        <f>IF(AND(OR($X687="02",$X687="03",$X687="04"),OR($T687="Parsel/Bingkisan (tidak dirinci)",$T687="Makanan &amp; Minuman",$T687="Peralatan Rumah Tangga / Pecah Belah",$T687="Pakaian &amp; Kain")),"Momen Hari Raya (dugaan musiman)",IFERROR(VLOOKUP($W687,Kamus!$P$3:$Q$14,2,FALSE),"Tidak Teridentifikasi"))</f>
        <v>Relasi Layanan/Kerja Sama Perbankan (dugaan)</v>
      </c>
      <c r="AA687" s="106" t="str">
        <f t="shared" si="32"/>
        <v>Relasi Layanan/Kerja Sama Perbankan (dugaan)</v>
      </c>
    </row>
    <row r="688" spans="1:27">
      <c r="A688" s="106">
        <v>687</v>
      </c>
      <c r="B688" s="106" t="s">
        <v>1105</v>
      </c>
      <c r="C688" s="107" t="s">
        <v>1106</v>
      </c>
      <c r="D688" s="106" t="s">
        <v>1042</v>
      </c>
      <c r="E688" s="106" t="s">
        <v>1014</v>
      </c>
      <c r="F688" s="106" t="s">
        <v>4413</v>
      </c>
      <c r="G688" s="106" t="s">
        <v>1074</v>
      </c>
      <c r="H688" s="106" t="s">
        <v>4397</v>
      </c>
      <c r="I688" s="106" t="s">
        <v>4414</v>
      </c>
      <c r="K688" s="106" t="s">
        <v>4415</v>
      </c>
      <c r="L688" s="106" t="s">
        <v>4416</v>
      </c>
      <c r="O688" s="106" t="s">
        <v>274</v>
      </c>
      <c r="P688" s="106" t="s">
        <v>1021</v>
      </c>
      <c r="Q688" s="106" t="s">
        <v>428</v>
      </c>
      <c r="S688" s="106" t="str" cm="1">
        <f t="array" ref="S688">IF(TRIM($D688)="","(tidak diisi)",IFERROR(INDEX(Kamus!$B$3:$B$28,MATCH(TRUE,ISNUMBER(SEARCH(Kamus!$A$3:$A$28,$D688)),0)),"Jabatan Lainnya"))</f>
        <v>Ketua Pengadilan</v>
      </c>
      <c r="T688" s="106" t="str" cm="1">
        <f t="array" ref="T688">IF(TRIM($I688)="","(tidak diisi)",IFERROR(INDEX(Kamus!$E$3:$E$162,MATCH(TRUE,ISNUMBER(SEARCH(Kamus!$D$3:$D$162,$I688)),0)),"Barang Lain / Tidak Terinci"))</f>
        <v>Makanan &amp; Minuman</v>
      </c>
      <c r="U688" s="106" t="str" cm="1">
        <f t="array" ref="U688">IF(TRIM($I688)="","(tidak diisi)",IFERROR(INDEX(Kamus!$H$3:$H$75,MATCH(TRUE,ISNUMBER(SEARCH(Kamus!$G$3:$G$75,$I688)),0)),"Pemberian Umum / Tanpa Konteks"))</f>
        <v>Pemberian Umum / Tanpa Konteks</v>
      </c>
      <c r="V688" s="106" t="str">
        <f t="shared" si="30"/>
        <v>2026</v>
      </c>
      <c r="W688" s="106" t="str" cm="1">
        <f t="array" ref="W688">IF(TRIM($K688)="","(tidak diisi)",IFERROR(INDEX(Kamus!$K$3:$K$118,MATCH(TRUE,ISNUMBER(SEARCH(Kamus!$J$3:$J$118,$K688)),0)),"Individu / Perorangan"))</f>
        <v>Kampus &amp; Sekolah</v>
      </c>
      <c r="X688" s="106" t="str">
        <f t="shared" si="31"/>
        <v>02</v>
      </c>
      <c r="Y688" s="106" t="str" cm="1">
        <f t="array" ref="Y688">IFERROR(INDEX(Kamus!$N$3:$N$111,MATCH(TRUE,ISNUMBER(SEARCH(Kamus!$M$3:$M$111,$I688)),0)),"")</f>
        <v/>
      </c>
      <c r="Z688" s="106" t="str">
        <f>IF(AND(OR($X688="02",$X688="03",$X688="04"),OR($T688="Parsel/Bingkisan (tidak dirinci)",$T688="Makanan &amp; Minuman",$T688="Peralatan Rumah Tangga / Pecah Belah",$T688="Pakaian &amp; Kain")),"Momen Hari Raya (dugaan musiman)",IFERROR(VLOOKUP($W688,Kamus!$P$3:$Q$14,2,FALSE),"Tidak Teridentifikasi"))</f>
        <v>Momen Hari Raya (dugaan musiman)</v>
      </c>
      <c r="AA688" s="106" t="str">
        <f t="shared" si="32"/>
        <v>Momen Hari Raya (dugaan musiman)</v>
      </c>
    </row>
    <row r="689" spans="1:27">
      <c r="A689" s="106">
        <v>688</v>
      </c>
      <c r="B689" s="106" t="s">
        <v>4417</v>
      </c>
      <c r="C689" s="107" t="s">
        <v>4418</v>
      </c>
      <c r="D689" s="106" t="s">
        <v>1033</v>
      </c>
      <c r="E689" s="106" t="s">
        <v>3057</v>
      </c>
      <c r="G689" s="106" t="s">
        <v>1006</v>
      </c>
      <c r="L689" s="106" t="s">
        <v>4419</v>
      </c>
      <c r="O689" s="106" t="s">
        <v>274</v>
      </c>
      <c r="P689" s="106" t="s">
        <v>3063</v>
      </c>
      <c r="Q689" s="106" t="s">
        <v>400</v>
      </c>
      <c r="S689" s="106" t="str" cm="1">
        <f t="array" ref="S689">IF(TRIM($D689)="","(tidak diisi)",IFERROR(INDEX(Kamus!$B$3:$B$28,MATCH(TRUE,ISNUMBER(SEARCH(Kamus!$A$3:$A$28,$D689)),0)),"Jabatan Lainnya"))</f>
        <v>Hakim</v>
      </c>
      <c r="T689" s="106" t="str" cm="1">
        <f t="array" ref="T689">IF(TRIM($I689)="","(tidak diisi)",IFERROR(INDEX(Kamus!$E$3:$E$162,MATCH(TRUE,ISNUMBER(SEARCH(Kamus!$D$3:$D$162,$I689)),0)),"Barang Lain / Tidak Terinci"))</f>
        <v>(tidak diisi)</v>
      </c>
      <c r="U689" s="106" t="str" cm="1">
        <f t="array" ref="U689">IF(TRIM($I689)="","(tidak diisi)",IFERROR(INDEX(Kamus!$H$3:$H$75,MATCH(TRUE,ISNUMBER(SEARCH(Kamus!$G$3:$G$75,$I689)),0)),"Pemberian Umum / Tanpa Konteks"))</f>
        <v>(tidak diisi)</v>
      </c>
      <c r="V689" s="106" t="str">
        <f t="shared" si="30"/>
        <v>(tidak diisi)</v>
      </c>
      <c r="W689" s="106" t="str" cm="1">
        <f t="array" ref="W689">IF(TRIM($K689)="","(tidak diisi)",IFERROR(INDEX(Kamus!$K$3:$K$118,MATCH(TRUE,ISNUMBER(SEARCH(Kamus!$J$3:$J$118,$K689)),0)),"Individu / Perorangan"))</f>
        <v>(tidak diisi)</v>
      </c>
      <c r="X689" s="106" t="str">
        <f t="shared" si="31"/>
        <v>(tidak diisi)</v>
      </c>
      <c r="Y689" s="106" t="str" cm="1">
        <f t="array" ref="Y689">IFERROR(INDEX(Kamus!$N$3:$N$111,MATCH(TRUE,ISNUMBER(SEARCH(Kamus!$M$3:$M$111,$I689)),0)),"")</f>
        <v/>
      </c>
      <c r="Z689" s="106" t="str">
        <f>IF(AND(OR($X689="02",$X689="03",$X689="04"),OR($T689="Parsel/Bingkisan (tidak dirinci)",$T689="Makanan &amp; Minuman",$T689="Peralatan Rumah Tangga / Pecah Belah",$T689="Pakaian &amp; Kain")),"Momen Hari Raya (dugaan musiman)",IFERROR(VLOOKUP($W689,Kamus!$P$3:$Q$14,2,FALSE),"Tidak Teridentifikasi"))</f>
        <v>Tidak Teridentifikasi</v>
      </c>
      <c r="AA689" s="106" t="str">
        <f t="shared" si="32"/>
        <v>Tidak Teridentifikasi</v>
      </c>
    </row>
    <row r="690" spans="1:27">
      <c r="A690" s="106">
        <v>689</v>
      </c>
      <c r="B690" s="106" t="s">
        <v>4420</v>
      </c>
      <c r="C690" s="107" t="s">
        <v>4421</v>
      </c>
      <c r="D690" s="106" t="s">
        <v>4422</v>
      </c>
      <c r="E690" s="106" t="s">
        <v>3720</v>
      </c>
      <c r="F690" s="106" t="s">
        <v>4423</v>
      </c>
      <c r="G690" s="106" t="s">
        <v>1006</v>
      </c>
      <c r="H690" s="106" t="s">
        <v>4424</v>
      </c>
      <c r="I690" s="106" t="s">
        <v>2107</v>
      </c>
      <c r="J690" s="106">
        <v>340000</v>
      </c>
      <c r="K690" s="106" t="s">
        <v>4425</v>
      </c>
      <c r="L690" s="106" t="s">
        <v>4426</v>
      </c>
      <c r="M690" s="106" t="s">
        <v>2529</v>
      </c>
      <c r="N690" s="106" t="s">
        <v>4427</v>
      </c>
      <c r="O690" s="106" t="s">
        <v>274</v>
      </c>
      <c r="P690" s="106" t="s">
        <v>3726</v>
      </c>
      <c r="Q690" s="106" t="s">
        <v>427</v>
      </c>
      <c r="S690" s="106" t="str" cm="1">
        <f t="array" ref="S690">IF(TRIM($D690)="","(tidak diisi)",IFERROR(INDEX(Kamus!$B$3:$B$28,MATCH(TRUE,ISNUMBER(SEARCH(Kamus!$A$3:$A$28,$D690)),0)),"Jabatan Lainnya"))</f>
        <v>Pejabat Struktural (Kasubbag/Kabag)</v>
      </c>
      <c r="T690" s="106" t="str" cm="1">
        <f t="array" ref="T690">IF(TRIM($I690)="","(tidak diisi)",IFERROR(INDEX(Kamus!$E$3:$E$162,MATCH(TRUE,ISNUMBER(SEARCH(Kamus!$D$3:$D$162,$I690)),0)),"Barang Lain / Tidak Terinci"))</f>
        <v>Makanan &amp; Minuman</v>
      </c>
      <c r="U690" s="106" t="str" cm="1">
        <f t="array" ref="U690">IF(TRIM($I690)="","(tidak diisi)",IFERROR(INDEX(Kamus!$H$3:$H$75,MATCH(TRUE,ISNUMBER(SEARCH(Kamus!$G$3:$G$75,$I690)),0)),"Pemberian Umum / Tanpa Konteks"))</f>
        <v>Pemberian Umum / Tanpa Konteks</v>
      </c>
      <c r="V690" s="106" t="str">
        <f t="shared" si="30"/>
        <v>2026</v>
      </c>
      <c r="W690" s="106" t="str" cm="1">
        <f t="array" ref="W690">IF(TRIM($K690)="","(tidak diisi)",IFERROR(INDEX(Kamus!$K$3:$K$118,MATCH(TRUE,ISNUMBER(SEARCH(Kamus!$J$3:$J$118,$K690)),0)),"Individu / Perorangan"))</f>
        <v>Individu / Perorangan</v>
      </c>
      <c r="X690" s="106" t="str">
        <f t="shared" si="31"/>
        <v>02</v>
      </c>
      <c r="Y690" s="106" t="str" cm="1">
        <f t="array" ref="Y690">IFERROR(INDEX(Kamus!$N$3:$N$111,MATCH(TRUE,ISNUMBER(SEARCH(Kamus!$M$3:$M$111,$I690)),0)),"")</f>
        <v/>
      </c>
      <c r="Z690" s="106" t="str">
        <f>IF(AND(OR($X690="02",$X690="03",$X690="04"),OR($T690="Parsel/Bingkisan (tidak dirinci)",$T690="Makanan &amp; Minuman",$T690="Peralatan Rumah Tangga / Pecah Belah",$T690="Pakaian &amp; Kain")),"Momen Hari Raya (dugaan musiman)",IFERROR(VLOOKUP($W690,Kamus!$P$3:$Q$14,2,FALSE),"Tidak Teridentifikasi"))</f>
        <v>Momen Hari Raya (dugaan musiman)</v>
      </c>
      <c r="AA690" s="106" t="str">
        <f t="shared" si="32"/>
        <v>Momen Hari Raya (dugaan musiman)</v>
      </c>
    </row>
    <row r="691" spans="1:27">
      <c r="A691" s="106">
        <v>690</v>
      </c>
      <c r="B691" s="106" t="s">
        <v>4420</v>
      </c>
      <c r="C691" s="107" t="s">
        <v>4421</v>
      </c>
      <c r="D691" s="106" t="s">
        <v>4422</v>
      </c>
      <c r="E691" s="106" t="s">
        <v>3720</v>
      </c>
      <c r="F691" s="106" t="s">
        <v>4423</v>
      </c>
      <c r="G691" s="106" t="s">
        <v>1006</v>
      </c>
      <c r="H691" s="106" t="s">
        <v>4424</v>
      </c>
      <c r="I691" s="106" t="s">
        <v>4428</v>
      </c>
      <c r="J691" s="106">
        <v>142500</v>
      </c>
      <c r="K691" s="106" t="s">
        <v>4425</v>
      </c>
      <c r="L691" s="106" t="s">
        <v>4426</v>
      </c>
      <c r="M691" s="106" t="s">
        <v>1171</v>
      </c>
      <c r="N691" s="106" t="s">
        <v>4427</v>
      </c>
      <c r="O691" s="106" t="s">
        <v>274</v>
      </c>
      <c r="P691" s="106" t="s">
        <v>3726</v>
      </c>
      <c r="Q691" s="106" t="s">
        <v>427</v>
      </c>
      <c r="S691" s="106" t="str" cm="1">
        <f t="array" ref="S691">IF(TRIM($D691)="","(tidak diisi)",IFERROR(INDEX(Kamus!$B$3:$B$28,MATCH(TRUE,ISNUMBER(SEARCH(Kamus!$A$3:$A$28,$D691)),0)),"Jabatan Lainnya"))</f>
        <v>Pejabat Struktural (Kasubbag/Kabag)</v>
      </c>
      <c r="T691" s="106" t="str" cm="1">
        <f t="array" ref="T691">IF(TRIM($I691)="","(tidak diisi)",IFERROR(INDEX(Kamus!$E$3:$E$162,MATCH(TRUE,ISNUMBER(SEARCH(Kamus!$D$3:$D$162,$I691)),0)),"Barang Lain / Tidak Terinci"))</f>
        <v>Makanan &amp; Minuman</v>
      </c>
      <c r="U691" s="106" t="str" cm="1">
        <f t="array" ref="U691">IF(TRIM($I691)="","(tidak diisi)",IFERROR(INDEX(Kamus!$H$3:$H$75,MATCH(TRUE,ISNUMBER(SEARCH(Kamus!$G$3:$G$75,$I691)),0)),"Pemberian Umum / Tanpa Konteks"))</f>
        <v>Pemberian Umum / Tanpa Konteks</v>
      </c>
      <c r="V691" s="106" t="str">
        <f t="shared" si="30"/>
        <v>2026</v>
      </c>
      <c r="W691" s="106" t="str" cm="1">
        <f t="array" ref="W691">IF(TRIM($K691)="","(tidak diisi)",IFERROR(INDEX(Kamus!$K$3:$K$118,MATCH(TRUE,ISNUMBER(SEARCH(Kamus!$J$3:$J$118,$K691)),0)),"Individu / Perorangan"))</f>
        <v>Individu / Perorangan</v>
      </c>
      <c r="X691" s="106" t="str">
        <f t="shared" si="31"/>
        <v>02</v>
      </c>
      <c r="Y691" s="106" t="str" cm="1">
        <f t="array" ref="Y691">IFERROR(INDEX(Kamus!$N$3:$N$111,MATCH(TRUE,ISNUMBER(SEARCH(Kamus!$M$3:$M$111,$I691)),0)),"")</f>
        <v/>
      </c>
      <c r="Z691" s="106" t="str">
        <f>IF(AND(OR($X691="02",$X691="03",$X691="04"),OR($T691="Parsel/Bingkisan (tidak dirinci)",$T691="Makanan &amp; Minuman",$T691="Peralatan Rumah Tangga / Pecah Belah",$T691="Pakaian &amp; Kain")),"Momen Hari Raya (dugaan musiman)",IFERROR(VLOOKUP($W691,Kamus!$P$3:$Q$14,2,FALSE),"Tidak Teridentifikasi"))</f>
        <v>Momen Hari Raya (dugaan musiman)</v>
      </c>
      <c r="AA691" s="106" t="str">
        <f t="shared" si="32"/>
        <v>Momen Hari Raya (dugaan musiman)</v>
      </c>
    </row>
    <row r="692" spans="1:27">
      <c r="A692" s="106">
        <v>691</v>
      </c>
      <c r="B692" s="106" t="s">
        <v>1278</v>
      </c>
      <c r="C692" s="107" t="s">
        <v>1279</v>
      </c>
      <c r="D692" s="106" t="s">
        <v>1024</v>
      </c>
      <c r="E692" s="106" t="s">
        <v>1280</v>
      </c>
      <c r="F692" s="106" t="s">
        <v>4429</v>
      </c>
      <c r="G692" s="106" t="s">
        <v>1006</v>
      </c>
      <c r="H692" s="106" t="s">
        <v>4424</v>
      </c>
      <c r="I692" s="106" t="s">
        <v>1017</v>
      </c>
      <c r="J692" s="106">
        <v>1400000</v>
      </c>
      <c r="K692" s="106" t="s">
        <v>4430</v>
      </c>
      <c r="L692" s="106" t="s">
        <v>4431</v>
      </c>
      <c r="M692" s="106" t="s">
        <v>1171</v>
      </c>
      <c r="N692" s="106" t="s">
        <v>4432</v>
      </c>
      <c r="O692" s="106" t="s">
        <v>274</v>
      </c>
      <c r="P692" s="106" t="s">
        <v>1284</v>
      </c>
      <c r="Q692" s="106" t="s">
        <v>428</v>
      </c>
      <c r="S692" s="106" t="str" cm="1">
        <f t="array" ref="S692">IF(TRIM($D692)="","(tidak diisi)",IFERROR(INDEX(Kamus!$B$3:$B$28,MATCH(TRUE,ISNUMBER(SEARCH(Kamus!$A$3:$A$28,$D692)),0)),"Jabatan Lainnya"))</f>
        <v>Sekretaris</v>
      </c>
      <c r="T692" s="106" t="str" cm="1">
        <f t="array" ref="T692">IF(TRIM($I692)="","(tidak diisi)",IFERROR(INDEX(Kamus!$E$3:$E$162,MATCH(TRUE,ISNUMBER(SEARCH(Kamus!$D$3:$D$162,$I692)),0)),"Barang Lain / Tidak Terinci"))</f>
        <v>Uang &amp; Setara Uang</v>
      </c>
      <c r="U692" s="106" t="str" cm="1">
        <f t="array" ref="U692">IF(TRIM($I692)="","(tidak diisi)",IFERROR(INDEX(Kamus!$H$3:$H$75,MATCH(TRUE,ISNUMBER(SEARCH(Kamus!$G$3:$G$75,$I692)),0)),"Pemberian Umum / Tanpa Konteks"))</f>
        <v>Pemberian Uang Langsung</v>
      </c>
      <c r="V692" s="106" t="str">
        <f t="shared" si="30"/>
        <v>2026</v>
      </c>
      <c r="W692" s="106" t="str" cm="1">
        <f t="array" ref="W692">IF(TRIM($K692)="","(tidak diisi)",IFERROR(INDEX(Kamus!$K$3:$K$118,MATCH(TRUE,ISNUMBER(SEARCH(Kamus!$J$3:$J$118,$K692)),0)),"Individu / Perorangan"))</f>
        <v>Internal Peradilan / Instansi Sendiri</v>
      </c>
      <c r="X692" s="106" t="str">
        <f t="shared" si="31"/>
        <v>02</v>
      </c>
      <c r="Y692" s="106" t="str" cm="1">
        <f t="array" ref="Y692">IFERROR(INDEX(Kamus!$N$3:$N$111,MATCH(TRUE,ISNUMBER(SEARCH(Kamus!$M$3:$M$111,$I692)),0)),"")</f>
        <v/>
      </c>
      <c r="Z692" s="106" t="str">
        <f>IF(AND(OR($X692="02",$X692="03",$X692="04"),OR($T692="Parsel/Bingkisan (tidak dirinci)",$T692="Makanan &amp; Minuman",$T692="Peralatan Rumah Tangga / Pecah Belah",$T692="Pakaian &amp; Kain")),"Momen Hari Raya (dugaan musiman)",IFERROR(VLOOKUP($W692,Kamus!$P$3:$Q$14,2,FALSE),"Tidak Teridentifikasi"))</f>
        <v>Kunjungan/Koordinasi Internal Peradilan (dugaan)</v>
      </c>
      <c r="AA692" s="106" t="str">
        <f t="shared" si="32"/>
        <v>Kunjungan/Koordinasi Internal Peradilan (dugaan)</v>
      </c>
    </row>
    <row r="693" spans="1:27">
      <c r="A693" s="106">
        <v>692</v>
      </c>
      <c r="B693" s="106" t="s">
        <v>4433</v>
      </c>
      <c r="C693" s="107" t="s">
        <v>4434</v>
      </c>
      <c r="D693" s="106" t="s">
        <v>1033</v>
      </c>
      <c r="E693" s="106" t="s">
        <v>1005</v>
      </c>
      <c r="G693" s="106" t="s">
        <v>1074</v>
      </c>
      <c r="L693" s="106" t="s">
        <v>4435</v>
      </c>
      <c r="O693" s="106" t="s">
        <v>274</v>
      </c>
      <c r="S693" s="106" t="str" cm="1">
        <f t="array" ref="S693">IF(TRIM($D693)="","(tidak diisi)",IFERROR(INDEX(Kamus!$B$3:$B$28,MATCH(TRUE,ISNUMBER(SEARCH(Kamus!$A$3:$A$28,$D693)),0)),"Jabatan Lainnya"))</f>
        <v>Hakim</v>
      </c>
      <c r="T693" s="106" t="str" cm="1">
        <f t="array" ref="T693">IF(TRIM($I693)="","(tidak diisi)",IFERROR(INDEX(Kamus!$E$3:$E$162,MATCH(TRUE,ISNUMBER(SEARCH(Kamus!$D$3:$D$162,$I693)),0)),"Barang Lain / Tidak Terinci"))</f>
        <v>(tidak diisi)</v>
      </c>
      <c r="U693" s="106" t="str" cm="1">
        <f t="array" ref="U693">IF(TRIM($I693)="","(tidak diisi)",IFERROR(INDEX(Kamus!$H$3:$H$75,MATCH(TRUE,ISNUMBER(SEARCH(Kamus!$G$3:$G$75,$I693)),0)),"Pemberian Umum / Tanpa Konteks"))</f>
        <v>(tidak diisi)</v>
      </c>
      <c r="V693" s="106" t="str">
        <f t="shared" si="30"/>
        <v>(tidak diisi)</v>
      </c>
      <c r="W693" s="106" t="str" cm="1">
        <f t="array" ref="W693">IF(TRIM($K693)="","(tidak diisi)",IFERROR(INDEX(Kamus!$K$3:$K$118,MATCH(TRUE,ISNUMBER(SEARCH(Kamus!$J$3:$J$118,$K693)),0)),"Individu / Perorangan"))</f>
        <v>(tidak diisi)</v>
      </c>
      <c r="X693" s="106" t="str">
        <f t="shared" si="31"/>
        <v>(tidak diisi)</v>
      </c>
      <c r="Y693" s="106" t="str" cm="1">
        <f t="array" ref="Y693">IFERROR(INDEX(Kamus!$N$3:$N$111,MATCH(TRUE,ISNUMBER(SEARCH(Kamus!$M$3:$M$111,$I693)),0)),"")</f>
        <v/>
      </c>
      <c r="Z693" s="106" t="str">
        <f>IF(AND(OR($X693="02",$X693="03",$X693="04"),OR($T693="Parsel/Bingkisan (tidak dirinci)",$T693="Makanan &amp; Minuman",$T693="Peralatan Rumah Tangga / Pecah Belah",$T693="Pakaian &amp; Kain")),"Momen Hari Raya (dugaan musiman)",IFERROR(VLOOKUP($W693,Kamus!$P$3:$Q$14,2,FALSE),"Tidak Teridentifikasi"))</f>
        <v>Tidak Teridentifikasi</v>
      </c>
      <c r="AA693" s="106" t="str">
        <f t="shared" si="32"/>
        <v>Tidak Teridentifikasi</v>
      </c>
    </row>
    <row r="694" spans="1:27">
      <c r="A694" s="106">
        <v>693</v>
      </c>
      <c r="B694" s="106" t="s">
        <v>4436</v>
      </c>
      <c r="C694" s="107" t="s">
        <v>4437</v>
      </c>
      <c r="D694" s="106" t="s">
        <v>1160</v>
      </c>
      <c r="E694" s="106" t="s">
        <v>1403</v>
      </c>
      <c r="F694" s="106" t="s">
        <v>4438</v>
      </c>
      <c r="G694" s="106" t="s">
        <v>1006</v>
      </c>
      <c r="H694" s="106" t="s">
        <v>4439</v>
      </c>
      <c r="I694" s="106" t="s">
        <v>1745</v>
      </c>
      <c r="K694" s="106" t="s">
        <v>4440</v>
      </c>
      <c r="L694" s="106" t="s">
        <v>4441</v>
      </c>
      <c r="O694" s="106" t="s">
        <v>274</v>
      </c>
      <c r="P694" s="106" t="s">
        <v>1410</v>
      </c>
      <c r="Q694" s="106" t="s">
        <v>403</v>
      </c>
      <c r="S694" s="106" t="str" cm="1">
        <f t="array" ref="S694">IF(TRIM($D694)="","(tidak diisi)",IFERROR(INDEX(Kamus!$B$3:$B$28,MATCH(TRUE,ISNUMBER(SEARCH(Kamus!$A$3:$A$28,$D694)),0)),"Jabatan Lainnya"))</f>
        <v>Panitera</v>
      </c>
      <c r="T694" s="106" t="str" cm="1">
        <f t="array" ref="T694">IF(TRIM($I694)="","(tidak diisi)",IFERROR(INDEX(Kamus!$E$3:$E$162,MATCH(TRUE,ISNUMBER(SEARCH(Kamus!$D$3:$D$162,$I694)),0)),"Barang Lain / Tidak Terinci"))</f>
        <v>Makanan &amp; Minuman</v>
      </c>
      <c r="U694" s="106" t="str" cm="1">
        <f t="array" ref="U694">IF(TRIM($I694)="","(tidak diisi)",IFERROR(INDEX(Kamus!$H$3:$H$75,MATCH(TRUE,ISNUMBER(SEARCH(Kamus!$G$3:$G$75,$I694)),0)),"Pemberian Umum / Tanpa Konteks"))</f>
        <v>Pemberian Umum / Tanpa Konteks</v>
      </c>
      <c r="V694" s="106" t="str">
        <f t="shared" si="30"/>
        <v>2026</v>
      </c>
      <c r="W694" s="106" t="str" cm="1">
        <f t="array" ref="W694">IF(TRIM($K694)="","(tidak diisi)",IFERROR(INDEX(Kamus!$K$3:$K$118,MATCH(TRUE,ISNUMBER(SEARCH(Kamus!$J$3:$J$118,$K694)),0)),"Individu / Perorangan"))</f>
        <v>Individu / Perorangan</v>
      </c>
      <c r="X694" s="106" t="str">
        <f t="shared" si="31"/>
        <v>02</v>
      </c>
      <c r="Y694" s="106" t="str" cm="1">
        <f t="array" ref="Y694">IFERROR(INDEX(Kamus!$N$3:$N$111,MATCH(TRUE,ISNUMBER(SEARCH(Kamus!$M$3:$M$111,$I694)),0)),"")</f>
        <v/>
      </c>
      <c r="Z694" s="106" t="str">
        <f>IF(AND(OR($X694="02",$X694="03",$X694="04"),OR($T694="Parsel/Bingkisan (tidak dirinci)",$T694="Makanan &amp; Minuman",$T694="Peralatan Rumah Tangga / Pecah Belah",$T694="Pakaian &amp; Kain")),"Momen Hari Raya (dugaan musiman)",IFERROR(VLOOKUP($W694,Kamus!$P$3:$Q$14,2,FALSE),"Tidak Teridentifikasi"))</f>
        <v>Momen Hari Raya (dugaan musiman)</v>
      </c>
      <c r="AA694" s="106" t="str">
        <f t="shared" si="32"/>
        <v>Momen Hari Raya (dugaan musiman)</v>
      </c>
    </row>
    <row r="695" spans="1:27">
      <c r="A695" s="106">
        <v>694</v>
      </c>
      <c r="B695" s="106" t="s">
        <v>4442</v>
      </c>
      <c r="C695" s="107" t="s">
        <v>4443</v>
      </c>
      <c r="D695" s="106" t="s">
        <v>1033</v>
      </c>
      <c r="E695" s="106" t="s">
        <v>1005</v>
      </c>
      <c r="G695" s="106" t="s">
        <v>1074</v>
      </c>
      <c r="L695" s="106" t="s">
        <v>4444</v>
      </c>
      <c r="O695" s="106" t="s">
        <v>274</v>
      </c>
      <c r="S695" s="106" t="str" cm="1">
        <f t="array" ref="S695">IF(TRIM($D695)="","(tidak diisi)",IFERROR(INDEX(Kamus!$B$3:$B$28,MATCH(TRUE,ISNUMBER(SEARCH(Kamus!$A$3:$A$28,$D695)),0)),"Jabatan Lainnya"))</f>
        <v>Hakim</v>
      </c>
      <c r="T695" s="106" t="str" cm="1">
        <f t="array" ref="T695">IF(TRIM($I695)="","(tidak diisi)",IFERROR(INDEX(Kamus!$E$3:$E$162,MATCH(TRUE,ISNUMBER(SEARCH(Kamus!$D$3:$D$162,$I695)),0)),"Barang Lain / Tidak Terinci"))</f>
        <v>(tidak diisi)</v>
      </c>
      <c r="U695" s="106" t="str" cm="1">
        <f t="array" ref="U695">IF(TRIM($I695)="","(tidak diisi)",IFERROR(INDEX(Kamus!$H$3:$H$75,MATCH(TRUE,ISNUMBER(SEARCH(Kamus!$G$3:$G$75,$I695)),0)),"Pemberian Umum / Tanpa Konteks"))</f>
        <v>(tidak diisi)</v>
      </c>
      <c r="V695" s="106" t="str">
        <f t="shared" si="30"/>
        <v>(tidak diisi)</v>
      </c>
      <c r="W695" s="106" t="str" cm="1">
        <f t="array" ref="W695">IF(TRIM($K695)="","(tidak diisi)",IFERROR(INDEX(Kamus!$K$3:$K$118,MATCH(TRUE,ISNUMBER(SEARCH(Kamus!$J$3:$J$118,$K695)),0)),"Individu / Perorangan"))</f>
        <v>(tidak diisi)</v>
      </c>
      <c r="X695" s="106" t="str">
        <f t="shared" si="31"/>
        <v>(tidak diisi)</v>
      </c>
      <c r="Y695" s="106" t="str" cm="1">
        <f t="array" ref="Y695">IFERROR(INDEX(Kamus!$N$3:$N$111,MATCH(TRUE,ISNUMBER(SEARCH(Kamus!$M$3:$M$111,$I695)),0)),"")</f>
        <v/>
      </c>
      <c r="Z695" s="106" t="str">
        <f>IF(AND(OR($X695="02",$X695="03",$X695="04"),OR($T695="Parsel/Bingkisan (tidak dirinci)",$T695="Makanan &amp; Minuman",$T695="Peralatan Rumah Tangga / Pecah Belah",$T695="Pakaian &amp; Kain")),"Momen Hari Raya (dugaan musiman)",IFERROR(VLOOKUP($W695,Kamus!$P$3:$Q$14,2,FALSE),"Tidak Teridentifikasi"))</f>
        <v>Tidak Teridentifikasi</v>
      </c>
      <c r="AA695" s="106" t="str">
        <f t="shared" si="32"/>
        <v>Tidak Teridentifikasi</v>
      </c>
    </row>
    <row r="696" spans="1:27">
      <c r="A696" s="106">
        <v>695</v>
      </c>
      <c r="B696" s="106" t="s">
        <v>4445</v>
      </c>
      <c r="C696" s="107" t="s">
        <v>4446</v>
      </c>
      <c r="D696" s="106" t="s">
        <v>1050</v>
      </c>
      <c r="E696" s="106" t="s">
        <v>4447</v>
      </c>
      <c r="G696" s="106" t="s">
        <v>1006</v>
      </c>
      <c r="L696" s="106" t="s">
        <v>4444</v>
      </c>
      <c r="O696" s="106" t="s">
        <v>274</v>
      </c>
      <c r="P696" s="106" t="s">
        <v>4448</v>
      </c>
      <c r="Q696" s="106" t="s">
        <v>361</v>
      </c>
      <c r="S696" s="106" t="str" cm="1">
        <f t="array" ref="S696">IF(TRIM($D696)="","(tidak diisi)",IFERROR(INDEX(Kamus!$B$3:$B$28,MATCH(TRUE,ISNUMBER(SEARCH(Kamus!$A$3:$A$28,$D696)),0)),"Jabatan Lainnya"))</f>
        <v>Hakim</v>
      </c>
      <c r="T696" s="106" t="str" cm="1">
        <f t="array" ref="T696">IF(TRIM($I696)="","(tidak diisi)",IFERROR(INDEX(Kamus!$E$3:$E$162,MATCH(TRUE,ISNUMBER(SEARCH(Kamus!$D$3:$D$162,$I696)),0)),"Barang Lain / Tidak Terinci"))</f>
        <v>(tidak diisi)</v>
      </c>
      <c r="U696" s="106" t="str" cm="1">
        <f t="array" ref="U696">IF(TRIM($I696)="","(tidak diisi)",IFERROR(INDEX(Kamus!$H$3:$H$75,MATCH(TRUE,ISNUMBER(SEARCH(Kamus!$G$3:$G$75,$I696)),0)),"Pemberian Umum / Tanpa Konteks"))</f>
        <v>(tidak diisi)</v>
      </c>
      <c r="V696" s="106" t="str">
        <f t="shared" si="30"/>
        <v>(tidak diisi)</v>
      </c>
      <c r="W696" s="106" t="str" cm="1">
        <f t="array" ref="W696">IF(TRIM($K696)="","(tidak diisi)",IFERROR(INDEX(Kamus!$K$3:$K$118,MATCH(TRUE,ISNUMBER(SEARCH(Kamus!$J$3:$J$118,$K696)),0)),"Individu / Perorangan"))</f>
        <v>(tidak diisi)</v>
      </c>
      <c r="X696" s="106" t="str">
        <f t="shared" si="31"/>
        <v>(tidak diisi)</v>
      </c>
      <c r="Y696" s="106" t="str" cm="1">
        <f t="array" ref="Y696">IFERROR(INDEX(Kamus!$N$3:$N$111,MATCH(TRUE,ISNUMBER(SEARCH(Kamus!$M$3:$M$111,$I696)),0)),"")</f>
        <v/>
      </c>
      <c r="Z696" s="106" t="str">
        <f>IF(AND(OR($X696="02",$X696="03",$X696="04"),OR($T696="Parsel/Bingkisan (tidak dirinci)",$T696="Makanan &amp; Minuman",$T696="Peralatan Rumah Tangga / Pecah Belah",$T696="Pakaian &amp; Kain")),"Momen Hari Raya (dugaan musiman)",IFERROR(VLOOKUP($W696,Kamus!$P$3:$Q$14,2,FALSE),"Tidak Teridentifikasi"))</f>
        <v>Tidak Teridentifikasi</v>
      </c>
      <c r="AA696" s="106" t="str">
        <f t="shared" si="32"/>
        <v>Tidak Teridentifikasi</v>
      </c>
    </row>
    <row r="697" spans="1:27">
      <c r="A697" s="106">
        <v>696</v>
      </c>
      <c r="B697" s="106" t="s">
        <v>4449</v>
      </c>
      <c r="C697" s="107" t="s">
        <v>4450</v>
      </c>
      <c r="D697" s="106" t="s">
        <v>3375</v>
      </c>
      <c r="E697" s="106" t="s">
        <v>4451</v>
      </c>
      <c r="G697" s="106" t="s">
        <v>1074</v>
      </c>
      <c r="L697" s="106" t="s">
        <v>4444</v>
      </c>
      <c r="O697" s="106" t="s">
        <v>274</v>
      </c>
      <c r="P697" s="106" t="s">
        <v>4452</v>
      </c>
      <c r="Q697" s="106" t="s">
        <v>308</v>
      </c>
      <c r="S697" s="106" t="str" cm="1">
        <f t="array" ref="S697">IF(TRIM($D697)="","(tidak diisi)",IFERROR(INDEX(Kamus!$B$3:$B$28,MATCH(TRUE,ISNUMBER(SEARCH(Kamus!$A$3:$A$28,$D697)),0)),"Jabatan Lainnya"))</f>
        <v>Staf/Pegawai Pelaksana</v>
      </c>
      <c r="T697" s="106" t="str" cm="1">
        <f t="array" ref="T697">IF(TRIM($I697)="","(tidak diisi)",IFERROR(INDEX(Kamus!$E$3:$E$162,MATCH(TRUE,ISNUMBER(SEARCH(Kamus!$D$3:$D$162,$I697)),0)),"Barang Lain / Tidak Terinci"))</f>
        <v>(tidak diisi)</v>
      </c>
      <c r="U697" s="106" t="str" cm="1">
        <f t="array" ref="U697">IF(TRIM($I697)="","(tidak diisi)",IFERROR(INDEX(Kamus!$H$3:$H$75,MATCH(TRUE,ISNUMBER(SEARCH(Kamus!$G$3:$G$75,$I697)),0)),"Pemberian Umum / Tanpa Konteks"))</f>
        <v>(tidak diisi)</v>
      </c>
      <c r="V697" s="106" t="str">
        <f t="shared" si="30"/>
        <v>(tidak diisi)</v>
      </c>
      <c r="W697" s="106" t="str" cm="1">
        <f t="array" ref="W697">IF(TRIM($K697)="","(tidak diisi)",IFERROR(INDEX(Kamus!$K$3:$K$118,MATCH(TRUE,ISNUMBER(SEARCH(Kamus!$J$3:$J$118,$K697)),0)),"Individu / Perorangan"))</f>
        <v>(tidak diisi)</v>
      </c>
      <c r="X697" s="106" t="str">
        <f t="shared" si="31"/>
        <v>(tidak diisi)</v>
      </c>
      <c r="Y697" s="106" t="str" cm="1">
        <f t="array" ref="Y697">IFERROR(INDEX(Kamus!$N$3:$N$111,MATCH(TRUE,ISNUMBER(SEARCH(Kamus!$M$3:$M$111,$I697)),0)),"")</f>
        <v/>
      </c>
      <c r="Z697" s="106" t="str">
        <f>IF(AND(OR($X697="02",$X697="03",$X697="04"),OR($T697="Parsel/Bingkisan (tidak dirinci)",$T697="Makanan &amp; Minuman",$T697="Peralatan Rumah Tangga / Pecah Belah",$T697="Pakaian &amp; Kain")),"Momen Hari Raya (dugaan musiman)",IFERROR(VLOOKUP($W697,Kamus!$P$3:$Q$14,2,FALSE),"Tidak Teridentifikasi"))</f>
        <v>Tidak Teridentifikasi</v>
      </c>
      <c r="AA697" s="106" t="str">
        <f t="shared" si="32"/>
        <v>Tidak Teridentifikasi</v>
      </c>
    </row>
    <row r="698" spans="1:27">
      <c r="A698" s="106">
        <v>697</v>
      </c>
      <c r="B698" s="106" t="s">
        <v>4453</v>
      </c>
      <c r="C698" s="107" t="s">
        <v>4454</v>
      </c>
      <c r="D698" s="106" t="s">
        <v>1033</v>
      </c>
      <c r="E698" s="106" t="s">
        <v>2074</v>
      </c>
      <c r="F698" s="106" t="s">
        <v>4455</v>
      </c>
      <c r="G698" s="106" t="s">
        <v>1006</v>
      </c>
      <c r="H698" s="106" t="s">
        <v>4456</v>
      </c>
      <c r="I698" s="106" t="s">
        <v>2693</v>
      </c>
      <c r="J698" s="106">
        <v>123000</v>
      </c>
      <c r="K698" s="106" t="s">
        <v>4457</v>
      </c>
      <c r="L698" s="106" t="s">
        <v>4458</v>
      </c>
      <c r="M698" s="106" t="s">
        <v>1171</v>
      </c>
      <c r="N698" s="106" t="s">
        <v>4459</v>
      </c>
      <c r="O698" s="106" t="s">
        <v>274</v>
      </c>
      <c r="P698" s="106" t="s">
        <v>2079</v>
      </c>
      <c r="Q698" s="106" t="s">
        <v>407</v>
      </c>
      <c r="S698" s="106" t="str" cm="1">
        <f t="array" ref="S698">IF(TRIM($D698)="","(tidak diisi)",IFERROR(INDEX(Kamus!$B$3:$B$28,MATCH(TRUE,ISNUMBER(SEARCH(Kamus!$A$3:$A$28,$D698)),0)),"Jabatan Lainnya"))</f>
        <v>Hakim</v>
      </c>
      <c r="T698" s="106" t="str" cm="1">
        <f t="array" ref="T698">IF(TRIM($I698)="","(tidak diisi)",IFERROR(INDEX(Kamus!$E$3:$E$162,MATCH(TRUE,ISNUMBER(SEARCH(Kamus!$D$3:$D$162,$I698)),0)),"Barang Lain / Tidak Terinci"))</f>
        <v>Makanan &amp; Minuman</v>
      </c>
      <c r="U698" s="106" t="str" cm="1">
        <f t="array" ref="U698">IF(TRIM($I698)="","(tidak diisi)",IFERROR(INDEX(Kamus!$H$3:$H$75,MATCH(TRUE,ISNUMBER(SEARCH(Kamus!$G$3:$G$75,$I698)),0)),"Pemberian Umum / Tanpa Konteks"))</f>
        <v>Pemberian Umum / Tanpa Konteks</v>
      </c>
      <c r="V698" s="106" t="str">
        <f t="shared" si="30"/>
        <v>2026</v>
      </c>
      <c r="W698" s="106" t="str" cm="1">
        <f t="array" ref="W698">IF(TRIM($K698)="","(tidak diisi)",IFERROR(INDEX(Kamus!$K$3:$K$118,MATCH(TRUE,ISNUMBER(SEARCH(Kamus!$J$3:$J$118,$K698)),0)),"Individu / Perorangan"))</f>
        <v>Individu / Perorangan</v>
      </c>
      <c r="X698" s="106" t="str">
        <f t="shared" si="31"/>
        <v>02</v>
      </c>
      <c r="Y698" s="106" t="str" cm="1">
        <f t="array" ref="Y698">IFERROR(INDEX(Kamus!$N$3:$N$111,MATCH(TRUE,ISNUMBER(SEARCH(Kamus!$M$3:$M$111,$I698)),0)),"")</f>
        <v/>
      </c>
      <c r="Z698" s="106" t="str">
        <f>IF(AND(OR($X698="02",$X698="03",$X698="04"),OR($T698="Parsel/Bingkisan (tidak dirinci)",$T698="Makanan &amp; Minuman",$T698="Peralatan Rumah Tangga / Pecah Belah",$T698="Pakaian &amp; Kain")),"Momen Hari Raya (dugaan musiman)",IFERROR(VLOOKUP($W698,Kamus!$P$3:$Q$14,2,FALSE),"Tidak Teridentifikasi"))</f>
        <v>Momen Hari Raya (dugaan musiman)</v>
      </c>
      <c r="AA698" s="106" t="str">
        <f t="shared" si="32"/>
        <v>Momen Hari Raya (dugaan musiman)</v>
      </c>
    </row>
    <row r="699" spans="1:27">
      <c r="A699" s="106">
        <v>698</v>
      </c>
      <c r="B699" s="106" t="s">
        <v>4460</v>
      </c>
      <c r="C699" s="107" t="s">
        <v>4461</v>
      </c>
      <c r="D699" s="106" t="s">
        <v>4462</v>
      </c>
      <c r="E699" s="106" t="s">
        <v>3548</v>
      </c>
      <c r="F699" s="106" t="s">
        <v>4463</v>
      </c>
      <c r="G699" s="106" t="s">
        <v>1006</v>
      </c>
      <c r="H699" s="106" t="s">
        <v>4464</v>
      </c>
      <c r="I699" s="106" t="s">
        <v>4465</v>
      </c>
      <c r="J699" s="106">
        <v>598000</v>
      </c>
      <c r="K699" s="106" t="s">
        <v>4466</v>
      </c>
      <c r="L699" s="106" t="s">
        <v>4467</v>
      </c>
      <c r="M699" s="106" t="s">
        <v>1039</v>
      </c>
      <c r="O699" s="106" t="s">
        <v>274</v>
      </c>
      <c r="Q699" s="106" t="s">
        <v>274</v>
      </c>
      <c r="S699" s="106" t="str" cm="1">
        <f t="array" ref="S699">IF(TRIM($D699)="","(tidak diisi)",IFERROR(INDEX(Kamus!$B$3:$B$28,MATCH(TRUE,ISNUMBER(SEARCH(Kamus!$A$3:$A$28,$D699)),0)),"Jabatan Lainnya"))</f>
        <v>Hakim</v>
      </c>
      <c r="T699" s="106" t="str" cm="1">
        <f t="array" ref="T699">IF(TRIM($I699)="","(tidak diisi)",IFERROR(INDEX(Kamus!$E$3:$E$162,MATCH(TRUE,ISNUMBER(SEARCH(Kamus!$D$3:$D$162,$I699)),0)),"Barang Lain / Tidak Terinci"))</f>
        <v>Barang Lain / Tidak Terinci</v>
      </c>
      <c r="U699" s="106" t="str" cm="1">
        <f t="array" ref="U699">IF(TRIM($I699)="","(tidak diisi)",IFERROR(INDEX(Kamus!$H$3:$H$75,MATCH(TRUE,ISNUMBER(SEARCH(Kamus!$G$3:$G$75,$I699)),0)),"Pemberian Umum / Tanpa Konteks"))</f>
        <v>Pemberian Umum / Tanpa Konteks</v>
      </c>
      <c r="V699" s="106" t="str">
        <f t="shared" si="30"/>
        <v>2026</v>
      </c>
      <c r="W699" s="106" t="str" cm="1">
        <f t="array" ref="W699">IF(TRIM($K699)="","(tidak diisi)",IFERROR(INDEX(Kamus!$K$3:$K$118,MATCH(TRUE,ISNUMBER(SEARCH(Kamus!$J$3:$J$118,$K699)),0)),"Individu / Perorangan"))</f>
        <v>Internal Peradilan / Instansi Sendiri</v>
      </c>
      <c r="X699" s="106" t="str">
        <f t="shared" si="31"/>
        <v>02</v>
      </c>
      <c r="Y699" s="106" t="str" cm="1">
        <f t="array" ref="Y699">IFERROR(INDEX(Kamus!$N$3:$N$111,MATCH(TRUE,ISNUMBER(SEARCH(Kamus!$M$3:$M$111,$I699)),0)),"")</f>
        <v/>
      </c>
      <c r="Z699" s="106" t="str">
        <f>IF(AND(OR($X699="02",$X699="03",$X699="04"),OR($T699="Parsel/Bingkisan (tidak dirinci)",$T699="Makanan &amp; Minuman",$T699="Peralatan Rumah Tangga / Pecah Belah",$T699="Pakaian &amp; Kain")),"Momen Hari Raya (dugaan musiman)",IFERROR(VLOOKUP($W699,Kamus!$P$3:$Q$14,2,FALSE),"Tidak Teridentifikasi"))</f>
        <v>Kunjungan/Koordinasi Internal Peradilan (dugaan)</v>
      </c>
      <c r="AA699" s="106" t="str">
        <f t="shared" si="32"/>
        <v>Kunjungan/Koordinasi Internal Peradilan (dugaan)</v>
      </c>
    </row>
    <row r="700" spans="1:27">
      <c r="A700" s="106">
        <v>699</v>
      </c>
      <c r="B700" s="106" t="s">
        <v>1278</v>
      </c>
      <c r="C700" s="107" t="s">
        <v>1279</v>
      </c>
      <c r="D700" s="106" t="s">
        <v>1024</v>
      </c>
      <c r="E700" s="106" t="s">
        <v>1280</v>
      </c>
      <c r="F700" s="106" t="s">
        <v>4468</v>
      </c>
      <c r="G700" s="106" t="s">
        <v>1006</v>
      </c>
      <c r="H700" s="106" t="s">
        <v>4464</v>
      </c>
      <c r="I700" s="106" t="s">
        <v>4469</v>
      </c>
      <c r="J700" s="106">
        <v>1800000</v>
      </c>
      <c r="K700" s="106" t="s">
        <v>4470</v>
      </c>
      <c r="L700" s="106" t="s">
        <v>4471</v>
      </c>
      <c r="M700" s="106" t="s">
        <v>1171</v>
      </c>
      <c r="N700" s="106" t="s">
        <v>4472</v>
      </c>
      <c r="O700" s="106" t="s">
        <v>274</v>
      </c>
      <c r="P700" s="106" t="s">
        <v>1284</v>
      </c>
      <c r="Q700" s="106" t="s">
        <v>428</v>
      </c>
      <c r="S700" s="106" t="str" cm="1">
        <f t="array" ref="S700">IF(TRIM($D700)="","(tidak diisi)",IFERROR(INDEX(Kamus!$B$3:$B$28,MATCH(TRUE,ISNUMBER(SEARCH(Kamus!$A$3:$A$28,$D700)),0)),"Jabatan Lainnya"))</f>
        <v>Sekretaris</v>
      </c>
      <c r="T700" s="106" t="str" cm="1">
        <f t="array" ref="T700">IF(TRIM($I700)="","(tidak diisi)",IFERROR(INDEX(Kamus!$E$3:$E$162,MATCH(TRUE,ISNUMBER(SEARCH(Kamus!$D$3:$D$162,$I700)),0)),"Barang Lain / Tidak Terinci"))</f>
        <v>Barang Lain / Tidak Terinci</v>
      </c>
      <c r="U700" s="106" t="str" cm="1">
        <f t="array" ref="U700">IF(TRIM($I700)="","(tidak diisi)",IFERROR(INDEX(Kamus!$H$3:$H$75,MATCH(TRUE,ISNUMBER(SEARCH(Kamus!$G$3:$G$75,$I700)),0)),"Pemberian Umum / Tanpa Konteks"))</f>
        <v>Pemberian Umum / Tanpa Konteks</v>
      </c>
      <c r="V700" s="106" t="str">
        <f t="shared" si="30"/>
        <v>2026</v>
      </c>
      <c r="W700" s="106" t="str" cm="1">
        <f t="array" ref="W700">IF(TRIM($K700)="","(tidak diisi)",IFERROR(INDEX(Kamus!$K$3:$K$118,MATCH(TRUE,ISNUMBER(SEARCH(Kamus!$J$3:$J$118,$K700)),0)),"Individu / Perorangan"))</f>
        <v>Individu / Perorangan</v>
      </c>
      <c r="X700" s="106" t="str">
        <f t="shared" si="31"/>
        <v>02</v>
      </c>
      <c r="Y700" s="106" t="str" cm="1">
        <f t="array" ref="Y700">IFERROR(INDEX(Kamus!$N$3:$N$111,MATCH(TRUE,ISNUMBER(SEARCH(Kamus!$M$3:$M$111,$I700)),0)),"")</f>
        <v/>
      </c>
      <c r="Z700" s="106" t="str">
        <f>IF(AND(OR($X700="02",$X700="03",$X700="04"),OR($T700="Parsel/Bingkisan (tidak dirinci)",$T700="Makanan &amp; Minuman",$T700="Peralatan Rumah Tangga / Pecah Belah",$T700="Pakaian &amp; Kain")),"Momen Hari Raya (dugaan musiman)",IFERROR(VLOOKUP($W700,Kamus!$P$3:$Q$14,2,FALSE),"Tidak Teridentifikasi"))</f>
        <v>Relasi Personal / Tidak Teridentifikasi</v>
      </c>
      <c r="AA700" s="106" t="str">
        <f t="shared" si="32"/>
        <v>Relasi Personal / Tidak Teridentifikasi</v>
      </c>
    </row>
    <row r="701" spans="1:27">
      <c r="A701" s="106">
        <v>700</v>
      </c>
      <c r="B701" s="106" t="s">
        <v>2398</v>
      </c>
      <c r="C701" s="107" t="s">
        <v>2399</v>
      </c>
      <c r="D701" s="106" t="s">
        <v>1033</v>
      </c>
      <c r="E701" s="106" t="s">
        <v>2074</v>
      </c>
      <c r="F701" s="106" t="s">
        <v>4473</v>
      </c>
      <c r="G701" s="106" t="s">
        <v>1006</v>
      </c>
      <c r="H701" s="106" t="s">
        <v>4456</v>
      </c>
      <c r="I701" s="106" t="s">
        <v>4474</v>
      </c>
      <c r="K701" s="106" t="s">
        <v>4475</v>
      </c>
      <c r="L701" s="106" t="s">
        <v>4476</v>
      </c>
      <c r="O701" s="106" t="s">
        <v>274</v>
      </c>
      <c r="P701" s="106" t="s">
        <v>2079</v>
      </c>
      <c r="Q701" s="106" t="s">
        <v>407</v>
      </c>
      <c r="S701" s="106" t="str" cm="1">
        <f t="array" ref="S701">IF(TRIM($D701)="","(tidak diisi)",IFERROR(INDEX(Kamus!$B$3:$B$28,MATCH(TRUE,ISNUMBER(SEARCH(Kamus!$A$3:$A$28,$D701)),0)),"Jabatan Lainnya"))</f>
        <v>Hakim</v>
      </c>
      <c r="T701" s="106" t="str" cm="1">
        <f t="array" ref="T701">IF(TRIM($I701)="","(tidak diisi)",IFERROR(INDEX(Kamus!$E$3:$E$162,MATCH(TRUE,ISNUMBER(SEARCH(Kamus!$D$3:$D$162,$I701)),0)),"Barang Lain / Tidak Terinci"))</f>
        <v>Makanan &amp; Minuman</v>
      </c>
      <c r="U701" s="106" t="str" cm="1">
        <f t="array" ref="U701">IF(TRIM($I701)="","(tidak diisi)",IFERROR(INDEX(Kamus!$H$3:$H$75,MATCH(TRUE,ISNUMBER(SEARCH(Kamus!$G$3:$G$75,$I701)),0)),"Pemberian Umum / Tanpa Konteks"))</f>
        <v>Jamuan / Konsumsi Rapat &amp; Kegiatan</v>
      </c>
      <c r="V701" s="106" t="str">
        <f t="shared" si="30"/>
        <v>2026</v>
      </c>
      <c r="W701" s="106" t="str" cm="1">
        <f t="array" ref="W701">IF(TRIM($K701)="","(tidak diisi)",IFERROR(INDEX(Kamus!$K$3:$K$118,MATCH(TRUE,ISNUMBER(SEARCH(Kamus!$J$3:$J$118,$K701)),0)),"Individu / Perorangan"))</f>
        <v>Individu / Perorangan</v>
      </c>
      <c r="X701" s="106" t="str">
        <f t="shared" si="31"/>
        <v>02</v>
      </c>
      <c r="Y701" s="106" t="str" cm="1">
        <f t="array" ref="Y701">IFERROR(INDEX(Kamus!$N$3:$N$111,MATCH(TRUE,ISNUMBER(SEARCH(Kamus!$M$3:$M$111,$I701)),0)),"")</f>
        <v>Rapat / Jamuan Dinas</v>
      </c>
      <c r="Z701" s="106" t="str">
        <f>IF(AND(OR($X701="02",$X701="03",$X701="04"),OR($T701="Parsel/Bingkisan (tidak dirinci)",$T701="Makanan &amp; Minuman",$T701="Peralatan Rumah Tangga / Pecah Belah",$T701="Pakaian &amp; Kain")),"Momen Hari Raya (dugaan musiman)",IFERROR(VLOOKUP($W701,Kamus!$P$3:$Q$14,2,FALSE),"Tidak Teridentifikasi"))</f>
        <v>Momen Hari Raya (dugaan musiman)</v>
      </c>
      <c r="AA701" s="106" t="str">
        <f t="shared" si="32"/>
        <v>Rapat / Jamuan Dinas</v>
      </c>
    </row>
    <row r="702" spans="1:27">
      <c r="A702" s="106">
        <v>701</v>
      </c>
      <c r="B702" s="106" t="s">
        <v>4477</v>
      </c>
      <c r="C702" s="107" t="s">
        <v>4478</v>
      </c>
      <c r="D702" s="106" t="s">
        <v>1843</v>
      </c>
      <c r="E702" s="106" t="s">
        <v>1005</v>
      </c>
      <c r="F702" s="106" t="s">
        <v>4479</v>
      </c>
      <c r="G702" s="106" t="s">
        <v>1006</v>
      </c>
      <c r="H702" s="106" t="s">
        <v>4391</v>
      </c>
      <c r="I702" s="106" t="s">
        <v>4480</v>
      </c>
      <c r="J702" s="106">
        <v>600000</v>
      </c>
      <c r="K702" s="106" t="s">
        <v>4481</v>
      </c>
      <c r="L702" s="106" t="s">
        <v>4482</v>
      </c>
      <c r="M702" s="106" t="s">
        <v>2529</v>
      </c>
      <c r="O702" s="106" t="s">
        <v>274</v>
      </c>
      <c r="S702" s="106" t="str" cm="1">
        <f t="array" ref="S702">IF(TRIM($D702)="","(tidak diisi)",IFERROR(INDEX(Kamus!$B$3:$B$28,MATCH(TRUE,ISNUMBER(SEARCH(Kamus!$A$3:$A$28,$D702)),0)),"Jabatan Lainnya"))</f>
        <v>Ketua Pengadilan</v>
      </c>
      <c r="T702" s="106" t="str" cm="1">
        <f t="array" ref="T702">IF(TRIM($I702)="","(tidak diisi)",IFERROR(INDEX(Kamus!$E$3:$E$162,MATCH(TRUE,ISNUMBER(SEARCH(Kamus!$D$3:$D$162,$I702)),0)),"Barang Lain / Tidak Terinci"))</f>
        <v>Barang Lain / Tidak Terinci</v>
      </c>
      <c r="U702" s="106" t="str" cm="1">
        <f t="array" ref="U702">IF(TRIM($I702)="","(tidak diisi)",IFERROR(INDEX(Kamus!$H$3:$H$75,MATCH(TRUE,ISNUMBER(SEARCH(Kamus!$G$3:$G$75,$I702)),0)),"Pemberian Umum / Tanpa Konteks"))</f>
        <v>Pemberian Umum / Tanpa Konteks</v>
      </c>
      <c r="V702" s="106" t="str">
        <f t="shared" si="30"/>
        <v>2026</v>
      </c>
      <c r="W702" s="106" t="str" cm="1">
        <f t="array" ref="W702">IF(TRIM($K702)="","(tidak diisi)",IFERROR(INDEX(Kamus!$K$3:$K$118,MATCH(TRUE,ISNUMBER(SEARCH(Kamus!$J$3:$J$118,$K702)),0)),"Individu / Perorangan"))</f>
        <v>Individu / Perorangan</v>
      </c>
      <c r="X702" s="106" t="str">
        <f t="shared" si="31"/>
        <v>01</v>
      </c>
      <c r="Y702" s="106" t="str" cm="1">
        <f t="array" ref="Y702">IFERROR(INDEX(Kamus!$N$3:$N$111,MATCH(TRUE,ISNUMBER(SEARCH(Kamus!$M$3:$M$111,$I702)),0)),"")</f>
        <v/>
      </c>
      <c r="Z702" s="106" t="str">
        <f>IF(AND(OR($X702="02",$X702="03",$X702="04"),OR($T702="Parsel/Bingkisan (tidak dirinci)",$T702="Makanan &amp; Minuman",$T702="Peralatan Rumah Tangga / Pecah Belah",$T702="Pakaian &amp; Kain")),"Momen Hari Raya (dugaan musiman)",IFERROR(VLOOKUP($W702,Kamus!$P$3:$Q$14,2,FALSE),"Tidak Teridentifikasi"))</f>
        <v>Relasi Personal / Tidak Teridentifikasi</v>
      </c>
      <c r="AA702" s="106" t="str">
        <f t="shared" si="32"/>
        <v>Relasi Personal / Tidak Teridentifikasi</v>
      </c>
    </row>
    <row r="703" spans="1:27">
      <c r="A703" s="106">
        <v>702</v>
      </c>
      <c r="B703" s="106" t="s">
        <v>3727</v>
      </c>
      <c r="C703" s="107" t="s">
        <v>3728</v>
      </c>
      <c r="D703" s="106" t="s">
        <v>1042</v>
      </c>
      <c r="E703" s="106" t="s">
        <v>2150</v>
      </c>
      <c r="F703" s="106" t="s">
        <v>4483</v>
      </c>
      <c r="G703" s="106" t="s">
        <v>1006</v>
      </c>
      <c r="H703" s="106" t="s">
        <v>4484</v>
      </c>
      <c r="I703" s="106" t="s">
        <v>2693</v>
      </c>
      <c r="K703" s="106" t="s">
        <v>4485</v>
      </c>
      <c r="L703" s="106" t="s">
        <v>4486</v>
      </c>
      <c r="O703" s="106" t="s">
        <v>274</v>
      </c>
      <c r="P703" s="106" t="s">
        <v>604</v>
      </c>
      <c r="Q703" s="106" t="s">
        <v>429</v>
      </c>
      <c r="S703" s="106" t="str" cm="1">
        <f t="array" ref="S703">IF(TRIM($D703)="","(tidak diisi)",IFERROR(INDEX(Kamus!$B$3:$B$28,MATCH(TRUE,ISNUMBER(SEARCH(Kamus!$A$3:$A$28,$D703)),0)),"Jabatan Lainnya"))</f>
        <v>Ketua Pengadilan</v>
      </c>
      <c r="T703" s="106" t="str" cm="1">
        <f t="array" ref="T703">IF(TRIM($I703)="","(tidak diisi)",IFERROR(INDEX(Kamus!$E$3:$E$162,MATCH(TRUE,ISNUMBER(SEARCH(Kamus!$D$3:$D$162,$I703)),0)),"Barang Lain / Tidak Terinci"))</f>
        <v>Makanan &amp; Minuman</v>
      </c>
      <c r="U703" s="106" t="str" cm="1">
        <f t="array" ref="U703">IF(TRIM($I703)="","(tidak diisi)",IFERROR(INDEX(Kamus!$H$3:$H$75,MATCH(TRUE,ISNUMBER(SEARCH(Kamus!$G$3:$G$75,$I703)),0)),"Pemberian Umum / Tanpa Konteks"))</f>
        <v>Pemberian Umum / Tanpa Konteks</v>
      </c>
      <c r="V703" s="106" t="str">
        <f t="shared" si="30"/>
        <v>2026</v>
      </c>
      <c r="W703" s="106" t="str" cm="1">
        <f t="array" ref="W703">IF(TRIM($K703)="","(tidak diisi)",IFERROR(INDEX(Kamus!$K$3:$K$118,MATCH(TRUE,ISNUMBER(SEARCH(Kamus!$J$3:$J$118,$K703)),0)),"Individu / Perorangan"))</f>
        <v>Individu / Perorangan</v>
      </c>
      <c r="X703" s="106" t="str">
        <f t="shared" si="31"/>
        <v>02</v>
      </c>
      <c r="Y703" s="106" t="str" cm="1">
        <f t="array" ref="Y703">IFERROR(INDEX(Kamus!$N$3:$N$111,MATCH(TRUE,ISNUMBER(SEARCH(Kamus!$M$3:$M$111,$I703)),0)),"")</f>
        <v/>
      </c>
      <c r="Z703" s="106" t="str">
        <f>IF(AND(OR($X703="02",$X703="03",$X703="04"),OR($T703="Parsel/Bingkisan (tidak dirinci)",$T703="Makanan &amp; Minuman",$T703="Peralatan Rumah Tangga / Pecah Belah",$T703="Pakaian &amp; Kain")),"Momen Hari Raya (dugaan musiman)",IFERROR(VLOOKUP($W703,Kamus!$P$3:$Q$14,2,FALSE),"Tidak Teridentifikasi"))</f>
        <v>Momen Hari Raya (dugaan musiman)</v>
      </c>
      <c r="AA703" s="106" t="str">
        <f t="shared" si="32"/>
        <v>Momen Hari Raya (dugaan musiman)</v>
      </c>
    </row>
    <row r="704" spans="1:27">
      <c r="A704" s="106">
        <v>703</v>
      </c>
      <c r="B704" s="106" t="s">
        <v>1022</v>
      </c>
      <c r="C704" s="107" t="s">
        <v>1023</v>
      </c>
      <c r="D704" s="106" t="s">
        <v>1024</v>
      </c>
      <c r="E704" s="106" t="s">
        <v>1025</v>
      </c>
      <c r="F704" s="106" t="s">
        <v>4487</v>
      </c>
      <c r="G704" s="106" t="s">
        <v>1074</v>
      </c>
      <c r="H704" s="106" t="s">
        <v>4484</v>
      </c>
      <c r="I704" s="106" t="s">
        <v>4488</v>
      </c>
      <c r="K704" s="106" t="s">
        <v>468</v>
      </c>
      <c r="L704" s="106" t="s">
        <v>4489</v>
      </c>
      <c r="O704" s="106" t="s">
        <v>274</v>
      </c>
      <c r="P704" s="106" t="s">
        <v>561</v>
      </c>
      <c r="Q704" s="106" t="s">
        <v>428</v>
      </c>
      <c r="S704" s="106" t="str" cm="1">
        <f t="array" ref="S704">IF(TRIM($D704)="","(tidak diisi)",IFERROR(INDEX(Kamus!$B$3:$B$28,MATCH(TRUE,ISNUMBER(SEARCH(Kamus!$A$3:$A$28,$D704)),0)),"Jabatan Lainnya"))</f>
        <v>Sekretaris</v>
      </c>
      <c r="T704" s="106" t="str" cm="1">
        <f t="array" ref="T704">IF(TRIM($I704)="","(tidak diisi)",IFERROR(INDEX(Kamus!$E$3:$E$162,MATCH(TRUE,ISNUMBER(SEARCH(Kamus!$D$3:$D$162,$I704)),0)),"Barang Lain / Tidak Terinci"))</f>
        <v>Barang Lain / Tidak Terinci</v>
      </c>
      <c r="U704" s="106" t="str" cm="1">
        <f t="array" ref="U704">IF(TRIM($I704)="","(tidak diisi)",IFERROR(INDEX(Kamus!$H$3:$H$75,MATCH(TRUE,ISNUMBER(SEARCH(Kamus!$G$3:$G$75,$I704)),0)),"Pemberian Umum / Tanpa Konteks"))</f>
        <v>Pemberian Umum / Tanpa Konteks</v>
      </c>
      <c r="V704" s="106" t="str">
        <f t="shared" si="30"/>
        <v>2026</v>
      </c>
      <c r="W704" s="106" t="str" cm="1">
        <f t="array" ref="W704">IF(TRIM($K704)="","(tidak diisi)",IFERROR(INDEX(Kamus!$K$3:$K$118,MATCH(TRUE,ISNUMBER(SEARCH(Kamus!$J$3:$J$118,$K704)),0)),"Individu / Perorangan"))</f>
        <v>Individu / Perorangan</v>
      </c>
      <c r="X704" s="106" t="str">
        <f t="shared" si="31"/>
        <v>02</v>
      </c>
      <c r="Y704" s="106" t="str" cm="1">
        <f t="array" ref="Y704">IFERROR(INDEX(Kamus!$N$3:$N$111,MATCH(TRUE,ISNUMBER(SEARCH(Kamus!$M$3:$M$111,$I704)),0)),"")</f>
        <v/>
      </c>
      <c r="Z704" s="106" t="str">
        <f>IF(AND(OR($X704="02",$X704="03",$X704="04"),OR($T704="Parsel/Bingkisan (tidak dirinci)",$T704="Makanan &amp; Minuman",$T704="Peralatan Rumah Tangga / Pecah Belah",$T704="Pakaian &amp; Kain")),"Momen Hari Raya (dugaan musiman)",IFERROR(VLOOKUP($W704,Kamus!$P$3:$Q$14,2,FALSE),"Tidak Teridentifikasi"))</f>
        <v>Relasi Personal / Tidak Teridentifikasi</v>
      </c>
      <c r="AA704" s="106" t="str">
        <f t="shared" si="32"/>
        <v>Relasi Personal / Tidak Teridentifikasi</v>
      </c>
    </row>
    <row r="705" spans="1:27">
      <c r="A705" s="106">
        <v>704</v>
      </c>
      <c r="B705" s="106" t="s">
        <v>4294</v>
      </c>
      <c r="C705" s="107" t="s">
        <v>4295</v>
      </c>
      <c r="D705" s="106" t="s">
        <v>1652</v>
      </c>
      <c r="E705" s="106" t="s">
        <v>2998</v>
      </c>
      <c r="G705" s="106" t="s">
        <v>1074</v>
      </c>
      <c r="L705" s="106" t="s">
        <v>4490</v>
      </c>
      <c r="O705" s="106" t="s">
        <v>274</v>
      </c>
      <c r="P705" s="106" t="s">
        <v>3003</v>
      </c>
      <c r="Q705" s="106" t="s">
        <v>430</v>
      </c>
      <c r="S705" s="106" t="str" cm="1">
        <f t="array" ref="S705">IF(TRIM($D705)="","(tidak diisi)",IFERROR(INDEX(Kamus!$B$3:$B$28,MATCH(TRUE,ISNUMBER(SEARCH(Kamus!$A$3:$A$28,$D705)),0)),"Jabatan Lainnya"))</f>
        <v>Panitera</v>
      </c>
      <c r="T705" s="106" t="str" cm="1">
        <f t="array" ref="T705">IF(TRIM($I705)="","(tidak diisi)",IFERROR(INDEX(Kamus!$E$3:$E$162,MATCH(TRUE,ISNUMBER(SEARCH(Kamus!$D$3:$D$162,$I705)),0)),"Barang Lain / Tidak Terinci"))</f>
        <v>(tidak diisi)</v>
      </c>
      <c r="U705" s="106" t="str" cm="1">
        <f t="array" ref="U705">IF(TRIM($I705)="","(tidak diisi)",IFERROR(INDEX(Kamus!$H$3:$H$75,MATCH(TRUE,ISNUMBER(SEARCH(Kamus!$G$3:$G$75,$I705)),0)),"Pemberian Umum / Tanpa Konteks"))</f>
        <v>(tidak diisi)</v>
      </c>
      <c r="V705" s="106" t="str">
        <f t="shared" si="30"/>
        <v>(tidak diisi)</v>
      </c>
      <c r="W705" s="106" t="str" cm="1">
        <f t="array" ref="W705">IF(TRIM($K705)="","(tidak diisi)",IFERROR(INDEX(Kamus!$K$3:$K$118,MATCH(TRUE,ISNUMBER(SEARCH(Kamus!$J$3:$J$118,$K705)),0)),"Individu / Perorangan"))</f>
        <v>(tidak diisi)</v>
      </c>
      <c r="X705" s="106" t="str">
        <f t="shared" si="31"/>
        <v>(tidak diisi)</v>
      </c>
      <c r="Y705" s="106" t="str" cm="1">
        <f t="array" ref="Y705">IFERROR(INDEX(Kamus!$N$3:$N$111,MATCH(TRUE,ISNUMBER(SEARCH(Kamus!$M$3:$M$111,$I705)),0)),"")</f>
        <v/>
      </c>
      <c r="Z705" s="106" t="str">
        <f>IF(AND(OR($X705="02",$X705="03",$X705="04"),OR($T705="Parsel/Bingkisan (tidak dirinci)",$T705="Makanan &amp; Minuman",$T705="Peralatan Rumah Tangga / Pecah Belah",$T705="Pakaian &amp; Kain")),"Momen Hari Raya (dugaan musiman)",IFERROR(VLOOKUP($W705,Kamus!$P$3:$Q$14,2,FALSE),"Tidak Teridentifikasi"))</f>
        <v>Tidak Teridentifikasi</v>
      </c>
      <c r="AA705" s="106" t="str">
        <f t="shared" si="32"/>
        <v>Tidak Teridentifikasi</v>
      </c>
    </row>
    <row r="706" spans="1:27">
      <c r="A706" s="106">
        <v>705</v>
      </c>
      <c r="B706" s="106" t="s">
        <v>4491</v>
      </c>
      <c r="C706" s="107" t="s">
        <v>4492</v>
      </c>
      <c r="D706" s="106" t="s">
        <v>1336</v>
      </c>
      <c r="E706" s="106" t="s">
        <v>4493</v>
      </c>
      <c r="F706" s="106" t="s">
        <v>4494</v>
      </c>
      <c r="G706" s="106" t="s">
        <v>1006</v>
      </c>
      <c r="H706" s="106" t="s">
        <v>4484</v>
      </c>
      <c r="I706" s="106" t="s">
        <v>4495</v>
      </c>
      <c r="J706" s="106">
        <v>150000</v>
      </c>
      <c r="K706" s="106" t="s">
        <v>1412</v>
      </c>
      <c r="L706" s="106" t="s">
        <v>4496</v>
      </c>
      <c r="M706" s="106" t="s">
        <v>1171</v>
      </c>
      <c r="N706" s="106" t="s">
        <v>4497</v>
      </c>
      <c r="O706" s="106" t="s">
        <v>274</v>
      </c>
      <c r="P706" s="106" t="s">
        <v>4498</v>
      </c>
      <c r="Q706" s="106" t="s">
        <v>420</v>
      </c>
      <c r="S706" s="106" t="str" cm="1">
        <f t="array" ref="S706">IF(TRIM($D706)="","(tidak diisi)",IFERROR(INDEX(Kamus!$B$3:$B$28,MATCH(TRUE,ISNUMBER(SEARCH(Kamus!$A$3:$A$28,$D706)),0)),"Jabatan Lainnya"))</f>
        <v>Panitera</v>
      </c>
      <c r="T706" s="106" t="str" cm="1">
        <f t="array" ref="T706">IF(TRIM($I706)="","(tidak diisi)",IFERROR(INDEX(Kamus!$E$3:$E$162,MATCH(TRUE,ISNUMBER(SEARCH(Kamus!$D$3:$D$162,$I706)),0)),"Barang Lain / Tidak Terinci"))</f>
        <v>Makanan &amp; Minuman</v>
      </c>
      <c r="U706" s="106" t="str" cm="1">
        <f t="array" ref="U706">IF(TRIM($I706)="","(tidak diisi)",IFERROR(INDEX(Kamus!$H$3:$H$75,MATCH(TRUE,ISNUMBER(SEARCH(Kamus!$G$3:$G$75,$I706)),0)),"Pemberian Umum / Tanpa Konteks"))</f>
        <v>Pemberian Umum / Tanpa Konteks</v>
      </c>
      <c r="V706" s="106" t="str">
        <f t="shared" si="30"/>
        <v>2026</v>
      </c>
      <c r="W706" s="106" t="str" cm="1">
        <f t="array" ref="W706">IF(TRIM($K706)="","(tidak diisi)",IFERROR(INDEX(Kamus!$K$3:$K$118,MATCH(TRUE,ISNUMBER(SEARCH(Kamus!$J$3:$J$118,$K706)),0)),"Individu / Perorangan"))</f>
        <v>Kampus &amp; Sekolah</v>
      </c>
      <c r="X706" s="106" t="str">
        <f t="shared" si="31"/>
        <v>02</v>
      </c>
      <c r="Y706" s="106" t="str" cm="1">
        <f t="array" ref="Y706">IFERROR(INDEX(Kamus!$N$3:$N$111,MATCH(TRUE,ISNUMBER(SEARCH(Kamus!$M$3:$M$111,$I706)),0)),"")</f>
        <v/>
      </c>
      <c r="Z706" s="106" t="str">
        <f>IF(AND(OR($X706="02",$X706="03",$X706="04"),OR($T706="Parsel/Bingkisan (tidak dirinci)",$T706="Makanan &amp; Minuman",$T706="Peralatan Rumah Tangga / Pecah Belah",$T706="Pakaian &amp; Kain")),"Momen Hari Raya (dugaan musiman)",IFERROR(VLOOKUP($W706,Kamus!$P$3:$Q$14,2,FALSE),"Tidak Teridentifikasi"))</f>
        <v>Momen Hari Raya (dugaan musiman)</v>
      </c>
      <c r="AA706" s="106" t="str">
        <f t="shared" si="32"/>
        <v>Momen Hari Raya (dugaan musiman)</v>
      </c>
    </row>
    <row r="707" spans="1:27">
      <c r="A707" s="106">
        <v>706</v>
      </c>
      <c r="B707" s="106" t="s">
        <v>4491</v>
      </c>
      <c r="C707" s="107" t="s">
        <v>4492</v>
      </c>
      <c r="D707" s="106" t="s">
        <v>1336</v>
      </c>
      <c r="E707" s="106" t="s">
        <v>4493</v>
      </c>
      <c r="F707" s="106" t="s">
        <v>4494</v>
      </c>
      <c r="G707" s="106" t="s">
        <v>1006</v>
      </c>
      <c r="H707" s="106" t="s">
        <v>4499</v>
      </c>
      <c r="I707" s="106" t="s">
        <v>4500</v>
      </c>
      <c r="J707" s="106">
        <v>200000</v>
      </c>
      <c r="K707" s="106" t="s">
        <v>4501</v>
      </c>
      <c r="L707" s="106" t="s">
        <v>4496</v>
      </c>
      <c r="M707" s="106" t="s">
        <v>2529</v>
      </c>
      <c r="N707" s="106" t="s">
        <v>4497</v>
      </c>
      <c r="O707" s="106" t="s">
        <v>274</v>
      </c>
      <c r="P707" s="106" t="s">
        <v>4498</v>
      </c>
      <c r="Q707" s="106" t="s">
        <v>420</v>
      </c>
      <c r="S707" s="106" t="str" cm="1">
        <f t="array" ref="S707">IF(TRIM($D707)="","(tidak diisi)",IFERROR(INDEX(Kamus!$B$3:$B$28,MATCH(TRUE,ISNUMBER(SEARCH(Kamus!$A$3:$A$28,$D707)),0)),"Jabatan Lainnya"))</f>
        <v>Panitera</v>
      </c>
      <c r="T707" s="106" t="str" cm="1">
        <f t="array" ref="T707">IF(TRIM($I707)="","(tidak diisi)",IFERROR(INDEX(Kamus!$E$3:$E$162,MATCH(TRUE,ISNUMBER(SEARCH(Kamus!$D$3:$D$162,$I707)),0)),"Barang Lain / Tidak Terinci"))</f>
        <v>Barang Lain / Tidak Terinci</v>
      </c>
      <c r="U707" s="106" t="str" cm="1">
        <f t="array" ref="U707">IF(TRIM($I707)="","(tidak diisi)",IFERROR(INDEX(Kamus!$H$3:$H$75,MATCH(TRUE,ISNUMBER(SEARCH(Kamus!$G$3:$G$75,$I707)),0)),"Pemberian Umum / Tanpa Konteks"))</f>
        <v>Pemberian Umum / Tanpa Konteks</v>
      </c>
      <c r="V707" s="106" t="str">
        <f t="shared" ref="V707:V770" si="33">IF($H707="","(tidak diisi)",IF(ISNUMBER($H707),TEXT(YEAR($H707),"0"),LEFT($H707,4)))</f>
        <v>2026</v>
      </c>
      <c r="W707" s="106" t="str" cm="1">
        <f t="array" ref="W707">IF(TRIM($K707)="","(tidak diisi)",IFERROR(INDEX(Kamus!$K$3:$K$118,MATCH(TRUE,ISNUMBER(SEARCH(Kamus!$J$3:$J$118,$K707)),0)),"Individu / Perorangan"))</f>
        <v>Individu / Perorangan</v>
      </c>
      <c r="X707" s="106" t="str">
        <f t="shared" ref="X707:X770" si="34">IF($H707="","(tidak diisi)",IF(ISNUMBER($H707),TEXT(MONTH($H707),"00"),MID($H707,6,2)))</f>
        <v>01</v>
      </c>
      <c r="Y707" s="106" t="str" cm="1">
        <f t="array" ref="Y707">IFERROR(INDEX(Kamus!$N$3:$N$111,MATCH(TRUE,ISNUMBER(SEARCH(Kamus!$M$3:$M$111,$I707)),0)),"")</f>
        <v/>
      </c>
      <c r="Z707" s="106" t="str">
        <f>IF(AND(OR($X707="02",$X707="03",$X707="04"),OR($T707="Parsel/Bingkisan (tidak dirinci)",$T707="Makanan &amp; Minuman",$T707="Peralatan Rumah Tangga / Pecah Belah",$T707="Pakaian &amp; Kain")),"Momen Hari Raya (dugaan musiman)",IFERROR(VLOOKUP($W707,Kamus!$P$3:$Q$14,2,FALSE),"Tidak Teridentifikasi"))</f>
        <v>Relasi Personal / Tidak Teridentifikasi</v>
      </c>
      <c r="AA707" s="106" t="str">
        <f t="shared" ref="AA707:AA770" si="35">IF($Y707="",$Z707,$Y707)</f>
        <v>Relasi Personal / Tidak Teridentifikasi</v>
      </c>
    </row>
    <row r="708" spans="1:27">
      <c r="A708" s="106">
        <v>707</v>
      </c>
      <c r="B708" s="106" t="s">
        <v>3011</v>
      </c>
      <c r="C708" s="107" t="s">
        <v>3012</v>
      </c>
      <c r="D708" s="106" t="s">
        <v>3013</v>
      </c>
      <c r="E708" s="106" t="s">
        <v>2998</v>
      </c>
      <c r="F708" s="106" t="s">
        <v>4502</v>
      </c>
      <c r="G708" s="106" t="s">
        <v>1006</v>
      </c>
      <c r="H708" s="106" t="s">
        <v>4503</v>
      </c>
      <c r="I708" s="106" t="s">
        <v>1017</v>
      </c>
      <c r="J708" s="106">
        <v>200000</v>
      </c>
      <c r="K708" s="106" t="s">
        <v>4504</v>
      </c>
      <c r="L708" s="106" t="s">
        <v>4505</v>
      </c>
      <c r="M708" s="106" t="s">
        <v>1171</v>
      </c>
      <c r="N708" s="106" t="s">
        <v>4506</v>
      </c>
      <c r="O708" s="106" t="s">
        <v>274</v>
      </c>
      <c r="P708" s="106" t="s">
        <v>3003</v>
      </c>
      <c r="Q708" s="106" t="s">
        <v>430</v>
      </c>
      <c r="S708" s="106" t="str" cm="1">
        <f t="array" ref="S708">IF(TRIM($D708)="","(tidak diisi)",IFERROR(INDEX(Kamus!$B$3:$B$28,MATCH(TRUE,ISNUMBER(SEARCH(Kamus!$A$3:$A$28,$D708)),0)),"Jabatan Lainnya"))</f>
        <v>Jabatan Lainnya</v>
      </c>
      <c r="T708" s="106" t="str" cm="1">
        <f t="array" ref="T708">IF(TRIM($I708)="","(tidak diisi)",IFERROR(INDEX(Kamus!$E$3:$E$162,MATCH(TRUE,ISNUMBER(SEARCH(Kamus!$D$3:$D$162,$I708)),0)),"Barang Lain / Tidak Terinci"))</f>
        <v>Uang &amp; Setara Uang</v>
      </c>
      <c r="U708" s="106" t="str" cm="1">
        <f t="array" ref="U708">IF(TRIM($I708)="","(tidak diisi)",IFERROR(INDEX(Kamus!$H$3:$H$75,MATCH(TRUE,ISNUMBER(SEARCH(Kamus!$G$3:$G$75,$I708)),0)),"Pemberian Umum / Tanpa Konteks"))</f>
        <v>Pemberian Uang Langsung</v>
      </c>
      <c r="V708" s="106" t="str">
        <f t="shared" si="33"/>
        <v>2026</v>
      </c>
      <c r="W708" s="106" t="str" cm="1">
        <f t="array" ref="W708">IF(TRIM($K708)="","(tidak diisi)",IFERROR(INDEX(Kamus!$K$3:$K$118,MATCH(TRUE,ISNUMBER(SEARCH(Kamus!$J$3:$J$118,$K708)),0)),"Individu / Perorangan"))</f>
        <v>Individu / Perorangan</v>
      </c>
      <c r="X708" s="106" t="str">
        <f t="shared" si="34"/>
        <v>02</v>
      </c>
      <c r="Y708" s="106" t="str" cm="1">
        <f t="array" ref="Y708">IFERROR(INDEX(Kamus!$N$3:$N$111,MATCH(TRUE,ISNUMBER(SEARCH(Kamus!$M$3:$M$111,$I708)),0)),"")</f>
        <v/>
      </c>
      <c r="Z708" s="106" t="str">
        <f>IF(AND(OR($X708="02",$X708="03",$X708="04"),OR($T708="Parsel/Bingkisan (tidak dirinci)",$T708="Makanan &amp; Minuman",$T708="Peralatan Rumah Tangga / Pecah Belah",$T708="Pakaian &amp; Kain")),"Momen Hari Raya (dugaan musiman)",IFERROR(VLOOKUP($W708,Kamus!$P$3:$Q$14,2,FALSE),"Tidak Teridentifikasi"))</f>
        <v>Relasi Personal / Tidak Teridentifikasi</v>
      </c>
      <c r="AA708" s="106" t="str">
        <f t="shared" si="35"/>
        <v>Relasi Personal / Tidak Teridentifikasi</v>
      </c>
    </row>
    <row r="709" spans="1:27">
      <c r="A709" s="106">
        <v>708</v>
      </c>
      <c r="B709" s="106" t="s">
        <v>1562</v>
      </c>
      <c r="C709" s="107" t="s">
        <v>1563</v>
      </c>
      <c r="D709" s="106" t="s">
        <v>1564</v>
      </c>
      <c r="E709" s="106" t="s">
        <v>1166</v>
      </c>
      <c r="F709" s="106" t="s">
        <v>4507</v>
      </c>
      <c r="G709" s="106" t="s">
        <v>1006</v>
      </c>
      <c r="H709" s="106" t="s">
        <v>4484</v>
      </c>
      <c r="I709" s="106" t="s">
        <v>1457</v>
      </c>
      <c r="K709" s="106" t="s">
        <v>4508</v>
      </c>
      <c r="L709" s="106" t="s">
        <v>4509</v>
      </c>
      <c r="O709" s="106" t="s">
        <v>274</v>
      </c>
      <c r="P709" s="106" t="s">
        <v>1173</v>
      </c>
      <c r="Q709" s="106" t="s">
        <v>431</v>
      </c>
      <c r="S709" s="106" t="str" cm="1">
        <f t="array" ref="S709">IF(TRIM($D709)="","(tidak diisi)",IFERROR(INDEX(Kamus!$B$3:$B$28,MATCH(TRUE,ISNUMBER(SEARCH(Kamus!$A$3:$A$28,$D709)),0)),"Jabatan Lainnya"))</f>
        <v>Pejabat Struktural (Kasubbag/Kabag)</v>
      </c>
      <c r="T709" s="106" t="str" cm="1">
        <f t="array" ref="T709">IF(TRIM($I709)="","(tidak diisi)",IFERROR(INDEX(Kamus!$E$3:$E$162,MATCH(TRUE,ISNUMBER(SEARCH(Kamus!$D$3:$D$162,$I709)),0)),"Barang Lain / Tidak Terinci"))</f>
        <v>Makanan &amp; Minuman</v>
      </c>
      <c r="U709" s="106" t="str" cm="1">
        <f t="array" ref="U709">IF(TRIM($I709)="","(tidak diisi)",IFERROR(INDEX(Kamus!$H$3:$H$75,MATCH(TRUE,ISNUMBER(SEARCH(Kamus!$G$3:$G$75,$I709)),0)),"Pemberian Umum / Tanpa Konteks"))</f>
        <v>Paket Sembako</v>
      </c>
      <c r="V709" s="106" t="str">
        <f t="shared" si="33"/>
        <v>2026</v>
      </c>
      <c r="W709" s="106" t="str" cm="1">
        <f t="array" ref="W709">IF(TRIM($K709)="","(tidak diisi)",IFERROR(INDEX(Kamus!$K$3:$K$118,MATCH(TRUE,ISNUMBER(SEARCH(Kamus!$J$3:$J$118,$K709)),0)),"Individu / Perorangan"))</f>
        <v>Bank &amp; Lembaga Keuangan</v>
      </c>
      <c r="X709" s="106" t="str">
        <f t="shared" si="34"/>
        <v>02</v>
      </c>
      <c r="Y709" s="106" t="str" cm="1">
        <f t="array" ref="Y709">IFERROR(INDEX(Kamus!$N$3:$N$111,MATCH(TRUE,ISNUMBER(SEARCH(Kamus!$M$3:$M$111,$I709)),0)),"")</f>
        <v>Kegiatan Sosial / Bantuan (Paket Sembako)</v>
      </c>
      <c r="Z709" s="106" t="str">
        <f>IF(AND(OR($X709="02",$X709="03",$X709="04"),OR($T709="Parsel/Bingkisan (tidak dirinci)",$T709="Makanan &amp; Minuman",$T709="Peralatan Rumah Tangga / Pecah Belah",$T709="Pakaian &amp; Kain")),"Momen Hari Raya (dugaan musiman)",IFERROR(VLOOKUP($W709,Kamus!$P$3:$Q$14,2,FALSE),"Tidak Teridentifikasi"))</f>
        <v>Momen Hari Raya (dugaan musiman)</v>
      </c>
      <c r="AA709" s="106" t="str">
        <f t="shared" si="35"/>
        <v>Kegiatan Sosial / Bantuan (Paket Sembako)</v>
      </c>
    </row>
    <row r="710" spans="1:27">
      <c r="A710" s="106">
        <v>709</v>
      </c>
      <c r="B710" s="106" t="s">
        <v>1505</v>
      </c>
      <c r="C710" s="107" t="s">
        <v>1506</v>
      </c>
      <c r="D710" s="106" t="s">
        <v>1507</v>
      </c>
      <c r="E710" s="106" t="s">
        <v>1166</v>
      </c>
      <c r="F710" s="106" t="s">
        <v>4510</v>
      </c>
      <c r="G710" s="106" t="s">
        <v>1006</v>
      </c>
      <c r="H710" s="106" t="s">
        <v>4484</v>
      </c>
      <c r="I710" s="106" t="s">
        <v>4511</v>
      </c>
      <c r="K710" s="106" t="s">
        <v>1503</v>
      </c>
      <c r="L710" s="106" t="s">
        <v>4512</v>
      </c>
      <c r="O710" s="106" t="s">
        <v>274</v>
      </c>
      <c r="P710" s="106" t="s">
        <v>1173</v>
      </c>
      <c r="Q710" s="106" t="s">
        <v>431</v>
      </c>
      <c r="S710" s="106" t="str" cm="1">
        <f t="array" ref="S710">IF(TRIM($D710)="","(tidak diisi)",IFERROR(INDEX(Kamus!$B$3:$B$28,MATCH(TRUE,ISNUMBER(SEARCH(Kamus!$A$3:$A$28,$D710)),0)),"Jabatan Lainnya"))</f>
        <v>Wakil Ketua Pengadilan</v>
      </c>
      <c r="T710" s="106" t="str" cm="1">
        <f t="array" ref="T710">IF(TRIM($I710)="","(tidak diisi)",IFERROR(INDEX(Kamus!$E$3:$E$162,MATCH(TRUE,ISNUMBER(SEARCH(Kamus!$D$3:$D$162,$I710)),0)),"Barang Lain / Tidak Terinci"))</f>
        <v>Makanan &amp; Minuman</v>
      </c>
      <c r="U710" s="106" t="str" cm="1">
        <f t="array" ref="U710">IF(TRIM($I710)="","(tidak diisi)",IFERROR(INDEX(Kamus!$H$3:$H$75,MATCH(TRUE,ISNUMBER(SEARCH(Kamus!$G$3:$G$75,$I710)),0)),"Pemberian Umum / Tanpa Konteks"))</f>
        <v>Paket Sembako</v>
      </c>
      <c r="V710" s="106" t="str">
        <f t="shared" si="33"/>
        <v>2026</v>
      </c>
      <c r="W710" s="106" t="str" cm="1">
        <f t="array" ref="W710">IF(TRIM($K710)="","(tidak diisi)",IFERROR(INDEX(Kamus!$K$3:$K$118,MATCH(TRUE,ISNUMBER(SEARCH(Kamus!$J$3:$J$118,$K710)),0)),"Individu / Perorangan"))</f>
        <v>Bank &amp; Lembaga Keuangan</v>
      </c>
      <c r="X710" s="106" t="str">
        <f t="shared" si="34"/>
        <v>02</v>
      </c>
      <c r="Y710" s="106" t="str" cm="1">
        <f t="array" ref="Y710">IFERROR(INDEX(Kamus!$N$3:$N$111,MATCH(TRUE,ISNUMBER(SEARCH(Kamus!$M$3:$M$111,$I710)),0)),"")</f>
        <v>Kegiatan Sosial / Bantuan (Paket Sembako)</v>
      </c>
      <c r="Z710" s="106" t="str">
        <f>IF(AND(OR($X710="02",$X710="03",$X710="04"),OR($T710="Parsel/Bingkisan (tidak dirinci)",$T710="Makanan &amp; Minuman",$T710="Peralatan Rumah Tangga / Pecah Belah",$T710="Pakaian &amp; Kain")),"Momen Hari Raya (dugaan musiman)",IFERROR(VLOOKUP($W710,Kamus!$P$3:$Q$14,2,FALSE),"Tidak Teridentifikasi"))</f>
        <v>Momen Hari Raya (dugaan musiman)</v>
      </c>
      <c r="AA710" s="106" t="str">
        <f t="shared" si="35"/>
        <v>Kegiatan Sosial / Bantuan (Paket Sembako)</v>
      </c>
    </row>
    <row r="711" spans="1:27">
      <c r="A711" s="106">
        <v>710</v>
      </c>
      <c r="B711" s="106" t="s">
        <v>4513</v>
      </c>
      <c r="C711" s="107" t="s">
        <v>4514</v>
      </c>
      <c r="D711" s="106" t="s">
        <v>4515</v>
      </c>
      <c r="E711" s="106" t="s">
        <v>1166</v>
      </c>
      <c r="F711" s="106" t="s">
        <v>4516</v>
      </c>
      <c r="G711" s="106" t="s">
        <v>1006</v>
      </c>
      <c r="H711" s="106" t="s">
        <v>4484</v>
      </c>
      <c r="I711" s="106" t="s">
        <v>4511</v>
      </c>
      <c r="K711" s="106" t="s">
        <v>4517</v>
      </c>
      <c r="L711" s="106" t="s">
        <v>4518</v>
      </c>
      <c r="O711" s="106" t="s">
        <v>274</v>
      </c>
      <c r="P711" s="106" t="s">
        <v>1173</v>
      </c>
      <c r="Q711" s="106" t="s">
        <v>431</v>
      </c>
      <c r="S711" s="106" t="str" cm="1">
        <f t="array" ref="S711">IF(TRIM($D711)="","(tidak diisi)",IFERROR(INDEX(Kamus!$B$3:$B$28,MATCH(TRUE,ISNUMBER(SEARCH(Kamus!$A$3:$A$28,$D711)),0)),"Jabatan Lainnya"))</f>
        <v>Staf/Pegawai Pelaksana</v>
      </c>
      <c r="T711" s="106" t="str" cm="1">
        <f t="array" ref="T711">IF(TRIM($I711)="","(tidak diisi)",IFERROR(INDEX(Kamus!$E$3:$E$162,MATCH(TRUE,ISNUMBER(SEARCH(Kamus!$D$3:$D$162,$I711)),0)),"Barang Lain / Tidak Terinci"))</f>
        <v>Makanan &amp; Minuman</v>
      </c>
      <c r="U711" s="106" t="str" cm="1">
        <f t="array" ref="U711">IF(TRIM($I711)="","(tidak diisi)",IFERROR(INDEX(Kamus!$H$3:$H$75,MATCH(TRUE,ISNUMBER(SEARCH(Kamus!$G$3:$G$75,$I711)),0)),"Pemberian Umum / Tanpa Konteks"))</f>
        <v>Paket Sembako</v>
      </c>
      <c r="V711" s="106" t="str">
        <f t="shared" si="33"/>
        <v>2026</v>
      </c>
      <c r="W711" s="106" t="str" cm="1">
        <f t="array" ref="W711">IF(TRIM($K711)="","(tidak diisi)",IFERROR(INDEX(Kamus!$K$3:$K$118,MATCH(TRUE,ISNUMBER(SEARCH(Kamus!$J$3:$J$118,$K711)),0)),"Individu / Perorangan"))</f>
        <v>Bank &amp; Lembaga Keuangan</v>
      </c>
      <c r="X711" s="106" t="str">
        <f t="shared" si="34"/>
        <v>02</v>
      </c>
      <c r="Y711" s="106" t="str" cm="1">
        <f t="array" ref="Y711">IFERROR(INDEX(Kamus!$N$3:$N$111,MATCH(TRUE,ISNUMBER(SEARCH(Kamus!$M$3:$M$111,$I711)),0)),"")</f>
        <v>Kegiatan Sosial / Bantuan (Paket Sembako)</v>
      </c>
      <c r="Z711" s="106" t="str">
        <f>IF(AND(OR($X711="02",$X711="03",$X711="04"),OR($T711="Parsel/Bingkisan (tidak dirinci)",$T711="Makanan &amp; Minuman",$T711="Peralatan Rumah Tangga / Pecah Belah",$T711="Pakaian &amp; Kain")),"Momen Hari Raya (dugaan musiman)",IFERROR(VLOOKUP($W711,Kamus!$P$3:$Q$14,2,FALSE),"Tidak Teridentifikasi"))</f>
        <v>Momen Hari Raya (dugaan musiman)</v>
      </c>
      <c r="AA711" s="106" t="str">
        <f t="shared" si="35"/>
        <v>Kegiatan Sosial / Bantuan (Paket Sembako)</v>
      </c>
    </row>
    <row r="712" spans="1:27">
      <c r="A712" s="106">
        <v>711</v>
      </c>
      <c r="B712" s="106" t="s">
        <v>1496</v>
      </c>
      <c r="C712" s="107" t="s">
        <v>1497</v>
      </c>
      <c r="D712" s="106" t="s">
        <v>1498</v>
      </c>
      <c r="E712" s="106" t="s">
        <v>1166</v>
      </c>
      <c r="F712" s="106" t="s">
        <v>4519</v>
      </c>
      <c r="G712" s="106" t="s">
        <v>1006</v>
      </c>
      <c r="H712" s="106" t="s">
        <v>4484</v>
      </c>
      <c r="I712" s="106" t="s">
        <v>4511</v>
      </c>
      <c r="K712" s="106" t="s">
        <v>1503</v>
      </c>
      <c r="L712" s="106" t="s">
        <v>4520</v>
      </c>
      <c r="O712" s="106" t="s">
        <v>274</v>
      </c>
      <c r="P712" s="106" t="s">
        <v>1173</v>
      </c>
      <c r="Q712" s="106" t="s">
        <v>431</v>
      </c>
      <c r="S712" s="106" t="str" cm="1">
        <f t="array" ref="S712">IF(TRIM($D712)="","(tidak diisi)",IFERROR(INDEX(Kamus!$B$3:$B$28,MATCH(TRUE,ISNUMBER(SEARCH(Kamus!$A$3:$A$28,$D712)),0)),"Jabatan Lainnya"))</f>
        <v>Staf/Pegawai Pelaksana</v>
      </c>
      <c r="T712" s="106" t="str" cm="1">
        <f t="array" ref="T712">IF(TRIM($I712)="","(tidak diisi)",IFERROR(INDEX(Kamus!$E$3:$E$162,MATCH(TRUE,ISNUMBER(SEARCH(Kamus!$D$3:$D$162,$I712)),0)),"Barang Lain / Tidak Terinci"))</f>
        <v>Makanan &amp; Minuman</v>
      </c>
      <c r="U712" s="106" t="str" cm="1">
        <f t="array" ref="U712">IF(TRIM($I712)="","(tidak diisi)",IFERROR(INDEX(Kamus!$H$3:$H$75,MATCH(TRUE,ISNUMBER(SEARCH(Kamus!$G$3:$G$75,$I712)),0)),"Pemberian Umum / Tanpa Konteks"))</f>
        <v>Paket Sembako</v>
      </c>
      <c r="V712" s="106" t="str">
        <f t="shared" si="33"/>
        <v>2026</v>
      </c>
      <c r="W712" s="106" t="str" cm="1">
        <f t="array" ref="W712">IF(TRIM($K712)="","(tidak diisi)",IFERROR(INDEX(Kamus!$K$3:$K$118,MATCH(TRUE,ISNUMBER(SEARCH(Kamus!$J$3:$J$118,$K712)),0)),"Individu / Perorangan"))</f>
        <v>Bank &amp; Lembaga Keuangan</v>
      </c>
      <c r="X712" s="106" t="str">
        <f t="shared" si="34"/>
        <v>02</v>
      </c>
      <c r="Y712" s="106" t="str" cm="1">
        <f t="array" ref="Y712">IFERROR(INDEX(Kamus!$N$3:$N$111,MATCH(TRUE,ISNUMBER(SEARCH(Kamus!$M$3:$M$111,$I712)),0)),"")</f>
        <v>Kegiatan Sosial / Bantuan (Paket Sembako)</v>
      </c>
      <c r="Z712" s="106" t="str">
        <f>IF(AND(OR($X712="02",$X712="03",$X712="04"),OR($T712="Parsel/Bingkisan (tidak dirinci)",$T712="Makanan &amp; Minuman",$T712="Peralatan Rumah Tangga / Pecah Belah",$T712="Pakaian &amp; Kain")),"Momen Hari Raya (dugaan musiman)",IFERROR(VLOOKUP($W712,Kamus!$P$3:$Q$14,2,FALSE),"Tidak Teridentifikasi"))</f>
        <v>Momen Hari Raya (dugaan musiman)</v>
      </c>
      <c r="AA712" s="106" t="str">
        <f t="shared" si="35"/>
        <v>Kegiatan Sosial / Bantuan (Paket Sembako)</v>
      </c>
    </row>
    <row r="713" spans="1:27">
      <c r="A713" s="106">
        <v>712</v>
      </c>
      <c r="B713" s="106" t="s">
        <v>4521</v>
      </c>
      <c r="C713" s="107" t="s">
        <v>4522</v>
      </c>
      <c r="D713" s="106" t="s">
        <v>4523</v>
      </c>
      <c r="E713" s="106" t="s">
        <v>1166</v>
      </c>
      <c r="F713" s="106" t="s">
        <v>4524</v>
      </c>
      <c r="G713" s="106" t="s">
        <v>1006</v>
      </c>
      <c r="H713" s="106" t="s">
        <v>4484</v>
      </c>
      <c r="I713" s="106" t="s">
        <v>1457</v>
      </c>
      <c r="K713" s="106" t="s">
        <v>1503</v>
      </c>
      <c r="L713" s="106" t="s">
        <v>4525</v>
      </c>
      <c r="O713" s="106" t="s">
        <v>274</v>
      </c>
      <c r="P713" s="106" t="s">
        <v>1173</v>
      </c>
      <c r="Q713" s="106" t="s">
        <v>431</v>
      </c>
      <c r="S713" s="106" t="str" cm="1">
        <f t="array" ref="S713">IF(TRIM($D713)="","(tidak diisi)",IFERROR(INDEX(Kamus!$B$3:$B$28,MATCH(TRUE,ISNUMBER(SEARCH(Kamus!$A$3:$A$28,$D713)),0)),"Jabatan Lainnya"))</f>
        <v>Jabatan Lainnya</v>
      </c>
      <c r="T713" s="106" t="str" cm="1">
        <f t="array" ref="T713">IF(TRIM($I713)="","(tidak diisi)",IFERROR(INDEX(Kamus!$E$3:$E$162,MATCH(TRUE,ISNUMBER(SEARCH(Kamus!$D$3:$D$162,$I713)),0)),"Barang Lain / Tidak Terinci"))</f>
        <v>Makanan &amp; Minuman</v>
      </c>
      <c r="U713" s="106" t="str" cm="1">
        <f t="array" ref="U713">IF(TRIM($I713)="","(tidak diisi)",IFERROR(INDEX(Kamus!$H$3:$H$75,MATCH(TRUE,ISNUMBER(SEARCH(Kamus!$G$3:$G$75,$I713)),0)),"Pemberian Umum / Tanpa Konteks"))</f>
        <v>Paket Sembako</v>
      </c>
      <c r="V713" s="106" t="str">
        <f t="shared" si="33"/>
        <v>2026</v>
      </c>
      <c r="W713" s="106" t="str" cm="1">
        <f t="array" ref="W713">IF(TRIM($K713)="","(tidak diisi)",IFERROR(INDEX(Kamus!$K$3:$K$118,MATCH(TRUE,ISNUMBER(SEARCH(Kamus!$J$3:$J$118,$K713)),0)),"Individu / Perorangan"))</f>
        <v>Bank &amp; Lembaga Keuangan</v>
      </c>
      <c r="X713" s="106" t="str">
        <f t="shared" si="34"/>
        <v>02</v>
      </c>
      <c r="Y713" s="106" t="str" cm="1">
        <f t="array" ref="Y713">IFERROR(INDEX(Kamus!$N$3:$N$111,MATCH(TRUE,ISNUMBER(SEARCH(Kamus!$M$3:$M$111,$I713)),0)),"")</f>
        <v>Kegiatan Sosial / Bantuan (Paket Sembako)</v>
      </c>
      <c r="Z713" s="106" t="str">
        <f>IF(AND(OR($X713="02",$X713="03",$X713="04"),OR($T713="Parsel/Bingkisan (tidak dirinci)",$T713="Makanan &amp; Minuman",$T713="Peralatan Rumah Tangga / Pecah Belah",$T713="Pakaian &amp; Kain")),"Momen Hari Raya (dugaan musiman)",IFERROR(VLOOKUP($W713,Kamus!$P$3:$Q$14,2,FALSE),"Tidak Teridentifikasi"))</f>
        <v>Momen Hari Raya (dugaan musiman)</v>
      </c>
      <c r="AA713" s="106" t="str">
        <f t="shared" si="35"/>
        <v>Kegiatan Sosial / Bantuan (Paket Sembako)</v>
      </c>
    </row>
    <row r="714" spans="1:27">
      <c r="A714" s="106">
        <v>713</v>
      </c>
      <c r="B714" s="106" t="s">
        <v>1430</v>
      </c>
      <c r="C714" s="107" t="s">
        <v>1431</v>
      </c>
      <c r="D714" s="106" t="s">
        <v>1432</v>
      </c>
      <c r="E714" s="106" t="s">
        <v>1166</v>
      </c>
      <c r="F714" s="106" t="s">
        <v>4526</v>
      </c>
      <c r="G714" s="106" t="s">
        <v>1006</v>
      </c>
      <c r="H714" s="106" t="s">
        <v>4484</v>
      </c>
      <c r="I714" s="106" t="s">
        <v>4511</v>
      </c>
      <c r="K714" s="106" t="s">
        <v>4527</v>
      </c>
      <c r="L714" s="106" t="s">
        <v>4528</v>
      </c>
      <c r="O714" s="106" t="s">
        <v>274</v>
      </c>
      <c r="P714" s="106" t="s">
        <v>1173</v>
      </c>
      <c r="Q714" s="106" t="s">
        <v>431</v>
      </c>
      <c r="S714" s="106" t="str" cm="1">
        <f t="array" ref="S714">IF(TRIM($D714)="","(tidak diisi)",IFERROR(INDEX(Kamus!$B$3:$B$28,MATCH(TRUE,ISNUMBER(SEARCH(Kamus!$A$3:$A$28,$D714)),0)),"Jabatan Lainnya"))</f>
        <v>Hakim</v>
      </c>
      <c r="T714" s="106" t="str" cm="1">
        <f t="array" ref="T714">IF(TRIM($I714)="","(tidak diisi)",IFERROR(INDEX(Kamus!$E$3:$E$162,MATCH(TRUE,ISNUMBER(SEARCH(Kamus!$D$3:$D$162,$I714)),0)),"Barang Lain / Tidak Terinci"))</f>
        <v>Makanan &amp; Minuman</v>
      </c>
      <c r="U714" s="106" t="str" cm="1">
        <f t="array" ref="U714">IF(TRIM($I714)="","(tidak diisi)",IFERROR(INDEX(Kamus!$H$3:$H$75,MATCH(TRUE,ISNUMBER(SEARCH(Kamus!$G$3:$G$75,$I714)),0)),"Pemberian Umum / Tanpa Konteks"))</f>
        <v>Paket Sembako</v>
      </c>
      <c r="V714" s="106" t="str">
        <f t="shared" si="33"/>
        <v>2026</v>
      </c>
      <c r="W714" s="106" t="str" cm="1">
        <f t="array" ref="W714">IF(TRIM($K714)="","(tidak diisi)",IFERROR(INDEX(Kamus!$K$3:$K$118,MATCH(TRUE,ISNUMBER(SEARCH(Kamus!$J$3:$J$118,$K714)),0)),"Individu / Perorangan"))</f>
        <v>Internal Peradilan / Instansi Sendiri</v>
      </c>
      <c r="X714" s="106" t="str">
        <f t="shared" si="34"/>
        <v>02</v>
      </c>
      <c r="Y714" s="106" t="str" cm="1">
        <f t="array" ref="Y714">IFERROR(INDEX(Kamus!$N$3:$N$111,MATCH(TRUE,ISNUMBER(SEARCH(Kamus!$M$3:$M$111,$I714)),0)),"")</f>
        <v>Kegiatan Sosial / Bantuan (Paket Sembako)</v>
      </c>
      <c r="Z714" s="106" t="str">
        <f>IF(AND(OR($X714="02",$X714="03",$X714="04"),OR($T714="Parsel/Bingkisan (tidak dirinci)",$T714="Makanan &amp; Minuman",$T714="Peralatan Rumah Tangga / Pecah Belah",$T714="Pakaian &amp; Kain")),"Momen Hari Raya (dugaan musiman)",IFERROR(VLOOKUP($W714,Kamus!$P$3:$Q$14,2,FALSE),"Tidak Teridentifikasi"))</f>
        <v>Momen Hari Raya (dugaan musiman)</v>
      </c>
      <c r="AA714" s="106" t="str">
        <f t="shared" si="35"/>
        <v>Kegiatan Sosial / Bantuan (Paket Sembako)</v>
      </c>
    </row>
    <row r="715" spans="1:27">
      <c r="A715" s="106">
        <v>714</v>
      </c>
      <c r="B715" s="106" t="s">
        <v>1594</v>
      </c>
      <c r="C715" s="107" t="s">
        <v>1595</v>
      </c>
      <c r="D715" s="106" t="s">
        <v>1208</v>
      </c>
      <c r="E715" s="106" t="s">
        <v>1166</v>
      </c>
      <c r="G715" s="106" t="s">
        <v>1006</v>
      </c>
      <c r="L715" s="106" t="s">
        <v>4529</v>
      </c>
      <c r="O715" s="106" t="s">
        <v>274</v>
      </c>
      <c r="P715" s="106" t="s">
        <v>1173</v>
      </c>
      <c r="Q715" s="106" t="s">
        <v>431</v>
      </c>
      <c r="S715" s="106" t="str" cm="1">
        <f t="array" ref="S715">IF(TRIM($D715)="","(tidak diisi)",IFERROR(INDEX(Kamus!$B$3:$B$28,MATCH(TRUE,ISNUMBER(SEARCH(Kamus!$A$3:$A$28,$D715)),0)),"Jabatan Lainnya"))</f>
        <v>Staf/Pegawai Pelaksana</v>
      </c>
      <c r="T715" s="106" t="str" cm="1">
        <f t="array" ref="T715">IF(TRIM($I715)="","(tidak diisi)",IFERROR(INDEX(Kamus!$E$3:$E$162,MATCH(TRUE,ISNUMBER(SEARCH(Kamus!$D$3:$D$162,$I715)),0)),"Barang Lain / Tidak Terinci"))</f>
        <v>(tidak diisi)</v>
      </c>
      <c r="U715" s="106" t="str" cm="1">
        <f t="array" ref="U715">IF(TRIM($I715)="","(tidak diisi)",IFERROR(INDEX(Kamus!$H$3:$H$75,MATCH(TRUE,ISNUMBER(SEARCH(Kamus!$G$3:$G$75,$I715)),0)),"Pemberian Umum / Tanpa Konteks"))</f>
        <v>(tidak diisi)</v>
      </c>
      <c r="V715" s="106" t="str">
        <f t="shared" si="33"/>
        <v>(tidak diisi)</v>
      </c>
      <c r="W715" s="106" t="str" cm="1">
        <f t="array" ref="W715">IF(TRIM($K715)="","(tidak diisi)",IFERROR(INDEX(Kamus!$K$3:$K$118,MATCH(TRUE,ISNUMBER(SEARCH(Kamus!$J$3:$J$118,$K715)),0)),"Individu / Perorangan"))</f>
        <v>(tidak diisi)</v>
      </c>
      <c r="X715" s="106" t="str">
        <f t="shared" si="34"/>
        <v>(tidak diisi)</v>
      </c>
      <c r="Y715" s="106" t="str" cm="1">
        <f t="array" ref="Y715">IFERROR(INDEX(Kamus!$N$3:$N$111,MATCH(TRUE,ISNUMBER(SEARCH(Kamus!$M$3:$M$111,$I715)),0)),"")</f>
        <v/>
      </c>
      <c r="Z715" s="106" t="str">
        <f>IF(AND(OR($X715="02",$X715="03",$X715="04"),OR($T715="Parsel/Bingkisan (tidak dirinci)",$T715="Makanan &amp; Minuman",$T715="Peralatan Rumah Tangga / Pecah Belah",$T715="Pakaian &amp; Kain")),"Momen Hari Raya (dugaan musiman)",IFERROR(VLOOKUP($W715,Kamus!$P$3:$Q$14,2,FALSE),"Tidak Teridentifikasi"))</f>
        <v>Tidak Teridentifikasi</v>
      </c>
      <c r="AA715" s="106" t="str">
        <f t="shared" si="35"/>
        <v>Tidak Teridentifikasi</v>
      </c>
    </row>
    <row r="716" spans="1:27">
      <c r="A716" s="106">
        <v>715</v>
      </c>
      <c r="B716" s="106" t="s">
        <v>1569</v>
      </c>
      <c r="C716" s="107" t="s">
        <v>1570</v>
      </c>
      <c r="D716" s="106" t="s">
        <v>1571</v>
      </c>
      <c r="E716" s="106" t="s">
        <v>1166</v>
      </c>
      <c r="F716" s="106" t="s">
        <v>4530</v>
      </c>
      <c r="G716" s="106" t="s">
        <v>1006</v>
      </c>
      <c r="H716" s="106" t="s">
        <v>4484</v>
      </c>
      <c r="I716" s="106" t="s">
        <v>1457</v>
      </c>
      <c r="K716" s="106" t="s">
        <v>4527</v>
      </c>
      <c r="L716" s="106" t="s">
        <v>4531</v>
      </c>
      <c r="O716" s="106" t="s">
        <v>274</v>
      </c>
      <c r="P716" s="106" t="s">
        <v>1173</v>
      </c>
      <c r="Q716" s="106" t="s">
        <v>431</v>
      </c>
      <c r="S716" s="106" t="str" cm="1">
        <f t="array" ref="S716">IF(TRIM($D716)="","(tidak diisi)",IFERROR(INDEX(Kamus!$B$3:$B$28,MATCH(TRUE,ISNUMBER(SEARCH(Kamus!$A$3:$A$28,$D716)),0)),"Jabatan Lainnya"))</f>
        <v>Panitera</v>
      </c>
      <c r="T716" s="106" t="str" cm="1">
        <f t="array" ref="T716">IF(TRIM($I716)="","(tidak diisi)",IFERROR(INDEX(Kamus!$E$3:$E$162,MATCH(TRUE,ISNUMBER(SEARCH(Kamus!$D$3:$D$162,$I716)),0)),"Barang Lain / Tidak Terinci"))</f>
        <v>Makanan &amp; Minuman</v>
      </c>
      <c r="U716" s="106" t="str" cm="1">
        <f t="array" ref="U716">IF(TRIM($I716)="","(tidak diisi)",IFERROR(INDEX(Kamus!$H$3:$H$75,MATCH(TRUE,ISNUMBER(SEARCH(Kamus!$G$3:$G$75,$I716)),0)),"Pemberian Umum / Tanpa Konteks"))</f>
        <v>Paket Sembako</v>
      </c>
      <c r="V716" s="106" t="str">
        <f t="shared" si="33"/>
        <v>2026</v>
      </c>
      <c r="W716" s="106" t="str" cm="1">
        <f t="array" ref="W716">IF(TRIM($K716)="","(tidak diisi)",IFERROR(INDEX(Kamus!$K$3:$K$118,MATCH(TRUE,ISNUMBER(SEARCH(Kamus!$J$3:$J$118,$K716)),0)),"Individu / Perorangan"))</f>
        <v>Internal Peradilan / Instansi Sendiri</v>
      </c>
      <c r="X716" s="106" t="str">
        <f t="shared" si="34"/>
        <v>02</v>
      </c>
      <c r="Y716" s="106" t="str" cm="1">
        <f t="array" ref="Y716">IFERROR(INDEX(Kamus!$N$3:$N$111,MATCH(TRUE,ISNUMBER(SEARCH(Kamus!$M$3:$M$111,$I716)),0)),"")</f>
        <v>Kegiatan Sosial / Bantuan (Paket Sembako)</v>
      </c>
      <c r="Z716" s="106" t="str">
        <f>IF(AND(OR($X716="02",$X716="03",$X716="04"),OR($T716="Parsel/Bingkisan (tidak dirinci)",$T716="Makanan &amp; Minuman",$T716="Peralatan Rumah Tangga / Pecah Belah",$T716="Pakaian &amp; Kain")),"Momen Hari Raya (dugaan musiman)",IFERROR(VLOOKUP($W716,Kamus!$P$3:$Q$14,2,FALSE),"Tidak Teridentifikasi"))</f>
        <v>Momen Hari Raya (dugaan musiman)</v>
      </c>
      <c r="AA716" s="106" t="str">
        <f t="shared" si="35"/>
        <v>Kegiatan Sosial / Bantuan (Paket Sembako)</v>
      </c>
    </row>
    <row r="717" spans="1:27">
      <c r="A717" s="106">
        <v>716</v>
      </c>
      <c r="B717" s="106" t="s">
        <v>1645</v>
      </c>
      <c r="C717" s="107" t="s">
        <v>1646</v>
      </c>
      <c r="D717" s="106" t="s">
        <v>1647</v>
      </c>
      <c r="E717" s="106" t="s">
        <v>1166</v>
      </c>
      <c r="F717" s="106" t="s">
        <v>4532</v>
      </c>
      <c r="G717" s="106" t="s">
        <v>1006</v>
      </c>
      <c r="H717" s="106" t="s">
        <v>4484</v>
      </c>
      <c r="I717" s="106" t="s">
        <v>1457</v>
      </c>
      <c r="K717" s="106" t="s">
        <v>4527</v>
      </c>
      <c r="L717" s="106" t="s">
        <v>4533</v>
      </c>
      <c r="O717" s="106" t="s">
        <v>274</v>
      </c>
      <c r="P717" s="106" t="s">
        <v>1173</v>
      </c>
      <c r="Q717" s="106" t="s">
        <v>431</v>
      </c>
      <c r="S717" s="106" t="str" cm="1">
        <f t="array" ref="S717">IF(TRIM($D717)="","(tidak diisi)",IFERROR(INDEX(Kamus!$B$3:$B$28,MATCH(TRUE,ISNUMBER(SEARCH(Kamus!$A$3:$A$28,$D717)),0)),"Jabatan Lainnya"))</f>
        <v>Jurusita</v>
      </c>
      <c r="T717" s="106" t="str" cm="1">
        <f t="array" ref="T717">IF(TRIM($I717)="","(tidak diisi)",IFERROR(INDEX(Kamus!$E$3:$E$162,MATCH(TRUE,ISNUMBER(SEARCH(Kamus!$D$3:$D$162,$I717)),0)),"Barang Lain / Tidak Terinci"))</f>
        <v>Makanan &amp; Minuman</v>
      </c>
      <c r="U717" s="106" t="str" cm="1">
        <f t="array" ref="U717">IF(TRIM($I717)="","(tidak diisi)",IFERROR(INDEX(Kamus!$H$3:$H$75,MATCH(TRUE,ISNUMBER(SEARCH(Kamus!$G$3:$G$75,$I717)),0)),"Pemberian Umum / Tanpa Konteks"))</f>
        <v>Paket Sembako</v>
      </c>
      <c r="V717" s="106" t="str">
        <f t="shared" si="33"/>
        <v>2026</v>
      </c>
      <c r="W717" s="106" t="str" cm="1">
        <f t="array" ref="W717">IF(TRIM($K717)="","(tidak diisi)",IFERROR(INDEX(Kamus!$K$3:$K$118,MATCH(TRUE,ISNUMBER(SEARCH(Kamus!$J$3:$J$118,$K717)),0)),"Individu / Perorangan"))</f>
        <v>Internal Peradilan / Instansi Sendiri</v>
      </c>
      <c r="X717" s="106" t="str">
        <f t="shared" si="34"/>
        <v>02</v>
      </c>
      <c r="Y717" s="106" t="str" cm="1">
        <f t="array" ref="Y717">IFERROR(INDEX(Kamus!$N$3:$N$111,MATCH(TRUE,ISNUMBER(SEARCH(Kamus!$M$3:$M$111,$I717)),0)),"")</f>
        <v>Kegiatan Sosial / Bantuan (Paket Sembako)</v>
      </c>
      <c r="Z717" s="106" t="str">
        <f>IF(AND(OR($X717="02",$X717="03",$X717="04"),OR($T717="Parsel/Bingkisan (tidak dirinci)",$T717="Makanan &amp; Minuman",$T717="Peralatan Rumah Tangga / Pecah Belah",$T717="Pakaian &amp; Kain")),"Momen Hari Raya (dugaan musiman)",IFERROR(VLOOKUP($W717,Kamus!$P$3:$Q$14,2,FALSE),"Tidak Teridentifikasi"))</f>
        <v>Momen Hari Raya (dugaan musiman)</v>
      </c>
      <c r="AA717" s="106" t="str">
        <f t="shared" si="35"/>
        <v>Kegiatan Sosial / Bantuan (Paket Sembako)</v>
      </c>
    </row>
    <row r="718" spans="1:27">
      <c r="A718" s="106">
        <v>717</v>
      </c>
      <c r="B718" s="106" t="s">
        <v>1673</v>
      </c>
      <c r="C718" s="107" t="s">
        <v>1674</v>
      </c>
      <c r="D718" s="106" t="s">
        <v>1432</v>
      </c>
      <c r="E718" s="106" t="s">
        <v>1166</v>
      </c>
      <c r="F718" s="106" t="s">
        <v>4534</v>
      </c>
      <c r="G718" s="106" t="s">
        <v>1006</v>
      </c>
      <c r="H718" s="106" t="s">
        <v>4484</v>
      </c>
      <c r="I718" s="106" t="s">
        <v>1457</v>
      </c>
      <c r="K718" s="106" t="s">
        <v>4527</v>
      </c>
      <c r="L718" s="106" t="s">
        <v>4535</v>
      </c>
      <c r="O718" s="106" t="s">
        <v>274</v>
      </c>
      <c r="P718" s="106" t="s">
        <v>1173</v>
      </c>
      <c r="Q718" s="106" t="s">
        <v>431</v>
      </c>
      <c r="S718" s="106" t="str" cm="1">
        <f t="array" ref="S718">IF(TRIM($D718)="","(tidak diisi)",IFERROR(INDEX(Kamus!$B$3:$B$28,MATCH(TRUE,ISNUMBER(SEARCH(Kamus!$A$3:$A$28,$D718)),0)),"Jabatan Lainnya"))</f>
        <v>Hakim</v>
      </c>
      <c r="T718" s="106" t="str" cm="1">
        <f t="array" ref="T718">IF(TRIM($I718)="","(tidak diisi)",IFERROR(INDEX(Kamus!$E$3:$E$162,MATCH(TRUE,ISNUMBER(SEARCH(Kamus!$D$3:$D$162,$I718)),0)),"Barang Lain / Tidak Terinci"))</f>
        <v>Makanan &amp; Minuman</v>
      </c>
      <c r="U718" s="106" t="str" cm="1">
        <f t="array" ref="U718">IF(TRIM($I718)="","(tidak diisi)",IFERROR(INDEX(Kamus!$H$3:$H$75,MATCH(TRUE,ISNUMBER(SEARCH(Kamus!$G$3:$G$75,$I718)),0)),"Pemberian Umum / Tanpa Konteks"))</f>
        <v>Paket Sembako</v>
      </c>
      <c r="V718" s="106" t="str">
        <f t="shared" si="33"/>
        <v>2026</v>
      </c>
      <c r="W718" s="106" t="str" cm="1">
        <f t="array" ref="W718">IF(TRIM($K718)="","(tidak diisi)",IFERROR(INDEX(Kamus!$K$3:$K$118,MATCH(TRUE,ISNUMBER(SEARCH(Kamus!$J$3:$J$118,$K718)),0)),"Individu / Perorangan"))</f>
        <v>Internal Peradilan / Instansi Sendiri</v>
      </c>
      <c r="X718" s="106" t="str">
        <f t="shared" si="34"/>
        <v>02</v>
      </c>
      <c r="Y718" s="106" t="str" cm="1">
        <f t="array" ref="Y718">IFERROR(INDEX(Kamus!$N$3:$N$111,MATCH(TRUE,ISNUMBER(SEARCH(Kamus!$M$3:$M$111,$I718)),0)),"")</f>
        <v>Kegiatan Sosial / Bantuan (Paket Sembako)</v>
      </c>
      <c r="Z718" s="106" t="str">
        <f>IF(AND(OR($X718="02",$X718="03",$X718="04"),OR($T718="Parsel/Bingkisan (tidak dirinci)",$T718="Makanan &amp; Minuman",$T718="Peralatan Rumah Tangga / Pecah Belah",$T718="Pakaian &amp; Kain")),"Momen Hari Raya (dugaan musiman)",IFERROR(VLOOKUP($W718,Kamus!$P$3:$Q$14,2,FALSE),"Tidak Teridentifikasi"))</f>
        <v>Momen Hari Raya (dugaan musiman)</v>
      </c>
      <c r="AA718" s="106" t="str">
        <f t="shared" si="35"/>
        <v>Kegiatan Sosial / Bantuan (Paket Sembako)</v>
      </c>
    </row>
    <row r="719" spans="1:27">
      <c r="A719" s="106">
        <v>718</v>
      </c>
      <c r="B719" s="106" t="s">
        <v>4536</v>
      </c>
      <c r="C719" s="107" t="s">
        <v>4537</v>
      </c>
      <c r="D719" s="106" t="s">
        <v>1141</v>
      </c>
      <c r="E719" s="106" t="s">
        <v>1166</v>
      </c>
      <c r="F719" s="106" t="s">
        <v>4538</v>
      </c>
      <c r="G719" s="106" t="s">
        <v>1006</v>
      </c>
      <c r="H719" s="106" t="s">
        <v>4484</v>
      </c>
      <c r="I719" s="106" t="s">
        <v>1457</v>
      </c>
      <c r="K719" s="106" t="s">
        <v>4527</v>
      </c>
      <c r="L719" s="106" t="s">
        <v>4539</v>
      </c>
      <c r="O719" s="106" t="s">
        <v>274</v>
      </c>
      <c r="P719" s="106" t="s">
        <v>1173</v>
      </c>
      <c r="Q719" s="106" t="s">
        <v>431</v>
      </c>
      <c r="S719" s="106" t="str" cm="1">
        <f t="array" ref="S719">IF(TRIM($D719)="","(tidak diisi)",IFERROR(INDEX(Kamus!$B$3:$B$28,MATCH(TRUE,ISNUMBER(SEARCH(Kamus!$A$3:$A$28,$D719)),0)),"Jabatan Lainnya"))</f>
        <v>Jurusita</v>
      </c>
      <c r="T719" s="106" t="str" cm="1">
        <f t="array" ref="T719">IF(TRIM($I719)="","(tidak diisi)",IFERROR(INDEX(Kamus!$E$3:$E$162,MATCH(TRUE,ISNUMBER(SEARCH(Kamus!$D$3:$D$162,$I719)),0)),"Barang Lain / Tidak Terinci"))</f>
        <v>Makanan &amp; Minuman</v>
      </c>
      <c r="U719" s="106" t="str" cm="1">
        <f t="array" ref="U719">IF(TRIM($I719)="","(tidak diisi)",IFERROR(INDEX(Kamus!$H$3:$H$75,MATCH(TRUE,ISNUMBER(SEARCH(Kamus!$G$3:$G$75,$I719)),0)),"Pemberian Umum / Tanpa Konteks"))</f>
        <v>Paket Sembako</v>
      </c>
      <c r="V719" s="106" t="str">
        <f t="shared" si="33"/>
        <v>2026</v>
      </c>
      <c r="W719" s="106" t="str" cm="1">
        <f t="array" ref="W719">IF(TRIM($K719)="","(tidak diisi)",IFERROR(INDEX(Kamus!$K$3:$K$118,MATCH(TRUE,ISNUMBER(SEARCH(Kamus!$J$3:$J$118,$K719)),0)),"Individu / Perorangan"))</f>
        <v>Internal Peradilan / Instansi Sendiri</v>
      </c>
      <c r="X719" s="106" t="str">
        <f t="shared" si="34"/>
        <v>02</v>
      </c>
      <c r="Y719" s="106" t="str" cm="1">
        <f t="array" ref="Y719">IFERROR(INDEX(Kamus!$N$3:$N$111,MATCH(TRUE,ISNUMBER(SEARCH(Kamus!$M$3:$M$111,$I719)),0)),"")</f>
        <v>Kegiatan Sosial / Bantuan (Paket Sembako)</v>
      </c>
      <c r="Z719" s="106" t="str">
        <f>IF(AND(OR($X719="02",$X719="03",$X719="04"),OR($T719="Parsel/Bingkisan (tidak dirinci)",$T719="Makanan &amp; Minuman",$T719="Peralatan Rumah Tangga / Pecah Belah",$T719="Pakaian &amp; Kain")),"Momen Hari Raya (dugaan musiman)",IFERROR(VLOOKUP($W719,Kamus!$P$3:$Q$14,2,FALSE),"Tidak Teridentifikasi"))</f>
        <v>Momen Hari Raya (dugaan musiman)</v>
      </c>
      <c r="AA719" s="106" t="str">
        <f t="shared" si="35"/>
        <v>Kegiatan Sosial / Bantuan (Paket Sembako)</v>
      </c>
    </row>
    <row r="720" spans="1:27">
      <c r="A720" s="106">
        <v>719</v>
      </c>
      <c r="B720" s="106" t="s">
        <v>4540</v>
      </c>
      <c r="C720" s="107" t="s">
        <v>4541</v>
      </c>
      <c r="D720" s="106" t="s">
        <v>4542</v>
      </c>
      <c r="E720" s="106" t="s">
        <v>1166</v>
      </c>
      <c r="F720" s="106" t="s">
        <v>4543</v>
      </c>
      <c r="G720" s="106" t="s">
        <v>1006</v>
      </c>
      <c r="H720" s="106" t="s">
        <v>4484</v>
      </c>
      <c r="I720" s="106" t="s">
        <v>4511</v>
      </c>
      <c r="K720" s="106" t="s">
        <v>1503</v>
      </c>
      <c r="L720" s="106" t="s">
        <v>4544</v>
      </c>
      <c r="O720" s="106" t="s">
        <v>274</v>
      </c>
      <c r="P720" s="106" t="s">
        <v>1173</v>
      </c>
      <c r="Q720" s="106" t="s">
        <v>431</v>
      </c>
      <c r="S720" s="106" t="str" cm="1">
        <f t="array" ref="S720">IF(TRIM($D720)="","(tidak diisi)",IFERROR(INDEX(Kamus!$B$3:$B$28,MATCH(TRUE,ISNUMBER(SEARCH(Kamus!$A$3:$A$28,$D720)),0)),"Jabatan Lainnya"))</f>
        <v>Staf/Pegawai Pelaksana</v>
      </c>
      <c r="T720" s="106" t="str" cm="1">
        <f t="array" ref="T720">IF(TRIM($I720)="","(tidak diisi)",IFERROR(INDEX(Kamus!$E$3:$E$162,MATCH(TRUE,ISNUMBER(SEARCH(Kamus!$D$3:$D$162,$I720)),0)),"Barang Lain / Tidak Terinci"))</f>
        <v>Makanan &amp; Minuman</v>
      </c>
      <c r="U720" s="106" t="str" cm="1">
        <f t="array" ref="U720">IF(TRIM($I720)="","(tidak diisi)",IFERROR(INDEX(Kamus!$H$3:$H$75,MATCH(TRUE,ISNUMBER(SEARCH(Kamus!$G$3:$G$75,$I720)),0)),"Pemberian Umum / Tanpa Konteks"))</f>
        <v>Paket Sembako</v>
      </c>
      <c r="V720" s="106" t="str">
        <f t="shared" si="33"/>
        <v>2026</v>
      </c>
      <c r="W720" s="106" t="str" cm="1">
        <f t="array" ref="W720">IF(TRIM($K720)="","(tidak diisi)",IFERROR(INDEX(Kamus!$K$3:$K$118,MATCH(TRUE,ISNUMBER(SEARCH(Kamus!$J$3:$J$118,$K720)),0)),"Individu / Perorangan"))</f>
        <v>Bank &amp; Lembaga Keuangan</v>
      </c>
      <c r="X720" s="106" t="str">
        <f t="shared" si="34"/>
        <v>02</v>
      </c>
      <c r="Y720" s="106" t="str" cm="1">
        <f t="array" ref="Y720">IFERROR(INDEX(Kamus!$N$3:$N$111,MATCH(TRUE,ISNUMBER(SEARCH(Kamus!$M$3:$M$111,$I720)),0)),"")</f>
        <v>Kegiatan Sosial / Bantuan (Paket Sembako)</v>
      </c>
      <c r="Z720" s="106" t="str">
        <f>IF(AND(OR($X720="02",$X720="03",$X720="04"),OR($T720="Parsel/Bingkisan (tidak dirinci)",$T720="Makanan &amp; Minuman",$T720="Peralatan Rumah Tangga / Pecah Belah",$T720="Pakaian &amp; Kain")),"Momen Hari Raya (dugaan musiman)",IFERROR(VLOOKUP($W720,Kamus!$P$3:$Q$14,2,FALSE),"Tidak Teridentifikasi"))</f>
        <v>Momen Hari Raya (dugaan musiman)</v>
      </c>
      <c r="AA720" s="106" t="str">
        <f t="shared" si="35"/>
        <v>Kegiatan Sosial / Bantuan (Paket Sembako)</v>
      </c>
    </row>
    <row r="721" spans="1:27">
      <c r="A721" s="106">
        <v>720</v>
      </c>
      <c r="B721" s="106" t="s">
        <v>4545</v>
      </c>
      <c r="C721" s="107" t="s">
        <v>4546</v>
      </c>
      <c r="D721" s="106" t="s">
        <v>4547</v>
      </c>
      <c r="E721" s="106" t="s">
        <v>1166</v>
      </c>
      <c r="F721" s="106" t="s">
        <v>4548</v>
      </c>
      <c r="G721" s="106" t="s">
        <v>1006</v>
      </c>
      <c r="H721" s="106" t="s">
        <v>4484</v>
      </c>
      <c r="I721" s="106" t="s">
        <v>4511</v>
      </c>
      <c r="K721" s="106" t="s">
        <v>4527</v>
      </c>
      <c r="L721" s="106" t="s">
        <v>4549</v>
      </c>
      <c r="O721" s="106" t="s">
        <v>274</v>
      </c>
      <c r="P721" s="106" t="s">
        <v>1173</v>
      </c>
      <c r="Q721" s="106" t="s">
        <v>431</v>
      </c>
      <c r="S721" s="106" t="str" cm="1">
        <f t="array" ref="S721">IF(TRIM($D721)="","(tidak diisi)",IFERROR(INDEX(Kamus!$B$3:$B$28,MATCH(TRUE,ISNUMBER(SEARCH(Kamus!$A$3:$A$28,$D721)),0)),"Jabatan Lainnya"))</f>
        <v>Jabatan Lainnya</v>
      </c>
      <c r="T721" s="106" t="str" cm="1">
        <f t="array" ref="T721">IF(TRIM($I721)="","(tidak diisi)",IFERROR(INDEX(Kamus!$E$3:$E$162,MATCH(TRUE,ISNUMBER(SEARCH(Kamus!$D$3:$D$162,$I721)),0)),"Barang Lain / Tidak Terinci"))</f>
        <v>Makanan &amp; Minuman</v>
      </c>
      <c r="U721" s="106" t="str" cm="1">
        <f t="array" ref="U721">IF(TRIM($I721)="","(tidak diisi)",IFERROR(INDEX(Kamus!$H$3:$H$75,MATCH(TRUE,ISNUMBER(SEARCH(Kamus!$G$3:$G$75,$I721)),0)),"Pemberian Umum / Tanpa Konteks"))</f>
        <v>Paket Sembako</v>
      </c>
      <c r="V721" s="106" t="str">
        <f t="shared" si="33"/>
        <v>2026</v>
      </c>
      <c r="W721" s="106" t="str" cm="1">
        <f t="array" ref="W721">IF(TRIM($K721)="","(tidak diisi)",IFERROR(INDEX(Kamus!$K$3:$K$118,MATCH(TRUE,ISNUMBER(SEARCH(Kamus!$J$3:$J$118,$K721)),0)),"Individu / Perorangan"))</f>
        <v>Internal Peradilan / Instansi Sendiri</v>
      </c>
      <c r="X721" s="106" t="str">
        <f t="shared" si="34"/>
        <v>02</v>
      </c>
      <c r="Y721" s="106" t="str" cm="1">
        <f t="array" ref="Y721">IFERROR(INDEX(Kamus!$N$3:$N$111,MATCH(TRUE,ISNUMBER(SEARCH(Kamus!$M$3:$M$111,$I721)),0)),"")</f>
        <v>Kegiatan Sosial / Bantuan (Paket Sembako)</v>
      </c>
      <c r="Z721" s="106" t="str">
        <f>IF(AND(OR($X721="02",$X721="03",$X721="04"),OR($T721="Parsel/Bingkisan (tidak dirinci)",$T721="Makanan &amp; Minuman",$T721="Peralatan Rumah Tangga / Pecah Belah",$T721="Pakaian &amp; Kain")),"Momen Hari Raya (dugaan musiman)",IFERROR(VLOOKUP($W721,Kamus!$P$3:$Q$14,2,FALSE),"Tidak Teridentifikasi"))</f>
        <v>Momen Hari Raya (dugaan musiman)</v>
      </c>
      <c r="AA721" s="106" t="str">
        <f t="shared" si="35"/>
        <v>Kegiatan Sosial / Bantuan (Paket Sembako)</v>
      </c>
    </row>
    <row r="722" spans="1:27">
      <c r="A722" s="106">
        <v>721</v>
      </c>
      <c r="B722" s="106" t="s">
        <v>1610</v>
      </c>
      <c r="C722" s="107" t="s">
        <v>1611</v>
      </c>
      <c r="D722" s="106" t="s">
        <v>1208</v>
      </c>
      <c r="E722" s="106" t="s">
        <v>1166</v>
      </c>
      <c r="F722" s="106" t="s">
        <v>4550</v>
      </c>
      <c r="G722" s="106" t="s">
        <v>1006</v>
      </c>
      <c r="H722" s="106" t="s">
        <v>4484</v>
      </c>
      <c r="I722" s="106" t="s">
        <v>4511</v>
      </c>
      <c r="K722" s="106" t="s">
        <v>1484</v>
      </c>
      <c r="L722" s="106" t="s">
        <v>4551</v>
      </c>
      <c r="O722" s="106" t="s">
        <v>274</v>
      </c>
      <c r="P722" s="106" t="s">
        <v>1173</v>
      </c>
      <c r="Q722" s="106" t="s">
        <v>431</v>
      </c>
      <c r="S722" s="106" t="str" cm="1">
        <f t="array" ref="S722">IF(TRIM($D722)="","(tidak diisi)",IFERROR(INDEX(Kamus!$B$3:$B$28,MATCH(TRUE,ISNUMBER(SEARCH(Kamus!$A$3:$A$28,$D722)),0)),"Jabatan Lainnya"))</f>
        <v>Staf/Pegawai Pelaksana</v>
      </c>
      <c r="T722" s="106" t="str" cm="1">
        <f t="array" ref="T722">IF(TRIM($I722)="","(tidak diisi)",IFERROR(INDEX(Kamus!$E$3:$E$162,MATCH(TRUE,ISNUMBER(SEARCH(Kamus!$D$3:$D$162,$I722)),0)),"Barang Lain / Tidak Terinci"))</f>
        <v>Makanan &amp; Minuman</v>
      </c>
      <c r="U722" s="106" t="str" cm="1">
        <f t="array" ref="U722">IF(TRIM($I722)="","(tidak diisi)",IFERROR(INDEX(Kamus!$H$3:$H$75,MATCH(TRUE,ISNUMBER(SEARCH(Kamus!$G$3:$G$75,$I722)),0)),"Pemberian Umum / Tanpa Konteks"))</f>
        <v>Paket Sembako</v>
      </c>
      <c r="V722" s="106" t="str">
        <f t="shared" si="33"/>
        <v>2026</v>
      </c>
      <c r="W722" s="106" t="str" cm="1">
        <f t="array" ref="W722">IF(TRIM($K722)="","(tidak diisi)",IFERROR(INDEX(Kamus!$K$3:$K$118,MATCH(TRUE,ISNUMBER(SEARCH(Kamus!$J$3:$J$118,$K722)),0)),"Individu / Perorangan"))</f>
        <v>Bank &amp; Lembaga Keuangan</v>
      </c>
      <c r="X722" s="106" t="str">
        <f t="shared" si="34"/>
        <v>02</v>
      </c>
      <c r="Y722" s="106" t="str" cm="1">
        <f t="array" ref="Y722">IFERROR(INDEX(Kamus!$N$3:$N$111,MATCH(TRUE,ISNUMBER(SEARCH(Kamus!$M$3:$M$111,$I722)),0)),"")</f>
        <v>Kegiatan Sosial / Bantuan (Paket Sembako)</v>
      </c>
      <c r="Z722" s="106" t="str">
        <f>IF(AND(OR($X722="02",$X722="03",$X722="04"),OR($T722="Parsel/Bingkisan (tidak dirinci)",$T722="Makanan &amp; Minuman",$T722="Peralatan Rumah Tangga / Pecah Belah",$T722="Pakaian &amp; Kain")),"Momen Hari Raya (dugaan musiman)",IFERROR(VLOOKUP($W722,Kamus!$P$3:$Q$14,2,FALSE),"Tidak Teridentifikasi"))</f>
        <v>Momen Hari Raya (dugaan musiman)</v>
      </c>
      <c r="AA722" s="106" t="str">
        <f t="shared" si="35"/>
        <v>Kegiatan Sosial / Bantuan (Paket Sembako)</v>
      </c>
    </row>
    <row r="723" spans="1:27">
      <c r="A723" s="106">
        <v>722</v>
      </c>
      <c r="B723" s="106" t="s">
        <v>1606</v>
      </c>
      <c r="C723" s="107" t="s">
        <v>1607</v>
      </c>
      <c r="D723" s="106" t="s">
        <v>1432</v>
      </c>
      <c r="E723" s="106" t="s">
        <v>1166</v>
      </c>
      <c r="F723" s="106" t="s">
        <v>4552</v>
      </c>
      <c r="G723" s="106" t="s">
        <v>1006</v>
      </c>
      <c r="H723" s="106" t="s">
        <v>4484</v>
      </c>
      <c r="I723" s="106" t="s">
        <v>1457</v>
      </c>
      <c r="K723" s="106" t="s">
        <v>4553</v>
      </c>
      <c r="L723" s="106" t="s">
        <v>4554</v>
      </c>
      <c r="O723" s="106" t="s">
        <v>274</v>
      </c>
      <c r="P723" s="106" t="s">
        <v>1173</v>
      </c>
      <c r="Q723" s="106" t="s">
        <v>431</v>
      </c>
      <c r="S723" s="106" t="str" cm="1">
        <f t="array" ref="S723">IF(TRIM($D723)="","(tidak diisi)",IFERROR(INDEX(Kamus!$B$3:$B$28,MATCH(TRUE,ISNUMBER(SEARCH(Kamus!$A$3:$A$28,$D723)),0)),"Jabatan Lainnya"))</f>
        <v>Hakim</v>
      </c>
      <c r="T723" s="106" t="str" cm="1">
        <f t="array" ref="T723">IF(TRIM($I723)="","(tidak diisi)",IFERROR(INDEX(Kamus!$E$3:$E$162,MATCH(TRUE,ISNUMBER(SEARCH(Kamus!$D$3:$D$162,$I723)),0)),"Barang Lain / Tidak Terinci"))</f>
        <v>Makanan &amp; Minuman</v>
      </c>
      <c r="U723" s="106" t="str" cm="1">
        <f t="array" ref="U723">IF(TRIM($I723)="","(tidak diisi)",IFERROR(INDEX(Kamus!$H$3:$H$75,MATCH(TRUE,ISNUMBER(SEARCH(Kamus!$G$3:$G$75,$I723)),0)),"Pemberian Umum / Tanpa Konteks"))</f>
        <v>Paket Sembako</v>
      </c>
      <c r="V723" s="106" t="str">
        <f t="shared" si="33"/>
        <v>2026</v>
      </c>
      <c r="W723" s="106" t="str" cm="1">
        <f t="array" ref="W723">IF(TRIM($K723)="","(tidak diisi)",IFERROR(INDEX(Kamus!$K$3:$K$118,MATCH(TRUE,ISNUMBER(SEARCH(Kamus!$J$3:$J$118,$K723)),0)),"Individu / Perorangan"))</f>
        <v>Bank &amp; Lembaga Keuangan</v>
      </c>
      <c r="X723" s="106" t="str">
        <f t="shared" si="34"/>
        <v>02</v>
      </c>
      <c r="Y723" s="106" t="str" cm="1">
        <f t="array" ref="Y723">IFERROR(INDEX(Kamus!$N$3:$N$111,MATCH(TRUE,ISNUMBER(SEARCH(Kamus!$M$3:$M$111,$I723)),0)),"")</f>
        <v>Kegiatan Sosial / Bantuan (Paket Sembako)</v>
      </c>
      <c r="Z723" s="106" t="str">
        <f>IF(AND(OR($X723="02",$X723="03",$X723="04"),OR($T723="Parsel/Bingkisan (tidak dirinci)",$T723="Makanan &amp; Minuman",$T723="Peralatan Rumah Tangga / Pecah Belah",$T723="Pakaian &amp; Kain")),"Momen Hari Raya (dugaan musiman)",IFERROR(VLOOKUP($W723,Kamus!$P$3:$Q$14,2,FALSE),"Tidak Teridentifikasi"))</f>
        <v>Momen Hari Raya (dugaan musiman)</v>
      </c>
      <c r="AA723" s="106" t="str">
        <f t="shared" si="35"/>
        <v>Kegiatan Sosial / Bantuan (Paket Sembako)</v>
      </c>
    </row>
    <row r="724" spans="1:27">
      <c r="A724" s="106">
        <v>723</v>
      </c>
      <c r="B724" s="106" t="s">
        <v>1598</v>
      </c>
      <c r="C724" s="107" t="s">
        <v>1599</v>
      </c>
      <c r="D724" s="106" t="s">
        <v>1600</v>
      </c>
      <c r="E724" s="106" t="s">
        <v>1166</v>
      </c>
      <c r="F724" s="106" t="s">
        <v>4555</v>
      </c>
      <c r="G724" s="106" t="s">
        <v>1006</v>
      </c>
      <c r="H724" s="106" t="s">
        <v>4484</v>
      </c>
      <c r="I724" s="106" t="s">
        <v>1457</v>
      </c>
      <c r="K724" s="106" t="s">
        <v>4553</v>
      </c>
      <c r="L724" s="106" t="s">
        <v>4556</v>
      </c>
      <c r="O724" s="106" t="s">
        <v>274</v>
      </c>
      <c r="P724" s="106" t="s">
        <v>1173</v>
      </c>
      <c r="Q724" s="106" t="s">
        <v>431</v>
      </c>
      <c r="S724" s="106" t="str" cm="1">
        <f t="array" ref="S724">IF(TRIM($D724)="","(tidak diisi)",IFERROR(INDEX(Kamus!$B$3:$B$28,MATCH(TRUE,ISNUMBER(SEARCH(Kamus!$A$3:$A$28,$D724)),0)),"Jabatan Lainnya"))</f>
        <v>Staf/Pegawai Pelaksana</v>
      </c>
      <c r="T724" s="106" t="str" cm="1">
        <f t="array" ref="T724">IF(TRIM($I724)="","(tidak diisi)",IFERROR(INDEX(Kamus!$E$3:$E$162,MATCH(TRUE,ISNUMBER(SEARCH(Kamus!$D$3:$D$162,$I724)),0)),"Barang Lain / Tidak Terinci"))</f>
        <v>Makanan &amp; Minuman</v>
      </c>
      <c r="U724" s="106" t="str" cm="1">
        <f t="array" ref="U724">IF(TRIM($I724)="","(tidak diisi)",IFERROR(INDEX(Kamus!$H$3:$H$75,MATCH(TRUE,ISNUMBER(SEARCH(Kamus!$G$3:$G$75,$I724)),0)),"Pemberian Umum / Tanpa Konteks"))</f>
        <v>Paket Sembako</v>
      </c>
      <c r="V724" s="106" t="str">
        <f t="shared" si="33"/>
        <v>2026</v>
      </c>
      <c r="W724" s="106" t="str" cm="1">
        <f t="array" ref="W724">IF(TRIM($K724)="","(tidak diisi)",IFERROR(INDEX(Kamus!$K$3:$K$118,MATCH(TRUE,ISNUMBER(SEARCH(Kamus!$J$3:$J$118,$K724)),0)),"Individu / Perorangan"))</f>
        <v>Bank &amp; Lembaga Keuangan</v>
      </c>
      <c r="X724" s="106" t="str">
        <f t="shared" si="34"/>
        <v>02</v>
      </c>
      <c r="Y724" s="106" t="str" cm="1">
        <f t="array" ref="Y724">IFERROR(INDEX(Kamus!$N$3:$N$111,MATCH(TRUE,ISNUMBER(SEARCH(Kamus!$M$3:$M$111,$I724)),0)),"")</f>
        <v>Kegiatan Sosial / Bantuan (Paket Sembako)</v>
      </c>
      <c r="Z724" s="106" t="str">
        <f>IF(AND(OR($X724="02",$X724="03",$X724="04"),OR($T724="Parsel/Bingkisan (tidak dirinci)",$T724="Makanan &amp; Minuman",$T724="Peralatan Rumah Tangga / Pecah Belah",$T724="Pakaian &amp; Kain")),"Momen Hari Raya (dugaan musiman)",IFERROR(VLOOKUP($W724,Kamus!$P$3:$Q$14,2,FALSE),"Tidak Teridentifikasi"))</f>
        <v>Momen Hari Raya (dugaan musiman)</v>
      </c>
      <c r="AA724" s="106" t="str">
        <f t="shared" si="35"/>
        <v>Kegiatan Sosial / Bantuan (Paket Sembako)</v>
      </c>
    </row>
    <row r="725" spans="1:27">
      <c r="A725" s="106">
        <v>724</v>
      </c>
      <c r="B725" s="106" t="s">
        <v>1516</v>
      </c>
      <c r="C725" s="107" t="s">
        <v>1517</v>
      </c>
      <c r="D725" s="106" t="s">
        <v>1518</v>
      </c>
      <c r="E725" s="106" t="s">
        <v>1166</v>
      </c>
      <c r="F725" s="106" t="s">
        <v>4557</v>
      </c>
      <c r="G725" s="106" t="s">
        <v>1006</v>
      </c>
      <c r="H725" s="106" t="s">
        <v>4484</v>
      </c>
      <c r="I725" s="106" t="s">
        <v>1457</v>
      </c>
      <c r="K725" s="106" t="s">
        <v>4553</v>
      </c>
      <c r="L725" s="106" t="s">
        <v>4558</v>
      </c>
      <c r="O725" s="106" t="s">
        <v>274</v>
      </c>
      <c r="P725" s="106" t="s">
        <v>1173</v>
      </c>
      <c r="Q725" s="106" t="s">
        <v>431</v>
      </c>
      <c r="S725" s="106" t="str" cm="1">
        <f t="array" ref="S725">IF(TRIM($D725)="","(tidak diisi)",IFERROR(INDEX(Kamus!$B$3:$B$28,MATCH(TRUE,ISNUMBER(SEARCH(Kamus!$A$3:$A$28,$D725)),0)),"Jabatan Lainnya"))</f>
        <v>Pejabat Struktural (Kasubbag/Kabag)</v>
      </c>
      <c r="T725" s="106" t="str" cm="1">
        <f t="array" ref="T725">IF(TRIM($I725)="","(tidak diisi)",IFERROR(INDEX(Kamus!$E$3:$E$162,MATCH(TRUE,ISNUMBER(SEARCH(Kamus!$D$3:$D$162,$I725)),0)),"Barang Lain / Tidak Terinci"))</f>
        <v>Makanan &amp; Minuman</v>
      </c>
      <c r="U725" s="106" t="str" cm="1">
        <f t="array" ref="U725">IF(TRIM($I725)="","(tidak diisi)",IFERROR(INDEX(Kamus!$H$3:$H$75,MATCH(TRUE,ISNUMBER(SEARCH(Kamus!$G$3:$G$75,$I725)),0)),"Pemberian Umum / Tanpa Konteks"))</f>
        <v>Paket Sembako</v>
      </c>
      <c r="V725" s="106" t="str">
        <f t="shared" si="33"/>
        <v>2026</v>
      </c>
      <c r="W725" s="106" t="str" cm="1">
        <f t="array" ref="W725">IF(TRIM($K725)="","(tidak diisi)",IFERROR(INDEX(Kamus!$K$3:$K$118,MATCH(TRUE,ISNUMBER(SEARCH(Kamus!$J$3:$J$118,$K725)),0)),"Individu / Perorangan"))</f>
        <v>Bank &amp; Lembaga Keuangan</v>
      </c>
      <c r="X725" s="106" t="str">
        <f t="shared" si="34"/>
        <v>02</v>
      </c>
      <c r="Y725" s="106" t="str" cm="1">
        <f t="array" ref="Y725">IFERROR(INDEX(Kamus!$N$3:$N$111,MATCH(TRUE,ISNUMBER(SEARCH(Kamus!$M$3:$M$111,$I725)),0)),"")</f>
        <v>Kegiatan Sosial / Bantuan (Paket Sembako)</v>
      </c>
      <c r="Z725" s="106" t="str">
        <f>IF(AND(OR($X725="02",$X725="03",$X725="04"),OR($T725="Parsel/Bingkisan (tidak dirinci)",$T725="Makanan &amp; Minuman",$T725="Peralatan Rumah Tangga / Pecah Belah",$T725="Pakaian &amp; Kain")),"Momen Hari Raya (dugaan musiman)",IFERROR(VLOOKUP($W725,Kamus!$P$3:$Q$14,2,FALSE),"Tidak Teridentifikasi"))</f>
        <v>Momen Hari Raya (dugaan musiman)</v>
      </c>
      <c r="AA725" s="106" t="str">
        <f t="shared" si="35"/>
        <v>Kegiatan Sosial / Bantuan (Paket Sembako)</v>
      </c>
    </row>
    <row r="726" spans="1:27">
      <c r="A726" s="106">
        <v>725</v>
      </c>
      <c r="B726" s="106" t="s">
        <v>1578</v>
      </c>
      <c r="C726" s="107" t="s">
        <v>1579</v>
      </c>
      <c r="D726" s="106" t="s">
        <v>1571</v>
      </c>
      <c r="E726" s="106" t="s">
        <v>1166</v>
      </c>
      <c r="F726" s="106" t="s">
        <v>4559</v>
      </c>
      <c r="G726" s="106" t="s">
        <v>1006</v>
      </c>
      <c r="H726" s="106" t="s">
        <v>4484</v>
      </c>
      <c r="I726" s="106" t="s">
        <v>1457</v>
      </c>
      <c r="K726" s="106" t="s">
        <v>4553</v>
      </c>
      <c r="L726" s="106" t="s">
        <v>4560</v>
      </c>
      <c r="O726" s="106" t="s">
        <v>274</v>
      </c>
      <c r="P726" s="106" t="s">
        <v>1173</v>
      </c>
      <c r="Q726" s="106" t="s">
        <v>431</v>
      </c>
      <c r="S726" s="106" t="str" cm="1">
        <f t="array" ref="S726">IF(TRIM($D726)="","(tidak diisi)",IFERROR(INDEX(Kamus!$B$3:$B$28,MATCH(TRUE,ISNUMBER(SEARCH(Kamus!$A$3:$A$28,$D726)),0)),"Jabatan Lainnya"))</f>
        <v>Panitera</v>
      </c>
      <c r="T726" s="106" t="str" cm="1">
        <f t="array" ref="T726">IF(TRIM($I726)="","(tidak diisi)",IFERROR(INDEX(Kamus!$E$3:$E$162,MATCH(TRUE,ISNUMBER(SEARCH(Kamus!$D$3:$D$162,$I726)),0)),"Barang Lain / Tidak Terinci"))</f>
        <v>Makanan &amp; Minuman</v>
      </c>
      <c r="U726" s="106" t="str" cm="1">
        <f t="array" ref="U726">IF(TRIM($I726)="","(tidak diisi)",IFERROR(INDEX(Kamus!$H$3:$H$75,MATCH(TRUE,ISNUMBER(SEARCH(Kamus!$G$3:$G$75,$I726)),0)),"Pemberian Umum / Tanpa Konteks"))</f>
        <v>Paket Sembako</v>
      </c>
      <c r="V726" s="106" t="str">
        <f t="shared" si="33"/>
        <v>2026</v>
      </c>
      <c r="W726" s="106" t="str" cm="1">
        <f t="array" ref="W726">IF(TRIM($K726)="","(tidak diisi)",IFERROR(INDEX(Kamus!$K$3:$K$118,MATCH(TRUE,ISNUMBER(SEARCH(Kamus!$J$3:$J$118,$K726)),0)),"Individu / Perorangan"))</f>
        <v>Bank &amp; Lembaga Keuangan</v>
      </c>
      <c r="X726" s="106" t="str">
        <f t="shared" si="34"/>
        <v>02</v>
      </c>
      <c r="Y726" s="106" t="str" cm="1">
        <f t="array" ref="Y726">IFERROR(INDEX(Kamus!$N$3:$N$111,MATCH(TRUE,ISNUMBER(SEARCH(Kamus!$M$3:$M$111,$I726)),0)),"")</f>
        <v>Kegiatan Sosial / Bantuan (Paket Sembako)</v>
      </c>
      <c r="Z726" s="106" t="str">
        <f>IF(AND(OR($X726="02",$X726="03",$X726="04"),OR($T726="Parsel/Bingkisan (tidak dirinci)",$T726="Makanan &amp; Minuman",$T726="Peralatan Rumah Tangga / Pecah Belah",$T726="Pakaian &amp; Kain")),"Momen Hari Raya (dugaan musiman)",IFERROR(VLOOKUP($W726,Kamus!$P$3:$Q$14,2,FALSE),"Tidak Teridentifikasi"))</f>
        <v>Momen Hari Raya (dugaan musiman)</v>
      </c>
      <c r="AA726" s="106" t="str">
        <f t="shared" si="35"/>
        <v>Kegiatan Sosial / Bantuan (Paket Sembako)</v>
      </c>
    </row>
    <row r="727" spans="1:27">
      <c r="A727" s="106">
        <v>726</v>
      </c>
      <c r="B727" s="106" t="s">
        <v>1587</v>
      </c>
      <c r="C727" s="107" t="s">
        <v>1588</v>
      </c>
      <c r="D727" s="106" t="s">
        <v>1571</v>
      </c>
      <c r="E727" s="106" t="s">
        <v>1166</v>
      </c>
      <c r="F727" s="106" t="s">
        <v>4561</v>
      </c>
      <c r="G727" s="106" t="s">
        <v>1006</v>
      </c>
      <c r="H727" s="106" t="s">
        <v>4484</v>
      </c>
      <c r="I727" s="106" t="s">
        <v>4511</v>
      </c>
      <c r="K727" s="106" t="s">
        <v>4553</v>
      </c>
      <c r="L727" s="106" t="s">
        <v>4562</v>
      </c>
      <c r="O727" s="106" t="s">
        <v>274</v>
      </c>
      <c r="P727" s="106" t="s">
        <v>1173</v>
      </c>
      <c r="Q727" s="106" t="s">
        <v>431</v>
      </c>
      <c r="S727" s="106" t="str" cm="1">
        <f t="array" ref="S727">IF(TRIM($D727)="","(tidak diisi)",IFERROR(INDEX(Kamus!$B$3:$B$28,MATCH(TRUE,ISNUMBER(SEARCH(Kamus!$A$3:$A$28,$D727)),0)),"Jabatan Lainnya"))</f>
        <v>Panitera</v>
      </c>
      <c r="T727" s="106" t="str" cm="1">
        <f t="array" ref="T727">IF(TRIM($I727)="","(tidak diisi)",IFERROR(INDEX(Kamus!$E$3:$E$162,MATCH(TRUE,ISNUMBER(SEARCH(Kamus!$D$3:$D$162,$I727)),0)),"Barang Lain / Tidak Terinci"))</f>
        <v>Makanan &amp; Minuman</v>
      </c>
      <c r="U727" s="106" t="str" cm="1">
        <f t="array" ref="U727">IF(TRIM($I727)="","(tidak diisi)",IFERROR(INDEX(Kamus!$H$3:$H$75,MATCH(TRUE,ISNUMBER(SEARCH(Kamus!$G$3:$G$75,$I727)),0)),"Pemberian Umum / Tanpa Konteks"))</f>
        <v>Paket Sembako</v>
      </c>
      <c r="V727" s="106" t="str">
        <f t="shared" si="33"/>
        <v>2026</v>
      </c>
      <c r="W727" s="106" t="str" cm="1">
        <f t="array" ref="W727">IF(TRIM($K727)="","(tidak diisi)",IFERROR(INDEX(Kamus!$K$3:$K$118,MATCH(TRUE,ISNUMBER(SEARCH(Kamus!$J$3:$J$118,$K727)),0)),"Individu / Perorangan"))</f>
        <v>Bank &amp; Lembaga Keuangan</v>
      </c>
      <c r="X727" s="106" t="str">
        <f t="shared" si="34"/>
        <v>02</v>
      </c>
      <c r="Y727" s="106" t="str" cm="1">
        <f t="array" ref="Y727">IFERROR(INDEX(Kamus!$N$3:$N$111,MATCH(TRUE,ISNUMBER(SEARCH(Kamus!$M$3:$M$111,$I727)),0)),"")</f>
        <v>Kegiatan Sosial / Bantuan (Paket Sembako)</v>
      </c>
      <c r="Z727" s="106" t="str">
        <f>IF(AND(OR($X727="02",$X727="03",$X727="04"),OR($T727="Parsel/Bingkisan (tidak dirinci)",$T727="Makanan &amp; Minuman",$T727="Peralatan Rumah Tangga / Pecah Belah",$T727="Pakaian &amp; Kain")),"Momen Hari Raya (dugaan musiman)",IFERROR(VLOOKUP($W727,Kamus!$P$3:$Q$14,2,FALSE),"Tidak Teridentifikasi"))</f>
        <v>Momen Hari Raya (dugaan musiman)</v>
      </c>
      <c r="AA727" s="106" t="str">
        <f t="shared" si="35"/>
        <v>Kegiatan Sosial / Bantuan (Paket Sembako)</v>
      </c>
    </row>
    <row r="728" spans="1:27">
      <c r="A728" s="106">
        <v>727</v>
      </c>
      <c r="B728" s="106" t="s">
        <v>1460</v>
      </c>
      <c r="C728" s="107" t="s">
        <v>1461</v>
      </c>
      <c r="D728" s="106" t="s">
        <v>1462</v>
      </c>
      <c r="E728" s="106" t="s">
        <v>1166</v>
      </c>
      <c r="F728" s="106" t="s">
        <v>4563</v>
      </c>
      <c r="G728" s="106" t="s">
        <v>1006</v>
      </c>
      <c r="H728" s="106" t="s">
        <v>4484</v>
      </c>
      <c r="I728" s="106" t="s">
        <v>4511</v>
      </c>
      <c r="K728" s="106" t="s">
        <v>4553</v>
      </c>
      <c r="L728" s="106" t="s">
        <v>4564</v>
      </c>
      <c r="O728" s="106" t="s">
        <v>274</v>
      </c>
      <c r="P728" s="106" t="s">
        <v>1173</v>
      </c>
      <c r="Q728" s="106" t="s">
        <v>431</v>
      </c>
      <c r="S728" s="106" t="str" cm="1">
        <f t="array" ref="S728">IF(TRIM($D728)="","(tidak diisi)",IFERROR(INDEX(Kamus!$B$3:$B$28,MATCH(TRUE,ISNUMBER(SEARCH(Kamus!$A$3:$A$28,$D728)),0)),"Jabatan Lainnya"))</f>
        <v>Staf/Pegawai Pelaksana</v>
      </c>
      <c r="T728" s="106" t="str" cm="1">
        <f t="array" ref="T728">IF(TRIM($I728)="","(tidak diisi)",IFERROR(INDEX(Kamus!$E$3:$E$162,MATCH(TRUE,ISNUMBER(SEARCH(Kamus!$D$3:$D$162,$I728)),0)),"Barang Lain / Tidak Terinci"))</f>
        <v>Makanan &amp; Minuman</v>
      </c>
      <c r="U728" s="106" t="str" cm="1">
        <f t="array" ref="U728">IF(TRIM($I728)="","(tidak diisi)",IFERROR(INDEX(Kamus!$H$3:$H$75,MATCH(TRUE,ISNUMBER(SEARCH(Kamus!$G$3:$G$75,$I728)),0)),"Pemberian Umum / Tanpa Konteks"))</f>
        <v>Paket Sembako</v>
      </c>
      <c r="V728" s="106" t="str">
        <f t="shared" si="33"/>
        <v>2026</v>
      </c>
      <c r="W728" s="106" t="str" cm="1">
        <f t="array" ref="W728">IF(TRIM($K728)="","(tidak diisi)",IFERROR(INDEX(Kamus!$K$3:$K$118,MATCH(TRUE,ISNUMBER(SEARCH(Kamus!$J$3:$J$118,$K728)),0)),"Individu / Perorangan"))</f>
        <v>Bank &amp; Lembaga Keuangan</v>
      </c>
      <c r="X728" s="106" t="str">
        <f t="shared" si="34"/>
        <v>02</v>
      </c>
      <c r="Y728" s="106" t="str" cm="1">
        <f t="array" ref="Y728">IFERROR(INDEX(Kamus!$N$3:$N$111,MATCH(TRUE,ISNUMBER(SEARCH(Kamus!$M$3:$M$111,$I728)),0)),"")</f>
        <v>Kegiatan Sosial / Bantuan (Paket Sembako)</v>
      </c>
      <c r="Z728" s="106" t="str">
        <f>IF(AND(OR($X728="02",$X728="03",$X728="04"),OR($T728="Parsel/Bingkisan (tidak dirinci)",$T728="Makanan &amp; Minuman",$T728="Peralatan Rumah Tangga / Pecah Belah",$T728="Pakaian &amp; Kain")),"Momen Hari Raya (dugaan musiman)",IFERROR(VLOOKUP($W728,Kamus!$P$3:$Q$14,2,FALSE),"Tidak Teridentifikasi"))</f>
        <v>Momen Hari Raya (dugaan musiman)</v>
      </c>
      <c r="AA728" s="106" t="str">
        <f t="shared" si="35"/>
        <v>Kegiatan Sosial / Bantuan (Paket Sembako)</v>
      </c>
    </row>
    <row r="729" spans="1:27">
      <c r="A729" s="106">
        <v>728</v>
      </c>
      <c r="B729" s="106" t="s">
        <v>1711</v>
      </c>
      <c r="C729" s="107" t="s">
        <v>1712</v>
      </c>
      <c r="D729" s="106" t="s">
        <v>1208</v>
      </c>
      <c r="E729" s="106" t="s">
        <v>1166</v>
      </c>
      <c r="F729" s="106" t="s">
        <v>4565</v>
      </c>
      <c r="G729" s="106" t="s">
        <v>1006</v>
      </c>
      <c r="H729" s="106" t="s">
        <v>4484</v>
      </c>
      <c r="I729" s="106" t="s">
        <v>1457</v>
      </c>
      <c r="K729" s="106" t="s">
        <v>4553</v>
      </c>
      <c r="L729" s="106" t="s">
        <v>4566</v>
      </c>
      <c r="O729" s="106" t="s">
        <v>274</v>
      </c>
      <c r="P729" s="106" t="s">
        <v>1173</v>
      </c>
      <c r="Q729" s="106" t="s">
        <v>431</v>
      </c>
      <c r="S729" s="106" t="str" cm="1">
        <f t="array" ref="S729">IF(TRIM($D729)="","(tidak diisi)",IFERROR(INDEX(Kamus!$B$3:$B$28,MATCH(TRUE,ISNUMBER(SEARCH(Kamus!$A$3:$A$28,$D729)),0)),"Jabatan Lainnya"))</f>
        <v>Staf/Pegawai Pelaksana</v>
      </c>
      <c r="T729" s="106" t="str" cm="1">
        <f t="array" ref="T729">IF(TRIM($I729)="","(tidak diisi)",IFERROR(INDEX(Kamus!$E$3:$E$162,MATCH(TRUE,ISNUMBER(SEARCH(Kamus!$D$3:$D$162,$I729)),0)),"Barang Lain / Tidak Terinci"))</f>
        <v>Makanan &amp; Minuman</v>
      </c>
      <c r="U729" s="106" t="str" cm="1">
        <f t="array" ref="U729">IF(TRIM($I729)="","(tidak diisi)",IFERROR(INDEX(Kamus!$H$3:$H$75,MATCH(TRUE,ISNUMBER(SEARCH(Kamus!$G$3:$G$75,$I729)),0)),"Pemberian Umum / Tanpa Konteks"))</f>
        <v>Paket Sembako</v>
      </c>
      <c r="V729" s="106" t="str">
        <f t="shared" si="33"/>
        <v>2026</v>
      </c>
      <c r="W729" s="106" t="str" cm="1">
        <f t="array" ref="W729">IF(TRIM($K729)="","(tidak diisi)",IFERROR(INDEX(Kamus!$K$3:$K$118,MATCH(TRUE,ISNUMBER(SEARCH(Kamus!$J$3:$J$118,$K729)),0)),"Individu / Perorangan"))</f>
        <v>Bank &amp; Lembaga Keuangan</v>
      </c>
      <c r="X729" s="106" t="str">
        <f t="shared" si="34"/>
        <v>02</v>
      </c>
      <c r="Y729" s="106" t="str" cm="1">
        <f t="array" ref="Y729">IFERROR(INDEX(Kamus!$N$3:$N$111,MATCH(TRUE,ISNUMBER(SEARCH(Kamus!$M$3:$M$111,$I729)),0)),"")</f>
        <v>Kegiatan Sosial / Bantuan (Paket Sembako)</v>
      </c>
      <c r="Z729" s="106" t="str">
        <f>IF(AND(OR($X729="02",$X729="03",$X729="04"),OR($T729="Parsel/Bingkisan (tidak dirinci)",$T729="Makanan &amp; Minuman",$T729="Peralatan Rumah Tangga / Pecah Belah",$T729="Pakaian &amp; Kain")),"Momen Hari Raya (dugaan musiman)",IFERROR(VLOOKUP($W729,Kamus!$P$3:$Q$14,2,FALSE),"Tidak Teridentifikasi"))</f>
        <v>Momen Hari Raya (dugaan musiman)</v>
      </c>
      <c r="AA729" s="106" t="str">
        <f t="shared" si="35"/>
        <v>Kegiatan Sosial / Bantuan (Paket Sembako)</v>
      </c>
    </row>
    <row r="730" spans="1:27">
      <c r="A730" s="106">
        <v>729</v>
      </c>
      <c r="B730" s="106" t="s">
        <v>1677</v>
      </c>
      <c r="C730" s="107" t="s">
        <v>1678</v>
      </c>
      <c r="D730" s="106" t="s">
        <v>1679</v>
      </c>
      <c r="E730" s="106" t="s">
        <v>1166</v>
      </c>
      <c r="F730" s="106" t="s">
        <v>4567</v>
      </c>
      <c r="G730" s="106" t="s">
        <v>1006</v>
      </c>
      <c r="H730" s="106" t="s">
        <v>4484</v>
      </c>
      <c r="I730" s="106" t="s">
        <v>1457</v>
      </c>
      <c r="K730" s="106" t="s">
        <v>4553</v>
      </c>
      <c r="L730" s="106" t="s">
        <v>4568</v>
      </c>
      <c r="O730" s="106" t="s">
        <v>274</v>
      </c>
      <c r="P730" s="106" t="s">
        <v>1173</v>
      </c>
      <c r="Q730" s="106" t="s">
        <v>431</v>
      </c>
      <c r="S730" s="106" t="str" cm="1">
        <f t="array" ref="S730">IF(TRIM($D730)="","(tidak diisi)",IFERROR(INDEX(Kamus!$B$3:$B$28,MATCH(TRUE,ISNUMBER(SEARCH(Kamus!$A$3:$A$28,$D730)),0)),"Jabatan Lainnya"))</f>
        <v>Jurusita</v>
      </c>
      <c r="T730" s="106" t="str" cm="1">
        <f t="array" ref="T730">IF(TRIM($I730)="","(tidak diisi)",IFERROR(INDEX(Kamus!$E$3:$E$162,MATCH(TRUE,ISNUMBER(SEARCH(Kamus!$D$3:$D$162,$I730)),0)),"Barang Lain / Tidak Terinci"))</f>
        <v>Makanan &amp; Minuman</v>
      </c>
      <c r="U730" s="106" t="str" cm="1">
        <f t="array" ref="U730">IF(TRIM($I730)="","(tidak diisi)",IFERROR(INDEX(Kamus!$H$3:$H$75,MATCH(TRUE,ISNUMBER(SEARCH(Kamus!$G$3:$G$75,$I730)),0)),"Pemberian Umum / Tanpa Konteks"))</f>
        <v>Paket Sembako</v>
      </c>
      <c r="V730" s="106" t="str">
        <f t="shared" si="33"/>
        <v>2026</v>
      </c>
      <c r="W730" s="106" t="str" cm="1">
        <f t="array" ref="W730">IF(TRIM($K730)="","(tidak diisi)",IFERROR(INDEX(Kamus!$K$3:$K$118,MATCH(TRUE,ISNUMBER(SEARCH(Kamus!$J$3:$J$118,$K730)),0)),"Individu / Perorangan"))</f>
        <v>Bank &amp; Lembaga Keuangan</v>
      </c>
      <c r="X730" s="106" t="str">
        <f t="shared" si="34"/>
        <v>02</v>
      </c>
      <c r="Y730" s="106" t="str" cm="1">
        <f t="array" ref="Y730">IFERROR(INDEX(Kamus!$N$3:$N$111,MATCH(TRUE,ISNUMBER(SEARCH(Kamus!$M$3:$M$111,$I730)),0)),"")</f>
        <v>Kegiatan Sosial / Bantuan (Paket Sembako)</v>
      </c>
      <c r="Z730" s="106" t="str">
        <f>IF(AND(OR($X730="02",$X730="03",$X730="04"),OR($T730="Parsel/Bingkisan (tidak dirinci)",$T730="Makanan &amp; Minuman",$T730="Peralatan Rumah Tangga / Pecah Belah",$T730="Pakaian &amp; Kain")),"Momen Hari Raya (dugaan musiman)",IFERROR(VLOOKUP($W730,Kamus!$P$3:$Q$14,2,FALSE),"Tidak Teridentifikasi"))</f>
        <v>Momen Hari Raya (dugaan musiman)</v>
      </c>
      <c r="AA730" s="106" t="str">
        <f t="shared" si="35"/>
        <v>Kegiatan Sosial / Bantuan (Paket Sembako)</v>
      </c>
    </row>
    <row r="731" spans="1:27">
      <c r="A731" s="106">
        <v>730</v>
      </c>
      <c r="B731" s="106" t="s">
        <v>1716</v>
      </c>
      <c r="C731" s="107" t="s">
        <v>1717</v>
      </c>
      <c r="D731" s="106" t="s">
        <v>1432</v>
      </c>
      <c r="E731" s="106" t="s">
        <v>1166</v>
      </c>
      <c r="F731" s="106" t="s">
        <v>4569</v>
      </c>
      <c r="G731" s="106" t="s">
        <v>1006</v>
      </c>
      <c r="H731" s="106" t="s">
        <v>4484</v>
      </c>
      <c r="I731" s="106" t="s">
        <v>1457</v>
      </c>
      <c r="K731" s="106" t="s">
        <v>4553</v>
      </c>
      <c r="L731" s="106" t="s">
        <v>4570</v>
      </c>
      <c r="O731" s="106" t="s">
        <v>274</v>
      </c>
      <c r="P731" s="106" t="s">
        <v>1173</v>
      </c>
      <c r="Q731" s="106" t="s">
        <v>431</v>
      </c>
      <c r="S731" s="106" t="str" cm="1">
        <f t="array" ref="S731">IF(TRIM($D731)="","(tidak diisi)",IFERROR(INDEX(Kamus!$B$3:$B$28,MATCH(TRUE,ISNUMBER(SEARCH(Kamus!$A$3:$A$28,$D731)),0)),"Jabatan Lainnya"))</f>
        <v>Hakim</v>
      </c>
      <c r="T731" s="106" t="str" cm="1">
        <f t="array" ref="T731">IF(TRIM($I731)="","(tidak diisi)",IFERROR(INDEX(Kamus!$E$3:$E$162,MATCH(TRUE,ISNUMBER(SEARCH(Kamus!$D$3:$D$162,$I731)),0)),"Barang Lain / Tidak Terinci"))</f>
        <v>Makanan &amp; Minuman</v>
      </c>
      <c r="U731" s="106" t="str" cm="1">
        <f t="array" ref="U731">IF(TRIM($I731)="","(tidak diisi)",IFERROR(INDEX(Kamus!$H$3:$H$75,MATCH(TRUE,ISNUMBER(SEARCH(Kamus!$G$3:$G$75,$I731)),0)),"Pemberian Umum / Tanpa Konteks"))</f>
        <v>Paket Sembako</v>
      </c>
      <c r="V731" s="106" t="str">
        <f t="shared" si="33"/>
        <v>2026</v>
      </c>
      <c r="W731" s="106" t="str" cm="1">
        <f t="array" ref="W731">IF(TRIM($K731)="","(tidak diisi)",IFERROR(INDEX(Kamus!$K$3:$K$118,MATCH(TRUE,ISNUMBER(SEARCH(Kamus!$J$3:$J$118,$K731)),0)),"Individu / Perorangan"))</f>
        <v>Bank &amp; Lembaga Keuangan</v>
      </c>
      <c r="X731" s="106" t="str">
        <f t="shared" si="34"/>
        <v>02</v>
      </c>
      <c r="Y731" s="106" t="str" cm="1">
        <f t="array" ref="Y731">IFERROR(INDEX(Kamus!$N$3:$N$111,MATCH(TRUE,ISNUMBER(SEARCH(Kamus!$M$3:$M$111,$I731)),0)),"")</f>
        <v>Kegiatan Sosial / Bantuan (Paket Sembako)</v>
      </c>
      <c r="Z731" s="106" t="str">
        <f>IF(AND(OR($X731="02",$X731="03",$X731="04"),OR($T731="Parsel/Bingkisan (tidak dirinci)",$T731="Makanan &amp; Minuman",$T731="Peralatan Rumah Tangga / Pecah Belah",$T731="Pakaian &amp; Kain")),"Momen Hari Raya (dugaan musiman)",IFERROR(VLOOKUP($W731,Kamus!$P$3:$Q$14,2,FALSE),"Tidak Teridentifikasi"))</f>
        <v>Momen Hari Raya (dugaan musiman)</v>
      </c>
      <c r="AA731" s="106" t="str">
        <f t="shared" si="35"/>
        <v>Kegiatan Sosial / Bantuan (Paket Sembako)</v>
      </c>
    </row>
    <row r="732" spans="1:27">
      <c r="A732" s="106">
        <v>731</v>
      </c>
      <c r="B732" s="106" t="s">
        <v>1668</v>
      </c>
      <c r="C732" s="107" t="s">
        <v>1669</v>
      </c>
      <c r="D732" s="106" t="s">
        <v>1670</v>
      </c>
      <c r="E732" s="106" t="s">
        <v>1166</v>
      </c>
      <c r="F732" s="106" t="s">
        <v>4571</v>
      </c>
      <c r="G732" s="106" t="s">
        <v>1006</v>
      </c>
      <c r="H732" s="106" t="s">
        <v>4484</v>
      </c>
      <c r="I732" s="106" t="s">
        <v>1457</v>
      </c>
      <c r="K732" s="106" t="s">
        <v>4553</v>
      </c>
      <c r="L732" s="106" t="s">
        <v>4572</v>
      </c>
      <c r="O732" s="106" t="s">
        <v>274</v>
      </c>
      <c r="P732" s="106" t="s">
        <v>1173</v>
      </c>
      <c r="Q732" s="106" t="s">
        <v>431</v>
      </c>
      <c r="S732" s="106" t="str" cm="1">
        <f t="array" ref="S732">IF(TRIM($D732)="","(tidak diisi)",IFERROR(INDEX(Kamus!$B$3:$B$28,MATCH(TRUE,ISNUMBER(SEARCH(Kamus!$A$3:$A$28,$D732)),0)),"Jabatan Lainnya"))</f>
        <v>Staf/Pegawai Pelaksana</v>
      </c>
      <c r="T732" s="106" t="str" cm="1">
        <f t="array" ref="T732">IF(TRIM($I732)="","(tidak diisi)",IFERROR(INDEX(Kamus!$E$3:$E$162,MATCH(TRUE,ISNUMBER(SEARCH(Kamus!$D$3:$D$162,$I732)),0)),"Barang Lain / Tidak Terinci"))</f>
        <v>Makanan &amp; Minuman</v>
      </c>
      <c r="U732" s="106" t="str" cm="1">
        <f t="array" ref="U732">IF(TRIM($I732)="","(tidak diisi)",IFERROR(INDEX(Kamus!$H$3:$H$75,MATCH(TRUE,ISNUMBER(SEARCH(Kamus!$G$3:$G$75,$I732)),0)),"Pemberian Umum / Tanpa Konteks"))</f>
        <v>Paket Sembako</v>
      </c>
      <c r="V732" s="106" t="str">
        <f t="shared" si="33"/>
        <v>2026</v>
      </c>
      <c r="W732" s="106" t="str" cm="1">
        <f t="array" ref="W732">IF(TRIM($K732)="","(tidak diisi)",IFERROR(INDEX(Kamus!$K$3:$K$118,MATCH(TRUE,ISNUMBER(SEARCH(Kamus!$J$3:$J$118,$K732)),0)),"Individu / Perorangan"))</f>
        <v>Bank &amp; Lembaga Keuangan</v>
      </c>
      <c r="X732" s="106" t="str">
        <f t="shared" si="34"/>
        <v>02</v>
      </c>
      <c r="Y732" s="106" t="str" cm="1">
        <f t="array" ref="Y732">IFERROR(INDEX(Kamus!$N$3:$N$111,MATCH(TRUE,ISNUMBER(SEARCH(Kamus!$M$3:$M$111,$I732)),0)),"")</f>
        <v>Kegiatan Sosial / Bantuan (Paket Sembako)</v>
      </c>
      <c r="Z732" s="106" t="str">
        <f>IF(AND(OR($X732="02",$X732="03",$X732="04"),OR($T732="Parsel/Bingkisan (tidak dirinci)",$T732="Makanan &amp; Minuman",$T732="Peralatan Rumah Tangga / Pecah Belah",$T732="Pakaian &amp; Kain")),"Momen Hari Raya (dugaan musiman)",IFERROR(VLOOKUP($W732,Kamus!$P$3:$Q$14,2,FALSE),"Tidak Teridentifikasi"))</f>
        <v>Momen Hari Raya (dugaan musiman)</v>
      </c>
      <c r="AA732" s="106" t="str">
        <f t="shared" si="35"/>
        <v>Kegiatan Sosial / Bantuan (Paket Sembako)</v>
      </c>
    </row>
    <row r="733" spans="1:27">
      <c r="A733" s="106">
        <v>732</v>
      </c>
      <c r="B733" s="106" t="s">
        <v>1474</v>
      </c>
      <c r="C733" s="107" t="s">
        <v>1475</v>
      </c>
      <c r="D733" s="106" t="s">
        <v>1013</v>
      </c>
      <c r="E733" s="106" t="s">
        <v>1166</v>
      </c>
      <c r="F733" s="106" t="s">
        <v>4573</v>
      </c>
      <c r="G733" s="106" t="s">
        <v>1006</v>
      </c>
      <c r="H733" s="106" t="s">
        <v>4484</v>
      </c>
      <c r="I733" s="106" t="s">
        <v>1457</v>
      </c>
      <c r="K733" s="106" t="s">
        <v>4553</v>
      </c>
      <c r="L733" s="106" t="s">
        <v>4574</v>
      </c>
      <c r="O733" s="106" t="s">
        <v>274</v>
      </c>
      <c r="P733" s="106" t="s">
        <v>1173</v>
      </c>
      <c r="Q733" s="106" t="s">
        <v>431</v>
      </c>
      <c r="S733" s="106" t="str" cm="1">
        <f t="array" ref="S733">IF(TRIM($D733)="","(tidak diisi)",IFERROR(INDEX(Kamus!$B$3:$B$28,MATCH(TRUE,ISNUMBER(SEARCH(Kamus!$A$3:$A$28,$D733)),0)),"Jabatan Lainnya"))</f>
        <v>Panitera</v>
      </c>
      <c r="T733" s="106" t="str" cm="1">
        <f t="array" ref="T733">IF(TRIM($I733)="","(tidak diisi)",IFERROR(INDEX(Kamus!$E$3:$E$162,MATCH(TRUE,ISNUMBER(SEARCH(Kamus!$D$3:$D$162,$I733)),0)),"Barang Lain / Tidak Terinci"))</f>
        <v>Makanan &amp; Minuman</v>
      </c>
      <c r="U733" s="106" t="str" cm="1">
        <f t="array" ref="U733">IF(TRIM($I733)="","(tidak diisi)",IFERROR(INDEX(Kamus!$H$3:$H$75,MATCH(TRUE,ISNUMBER(SEARCH(Kamus!$G$3:$G$75,$I733)),0)),"Pemberian Umum / Tanpa Konteks"))</f>
        <v>Paket Sembako</v>
      </c>
      <c r="V733" s="106" t="str">
        <f t="shared" si="33"/>
        <v>2026</v>
      </c>
      <c r="W733" s="106" t="str" cm="1">
        <f t="array" ref="W733">IF(TRIM($K733)="","(tidak diisi)",IFERROR(INDEX(Kamus!$K$3:$K$118,MATCH(TRUE,ISNUMBER(SEARCH(Kamus!$J$3:$J$118,$K733)),0)),"Individu / Perorangan"))</f>
        <v>Bank &amp; Lembaga Keuangan</v>
      </c>
      <c r="X733" s="106" t="str">
        <f t="shared" si="34"/>
        <v>02</v>
      </c>
      <c r="Y733" s="106" t="str" cm="1">
        <f t="array" ref="Y733">IFERROR(INDEX(Kamus!$N$3:$N$111,MATCH(TRUE,ISNUMBER(SEARCH(Kamus!$M$3:$M$111,$I733)),0)),"")</f>
        <v>Kegiatan Sosial / Bantuan (Paket Sembako)</v>
      </c>
      <c r="Z733" s="106" t="str">
        <f>IF(AND(OR($X733="02",$X733="03",$X733="04"),OR($T733="Parsel/Bingkisan (tidak dirinci)",$T733="Makanan &amp; Minuman",$T733="Peralatan Rumah Tangga / Pecah Belah",$T733="Pakaian &amp; Kain")),"Momen Hari Raya (dugaan musiman)",IFERROR(VLOOKUP($W733,Kamus!$P$3:$Q$14,2,FALSE),"Tidak Teridentifikasi"))</f>
        <v>Momen Hari Raya (dugaan musiman)</v>
      </c>
      <c r="AA733" s="106" t="str">
        <f t="shared" si="35"/>
        <v>Kegiatan Sosial / Bantuan (Paket Sembako)</v>
      </c>
    </row>
    <row r="734" spans="1:27">
      <c r="A734" s="106">
        <v>733</v>
      </c>
      <c r="B734" s="106" t="s">
        <v>1521</v>
      </c>
      <c r="C734" s="107" t="s">
        <v>1522</v>
      </c>
      <c r="D734" s="106" t="s">
        <v>1523</v>
      </c>
      <c r="E734" s="106" t="s">
        <v>1166</v>
      </c>
      <c r="F734" s="106" t="s">
        <v>4575</v>
      </c>
      <c r="G734" s="106" t="s">
        <v>1006</v>
      </c>
      <c r="H734" s="106" t="s">
        <v>4484</v>
      </c>
      <c r="I734" s="106" t="s">
        <v>1457</v>
      </c>
      <c r="K734" s="106" t="s">
        <v>4553</v>
      </c>
      <c r="L734" s="106" t="s">
        <v>4576</v>
      </c>
      <c r="O734" s="106" t="s">
        <v>274</v>
      </c>
      <c r="P734" s="106" t="s">
        <v>1173</v>
      </c>
      <c r="Q734" s="106" t="s">
        <v>431</v>
      </c>
      <c r="S734" s="106" t="str" cm="1">
        <f t="array" ref="S734">IF(TRIM($D734)="","(tidak diisi)",IFERROR(INDEX(Kamus!$B$3:$B$28,MATCH(TRUE,ISNUMBER(SEARCH(Kamus!$A$3:$A$28,$D734)),0)),"Jabatan Lainnya"))</f>
        <v>Panitera</v>
      </c>
      <c r="T734" s="106" t="str" cm="1">
        <f t="array" ref="T734">IF(TRIM($I734)="","(tidak diisi)",IFERROR(INDEX(Kamus!$E$3:$E$162,MATCH(TRUE,ISNUMBER(SEARCH(Kamus!$D$3:$D$162,$I734)),0)),"Barang Lain / Tidak Terinci"))</f>
        <v>Makanan &amp; Minuman</v>
      </c>
      <c r="U734" s="106" t="str" cm="1">
        <f t="array" ref="U734">IF(TRIM($I734)="","(tidak diisi)",IFERROR(INDEX(Kamus!$H$3:$H$75,MATCH(TRUE,ISNUMBER(SEARCH(Kamus!$G$3:$G$75,$I734)),0)),"Pemberian Umum / Tanpa Konteks"))</f>
        <v>Paket Sembako</v>
      </c>
      <c r="V734" s="106" t="str">
        <f t="shared" si="33"/>
        <v>2026</v>
      </c>
      <c r="W734" s="106" t="str" cm="1">
        <f t="array" ref="W734">IF(TRIM($K734)="","(tidak diisi)",IFERROR(INDEX(Kamus!$K$3:$K$118,MATCH(TRUE,ISNUMBER(SEARCH(Kamus!$J$3:$J$118,$K734)),0)),"Individu / Perorangan"))</f>
        <v>Bank &amp; Lembaga Keuangan</v>
      </c>
      <c r="X734" s="106" t="str">
        <f t="shared" si="34"/>
        <v>02</v>
      </c>
      <c r="Y734" s="106" t="str" cm="1">
        <f t="array" ref="Y734">IFERROR(INDEX(Kamus!$N$3:$N$111,MATCH(TRUE,ISNUMBER(SEARCH(Kamus!$M$3:$M$111,$I734)),0)),"")</f>
        <v>Kegiatan Sosial / Bantuan (Paket Sembako)</v>
      </c>
      <c r="Z734" s="106" t="str">
        <f>IF(AND(OR($X734="02",$X734="03",$X734="04"),OR($T734="Parsel/Bingkisan (tidak dirinci)",$T734="Makanan &amp; Minuman",$T734="Peralatan Rumah Tangga / Pecah Belah",$T734="Pakaian &amp; Kain")),"Momen Hari Raya (dugaan musiman)",IFERROR(VLOOKUP($W734,Kamus!$P$3:$Q$14,2,FALSE),"Tidak Teridentifikasi"))</f>
        <v>Momen Hari Raya (dugaan musiman)</v>
      </c>
      <c r="AA734" s="106" t="str">
        <f t="shared" si="35"/>
        <v>Kegiatan Sosial / Bantuan (Paket Sembako)</v>
      </c>
    </row>
    <row r="735" spans="1:27">
      <c r="A735" s="106">
        <v>734</v>
      </c>
      <c r="B735" s="106" t="s">
        <v>1479</v>
      </c>
      <c r="C735" s="107" t="s">
        <v>1480</v>
      </c>
      <c r="D735" s="106" t="s">
        <v>1481</v>
      </c>
      <c r="E735" s="106" t="s">
        <v>1166</v>
      </c>
      <c r="F735" s="106" t="s">
        <v>4577</v>
      </c>
      <c r="G735" s="106" t="s">
        <v>1006</v>
      </c>
      <c r="H735" s="106" t="s">
        <v>4484</v>
      </c>
      <c r="I735" s="106" t="s">
        <v>1457</v>
      </c>
      <c r="K735" s="106" t="s">
        <v>4553</v>
      </c>
      <c r="L735" s="106" t="s">
        <v>4578</v>
      </c>
      <c r="O735" s="106" t="s">
        <v>274</v>
      </c>
      <c r="P735" s="106" t="s">
        <v>1173</v>
      </c>
      <c r="Q735" s="106" t="s">
        <v>431</v>
      </c>
      <c r="S735" s="106" t="str" cm="1">
        <f t="array" ref="S735">IF(TRIM($D735)="","(tidak diisi)",IFERROR(INDEX(Kamus!$B$3:$B$28,MATCH(TRUE,ISNUMBER(SEARCH(Kamus!$A$3:$A$28,$D735)),0)),"Jabatan Lainnya"))</f>
        <v>Staf/Pegawai Pelaksana</v>
      </c>
      <c r="T735" s="106" t="str" cm="1">
        <f t="array" ref="T735">IF(TRIM($I735)="","(tidak diisi)",IFERROR(INDEX(Kamus!$E$3:$E$162,MATCH(TRUE,ISNUMBER(SEARCH(Kamus!$D$3:$D$162,$I735)),0)),"Barang Lain / Tidak Terinci"))</f>
        <v>Makanan &amp; Minuman</v>
      </c>
      <c r="U735" s="106" t="str" cm="1">
        <f t="array" ref="U735">IF(TRIM($I735)="","(tidak diisi)",IFERROR(INDEX(Kamus!$H$3:$H$75,MATCH(TRUE,ISNUMBER(SEARCH(Kamus!$G$3:$G$75,$I735)),0)),"Pemberian Umum / Tanpa Konteks"))</f>
        <v>Paket Sembako</v>
      </c>
      <c r="V735" s="106" t="str">
        <f t="shared" si="33"/>
        <v>2026</v>
      </c>
      <c r="W735" s="106" t="str" cm="1">
        <f t="array" ref="W735">IF(TRIM($K735)="","(tidak diisi)",IFERROR(INDEX(Kamus!$K$3:$K$118,MATCH(TRUE,ISNUMBER(SEARCH(Kamus!$J$3:$J$118,$K735)),0)),"Individu / Perorangan"))</f>
        <v>Bank &amp; Lembaga Keuangan</v>
      </c>
      <c r="X735" s="106" t="str">
        <f t="shared" si="34"/>
        <v>02</v>
      </c>
      <c r="Y735" s="106" t="str" cm="1">
        <f t="array" ref="Y735">IFERROR(INDEX(Kamus!$N$3:$N$111,MATCH(TRUE,ISNUMBER(SEARCH(Kamus!$M$3:$M$111,$I735)),0)),"")</f>
        <v>Kegiatan Sosial / Bantuan (Paket Sembako)</v>
      </c>
      <c r="Z735" s="106" t="str">
        <f>IF(AND(OR($X735="02",$X735="03",$X735="04"),OR($T735="Parsel/Bingkisan (tidak dirinci)",$T735="Makanan &amp; Minuman",$T735="Peralatan Rumah Tangga / Pecah Belah",$T735="Pakaian &amp; Kain")),"Momen Hari Raya (dugaan musiman)",IFERROR(VLOOKUP($W735,Kamus!$P$3:$Q$14,2,FALSE),"Tidak Teridentifikasi"))</f>
        <v>Momen Hari Raya (dugaan musiman)</v>
      </c>
      <c r="AA735" s="106" t="str">
        <f t="shared" si="35"/>
        <v>Kegiatan Sosial / Bantuan (Paket Sembako)</v>
      </c>
    </row>
    <row r="736" spans="1:27">
      <c r="A736" s="106">
        <v>735</v>
      </c>
      <c r="B736" s="106" t="s">
        <v>4579</v>
      </c>
      <c r="C736" s="107" t="s">
        <v>4580</v>
      </c>
      <c r="D736" s="106" t="s">
        <v>4581</v>
      </c>
      <c r="E736" s="106" t="s">
        <v>1166</v>
      </c>
      <c r="F736" s="106" t="s">
        <v>4582</v>
      </c>
      <c r="G736" s="106" t="s">
        <v>1006</v>
      </c>
      <c r="H736" s="106" t="s">
        <v>4484</v>
      </c>
      <c r="I736" s="106" t="s">
        <v>1457</v>
      </c>
      <c r="K736" s="106" t="s">
        <v>4553</v>
      </c>
      <c r="L736" s="106" t="s">
        <v>4583</v>
      </c>
      <c r="O736" s="106" t="s">
        <v>274</v>
      </c>
      <c r="P736" s="106" t="s">
        <v>1173</v>
      </c>
      <c r="Q736" s="106" t="s">
        <v>431</v>
      </c>
      <c r="S736" s="106" t="str" cm="1">
        <f t="array" ref="S736">IF(TRIM($D736)="","(tidak diisi)",IFERROR(INDEX(Kamus!$B$3:$B$28,MATCH(TRUE,ISNUMBER(SEARCH(Kamus!$A$3:$A$28,$D736)),0)),"Jabatan Lainnya"))</f>
        <v>Pejabat Struktural (Kasubbag/Kabag)</v>
      </c>
      <c r="T736" s="106" t="str" cm="1">
        <f t="array" ref="T736">IF(TRIM($I736)="","(tidak diisi)",IFERROR(INDEX(Kamus!$E$3:$E$162,MATCH(TRUE,ISNUMBER(SEARCH(Kamus!$D$3:$D$162,$I736)),0)),"Barang Lain / Tidak Terinci"))</f>
        <v>Makanan &amp; Minuman</v>
      </c>
      <c r="U736" s="106" t="str" cm="1">
        <f t="array" ref="U736">IF(TRIM($I736)="","(tidak diisi)",IFERROR(INDEX(Kamus!$H$3:$H$75,MATCH(TRUE,ISNUMBER(SEARCH(Kamus!$G$3:$G$75,$I736)),0)),"Pemberian Umum / Tanpa Konteks"))</f>
        <v>Paket Sembako</v>
      </c>
      <c r="V736" s="106" t="str">
        <f t="shared" si="33"/>
        <v>2026</v>
      </c>
      <c r="W736" s="106" t="str" cm="1">
        <f t="array" ref="W736">IF(TRIM($K736)="","(tidak diisi)",IFERROR(INDEX(Kamus!$K$3:$K$118,MATCH(TRUE,ISNUMBER(SEARCH(Kamus!$J$3:$J$118,$K736)),0)),"Individu / Perorangan"))</f>
        <v>Bank &amp; Lembaga Keuangan</v>
      </c>
      <c r="X736" s="106" t="str">
        <f t="shared" si="34"/>
        <v>02</v>
      </c>
      <c r="Y736" s="106" t="str" cm="1">
        <f t="array" ref="Y736">IFERROR(INDEX(Kamus!$N$3:$N$111,MATCH(TRUE,ISNUMBER(SEARCH(Kamus!$M$3:$M$111,$I736)),0)),"")</f>
        <v>Kegiatan Sosial / Bantuan (Paket Sembako)</v>
      </c>
      <c r="Z736" s="106" t="str">
        <f>IF(AND(OR($X736="02",$X736="03",$X736="04"),OR($T736="Parsel/Bingkisan (tidak dirinci)",$T736="Makanan &amp; Minuman",$T736="Peralatan Rumah Tangga / Pecah Belah",$T736="Pakaian &amp; Kain")),"Momen Hari Raya (dugaan musiman)",IFERROR(VLOOKUP($W736,Kamus!$P$3:$Q$14,2,FALSE),"Tidak Teridentifikasi"))</f>
        <v>Momen Hari Raya (dugaan musiman)</v>
      </c>
      <c r="AA736" s="106" t="str">
        <f t="shared" si="35"/>
        <v>Kegiatan Sosial / Bantuan (Paket Sembako)</v>
      </c>
    </row>
    <row r="737" spans="1:27">
      <c r="A737" s="106">
        <v>736</v>
      </c>
      <c r="B737" s="106" t="s">
        <v>1650</v>
      </c>
      <c r="C737" s="107" t="s">
        <v>1651</v>
      </c>
      <c r="D737" s="106" t="s">
        <v>1652</v>
      </c>
      <c r="E737" s="106" t="s">
        <v>1166</v>
      </c>
      <c r="F737" s="106" t="s">
        <v>4584</v>
      </c>
      <c r="G737" s="106" t="s">
        <v>1006</v>
      </c>
      <c r="H737" s="106" t="s">
        <v>4484</v>
      </c>
      <c r="I737" s="106" t="s">
        <v>1655</v>
      </c>
      <c r="J737" s="106">
        <v>200000</v>
      </c>
      <c r="K737" s="106" t="s">
        <v>4585</v>
      </c>
      <c r="L737" s="106" t="s">
        <v>4586</v>
      </c>
      <c r="M737" s="106" t="s">
        <v>1020</v>
      </c>
      <c r="O737" s="106" t="s">
        <v>274</v>
      </c>
      <c r="P737" s="106" t="s">
        <v>1173</v>
      </c>
      <c r="Q737" s="106" t="s">
        <v>431</v>
      </c>
      <c r="S737" s="106" t="str" cm="1">
        <f t="array" ref="S737">IF(TRIM($D737)="","(tidak diisi)",IFERROR(INDEX(Kamus!$B$3:$B$28,MATCH(TRUE,ISNUMBER(SEARCH(Kamus!$A$3:$A$28,$D737)),0)),"Jabatan Lainnya"))</f>
        <v>Panitera</v>
      </c>
      <c r="T737" s="106" t="str" cm="1">
        <f t="array" ref="T737">IF(TRIM($I737)="","(tidak diisi)",IFERROR(INDEX(Kamus!$E$3:$E$162,MATCH(TRUE,ISNUMBER(SEARCH(Kamus!$D$3:$D$162,$I737)),0)),"Barang Lain / Tidak Terinci"))</f>
        <v>Makanan &amp; Minuman</v>
      </c>
      <c r="U737" s="106" t="str" cm="1">
        <f t="array" ref="U737">IF(TRIM($I737)="","(tidak diisi)",IFERROR(INDEX(Kamus!$H$3:$H$75,MATCH(TRUE,ISNUMBER(SEARCH(Kamus!$G$3:$G$75,$I737)),0)),"Pemberian Umum / Tanpa Konteks"))</f>
        <v>Paket Sembako</v>
      </c>
      <c r="V737" s="106" t="str">
        <f t="shared" si="33"/>
        <v>2026</v>
      </c>
      <c r="W737" s="106" t="str" cm="1">
        <f t="array" ref="W737">IF(TRIM($K737)="","(tidak diisi)",IFERROR(INDEX(Kamus!$K$3:$K$118,MATCH(TRUE,ISNUMBER(SEARCH(Kamus!$J$3:$J$118,$K737)),0)),"Individu / Perorangan"))</f>
        <v>Bank &amp; Lembaga Keuangan</v>
      </c>
      <c r="X737" s="106" t="str">
        <f t="shared" si="34"/>
        <v>02</v>
      </c>
      <c r="Y737" s="106" t="str" cm="1">
        <f t="array" ref="Y737">IFERROR(INDEX(Kamus!$N$3:$N$111,MATCH(TRUE,ISNUMBER(SEARCH(Kamus!$M$3:$M$111,$I737)),0)),"")</f>
        <v>Kegiatan Sosial / Bantuan (Paket Sembako)</v>
      </c>
      <c r="Z737" s="106" t="str">
        <f>IF(AND(OR($X737="02",$X737="03",$X737="04"),OR($T737="Parsel/Bingkisan (tidak dirinci)",$T737="Makanan &amp; Minuman",$T737="Peralatan Rumah Tangga / Pecah Belah",$T737="Pakaian &amp; Kain")),"Momen Hari Raya (dugaan musiman)",IFERROR(VLOOKUP($W737,Kamus!$P$3:$Q$14,2,FALSE),"Tidak Teridentifikasi"))</f>
        <v>Momen Hari Raya (dugaan musiman)</v>
      </c>
      <c r="AA737" s="106" t="str">
        <f t="shared" si="35"/>
        <v>Kegiatan Sosial / Bantuan (Paket Sembako)</v>
      </c>
    </row>
    <row r="738" spans="1:27">
      <c r="A738" s="106">
        <v>737</v>
      </c>
      <c r="B738" s="106" t="s">
        <v>4587</v>
      </c>
      <c r="C738" s="107" t="s">
        <v>4588</v>
      </c>
      <c r="D738" s="106" t="s">
        <v>4589</v>
      </c>
      <c r="E738" s="106" t="s">
        <v>1166</v>
      </c>
      <c r="F738" s="106" t="s">
        <v>4590</v>
      </c>
      <c r="G738" s="106" t="s">
        <v>1006</v>
      </c>
      <c r="H738" s="106" t="s">
        <v>4484</v>
      </c>
      <c r="I738" s="106" t="s">
        <v>4511</v>
      </c>
      <c r="K738" s="106" t="s">
        <v>1484</v>
      </c>
      <c r="L738" s="106" t="s">
        <v>4591</v>
      </c>
      <c r="O738" s="106" t="s">
        <v>274</v>
      </c>
      <c r="P738" s="106" t="s">
        <v>1173</v>
      </c>
      <c r="Q738" s="106" t="s">
        <v>431</v>
      </c>
      <c r="S738" s="106" t="str" cm="1">
        <f t="array" ref="S738">IF(TRIM($D738)="","(tidak diisi)",IFERROR(INDEX(Kamus!$B$3:$B$28,MATCH(TRUE,ISNUMBER(SEARCH(Kamus!$A$3:$A$28,$D738)),0)),"Jabatan Lainnya"))</f>
        <v>Staf/Pegawai Pelaksana</v>
      </c>
      <c r="T738" s="106" t="str" cm="1">
        <f t="array" ref="T738">IF(TRIM($I738)="","(tidak diisi)",IFERROR(INDEX(Kamus!$E$3:$E$162,MATCH(TRUE,ISNUMBER(SEARCH(Kamus!$D$3:$D$162,$I738)),0)),"Barang Lain / Tidak Terinci"))</f>
        <v>Makanan &amp; Minuman</v>
      </c>
      <c r="U738" s="106" t="str" cm="1">
        <f t="array" ref="U738">IF(TRIM($I738)="","(tidak diisi)",IFERROR(INDEX(Kamus!$H$3:$H$75,MATCH(TRUE,ISNUMBER(SEARCH(Kamus!$G$3:$G$75,$I738)),0)),"Pemberian Umum / Tanpa Konteks"))</f>
        <v>Paket Sembako</v>
      </c>
      <c r="V738" s="106" t="str">
        <f t="shared" si="33"/>
        <v>2026</v>
      </c>
      <c r="W738" s="106" t="str" cm="1">
        <f t="array" ref="W738">IF(TRIM($K738)="","(tidak diisi)",IFERROR(INDEX(Kamus!$K$3:$K$118,MATCH(TRUE,ISNUMBER(SEARCH(Kamus!$J$3:$J$118,$K738)),0)),"Individu / Perorangan"))</f>
        <v>Bank &amp; Lembaga Keuangan</v>
      </c>
      <c r="X738" s="106" t="str">
        <f t="shared" si="34"/>
        <v>02</v>
      </c>
      <c r="Y738" s="106" t="str" cm="1">
        <f t="array" ref="Y738">IFERROR(INDEX(Kamus!$N$3:$N$111,MATCH(TRUE,ISNUMBER(SEARCH(Kamus!$M$3:$M$111,$I738)),0)),"")</f>
        <v>Kegiatan Sosial / Bantuan (Paket Sembako)</v>
      </c>
      <c r="Z738" s="106" t="str">
        <f>IF(AND(OR($X738="02",$X738="03",$X738="04"),OR($T738="Parsel/Bingkisan (tidak dirinci)",$T738="Makanan &amp; Minuman",$T738="Peralatan Rumah Tangga / Pecah Belah",$T738="Pakaian &amp; Kain")),"Momen Hari Raya (dugaan musiman)",IFERROR(VLOOKUP($W738,Kamus!$P$3:$Q$14,2,FALSE),"Tidak Teridentifikasi"))</f>
        <v>Momen Hari Raya (dugaan musiman)</v>
      </c>
      <c r="AA738" s="106" t="str">
        <f t="shared" si="35"/>
        <v>Kegiatan Sosial / Bantuan (Paket Sembako)</v>
      </c>
    </row>
    <row r="739" spans="1:27">
      <c r="A739" s="106">
        <v>738</v>
      </c>
      <c r="B739" s="106" t="s">
        <v>4477</v>
      </c>
      <c r="C739" s="107" t="s">
        <v>4478</v>
      </c>
      <c r="D739" s="106" t="s">
        <v>1843</v>
      </c>
      <c r="E739" s="106" t="s">
        <v>1005</v>
      </c>
      <c r="F739" s="106" t="s">
        <v>4592</v>
      </c>
      <c r="G739" s="106" t="s">
        <v>1006</v>
      </c>
      <c r="H739" s="106" t="s">
        <v>4593</v>
      </c>
      <c r="I739" s="106" t="s">
        <v>4594</v>
      </c>
      <c r="J739" s="106">
        <v>292199</v>
      </c>
      <c r="K739" s="106" t="s">
        <v>4595</v>
      </c>
      <c r="L739" s="106" t="s">
        <v>4596</v>
      </c>
      <c r="M739" s="106" t="s">
        <v>1171</v>
      </c>
      <c r="N739" s="106" t="s">
        <v>4597</v>
      </c>
      <c r="O739" s="106" t="s">
        <v>274</v>
      </c>
      <c r="S739" s="106" t="str" cm="1">
        <f t="array" ref="S739">IF(TRIM($D739)="","(tidak diisi)",IFERROR(INDEX(Kamus!$B$3:$B$28,MATCH(TRUE,ISNUMBER(SEARCH(Kamus!$A$3:$A$28,$D739)),0)),"Jabatan Lainnya"))</f>
        <v>Ketua Pengadilan</v>
      </c>
      <c r="T739" s="106" t="str" cm="1">
        <f t="array" ref="T739">IF(TRIM($I739)="","(tidak diisi)",IFERROR(INDEX(Kamus!$E$3:$E$162,MATCH(TRUE,ISNUMBER(SEARCH(Kamus!$D$3:$D$162,$I739)),0)),"Barang Lain / Tidak Terinci"))</f>
        <v>Pakaian &amp; Kain</v>
      </c>
      <c r="U739" s="106" t="str" cm="1">
        <f t="array" ref="U739">IF(TRIM($I739)="","(tidak diisi)",IFERROR(INDEX(Kamus!$H$3:$H$75,MATCH(TRUE,ISNUMBER(SEARCH(Kamus!$G$3:$G$75,$I739)),0)),"Pemberian Umum / Tanpa Konteks"))</f>
        <v>Pemberian Umum / Tanpa Konteks</v>
      </c>
      <c r="V739" s="106" t="str">
        <f t="shared" si="33"/>
        <v>2026</v>
      </c>
      <c r="W739" s="106" t="str" cm="1">
        <f t="array" ref="W739">IF(TRIM($K739)="","(tidak diisi)",IFERROR(INDEX(Kamus!$K$3:$K$118,MATCH(TRUE,ISNUMBER(SEARCH(Kamus!$J$3:$J$118,$K739)),0)),"Individu / Perorangan"))</f>
        <v>Individu / Perorangan</v>
      </c>
      <c r="X739" s="106" t="str">
        <f t="shared" si="34"/>
        <v>02</v>
      </c>
      <c r="Y739" s="106" t="str" cm="1">
        <f t="array" ref="Y739">IFERROR(INDEX(Kamus!$N$3:$N$111,MATCH(TRUE,ISNUMBER(SEARCH(Kamus!$M$3:$M$111,$I739)),0)),"")</f>
        <v/>
      </c>
      <c r="Z739" s="106" t="str">
        <f>IF(AND(OR($X739="02",$X739="03",$X739="04"),OR($T739="Parsel/Bingkisan (tidak dirinci)",$T739="Makanan &amp; Minuman",$T739="Peralatan Rumah Tangga / Pecah Belah",$T739="Pakaian &amp; Kain")),"Momen Hari Raya (dugaan musiman)",IFERROR(VLOOKUP($W739,Kamus!$P$3:$Q$14,2,FALSE),"Tidak Teridentifikasi"))</f>
        <v>Momen Hari Raya (dugaan musiman)</v>
      </c>
      <c r="AA739" s="106" t="str">
        <f t="shared" si="35"/>
        <v>Momen Hari Raya (dugaan musiman)</v>
      </c>
    </row>
    <row r="740" spans="1:27">
      <c r="A740" s="106">
        <v>739</v>
      </c>
      <c r="B740" s="106" t="s">
        <v>3879</v>
      </c>
      <c r="C740" s="107" t="s">
        <v>3880</v>
      </c>
      <c r="D740" s="106" t="s">
        <v>3881</v>
      </c>
      <c r="E740" s="106" t="s">
        <v>3882</v>
      </c>
      <c r="F740" s="106" t="s">
        <v>4598</v>
      </c>
      <c r="G740" s="106" t="s">
        <v>1006</v>
      </c>
      <c r="H740" s="106" t="s">
        <v>4484</v>
      </c>
      <c r="I740" s="106" t="s">
        <v>1398</v>
      </c>
      <c r="K740" s="106" t="s">
        <v>4599</v>
      </c>
      <c r="L740" s="106" t="s">
        <v>4600</v>
      </c>
      <c r="O740" s="106" t="s">
        <v>274</v>
      </c>
      <c r="P740" s="106" t="s">
        <v>3887</v>
      </c>
      <c r="Q740" s="106" t="s">
        <v>409</v>
      </c>
      <c r="S740" s="106" t="str" cm="1">
        <f t="array" ref="S740">IF(TRIM($D740)="","(tidak diisi)",IFERROR(INDEX(Kamus!$B$3:$B$28,MATCH(TRUE,ISNUMBER(SEARCH(Kamus!$A$3:$A$28,$D740)),0)),"Jabatan Lainnya"))</f>
        <v>Wakil Ketua Pengadilan</v>
      </c>
      <c r="T740" s="106" t="str" cm="1">
        <f t="array" ref="T740">IF(TRIM($I740)="","(tidak diisi)",IFERROR(INDEX(Kamus!$E$3:$E$162,MATCH(TRUE,ISNUMBER(SEARCH(Kamus!$D$3:$D$162,$I740)),0)),"Barang Lain / Tidak Terinci"))</f>
        <v>Suvenir &amp; Merchandise</v>
      </c>
      <c r="U740" s="106" t="str" cm="1">
        <f t="array" ref="U740">IF(TRIM($I740)="","(tidak diisi)",IFERROR(INDEX(Kamus!$H$3:$H$75,MATCH(TRUE,ISNUMBER(SEARCH(Kamus!$G$3:$G$75,$I740)),0)),"Pemberian Umum / Tanpa Konteks"))</f>
        <v>Suvenir / Merchandise Kegiatan &amp; Kunjungan</v>
      </c>
      <c r="V740" s="106" t="str">
        <f t="shared" si="33"/>
        <v>2026</v>
      </c>
      <c r="W740" s="106" t="str" cm="1">
        <f t="array" ref="W740">IF(TRIM($K740)="","(tidak diisi)",IFERROR(INDEX(Kamus!$K$3:$K$118,MATCH(TRUE,ISNUMBER(SEARCH(Kamus!$J$3:$J$118,$K740)),0)),"Individu / Perorangan"))</f>
        <v>Internal Peradilan / Instansi Sendiri</v>
      </c>
      <c r="X740" s="106" t="str">
        <f t="shared" si="34"/>
        <v>02</v>
      </c>
      <c r="Y740" s="106" t="str" cm="1">
        <f t="array" ref="Y740">IFERROR(INDEX(Kamus!$N$3:$N$111,MATCH(TRUE,ISNUMBER(SEARCH(Kamus!$M$3:$M$111,$I740)),0)),"")</f>
        <v/>
      </c>
      <c r="Z740" s="106" t="str">
        <f>IF(AND(OR($X740="02",$X740="03",$X740="04"),OR($T740="Parsel/Bingkisan (tidak dirinci)",$T740="Makanan &amp; Minuman",$T740="Peralatan Rumah Tangga / Pecah Belah",$T740="Pakaian &amp; Kain")),"Momen Hari Raya (dugaan musiman)",IFERROR(VLOOKUP($W740,Kamus!$P$3:$Q$14,2,FALSE),"Tidak Teridentifikasi"))</f>
        <v>Kunjungan/Koordinasi Internal Peradilan (dugaan)</v>
      </c>
      <c r="AA740" s="106" t="str">
        <f t="shared" si="35"/>
        <v>Kunjungan/Koordinasi Internal Peradilan (dugaan)</v>
      </c>
    </row>
    <row r="741" spans="1:27">
      <c r="A741" s="106">
        <v>740</v>
      </c>
      <c r="B741" s="106" t="s">
        <v>3879</v>
      </c>
      <c r="C741" s="107" t="s">
        <v>3880</v>
      </c>
      <c r="D741" s="106" t="s">
        <v>3881</v>
      </c>
      <c r="E741" s="106" t="s">
        <v>3882</v>
      </c>
      <c r="F741" s="106" t="s">
        <v>4598</v>
      </c>
      <c r="G741" s="106" t="s">
        <v>1006</v>
      </c>
      <c r="H741" s="106" t="s">
        <v>4484</v>
      </c>
      <c r="I741" s="106" t="s">
        <v>4601</v>
      </c>
      <c r="K741" s="106" t="s">
        <v>4602</v>
      </c>
      <c r="L741" s="106" t="s">
        <v>4600</v>
      </c>
      <c r="O741" s="106" t="s">
        <v>274</v>
      </c>
      <c r="P741" s="106" t="s">
        <v>3887</v>
      </c>
      <c r="Q741" s="106" t="s">
        <v>409</v>
      </c>
      <c r="S741" s="106" t="str" cm="1">
        <f t="array" ref="S741">IF(TRIM($D741)="","(tidak diisi)",IFERROR(INDEX(Kamus!$B$3:$B$28,MATCH(TRUE,ISNUMBER(SEARCH(Kamus!$A$3:$A$28,$D741)),0)),"Jabatan Lainnya"))</f>
        <v>Wakil Ketua Pengadilan</v>
      </c>
      <c r="T741" s="106" t="str" cm="1">
        <f t="array" ref="T741">IF(TRIM($I741)="","(tidak diisi)",IFERROR(INDEX(Kamus!$E$3:$E$162,MATCH(TRUE,ISNUMBER(SEARCH(Kamus!$D$3:$D$162,$I741)),0)),"Barang Lain / Tidak Terinci"))</f>
        <v>Barang Lain / Tidak Terinci</v>
      </c>
      <c r="U741" s="106" t="str" cm="1">
        <f t="array" ref="U741">IF(TRIM($I741)="","(tidak diisi)",IFERROR(INDEX(Kamus!$H$3:$H$75,MATCH(TRUE,ISNUMBER(SEARCH(Kamus!$G$3:$G$75,$I741)),0)),"Pemberian Umum / Tanpa Konteks"))</f>
        <v>Pemberian Umum / Tanpa Konteks</v>
      </c>
      <c r="V741" s="106" t="str">
        <f t="shared" si="33"/>
        <v>2026</v>
      </c>
      <c r="W741" s="106" t="str" cm="1">
        <f t="array" ref="W741">IF(TRIM($K741)="","(tidak diisi)",IFERROR(INDEX(Kamus!$K$3:$K$118,MATCH(TRUE,ISNUMBER(SEARCH(Kamus!$J$3:$J$118,$K741)),0)),"Individu / Perorangan"))</f>
        <v>Individu / Perorangan</v>
      </c>
      <c r="X741" s="106" t="str">
        <f t="shared" si="34"/>
        <v>02</v>
      </c>
      <c r="Y741" s="106" t="str" cm="1">
        <f t="array" ref="Y741">IFERROR(INDEX(Kamus!$N$3:$N$111,MATCH(TRUE,ISNUMBER(SEARCH(Kamus!$M$3:$M$111,$I741)),0)),"")</f>
        <v/>
      </c>
      <c r="Z741" s="106" t="str">
        <f>IF(AND(OR($X741="02",$X741="03",$X741="04"),OR($T741="Parsel/Bingkisan (tidak dirinci)",$T741="Makanan &amp; Minuman",$T741="Peralatan Rumah Tangga / Pecah Belah",$T741="Pakaian &amp; Kain")),"Momen Hari Raya (dugaan musiman)",IFERROR(VLOOKUP($W741,Kamus!$P$3:$Q$14,2,FALSE),"Tidak Teridentifikasi"))</f>
        <v>Relasi Personal / Tidak Teridentifikasi</v>
      </c>
      <c r="AA741" s="106" t="str">
        <f t="shared" si="35"/>
        <v>Relasi Personal / Tidak Teridentifikasi</v>
      </c>
    </row>
    <row r="742" spans="1:27">
      <c r="A742" s="106">
        <v>741</v>
      </c>
      <c r="B742" s="106" t="s">
        <v>4603</v>
      </c>
      <c r="C742" s="107" t="s">
        <v>4604</v>
      </c>
      <c r="D742" s="106" t="s">
        <v>1843</v>
      </c>
      <c r="E742" s="106" t="s">
        <v>1403</v>
      </c>
      <c r="F742" s="106" t="s">
        <v>4605</v>
      </c>
      <c r="G742" s="106" t="s">
        <v>1006</v>
      </c>
      <c r="H742" s="106" t="s">
        <v>4484</v>
      </c>
      <c r="I742" s="106" t="s">
        <v>2697</v>
      </c>
      <c r="J742" s="106">
        <v>363000</v>
      </c>
      <c r="K742" s="106" t="s">
        <v>4606</v>
      </c>
      <c r="L742" s="106" t="s">
        <v>4607</v>
      </c>
      <c r="M742" s="106" t="s">
        <v>1171</v>
      </c>
      <c r="N742" s="106" t="s">
        <v>4608</v>
      </c>
      <c r="O742" s="106" t="s">
        <v>274</v>
      </c>
      <c r="P742" s="106" t="s">
        <v>1410</v>
      </c>
      <c r="Q742" s="106" t="s">
        <v>403</v>
      </c>
      <c r="S742" s="106" t="str" cm="1">
        <f t="array" ref="S742">IF(TRIM($D742)="","(tidak diisi)",IFERROR(INDEX(Kamus!$B$3:$B$28,MATCH(TRUE,ISNUMBER(SEARCH(Kamus!$A$3:$A$28,$D742)),0)),"Jabatan Lainnya"))</f>
        <v>Ketua Pengadilan</v>
      </c>
      <c r="T742" s="106" t="str" cm="1">
        <f t="array" ref="T742">IF(TRIM($I742)="","(tidak diisi)",IFERROR(INDEX(Kamus!$E$3:$E$162,MATCH(TRUE,ISNUMBER(SEARCH(Kamus!$D$3:$D$162,$I742)),0)),"Barang Lain / Tidak Terinci"))</f>
        <v>Pakaian &amp; Kain</v>
      </c>
      <c r="U742" s="106" t="str" cm="1">
        <f t="array" ref="U742">IF(TRIM($I742)="","(tidak diisi)",IFERROR(INDEX(Kamus!$H$3:$H$75,MATCH(TRUE,ISNUMBER(SEARCH(Kamus!$G$3:$G$75,$I742)),0)),"Pemberian Umum / Tanpa Konteks"))</f>
        <v>Pemberian Umum / Tanpa Konteks</v>
      </c>
      <c r="V742" s="106" t="str">
        <f t="shared" si="33"/>
        <v>2026</v>
      </c>
      <c r="W742" s="106" t="str" cm="1">
        <f t="array" ref="W742">IF(TRIM($K742)="","(tidak diisi)",IFERROR(INDEX(Kamus!$K$3:$K$118,MATCH(TRUE,ISNUMBER(SEARCH(Kamus!$J$3:$J$118,$K742)),0)),"Individu / Perorangan"))</f>
        <v>Individu / Perorangan</v>
      </c>
      <c r="X742" s="106" t="str">
        <f t="shared" si="34"/>
        <v>02</v>
      </c>
      <c r="Y742" s="106" t="str" cm="1">
        <f t="array" ref="Y742">IFERROR(INDEX(Kamus!$N$3:$N$111,MATCH(TRUE,ISNUMBER(SEARCH(Kamus!$M$3:$M$111,$I742)),0)),"")</f>
        <v/>
      </c>
      <c r="Z742" s="106" t="str">
        <f>IF(AND(OR($X742="02",$X742="03",$X742="04"),OR($T742="Parsel/Bingkisan (tidak dirinci)",$T742="Makanan &amp; Minuman",$T742="Peralatan Rumah Tangga / Pecah Belah",$T742="Pakaian &amp; Kain")),"Momen Hari Raya (dugaan musiman)",IFERROR(VLOOKUP($W742,Kamus!$P$3:$Q$14,2,FALSE),"Tidak Teridentifikasi"))</f>
        <v>Momen Hari Raya (dugaan musiman)</v>
      </c>
      <c r="AA742" s="106" t="str">
        <f t="shared" si="35"/>
        <v>Momen Hari Raya (dugaan musiman)</v>
      </c>
    </row>
    <row r="743" spans="1:27">
      <c r="A743" s="106">
        <v>742</v>
      </c>
      <c r="B743" s="106" t="s">
        <v>1532</v>
      </c>
      <c r="C743" s="107" t="s">
        <v>1533</v>
      </c>
      <c r="D743" s="106" t="s">
        <v>1534</v>
      </c>
      <c r="E743" s="106" t="s">
        <v>1166</v>
      </c>
      <c r="F743" s="106" t="s">
        <v>4609</v>
      </c>
      <c r="G743" s="106" t="s">
        <v>1006</v>
      </c>
      <c r="H743" s="106" t="s">
        <v>4610</v>
      </c>
      <c r="I743" s="106" t="s">
        <v>4611</v>
      </c>
      <c r="J743" s="106">
        <v>530000</v>
      </c>
      <c r="K743" s="106" t="s">
        <v>4612</v>
      </c>
      <c r="L743" s="106" t="s">
        <v>4613</v>
      </c>
      <c r="M743" s="106" t="s">
        <v>1171</v>
      </c>
      <c r="N743" s="106" t="s">
        <v>4614</v>
      </c>
      <c r="O743" s="106" t="s">
        <v>274</v>
      </c>
      <c r="P743" s="106" t="s">
        <v>1173</v>
      </c>
      <c r="Q743" s="106" t="s">
        <v>431</v>
      </c>
      <c r="S743" s="106" t="str" cm="1">
        <f t="array" ref="S743">IF(TRIM($D743)="","(tidak diisi)",IFERROR(INDEX(Kamus!$B$3:$B$28,MATCH(TRUE,ISNUMBER(SEARCH(Kamus!$A$3:$A$28,$D743)),0)),"Jabatan Lainnya"))</f>
        <v>Ketua Pengadilan</v>
      </c>
      <c r="T743" s="106" t="str" cm="1">
        <f t="array" ref="T743">IF(TRIM($I743)="","(tidak diisi)",IFERROR(INDEX(Kamus!$E$3:$E$162,MATCH(TRUE,ISNUMBER(SEARCH(Kamus!$D$3:$D$162,$I743)),0)),"Barang Lain / Tidak Terinci"))</f>
        <v>Uang &amp; Setara Uang</v>
      </c>
      <c r="U743" s="106" t="str" cm="1">
        <f t="array" ref="U743">IF(TRIM($I743)="","(tidak diisi)",IFERROR(INDEX(Kamus!$H$3:$H$75,MATCH(TRUE,ISNUMBER(SEARCH(Kamus!$G$3:$G$75,$I743)),0)),"Pemberian Umum / Tanpa Konteks"))</f>
        <v>Honor / Uang Kegiatan</v>
      </c>
      <c r="V743" s="106" t="str">
        <f t="shared" si="33"/>
        <v>2026</v>
      </c>
      <c r="W743" s="106" t="str" cm="1">
        <f t="array" ref="W743">IF(TRIM($K743)="","(tidak diisi)",IFERROR(INDEX(Kamus!$K$3:$K$118,MATCH(TRUE,ISNUMBER(SEARCH(Kamus!$J$3:$J$118,$K743)),0)),"Individu / Perorangan"))</f>
        <v>Individu / Perorangan</v>
      </c>
      <c r="X743" s="106" t="str">
        <f t="shared" si="34"/>
        <v>02</v>
      </c>
      <c r="Y743" s="106" t="str" cm="1">
        <f t="array" ref="Y743">IFERROR(INDEX(Kamus!$N$3:$N$111,MATCH(TRUE,ISNUMBER(SEARCH(Kamus!$M$3:$M$111,$I743)),0)),"")</f>
        <v/>
      </c>
      <c r="Z743" s="106" t="str">
        <f>IF(AND(OR($X743="02",$X743="03",$X743="04"),OR($T743="Parsel/Bingkisan (tidak dirinci)",$T743="Makanan &amp; Minuman",$T743="Peralatan Rumah Tangga / Pecah Belah",$T743="Pakaian &amp; Kain")),"Momen Hari Raya (dugaan musiman)",IFERROR(VLOOKUP($W743,Kamus!$P$3:$Q$14,2,FALSE),"Tidak Teridentifikasi"))</f>
        <v>Relasi Personal / Tidak Teridentifikasi</v>
      </c>
      <c r="AA743" s="106" t="str">
        <f t="shared" si="35"/>
        <v>Relasi Personal / Tidak Teridentifikasi</v>
      </c>
    </row>
    <row r="744" spans="1:27">
      <c r="A744" s="106">
        <v>743</v>
      </c>
      <c r="B744" s="106" t="s">
        <v>1430</v>
      </c>
      <c r="C744" s="107" t="s">
        <v>1431</v>
      </c>
      <c r="D744" s="106" t="s">
        <v>1432</v>
      </c>
      <c r="E744" s="106" t="s">
        <v>1166</v>
      </c>
      <c r="F744" s="106" t="s">
        <v>4615</v>
      </c>
      <c r="G744" s="106" t="s">
        <v>1006</v>
      </c>
      <c r="H744" s="106" t="s">
        <v>4610</v>
      </c>
      <c r="I744" s="106" t="s">
        <v>4611</v>
      </c>
      <c r="J744" s="106">
        <v>530000</v>
      </c>
      <c r="K744" s="106" t="s">
        <v>4616</v>
      </c>
      <c r="L744" s="106" t="s">
        <v>4617</v>
      </c>
      <c r="M744" s="106" t="s">
        <v>1171</v>
      </c>
      <c r="N744" s="106" t="s">
        <v>4618</v>
      </c>
      <c r="O744" s="106" t="s">
        <v>274</v>
      </c>
      <c r="P744" s="106" t="s">
        <v>1173</v>
      </c>
      <c r="Q744" s="106" t="s">
        <v>431</v>
      </c>
      <c r="S744" s="106" t="str" cm="1">
        <f t="array" ref="S744">IF(TRIM($D744)="","(tidak diisi)",IFERROR(INDEX(Kamus!$B$3:$B$28,MATCH(TRUE,ISNUMBER(SEARCH(Kamus!$A$3:$A$28,$D744)),0)),"Jabatan Lainnya"))</f>
        <v>Hakim</v>
      </c>
      <c r="T744" s="106" t="str" cm="1">
        <f t="array" ref="T744">IF(TRIM($I744)="","(tidak diisi)",IFERROR(INDEX(Kamus!$E$3:$E$162,MATCH(TRUE,ISNUMBER(SEARCH(Kamus!$D$3:$D$162,$I744)),0)),"Barang Lain / Tidak Terinci"))</f>
        <v>Uang &amp; Setara Uang</v>
      </c>
      <c r="U744" s="106" t="str" cm="1">
        <f t="array" ref="U744">IF(TRIM($I744)="","(tidak diisi)",IFERROR(INDEX(Kamus!$H$3:$H$75,MATCH(TRUE,ISNUMBER(SEARCH(Kamus!$G$3:$G$75,$I744)),0)),"Pemberian Umum / Tanpa Konteks"))</f>
        <v>Honor / Uang Kegiatan</v>
      </c>
      <c r="V744" s="106" t="str">
        <f t="shared" si="33"/>
        <v>2026</v>
      </c>
      <c r="W744" s="106" t="str" cm="1">
        <f t="array" ref="W744">IF(TRIM($K744)="","(tidak diisi)",IFERROR(INDEX(Kamus!$K$3:$K$118,MATCH(TRUE,ISNUMBER(SEARCH(Kamus!$J$3:$J$118,$K744)),0)),"Individu / Perorangan"))</f>
        <v>Individu / Perorangan</v>
      </c>
      <c r="X744" s="106" t="str">
        <f t="shared" si="34"/>
        <v>02</v>
      </c>
      <c r="Y744" s="106" t="str" cm="1">
        <f t="array" ref="Y744">IFERROR(INDEX(Kamus!$N$3:$N$111,MATCH(TRUE,ISNUMBER(SEARCH(Kamus!$M$3:$M$111,$I744)),0)),"")</f>
        <v/>
      </c>
      <c r="Z744" s="106" t="str">
        <f>IF(AND(OR($X744="02",$X744="03",$X744="04"),OR($T744="Parsel/Bingkisan (tidak dirinci)",$T744="Makanan &amp; Minuman",$T744="Peralatan Rumah Tangga / Pecah Belah",$T744="Pakaian &amp; Kain")),"Momen Hari Raya (dugaan musiman)",IFERROR(VLOOKUP($W744,Kamus!$P$3:$Q$14,2,FALSE),"Tidak Teridentifikasi"))</f>
        <v>Relasi Personal / Tidak Teridentifikasi</v>
      </c>
      <c r="AA744" s="106" t="str">
        <f t="shared" si="35"/>
        <v>Relasi Personal / Tidak Teridentifikasi</v>
      </c>
    </row>
    <row r="745" spans="1:27">
      <c r="A745" s="106">
        <v>744</v>
      </c>
      <c r="B745" s="106" t="s">
        <v>4619</v>
      </c>
      <c r="C745" s="107" t="s">
        <v>4620</v>
      </c>
      <c r="D745" s="106" t="s">
        <v>2259</v>
      </c>
      <c r="E745" s="106" t="s">
        <v>1354</v>
      </c>
      <c r="F745" s="106" t="s">
        <v>4621</v>
      </c>
      <c r="G745" s="106" t="s">
        <v>1006</v>
      </c>
      <c r="H745" s="106" t="s">
        <v>4622</v>
      </c>
      <c r="I745" s="106" t="s">
        <v>4623</v>
      </c>
      <c r="J745" s="106">
        <v>5000</v>
      </c>
      <c r="K745" s="106" t="s">
        <v>4624</v>
      </c>
      <c r="L745" s="106" t="s">
        <v>4625</v>
      </c>
      <c r="M745" s="106" t="s">
        <v>2529</v>
      </c>
      <c r="O745" s="106" t="s">
        <v>274</v>
      </c>
      <c r="P745" s="106" t="s">
        <v>1361</v>
      </c>
      <c r="Q745" s="106" t="s">
        <v>427</v>
      </c>
      <c r="S745" s="106" t="str" cm="1">
        <f t="array" ref="S745">IF(TRIM($D745)="","(tidak diisi)",IFERROR(INDEX(Kamus!$B$3:$B$28,MATCH(TRUE,ISNUMBER(SEARCH(Kamus!$A$3:$A$28,$D745)),0)),"Jabatan Lainnya"))</f>
        <v>Staf/Pegawai Pelaksana</v>
      </c>
      <c r="T745" s="106" t="str" cm="1">
        <f t="array" ref="T745">IF(TRIM($I745)="","(tidak diisi)",IFERROR(INDEX(Kamus!$E$3:$E$162,MATCH(TRUE,ISNUMBER(SEARCH(Kamus!$D$3:$D$162,$I745)),0)),"Barang Lain / Tidak Terinci"))</f>
        <v>Peralatan Rumah Tangga / Pecah Belah</v>
      </c>
      <c r="U745" s="106" t="str" cm="1">
        <f t="array" ref="U745">IF(TRIM($I745)="","(tidak diisi)",IFERROR(INDEX(Kamus!$H$3:$H$75,MATCH(TRUE,ISNUMBER(SEARCH(Kamus!$G$3:$G$75,$I745)),0)),"Pemberian Umum / Tanpa Konteks"))</f>
        <v>Pemberian Umum / Tanpa Konteks</v>
      </c>
      <c r="V745" s="106" t="str">
        <f t="shared" si="33"/>
        <v>2026</v>
      </c>
      <c r="W745" s="106" t="str" cm="1">
        <f t="array" ref="W745">IF(TRIM($K745)="","(tidak diisi)",IFERROR(INDEX(Kamus!$K$3:$K$118,MATCH(TRUE,ISNUMBER(SEARCH(Kamus!$J$3:$J$118,$K745)),0)),"Individu / Perorangan"))</f>
        <v>Kampus &amp; Sekolah</v>
      </c>
      <c r="X745" s="106" t="str">
        <f t="shared" si="34"/>
        <v>02</v>
      </c>
      <c r="Y745" s="106" t="str" cm="1">
        <f t="array" ref="Y745">IFERROR(INDEX(Kamus!$N$3:$N$111,MATCH(TRUE,ISNUMBER(SEARCH(Kamus!$M$3:$M$111,$I745)),0)),"")</f>
        <v/>
      </c>
      <c r="Z745" s="106" t="str">
        <f>IF(AND(OR($X745="02",$X745="03",$X745="04"),OR($T745="Parsel/Bingkisan (tidak dirinci)",$T745="Makanan &amp; Minuman",$T745="Peralatan Rumah Tangga / Pecah Belah",$T745="Pakaian &amp; Kain")),"Momen Hari Raya (dugaan musiman)",IFERROR(VLOOKUP($W745,Kamus!$P$3:$Q$14,2,FALSE),"Tidak Teridentifikasi"))</f>
        <v>Momen Hari Raya (dugaan musiman)</v>
      </c>
      <c r="AA745" s="106" t="str">
        <f t="shared" si="35"/>
        <v>Momen Hari Raya (dugaan musiman)</v>
      </c>
    </row>
    <row r="746" spans="1:27">
      <c r="A746" s="106">
        <v>745</v>
      </c>
      <c r="B746" s="106" t="s">
        <v>1174</v>
      </c>
      <c r="C746" s="107" t="s">
        <v>1175</v>
      </c>
      <c r="D746" s="106" t="s">
        <v>1042</v>
      </c>
      <c r="E746" s="106" t="s">
        <v>1176</v>
      </c>
      <c r="F746" s="106" t="s">
        <v>4626</v>
      </c>
      <c r="G746" s="106" t="s">
        <v>1006</v>
      </c>
      <c r="H746" s="106" t="s">
        <v>4622</v>
      </c>
      <c r="I746" s="106" t="s">
        <v>4627</v>
      </c>
      <c r="J746" s="106">
        <v>100000</v>
      </c>
      <c r="K746" s="106" t="s">
        <v>4628</v>
      </c>
      <c r="L746" s="106" t="s">
        <v>4629</v>
      </c>
      <c r="M746" s="106" t="s">
        <v>1039</v>
      </c>
      <c r="O746" s="106" t="s">
        <v>274</v>
      </c>
      <c r="P746" s="106" t="s">
        <v>1181</v>
      </c>
      <c r="Q746" s="106" t="s">
        <v>429</v>
      </c>
      <c r="S746" s="106" t="str" cm="1">
        <f t="array" ref="S746">IF(TRIM($D746)="","(tidak diisi)",IFERROR(INDEX(Kamus!$B$3:$B$28,MATCH(TRUE,ISNUMBER(SEARCH(Kamus!$A$3:$A$28,$D746)),0)),"Jabatan Lainnya"))</f>
        <v>Ketua Pengadilan</v>
      </c>
      <c r="T746" s="106" t="str" cm="1">
        <f t="array" ref="T746">IF(TRIM($I746)="","(tidak diisi)",IFERROR(INDEX(Kamus!$E$3:$E$162,MATCH(TRUE,ISNUMBER(SEARCH(Kamus!$D$3:$D$162,$I746)),0)),"Barang Lain / Tidak Terinci"))</f>
        <v>Peralatan Rumah Tangga / Pecah Belah</v>
      </c>
      <c r="U746" s="106" t="str" cm="1">
        <f t="array" ref="U746">IF(TRIM($I746)="","(tidak diisi)",IFERROR(INDEX(Kamus!$H$3:$H$75,MATCH(TRUE,ISNUMBER(SEARCH(Kamus!$G$3:$G$75,$I746)),0)),"Pemberian Umum / Tanpa Konteks"))</f>
        <v>Suvenir / Merchandise Kegiatan &amp; Kunjungan</v>
      </c>
      <c r="V746" s="106" t="str">
        <f t="shared" si="33"/>
        <v>2026</v>
      </c>
      <c r="W746" s="106" t="str" cm="1">
        <f t="array" ref="W746">IF(TRIM($K746)="","(tidak diisi)",IFERROR(INDEX(Kamus!$K$3:$K$118,MATCH(TRUE,ISNUMBER(SEARCH(Kamus!$J$3:$J$118,$K746)),0)),"Individu / Perorangan"))</f>
        <v>Perusahaan / Vendor</v>
      </c>
      <c r="X746" s="106" t="str">
        <f t="shared" si="34"/>
        <v>02</v>
      </c>
      <c r="Y746" s="106" t="str" cm="1">
        <f t="array" ref="Y746">IFERROR(INDEX(Kamus!$N$3:$N$111,MATCH(TRUE,ISNUMBER(SEARCH(Kamus!$M$3:$M$111,$I746)),0)),"")</f>
        <v/>
      </c>
      <c r="Z746" s="106" t="str">
        <f>IF(AND(OR($X746="02",$X746="03",$X746="04"),OR($T746="Parsel/Bingkisan (tidak dirinci)",$T746="Makanan &amp; Minuman",$T746="Peralatan Rumah Tangga / Pecah Belah",$T746="Pakaian &amp; Kain")),"Momen Hari Raya (dugaan musiman)",IFERROR(VLOOKUP($W746,Kamus!$P$3:$Q$14,2,FALSE),"Tidak Teridentifikasi"))</f>
        <v>Momen Hari Raya (dugaan musiman)</v>
      </c>
      <c r="AA746" s="106" t="str">
        <f t="shared" si="35"/>
        <v>Momen Hari Raya (dugaan musiman)</v>
      </c>
    </row>
    <row r="747" spans="1:27">
      <c r="A747" s="106">
        <v>746</v>
      </c>
      <c r="B747" s="106" t="s">
        <v>1352</v>
      </c>
      <c r="C747" s="107" t="s">
        <v>1353</v>
      </c>
      <c r="D747" s="106" t="s">
        <v>1042</v>
      </c>
      <c r="E747" s="106" t="s">
        <v>1354</v>
      </c>
      <c r="F747" s="106" t="s">
        <v>4630</v>
      </c>
      <c r="G747" s="106" t="s">
        <v>1006</v>
      </c>
      <c r="H747" s="106" t="s">
        <v>4391</v>
      </c>
      <c r="I747" s="106" t="s">
        <v>4631</v>
      </c>
      <c r="J747" s="106">
        <v>24500</v>
      </c>
      <c r="K747" s="106" t="s">
        <v>4632</v>
      </c>
      <c r="L747" s="106" t="s">
        <v>4633</v>
      </c>
      <c r="M747" s="106" t="s">
        <v>1171</v>
      </c>
      <c r="N747" s="106" t="s">
        <v>4634</v>
      </c>
      <c r="O747" s="106" t="s">
        <v>274</v>
      </c>
      <c r="P747" s="106" t="s">
        <v>1361</v>
      </c>
      <c r="Q747" s="106" t="s">
        <v>427</v>
      </c>
      <c r="S747" s="106" t="str" cm="1">
        <f t="array" ref="S747">IF(TRIM($D747)="","(tidak diisi)",IFERROR(INDEX(Kamus!$B$3:$B$28,MATCH(TRUE,ISNUMBER(SEARCH(Kamus!$A$3:$A$28,$D747)),0)),"Jabatan Lainnya"))</f>
        <v>Ketua Pengadilan</v>
      </c>
      <c r="T747" s="106" t="str" cm="1">
        <f t="array" ref="T747">IF(TRIM($I747)="","(tidak diisi)",IFERROR(INDEX(Kamus!$E$3:$E$162,MATCH(TRUE,ISNUMBER(SEARCH(Kamus!$D$3:$D$162,$I747)),0)),"Barang Lain / Tidak Terinci"))</f>
        <v>Peralatan Rumah Tangga / Pecah Belah</v>
      </c>
      <c r="U747" s="106" t="str" cm="1">
        <f t="array" ref="U747">IF(TRIM($I747)="","(tidak diisi)",IFERROR(INDEX(Kamus!$H$3:$H$75,MATCH(TRUE,ISNUMBER(SEARCH(Kamus!$G$3:$G$75,$I747)),0)),"Pemberian Umum / Tanpa Konteks"))</f>
        <v>Pemberian Umum / Tanpa Konteks</v>
      </c>
      <c r="V747" s="106" t="str">
        <f t="shared" si="33"/>
        <v>2026</v>
      </c>
      <c r="W747" s="106" t="str" cm="1">
        <f t="array" ref="W747">IF(TRIM($K747)="","(tidak diisi)",IFERROR(INDEX(Kamus!$K$3:$K$118,MATCH(TRUE,ISNUMBER(SEARCH(Kamus!$J$3:$J$118,$K747)),0)),"Individu / Perorangan"))</f>
        <v>Kampus &amp; Sekolah</v>
      </c>
      <c r="X747" s="106" t="str">
        <f t="shared" si="34"/>
        <v>01</v>
      </c>
      <c r="Y747" s="106" t="str" cm="1">
        <f t="array" ref="Y747">IFERROR(INDEX(Kamus!$N$3:$N$111,MATCH(TRUE,ISNUMBER(SEARCH(Kamus!$M$3:$M$111,$I747)),0)),"")</f>
        <v/>
      </c>
      <c r="Z747" s="106" t="str">
        <f>IF(AND(OR($X747="02",$X747="03",$X747="04"),OR($T747="Parsel/Bingkisan (tidak dirinci)",$T747="Makanan &amp; Minuman",$T747="Peralatan Rumah Tangga / Pecah Belah",$T747="Pakaian &amp; Kain")),"Momen Hari Raya (dugaan musiman)",IFERROR(VLOOKUP($W747,Kamus!$P$3:$Q$14,2,FALSE),"Tidak Teridentifikasi"))</f>
        <v>Kerja Sama Pendidikan/PKL (dugaan)</v>
      </c>
      <c r="AA747" s="106" t="str">
        <f t="shared" si="35"/>
        <v>Kerja Sama Pendidikan/PKL (dugaan)</v>
      </c>
    </row>
    <row r="748" spans="1:27">
      <c r="A748" s="106">
        <v>747</v>
      </c>
      <c r="B748" s="106" t="s">
        <v>1352</v>
      </c>
      <c r="C748" s="107" t="s">
        <v>1353</v>
      </c>
      <c r="D748" s="106" t="s">
        <v>1042</v>
      </c>
      <c r="E748" s="106" t="s">
        <v>1354</v>
      </c>
      <c r="F748" s="106" t="s">
        <v>4630</v>
      </c>
      <c r="G748" s="106" t="s">
        <v>1006</v>
      </c>
      <c r="H748" s="106" t="s">
        <v>4622</v>
      </c>
      <c r="I748" s="106" t="s">
        <v>4635</v>
      </c>
      <c r="J748" s="106">
        <v>16500</v>
      </c>
      <c r="K748" s="106" t="s">
        <v>4636</v>
      </c>
      <c r="L748" s="106" t="s">
        <v>4633</v>
      </c>
      <c r="M748" s="106" t="s">
        <v>1171</v>
      </c>
      <c r="N748" s="106" t="s">
        <v>4634</v>
      </c>
      <c r="O748" s="106" t="s">
        <v>274</v>
      </c>
      <c r="P748" s="106" t="s">
        <v>1361</v>
      </c>
      <c r="Q748" s="106" t="s">
        <v>427</v>
      </c>
      <c r="S748" s="106" t="str" cm="1">
        <f t="array" ref="S748">IF(TRIM($D748)="","(tidak diisi)",IFERROR(INDEX(Kamus!$B$3:$B$28,MATCH(TRUE,ISNUMBER(SEARCH(Kamus!$A$3:$A$28,$D748)),0)),"Jabatan Lainnya"))</f>
        <v>Ketua Pengadilan</v>
      </c>
      <c r="T748" s="106" t="str" cm="1">
        <f t="array" ref="T748">IF(TRIM($I748)="","(tidak diisi)",IFERROR(INDEX(Kamus!$E$3:$E$162,MATCH(TRUE,ISNUMBER(SEARCH(Kamus!$D$3:$D$162,$I748)),0)),"Barang Lain / Tidak Terinci"))</f>
        <v>Peralatan Rumah Tangga / Pecah Belah</v>
      </c>
      <c r="U748" s="106" t="str" cm="1">
        <f t="array" ref="U748">IF(TRIM($I748)="","(tidak diisi)",IFERROR(INDEX(Kamus!$H$3:$H$75,MATCH(TRUE,ISNUMBER(SEARCH(Kamus!$G$3:$G$75,$I748)),0)),"Pemberian Umum / Tanpa Konteks"))</f>
        <v>Pemberian Umum / Tanpa Konteks</v>
      </c>
      <c r="V748" s="106" t="str">
        <f t="shared" si="33"/>
        <v>2026</v>
      </c>
      <c r="W748" s="106" t="str" cm="1">
        <f t="array" ref="W748">IF(TRIM($K748)="","(tidak diisi)",IFERROR(INDEX(Kamus!$K$3:$K$118,MATCH(TRUE,ISNUMBER(SEARCH(Kamus!$J$3:$J$118,$K748)),0)),"Individu / Perorangan"))</f>
        <v>Kampus &amp; Sekolah</v>
      </c>
      <c r="X748" s="106" t="str">
        <f t="shared" si="34"/>
        <v>02</v>
      </c>
      <c r="Y748" s="106" t="str" cm="1">
        <f t="array" ref="Y748">IFERROR(INDEX(Kamus!$N$3:$N$111,MATCH(TRUE,ISNUMBER(SEARCH(Kamus!$M$3:$M$111,$I748)),0)),"")</f>
        <v/>
      </c>
      <c r="Z748" s="106" t="str">
        <f>IF(AND(OR($X748="02",$X748="03",$X748="04"),OR($T748="Parsel/Bingkisan (tidak dirinci)",$T748="Makanan &amp; Minuman",$T748="Peralatan Rumah Tangga / Pecah Belah",$T748="Pakaian &amp; Kain")),"Momen Hari Raya (dugaan musiman)",IFERROR(VLOOKUP($W748,Kamus!$P$3:$Q$14,2,FALSE),"Tidak Teridentifikasi"))</f>
        <v>Momen Hari Raya (dugaan musiman)</v>
      </c>
      <c r="AA748" s="106" t="str">
        <f t="shared" si="35"/>
        <v>Momen Hari Raya (dugaan musiman)</v>
      </c>
    </row>
    <row r="749" spans="1:27">
      <c r="A749" s="106">
        <v>748</v>
      </c>
      <c r="B749" s="106" t="s">
        <v>1352</v>
      </c>
      <c r="C749" s="107" t="s">
        <v>1353</v>
      </c>
      <c r="D749" s="106" t="s">
        <v>1042</v>
      </c>
      <c r="E749" s="106" t="s">
        <v>1354</v>
      </c>
      <c r="F749" s="106" t="s">
        <v>4630</v>
      </c>
      <c r="G749" s="106" t="s">
        <v>1006</v>
      </c>
      <c r="H749" s="106" t="s">
        <v>4637</v>
      </c>
      <c r="I749" s="106" t="s">
        <v>4638</v>
      </c>
      <c r="J749" s="106">
        <v>35000</v>
      </c>
      <c r="K749" s="106" t="s">
        <v>4639</v>
      </c>
      <c r="L749" s="106" t="s">
        <v>4633</v>
      </c>
      <c r="M749" s="106" t="s">
        <v>1039</v>
      </c>
      <c r="N749" s="106" t="s">
        <v>4634</v>
      </c>
      <c r="O749" s="106" t="s">
        <v>274</v>
      </c>
      <c r="P749" s="106" t="s">
        <v>1361</v>
      </c>
      <c r="Q749" s="106" t="s">
        <v>427</v>
      </c>
      <c r="S749" s="106" t="str" cm="1">
        <f t="array" ref="S749">IF(TRIM($D749)="","(tidak diisi)",IFERROR(INDEX(Kamus!$B$3:$B$28,MATCH(TRUE,ISNUMBER(SEARCH(Kamus!$A$3:$A$28,$D749)),0)),"Jabatan Lainnya"))</f>
        <v>Ketua Pengadilan</v>
      </c>
      <c r="T749" s="106" t="str" cm="1">
        <f t="array" ref="T749">IF(TRIM($I749)="","(tidak diisi)",IFERROR(INDEX(Kamus!$E$3:$E$162,MATCH(TRUE,ISNUMBER(SEARCH(Kamus!$D$3:$D$162,$I749)),0)),"Barang Lain / Tidak Terinci"))</f>
        <v>Elektronik &amp; Gadget</v>
      </c>
      <c r="U749" s="106" t="str" cm="1">
        <f t="array" ref="U749">IF(TRIM($I749)="","(tidak diisi)",IFERROR(INDEX(Kamus!$H$3:$H$75,MATCH(TRUE,ISNUMBER(SEARCH(Kamus!$G$3:$G$75,$I749)),0)),"Pemberian Umum / Tanpa Konteks"))</f>
        <v>Pemberian Umum / Tanpa Konteks</v>
      </c>
      <c r="V749" s="106" t="str">
        <f t="shared" si="33"/>
        <v>2026</v>
      </c>
      <c r="W749" s="106" t="str" cm="1">
        <f t="array" ref="W749">IF(TRIM($K749)="","(tidak diisi)",IFERROR(INDEX(Kamus!$K$3:$K$118,MATCH(TRUE,ISNUMBER(SEARCH(Kamus!$J$3:$J$118,$K749)),0)),"Individu / Perorangan"))</f>
        <v>Kampus &amp; Sekolah</v>
      </c>
      <c r="X749" s="106" t="str">
        <f t="shared" si="34"/>
        <v>01</v>
      </c>
      <c r="Y749" s="106" t="str" cm="1">
        <f t="array" ref="Y749">IFERROR(INDEX(Kamus!$N$3:$N$111,MATCH(TRUE,ISNUMBER(SEARCH(Kamus!$M$3:$M$111,$I749)),0)),"")</f>
        <v/>
      </c>
      <c r="Z749" s="106" t="str">
        <f>IF(AND(OR($X749="02",$X749="03",$X749="04"),OR($T749="Parsel/Bingkisan (tidak dirinci)",$T749="Makanan &amp; Minuman",$T749="Peralatan Rumah Tangga / Pecah Belah",$T749="Pakaian &amp; Kain")),"Momen Hari Raya (dugaan musiman)",IFERROR(VLOOKUP($W749,Kamus!$P$3:$Q$14,2,FALSE),"Tidak Teridentifikasi"))</f>
        <v>Kerja Sama Pendidikan/PKL (dugaan)</v>
      </c>
      <c r="AA749" s="106" t="str">
        <f t="shared" si="35"/>
        <v>Kerja Sama Pendidikan/PKL (dugaan)</v>
      </c>
    </row>
    <row r="750" spans="1:27">
      <c r="A750" s="106">
        <v>749</v>
      </c>
      <c r="B750" s="106" t="s">
        <v>1174</v>
      </c>
      <c r="C750" s="107" t="s">
        <v>1175</v>
      </c>
      <c r="D750" s="106" t="s">
        <v>1042</v>
      </c>
      <c r="E750" s="106" t="s">
        <v>1176</v>
      </c>
      <c r="F750" s="106" t="s">
        <v>4640</v>
      </c>
      <c r="G750" s="106" t="s">
        <v>1006</v>
      </c>
      <c r="H750" s="106" t="s">
        <v>4622</v>
      </c>
      <c r="I750" s="106" t="s">
        <v>4641</v>
      </c>
      <c r="J750" s="106">
        <v>150000</v>
      </c>
      <c r="K750" s="106" t="s">
        <v>4642</v>
      </c>
      <c r="L750" s="106" t="s">
        <v>4643</v>
      </c>
      <c r="M750" s="106" t="s">
        <v>1020</v>
      </c>
      <c r="O750" s="106" t="s">
        <v>274</v>
      </c>
      <c r="P750" s="106" t="s">
        <v>1181</v>
      </c>
      <c r="Q750" s="106" t="s">
        <v>429</v>
      </c>
      <c r="S750" s="106" t="str" cm="1">
        <f t="array" ref="S750">IF(TRIM($D750)="","(tidak diisi)",IFERROR(INDEX(Kamus!$B$3:$B$28,MATCH(TRUE,ISNUMBER(SEARCH(Kamus!$A$3:$A$28,$D750)),0)),"Jabatan Lainnya"))</f>
        <v>Ketua Pengadilan</v>
      </c>
      <c r="T750" s="106" t="str" cm="1">
        <f t="array" ref="T750">IF(TRIM($I750)="","(tidak diisi)",IFERROR(INDEX(Kamus!$E$3:$E$162,MATCH(TRUE,ISNUMBER(SEARCH(Kamus!$D$3:$D$162,$I750)),0)),"Barang Lain / Tidak Terinci"))</f>
        <v>Pakaian &amp; Kain</v>
      </c>
      <c r="U750" s="106" t="str" cm="1">
        <f t="array" ref="U750">IF(TRIM($I750)="","(tidak diisi)",IFERROR(INDEX(Kamus!$H$3:$H$75,MATCH(TRUE,ISNUMBER(SEARCH(Kamus!$G$3:$G$75,$I750)),0)),"Pemberian Umum / Tanpa Konteks"))</f>
        <v>Oleh-oleh / Buah Tangan Perjalanan</v>
      </c>
      <c r="V750" s="106" t="str">
        <f t="shared" si="33"/>
        <v>2026</v>
      </c>
      <c r="W750" s="106" t="str" cm="1">
        <f t="array" ref="W750">IF(TRIM($K750)="","(tidak diisi)",IFERROR(INDEX(Kamus!$K$3:$K$118,MATCH(TRUE,ISNUMBER(SEARCH(Kamus!$J$3:$J$118,$K750)),0)),"Individu / Perorangan"))</f>
        <v>Individu / Perorangan</v>
      </c>
      <c r="X750" s="106" t="str">
        <f t="shared" si="34"/>
        <v>02</v>
      </c>
      <c r="Y750" s="106" t="str" cm="1">
        <f t="array" ref="Y750">IFERROR(INDEX(Kamus!$N$3:$N$111,MATCH(TRUE,ISNUMBER(SEARCH(Kamus!$M$3:$M$111,$I750)),0)),"")</f>
        <v/>
      </c>
      <c r="Z750" s="106" t="str">
        <f>IF(AND(OR($X750="02",$X750="03",$X750="04"),OR($T750="Parsel/Bingkisan (tidak dirinci)",$T750="Makanan &amp; Minuman",$T750="Peralatan Rumah Tangga / Pecah Belah",$T750="Pakaian &amp; Kain")),"Momen Hari Raya (dugaan musiman)",IFERROR(VLOOKUP($W750,Kamus!$P$3:$Q$14,2,FALSE),"Tidak Teridentifikasi"))</f>
        <v>Momen Hari Raya (dugaan musiman)</v>
      </c>
      <c r="AA750" s="106" t="str">
        <f t="shared" si="35"/>
        <v>Momen Hari Raya (dugaan musiman)</v>
      </c>
    </row>
    <row r="751" spans="1:27">
      <c r="A751" s="106">
        <v>750</v>
      </c>
      <c r="B751" s="106" t="s">
        <v>1174</v>
      </c>
      <c r="C751" s="107" t="s">
        <v>1175</v>
      </c>
      <c r="D751" s="106" t="s">
        <v>1042</v>
      </c>
      <c r="E751" s="106" t="s">
        <v>1176</v>
      </c>
      <c r="F751" s="106" t="s">
        <v>4640</v>
      </c>
      <c r="G751" s="106" t="s">
        <v>1006</v>
      </c>
      <c r="H751" s="106" t="s">
        <v>4644</v>
      </c>
      <c r="I751" s="106" t="s">
        <v>4645</v>
      </c>
      <c r="J751" s="106">
        <v>150000</v>
      </c>
      <c r="K751" s="106" t="s">
        <v>4646</v>
      </c>
      <c r="L751" s="106" t="s">
        <v>4643</v>
      </c>
      <c r="M751" s="106" t="s">
        <v>1039</v>
      </c>
      <c r="O751" s="106" t="s">
        <v>274</v>
      </c>
      <c r="P751" s="106" t="s">
        <v>1181</v>
      </c>
      <c r="Q751" s="106" t="s">
        <v>429</v>
      </c>
      <c r="S751" s="106" t="str" cm="1">
        <f t="array" ref="S751">IF(TRIM($D751)="","(tidak diisi)",IFERROR(INDEX(Kamus!$B$3:$B$28,MATCH(TRUE,ISNUMBER(SEARCH(Kamus!$A$3:$A$28,$D751)),0)),"Jabatan Lainnya"))</f>
        <v>Ketua Pengadilan</v>
      </c>
      <c r="T751" s="106" t="str" cm="1">
        <f t="array" ref="T751">IF(TRIM($I751)="","(tidak diisi)",IFERROR(INDEX(Kamus!$E$3:$E$162,MATCH(TRUE,ISNUMBER(SEARCH(Kamus!$D$3:$D$162,$I751)),0)),"Barang Lain / Tidak Terinci"))</f>
        <v>Barang Lain / Tidak Terinci</v>
      </c>
      <c r="U751" s="106" t="str" cm="1">
        <f t="array" ref="U751">IF(TRIM($I751)="","(tidak diisi)",IFERROR(INDEX(Kamus!$H$3:$H$75,MATCH(TRUE,ISNUMBER(SEARCH(Kamus!$G$3:$G$75,$I751)),0)),"Pemberian Umum / Tanpa Konteks"))</f>
        <v>Pemberian Umum / Tanpa Konteks</v>
      </c>
      <c r="V751" s="106" t="str">
        <f t="shared" si="33"/>
        <v>2026</v>
      </c>
      <c r="W751" s="106" t="str" cm="1">
        <f t="array" ref="W751">IF(TRIM($K751)="","(tidak diisi)",IFERROR(INDEX(Kamus!$K$3:$K$118,MATCH(TRUE,ISNUMBER(SEARCH(Kamus!$J$3:$J$118,$K751)),0)),"Individu / Perorangan"))</f>
        <v>Kampus &amp; Sekolah</v>
      </c>
      <c r="X751" s="106" t="str">
        <f t="shared" si="34"/>
        <v>02</v>
      </c>
      <c r="Y751" s="106" t="str" cm="1">
        <f t="array" ref="Y751">IFERROR(INDEX(Kamus!$N$3:$N$111,MATCH(TRUE,ISNUMBER(SEARCH(Kamus!$M$3:$M$111,$I751)),0)),"")</f>
        <v/>
      </c>
      <c r="Z751" s="106" t="str">
        <f>IF(AND(OR($X751="02",$X751="03",$X751="04"),OR($T751="Parsel/Bingkisan (tidak dirinci)",$T751="Makanan &amp; Minuman",$T751="Peralatan Rumah Tangga / Pecah Belah",$T751="Pakaian &amp; Kain")),"Momen Hari Raya (dugaan musiman)",IFERROR(VLOOKUP($W751,Kamus!$P$3:$Q$14,2,FALSE),"Tidak Teridentifikasi"))</f>
        <v>Kerja Sama Pendidikan/PKL (dugaan)</v>
      </c>
      <c r="AA751" s="106" t="str">
        <f t="shared" si="35"/>
        <v>Kerja Sama Pendidikan/PKL (dugaan)</v>
      </c>
    </row>
    <row r="752" spans="1:27">
      <c r="A752" s="106">
        <v>751</v>
      </c>
      <c r="B752" s="106" t="s">
        <v>4647</v>
      </c>
      <c r="C752" s="107" t="s">
        <v>4648</v>
      </c>
      <c r="D752" s="106" t="s">
        <v>1432</v>
      </c>
      <c r="E752" s="106" t="s">
        <v>1005</v>
      </c>
      <c r="G752" s="106" t="s">
        <v>1074</v>
      </c>
      <c r="L752" s="106" t="s">
        <v>4649</v>
      </c>
      <c r="O752" s="106" t="s">
        <v>274</v>
      </c>
      <c r="S752" s="106" t="str" cm="1">
        <f t="array" ref="S752">IF(TRIM($D752)="","(tidak diisi)",IFERROR(INDEX(Kamus!$B$3:$B$28,MATCH(TRUE,ISNUMBER(SEARCH(Kamus!$A$3:$A$28,$D752)),0)),"Jabatan Lainnya"))</f>
        <v>Hakim</v>
      </c>
      <c r="T752" s="106" t="str" cm="1">
        <f t="array" ref="T752">IF(TRIM($I752)="","(tidak diisi)",IFERROR(INDEX(Kamus!$E$3:$E$162,MATCH(TRUE,ISNUMBER(SEARCH(Kamus!$D$3:$D$162,$I752)),0)),"Barang Lain / Tidak Terinci"))</f>
        <v>(tidak diisi)</v>
      </c>
      <c r="U752" s="106" t="str" cm="1">
        <f t="array" ref="U752">IF(TRIM($I752)="","(tidak diisi)",IFERROR(INDEX(Kamus!$H$3:$H$75,MATCH(TRUE,ISNUMBER(SEARCH(Kamus!$G$3:$G$75,$I752)),0)),"Pemberian Umum / Tanpa Konteks"))</f>
        <v>(tidak diisi)</v>
      </c>
      <c r="V752" s="106" t="str">
        <f t="shared" si="33"/>
        <v>(tidak diisi)</v>
      </c>
      <c r="W752" s="106" t="str" cm="1">
        <f t="array" ref="W752">IF(TRIM($K752)="","(tidak diisi)",IFERROR(INDEX(Kamus!$K$3:$K$118,MATCH(TRUE,ISNUMBER(SEARCH(Kamus!$J$3:$J$118,$K752)),0)),"Individu / Perorangan"))</f>
        <v>(tidak diisi)</v>
      </c>
      <c r="X752" s="106" t="str">
        <f t="shared" si="34"/>
        <v>(tidak diisi)</v>
      </c>
      <c r="Y752" s="106" t="str" cm="1">
        <f t="array" ref="Y752">IFERROR(INDEX(Kamus!$N$3:$N$111,MATCH(TRUE,ISNUMBER(SEARCH(Kamus!$M$3:$M$111,$I752)),0)),"")</f>
        <v/>
      </c>
      <c r="Z752" s="106" t="str">
        <f>IF(AND(OR($X752="02",$X752="03",$X752="04"),OR($T752="Parsel/Bingkisan (tidak dirinci)",$T752="Makanan &amp; Minuman",$T752="Peralatan Rumah Tangga / Pecah Belah",$T752="Pakaian &amp; Kain")),"Momen Hari Raya (dugaan musiman)",IFERROR(VLOOKUP($W752,Kamus!$P$3:$Q$14,2,FALSE),"Tidak Teridentifikasi"))</f>
        <v>Tidak Teridentifikasi</v>
      </c>
      <c r="AA752" s="106" t="str">
        <f t="shared" si="35"/>
        <v>Tidak Teridentifikasi</v>
      </c>
    </row>
    <row r="753" spans="1:27">
      <c r="A753" s="106">
        <v>752</v>
      </c>
      <c r="B753" s="106" t="s">
        <v>4650</v>
      </c>
      <c r="C753" s="107" t="s">
        <v>4651</v>
      </c>
      <c r="D753" s="106" t="s">
        <v>1042</v>
      </c>
      <c r="E753" s="106" t="s">
        <v>4652</v>
      </c>
      <c r="F753" s="106" t="s">
        <v>4653</v>
      </c>
      <c r="G753" s="106" t="s">
        <v>1006</v>
      </c>
      <c r="H753" s="106" t="s">
        <v>4503</v>
      </c>
      <c r="I753" s="106" t="s">
        <v>4654</v>
      </c>
      <c r="K753" s="106" t="s">
        <v>4655</v>
      </c>
      <c r="L753" s="106" t="s">
        <v>4656</v>
      </c>
      <c r="O753" s="106" t="s">
        <v>274</v>
      </c>
      <c r="P753" s="106" t="s">
        <v>4657</v>
      </c>
      <c r="Q753" s="106" t="s">
        <v>425</v>
      </c>
      <c r="S753" s="106" t="str" cm="1">
        <f t="array" ref="S753">IF(TRIM($D753)="","(tidak diisi)",IFERROR(INDEX(Kamus!$B$3:$B$28,MATCH(TRUE,ISNUMBER(SEARCH(Kamus!$A$3:$A$28,$D753)),0)),"Jabatan Lainnya"))</f>
        <v>Ketua Pengadilan</v>
      </c>
      <c r="T753" s="106" t="str" cm="1">
        <f t="array" ref="T753">IF(TRIM($I753)="","(tidak diisi)",IFERROR(INDEX(Kamus!$E$3:$E$162,MATCH(TRUE,ISNUMBER(SEARCH(Kamus!$D$3:$D$162,$I753)),0)),"Barang Lain / Tidak Terinci"))</f>
        <v>Makanan &amp; Minuman</v>
      </c>
      <c r="U753" s="106" t="str" cm="1">
        <f t="array" ref="U753">IF(TRIM($I753)="","(tidak diisi)",IFERROR(INDEX(Kamus!$H$3:$H$75,MATCH(TRUE,ISNUMBER(SEARCH(Kamus!$G$3:$G$75,$I753)),0)),"Pemberian Umum / Tanpa Konteks"))</f>
        <v>Pemberian Umum / Tanpa Konteks</v>
      </c>
      <c r="V753" s="106" t="str">
        <f t="shared" si="33"/>
        <v>2026</v>
      </c>
      <c r="W753" s="106" t="str" cm="1">
        <f t="array" ref="W753">IF(TRIM($K753)="","(tidak diisi)",IFERROR(INDEX(Kamus!$K$3:$K$118,MATCH(TRUE,ISNUMBER(SEARCH(Kamus!$J$3:$J$118,$K753)),0)),"Individu / Perorangan"))</f>
        <v>Individu / Perorangan</v>
      </c>
      <c r="X753" s="106" t="str">
        <f t="shared" si="34"/>
        <v>02</v>
      </c>
      <c r="Y753" s="106" t="str" cm="1">
        <f t="array" ref="Y753">IFERROR(INDEX(Kamus!$N$3:$N$111,MATCH(TRUE,ISNUMBER(SEARCH(Kamus!$M$3:$M$111,$I753)),0)),"")</f>
        <v/>
      </c>
      <c r="Z753" s="106" t="str">
        <f>IF(AND(OR($X753="02",$X753="03",$X753="04"),OR($T753="Parsel/Bingkisan (tidak dirinci)",$T753="Makanan &amp; Minuman",$T753="Peralatan Rumah Tangga / Pecah Belah",$T753="Pakaian &amp; Kain")),"Momen Hari Raya (dugaan musiman)",IFERROR(VLOOKUP($W753,Kamus!$P$3:$Q$14,2,FALSE),"Tidak Teridentifikasi"))</f>
        <v>Momen Hari Raya (dugaan musiman)</v>
      </c>
      <c r="AA753" s="106" t="str">
        <f t="shared" si="35"/>
        <v>Momen Hari Raya (dugaan musiman)</v>
      </c>
    </row>
    <row r="754" spans="1:27">
      <c r="A754" s="106">
        <v>753</v>
      </c>
      <c r="B754" s="106" t="s">
        <v>2724</v>
      </c>
      <c r="C754" s="107" t="s">
        <v>2725</v>
      </c>
      <c r="D754" s="106" t="s">
        <v>1042</v>
      </c>
      <c r="E754" s="106" t="s">
        <v>2726</v>
      </c>
      <c r="F754" s="106" t="s">
        <v>4658</v>
      </c>
      <c r="G754" s="106" t="s">
        <v>1074</v>
      </c>
      <c r="H754" s="106" t="s">
        <v>4659</v>
      </c>
      <c r="I754" s="106" t="s">
        <v>4660</v>
      </c>
      <c r="K754" s="106" t="s">
        <v>4661</v>
      </c>
      <c r="L754" s="106" t="s">
        <v>4662</v>
      </c>
      <c r="O754" s="106" t="s">
        <v>274</v>
      </c>
      <c r="P754" s="106" t="s">
        <v>2732</v>
      </c>
      <c r="Q754" s="106" t="s">
        <v>428</v>
      </c>
      <c r="S754" s="106" t="str" cm="1">
        <f t="array" ref="S754">IF(TRIM($D754)="","(tidak diisi)",IFERROR(INDEX(Kamus!$B$3:$B$28,MATCH(TRUE,ISNUMBER(SEARCH(Kamus!$A$3:$A$28,$D754)),0)),"Jabatan Lainnya"))</f>
        <v>Ketua Pengadilan</v>
      </c>
      <c r="T754" s="106" t="str" cm="1">
        <f t="array" ref="T754">IF(TRIM($I754)="","(tidak diisi)",IFERROR(INDEX(Kamus!$E$3:$E$162,MATCH(TRUE,ISNUMBER(SEARCH(Kamus!$D$3:$D$162,$I754)),0)),"Barang Lain / Tidak Terinci"))</f>
        <v>Parsel/Bingkisan (tidak dirinci)</v>
      </c>
      <c r="U754" s="106" t="str" cm="1">
        <f t="array" ref="U754">IF(TRIM($I754)="","(tidak diisi)",IFERROR(INDEX(Kamus!$H$3:$H$75,MATCH(TRUE,ISNUMBER(SEARCH(Kamus!$G$3:$G$75,$I754)),0)),"Pemberian Umum / Tanpa Konteks"))</f>
        <v>Pemberian Umum / Tanpa Konteks</v>
      </c>
      <c r="V754" s="106" t="str">
        <f t="shared" si="33"/>
        <v>2026</v>
      </c>
      <c r="W754" s="106" t="str" cm="1">
        <f t="array" ref="W754">IF(TRIM($K754)="","(tidak diisi)",IFERROR(INDEX(Kamus!$K$3:$K$118,MATCH(TRUE,ISNUMBER(SEARCH(Kamus!$J$3:$J$118,$K754)),0)),"Individu / Perorangan"))</f>
        <v>Individu / Perorangan</v>
      </c>
      <c r="X754" s="106" t="str">
        <f t="shared" si="34"/>
        <v>02</v>
      </c>
      <c r="Y754" s="106" t="str" cm="1">
        <f t="array" ref="Y754">IFERROR(INDEX(Kamus!$N$3:$N$111,MATCH(TRUE,ISNUMBER(SEARCH(Kamus!$M$3:$M$111,$I754)),0)),"")</f>
        <v/>
      </c>
      <c r="Z754" s="106" t="str">
        <f>IF(AND(OR($X754="02",$X754="03",$X754="04"),OR($T754="Parsel/Bingkisan (tidak dirinci)",$T754="Makanan &amp; Minuman",$T754="Peralatan Rumah Tangga / Pecah Belah",$T754="Pakaian &amp; Kain")),"Momen Hari Raya (dugaan musiman)",IFERROR(VLOOKUP($W754,Kamus!$P$3:$Q$14,2,FALSE),"Tidak Teridentifikasi"))</f>
        <v>Momen Hari Raya (dugaan musiman)</v>
      </c>
      <c r="AA754" s="106" t="str">
        <f t="shared" si="35"/>
        <v>Momen Hari Raya (dugaan musiman)</v>
      </c>
    </row>
    <row r="755" spans="1:27">
      <c r="A755" s="106">
        <v>754</v>
      </c>
      <c r="B755" s="106" t="s">
        <v>2005</v>
      </c>
      <c r="C755" s="107" t="s">
        <v>2006</v>
      </c>
      <c r="D755" s="106" t="s">
        <v>1843</v>
      </c>
      <c r="E755" s="106" t="s">
        <v>2007</v>
      </c>
      <c r="F755" s="106" t="s">
        <v>4663</v>
      </c>
      <c r="G755" s="106" t="s">
        <v>1006</v>
      </c>
      <c r="H755" s="106" t="s">
        <v>4664</v>
      </c>
      <c r="I755" s="106" t="s">
        <v>4665</v>
      </c>
      <c r="K755" s="106" t="s">
        <v>4666</v>
      </c>
      <c r="L755" s="106" t="s">
        <v>4667</v>
      </c>
      <c r="O755" s="106" t="s">
        <v>274</v>
      </c>
      <c r="P755" s="106" t="s">
        <v>2012</v>
      </c>
      <c r="Q755" s="106" t="s">
        <v>402</v>
      </c>
      <c r="S755" s="106" t="str" cm="1">
        <f t="array" ref="S755">IF(TRIM($D755)="","(tidak diisi)",IFERROR(INDEX(Kamus!$B$3:$B$28,MATCH(TRUE,ISNUMBER(SEARCH(Kamus!$A$3:$A$28,$D755)),0)),"Jabatan Lainnya"))</f>
        <v>Ketua Pengadilan</v>
      </c>
      <c r="T755" s="106" t="str" cm="1">
        <f t="array" ref="T755">IF(TRIM($I755)="","(tidak diisi)",IFERROR(INDEX(Kamus!$E$3:$E$162,MATCH(TRUE,ISNUMBER(SEARCH(Kamus!$D$3:$D$162,$I755)),0)),"Barang Lain / Tidak Terinci"))</f>
        <v>Makanan &amp; Minuman</v>
      </c>
      <c r="U755" s="106" t="str" cm="1">
        <f t="array" ref="U755">IF(TRIM($I755)="","(tidak diisi)",IFERROR(INDEX(Kamus!$H$3:$H$75,MATCH(TRUE,ISNUMBER(SEARCH(Kamus!$G$3:$G$75,$I755)),0)),"Pemberian Umum / Tanpa Konteks"))</f>
        <v>Parsel/Bingkisan Umum (non-hari raya)</v>
      </c>
      <c r="V755" s="106" t="str">
        <f t="shared" si="33"/>
        <v>2026</v>
      </c>
      <c r="W755" s="106" t="str" cm="1">
        <f t="array" ref="W755">IF(TRIM($K755)="","(tidak diisi)",IFERROR(INDEX(Kamus!$K$3:$K$118,MATCH(TRUE,ISNUMBER(SEARCH(Kamus!$J$3:$J$118,$K755)),0)),"Individu / Perorangan"))</f>
        <v>Aparat/Instansi Penegak Hukum &amp; Vertikal</v>
      </c>
      <c r="X755" s="106" t="str">
        <f t="shared" si="34"/>
        <v>02</v>
      </c>
      <c r="Y755" s="106" t="str" cm="1">
        <f t="array" ref="Y755">IFERROR(INDEX(Kamus!$N$3:$N$111,MATCH(TRUE,ISNUMBER(SEARCH(Kamus!$M$3:$M$111,$I755)),0)),"")</f>
        <v/>
      </c>
      <c r="Z755" s="106" t="str">
        <f>IF(AND(OR($X755="02",$X755="03",$X755="04"),OR($T755="Parsel/Bingkisan (tidak dirinci)",$T755="Makanan &amp; Minuman",$T755="Peralatan Rumah Tangga / Pecah Belah",$T755="Pakaian &amp; Kain")),"Momen Hari Raya (dugaan musiman)",IFERROR(VLOOKUP($W755,Kamus!$P$3:$Q$14,2,FALSE),"Tidak Teridentifikasi"))</f>
        <v>Momen Hari Raya (dugaan musiman)</v>
      </c>
      <c r="AA755" s="106" t="str">
        <f t="shared" si="35"/>
        <v>Momen Hari Raya (dugaan musiman)</v>
      </c>
    </row>
    <row r="756" spans="1:27">
      <c r="A756" s="106">
        <v>755</v>
      </c>
      <c r="B756" s="106" t="s">
        <v>2005</v>
      </c>
      <c r="C756" s="107" t="s">
        <v>2006</v>
      </c>
      <c r="D756" s="106" t="s">
        <v>1843</v>
      </c>
      <c r="E756" s="106" t="s">
        <v>2007</v>
      </c>
      <c r="F756" s="106" t="s">
        <v>4668</v>
      </c>
      <c r="G756" s="106" t="s">
        <v>1006</v>
      </c>
      <c r="H756" s="106" t="s">
        <v>4669</v>
      </c>
      <c r="I756" s="106" t="s">
        <v>1634</v>
      </c>
      <c r="J756" s="106">
        <v>575000</v>
      </c>
      <c r="K756" s="106" t="s">
        <v>4670</v>
      </c>
      <c r="L756" s="106" t="s">
        <v>4671</v>
      </c>
      <c r="M756" s="106" t="s">
        <v>1171</v>
      </c>
      <c r="N756" s="106" t="s">
        <v>4672</v>
      </c>
      <c r="O756" s="106" t="s">
        <v>274</v>
      </c>
      <c r="P756" s="106" t="s">
        <v>2012</v>
      </c>
      <c r="Q756" s="106" t="s">
        <v>402</v>
      </c>
      <c r="S756" s="106" t="str" cm="1">
        <f t="array" ref="S756">IF(TRIM($D756)="","(tidak diisi)",IFERROR(INDEX(Kamus!$B$3:$B$28,MATCH(TRUE,ISNUMBER(SEARCH(Kamus!$A$3:$A$28,$D756)),0)),"Jabatan Lainnya"))</f>
        <v>Ketua Pengadilan</v>
      </c>
      <c r="T756" s="106" t="str" cm="1">
        <f t="array" ref="T756">IF(TRIM($I756)="","(tidak diisi)",IFERROR(INDEX(Kamus!$E$3:$E$162,MATCH(TRUE,ISNUMBER(SEARCH(Kamus!$D$3:$D$162,$I756)),0)),"Barang Lain / Tidak Terinci"))</f>
        <v>Pakaian &amp; Kain</v>
      </c>
      <c r="U756" s="106" t="str" cm="1">
        <f t="array" ref="U756">IF(TRIM($I756)="","(tidak diisi)",IFERROR(INDEX(Kamus!$H$3:$H$75,MATCH(TRUE,ISNUMBER(SEARCH(Kamus!$G$3:$G$75,$I756)),0)),"Pemberian Umum / Tanpa Konteks"))</f>
        <v>Pemberian Umum / Tanpa Konteks</v>
      </c>
      <c r="V756" s="106" t="str">
        <f t="shared" si="33"/>
        <v>2026</v>
      </c>
      <c r="W756" s="106" t="str" cm="1">
        <f t="array" ref="W756">IF(TRIM($K756)="","(tidak diisi)",IFERROR(INDEX(Kamus!$K$3:$K$118,MATCH(TRUE,ISNUMBER(SEARCH(Kamus!$J$3:$J$118,$K756)),0)),"Individu / Perorangan"))</f>
        <v>Individu / Perorangan</v>
      </c>
      <c r="X756" s="106" t="str">
        <f t="shared" si="34"/>
        <v>03</v>
      </c>
      <c r="Y756" s="106" t="str" cm="1">
        <f t="array" ref="Y756">IFERROR(INDEX(Kamus!$N$3:$N$111,MATCH(TRUE,ISNUMBER(SEARCH(Kamus!$M$3:$M$111,$I756)),0)),"")</f>
        <v/>
      </c>
      <c r="Z756" s="106" t="str">
        <f>IF(AND(OR($X756="02",$X756="03",$X756="04"),OR($T756="Parsel/Bingkisan (tidak dirinci)",$T756="Makanan &amp; Minuman",$T756="Peralatan Rumah Tangga / Pecah Belah",$T756="Pakaian &amp; Kain")),"Momen Hari Raya (dugaan musiman)",IFERROR(VLOOKUP($W756,Kamus!$P$3:$Q$14,2,FALSE),"Tidak Teridentifikasi"))</f>
        <v>Momen Hari Raya (dugaan musiman)</v>
      </c>
      <c r="AA756" s="106" t="str">
        <f t="shared" si="35"/>
        <v>Momen Hari Raya (dugaan musiman)</v>
      </c>
    </row>
    <row r="757" spans="1:27">
      <c r="A757" s="106">
        <v>756</v>
      </c>
      <c r="B757" s="106" t="s">
        <v>1040</v>
      </c>
      <c r="C757" s="107" t="s">
        <v>1041</v>
      </c>
      <c r="D757" s="106" t="s">
        <v>1042</v>
      </c>
      <c r="E757" s="106" t="s">
        <v>1043</v>
      </c>
      <c r="F757" s="106" t="s">
        <v>4673</v>
      </c>
      <c r="G757" s="106" t="s">
        <v>1006</v>
      </c>
      <c r="H757" s="106" t="s">
        <v>4439</v>
      </c>
      <c r="I757" s="106" t="s">
        <v>4674</v>
      </c>
      <c r="K757" s="106" t="s">
        <v>4675</v>
      </c>
      <c r="L757" s="106" t="s">
        <v>4676</v>
      </c>
      <c r="O757" s="106" t="s">
        <v>274</v>
      </c>
      <c r="P757" s="106" t="s">
        <v>1047</v>
      </c>
      <c r="Q757" s="106" t="s">
        <v>420</v>
      </c>
      <c r="S757" s="106" t="str" cm="1">
        <f t="array" ref="S757">IF(TRIM($D757)="","(tidak diisi)",IFERROR(INDEX(Kamus!$B$3:$B$28,MATCH(TRUE,ISNUMBER(SEARCH(Kamus!$A$3:$A$28,$D757)),0)),"Jabatan Lainnya"))</f>
        <v>Ketua Pengadilan</v>
      </c>
      <c r="T757" s="106" t="str" cm="1">
        <f t="array" ref="T757">IF(TRIM($I757)="","(tidak diisi)",IFERROR(INDEX(Kamus!$E$3:$E$162,MATCH(TRUE,ISNUMBER(SEARCH(Kamus!$D$3:$D$162,$I757)),0)),"Barang Lain / Tidak Terinci"))</f>
        <v>Suvenir &amp; Merchandise</v>
      </c>
      <c r="U757" s="106" t="str" cm="1">
        <f t="array" ref="U757">IF(TRIM($I757)="","(tidak diisi)",IFERROR(INDEX(Kamus!$H$3:$H$75,MATCH(TRUE,ISNUMBER(SEARCH(Kamus!$G$3:$G$75,$I757)),0)),"Pemberian Umum / Tanpa Konteks"))</f>
        <v>Suvenir / Merchandise Kegiatan &amp; Kunjungan</v>
      </c>
      <c r="V757" s="106" t="str">
        <f t="shared" si="33"/>
        <v>2026</v>
      </c>
      <c r="W757" s="106" t="str" cm="1">
        <f t="array" ref="W757">IF(TRIM($K757)="","(tidak diisi)",IFERROR(INDEX(Kamus!$K$3:$K$118,MATCH(TRUE,ISNUMBER(SEARCH(Kamus!$J$3:$J$118,$K757)),0)),"Individu / Perorangan"))</f>
        <v>Internal Peradilan / Instansi Sendiri</v>
      </c>
      <c r="X757" s="106" t="str">
        <f t="shared" si="34"/>
        <v>02</v>
      </c>
      <c r="Y757" s="106" t="str" cm="1">
        <f t="array" ref="Y757">IFERROR(INDEX(Kamus!$N$3:$N$111,MATCH(TRUE,ISNUMBER(SEARCH(Kamus!$M$3:$M$111,$I757)),0)),"")</f>
        <v/>
      </c>
      <c r="Z757" s="106" t="str">
        <f>IF(AND(OR($X757="02",$X757="03",$X757="04"),OR($T757="Parsel/Bingkisan (tidak dirinci)",$T757="Makanan &amp; Minuman",$T757="Peralatan Rumah Tangga / Pecah Belah",$T757="Pakaian &amp; Kain")),"Momen Hari Raya (dugaan musiman)",IFERROR(VLOOKUP($W757,Kamus!$P$3:$Q$14,2,FALSE),"Tidak Teridentifikasi"))</f>
        <v>Kunjungan/Koordinasi Internal Peradilan (dugaan)</v>
      </c>
      <c r="AA757" s="106" t="str">
        <f t="shared" si="35"/>
        <v>Kunjungan/Koordinasi Internal Peradilan (dugaan)</v>
      </c>
    </row>
    <row r="758" spans="1:27">
      <c r="A758" s="106">
        <v>757</v>
      </c>
      <c r="B758" s="106" t="s">
        <v>1040</v>
      </c>
      <c r="C758" s="107" t="s">
        <v>1041</v>
      </c>
      <c r="D758" s="106" t="s">
        <v>1042</v>
      </c>
      <c r="E758" s="106" t="s">
        <v>1043</v>
      </c>
      <c r="F758" s="106" t="s">
        <v>4673</v>
      </c>
      <c r="G758" s="106" t="s">
        <v>1006</v>
      </c>
      <c r="H758" s="106" t="s">
        <v>4439</v>
      </c>
      <c r="I758" s="106" t="s">
        <v>4677</v>
      </c>
      <c r="K758" s="106" t="s">
        <v>4675</v>
      </c>
      <c r="L758" s="106" t="s">
        <v>4676</v>
      </c>
      <c r="O758" s="106" t="s">
        <v>274</v>
      </c>
      <c r="P758" s="106" t="s">
        <v>1047</v>
      </c>
      <c r="Q758" s="106" t="s">
        <v>420</v>
      </c>
      <c r="S758" s="106" t="str" cm="1">
        <f t="array" ref="S758">IF(TRIM($D758)="","(tidak diisi)",IFERROR(INDEX(Kamus!$B$3:$B$28,MATCH(TRUE,ISNUMBER(SEARCH(Kamus!$A$3:$A$28,$D758)),0)),"Jabatan Lainnya"))</f>
        <v>Ketua Pengadilan</v>
      </c>
      <c r="T758" s="106" t="str" cm="1">
        <f t="array" ref="T758">IF(TRIM($I758)="","(tidak diisi)",IFERROR(INDEX(Kamus!$E$3:$E$162,MATCH(TRUE,ISNUMBER(SEARCH(Kamus!$D$3:$D$162,$I758)),0)),"Barang Lain / Tidak Terinci"))</f>
        <v>Suvenir &amp; Merchandise</v>
      </c>
      <c r="U758" s="106" t="str" cm="1">
        <f t="array" ref="U758">IF(TRIM($I758)="","(tidak diisi)",IFERROR(INDEX(Kamus!$H$3:$H$75,MATCH(TRUE,ISNUMBER(SEARCH(Kamus!$G$3:$G$75,$I758)),0)),"Pemberian Umum / Tanpa Konteks"))</f>
        <v>Suvenir / Merchandise Kegiatan &amp; Kunjungan</v>
      </c>
      <c r="V758" s="106" t="str">
        <f t="shared" si="33"/>
        <v>2026</v>
      </c>
      <c r="W758" s="106" t="str" cm="1">
        <f t="array" ref="W758">IF(TRIM($K758)="","(tidak diisi)",IFERROR(INDEX(Kamus!$K$3:$K$118,MATCH(TRUE,ISNUMBER(SEARCH(Kamus!$J$3:$J$118,$K758)),0)),"Individu / Perorangan"))</f>
        <v>Internal Peradilan / Instansi Sendiri</v>
      </c>
      <c r="X758" s="106" t="str">
        <f t="shared" si="34"/>
        <v>02</v>
      </c>
      <c r="Y758" s="106" t="str" cm="1">
        <f t="array" ref="Y758">IFERROR(INDEX(Kamus!$N$3:$N$111,MATCH(TRUE,ISNUMBER(SEARCH(Kamus!$M$3:$M$111,$I758)),0)),"")</f>
        <v/>
      </c>
      <c r="Z758" s="106" t="str">
        <f>IF(AND(OR($X758="02",$X758="03",$X758="04"),OR($T758="Parsel/Bingkisan (tidak dirinci)",$T758="Makanan &amp; Minuman",$T758="Peralatan Rumah Tangga / Pecah Belah",$T758="Pakaian &amp; Kain")),"Momen Hari Raya (dugaan musiman)",IFERROR(VLOOKUP($W758,Kamus!$P$3:$Q$14,2,FALSE),"Tidak Teridentifikasi"))</f>
        <v>Kunjungan/Koordinasi Internal Peradilan (dugaan)</v>
      </c>
      <c r="AA758" s="106" t="str">
        <f t="shared" si="35"/>
        <v>Kunjungan/Koordinasi Internal Peradilan (dugaan)</v>
      </c>
    </row>
    <row r="759" spans="1:27">
      <c r="A759" s="106">
        <v>758</v>
      </c>
      <c r="B759" s="106" t="s">
        <v>2928</v>
      </c>
      <c r="C759" s="107" t="s">
        <v>2929</v>
      </c>
      <c r="D759" s="106" t="s">
        <v>2930</v>
      </c>
      <c r="E759" s="106" t="s">
        <v>1809</v>
      </c>
      <c r="F759" s="106" t="s">
        <v>4678</v>
      </c>
      <c r="G759" s="106" t="s">
        <v>1006</v>
      </c>
      <c r="H759" s="106" t="s">
        <v>4679</v>
      </c>
      <c r="I759" s="106" t="s">
        <v>4398</v>
      </c>
      <c r="J759" s="106">
        <v>25000</v>
      </c>
      <c r="K759" s="106" t="s">
        <v>4680</v>
      </c>
      <c r="L759" s="106" t="s">
        <v>4681</v>
      </c>
      <c r="M759" s="106" t="s">
        <v>1039</v>
      </c>
      <c r="O759" s="106" t="s">
        <v>274</v>
      </c>
      <c r="P759" s="106" t="s">
        <v>1815</v>
      </c>
      <c r="Q759" s="106" t="s">
        <v>428</v>
      </c>
      <c r="S759" s="106" t="str" cm="1">
        <f t="array" ref="S759">IF(TRIM($D759)="","(tidak diisi)",IFERROR(INDEX(Kamus!$B$3:$B$28,MATCH(TRUE,ISNUMBER(SEARCH(Kamus!$A$3:$A$28,$D759)),0)),"Jabatan Lainnya"))</f>
        <v>Jabatan Lainnya</v>
      </c>
      <c r="T759" s="106" t="str" cm="1">
        <f t="array" ref="T759">IF(TRIM($I759)="","(tidak diisi)",IFERROR(INDEX(Kamus!$E$3:$E$162,MATCH(TRUE,ISNUMBER(SEARCH(Kamus!$D$3:$D$162,$I759)),0)),"Barang Lain / Tidak Terinci"))</f>
        <v>Peralatan Rumah Tangga / Pecah Belah</v>
      </c>
      <c r="U759" s="106" t="str" cm="1">
        <f t="array" ref="U759">IF(TRIM($I759)="","(tidak diisi)",IFERROR(INDEX(Kamus!$H$3:$H$75,MATCH(TRUE,ISNUMBER(SEARCH(Kamus!$G$3:$G$75,$I759)),0)),"Pemberian Umum / Tanpa Konteks"))</f>
        <v>Pemberian Umum / Tanpa Konteks</v>
      </c>
      <c r="V759" s="106" t="str">
        <f t="shared" si="33"/>
        <v>2026</v>
      </c>
      <c r="W759" s="106" t="str" cm="1">
        <f t="array" ref="W759">IF(TRIM($K759)="","(tidak diisi)",IFERROR(INDEX(Kamus!$K$3:$K$118,MATCH(TRUE,ISNUMBER(SEARCH(Kamus!$J$3:$J$118,$K759)),0)),"Individu / Perorangan"))</f>
        <v>Individu / Perorangan</v>
      </c>
      <c r="X759" s="106" t="str">
        <f t="shared" si="34"/>
        <v>03</v>
      </c>
      <c r="Y759" s="106" t="str" cm="1">
        <f t="array" ref="Y759">IFERROR(INDEX(Kamus!$N$3:$N$111,MATCH(TRUE,ISNUMBER(SEARCH(Kamus!$M$3:$M$111,$I759)),0)),"")</f>
        <v/>
      </c>
      <c r="Z759" s="106" t="str">
        <f>IF(AND(OR($X759="02",$X759="03",$X759="04"),OR($T759="Parsel/Bingkisan (tidak dirinci)",$T759="Makanan &amp; Minuman",$T759="Peralatan Rumah Tangga / Pecah Belah",$T759="Pakaian &amp; Kain")),"Momen Hari Raya (dugaan musiman)",IFERROR(VLOOKUP($W759,Kamus!$P$3:$Q$14,2,FALSE),"Tidak Teridentifikasi"))</f>
        <v>Momen Hari Raya (dugaan musiman)</v>
      </c>
      <c r="AA759" s="106" t="str">
        <f t="shared" si="35"/>
        <v>Momen Hari Raya (dugaan musiman)</v>
      </c>
    </row>
    <row r="760" spans="1:27">
      <c r="A760" s="106">
        <v>759</v>
      </c>
      <c r="B760" s="106" t="s">
        <v>4682</v>
      </c>
      <c r="C760" s="107" t="s">
        <v>4683</v>
      </c>
      <c r="D760" s="106" t="s">
        <v>1042</v>
      </c>
      <c r="E760" s="106" t="s">
        <v>4684</v>
      </c>
      <c r="F760" s="106" t="s">
        <v>4685</v>
      </c>
      <c r="G760" s="106" t="s">
        <v>1006</v>
      </c>
      <c r="H760" s="106" t="s">
        <v>4686</v>
      </c>
      <c r="I760" s="106" t="s">
        <v>4687</v>
      </c>
      <c r="K760" s="106" t="s">
        <v>4688</v>
      </c>
      <c r="L760" s="106" t="s">
        <v>4689</v>
      </c>
      <c r="O760" s="106" t="s">
        <v>274</v>
      </c>
      <c r="Q760" s="106" t="s">
        <v>410</v>
      </c>
      <c r="S760" s="106" t="str" cm="1">
        <f t="array" ref="S760">IF(TRIM($D760)="","(tidak diisi)",IFERROR(INDEX(Kamus!$B$3:$B$28,MATCH(TRUE,ISNUMBER(SEARCH(Kamus!$A$3:$A$28,$D760)),0)),"Jabatan Lainnya"))</f>
        <v>Ketua Pengadilan</v>
      </c>
      <c r="T760" s="106" t="str" cm="1">
        <f t="array" ref="T760">IF(TRIM($I760)="","(tidak diisi)",IFERROR(INDEX(Kamus!$E$3:$E$162,MATCH(TRUE,ISNUMBER(SEARCH(Kamus!$D$3:$D$162,$I760)),0)),"Barang Lain / Tidak Terinci"))</f>
        <v>Makanan &amp; Minuman</v>
      </c>
      <c r="U760" s="106" t="str" cm="1">
        <f t="array" ref="U760">IF(TRIM($I760)="","(tidak diisi)",IFERROR(INDEX(Kamus!$H$3:$H$75,MATCH(TRUE,ISNUMBER(SEARCH(Kamus!$G$3:$G$75,$I760)),0)),"Pemberian Umum / Tanpa Konteks"))</f>
        <v>Bingkisan Hari Raya / Keagamaan</v>
      </c>
      <c r="V760" s="106" t="str">
        <f t="shared" si="33"/>
        <v>2026</v>
      </c>
      <c r="W760" s="106" t="str" cm="1">
        <f t="array" ref="W760">IF(TRIM($K760)="","(tidak diisi)",IFERROR(INDEX(Kamus!$K$3:$K$118,MATCH(TRUE,ISNUMBER(SEARCH(Kamus!$J$3:$J$118,$K760)),0)),"Individu / Perorangan"))</f>
        <v>Individu / Perorangan</v>
      </c>
      <c r="X760" s="106" t="str">
        <f t="shared" si="34"/>
        <v>03</v>
      </c>
      <c r="Y760" s="106" t="str" cm="1">
        <f t="array" ref="Y760">IFERROR(INDEX(Kamus!$N$3:$N$111,MATCH(TRUE,ISNUMBER(SEARCH(Kamus!$M$3:$M$111,$I760)),0)),"")</f>
        <v>Momen Hari Raya (Ramadan/Idulfitri)</v>
      </c>
      <c r="Z760" s="106" t="str">
        <f>IF(AND(OR($X760="02",$X760="03",$X760="04"),OR($T760="Parsel/Bingkisan (tidak dirinci)",$T760="Makanan &amp; Minuman",$T760="Peralatan Rumah Tangga / Pecah Belah",$T760="Pakaian &amp; Kain")),"Momen Hari Raya (dugaan musiman)",IFERROR(VLOOKUP($W760,Kamus!$P$3:$Q$14,2,FALSE),"Tidak Teridentifikasi"))</f>
        <v>Momen Hari Raya (dugaan musiman)</v>
      </c>
      <c r="AA760" s="106" t="str">
        <f t="shared" si="35"/>
        <v>Momen Hari Raya (Ramadan/Idulfitri)</v>
      </c>
    </row>
    <row r="761" spans="1:27">
      <c r="A761" s="106">
        <v>760</v>
      </c>
      <c r="B761" s="106" t="s">
        <v>3727</v>
      </c>
      <c r="C761" s="107" t="s">
        <v>3728</v>
      </c>
      <c r="D761" s="106" t="s">
        <v>1042</v>
      </c>
      <c r="E761" s="106" t="s">
        <v>2150</v>
      </c>
      <c r="F761" s="106" t="s">
        <v>4690</v>
      </c>
      <c r="G761" s="106" t="s">
        <v>1006</v>
      </c>
      <c r="H761" s="106" t="s">
        <v>4659</v>
      </c>
      <c r="I761" s="106" t="s">
        <v>3828</v>
      </c>
      <c r="J761" s="106">
        <v>80000</v>
      </c>
      <c r="K761" s="106" t="s">
        <v>4691</v>
      </c>
      <c r="L761" s="106" t="s">
        <v>4692</v>
      </c>
      <c r="M761" s="106" t="s">
        <v>1039</v>
      </c>
      <c r="O761" s="106" t="s">
        <v>274</v>
      </c>
      <c r="P761" s="106" t="s">
        <v>604</v>
      </c>
      <c r="Q761" s="106" t="s">
        <v>429</v>
      </c>
      <c r="S761" s="106" t="str" cm="1">
        <f t="array" ref="S761">IF(TRIM($D761)="","(tidak diisi)",IFERROR(INDEX(Kamus!$B$3:$B$28,MATCH(TRUE,ISNUMBER(SEARCH(Kamus!$A$3:$A$28,$D761)),0)),"Jabatan Lainnya"))</f>
        <v>Ketua Pengadilan</v>
      </c>
      <c r="T761" s="106" t="str" cm="1">
        <f t="array" ref="T761">IF(TRIM($I761)="","(tidak diisi)",IFERROR(INDEX(Kamus!$E$3:$E$162,MATCH(TRUE,ISNUMBER(SEARCH(Kamus!$D$3:$D$162,$I761)),0)),"Barang Lain / Tidak Terinci"))</f>
        <v>Peralatan Rumah Tangga / Pecah Belah</v>
      </c>
      <c r="U761" s="106" t="str" cm="1">
        <f t="array" ref="U761">IF(TRIM($I761)="","(tidak diisi)",IFERROR(INDEX(Kamus!$H$3:$H$75,MATCH(TRUE,ISNUMBER(SEARCH(Kamus!$G$3:$G$75,$I761)),0)),"Pemberian Umum / Tanpa Konteks"))</f>
        <v>Pemberian Umum / Tanpa Konteks</v>
      </c>
      <c r="V761" s="106" t="str">
        <f t="shared" si="33"/>
        <v>2026</v>
      </c>
      <c r="W761" s="106" t="str" cm="1">
        <f t="array" ref="W761">IF(TRIM($K761)="","(tidak diisi)",IFERROR(INDEX(Kamus!$K$3:$K$118,MATCH(TRUE,ISNUMBER(SEARCH(Kamus!$J$3:$J$118,$K761)),0)),"Individu / Perorangan"))</f>
        <v>Perusahaan / Vendor</v>
      </c>
      <c r="X761" s="106" t="str">
        <f t="shared" si="34"/>
        <v>02</v>
      </c>
      <c r="Y761" s="106" t="str" cm="1">
        <f t="array" ref="Y761">IFERROR(INDEX(Kamus!$N$3:$N$111,MATCH(TRUE,ISNUMBER(SEARCH(Kamus!$M$3:$M$111,$I761)),0)),"")</f>
        <v/>
      </c>
      <c r="Z761" s="106" t="str">
        <f>IF(AND(OR($X761="02",$X761="03",$X761="04"),OR($T761="Parsel/Bingkisan (tidak dirinci)",$T761="Makanan &amp; Minuman",$T761="Peralatan Rumah Tangga / Pecah Belah",$T761="Pakaian &amp; Kain")),"Momen Hari Raya (dugaan musiman)",IFERROR(VLOOKUP($W761,Kamus!$P$3:$Q$14,2,FALSE),"Tidak Teridentifikasi"))</f>
        <v>Momen Hari Raya (dugaan musiman)</v>
      </c>
      <c r="AA761" s="106" t="str">
        <f t="shared" si="35"/>
        <v>Momen Hari Raya (dugaan musiman)</v>
      </c>
    </row>
    <row r="762" spans="1:27">
      <c r="A762" s="106">
        <v>761</v>
      </c>
      <c r="B762" s="106" t="s">
        <v>3727</v>
      </c>
      <c r="C762" s="107" t="s">
        <v>3728</v>
      </c>
      <c r="D762" s="106" t="s">
        <v>1042</v>
      </c>
      <c r="E762" s="106" t="s">
        <v>2150</v>
      </c>
      <c r="F762" s="106" t="s">
        <v>4693</v>
      </c>
      <c r="G762" s="106" t="s">
        <v>1006</v>
      </c>
      <c r="H762" s="106" t="s">
        <v>4659</v>
      </c>
      <c r="I762" s="106" t="s">
        <v>4694</v>
      </c>
      <c r="J762" s="106">
        <v>100000</v>
      </c>
      <c r="K762" s="106" t="s">
        <v>4695</v>
      </c>
      <c r="L762" s="106" t="s">
        <v>4696</v>
      </c>
      <c r="M762" s="106" t="s">
        <v>1039</v>
      </c>
      <c r="O762" s="106" t="s">
        <v>274</v>
      </c>
      <c r="P762" s="106" t="s">
        <v>604</v>
      </c>
      <c r="Q762" s="106" t="s">
        <v>429</v>
      </c>
      <c r="S762" s="106" t="str" cm="1">
        <f t="array" ref="S762">IF(TRIM($D762)="","(tidak diisi)",IFERROR(INDEX(Kamus!$B$3:$B$28,MATCH(TRUE,ISNUMBER(SEARCH(Kamus!$A$3:$A$28,$D762)),0)),"Jabatan Lainnya"))</f>
        <v>Ketua Pengadilan</v>
      </c>
      <c r="T762" s="106" t="str" cm="1">
        <f t="array" ref="T762">IF(TRIM($I762)="","(tidak diisi)",IFERROR(INDEX(Kamus!$E$3:$E$162,MATCH(TRUE,ISNUMBER(SEARCH(Kamus!$D$3:$D$162,$I762)),0)),"Barang Lain / Tidak Terinci"))</f>
        <v>Suvenir &amp; Merchandise</v>
      </c>
      <c r="U762" s="106" t="str" cm="1">
        <f t="array" ref="U762">IF(TRIM($I762)="","(tidak diisi)",IFERROR(INDEX(Kamus!$H$3:$H$75,MATCH(TRUE,ISNUMBER(SEARCH(Kamus!$G$3:$G$75,$I762)),0)),"Pemberian Umum / Tanpa Konteks"))</f>
        <v>Pemberian Umum / Tanpa Konteks</v>
      </c>
      <c r="V762" s="106" t="str">
        <f t="shared" si="33"/>
        <v>2026</v>
      </c>
      <c r="W762" s="106" t="str" cm="1">
        <f t="array" ref="W762">IF(TRIM($K762)="","(tidak diisi)",IFERROR(INDEX(Kamus!$K$3:$K$118,MATCH(TRUE,ISNUMBER(SEARCH(Kamus!$J$3:$J$118,$K762)),0)),"Individu / Perorangan"))</f>
        <v>Perusahaan / Vendor</v>
      </c>
      <c r="X762" s="106" t="str">
        <f t="shared" si="34"/>
        <v>02</v>
      </c>
      <c r="Y762" s="106" t="str" cm="1">
        <f t="array" ref="Y762">IFERROR(INDEX(Kamus!$N$3:$N$111,MATCH(TRUE,ISNUMBER(SEARCH(Kamus!$M$3:$M$111,$I762)),0)),"")</f>
        <v/>
      </c>
      <c r="Z762" s="106" t="str">
        <f>IF(AND(OR($X762="02",$X762="03",$X762="04"),OR($T762="Parsel/Bingkisan (tidak dirinci)",$T762="Makanan &amp; Minuman",$T762="Peralatan Rumah Tangga / Pecah Belah",$T762="Pakaian &amp; Kain")),"Momen Hari Raya (dugaan musiman)",IFERROR(VLOOKUP($W762,Kamus!$P$3:$Q$14,2,FALSE),"Tidak Teridentifikasi"))</f>
        <v>Relasi Vendor/Pengadaan (dugaan)</v>
      </c>
      <c r="AA762" s="106" t="str">
        <f t="shared" si="35"/>
        <v>Relasi Vendor/Pengadaan (dugaan)</v>
      </c>
    </row>
    <row r="763" spans="1:27">
      <c r="A763" s="106">
        <v>762</v>
      </c>
      <c r="B763" s="106" t="s">
        <v>3727</v>
      </c>
      <c r="C763" s="107" t="s">
        <v>3728</v>
      </c>
      <c r="D763" s="106" t="s">
        <v>1042</v>
      </c>
      <c r="E763" s="106" t="s">
        <v>2150</v>
      </c>
      <c r="F763" s="106" t="s">
        <v>4697</v>
      </c>
      <c r="G763" s="106" t="s">
        <v>1006</v>
      </c>
      <c r="H763" s="106" t="s">
        <v>4659</v>
      </c>
      <c r="I763" s="106" t="s">
        <v>4698</v>
      </c>
      <c r="J763" s="106">
        <v>75000</v>
      </c>
      <c r="K763" s="106" t="s">
        <v>4695</v>
      </c>
      <c r="L763" s="106" t="s">
        <v>4699</v>
      </c>
      <c r="M763" s="106" t="s">
        <v>1039</v>
      </c>
      <c r="O763" s="106" t="s">
        <v>274</v>
      </c>
      <c r="P763" s="106" t="s">
        <v>604</v>
      </c>
      <c r="Q763" s="106" t="s">
        <v>429</v>
      </c>
      <c r="S763" s="106" t="str" cm="1">
        <f t="array" ref="S763">IF(TRIM($D763)="","(tidak diisi)",IFERROR(INDEX(Kamus!$B$3:$B$28,MATCH(TRUE,ISNUMBER(SEARCH(Kamus!$A$3:$A$28,$D763)),0)),"Jabatan Lainnya"))</f>
        <v>Ketua Pengadilan</v>
      </c>
      <c r="T763" s="106" t="str" cm="1">
        <f t="array" ref="T763">IF(TRIM($I763)="","(tidak diisi)",IFERROR(INDEX(Kamus!$E$3:$E$162,MATCH(TRUE,ISNUMBER(SEARCH(Kamus!$D$3:$D$162,$I763)),0)),"Barang Lain / Tidak Terinci"))</f>
        <v>Suvenir &amp; Merchandise</v>
      </c>
      <c r="U763" s="106" t="str" cm="1">
        <f t="array" ref="U763">IF(TRIM($I763)="","(tidak diisi)",IFERROR(INDEX(Kamus!$H$3:$H$75,MATCH(TRUE,ISNUMBER(SEARCH(Kamus!$G$3:$G$75,$I763)),0)),"Pemberian Umum / Tanpa Konteks"))</f>
        <v>Pemberian Umum / Tanpa Konteks</v>
      </c>
      <c r="V763" s="106" t="str">
        <f t="shared" si="33"/>
        <v>2026</v>
      </c>
      <c r="W763" s="106" t="str" cm="1">
        <f t="array" ref="W763">IF(TRIM($K763)="","(tidak diisi)",IFERROR(INDEX(Kamus!$K$3:$K$118,MATCH(TRUE,ISNUMBER(SEARCH(Kamus!$J$3:$J$118,$K763)),0)),"Individu / Perorangan"))</f>
        <v>Perusahaan / Vendor</v>
      </c>
      <c r="X763" s="106" t="str">
        <f t="shared" si="34"/>
        <v>02</v>
      </c>
      <c r="Y763" s="106" t="str" cm="1">
        <f t="array" ref="Y763">IFERROR(INDEX(Kamus!$N$3:$N$111,MATCH(TRUE,ISNUMBER(SEARCH(Kamus!$M$3:$M$111,$I763)),0)),"")</f>
        <v/>
      </c>
      <c r="Z763" s="106" t="str">
        <f>IF(AND(OR($X763="02",$X763="03",$X763="04"),OR($T763="Parsel/Bingkisan (tidak dirinci)",$T763="Makanan &amp; Minuman",$T763="Peralatan Rumah Tangga / Pecah Belah",$T763="Pakaian &amp; Kain")),"Momen Hari Raya (dugaan musiman)",IFERROR(VLOOKUP($W763,Kamus!$P$3:$Q$14,2,FALSE),"Tidak Teridentifikasi"))</f>
        <v>Relasi Vendor/Pengadaan (dugaan)</v>
      </c>
      <c r="AA763" s="106" t="str">
        <f t="shared" si="35"/>
        <v>Relasi Vendor/Pengadaan (dugaan)</v>
      </c>
    </row>
    <row r="764" spans="1:27">
      <c r="A764" s="106">
        <v>763</v>
      </c>
      <c r="B764" s="106" t="s">
        <v>4700</v>
      </c>
      <c r="C764" s="107" t="s">
        <v>4701</v>
      </c>
      <c r="D764" s="106" t="s">
        <v>1042</v>
      </c>
      <c r="E764" s="106" t="s">
        <v>4702</v>
      </c>
      <c r="F764" s="106" t="s">
        <v>4703</v>
      </c>
      <c r="G764" s="106" t="s">
        <v>1006</v>
      </c>
      <c r="H764" s="106" t="s">
        <v>4704</v>
      </c>
      <c r="I764" s="106" t="s">
        <v>4705</v>
      </c>
      <c r="K764" s="106" t="s">
        <v>4706</v>
      </c>
      <c r="L764" s="106" t="s">
        <v>4707</v>
      </c>
      <c r="O764" s="106" t="s">
        <v>274</v>
      </c>
      <c r="P764" s="106" t="s">
        <v>436</v>
      </c>
      <c r="Q764" s="106" t="s">
        <v>364</v>
      </c>
      <c r="S764" s="106" t="str" cm="1">
        <f t="array" ref="S764">IF(TRIM($D764)="","(tidak diisi)",IFERROR(INDEX(Kamus!$B$3:$B$28,MATCH(TRUE,ISNUMBER(SEARCH(Kamus!$A$3:$A$28,$D764)),0)),"Jabatan Lainnya"))</f>
        <v>Ketua Pengadilan</v>
      </c>
      <c r="T764" s="106" t="str" cm="1">
        <f t="array" ref="T764">IF(TRIM($I764)="","(tidak diisi)",IFERROR(INDEX(Kamus!$E$3:$E$162,MATCH(TRUE,ISNUMBER(SEARCH(Kamus!$D$3:$D$162,$I764)),0)),"Barang Lain / Tidak Terinci"))</f>
        <v>Makanan &amp; Minuman</v>
      </c>
      <c r="U764" s="106" t="str" cm="1">
        <f t="array" ref="U764">IF(TRIM($I764)="","(tidak diisi)",IFERROR(INDEX(Kamus!$H$3:$H$75,MATCH(TRUE,ISNUMBER(SEARCH(Kamus!$G$3:$G$75,$I764)),0)),"Pemberian Umum / Tanpa Konteks"))</f>
        <v>Pemberian Umum / Tanpa Konteks</v>
      </c>
      <c r="V764" s="106" t="str">
        <f t="shared" si="33"/>
        <v>2026</v>
      </c>
      <c r="W764" s="106" t="str" cm="1">
        <f t="array" ref="W764">IF(TRIM($K764)="","(tidak diisi)",IFERROR(INDEX(Kamus!$K$3:$K$118,MATCH(TRUE,ISNUMBER(SEARCH(Kamus!$J$3:$J$118,$K764)),0)),"Individu / Perorangan"))</f>
        <v>Individu / Perorangan</v>
      </c>
      <c r="X764" s="106" t="str">
        <f t="shared" si="34"/>
        <v>03</v>
      </c>
      <c r="Y764" s="106" t="str" cm="1">
        <f t="array" ref="Y764">IFERROR(INDEX(Kamus!$N$3:$N$111,MATCH(TRUE,ISNUMBER(SEARCH(Kamus!$M$3:$M$111,$I764)),0)),"")</f>
        <v/>
      </c>
      <c r="Z764" s="106" t="str">
        <f>IF(AND(OR($X764="02",$X764="03",$X764="04"),OR($T764="Parsel/Bingkisan (tidak dirinci)",$T764="Makanan &amp; Minuman",$T764="Peralatan Rumah Tangga / Pecah Belah",$T764="Pakaian &amp; Kain")),"Momen Hari Raya (dugaan musiman)",IFERROR(VLOOKUP($W764,Kamus!$P$3:$Q$14,2,FALSE),"Tidak Teridentifikasi"))</f>
        <v>Momen Hari Raya (dugaan musiman)</v>
      </c>
      <c r="AA764" s="106" t="str">
        <f t="shared" si="35"/>
        <v>Momen Hari Raya (dugaan musiman)</v>
      </c>
    </row>
    <row r="765" spans="1:27">
      <c r="A765" s="106">
        <v>764</v>
      </c>
      <c r="B765" s="106" t="s">
        <v>1022</v>
      </c>
      <c r="C765" s="107" t="s">
        <v>1023</v>
      </c>
      <c r="D765" s="106" t="s">
        <v>1024</v>
      </c>
      <c r="E765" s="106" t="s">
        <v>1025</v>
      </c>
      <c r="F765" s="106" t="s">
        <v>4708</v>
      </c>
      <c r="G765" s="106" t="s">
        <v>1006</v>
      </c>
      <c r="H765" s="106" t="s">
        <v>4679</v>
      </c>
      <c r="I765" s="106" t="s">
        <v>1956</v>
      </c>
      <c r="K765" s="106" t="s">
        <v>468</v>
      </c>
      <c r="L765" s="106" t="s">
        <v>4709</v>
      </c>
      <c r="O765" s="106" t="s">
        <v>274</v>
      </c>
      <c r="P765" s="106" t="s">
        <v>561</v>
      </c>
      <c r="Q765" s="106" t="s">
        <v>428</v>
      </c>
      <c r="S765" s="106" t="str" cm="1">
        <f t="array" ref="S765">IF(TRIM($D765)="","(tidak diisi)",IFERROR(INDEX(Kamus!$B$3:$B$28,MATCH(TRUE,ISNUMBER(SEARCH(Kamus!$A$3:$A$28,$D765)),0)),"Jabatan Lainnya"))</f>
        <v>Sekretaris</v>
      </c>
      <c r="T765" s="106" t="str" cm="1">
        <f t="array" ref="T765">IF(TRIM($I765)="","(tidak diisi)",IFERROR(INDEX(Kamus!$E$3:$E$162,MATCH(TRUE,ISNUMBER(SEARCH(Kamus!$D$3:$D$162,$I765)),0)),"Barang Lain / Tidak Terinci"))</f>
        <v>Parsel/Bingkisan (tidak dirinci)</v>
      </c>
      <c r="U765" s="106" t="str" cm="1">
        <f t="array" ref="U765">IF(TRIM($I765)="","(tidak diisi)",IFERROR(INDEX(Kamus!$H$3:$H$75,MATCH(TRUE,ISNUMBER(SEARCH(Kamus!$G$3:$G$75,$I765)),0)),"Pemberian Umum / Tanpa Konteks"))</f>
        <v>Bingkisan Hari Raya / Keagamaan</v>
      </c>
      <c r="V765" s="106" t="str">
        <f t="shared" si="33"/>
        <v>2026</v>
      </c>
      <c r="W765" s="106" t="str" cm="1">
        <f t="array" ref="W765">IF(TRIM($K765)="","(tidak diisi)",IFERROR(INDEX(Kamus!$K$3:$K$118,MATCH(TRUE,ISNUMBER(SEARCH(Kamus!$J$3:$J$118,$K765)),0)),"Individu / Perorangan"))</f>
        <v>Individu / Perorangan</v>
      </c>
      <c r="X765" s="106" t="str">
        <f t="shared" si="34"/>
        <v>03</v>
      </c>
      <c r="Y765" s="106" t="str" cm="1">
        <f t="array" ref="Y765">IFERROR(INDEX(Kamus!$N$3:$N$111,MATCH(TRUE,ISNUMBER(SEARCH(Kamus!$M$3:$M$111,$I765)),0)),"")</f>
        <v>Momen Hari Raya (Ramadan/Idulfitri)</v>
      </c>
      <c r="Z765" s="106" t="str">
        <f>IF(AND(OR($X765="02",$X765="03",$X765="04"),OR($T765="Parsel/Bingkisan (tidak dirinci)",$T765="Makanan &amp; Minuman",$T765="Peralatan Rumah Tangga / Pecah Belah",$T765="Pakaian &amp; Kain")),"Momen Hari Raya (dugaan musiman)",IFERROR(VLOOKUP($W765,Kamus!$P$3:$Q$14,2,FALSE),"Tidak Teridentifikasi"))</f>
        <v>Momen Hari Raya (dugaan musiman)</v>
      </c>
      <c r="AA765" s="106" t="str">
        <f t="shared" si="35"/>
        <v>Momen Hari Raya (Ramadan/Idulfitri)</v>
      </c>
    </row>
    <row r="766" spans="1:27">
      <c r="A766" s="106">
        <v>765</v>
      </c>
      <c r="B766" s="106" t="s">
        <v>1278</v>
      </c>
      <c r="C766" s="107" t="s">
        <v>1279</v>
      </c>
      <c r="D766" s="106" t="s">
        <v>1024</v>
      </c>
      <c r="E766" s="106" t="s">
        <v>1280</v>
      </c>
      <c r="F766" s="106" t="s">
        <v>4710</v>
      </c>
      <c r="G766" s="106" t="s">
        <v>1074</v>
      </c>
      <c r="H766" s="106" t="s">
        <v>4704</v>
      </c>
      <c r="I766" s="106" t="s">
        <v>1804</v>
      </c>
      <c r="K766" s="106" t="s">
        <v>4711</v>
      </c>
      <c r="L766" s="106" t="s">
        <v>4712</v>
      </c>
      <c r="O766" s="106" t="s">
        <v>274</v>
      </c>
      <c r="P766" s="106" t="s">
        <v>1284</v>
      </c>
      <c r="Q766" s="106" t="s">
        <v>428</v>
      </c>
      <c r="S766" s="106" t="str" cm="1">
        <f t="array" ref="S766">IF(TRIM($D766)="","(tidak diisi)",IFERROR(INDEX(Kamus!$B$3:$B$28,MATCH(TRUE,ISNUMBER(SEARCH(Kamus!$A$3:$A$28,$D766)),0)),"Jabatan Lainnya"))</f>
        <v>Sekretaris</v>
      </c>
      <c r="T766" s="106" t="str" cm="1">
        <f t="array" ref="T766">IF(TRIM($I766)="","(tidak diisi)",IFERROR(INDEX(Kamus!$E$3:$E$162,MATCH(TRUE,ISNUMBER(SEARCH(Kamus!$D$3:$D$162,$I766)),0)),"Barang Lain / Tidak Terinci"))</f>
        <v>Parsel/Bingkisan (tidak dirinci)</v>
      </c>
      <c r="U766" s="106" t="str" cm="1">
        <f t="array" ref="U766">IF(TRIM($I766)="","(tidak diisi)",IFERROR(INDEX(Kamus!$H$3:$H$75,MATCH(TRUE,ISNUMBER(SEARCH(Kamus!$G$3:$G$75,$I766)),0)),"Pemberian Umum / Tanpa Konteks"))</f>
        <v>Parsel/Bingkisan Umum (non-hari raya)</v>
      </c>
      <c r="V766" s="106" t="str">
        <f t="shared" si="33"/>
        <v>2026</v>
      </c>
      <c r="W766" s="106" t="str" cm="1">
        <f t="array" ref="W766">IF(TRIM($K766)="","(tidak diisi)",IFERROR(INDEX(Kamus!$K$3:$K$118,MATCH(TRUE,ISNUMBER(SEARCH(Kamus!$J$3:$J$118,$K766)),0)),"Individu / Perorangan"))</f>
        <v>Perusahaan / Vendor</v>
      </c>
      <c r="X766" s="106" t="str">
        <f t="shared" si="34"/>
        <v>03</v>
      </c>
      <c r="Y766" s="106" t="str" cm="1">
        <f t="array" ref="Y766">IFERROR(INDEX(Kamus!$N$3:$N$111,MATCH(TRUE,ISNUMBER(SEARCH(Kamus!$M$3:$M$111,$I766)),0)),"")</f>
        <v/>
      </c>
      <c r="Z766" s="106" t="str">
        <f>IF(AND(OR($X766="02",$X766="03",$X766="04"),OR($T766="Parsel/Bingkisan (tidak dirinci)",$T766="Makanan &amp; Minuman",$T766="Peralatan Rumah Tangga / Pecah Belah",$T766="Pakaian &amp; Kain")),"Momen Hari Raya (dugaan musiman)",IFERROR(VLOOKUP($W766,Kamus!$P$3:$Q$14,2,FALSE),"Tidak Teridentifikasi"))</f>
        <v>Momen Hari Raya (dugaan musiman)</v>
      </c>
      <c r="AA766" s="106" t="str">
        <f t="shared" si="35"/>
        <v>Momen Hari Raya (dugaan musiman)</v>
      </c>
    </row>
    <row r="767" spans="1:27">
      <c r="A767" s="106">
        <v>766</v>
      </c>
      <c r="B767" s="106" t="s">
        <v>4713</v>
      </c>
      <c r="C767" s="107" t="s">
        <v>4714</v>
      </c>
      <c r="D767" s="106" t="s">
        <v>4715</v>
      </c>
      <c r="E767" s="106" t="s">
        <v>1005</v>
      </c>
      <c r="G767" s="106" t="s">
        <v>1074</v>
      </c>
      <c r="L767" s="106" t="s">
        <v>4716</v>
      </c>
      <c r="O767" s="106" t="s">
        <v>274</v>
      </c>
      <c r="S767" s="106" t="str" cm="1">
        <f t="array" ref="S767">IF(TRIM($D767)="","(tidak diisi)",IFERROR(INDEX(Kamus!$B$3:$B$28,MATCH(TRUE,ISNUMBER(SEARCH(Kamus!$A$3:$A$28,$D767)),0)),"Jabatan Lainnya"))</f>
        <v>Staf/Pegawai Pelaksana</v>
      </c>
      <c r="T767" s="106" t="str" cm="1">
        <f t="array" ref="T767">IF(TRIM($I767)="","(tidak diisi)",IFERROR(INDEX(Kamus!$E$3:$E$162,MATCH(TRUE,ISNUMBER(SEARCH(Kamus!$D$3:$D$162,$I767)),0)),"Barang Lain / Tidak Terinci"))</f>
        <v>(tidak diisi)</v>
      </c>
      <c r="U767" s="106" t="str" cm="1">
        <f t="array" ref="U767">IF(TRIM($I767)="","(tidak diisi)",IFERROR(INDEX(Kamus!$H$3:$H$75,MATCH(TRUE,ISNUMBER(SEARCH(Kamus!$G$3:$G$75,$I767)),0)),"Pemberian Umum / Tanpa Konteks"))</f>
        <v>(tidak diisi)</v>
      </c>
      <c r="V767" s="106" t="str">
        <f t="shared" si="33"/>
        <v>(tidak diisi)</v>
      </c>
      <c r="W767" s="106" t="str" cm="1">
        <f t="array" ref="W767">IF(TRIM($K767)="","(tidak diisi)",IFERROR(INDEX(Kamus!$K$3:$K$118,MATCH(TRUE,ISNUMBER(SEARCH(Kamus!$J$3:$J$118,$K767)),0)),"Individu / Perorangan"))</f>
        <v>(tidak diisi)</v>
      </c>
      <c r="X767" s="106" t="str">
        <f t="shared" si="34"/>
        <v>(tidak diisi)</v>
      </c>
      <c r="Y767" s="106" t="str" cm="1">
        <f t="array" ref="Y767">IFERROR(INDEX(Kamus!$N$3:$N$111,MATCH(TRUE,ISNUMBER(SEARCH(Kamus!$M$3:$M$111,$I767)),0)),"")</f>
        <v/>
      </c>
      <c r="Z767" s="106" t="str">
        <f>IF(AND(OR($X767="02",$X767="03",$X767="04"),OR($T767="Parsel/Bingkisan (tidak dirinci)",$T767="Makanan &amp; Minuman",$T767="Peralatan Rumah Tangga / Pecah Belah",$T767="Pakaian &amp; Kain")),"Momen Hari Raya (dugaan musiman)",IFERROR(VLOOKUP($W767,Kamus!$P$3:$Q$14,2,FALSE),"Tidak Teridentifikasi"))</f>
        <v>Tidak Teridentifikasi</v>
      </c>
      <c r="AA767" s="106" t="str">
        <f t="shared" si="35"/>
        <v>Tidak Teridentifikasi</v>
      </c>
    </row>
    <row r="768" spans="1:27">
      <c r="A768" s="106">
        <v>767</v>
      </c>
      <c r="B768" s="106" t="s">
        <v>4717</v>
      </c>
      <c r="C768" s="107" t="s">
        <v>4718</v>
      </c>
      <c r="D768" s="106" t="s">
        <v>1042</v>
      </c>
      <c r="E768" s="106" t="s">
        <v>4719</v>
      </c>
      <c r="F768" s="106" t="s">
        <v>4720</v>
      </c>
      <c r="G768" s="106" t="s">
        <v>1006</v>
      </c>
      <c r="H768" s="106" t="s">
        <v>4669</v>
      </c>
      <c r="I768" s="106" t="s">
        <v>4721</v>
      </c>
      <c r="J768" s="106">
        <v>135000</v>
      </c>
      <c r="K768" s="106" t="s">
        <v>4722</v>
      </c>
      <c r="L768" s="106" t="s">
        <v>4723</v>
      </c>
      <c r="M768" s="106" t="s">
        <v>1171</v>
      </c>
      <c r="N768" s="106" t="s">
        <v>4724</v>
      </c>
      <c r="O768" s="106" t="s">
        <v>274</v>
      </c>
      <c r="P768" s="106" t="s">
        <v>4725</v>
      </c>
      <c r="Q768" s="106" t="s">
        <v>421</v>
      </c>
      <c r="S768" s="106" t="str" cm="1">
        <f t="array" ref="S768">IF(TRIM($D768)="","(tidak diisi)",IFERROR(INDEX(Kamus!$B$3:$B$28,MATCH(TRUE,ISNUMBER(SEARCH(Kamus!$A$3:$A$28,$D768)),0)),"Jabatan Lainnya"))</f>
        <v>Ketua Pengadilan</v>
      </c>
      <c r="T768" s="106" t="str" cm="1">
        <f t="array" ref="T768">IF(TRIM($I768)="","(tidak diisi)",IFERROR(INDEX(Kamus!$E$3:$E$162,MATCH(TRUE,ISNUMBER(SEARCH(Kamus!$D$3:$D$162,$I768)),0)),"Barang Lain / Tidak Terinci"))</f>
        <v>Uang &amp; Setara Uang</v>
      </c>
      <c r="U768" s="106" t="str" cm="1">
        <f t="array" ref="U768">IF(TRIM($I768)="","(tidak diisi)",IFERROR(INDEX(Kamus!$H$3:$H$75,MATCH(TRUE,ISNUMBER(SEARCH(Kamus!$G$3:$G$75,$I768)),0)),"Pemberian Umum / Tanpa Konteks"))</f>
        <v>Bingkisan Hari Raya / Keagamaan</v>
      </c>
      <c r="V768" s="106" t="str">
        <f t="shared" si="33"/>
        <v>2026</v>
      </c>
      <c r="W768" s="106" t="str" cm="1">
        <f t="array" ref="W768">IF(TRIM($K768)="","(tidak diisi)",IFERROR(INDEX(Kamus!$K$3:$K$118,MATCH(TRUE,ISNUMBER(SEARCH(Kamus!$J$3:$J$118,$K768)),0)),"Individu / Perorangan"))</f>
        <v>Perusahaan / Vendor</v>
      </c>
      <c r="X768" s="106" t="str">
        <f t="shared" si="34"/>
        <v>03</v>
      </c>
      <c r="Y768" s="106" t="str" cm="1">
        <f t="array" ref="Y768">IFERROR(INDEX(Kamus!$N$3:$N$111,MATCH(TRUE,ISNUMBER(SEARCH(Kamus!$M$3:$M$111,$I768)),0)),"")</f>
        <v>Momen Hari Raya (Ramadan/Idulfitri)</v>
      </c>
      <c r="Z768" s="106" t="str">
        <f>IF(AND(OR($X768="02",$X768="03",$X768="04"),OR($T768="Parsel/Bingkisan (tidak dirinci)",$T768="Makanan &amp; Minuman",$T768="Peralatan Rumah Tangga / Pecah Belah",$T768="Pakaian &amp; Kain")),"Momen Hari Raya (dugaan musiman)",IFERROR(VLOOKUP($W768,Kamus!$P$3:$Q$14,2,FALSE),"Tidak Teridentifikasi"))</f>
        <v>Relasi Vendor/Pengadaan (dugaan)</v>
      </c>
      <c r="AA768" s="106" t="str">
        <f t="shared" si="35"/>
        <v>Momen Hari Raya (Ramadan/Idulfitri)</v>
      </c>
    </row>
    <row r="769" spans="1:27">
      <c r="A769" s="106">
        <v>768</v>
      </c>
      <c r="B769" s="106" t="s">
        <v>1292</v>
      </c>
      <c r="C769" s="107" t="s">
        <v>1293</v>
      </c>
      <c r="D769" s="106" t="s">
        <v>1024</v>
      </c>
      <c r="E769" s="106" t="s">
        <v>1294</v>
      </c>
      <c r="F769" s="106" t="s">
        <v>4726</v>
      </c>
      <c r="G769" s="106" t="s">
        <v>1006</v>
      </c>
      <c r="H769" s="106" t="s">
        <v>4727</v>
      </c>
      <c r="I769" s="106" t="s">
        <v>4728</v>
      </c>
      <c r="K769" s="106" t="s">
        <v>4729</v>
      </c>
      <c r="L769" s="106" t="s">
        <v>4730</v>
      </c>
      <c r="O769" s="106" t="s">
        <v>274</v>
      </c>
      <c r="P769" s="106" t="s">
        <v>1298</v>
      </c>
      <c r="Q769" s="106" t="s">
        <v>428</v>
      </c>
      <c r="S769" s="106" t="str" cm="1">
        <f t="array" ref="S769">IF(TRIM($D769)="","(tidak diisi)",IFERROR(INDEX(Kamus!$B$3:$B$28,MATCH(TRUE,ISNUMBER(SEARCH(Kamus!$A$3:$A$28,$D769)),0)),"Jabatan Lainnya"))</f>
        <v>Sekretaris</v>
      </c>
      <c r="T769" s="106" t="str" cm="1">
        <f t="array" ref="T769">IF(TRIM($I769)="","(tidak diisi)",IFERROR(INDEX(Kamus!$E$3:$E$162,MATCH(TRUE,ISNUMBER(SEARCH(Kamus!$D$3:$D$162,$I769)),0)),"Barang Lain / Tidak Terinci"))</f>
        <v>Parsel/Bingkisan (tidak dirinci)</v>
      </c>
      <c r="U769" s="106" t="str" cm="1">
        <f t="array" ref="U769">IF(TRIM($I769)="","(tidak diisi)",IFERROR(INDEX(Kamus!$H$3:$H$75,MATCH(TRUE,ISNUMBER(SEARCH(Kamus!$G$3:$G$75,$I769)),0)),"Pemberian Umum / Tanpa Konteks"))</f>
        <v>Bingkisan Hari Raya / Keagamaan</v>
      </c>
      <c r="V769" s="106" t="str">
        <f t="shared" si="33"/>
        <v>2026</v>
      </c>
      <c r="W769" s="106" t="str" cm="1">
        <f t="array" ref="W769">IF(TRIM($K769)="","(tidak diisi)",IFERROR(INDEX(Kamus!$K$3:$K$118,MATCH(TRUE,ISNUMBER(SEARCH(Kamus!$J$3:$J$118,$K769)),0)),"Individu / Perorangan"))</f>
        <v>Individu / Perorangan</v>
      </c>
      <c r="X769" s="106" t="str">
        <f t="shared" si="34"/>
        <v>03</v>
      </c>
      <c r="Y769" s="106" t="str" cm="1">
        <f t="array" ref="Y769">IFERROR(INDEX(Kamus!$N$3:$N$111,MATCH(TRUE,ISNUMBER(SEARCH(Kamus!$M$3:$M$111,$I769)),0)),"")</f>
        <v>Momen Hari Raya (Ramadan/Idulfitri)</v>
      </c>
      <c r="Z769" s="106" t="str">
        <f>IF(AND(OR($X769="02",$X769="03",$X769="04"),OR($T769="Parsel/Bingkisan (tidak dirinci)",$T769="Makanan &amp; Minuman",$T769="Peralatan Rumah Tangga / Pecah Belah",$T769="Pakaian &amp; Kain")),"Momen Hari Raya (dugaan musiman)",IFERROR(VLOOKUP($W769,Kamus!$P$3:$Q$14,2,FALSE),"Tidak Teridentifikasi"))</f>
        <v>Momen Hari Raya (dugaan musiman)</v>
      </c>
      <c r="AA769" s="106" t="str">
        <f t="shared" si="35"/>
        <v>Momen Hari Raya (Ramadan/Idulfitri)</v>
      </c>
    </row>
    <row r="770" spans="1:27">
      <c r="A770" s="106">
        <v>769</v>
      </c>
      <c r="B770" s="106" t="s">
        <v>2033</v>
      </c>
      <c r="C770" s="107" t="s">
        <v>2034</v>
      </c>
      <c r="D770" s="106" t="s">
        <v>2035</v>
      </c>
      <c r="E770" s="106" t="s">
        <v>1005</v>
      </c>
      <c r="F770" s="106" t="s">
        <v>4731</v>
      </c>
      <c r="G770" s="106" t="s">
        <v>1074</v>
      </c>
      <c r="H770" s="106" t="s">
        <v>4732</v>
      </c>
      <c r="I770" s="106" t="s">
        <v>4733</v>
      </c>
      <c r="K770" s="106" t="s">
        <v>4734</v>
      </c>
      <c r="L770" s="106" t="s">
        <v>4735</v>
      </c>
      <c r="O770" s="106" t="s">
        <v>274</v>
      </c>
      <c r="S770" s="106" t="str" cm="1">
        <f t="array" ref="S770">IF(TRIM($D770)="","(tidak diisi)",IFERROR(INDEX(Kamus!$B$3:$B$28,MATCH(TRUE,ISNUMBER(SEARCH(Kamus!$A$3:$A$28,$D770)),0)),"Jabatan Lainnya"))</f>
        <v>Ketua Pengadilan</v>
      </c>
      <c r="T770" s="106" t="str" cm="1">
        <f t="array" ref="T770">IF(TRIM($I770)="","(tidak diisi)",IFERROR(INDEX(Kamus!$E$3:$E$162,MATCH(TRUE,ISNUMBER(SEARCH(Kamus!$D$3:$D$162,$I770)),0)),"Barang Lain / Tidak Terinci"))</f>
        <v>Peralatan Rumah Tangga / Pecah Belah</v>
      </c>
      <c r="U770" s="106" t="str" cm="1">
        <f t="array" ref="U770">IF(TRIM($I770)="","(tidak diisi)",IFERROR(INDEX(Kamus!$H$3:$H$75,MATCH(TRUE,ISNUMBER(SEARCH(Kamus!$G$3:$G$75,$I770)),0)),"Pemberian Umum / Tanpa Konteks"))</f>
        <v>Parsel/Bingkisan Umum (non-hari raya)</v>
      </c>
      <c r="V770" s="106" t="str">
        <f t="shared" si="33"/>
        <v>2026</v>
      </c>
      <c r="W770" s="106" t="str" cm="1">
        <f t="array" ref="W770">IF(TRIM($K770)="","(tidak diisi)",IFERROR(INDEX(Kamus!$K$3:$K$118,MATCH(TRUE,ISNUMBER(SEARCH(Kamus!$J$3:$J$118,$K770)),0)),"Individu / Perorangan"))</f>
        <v>Individu / Perorangan</v>
      </c>
      <c r="X770" s="106" t="str">
        <f t="shared" si="34"/>
        <v>03</v>
      </c>
      <c r="Y770" s="106" t="str" cm="1">
        <f t="array" ref="Y770">IFERROR(INDEX(Kamus!$N$3:$N$111,MATCH(TRUE,ISNUMBER(SEARCH(Kamus!$M$3:$M$111,$I770)),0)),"")</f>
        <v/>
      </c>
      <c r="Z770" s="106" t="str">
        <f>IF(AND(OR($X770="02",$X770="03",$X770="04"),OR($T770="Parsel/Bingkisan (tidak dirinci)",$T770="Makanan &amp; Minuman",$T770="Peralatan Rumah Tangga / Pecah Belah",$T770="Pakaian &amp; Kain")),"Momen Hari Raya (dugaan musiman)",IFERROR(VLOOKUP($W770,Kamus!$P$3:$Q$14,2,FALSE),"Tidak Teridentifikasi"))</f>
        <v>Momen Hari Raya (dugaan musiman)</v>
      </c>
      <c r="AA770" s="106" t="str">
        <f t="shared" si="35"/>
        <v>Momen Hari Raya (dugaan musiman)</v>
      </c>
    </row>
    <row r="771" spans="1:27">
      <c r="A771" s="106">
        <v>770</v>
      </c>
      <c r="B771" s="106" t="s">
        <v>3504</v>
      </c>
      <c r="C771" s="107" t="s">
        <v>3505</v>
      </c>
      <c r="D771" s="106" t="s">
        <v>3506</v>
      </c>
      <c r="E771" s="106" t="s">
        <v>3493</v>
      </c>
      <c r="F771" s="106" t="s">
        <v>4736</v>
      </c>
      <c r="G771" s="106" t="s">
        <v>1074</v>
      </c>
      <c r="H771" s="106" t="s">
        <v>4704</v>
      </c>
      <c r="I771" s="106" t="s">
        <v>4737</v>
      </c>
      <c r="K771" s="106" t="s">
        <v>4738</v>
      </c>
      <c r="L771" s="106" t="s">
        <v>4739</v>
      </c>
      <c r="O771" s="106" t="s">
        <v>274</v>
      </c>
      <c r="P771" s="106" t="s">
        <v>3498</v>
      </c>
      <c r="Q771" s="106" t="s">
        <v>433</v>
      </c>
      <c r="S771" s="106" t="str" cm="1">
        <f t="array" ref="S771">IF(TRIM($D771)="","(tidak diisi)",IFERROR(INDEX(Kamus!$B$3:$B$28,MATCH(TRUE,ISNUMBER(SEARCH(Kamus!$A$3:$A$28,$D771)),0)),"Jabatan Lainnya"))</f>
        <v>Ketua Pengadilan</v>
      </c>
      <c r="T771" s="106" t="str" cm="1">
        <f t="array" ref="T771">IF(TRIM($I771)="","(tidak diisi)",IFERROR(INDEX(Kamus!$E$3:$E$162,MATCH(TRUE,ISNUMBER(SEARCH(Kamus!$D$3:$D$162,$I771)),0)),"Barang Lain / Tidak Terinci"))</f>
        <v>Makanan &amp; Minuman</v>
      </c>
      <c r="U771" s="106" t="str" cm="1">
        <f t="array" ref="U771">IF(TRIM($I771)="","(tidak diisi)",IFERROR(INDEX(Kamus!$H$3:$H$75,MATCH(TRUE,ISNUMBER(SEARCH(Kamus!$G$3:$G$75,$I771)),0)),"Pemberian Umum / Tanpa Konteks"))</f>
        <v>Pemberian Umum / Tanpa Konteks</v>
      </c>
      <c r="V771" s="106" t="str">
        <f t="shared" ref="V771:V834" si="36">IF($H771="","(tidak diisi)",IF(ISNUMBER($H771),TEXT(YEAR($H771),"0"),LEFT($H771,4)))</f>
        <v>2026</v>
      </c>
      <c r="W771" s="106" t="str" cm="1">
        <f t="array" ref="W771">IF(TRIM($K771)="","(tidak diisi)",IFERROR(INDEX(Kamus!$K$3:$K$118,MATCH(TRUE,ISNUMBER(SEARCH(Kamus!$J$3:$J$118,$K771)),0)),"Individu / Perorangan"))</f>
        <v>Individu / Perorangan</v>
      </c>
      <c r="X771" s="106" t="str">
        <f t="shared" ref="X771:X834" si="37">IF($H771="","(tidak diisi)",IF(ISNUMBER($H771),TEXT(MONTH($H771),"00"),MID($H771,6,2)))</f>
        <v>03</v>
      </c>
      <c r="Y771" s="106" t="str" cm="1">
        <f t="array" ref="Y771">IFERROR(INDEX(Kamus!$N$3:$N$111,MATCH(TRUE,ISNUMBER(SEARCH(Kamus!$M$3:$M$111,$I771)),0)),"")</f>
        <v/>
      </c>
      <c r="Z771" s="106" t="str">
        <f>IF(AND(OR($X771="02",$X771="03",$X771="04"),OR($T771="Parsel/Bingkisan (tidak dirinci)",$T771="Makanan &amp; Minuman",$T771="Peralatan Rumah Tangga / Pecah Belah",$T771="Pakaian &amp; Kain")),"Momen Hari Raya (dugaan musiman)",IFERROR(VLOOKUP($W771,Kamus!$P$3:$Q$14,2,FALSE),"Tidak Teridentifikasi"))</f>
        <v>Momen Hari Raya (dugaan musiman)</v>
      </c>
      <c r="AA771" s="106" t="str">
        <f t="shared" ref="AA771:AA834" si="38">IF($Y771="",$Z771,$Y771)</f>
        <v>Momen Hari Raya (dugaan musiman)</v>
      </c>
    </row>
    <row r="772" spans="1:27">
      <c r="A772" s="106">
        <v>771</v>
      </c>
      <c r="B772" s="106" t="s">
        <v>3865</v>
      </c>
      <c r="C772" s="107" t="s">
        <v>3866</v>
      </c>
      <c r="D772" s="106" t="s">
        <v>1042</v>
      </c>
      <c r="E772" s="106" t="s">
        <v>1005</v>
      </c>
      <c r="F772" s="106" t="s">
        <v>4740</v>
      </c>
      <c r="G772" s="106" t="s">
        <v>1006</v>
      </c>
      <c r="H772" s="106" t="s">
        <v>4669</v>
      </c>
      <c r="I772" s="106" t="s">
        <v>4741</v>
      </c>
      <c r="K772" s="106" t="s">
        <v>4742</v>
      </c>
      <c r="L772" s="106" t="s">
        <v>4743</v>
      </c>
      <c r="O772" s="106" t="s">
        <v>274</v>
      </c>
      <c r="S772" s="106" t="str" cm="1">
        <f t="array" ref="S772">IF(TRIM($D772)="","(tidak diisi)",IFERROR(INDEX(Kamus!$B$3:$B$28,MATCH(TRUE,ISNUMBER(SEARCH(Kamus!$A$3:$A$28,$D772)),0)),"Jabatan Lainnya"))</f>
        <v>Ketua Pengadilan</v>
      </c>
      <c r="T772" s="106" t="str" cm="1">
        <f t="array" ref="T772">IF(TRIM($I772)="","(tidak diisi)",IFERROR(INDEX(Kamus!$E$3:$E$162,MATCH(TRUE,ISNUMBER(SEARCH(Kamus!$D$3:$D$162,$I772)),0)),"Barang Lain / Tidak Terinci"))</f>
        <v>Peralatan Rumah Tangga / Pecah Belah</v>
      </c>
      <c r="U772" s="106" t="str" cm="1">
        <f t="array" ref="U772">IF(TRIM($I772)="","(tidak diisi)",IFERROR(INDEX(Kamus!$H$3:$H$75,MATCH(TRUE,ISNUMBER(SEARCH(Kamus!$G$3:$G$75,$I772)),0)),"Pemberian Umum / Tanpa Konteks"))</f>
        <v>Pemberian Umum / Tanpa Konteks</v>
      </c>
      <c r="V772" s="106" t="str">
        <f t="shared" si="36"/>
        <v>2026</v>
      </c>
      <c r="W772" s="106" t="str" cm="1">
        <f t="array" ref="W772">IF(TRIM($K772)="","(tidak diisi)",IFERROR(INDEX(Kamus!$K$3:$K$118,MATCH(TRUE,ISNUMBER(SEARCH(Kamus!$J$3:$J$118,$K772)),0)),"Individu / Perorangan"))</f>
        <v>Bank &amp; Lembaga Keuangan</v>
      </c>
      <c r="X772" s="106" t="str">
        <f t="shared" si="37"/>
        <v>03</v>
      </c>
      <c r="Y772" s="106" t="str" cm="1">
        <f t="array" ref="Y772">IFERROR(INDEX(Kamus!$N$3:$N$111,MATCH(TRUE,ISNUMBER(SEARCH(Kamus!$M$3:$M$111,$I772)),0)),"")</f>
        <v/>
      </c>
      <c r="Z772" s="106" t="str">
        <f>IF(AND(OR($X772="02",$X772="03",$X772="04"),OR($T772="Parsel/Bingkisan (tidak dirinci)",$T772="Makanan &amp; Minuman",$T772="Peralatan Rumah Tangga / Pecah Belah",$T772="Pakaian &amp; Kain")),"Momen Hari Raya (dugaan musiman)",IFERROR(VLOOKUP($W772,Kamus!$P$3:$Q$14,2,FALSE),"Tidak Teridentifikasi"))</f>
        <v>Momen Hari Raya (dugaan musiman)</v>
      </c>
      <c r="AA772" s="106" t="str">
        <f t="shared" si="38"/>
        <v>Momen Hari Raya (dugaan musiman)</v>
      </c>
    </row>
    <row r="773" spans="1:27">
      <c r="A773" s="106">
        <v>772</v>
      </c>
      <c r="B773" s="106" t="s">
        <v>2406</v>
      </c>
      <c r="C773" s="107" t="s">
        <v>2407</v>
      </c>
      <c r="D773" s="106" t="s">
        <v>1033</v>
      </c>
      <c r="E773" s="106" t="s">
        <v>2408</v>
      </c>
      <c r="F773" s="106" t="s">
        <v>4744</v>
      </c>
      <c r="G773" s="106" t="s">
        <v>1074</v>
      </c>
      <c r="H773" s="106" t="s">
        <v>4745</v>
      </c>
      <c r="I773" s="106" t="s">
        <v>4746</v>
      </c>
      <c r="K773" s="106" t="s">
        <v>4747</v>
      </c>
      <c r="L773" s="106" t="s">
        <v>4748</v>
      </c>
      <c r="O773" s="106" t="s">
        <v>274</v>
      </c>
      <c r="P773" s="106" t="s">
        <v>2413</v>
      </c>
      <c r="Q773" s="106" t="s">
        <v>407</v>
      </c>
      <c r="S773" s="106" t="str" cm="1">
        <f t="array" ref="S773">IF(TRIM($D773)="","(tidak diisi)",IFERROR(INDEX(Kamus!$B$3:$B$28,MATCH(TRUE,ISNUMBER(SEARCH(Kamus!$A$3:$A$28,$D773)),0)),"Jabatan Lainnya"))</f>
        <v>Hakim</v>
      </c>
      <c r="T773" s="106" t="str" cm="1">
        <f t="array" ref="T773">IF(TRIM($I773)="","(tidak diisi)",IFERROR(INDEX(Kamus!$E$3:$E$162,MATCH(TRUE,ISNUMBER(SEARCH(Kamus!$D$3:$D$162,$I773)),0)),"Barang Lain / Tidak Terinci"))</f>
        <v>Makanan &amp; Minuman</v>
      </c>
      <c r="U773" s="106" t="str" cm="1">
        <f t="array" ref="U773">IF(TRIM($I773)="","(tidak diisi)",IFERROR(INDEX(Kamus!$H$3:$H$75,MATCH(TRUE,ISNUMBER(SEARCH(Kamus!$G$3:$G$75,$I773)),0)),"Pemberian Umum / Tanpa Konteks"))</f>
        <v>Pemberian Umum / Tanpa Konteks</v>
      </c>
      <c r="V773" s="106" t="str">
        <f t="shared" si="36"/>
        <v>2026</v>
      </c>
      <c r="W773" s="106" t="str" cm="1">
        <f t="array" ref="W773">IF(TRIM($K773)="","(tidak diisi)",IFERROR(INDEX(Kamus!$K$3:$K$118,MATCH(TRUE,ISNUMBER(SEARCH(Kamus!$J$3:$J$118,$K773)),0)),"Individu / Perorangan"))</f>
        <v>Individu / Perorangan</v>
      </c>
      <c r="X773" s="106" t="str">
        <f t="shared" si="37"/>
        <v>03</v>
      </c>
      <c r="Y773" s="106" t="str" cm="1">
        <f t="array" ref="Y773">IFERROR(INDEX(Kamus!$N$3:$N$111,MATCH(TRUE,ISNUMBER(SEARCH(Kamus!$M$3:$M$111,$I773)),0)),"")</f>
        <v/>
      </c>
      <c r="Z773" s="106" t="str">
        <f>IF(AND(OR($X773="02",$X773="03",$X773="04"),OR($T773="Parsel/Bingkisan (tidak dirinci)",$T773="Makanan &amp; Minuman",$T773="Peralatan Rumah Tangga / Pecah Belah",$T773="Pakaian &amp; Kain")),"Momen Hari Raya (dugaan musiman)",IFERROR(VLOOKUP($W773,Kamus!$P$3:$Q$14,2,FALSE),"Tidak Teridentifikasi"))</f>
        <v>Momen Hari Raya (dugaan musiman)</v>
      </c>
      <c r="AA773" s="106" t="str">
        <f t="shared" si="38"/>
        <v>Momen Hari Raya (dugaan musiman)</v>
      </c>
    </row>
    <row r="774" spans="1:27">
      <c r="A774" s="106">
        <v>773</v>
      </c>
      <c r="B774" s="106" t="s">
        <v>1876</v>
      </c>
      <c r="C774" s="107" t="s">
        <v>1877</v>
      </c>
      <c r="D774" s="106" t="s">
        <v>1137</v>
      </c>
      <c r="E774" s="106" t="s">
        <v>1878</v>
      </c>
      <c r="F774" s="106" t="s">
        <v>4749</v>
      </c>
      <c r="G774" s="106" t="s">
        <v>1006</v>
      </c>
      <c r="H774" s="106" t="s">
        <v>4732</v>
      </c>
      <c r="I774" s="106" t="s">
        <v>1758</v>
      </c>
      <c r="K774" s="106" t="s">
        <v>468</v>
      </c>
      <c r="L774" s="106" t="s">
        <v>4750</v>
      </c>
      <c r="O774" s="106" t="s">
        <v>274</v>
      </c>
      <c r="Q774" s="106" t="s">
        <v>347</v>
      </c>
      <c r="S774" s="106" t="str" cm="1">
        <f t="array" ref="S774">IF(TRIM($D774)="","(tidak diisi)",IFERROR(INDEX(Kamus!$B$3:$B$28,MATCH(TRUE,ISNUMBER(SEARCH(Kamus!$A$3:$A$28,$D774)),0)),"Jabatan Lainnya"))</f>
        <v>Hakim</v>
      </c>
      <c r="T774" s="106" t="str" cm="1">
        <f t="array" ref="T774">IF(TRIM($I774)="","(tidak diisi)",IFERROR(INDEX(Kamus!$E$3:$E$162,MATCH(TRUE,ISNUMBER(SEARCH(Kamus!$D$3:$D$162,$I774)),0)),"Barang Lain / Tidak Terinci"))</f>
        <v>Makanan &amp; Minuman</v>
      </c>
      <c r="U774" s="106" t="str" cm="1">
        <f t="array" ref="U774">IF(TRIM($I774)="","(tidak diisi)",IFERROR(INDEX(Kamus!$H$3:$H$75,MATCH(TRUE,ISNUMBER(SEARCH(Kamus!$G$3:$G$75,$I774)),0)),"Pemberian Umum / Tanpa Konteks"))</f>
        <v>Bingkisan Hari Raya / Keagamaan</v>
      </c>
      <c r="V774" s="106" t="str">
        <f t="shared" si="36"/>
        <v>2026</v>
      </c>
      <c r="W774" s="106" t="str" cm="1">
        <f t="array" ref="W774">IF(TRIM($K774)="","(tidak diisi)",IFERROR(INDEX(Kamus!$K$3:$K$118,MATCH(TRUE,ISNUMBER(SEARCH(Kamus!$J$3:$J$118,$K774)),0)),"Individu / Perorangan"))</f>
        <v>Individu / Perorangan</v>
      </c>
      <c r="X774" s="106" t="str">
        <f t="shared" si="37"/>
        <v>03</v>
      </c>
      <c r="Y774" s="106" t="str" cm="1">
        <f t="array" ref="Y774">IFERROR(INDEX(Kamus!$N$3:$N$111,MATCH(TRUE,ISNUMBER(SEARCH(Kamus!$M$3:$M$111,$I774)),0)),"")</f>
        <v>Momen Hari Raya (Ramadan/Idulfitri)</v>
      </c>
      <c r="Z774" s="106" t="str">
        <f>IF(AND(OR($X774="02",$X774="03",$X774="04"),OR($T774="Parsel/Bingkisan (tidak dirinci)",$T774="Makanan &amp; Minuman",$T774="Peralatan Rumah Tangga / Pecah Belah",$T774="Pakaian &amp; Kain")),"Momen Hari Raya (dugaan musiman)",IFERROR(VLOOKUP($W774,Kamus!$P$3:$Q$14,2,FALSE),"Tidak Teridentifikasi"))</f>
        <v>Momen Hari Raya (dugaan musiman)</v>
      </c>
      <c r="AA774" s="106" t="str">
        <f t="shared" si="38"/>
        <v>Momen Hari Raya (Ramadan/Idulfitri)</v>
      </c>
    </row>
    <row r="775" spans="1:27">
      <c r="A775" s="106">
        <v>774</v>
      </c>
      <c r="B775" s="106" t="s">
        <v>4751</v>
      </c>
      <c r="C775" s="107" t="s">
        <v>4752</v>
      </c>
      <c r="D775" s="106" t="s">
        <v>1319</v>
      </c>
      <c r="E775" s="106" t="s">
        <v>4753</v>
      </c>
      <c r="F775" s="106" t="s">
        <v>4754</v>
      </c>
      <c r="G775" s="106" t="s">
        <v>1006</v>
      </c>
      <c r="H775" s="106" t="s">
        <v>4745</v>
      </c>
      <c r="I775" s="106" t="s">
        <v>4755</v>
      </c>
      <c r="K775" s="106" t="s">
        <v>4756</v>
      </c>
      <c r="L775" s="106" t="s">
        <v>4757</v>
      </c>
      <c r="O775" s="106" t="s">
        <v>274</v>
      </c>
      <c r="P775" s="106" t="s">
        <v>4758</v>
      </c>
      <c r="Q775" s="106" t="s">
        <v>349</v>
      </c>
      <c r="S775" s="106" t="str" cm="1">
        <f t="array" ref="S775">IF(TRIM($D775)="","(tidak diisi)",IFERROR(INDEX(Kamus!$B$3:$B$28,MATCH(TRUE,ISNUMBER(SEARCH(Kamus!$A$3:$A$28,$D775)),0)),"Jabatan Lainnya"))</f>
        <v>Wakil Ketua Pengadilan</v>
      </c>
      <c r="T775" s="106" t="str" cm="1">
        <f t="array" ref="T775">IF(TRIM($I775)="","(tidak diisi)",IFERROR(INDEX(Kamus!$E$3:$E$162,MATCH(TRUE,ISNUMBER(SEARCH(Kamus!$D$3:$D$162,$I775)),0)),"Barang Lain / Tidak Terinci"))</f>
        <v>Makanan &amp; Minuman</v>
      </c>
      <c r="U775" s="106" t="str" cm="1">
        <f t="array" ref="U775">IF(TRIM($I775)="","(tidak diisi)",IFERROR(INDEX(Kamus!$H$3:$H$75,MATCH(TRUE,ISNUMBER(SEARCH(Kamus!$G$3:$G$75,$I775)),0)),"Pemberian Umum / Tanpa Konteks"))</f>
        <v>Pemberian Umum / Tanpa Konteks</v>
      </c>
      <c r="V775" s="106" t="str">
        <f t="shared" si="36"/>
        <v>2026</v>
      </c>
      <c r="W775" s="106" t="str" cm="1">
        <f t="array" ref="W775">IF(TRIM($K775)="","(tidak diisi)",IFERROR(INDEX(Kamus!$K$3:$K$118,MATCH(TRUE,ISNUMBER(SEARCH(Kamus!$J$3:$J$118,$K775)),0)),"Individu / Perorangan"))</f>
        <v>Internal Peradilan / Instansi Sendiri</v>
      </c>
      <c r="X775" s="106" t="str">
        <f t="shared" si="37"/>
        <v>03</v>
      </c>
      <c r="Y775" s="106" t="str" cm="1">
        <f t="array" ref="Y775">IFERROR(INDEX(Kamus!$N$3:$N$111,MATCH(TRUE,ISNUMBER(SEARCH(Kamus!$M$3:$M$111,$I775)),0)),"")</f>
        <v/>
      </c>
      <c r="Z775" s="106" t="str">
        <f>IF(AND(OR($X775="02",$X775="03",$X775="04"),OR($T775="Parsel/Bingkisan (tidak dirinci)",$T775="Makanan &amp; Minuman",$T775="Peralatan Rumah Tangga / Pecah Belah",$T775="Pakaian &amp; Kain")),"Momen Hari Raya (dugaan musiman)",IFERROR(VLOOKUP($W775,Kamus!$P$3:$Q$14,2,FALSE),"Tidak Teridentifikasi"))</f>
        <v>Momen Hari Raya (dugaan musiman)</v>
      </c>
      <c r="AA775" s="106" t="str">
        <f t="shared" si="38"/>
        <v>Momen Hari Raya (dugaan musiman)</v>
      </c>
    </row>
    <row r="776" spans="1:27">
      <c r="A776" s="106">
        <v>775</v>
      </c>
      <c r="B776" s="106" t="s">
        <v>1088</v>
      </c>
      <c r="C776" s="107" t="s">
        <v>1089</v>
      </c>
      <c r="D776" s="106" t="s">
        <v>1033</v>
      </c>
      <c r="E776" s="106" t="s">
        <v>1090</v>
      </c>
      <c r="F776" s="106" t="s">
        <v>4759</v>
      </c>
      <c r="G776" s="106" t="s">
        <v>1006</v>
      </c>
      <c r="H776" s="106" t="s">
        <v>4745</v>
      </c>
      <c r="I776" s="106" t="s">
        <v>4760</v>
      </c>
      <c r="J776" s="106">
        <v>75000</v>
      </c>
      <c r="K776" s="106" t="s">
        <v>4761</v>
      </c>
      <c r="L776" s="106" t="s">
        <v>4762</v>
      </c>
      <c r="M776" s="106" t="s">
        <v>1020</v>
      </c>
      <c r="O776" s="106" t="s">
        <v>274</v>
      </c>
      <c r="P776" s="106" t="s">
        <v>1095</v>
      </c>
      <c r="Q776" s="106" t="s">
        <v>348</v>
      </c>
      <c r="S776" s="106" t="str" cm="1">
        <f t="array" ref="S776">IF(TRIM($D776)="","(tidak diisi)",IFERROR(INDEX(Kamus!$B$3:$B$28,MATCH(TRUE,ISNUMBER(SEARCH(Kamus!$A$3:$A$28,$D776)),0)),"Jabatan Lainnya"))</f>
        <v>Hakim</v>
      </c>
      <c r="T776" s="106" t="str" cm="1">
        <f t="array" ref="T776">IF(TRIM($I776)="","(tidak diisi)",IFERROR(INDEX(Kamus!$E$3:$E$162,MATCH(TRUE,ISNUMBER(SEARCH(Kamus!$D$3:$D$162,$I776)),0)),"Barang Lain / Tidak Terinci"))</f>
        <v>Buku &amp; Publikasi</v>
      </c>
      <c r="U776" s="106" t="str" cm="1">
        <f t="array" ref="U776">IF(TRIM($I776)="","(tidak diisi)",IFERROR(INDEX(Kamus!$H$3:$H$75,MATCH(TRUE,ISNUMBER(SEARCH(Kamus!$G$3:$G$75,$I776)),0)),"Pemberian Umum / Tanpa Konteks"))</f>
        <v>Pemberian Umum / Tanpa Konteks</v>
      </c>
      <c r="V776" s="106" t="str">
        <f t="shared" si="36"/>
        <v>2026</v>
      </c>
      <c r="W776" s="106" t="str" cm="1">
        <f t="array" ref="W776">IF(TRIM($K776)="","(tidak diisi)",IFERROR(INDEX(Kamus!$K$3:$K$118,MATCH(TRUE,ISNUMBER(SEARCH(Kamus!$J$3:$J$118,$K776)),0)),"Individu / Perorangan"))</f>
        <v>Pemerintah Daerah</v>
      </c>
      <c r="X776" s="106" t="str">
        <f t="shared" si="37"/>
        <v>03</v>
      </c>
      <c r="Y776" s="106" t="str" cm="1">
        <f t="array" ref="Y776">IFERROR(INDEX(Kamus!$N$3:$N$111,MATCH(TRUE,ISNUMBER(SEARCH(Kamus!$M$3:$M$111,$I776)),0)),"")</f>
        <v/>
      </c>
      <c r="Z776" s="106" t="str">
        <f>IF(AND(OR($X776="02",$X776="03",$X776="04"),OR($T776="Parsel/Bingkisan (tidak dirinci)",$T776="Makanan &amp; Minuman",$T776="Peralatan Rumah Tangga / Pecah Belah",$T776="Pakaian &amp; Kain")),"Momen Hari Raya (dugaan musiman)",IFERROR(VLOOKUP($W776,Kamus!$P$3:$Q$14,2,FALSE),"Tidak Teridentifikasi"))</f>
        <v>Koordinasi Antarinstansi (dugaan)</v>
      </c>
      <c r="AA776" s="106" t="str">
        <f t="shared" si="38"/>
        <v>Koordinasi Antarinstansi (dugaan)</v>
      </c>
    </row>
    <row r="777" spans="1:27">
      <c r="A777" s="106">
        <v>776</v>
      </c>
      <c r="B777" s="106" t="s">
        <v>1088</v>
      </c>
      <c r="C777" s="107" t="s">
        <v>1089</v>
      </c>
      <c r="D777" s="106" t="s">
        <v>1033</v>
      </c>
      <c r="E777" s="106" t="s">
        <v>1090</v>
      </c>
      <c r="F777" s="106" t="s">
        <v>4763</v>
      </c>
      <c r="G777" s="106" t="s">
        <v>1006</v>
      </c>
      <c r="H777" s="106" t="s">
        <v>4764</v>
      </c>
      <c r="I777" s="106" t="s">
        <v>4765</v>
      </c>
      <c r="K777" s="106" t="s">
        <v>4706</v>
      </c>
      <c r="L777" s="106" t="s">
        <v>4766</v>
      </c>
      <c r="O777" s="106" t="s">
        <v>274</v>
      </c>
      <c r="P777" s="106" t="s">
        <v>1095</v>
      </c>
      <c r="Q777" s="106" t="s">
        <v>348</v>
      </c>
      <c r="S777" s="106" t="str" cm="1">
        <f t="array" ref="S777">IF(TRIM($D777)="","(tidak diisi)",IFERROR(INDEX(Kamus!$B$3:$B$28,MATCH(TRUE,ISNUMBER(SEARCH(Kamus!$A$3:$A$28,$D777)),0)),"Jabatan Lainnya"))</f>
        <v>Hakim</v>
      </c>
      <c r="T777" s="106" t="str" cm="1">
        <f t="array" ref="T777">IF(TRIM($I777)="","(tidak diisi)",IFERROR(INDEX(Kamus!$E$3:$E$162,MATCH(TRUE,ISNUMBER(SEARCH(Kamus!$D$3:$D$162,$I777)),0)),"Barang Lain / Tidak Terinci"))</f>
        <v>Buku &amp; Publikasi</v>
      </c>
      <c r="U777" s="106" t="str" cm="1">
        <f t="array" ref="U777">IF(TRIM($I777)="","(tidak diisi)",IFERROR(INDEX(Kamus!$H$3:$H$75,MATCH(TRUE,ISNUMBER(SEARCH(Kamus!$G$3:$G$75,$I777)),0)),"Pemberian Umum / Tanpa Konteks"))</f>
        <v>Suvenir / Merchandise Kegiatan &amp; Kunjungan</v>
      </c>
      <c r="V777" s="106" t="str">
        <f t="shared" si="36"/>
        <v>2026</v>
      </c>
      <c r="W777" s="106" t="str" cm="1">
        <f t="array" ref="W777">IF(TRIM($K777)="","(tidak diisi)",IFERROR(INDEX(Kamus!$K$3:$K$118,MATCH(TRUE,ISNUMBER(SEARCH(Kamus!$J$3:$J$118,$K777)),0)),"Individu / Perorangan"))</f>
        <v>Individu / Perorangan</v>
      </c>
      <c r="X777" s="106" t="str">
        <f t="shared" si="37"/>
        <v>03</v>
      </c>
      <c r="Y777" s="106" t="str" cm="1">
        <f t="array" ref="Y777">IFERROR(INDEX(Kamus!$N$3:$N$111,MATCH(TRUE,ISNUMBER(SEARCH(Kamus!$M$3:$M$111,$I777)),0)),"")</f>
        <v/>
      </c>
      <c r="Z777" s="106" t="str">
        <f>IF(AND(OR($X777="02",$X777="03",$X777="04"),OR($T777="Parsel/Bingkisan (tidak dirinci)",$T777="Makanan &amp; Minuman",$T777="Peralatan Rumah Tangga / Pecah Belah",$T777="Pakaian &amp; Kain")),"Momen Hari Raya (dugaan musiman)",IFERROR(VLOOKUP($W777,Kamus!$P$3:$Q$14,2,FALSE),"Tidak Teridentifikasi"))</f>
        <v>Relasi Personal / Tidak Teridentifikasi</v>
      </c>
      <c r="AA777" s="106" t="str">
        <f t="shared" si="38"/>
        <v>Relasi Personal / Tidak Teridentifikasi</v>
      </c>
    </row>
    <row r="778" spans="1:27">
      <c r="A778" s="106">
        <v>777</v>
      </c>
      <c r="B778" s="106" t="s">
        <v>1909</v>
      </c>
      <c r="C778" s="107" t="s">
        <v>1910</v>
      </c>
      <c r="D778" s="106" t="s">
        <v>1042</v>
      </c>
      <c r="E778" s="106" t="s">
        <v>1911</v>
      </c>
      <c r="F778" s="106" t="s">
        <v>4767</v>
      </c>
      <c r="G778" s="106" t="s">
        <v>1006</v>
      </c>
      <c r="H778" s="106" t="s">
        <v>4764</v>
      </c>
      <c r="I778" s="106" t="s">
        <v>4768</v>
      </c>
      <c r="K778" s="106" t="s">
        <v>2701</v>
      </c>
      <c r="L778" s="106" t="s">
        <v>4769</v>
      </c>
      <c r="O778" s="106" t="s">
        <v>274</v>
      </c>
      <c r="P778" s="106" t="s">
        <v>1916</v>
      </c>
      <c r="Q778" s="106" t="s">
        <v>423</v>
      </c>
      <c r="S778" s="106" t="str" cm="1">
        <f t="array" ref="S778">IF(TRIM($D778)="","(tidak diisi)",IFERROR(INDEX(Kamus!$B$3:$B$28,MATCH(TRUE,ISNUMBER(SEARCH(Kamus!$A$3:$A$28,$D778)),0)),"Jabatan Lainnya"))</f>
        <v>Ketua Pengadilan</v>
      </c>
      <c r="T778" s="106" t="str" cm="1">
        <f t="array" ref="T778">IF(TRIM($I778)="","(tidak diisi)",IFERROR(INDEX(Kamus!$E$3:$E$162,MATCH(TRUE,ISNUMBER(SEARCH(Kamus!$D$3:$D$162,$I778)),0)),"Barang Lain / Tidak Terinci"))</f>
        <v>Makanan &amp; Minuman</v>
      </c>
      <c r="U778" s="106" t="str" cm="1">
        <f t="array" ref="U778">IF(TRIM($I778)="","(tidak diisi)",IFERROR(INDEX(Kamus!$H$3:$H$75,MATCH(TRUE,ISNUMBER(SEARCH(Kamus!$G$3:$G$75,$I778)),0)),"Pemberian Umum / Tanpa Konteks"))</f>
        <v>Pemberian Umum / Tanpa Konteks</v>
      </c>
      <c r="V778" s="106" t="str">
        <f t="shared" si="36"/>
        <v>2026</v>
      </c>
      <c r="W778" s="106" t="str" cm="1">
        <f t="array" ref="W778">IF(TRIM($K778)="","(tidak diisi)",IFERROR(INDEX(Kamus!$K$3:$K$118,MATCH(TRUE,ISNUMBER(SEARCH(Kamus!$J$3:$J$118,$K778)),0)),"Individu / Perorangan"))</f>
        <v>Tidak Diketahui</v>
      </c>
      <c r="X778" s="106" t="str">
        <f t="shared" si="37"/>
        <v>03</v>
      </c>
      <c r="Y778" s="106" t="str" cm="1">
        <f t="array" ref="Y778">IFERROR(INDEX(Kamus!$N$3:$N$111,MATCH(TRUE,ISNUMBER(SEARCH(Kamus!$M$3:$M$111,$I778)),0)),"")</f>
        <v/>
      </c>
      <c r="Z778" s="106" t="str">
        <f>IF(AND(OR($X778="02",$X778="03",$X778="04"),OR($T778="Parsel/Bingkisan (tidak dirinci)",$T778="Makanan &amp; Minuman",$T778="Peralatan Rumah Tangga / Pecah Belah",$T778="Pakaian &amp; Kain")),"Momen Hari Raya (dugaan musiman)",IFERROR(VLOOKUP($W778,Kamus!$P$3:$Q$14,2,FALSE),"Tidak Teridentifikasi"))</f>
        <v>Momen Hari Raya (dugaan musiman)</v>
      </c>
      <c r="AA778" s="106" t="str">
        <f t="shared" si="38"/>
        <v>Momen Hari Raya (dugaan musiman)</v>
      </c>
    </row>
    <row r="779" spans="1:27">
      <c r="A779" s="106">
        <v>778</v>
      </c>
      <c r="B779" s="106" t="s">
        <v>2005</v>
      </c>
      <c r="C779" s="107" t="s">
        <v>2006</v>
      </c>
      <c r="D779" s="106" t="s">
        <v>1843</v>
      </c>
      <c r="E779" s="106" t="s">
        <v>2007</v>
      </c>
      <c r="F779" s="106" t="s">
        <v>4770</v>
      </c>
      <c r="G779" s="106" t="s">
        <v>1074</v>
      </c>
      <c r="H779" s="106" t="s">
        <v>4745</v>
      </c>
      <c r="I779" s="106" t="s">
        <v>4771</v>
      </c>
      <c r="J779" s="106">
        <v>350000</v>
      </c>
      <c r="K779" s="106" t="s">
        <v>966</v>
      </c>
      <c r="L779" s="106" t="s">
        <v>4772</v>
      </c>
      <c r="M779" s="106" t="s">
        <v>2247</v>
      </c>
      <c r="O779" s="106" t="s">
        <v>274</v>
      </c>
      <c r="P779" s="106" t="s">
        <v>2012</v>
      </c>
      <c r="Q779" s="106" t="s">
        <v>402</v>
      </c>
      <c r="S779" s="106" t="str" cm="1">
        <f t="array" ref="S779">IF(TRIM($D779)="","(tidak diisi)",IFERROR(INDEX(Kamus!$B$3:$B$28,MATCH(TRUE,ISNUMBER(SEARCH(Kamus!$A$3:$A$28,$D779)),0)),"Jabatan Lainnya"))</f>
        <v>Ketua Pengadilan</v>
      </c>
      <c r="T779" s="106" t="str" cm="1">
        <f t="array" ref="T779">IF(TRIM($I779)="","(tidak diisi)",IFERROR(INDEX(Kamus!$E$3:$E$162,MATCH(TRUE,ISNUMBER(SEARCH(Kamus!$D$3:$D$162,$I779)),0)),"Barang Lain / Tidak Terinci"))</f>
        <v>Peralatan Rumah Tangga / Pecah Belah</v>
      </c>
      <c r="U779" s="106" t="str" cm="1">
        <f t="array" ref="U779">IF(TRIM($I779)="","(tidak diisi)",IFERROR(INDEX(Kamus!$H$3:$H$75,MATCH(TRUE,ISNUMBER(SEARCH(Kamus!$G$3:$G$75,$I779)),0)),"Pemberian Umum / Tanpa Konteks"))</f>
        <v>Parsel/Bingkisan Umum (non-hari raya)</v>
      </c>
      <c r="V779" s="106" t="str">
        <f t="shared" si="36"/>
        <v>2026</v>
      </c>
      <c r="W779" s="106" t="str" cm="1">
        <f t="array" ref="W779">IF(TRIM($K779)="","(tidak diisi)",IFERROR(INDEX(Kamus!$K$3:$K$118,MATCH(TRUE,ISNUMBER(SEARCH(Kamus!$J$3:$J$118,$K779)),0)),"Individu / Perorangan"))</f>
        <v>Pemerintah Daerah</v>
      </c>
      <c r="X779" s="106" t="str">
        <f t="shared" si="37"/>
        <v>03</v>
      </c>
      <c r="Y779" s="106" t="str" cm="1">
        <f t="array" ref="Y779">IFERROR(INDEX(Kamus!$N$3:$N$111,MATCH(TRUE,ISNUMBER(SEARCH(Kamus!$M$3:$M$111,$I779)),0)),"")</f>
        <v/>
      </c>
      <c r="Z779" s="106" t="str">
        <f>IF(AND(OR($X779="02",$X779="03",$X779="04"),OR($T779="Parsel/Bingkisan (tidak dirinci)",$T779="Makanan &amp; Minuman",$T779="Peralatan Rumah Tangga / Pecah Belah",$T779="Pakaian &amp; Kain")),"Momen Hari Raya (dugaan musiman)",IFERROR(VLOOKUP($W779,Kamus!$P$3:$Q$14,2,FALSE),"Tidak Teridentifikasi"))</f>
        <v>Momen Hari Raya (dugaan musiman)</v>
      </c>
      <c r="AA779" s="106" t="str">
        <f t="shared" si="38"/>
        <v>Momen Hari Raya (dugaan musiman)</v>
      </c>
    </row>
    <row r="780" spans="1:27">
      <c r="A780" s="106">
        <v>779</v>
      </c>
      <c r="B780" s="106" t="s">
        <v>4773</v>
      </c>
      <c r="C780" s="107" t="s">
        <v>4774</v>
      </c>
      <c r="D780" s="106" t="s">
        <v>4775</v>
      </c>
      <c r="E780" s="106" t="s">
        <v>1005</v>
      </c>
      <c r="F780" s="106" t="s">
        <v>4776</v>
      </c>
      <c r="G780" s="106" t="s">
        <v>1006</v>
      </c>
      <c r="H780" s="106" t="s">
        <v>4745</v>
      </c>
      <c r="I780" s="106" t="s">
        <v>4777</v>
      </c>
      <c r="J780" s="106">
        <v>140000</v>
      </c>
      <c r="K780" s="106" t="s">
        <v>4778</v>
      </c>
      <c r="L780" s="106" t="s">
        <v>4779</v>
      </c>
      <c r="M780" s="106" t="s">
        <v>1171</v>
      </c>
      <c r="N780" s="106" t="s">
        <v>4780</v>
      </c>
      <c r="O780" s="106" t="s">
        <v>274</v>
      </c>
      <c r="S780" s="106" t="str" cm="1">
        <f t="array" ref="S780">IF(TRIM($D780)="","(tidak diisi)",IFERROR(INDEX(Kamus!$B$3:$B$28,MATCH(TRUE,ISNUMBER(SEARCH(Kamus!$A$3:$A$28,$D780)),0)),"Jabatan Lainnya"))</f>
        <v>Ketua Pengadilan</v>
      </c>
      <c r="T780" s="106" t="str" cm="1">
        <f t="array" ref="T780">IF(TRIM($I780)="","(tidak diisi)",IFERROR(INDEX(Kamus!$E$3:$E$162,MATCH(TRUE,ISNUMBER(SEARCH(Kamus!$D$3:$D$162,$I780)),0)),"Barang Lain / Tidak Terinci"))</f>
        <v>Peralatan Rumah Tangga / Pecah Belah</v>
      </c>
      <c r="U780" s="106" t="str" cm="1">
        <f t="array" ref="U780">IF(TRIM($I780)="","(tidak diisi)",IFERROR(INDEX(Kamus!$H$3:$H$75,MATCH(TRUE,ISNUMBER(SEARCH(Kamus!$G$3:$G$75,$I780)),0)),"Pemberian Umum / Tanpa Konteks"))</f>
        <v>Pemberian Umum / Tanpa Konteks</v>
      </c>
      <c r="V780" s="106" t="str">
        <f t="shared" si="36"/>
        <v>2026</v>
      </c>
      <c r="W780" s="106" t="str" cm="1">
        <f t="array" ref="W780">IF(TRIM($K780)="","(tidak diisi)",IFERROR(INDEX(Kamus!$K$3:$K$118,MATCH(TRUE,ISNUMBER(SEARCH(Kamus!$J$3:$J$118,$K780)),0)),"Individu / Perorangan"))</f>
        <v>Bank &amp; Lembaga Keuangan</v>
      </c>
      <c r="X780" s="106" t="str">
        <f t="shared" si="37"/>
        <v>03</v>
      </c>
      <c r="Y780" s="106" t="str" cm="1">
        <f t="array" ref="Y780">IFERROR(INDEX(Kamus!$N$3:$N$111,MATCH(TRUE,ISNUMBER(SEARCH(Kamus!$M$3:$M$111,$I780)),0)),"")</f>
        <v/>
      </c>
      <c r="Z780" s="106" t="str">
        <f>IF(AND(OR($X780="02",$X780="03",$X780="04"),OR($T780="Parsel/Bingkisan (tidak dirinci)",$T780="Makanan &amp; Minuman",$T780="Peralatan Rumah Tangga / Pecah Belah",$T780="Pakaian &amp; Kain")),"Momen Hari Raya (dugaan musiman)",IFERROR(VLOOKUP($W780,Kamus!$P$3:$Q$14,2,FALSE),"Tidak Teridentifikasi"))</f>
        <v>Momen Hari Raya (dugaan musiman)</v>
      </c>
      <c r="AA780" s="106" t="str">
        <f t="shared" si="38"/>
        <v>Momen Hari Raya (dugaan musiman)</v>
      </c>
    </row>
    <row r="781" spans="1:27">
      <c r="A781" s="106">
        <v>780</v>
      </c>
      <c r="B781" s="106" t="s">
        <v>3814</v>
      </c>
      <c r="C781" s="107" t="s">
        <v>3815</v>
      </c>
      <c r="D781" s="106" t="s">
        <v>1024</v>
      </c>
      <c r="E781" s="106" t="s">
        <v>2150</v>
      </c>
      <c r="F781" s="106" t="s">
        <v>4781</v>
      </c>
      <c r="G781" s="106" t="s">
        <v>1006</v>
      </c>
      <c r="H781" s="106" t="s">
        <v>4669</v>
      </c>
      <c r="I781" s="106" t="s">
        <v>4782</v>
      </c>
      <c r="J781" s="106">
        <v>125000</v>
      </c>
      <c r="K781" s="106" t="s">
        <v>4783</v>
      </c>
      <c r="L781" s="106" t="s">
        <v>4784</v>
      </c>
      <c r="M781" s="106" t="s">
        <v>1039</v>
      </c>
      <c r="O781" s="106" t="s">
        <v>274</v>
      </c>
      <c r="P781" s="106" t="s">
        <v>604</v>
      </c>
      <c r="Q781" s="106" t="s">
        <v>429</v>
      </c>
      <c r="S781" s="106" t="str" cm="1">
        <f t="array" ref="S781">IF(TRIM($D781)="","(tidak diisi)",IFERROR(INDEX(Kamus!$B$3:$B$28,MATCH(TRUE,ISNUMBER(SEARCH(Kamus!$A$3:$A$28,$D781)),0)),"Jabatan Lainnya"))</f>
        <v>Sekretaris</v>
      </c>
      <c r="T781" s="106" t="str" cm="1">
        <f t="array" ref="T781">IF(TRIM($I781)="","(tidak diisi)",IFERROR(INDEX(Kamus!$E$3:$E$162,MATCH(TRUE,ISNUMBER(SEARCH(Kamus!$D$3:$D$162,$I781)),0)),"Barang Lain / Tidak Terinci"))</f>
        <v>Buku &amp; Publikasi</v>
      </c>
      <c r="U781" s="106" t="str" cm="1">
        <f t="array" ref="U781">IF(TRIM($I781)="","(tidak diisi)",IFERROR(INDEX(Kamus!$H$3:$H$75,MATCH(TRUE,ISNUMBER(SEARCH(Kamus!$G$3:$G$75,$I781)),0)),"Pemberian Umum / Tanpa Konteks"))</f>
        <v>Suvenir / Merchandise Kegiatan &amp; Kunjungan</v>
      </c>
      <c r="V781" s="106" t="str">
        <f t="shared" si="36"/>
        <v>2026</v>
      </c>
      <c r="W781" s="106" t="str" cm="1">
        <f t="array" ref="W781">IF(TRIM($K781)="","(tidak diisi)",IFERROR(INDEX(Kamus!$K$3:$K$118,MATCH(TRUE,ISNUMBER(SEARCH(Kamus!$J$3:$J$118,$K781)),0)),"Individu / Perorangan"))</f>
        <v>Individu / Perorangan</v>
      </c>
      <c r="X781" s="106" t="str">
        <f t="shared" si="37"/>
        <v>03</v>
      </c>
      <c r="Y781" s="106" t="str" cm="1">
        <f t="array" ref="Y781">IFERROR(INDEX(Kamus!$N$3:$N$111,MATCH(TRUE,ISNUMBER(SEARCH(Kamus!$M$3:$M$111,$I781)),0)),"")</f>
        <v/>
      </c>
      <c r="Z781" s="106" t="str">
        <f>IF(AND(OR($X781="02",$X781="03",$X781="04"),OR($T781="Parsel/Bingkisan (tidak dirinci)",$T781="Makanan &amp; Minuman",$T781="Peralatan Rumah Tangga / Pecah Belah",$T781="Pakaian &amp; Kain")),"Momen Hari Raya (dugaan musiman)",IFERROR(VLOOKUP($W781,Kamus!$P$3:$Q$14,2,FALSE),"Tidak Teridentifikasi"))</f>
        <v>Relasi Personal / Tidak Teridentifikasi</v>
      </c>
      <c r="AA781" s="106" t="str">
        <f t="shared" si="38"/>
        <v>Relasi Personal / Tidak Teridentifikasi</v>
      </c>
    </row>
    <row r="782" spans="1:27">
      <c r="A782" s="106">
        <v>781</v>
      </c>
      <c r="B782" s="106" t="s">
        <v>3814</v>
      </c>
      <c r="C782" s="107" t="s">
        <v>3815</v>
      </c>
      <c r="D782" s="106" t="s">
        <v>1024</v>
      </c>
      <c r="E782" s="106" t="s">
        <v>2150</v>
      </c>
      <c r="F782" s="106" t="s">
        <v>4781</v>
      </c>
      <c r="G782" s="106" t="s">
        <v>1006</v>
      </c>
      <c r="H782" s="106" t="s">
        <v>4764</v>
      </c>
      <c r="I782" s="106" t="s">
        <v>4785</v>
      </c>
      <c r="J782" s="106">
        <v>175000</v>
      </c>
      <c r="K782" s="106" t="s">
        <v>4786</v>
      </c>
      <c r="L782" s="106" t="s">
        <v>4784</v>
      </c>
      <c r="M782" s="106" t="s">
        <v>2529</v>
      </c>
      <c r="O782" s="106" t="s">
        <v>274</v>
      </c>
      <c r="P782" s="106" t="s">
        <v>604</v>
      </c>
      <c r="Q782" s="106" t="s">
        <v>429</v>
      </c>
      <c r="S782" s="106" t="str" cm="1">
        <f t="array" ref="S782">IF(TRIM($D782)="","(tidak diisi)",IFERROR(INDEX(Kamus!$B$3:$B$28,MATCH(TRUE,ISNUMBER(SEARCH(Kamus!$A$3:$A$28,$D782)),0)),"Jabatan Lainnya"))</f>
        <v>Sekretaris</v>
      </c>
      <c r="T782" s="106" t="str" cm="1">
        <f t="array" ref="T782">IF(TRIM($I782)="","(tidak diisi)",IFERROR(INDEX(Kamus!$E$3:$E$162,MATCH(TRUE,ISNUMBER(SEARCH(Kamus!$D$3:$D$162,$I782)),0)),"Barang Lain / Tidak Terinci"))</f>
        <v>Makanan &amp; Minuman</v>
      </c>
      <c r="U782" s="106" t="str" cm="1">
        <f t="array" ref="U782">IF(TRIM($I782)="","(tidak diisi)",IFERROR(INDEX(Kamus!$H$3:$H$75,MATCH(TRUE,ISNUMBER(SEARCH(Kamus!$G$3:$G$75,$I782)),0)),"Pemberian Umum / Tanpa Konteks"))</f>
        <v>Bingkisan Hari Raya / Keagamaan</v>
      </c>
      <c r="V782" s="106" t="str">
        <f t="shared" si="36"/>
        <v>2026</v>
      </c>
      <c r="W782" s="106" t="str" cm="1">
        <f t="array" ref="W782">IF(TRIM($K782)="","(tidak diisi)",IFERROR(INDEX(Kamus!$K$3:$K$118,MATCH(TRUE,ISNUMBER(SEARCH(Kamus!$J$3:$J$118,$K782)),0)),"Individu / Perorangan"))</f>
        <v>Bank &amp; Lembaga Keuangan</v>
      </c>
      <c r="X782" s="106" t="str">
        <f t="shared" si="37"/>
        <v>03</v>
      </c>
      <c r="Y782" s="106" t="str" cm="1">
        <f t="array" ref="Y782">IFERROR(INDEX(Kamus!$N$3:$N$111,MATCH(TRUE,ISNUMBER(SEARCH(Kamus!$M$3:$M$111,$I782)),0)),"")</f>
        <v>Momen Hari Raya (Ramadan/Idulfitri)</v>
      </c>
      <c r="Z782" s="106" t="str">
        <f>IF(AND(OR($X782="02",$X782="03",$X782="04"),OR($T782="Parsel/Bingkisan (tidak dirinci)",$T782="Makanan &amp; Minuman",$T782="Peralatan Rumah Tangga / Pecah Belah",$T782="Pakaian &amp; Kain")),"Momen Hari Raya (dugaan musiman)",IFERROR(VLOOKUP($W782,Kamus!$P$3:$Q$14,2,FALSE),"Tidak Teridentifikasi"))</f>
        <v>Momen Hari Raya (dugaan musiman)</v>
      </c>
      <c r="AA782" s="106" t="str">
        <f t="shared" si="38"/>
        <v>Momen Hari Raya (Ramadan/Idulfitri)</v>
      </c>
    </row>
    <row r="783" spans="1:27">
      <c r="A783" s="106">
        <v>782</v>
      </c>
      <c r="B783" s="106" t="s">
        <v>4682</v>
      </c>
      <c r="C783" s="107" t="s">
        <v>4683</v>
      </c>
      <c r="D783" s="106" t="s">
        <v>1042</v>
      </c>
      <c r="E783" s="106" t="s">
        <v>4684</v>
      </c>
      <c r="F783" s="106" t="s">
        <v>4787</v>
      </c>
      <c r="G783" s="106" t="s">
        <v>1006</v>
      </c>
      <c r="H783" s="106" t="s">
        <v>4764</v>
      </c>
      <c r="I783" s="106" t="s">
        <v>4788</v>
      </c>
      <c r="K783" s="106" t="s">
        <v>4789</v>
      </c>
      <c r="L783" s="106" t="s">
        <v>4790</v>
      </c>
      <c r="O783" s="106" t="s">
        <v>274</v>
      </c>
      <c r="Q783" s="106" t="s">
        <v>410</v>
      </c>
      <c r="S783" s="106" t="str" cm="1">
        <f t="array" ref="S783">IF(TRIM($D783)="","(tidak diisi)",IFERROR(INDEX(Kamus!$B$3:$B$28,MATCH(TRUE,ISNUMBER(SEARCH(Kamus!$A$3:$A$28,$D783)),0)),"Jabatan Lainnya"))</f>
        <v>Ketua Pengadilan</v>
      </c>
      <c r="T783" s="106" t="str" cm="1">
        <f t="array" ref="T783">IF(TRIM($I783)="","(tidak diisi)",IFERROR(INDEX(Kamus!$E$3:$E$162,MATCH(TRUE,ISNUMBER(SEARCH(Kamus!$D$3:$D$162,$I783)),0)),"Barang Lain / Tidak Terinci"))</f>
        <v>Makanan &amp; Minuman</v>
      </c>
      <c r="U783" s="106" t="str" cm="1">
        <f t="array" ref="U783">IF(TRIM($I783)="","(tidak diisi)",IFERROR(INDEX(Kamus!$H$3:$H$75,MATCH(TRUE,ISNUMBER(SEARCH(Kamus!$G$3:$G$75,$I783)),0)),"Pemberian Umum / Tanpa Konteks"))</f>
        <v>Parsel/Bingkisan Umum (non-hari raya)</v>
      </c>
      <c r="V783" s="106" t="str">
        <f t="shared" si="36"/>
        <v>2026</v>
      </c>
      <c r="W783" s="106" t="str" cm="1">
        <f t="array" ref="W783">IF(TRIM($K783)="","(tidak diisi)",IFERROR(INDEX(Kamus!$K$3:$K$118,MATCH(TRUE,ISNUMBER(SEARCH(Kamus!$J$3:$J$118,$K783)),0)),"Individu / Perorangan"))</f>
        <v>Aparat/Instansi Penegak Hukum &amp; Vertikal</v>
      </c>
      <c r="X783" s="106" t="str">
        <f t="shared" si="37"/>
        <v>03</v>
      </c>
      <c r="Y783" s="106" t="str" cm="1">
        <f t="array" ref="Y783">IFERROR(INDEX(Kamus!$N$3:$N$111,MATCH(TRUE,ISNUMBER(SEARCH(Kamus!$M$3:$M$111,$I783)),0)),"")</f>
        <v/>
      </c>
      <c r="Z783" s="106" t="str">
        <f>IF(AND(OR($X783="02",$X783="03",$X783="04"),OR($T783="Parsel/Bingkisan (tidak dirinci)",$T783="Makanan &amp; Minuman",$T783="Peralatan Rumah Tangga / Pecah Belah",$T783="Pakaian &amp; Kain")),"Momen Hari Raya (dugaan musiman)",IFERROR(VLOOKUP($W783,Kamus!$P$3:$Q$14,2,FALSE),"Tidak Teridentifikasi"))</f>
        <v>Momen Hari Raya (dugaan musiman)</v>
      </c>
      <c r="AA783" s="106" t="str">
        <f t="shared" si="38"/>
        <v>Momen Hari Raya (dugaan musiman)</v>
      </c>
    </row>
    <row r="784" spans="1:27">
      <c r="A784" s="106">
        <v>783</v>
      </c>
      <c r="B784" s="106" t="s">
        <v>4791</v>
      </c>
      <c r="C784" s="107" t="s">
        <v>4792</v>
      </c>
      <c r="D784" s="106" t="s">
        <v>4793</v>
      </c>
      <c r="E784" s="106" t="s">
        <v>1005</v>
      </c>
      <c r="F784" s="106" t="s">
        <v>4794</v>
      </c>
      <c r="G784" s="106" t="s">
        <v>1006</v>
      </c>
      <c r="H784" s="106" t="s">
        <v>4795</v>
      </c>
      <c r="I784" s="106" t="s">
        <v>4796</v>
      </c>
      <c r="J784" s="106">
        <v>86371</v>
      </c>
      <c r="K784" s="106" t="s">
        <v>4797</v>
      </c>
      <c r="L784" s="106" t="s">
        <v>4798</v>
      </c>
      <c r="M784" s="106" t="s">
        <v>1171</v>
      </c>
      <c r="N784" s="106" t="s">
        <v>4799</v>
      </c>
      <c r="O784" s="106" t="s">
        <v>274</v>
      </c>
      <c r="S784" s="106" t="str" cm="1">
        <f t="array" ref="S784">IF(TRIM($D784)="","(tidak diisi)",IFERROR(INDEX(Kamus!$B$3:$B$28,MATCH(TRUE,ISNUMBER(SEARCH(Kamus!$A$3:$A$28,$D784)),0)),"Jabatan Lainnya"))</f>
        <v>Ketua Pengadilan</v>
      </c>
      <c r="T784" s="106" t="str" cm="1">
        <f t="array" ref="T784">IF(TRIM($I784)="","(tidak diisi)",IFERROR(INDEX(Kamus!$E$3:$E$162,MATCH(TRUE,ISNUMBER(SEARCH(Kamus!$D$3:$D$162,$I784)),0)),"Barang Lain / Tidak Terinci"))</f>
        <v>Peralatan Rumah Tangga / Pecah Belah</v>
      </c>
      <c r="U784" s="106" t="str" cm="1">
        <f t="array" ref="U784">IF(TRIM($I784)="","(tidak diisi)",IFERROR(INDEX(Kamus!$H$3:$H$75,MATCH(TRUE,ISNUMBER(SEARCH(Kamus!$G$3:$G$75,$I784)),0)),"Pemberian Umum / Tanpa Konteks"))</f>
        <v>Parsel/Bingkisan Umum (non-hari raya)</v>
      </c>
      <c r="V784" s="106" t="str">
        <f t="shared" si="36"/>
        <v>2026</v>
      </c>
      <c r="W784" s="106" t="str" cm="1">
        <f t="array" ref="W784">IF(TRIM($K784)="","(tidak diisi)",IFERROR(INDEX(Kamus!$K$3:$K$118,MATCH(TRUE,ISNUMBER(SEARCH(Kamus!$J$3:$J$118,$K784)),0)),"Individu / Perorangan"))</f>
        <v>Bank &amp; Lembaga Keuangan</v>
      </c>
      <c r="X784" s="106" t="str">
        <f t="shared" si="37"/>
        <v>03</v>
      </c>
      <c r="Y784" s="106" t="str" cm="1">
        <f t="array" ref="Y784">IFERROR(INDEX(Kamus!$N$3:$N$111,MATCH(TRUE,ISNUMBER(SEARCH(Kamus!$M$3:$M$111,$I784)),0)),"")</f>
        <v/>
      </c>
      <c r="Z784" s="106" t="str">
        <f>IF(AND(OR($X784="02",$X784="03",$X784="04"),OR($T784="Parsel/Bingkisan (tidak dirinci)",$T784="Makanan &amp; Minuman",$T784="Peralatan Rumah Tangga / Pecah Belah",$T784="Pakaian &amp; Kain")),"Momen Hari Raya (dugaan musiman)",IFERROR(VLOOKUP($W784,Kamus!$P$3:$Q$14,2,FALSE),"Tidak Teridentifikasi"))</f>
        <v>Momen Hari Raya (dugaan musiman)</v>
      </c>
      <c r="AA784" s="106" t="str">
        <f t="shared" si="38"/>
        <v>Momen Hari Raya (dugaan musiman)</v>
      </c>
    </row>
    <row r="785" spans="1:27">
      <c r="A785" s="106">
        <v>784</v>
      </c>
      <c r="B785" s="106" t="s">
        <v>4800</v>
      </c>
      <c r="C785" s="107" t="s">
        <v>4801</v>
      </c>
      <c r="D785" s="106" t="s">
        <v>1042</v>
      </c>
      <c r="E785" s="106" t="s">
        <v>4802</v>
      </c>
      <c r="F785" s="106" t="s">
        <v>4803</v>
      </c>
      <c r="G785" s="106" t="s">
        <v>1006</v>
      </c>
      <c r="H785" s="106" t="s">
        <v>4795</v>
      </c>
      <c r="I785" s="106" t="s">
        <v>4804</v>
      </c>
      <c r="K785" s="106" t="s">
        <v>4805</v>
      </c>
      <c r="L785" s="106" t="s">
        <v>4806</v>
      </c>
      <c r="O785" s="106" t="s">
        <v>274</v>
      </c>
      <c r="P785" s="106" t="s">
        <v>4807</v>
      </c>
      <c r="Q785" s="106" t="s">
        <v>434</v>
      </c>
      <c r="S785" s="106" t="str" cm="1">
        <f t="array" ref="S785">IF(TRIM($D785)="","(tidak diisi)",IFERROR(INDEX(Kamus!$B$3:$B$28,MATCH(TRUE,ISNUMBER(SEARCH(Kamus!$A$3:$A$28,$D785)),0)),"Jabatan Lainnya"))</f>
        <v>Ketua Pengadilan</v>
      </c>
      <c r="T785" s="106" t="str" cm="1">
        <f t="array" ref="T785">IF(TRIM($I785)="","(tidak diisi)",IFERROR(INDEX(Kamus!$E$3:$E$162,MATCH(TRUE,ISNUMBER(SEARCH(Kamus!$D$3:$D$162,$I785)),0)),"Barang Lain / Tidak Terinci"))</f>
        <v>Uang &amp; Setara Uang</v>
      </c>
      <c r="U785" s="106" t="str" cm="1">
        <f t="array" ref="U785">IF(TRIM($I785)="","(tidak diisi)",IFERROR(INDEX(Kamus!$H$3:$H$75,MATCH(TRUE,ISNUMBER(SEARCH(Kamus!$G$3:$G$75,$I785)),0)),"Pemberian Umum / Tanpa Konteks"))</f>
        <v>Pemberian Uang Langsung</v>
      </c>
      <c r="V785" s="106" t="str">
        <f t="shared" si="36"/>
        <v>2026</v>
      </c>
      <c r="W785" s="106" t="str" cm="1">
        <f t="array" ref="W785">IF(TRIM($K785)="","(tidak diisi)",IFERROR(INDEX(Kamus!$K$3:$K$118,MATCH(TRUE,ISNUMBER(SEARCH(Kamus!$J$3:$J$118,$K785)),0)),"Individu / Perorangan"))</f>
        <v>Bank &amp; Lembaga Keuangan</v>
      </c>
      <c r="X785" s="106" t="str">
        <f t="shared" si="37"/>
        <v>03</v>
      </c>
      <c r="Y785" s="106" t="str" cm="1">
        <f t="array" ref="Y785">IFERROR(INDEX(Kamus!$N$3:$N$111,MATCH(TRUE,ISNUMBER(SEARCH(Kamus!$M$3:$M$111,$I785)),0)),"")</f>
        <v/>
      </c>
      <c r="Z785" s="106" t="str">
        <f>IF(AND(OR($X785="02",$X785="03",$X785="04"),OR($T785="Parsel/Bingkisan (tidak dirinci)",$T785="Makanan &amp; Minuman",$T785="Peralatan Rumah Tangga / Pecah Belah",$T785="Pakaian &amp; Kain")),"Momen Hari Raya (dugaan musiman)",IFERROR(VLOOKUP($W785,Kamus!$P$3:$Q$14,2,FALSE),"Tidak Teridentifikasi"))</f>
        <v>Relasi Layanan/Kerja Sama Perbankan (dugaan)</v>
      </c>
      <c r="AA785" s="106" t="str">
        <f t="shared" si="38"/>
        <v>Relasi Layanan/Kerja Sama Perbankan (dugaan)</v>
      </c>
    </row>
    <row r="786" spans="1:27">
      <c r="A786" s="106">
        <v>785</v>
      </c>
      <c r="B786" s="106" t="s">
        <v>1779</v>
      </c>
      <c r="C786" s="107" t="s">
        <v>1780</v>
      </c>
      <c r="D786" s="106" t="s">
        <v>1781</v>
      </c>
      <c r="E786" s="106" t="s">
        <v>1782</v>
      </c>
      <c r="F786" s="106" t="s">
        <v>4808</v>
      </c>
      <c r="G786" s="106" t="s">
        <v>1006</v>
      </c>
      <c r="H786" s="106" t="s">
        <v>4795</v>
      </c>
      <c r="I786" s="106" t="s">
        <v>1956</v>
      </c>
      <c r="K786" s="106" t="s">
        <v>4809</v>
      </c>
      <c r="L786" s="106" t="s">
        <v>4810</v>
      </c>
      <c r="O786" s="106" t="s">
        <v>274</v>
      </c>
      <c r="P786" s="106" t="s">
        <v>1786</v>
      </c>
      <c r="Q786" s="106" t="s">
        <v>431</v>
      </c>
      <c r="S786" s="106" t="str" cm="1">
        <f t="array" ref="S786">IF(TRIM($D786)="","(tidak diisi)",IFERROR(INDEX(Kamus!$B$3:$B$28,MATCH(TRUE,ISNUMBER(SEARCH(Kamus!$A$3:$A$28,$D786)),0)),"Jabatan Lainnya"))</f>
        <v>Ketua Pengadilan</v>
      </c>
      <c r="T786" s="106" t="str" cm="1">
        <f t="array" ref="T786">IF(TRIM($I786)="","(tidak diisi)",IFERROR(INDEX(Kamus!$E$3:$E$162,MATCH(TRUE,ISNUMBER(SEARCH(Kamus!$D$3:$D$162,$I786)),0)),"Barang Lain / Tidak Terinci"))</f>
        <v>Parsel/Bingkisan (tidak dirinci)</v>
      </c>
      <c r="U786" s="106" t="str" cm="1">
        <f t="array" ref="U786">IF(TRIM($I786)="","(tidak diisi)",IFERROR(INDEX(Kamus!$H$3:$H$75,MATCH(TRUE,ISNUMBER(SEARCH(Kamus!$G$3:$G$75,$I786)),0)),"Pemberian Umum / Tanpa Konteks"))</f>
        <v>Bingkisan Hari Raya / Keagamaan</v>
      </c>
      <c r="V786" s="106" t="str">
        <f t="shared" si="36"/>
        <v>2026</v>
      </c>
      <c r="W786" s="106" t="str" cm="1">
        <f t="array" ref="W786">IF(TRIM($K786)="","(tidak diisi)",IFERROR(INDEX(Kamus!$K$3:$K$118,MATCH(TRUE,ISNUMBER(SEARCH(Kamus!$J$3:$J$118,$K786)),0)),"Individu / Perorangan"))</f>
        <v>Bank &amp; Lembaga Keuangan</v>
      </c>
      <c r="X786" s="106" t="str">
        <f t="shared" si="37"/>
        <v>03</v>
      </c>
      <c r="Y786" s="106" t="str" cm="1">
        <f t="array" ref="Y786">IFERROR(INDEX(Kamus!$N$3:$N$111,MATCH(TRUE,ISNUMBER(SEARCH(Kamus!$M$3:$M$111,$I786)),0)),"")</f>
        <v>Momen Hari Raya (Ramadan/Idulfitri)</v>
      </c>
      <c r="Z786" s="106" t="str">
        <f>IF(AND(OR($X786="02",$X786="03",$X786="04"),OR($T786="Parsel/Bingkisan (tidak dirinci)",$T786="Makanan &amp; Minuman",$T786="Peralatan Rumah Tangga / Pecah Belah",$T786="Pakaian &amp; Kain")),"Momen Hari Raya (dugaan musiman)",IFERROR(VLOOKUP($W786,Kamus!$P$3:$Q$14,2,FALSE),"Tidak Teridentifikasi"))</f>
        <v>Momen Hari Raya (dugaan musiman)</v>
      </c>
      <c r="AA786" s="106" t="str">
        <f t="shared" si="38"/>
        <v>Momen Hari Raya (Ramadan/Idulfitri)</v>
      </c>
    </row>
    <row r="787" spans="1:27">
      <c r="A787" s="106">
        <v>786</v>
      </c>
      <c r="B787" s="106" t="s">
        <v>4811</v>
      </c>
      <c r="C787" s="107" t="s">
        <v>4812</v>
      </c>
      <c r="D787" s="106" t="s">
        <v>4813</v>
      </c>
      <c r="E787" s="106" t="s">
        <v>4814</v>
      </c>
      <c r="F787" s="106" t="s">
        <v>4815</v>
      </c>
      <c r="G787" s="106" t="s">
        <v>1006</v>
      </c>
      <c r="H787" s="106" t="s">
        <v>4664</v>
      </c>
      <c r="I787" s="106" t="s">
        <v>4816</v>
      </c>
      <c r="K787" s="106" t="s">
        <v>4817</v>
      </c>
      <c r="L787" s="106" t="s">
        <v>4818</v>
      </c>
      <c r="O787" s="106" t="s">
        <v>274</v>
      </c>
      <c r="P787" s="106" t="s">
        <v>4819</v>
      </c>
      <c r="Q787" s="106" t="s">
        <v>411</v>
      </c>
      <c r="S787" s="106" t="str" cm="1">
        <f t="array" ref="S787">IF(TRIM($D787)="","(tidak diisi)",IFERROR(INDEX(Kamus!$B$3:$B$28,MATCH(TRUE,ISNUMBER(SEARCH(Kamus!$A$3:$A$28,$D787)),0)),"Jabatan Lainnya"))</f>
        <v>Jabatan Lainnya</v>
      </c>
      <c r="T787" s="106" t="str" cm="1">
        <f t="array" ref="T787">IF(TRIM($I787)="","(tidak diisi)",IFERROR(INDEX(Kamus!$E$3:$E$162,MATCH(TRUE,ISNUMBER(SEARCH(Kamus!$D$3:$D$162,$I787)),0)),"Barang Lain / Tidak Terinci"))</f>
        <v>Makanan &amp; Minuman</v>
      </c>
      <c r="U787" s="106" t="str" cm="1">
        <f t="array" ref="U787">IF(TRIM($I787)="","(tidak diisi)",IFERROR(INDEX(Kamus!$H$3:$H$75,MATCH(TRUE,ISNUMBER(SEARCH(Kamus!$G$3:$G$75,$I787)),0)),"Pemberian Umum / Tanpa Konteks"))</f>
        <v>Pemberian Umum / Tanpa Konteks</v>
      </c>
      <c r="V787" s="106" t="str">
        <f t="shared" si="36"/>
        <v>2026</v>
      </c>
      <c r="W787" s="106" t="str" cm="1">
        <f t="array" ref="W787">IF(TRIM($K787)="","(tidak diisi)",IFERROR(INDEX(Kamus!$K$3:$K$118,MATCH(TRUE,ISNUMBER(SEARCH(Kamus!$J$3:$J$118,$K787)),0)),"Individu / Perorangan"))</f>
        <v>Bank &amp; Lembaga Keuangan</v>
      </c>
      <c r="X787" s="106" t="str">
        <f t="shared" si="37"/>
        <v>02</v>
      </c>
      <c r="Y787" s="106" t="str" cm="1">
        <f t="array" ref="Y787">IFERROR(INDEX(Kamus!$N$3:$N$111,MATCH(TRUE,ISNUMBER(SEARCH(Kamus!$M$3:$M$111,$I787)),0)),"")</f>
        <v/>
      </c>
      <c r="Z787" s="106" t="str">
        <f>IF(AND(OR($X787="02",$X787="03",$X787="04"),OR($T787="Parsel/Bingkisan (tidak dirinci)",$T787="Makanan &amp; Minuman",$T787="Peralatan Rumah Tangga / Pecah Belah",$T787="Pakaian &amp; Kain")),"Momen Hari Raya (dugaan musiman)",IFERROR(VLOOKUP($W787,Kamus!$P$3:$Q$14,2,FALSE),"Tidak Teridentifikasi"))</f>
        <v>Momen Hari Raya (dugaan musiman)</v>
      </c>
      <c r="AA787" s="106" t="str">
        <f t="shared" si="38"/>
        <v>Momen Hari Raya (dugaan musiman)</v>
      </c>
    </row>
    <row r="788" spans="1:27">
      <c r="A788" s="106">
        <v>787</v>
      </c>
      <c r="B788" s="106" t="s">
        <v>4820</v>
      </c>
      <c r="C788" s="107" t="s">
        <v>4821</v>
      </c>
      <c r="D788" s="106" t="s">
        <v>1024</v>
      </c>
      <c r="E788" s="106" t="s">
        <v>1385</v>
      </c>
      <c r="F788" s="106" t="s">
        <v>4822</v>
      </c>
      <c r="G788" s="106" t="s">
        <v>1006</v>
      </c>
      <c r="H788" s="106" t="s">
        <v>4795</v>
      </c>
      <c r="I788" s="106" t="s">
        <v>4823</v>
      </c>
      <c r="J788" s="106">
        <v>360258</v>
      </c>
      <c r="K788" s="106" t="s">
        <v>4824</v>
      </c>
      <c r="L788" s="106" t="s">
        <v>4825</v>
      </c>
      <c r="M788" s="106" t="s">
        <v>1171</v>
      </c>
      <c r="N788" s="106" t="s">
        <v>4826</v>
      </c>
      <c r="O788" s="106" t="s">
        <v>274</v>
      </c>
      <c r="P788" s="106" t="s">
        <v>1391</v>
      </c>
      <c r="Q788" s="106" t="s">
        <v>427</v>
      </c>
      <c r="S788" s="106" t="str" cm="1">
        <f t="array" ref="S788">IF(TRIM($D788)="","(tidak diisi)",IFERROR(INDEX(Kamus!$B$3:$B$28,MATCH(TRUE,ISNUMBER(SEARCH(Kamus!$A$3:$A$28,$D788)),0)),"Jabatan Lainnya"))</f>
        <v>Sekretaris</v>
      </c>
      <c r="T788" s="106" t="str" cm="1">
        <f t="array" ref="T788">IF(TRIM($I788)="","(tidak diisi)",IFERROR(INDEX(Kamus!$E$3:$E$162,MATCH(TRUE,ISNUMBER(SEARCH(Kamus!$D$3:$D$162,$I788)),0)),"Barang Lain / Tidak Terinci"))</f>
        <v>Peralatan Rumah Tangga / Pecah Belah</v>
      </c>
      <c r="U788" s="106" t="str" cm="1">
        <f t="array" ref="U788">IF(TRIM($I788)="","(tidak diisi)",IFERROR(INDEX(Kamus!$H$3:$H$75,MATCH(TRUE,ISNUMBER(SEARCH(Kamus!$G$3:$G$75,$I788)),0)),"Pemberian Umum / Tanpa Konteks"))</f>
        <v>Honor / Uang Kegiatan</v>
      </c>
      <c r="V788" s="106" t="str">
        <f t="shared" si="36"/>
        <v>2026</v>
      </c>
      <c r="W788" s="106" t="str" cm="1">
        <f t="array" ref="W788">IF(TRIM($K788)="","(tidak diisi)",IFERROR(INDEX(Kamus!$K$3:$K$118,MATCH(TRUE,ISNUMBER(SEARCH(Kamus!$J$3:$J$118,$K788)),0)),"Individu / Perorangan"))</f>
        <v>Perusahaan / Vendor</v>
      </c>
      <c r="X788" s="106" t="str">
        <f t="shared" si="37"/>
        <v>03</v>
      </c>
      <c r="Y788" s="106" t="str" cm="1">
        <f t="array" ref="Y788">IFERROR(INDEX(Kamus!$N$3:$N$111,MATCH(TRUE,ISNUMBER(SEARCH(Kamus!$M$3:$M$111,$I788)),0)),"")</f>
        <v/>
      </c>
      <c r="Z788" s="106" t="str">
        <f>IF(AND(OR($X788="02",$X788="03",$X788="04"),OR($T788="Parsel/Bingkisan (tidak dirinci)",$T788="Makanan &amp; Minuman",$T788="Peralatan Rumah Tangga / Pecah Belah",$T788="Pakaian &amp; Kain")),"Momen Hari Raya (dugaan musiman)",IFERROR(VLOOKUP($W788,Kamus!$P$3:$Q$14,2,FALSE),"Tidak Teridentifikasi"))</f>
        <v>Momen Hari Raya (dugaan musiman)</v>
      </c>
      <c r="AA788" s="106" t="str">
        <f t="shared" si="38"/>
        <v>Momen Hari Raya (dugaan musiman)</v>
      </c>
    </row>
    <row r="789" spans="1:27">
      <c r="A789" s="106">
        <v>788</v>
      </c>
      <c r="B789" s="106" t="s">
        <v>4820</v>
      </c>
      <c r="C789" s="107" t="s">
        <v>4821</v>
      </c>
      <c r="D789" s="106" t="s">
        <v>1024</v>
      </c>
      <c r="E789" s="106" t="s">
        <v>1385</v>
      </c>
      <c r="F789" s="106" t="s">
        <v>4822</v>
      </c>
      <c r="G789" s="106" t="s">
        <v>1006</v>
      </c>
      <c r="H789" s="106" t="s">
        <v>4795</v>
      </c>
      <c r="I789" s="106" t="s">
        <v>4827</v>
      </c>
      <c r="J789" s="106">
        <v>100000</v>
      </c>
      <c r="K789" s="106" t="s">
        <v>4824</v>
      </c>
      <c r="L789" s="106" t="s">
        <v>4825</v>
      </c>
      <c r="M789" s="106" t="s">
        <v>1039</v>
      </c>
      <c r="N789" s="106" t="s">
        <v>4826</v>
      </c>
      <c r="O789" s="106" t="s">
        <v>274</v>
      </c>
      <c r="P789" s="106" t="s">
        <v>1391</v>
      </c>
      <c r="Q789" s="106" t="s">
        <v>427</v>
      </c>
      <c r="S789" s="106" t="str" cm="1">
        <f t="array" ref="S789">IF(TRIM($D789)="","(tidak diisi)",IFERROR(INDEX(Kamus!$B$3:$B$28,MATCH(TRUE,ISNUMBER(SEARCH(Kamus!$A$3:$A$28,$D789)),0)),"Jabatan Lainnya"))</f>
        <v>Sekretaris</v>
      </c>
      <c r="T789" s="106" t="str" cm="1">
        <f t="array" ref="T789">IF(TRIM($I789)="","(tidak diisi)",IFERROR(INDEX(Kamus!$E$3:$E$162,MATCH(TRUE,ISNUMBER(SEARCH(Kamus!$D$3:$D$162,$I789)),0)),"Barang Lain / Tidak Terinci"))</f>
        <v>Suvenir &amp; Merchandise</v>
      </c>
      <c r="U789" s="106" t="str" cm="1">
        <f t="array" ref="U789">IF(TRIM($I789)="","(tidak diisi)",IFERROR(INDEX(Kamus!$H$3:$H$75,MATCH(TRUE,ISNUMBER(SEARCH(Kamus!$G$3:$G$75,$I789)),0)),"Pemberian Umum / Tanpa Konteks"))</f>
        <v>Suvenir / Merchandise Kegiatan &amp; Kunjungan</v>
      </c>
      <c r="V789" s="106" t="str">
        <f t="shared" si="36"/>
        <v>2026</v>
      </c>
      <c r="W789" s="106" t="str" cm="1">
        <f t="array" ref="W789">IF(TRIM($K789)="","(tidak diisi)",IFERROR(INDEX(Kamus!$K$3:$K$118,MATCH(TRUE,ISNUMBER(SEARCH(Kamus!$J$3:$J$118,$K789)),0)),"Individu / Perorangan"))</f>
        <v>Perusahaan / Vendor</v>
      </c>
      <c r="X789" s="106" t="str">
        <f t="shared" si="37"/>
        <v>03</v>
      </c>
      <c r="Y789" s="106" t="str" cm="1">
        <f t="array" ref="Y789">IFERROR(INDEX(Kamus!$N$3:$N$111,MATCH(TRUE,ISNUMBER(SEARCH(Kamus!$M$3:$M$111,$I789)),0)),"")</f>
        <v/>
      </c>
      <c r="Z789" s="106" t="str">
        <f>IF(AND(OR($X789="02",$X789="03",$X789="04"),OR($T789="Parsel/Bingkisan (tidak dirinci)",$T789="Makanan &amp; Minuman",$T789="Peralatan Rumah Tangga / Pecah Belah",$T789="Pakaian &amp; Kain")),"Momen Hari Raya (dugaan musiman)",IFERROR(VLOOKUP($W789,Kamus!$P$3:$Q$14,2,FALSE),"Tidak Teridentifikasi"))</f>
        <v>Relasi Vendor/Pengadaan (dugaan)</v>
      </c>
      <c r="AA789" s="106" t="str">
        <f t="shared" si="38"/>
        <v>Relasi Vendor/Pengadaan (dugaan)</v>
      </c>
    </row>
    <row r="790" spans="1:27">
      <c r="A790" s="106">
        <v>789</v>
      </c>
      <c r="B790" s="106" t="s">
        <v>4820</v>
      </c>
      <c r="C790" s="107" t="s">
        <v>4821</v>
      </c>
      <c r="D790" s="106" t="s">
        <v>1024</v>
      </c>
      <c r="E790" s="106" t="s">
        <v>1385</v>
      </c>
      <c r="F790" s="106" t="s">
        <v>4822</v>
      </c>
      <c r="G790" s="106" t="s">
        <v>1006</v>
      </c>
      <c r="H790" s="106" t="s">
        <v>4795</v>
      </c>
      <c r="I790" s="106" t="s">
        <v>4828</v>
      </c>
      <c r="J790" s="106">
        <v>200000</v>
      </c>
      <c r="K790" s="106" t="s">
        <v>4824</v>
      </c>
      <c r="L790" s="106" t="s">
        <v>4825</v>
      </c>
      <c r="M790" s="106" t="s">
        <v>2529</v>
      </c>
      <c r="N790" s="106" t="s">
        <v>4826</v>
      </c>
      <c r="O790" s="106" t="s">
        <v>274</v>
      </c>
      <c r="P790" s="106" t="s">
        <v>1391</v>
      </c>
      <c r="Q790" s="106" t="s">
        <v>427</v>
      </c>
      <c r="S790" s="106" t="str" cm="1">
        <f t="array" ref="S790">IF(TRIM($D790)="","(tidak diisi)",IFERROR(INDEX(Kamus!$B$3:$B$28,MATCH(TRUE,ISNUMBER(SEARCH(Kamus!$A$3:$A$28,$D790)),0)),"Jabatan Lainnya"))</f>
        <v>Sekretaris</v>
      </c>
      <c r="T790" s="106" t="str" cm="1">
        <f t="array" ref="T790">IF(TRIM($I790)="","(tidak diisi)",IFERROR(INDEX(Kamus!$E$3:$E$162,MATCH(TRUE,ISNUMBER(SEARCH(Kamus!$D$3:$D$162,$I790)),0)),"Barang Lain / Tidak Terinci"))</f>
        <v>Peralatan Rumah Tangga / Pecah Belah</v>
      </c>
      <c r="U790" s="106" t="str" cm="1">
        <f t="array" ref="U790">IF(TRIM($I790)="","(tidak diisi)",IFERROR(INDEX(Kamus!$H$3:$H$75,MATCH(TRUE,ISNUMBER(SEARCH(Kamus!$G$3:$G$75,$I790)),0)),"Pemberian Umum / Tanpa Konteks"))</f>
        <v>Pemberian Umum / Tanpa Konteks</v>
      </c>
      <c r="V790" s="106" t="str">
        <f t="shared" si="36"/>
        <v>2026</v>
      </c>
      <c r="W790" s="106" t="str" cm="1">
        <f t="array" ref="W790">IF(TRIM($K790)="","(tidak diisi)",IFERROR(INDEX(Kamus!$K$3:$K$118,MATCH(TRUE,ISNUMBER(SEARCH(Kamus!$J$3:$J$118,$K790)),0)),"Individu / Perorangan"))</f>
        <v>Perusahaan / Vendor</v>
      </c>
      <c r="X790" s="106" t="str">
        <f t="shared" si="37"/>
        <v>03</v>
      </c>
      <c r="Y790" s="106" t="str" cm="1">
        <f t="array" ref="Y790">IFERROR(INDEX(Kamus!$N$3:$N$111,MATCH(TRUE,ISNUMBER(SEARCH(Kamus!$M$3:$M$111,$I790)),0)),"")</f>
        <v/>
      </c>
      <c r="Z790" s="106" t="str">
        <f>IF(AND(OR($X790="02",$X790="03",$X790="04"),OR($T790="Parsel/Bingkisan (tidak dirinci)",$T790="Makanan &amp; Minuman",$T790="Peralatan Rumah Tangga / Pecah Belah",$T790="Pakaian &amp; Kain")),"Momen Hari Raya (dugaan musiman)",IFERROR(VLOOKUP($W790,Kamus!$P$3:$Q$14,2,FALSE),"Tidak Teridentifikasi"))</f>
        <v>Momen Hari Raya (dugaan musiman)</v>
      </c>
      <c r="AA790" s="106" t="str">
        <f t="shared" si="38"/>
        <v>Momen Hari Raya (dugaan musiman)</v>
      </c>
    </row>
    <row r="791" spans="1:27">
      <c r="A791" s="106">
        <v>790</v>
      </c>
      <c r="B791" s="106" t="s">
        <v>4820</v>
      </c>
      <c r="C791" s="107" t="s">
        <v>4821</v>
      </c>
      <c r="D791" s="106" t="s">
        <v>1024</v>
      </c>
      <c r="E791" s="106" t="s">
        <v>1385</v>
      </c>
      <c r="F791" s="106" t="s">
        <v>4829</v>
      </c>
      <c r="G791" s="106" t="s">
        <v>1074</v>
      </c>
      <c r="H791" s="106" t="s">
        <v>4795</v>
      </c>
      <c r="I791" s="106" t="s">
        <v>4830</v>
      </c>
      <c r="K791" s="106" t="s">
        <v>4831</v>
      </c>
      <c r="L791" s="106" t="s">
        <v>4832</v>
      </c>
      <c r="O791" s="106" t="s">
        <v>274</v>
      </c>
      <c r="P791" s="106" t="s">
        <v>1391</v>
      </c>
      <c r="Q791" s="106" t="s">
        <v>427</v>
      </c>
      <c r="S791" s="106" t="str" cm="1">
        <f t="array" ref="S791">IF(TRIM($D791)="","(tidak diisi)",IFERROR(INDEX(Kamus!$B$3:$B$28,MATCH(TRUE,ISNUMBER(SEARCH(Kamus!$A$3:$A$28,$D791)),0)),"Jabatan Lainnya"))</f>
        <v>Sekretaris</v>
      </c>
      <c r="T791" s="106" t="str" cm="1">
        <f t="array" ref="T791">IF(TRIM($I791)="","(tidak diisi)",IFERROR(INDEX(Kamus!$E$3:$E$162,MATCH(TRUE,ISNUMBER(SEARCH(Kamus!$D$3:$D$162,$I791)),0)),"Barang Lain / Tidak Terinci"))</f>
        <v>Peralatan Rumah Tangga / Pecah Belah</v>
      </c>
      <c r="U791" s="106" t="str" cm="1">
        <f t="array" ref="U791">IF(TRIM($I791)="","(tidak diisi)",IFERROR(INDEX(Kamus!$H$3:$H$75,MATCH(TRUE,ISNUMBER(SEARCH(Kamus!$G$3:$G$75,$I791)),0)),"Pemberian Umum / Tanpa Konteks"))</f>
        <v>Honor / Uang Kegiatan</v>
      </c>
      <c r="V791" s="106" t="str">
        <f t="shared" si="36"/>
        <v>2026</v>
      </c>
      <c r="W791" s="106" t="str" cm="1">
        <f t="array" ref="W791">IF(TRIM($K791)="","(tidak diisi)",IFERROR(INDEX(Kamus!$K$3:$K$118,MATCH(TRUE,ISNUMBER(SEARCH(Kamus!$J$3:$J$118,$K791)),0)),"Individu / Perorangan"))</f>
        <v>Individu / Perorangan</v>
      </c>
      <c r="X791" s="106" t="str">
        <f t="shared" si="37"/>
        <v>03</v>
      </c>
      <c r="Y791" s="106" t="str" cm="1">
        <f t="array" ref="Y791">IFERROR(INDEX(Kamus!$N$3:$N$111,MATCH(TRUE,ISNUMBER(SEARCH(Kamus!$M$3:$M$111,$I791)),0)),"")</f>
        <v/>
      </c>
      <c r="Z791" s="106" t="str">
        <f>IF(AND(OR($X791="02",$X791="03",$X791="04"),OR($T791="Parsel/Bingkisan (tidak dirinci)",$T791="Makanan &amp; Minuman",$T791="Peralatan Rumah Tangga / Pecah Belah",$T791="Pakaian &amp; Kain")),"Momen Hari Raya (dugaan musiman)",IFERROR(VLOOKUP($W791,Kamus!$P$3:$Q$14,2,FALSE),"Tidak Teridentifikasi"))</f>
        <v>Momen Hari Raya (dugaan musiman)</v>
      </c>
      <c r="AA791" s="106" t="str">
        <f t="shared" si="38"/>
        <v>Momen Hari Raya (dugaan musiman)</v>
      </c>
    </row>
    <row r="792" spans="1:27">
      <c r="A792" s="106">
        <v>791</v>
      </c>
      <c r="B792" s="106" t="s">
        <v>4833</v>
      </c>
      <c r="C792" s="107" t="s">
        <v>4834</v>
      </c>
      <c r="D792" s="106" t="s">
        <v>1081</v>
      </c>
      <c r="E792" s="106" t="s">
        <v>1005</v>
      </c>
      <c r="G792" s="106" t="s">
        <v>1006</v>
      </c>
      <c r="L792" s="106" t="s">
        <v>4835</v>
      </c>
      <c r="O792" s="106" t="s">
        <v>274</v>
      </c>
      <c r="S792" s="106" t="str" cm="1">
        <f t="array" ref="S792">IF(TRIM($D792)="","(tidak diisi)",IFERROR(INDEX(Kamus!$B$3:$B$28,MATCH(TRUE,ISNUMBER(SEARCH(Kamus!$A$3:$A$28,$D792)),0)),"Jabatan Lainnya"))</f>
        <v>Hakim</v>
      </c>
      <c r="T792" s="106" t="str" cm="1">
        <f t="array" ref="T792">IF(TRIM($I792)="","(tidak diisi)",IFERROR(INDEX(Kamus!$E$3:$E$162,MATCH(TRUE,ISNUMBER(SEARCH(Kamus!$D$3:$D$162,$I792)),0)),"Barang Lain / Tidak Terinci"))</f>
        <v>(tidak diisi)</v>
      </c>
      <c r="U792" s="106" t="str" cm="1">
        <f t="array" ref="U792">IF(TRIM($I792)="","(tidak diisi)",IFERROR(INDEX(Kamus!$H$3:$H$75,MATCH(TRUE,ISNUMBER(SEARCH(Kamus!$G$3:$G$75,$I792)),0)),"Pemberian Umum / Tanpa Konteks"))</f>
        <v>(tidak diisi)</v>
      </c>
      <c r="V792" s="106" t="str">
        <f t="shared" si="36"/>
        <v>(tidak diisi)</v>
      </c>
      <c r="W792" s="106" t="str" cm="1">
        <f t="array" ref="W792">IF(TRIM($K792)="","(tidak diisi)",IFERROR(INDEX(Kamus!$K$3:$K$118,MATCH(TRUE,ISNUMBER(SEARCH(Kamus!$J$3:$J$118,$K792)),0)),"Individu / Perorangan"))</f>
        <v>(tidak diisi)</v>
      </c>
      <c r="X792" s="106" t="str">
        <f t="shared" si="37"/>
        <v>(tidak diisi)</v>
      </c>
      <c r="Y792" s="106" t="str" cm="1">
        <f t="array" ref="Y792">IFERROR(INDEX(Kamus!$N$3:$N$111,MATCH(TRUE,ISNUMBER(SEARCH(Kamus!$M$3:$M$111,$I792)),0)),"")</f>
        <v/>
      </c>
      <c r="Z792" s="106" t="str">
        <f>IF(AND(OR($X792="02",$X792="03",$X792="04"),OR($T792="Parsel/Bingkisan (tidak dirinci)",$T792="Makanan &amp; Minuman",$T792="Peralatan Rumah Tangga / Pecah Belah",$T792="Pakaian &amp; Kain")),"Momen Hari Raya (dugaan musiman)",IFERROR(VLOOKUP($W792,Kamus!$P$3:$Q$14,2,FALSE),"Tidak Teridentifikasi"))</f>
        <v>Tidak Teridentifikasi</v>
      </c>
      <c r="AA792" s="106" t="str">
        <f t="shared" si="38"/>
        <v>Tidak Teridentifikasi</v>
      </c>
    </row>
    <row r="793" spans="1:27">
      <c r="A793" s="106">
        <v>792</v>
      </c>
      <c r="B793" s="106" t="s">
        <v>1174</v>
      </c>
      <c r="C793" s="107" t="s">
        <v>1175</v>
      </c>
      <c r="D793" s="106" t="s">
        <v>1042</v>
      </c>
      <c r="E793" s="106" t="s">
        <v>1176</v>
      </c>
      <c r="F793" s="106" t="s">
        <v>4836</v>
      </c>
      <c r="G793" s="106" t="s">
        <v>1006</v>
      </c>
      <c r="H793" s="106" t="s">
        <v>4795</v>
      </c>
      <c r="I793" s="106" t="s">
        <v>1634</v>
      </c>
      <c r="J793" s="106">
        <v>150000</v>
      </c>
      <c r="K793" s="106" t="s">
        <v>4837</v>
      </c>
      <c r="L793" s="106" t="s">
        <v>4838</v>
      </c>
      <c r="M793" s="106" t="s">
        <v>1171</v>
      </c>
      <c r="N793" s="106" t="s">
        <v>4839</v>
      </c>
      <c r="O793" s="106" t="s">
        <v>274</v>
      </c>
      <c r="P793" s="106" t="s">
        <v>1181</v>
      </c>
      <c r="Q793" s="106" t="s">
        <v>429</v>
      </c>
      <c r="S793" s="106" t="str" cm="1">
        <f t="array" ref="S793">IF(TRIM($D793)="","(tidak diisi)",IFERROR(INDEX(Kamus!$B$3:$B$28,MATCH(TRUE,ISNUMBER(SEARCH(Kamus!$A$3:$A$28,$D793)),0)),"Jabatan Lainnya"))</f>
        <v>Ketua Pengadilan</v>
      </c>
      <c r="T793" s="106" t="str" cm="1">
        <f t="array" ref="T793">IF(TRIM($I793)="","(tidak diisi)",IFERROR(INDEX(Kamus!$E$3:$E$162,MATCH(TRUE,ISNUMBER(SEARCH(Kamus!$D$3:$D$162,$I793)),0)),"Barang Lain / Tidak Terinci"))</f>
        <v>Pakaian &amp; Kain</v>
      </c>
      <c r="U793" s="106" t="str" cm="1">
        <f t="array" ref="U793">IF(TRIM($I793)="","(tidak diisi)",IFERROR(INDEX(Kamus!$H$3:$H$75,MATCH(TRUE,ISNUMBER(SEARCH(Kamus!$G$3:$G$75,$I793)),0)),"Pemberian Umum / Tanpa Konteks"))</f>
        <v>Pemberian Umum / Tanpa Konteks</v>
      </c>
      <c r="V793" s="106" t="str">
        <f t="shared" si="36"/>
        <v>2026</v>
      </c>
      <c r="W793" s="106" t="str" cm="1">
        <f t="array" ref="W793">IF(TRIM($K793)="","(tidak diisi)",IFERROR(INDEX(Kamus!$K$3:$K$118,MATCH(TRUE,ISNUMBER(SEARCH(Kamus!$J$3:$J$118,$K793)),0)),"Individu / Perorangan"))</f>
        <v>Individu / Perorangan</v>
      </c>
      <c r="X793" s="106" t="str">
        <f t="shared" si="37"/>
        <v>03</v>
      </c>
      <c r="Y793" s="106" t="str" cm="1">
        <f t="array" ref="Y793">IFERROR(INDEX(Kamus!$N$3:$N$111,MATCH(TRUE,ISNUMBER(SEARCH(Kamus!$M$3:$M$111,$I793)),0)),"")</f>
        <v/>
      </c>
      <c r="Z793" s="106" t="str">
        <f>IF(AND(OR($X793="02",$X793="03",$X793="04"),OR($T793="Parsel/Bingkisan (tidak dirinci)",$T793="Makanan &amp; Minuman",$T793="Peralatan Rumah Tangga / Pecah Belah",$T793="Pakaian &amp; Kain")),"Momen Hari Raya (dugaan musiman)",IFERROR(VLOOKUP($W793,Kamus!$P$3:$Q$14,2,FALSE),"Tidak Teridentifikasi"))</f>
        <v>Momen Hari Raya (dugaan musiman)</v>
      </c>
      <c r="AA793" s="106" t="str">
        <f t="shared" si="38"/>
        <v>Momen Hari Raya (dugaan musiman)</v>
      </c>
    </row>
    <row r="794" spans="1:27">
      <c r="A794" s="106">
        <v>793</v>
      </c>
      <c r="B794" s="106" t="s">
        <v>4840</v>
      </c>
      <c r="C794" s="107" t="s">
        <v>4841</v>
      </c>
      <c r="D794" s="106" t="s">
        <v>1319</v>
      </c>
      <c r="E794" s="106" t="s">
        <v>1005</v>
      </c>
      <c r="F794" s="106" t="s">
        <v>4842</v>
      </c>
      <c r="G794" s="106" t="s">
        <v>1006</v>
      </c>
      <c r="H794" s="106" t="s">
        <v>4795</v>
      </c>
      <c r="I794" s="106" t="s">
        <v>4843</v>
      </c>
      <c r="K794" s="106" t="s">
        <v>4844</v>
      </c>
      <c r="L794" s="106" t="s">
        <v>4845</v>
      </c>
      <c r="O794" s="106" t="s">
        <v>274</v>
      </c>
      <c r="S794" s="106" t="str" cm="1">
        <f t="array" ref="S794">IF(TRIM($D794)="","(tidak diisi)",IFERROR(INDEX(Kamus!$B$3:$B$28,MATCH(TRUE,ISNUMBER(SEARCH(Kamus!$A$3:$A$28,$D794)),0)),"Jabatan Lainnya"))</f>
        <v>Wakil Ketua Pengadilan</v>
      </c>
      <c r="T794" s="106" t="str" cm="1">
        <f t="array" ref="T794">IF(TRIM($I794)="","(tidak diisi)",IFERROR(INDEX(Kamus!$E$3:$E$162,MATCH(TRUE,ISNUMBER(SEARCH(Kamus!$D$3:$D$162,$I794)),0)),"Barang Lain / Tidak Terinci"))</f>
        <v>Makanan &amp; Minuman</v>
      </c>
      <c r="U794" s="106" t="str" cm="1">
        <f t="array" ref="U794">IF(TRIM($I794)="","(tidak diisi)",IFERROR(INDEX(Kamus!$H$3:$H$75,MATCH(TRUE,ISNUMBER(SEARCH(Kamus!$G$3:$G$75,$I794)),0)),"Pemberian Umum / Tanpa Konteks"))</f>
        <v>Bingkisan Hari Raya / Keagamaan</v>
      </c>
      <c r="V794" s="106" t="str">
        <f t="shared" si="36"/>
        <v>2026</v>
      </c>
      <c r="W794" s="106" t="str" cm="1">
        <f t="array" ref="W794">IF(TRIM($K794)="","(tidak diisi)",IFERROR(INDEX(Kamus!$K$3:$K$118,MATCH(TRUE,ISNUMBER(SEARCH(Kamus!$J$3:$J$118,$K794)),0)),"Individu / Perorangan"))</f>
        <v>Bank &amp; Lembaga Keuangan</v>
      </c>
      <c r="X794" s="106" t="str">
        <f t="shared" si="37"/>
        <v>03</v>
      </c>
      <c r="Y794" s="106" t="str" cm="1">
        <f t="array" ref="Y794">IFERROR(INDEX(Kamus!$N$3:$N$111,MATCH(TRUE,ISNUMBER(SEARCH(Kamus!$M$3:$M$111,$I794)),0)),"")</f>
        <v>Momen Hari Raya (Ramadan/Idulfitri)</v>
      </c>
      <c r="Z794" s="106" t="str">
        <f>IF(AND(OR($X794="02",$X794="03",$X794="04"),OR($T794="Parsel/Bingkisan (tidak dirinci)",$T794="Makanan &amp; Minuman",$T794="Peralatan Rumah Tangga / Pecah Belah",$T794="Pakaian &amp; Kain")),"Momen Hari Raya (dugaan musiman)",IFERROR(VLOOKUP($W794,Kamus!$P$3:$Q$14,2,FALSE),"Tidak Teridentifikasi"))</f>
        <v>Momen Hari Raya (dugaan musiman)</v>
      </c>
      <c r="AA794" s="106" t="str">
        <f t="shared" si="38"/>
        <v>Momen Hari Raya (Ramadan/Idulfitri)</v>
      </c>
    </row>
    <row r="795" spans="1:27">
      <c r="A795" s="106">
        <v>794</v>
      </c>
      <c r="B795" s="106" t="s">
        <v>4846</v>
      </c>
      <c r="C795" s="107" t="s">
        <v>4847</v>
      </c>
      <c r="D795" s="106" t="s">
        <v>1379</v>
      </c>
      <c r="E795" s="106" t="s">
        <v>4848</v>
      </c>
      <c r="F795" s="106" t="s">
        <v>4849</v>
      </c>
      <c r="G795" s="106" t="s">
        <v>1006</v>
      </c>
      <c r="H795" s="106" t="s">
        <v>4795</v>
      </c>
      <c r="I795" s="106" t="s">
        <v>4850</v>
      </c>
      <c r="J795" s="106">
        <v>300000</v>
      </c>
      <c r="K795" s="106" t="s">
        <v>4851</v>
      </c>
      <c r="L795" s="106" t="s">
        <v>4852</v>
      </c>
      <c r="M795" s="106" t="s">
        <v>1039</v>
      </c>
      <c r="O795" s="106" t="s">
        <v>274</v>
      </c>
      <c r="P795" s="106" t="s">
        <v>4853</v>
      </c>
      <c r="Q795" s="106" t="s">
        <v>351</v>
      </c>
      <c r="S795" s="106" t="str" cm="1">
        <f t="array" ref="S795">IF(TRIM($D795)="","(tidak diisi)",IFERROR(INDEX(Kamus!$B$3:$B$28,MATCH(TRUE,ISNUMBER(SEARCH(Kamus!$A$3:$A$28,$D795)),0)),"Jabatan Lainnya"))</f>
        <v>Ketua Pengadilan</v>
      </c>
      <c r="T795" s="106" t="str" cm="1">
        <f t="array" ref="T795">IF(TRIM($I795)="","(tidak diisi)",IFERROR(INDEX(Kamus!$E$3:$E$162,MATCH(TRUE,ISNUMBER(SEARCH(Kamus!$D$3:$D$162,$I795)),0)),"Barang Lain / Tidak Terinci"))</f>
        <v>Peralatan Rumah Tangga / Pecah Belah</v>
      </c>
      <c r="U795" s="106" t="str" cm="1">
        <f t="array" ref="U795">IF(TRIM($I795)="","(tidak diisi)",IFERROR(INDEX(Kamus!$H$3:$H$75,MATCH(TRUE,ISNUMBER(SEARCH(Kamus!$G$3:$G$75,$I795)),0)),"Pemberian Umum / Tanpa Konteks"))</f>
        <v>Parsel/Bingkisan Umum (non-hari raya)</v>
      </c>
      <c r="V795" s="106" t="str">
        <f t="shared" si="36"/>
        <v>2026</v>
      </c>
      <c r="W795" s="106" t="str" cm="1">
        <f t="array" ref="W795">IF(TRIM($K795)="","(tidak diisi)",IFERROR(INDEX(Kamus!$K$3:$K$118,MATCH(TRUE,ISNUMBER(SEARCH(Kamus!$J$3:$J$118,$K795)),0)),"Individu / Perorangan"))</f>
        <v>Individu / Perorangan</v>
      </c>
      <c r="X795" s="106" t="str">
        <f t="shared" si="37"/>
        <v>03</v>
      </c>
      <c r="Y795" s="106" t="str" cm="1">
        <f t="array" ref="Y795">IFERROR(INDEX(Kamus!$N$3:$N$111,MATCH(TRUE,ISNUMBER(SEARCH(Kamus!$M$3:$M$111,$I795)),0)),"")</f>
        <v/>
      </c>
      <c r="Z795" s="106" t="str">
        <f>IF(AND(OR($X795="02",$X795="03",$X795="04"),OR($T795="Parsel/Bingkisan (tidak dirinci)",$T795="Makanan &amp; Minuman",$T795="Peralatan Rumah Tangga / Pecah Belah",$T795="Pakaian &amp; Kain")),"Momen Hari Raya (dugaan musiman)",IFERROR(VLOOKUP($W795,Kamus!$P$3:$Q$14,2,FALSE),"Tidak Teridentifikasi"))</f>
        <v>Momen Hari Raya (dugaan musiman)</v>
      </c>
      <c r="AA795" s="106" t="str">
        <f t="shared" si="38"/>
        <v>Momen Hari Raya (dugaan musiman)</v>
      </c>
    </row>
    <row r="796" spans="1:27">
      <c r="A796" s="106">
        <v>795</v>
      </c>
      <c r="B796" s="106" t="s">
        <v>4846</v>
      </c>
      <c r="C796" s="107" t="s">
        <v>4847</v>
      </c>
      <c r="D796" s="106" t="s">
        <v>1379</v>
      </c>
      <c r="E796" s="106" t="s">
        <v>4848</v>
      </c>
      <c r="F796" s="106" t="s">
        <v>4854</v>
      </c>
      <c r="G796" s="106" t="s">
        <v>1074</v>
      </c>
      <c r="H796" s="106" t="s">
        <v>4855</v>
      </c>
      <c r="I796" s="106" t="s">
        <v>1036</v>
      </c>
      <c r="K796" s="106" t="s">
        <v>4856</v>
      </c>
      <c r="L796" s="106" t="s">
        <v>4857</v>
      </c>
      <c r="O796" s="106" t="s">
        <v>274</v>
      </c>
      <c r="P796" s="106" t="s">
        <v>4853</v>
      </c>
      <c r="Q796" s="106" t="s">
        <v>351</v>
      </c>
      <c r="S796" s="106" t="str" cm="1">
        <f t="array" ref="S796">IF(TRIM($D796)="","(tidak diisi)",IFERROR(INDEX(Kamus!$B$3:$B$28,MATCH(TRUE,ISNUMBER(SEARCH(Kamus!$A$3:$A$28,$D796)),0)),"Jabatan Lainnya"))</f>
        <v>Ketua Pengadilan</v>
      </c>
      <c r="T796" s="106" t="str" cm="1">
        <f t="array" ref="T796">IF(TRIM($I796)="","(tidak diisi)",IFERROR(INDEX(Kamus!$E$3:$E$162,MATCH(TRUE,ISNUMBER(SEARCH(Kamus!$D$3:$D$162,$I796)),0)),"Barang Lain / Tidak Terinci"))</f>
        <v>Peralatan Rumah Tangga / Pecah Belah</v>
      </c>
      <c r="U796" s="106" t="str" cm="1">
        <f t="array" ref="U796">IF(TRIM($I796)="","(tidak diisi)",IFERROR(INDEX(Kamus!$H$3:$H$75,MATCH(TRUE,ISNUMBER(SEARCH(Kamus!$G$3:$G$75,$I796)),0)),"Pemberian Umum / Tanpa Konteks"))</f>
        <v>Parsel/Bingkisan Umum (non-hari raya)</v>
      </c>
      <c r="V796" s="106" t="str">
        <f t="shared" si="36"/>
        <v>2026</v>
      </c>
      <c r="W796" s="106" t="str" cm="1">
        <f t="array" ref="W796">IF(TRIM($K796)="","(tidak diisi)",IFERROR(INDEX(Kamus!$K$3:$K$118,MATCH(TRUE,ISNUMBER(SEARCH(Kamus!$J$3:$J$118,$K796)),0)),"Individu / Perorangan"))</f>
        <v>Individu / Perorangan</v>
      </c>
      <c r="X796" s="106" t="str">
        <f t="shared" si="37"/>
        <v>03</v>
      </c>
      <c r="Y796" s="106" t="str" cm="1">
        <f t="array" ref="Y796">IFERROR(INDEX(Kamus!$N$3:$N$111,MATCH(TRUE,ISNUMBER(SEARCH(Kamus!$M$3:$M$111,$I796)),0)),"")</f>
        <v/>
      </c>
      <c r="Z796" s="106" t="str">
        <f>IF(AND(OR($X796="02",$X796="03",$X796="04"),OR($T796="Parsel/Bingkisan (tidak dirinci)",$T796="Makanan &amp; Minuman",$T796="Peralatan Rumah Tangga / Pecah Belah",$T796="Pakaian &amp; Kain")),"Momen Hari Raya (dugaan musiman)",IFERROR(VLOOKUP($W796,Kamus!$P$3:$Q$14,2,FALSE),"Tidak Teridentifikasi"))</f>
        <v>Momen Hari Raya (dugaan musiman)</v>
      </c>
      <c r="AA796" s="106" t="str">
        <f t="shared" si="38"/>
        <v>Momen Hari Raya (dugaan musiman)</v>
      </c>
    </row>
    <row r="797" spans="1:27">
      <c r="A797" s="106">
        <v>796</v>
      </c>
      <c r="B797" s="106" t="s">
        <v>4858</v>
      </c>
      <c r="C797" s="107" t="s">
        <v>4859</v>
      </c>
      <c r="D797" s="106" t="s">
        <v>3375</v>
      </c>
      <c r="E797" s="106" t="s">
        <v>1632</v>
      </c>
      <c r="G797" s="106" t="s">
        <v>1006</v>
      </c>
      <c r="L797" s="106" t="s">
        <v>4835</v>
      </c>
      <c r="O797" s="106" t="s">
        <v>274</v>
      </c>
      <c r="P797" s="106" t="s">
        <v>472</v>
      </c>
      <c r="Q797" s="106" t="s">
        <v>402</v>
      </c>
      <c r="S797" s="106" t="str" cm="1">
        <f t="array" ref="S797">IF(TRIM($D797)="","(tidak diisi)",IFERROR(INDEX(Kamus!$B$3:$B$28,MATCH(TRUE,ISNUMBER(SEARCH(Kamus!$A$3:$A$28,$D797)),0)),"Jabatan Lainnya"))</f>
        <v>Staf/Pegawai Pelaksana</v>
      </c>
      <c r="T797" s="106" t="str" cm="1">
        <f t="array" ref="T797">IF(TRIM($I797)="","(tidak diisi)",IFERROR(INDEX(Kamus!$E$3:$E$162,MATCH(TRUE,ISNUMBER(SEARCH(Kamus!$D$3:$D$162,$I797)),0)),"Barang Lain / Tidak Terinci"))</f>
        <v>(tidak diisi)</v>
      </c>
      <c r="U797" s="106" t="str" cm="1">
        <f t="array" ref="U797">IF(TRIM($I797)="","(tidak diisi)",IFERROR(INDEX(Kamus!$H$3:$H$75,MATCH(TRUE,ISNUMBER(SEARCH(Kamus!$G$3:$G$75,$I797)),0)),"Pemberian Umum / Tanpa Konteks"))</f>
        <v>(tidak diisi)</v>
      </c>
      <c r="V797" s="106" t="str">
        <f t="shared" si="36"/>
        <v>(tidak diisi)</v>
      </c>
      <c r="W797" s="106" t="str" cm="1">
        <f t="array" ref="W797">IF(TRIM($K797)="","(tidak diisi)",IFERROR(INDEX(Kamus!$K$3:$K$118,MATCH(TRUE,ISNUMBER(SEARCH(Kamus!$J$3:$J$118,$K797)),0)),"Individu / Perorangan"))</f>
        <v>(tidak diisi)</v>
      </c>
      <c r="X797" s="106" t="str">
        <f t="shared" si="37"/>
        <v>(tidak diisi)</v>
      </c>
      <c r="Y797" s="106" t="str" cm="1">
        <f t="array" ref="Y797">IFERROR(INDEX(Kamus!$N$3:$N$111,MATCH(TRUE,ISNUMBER(SEARCH(Kamus!$M$3:$M$111,$I797)),0)),"")</f>
        <v/>
      </c>
      <c r="Z797" s="106" t="str">
        <f>IF(AND(OR($X797="02",$X797="03",$X797="04"),OR($T797="Parsel/Bingkisan (tidak dirinci)",$T797="Makanan &amp; Minuman",$T797="Peralatan Rumah Tangga / Pecah Belah",$T797="Pakaian &amp; Kain")),"Momen Hari Raya (dugaan musiman)",IFERROR(VLOOKUP($W797,Kamus!$P$3:$Q$14,2,FALSE),"Tidak Teridentifikasi"))</f>
        <v>Tidak Teridentifikasi</v>
      </c>
      <c r="AA797" s="106" t="str">
        <f t="shared" si="38"/>
        <v>Tidak Teridentifikasi</v>
      </c>
    </row>
    <row r="798" spans="1:27">
      <c r="A798" s="106">
        <v>797</v>
      </c>
      <c r="B798" s="106" t="s">
        <v>4860</v>
      </c>
      <c r="C798" s="107" t="s">
        <v>4861</v>
      </c>
      <c r="D798" s="106" t="s">
        <v>2259</v>
      </c>
      <c r="E798" s="106" t="s">
        <v>1632</v>
      </c>
      <c r="F798" s="106" t="s">
        <v>4862</v>
      </c>
      <c r="G798" s="106" t="s">
        <v>1006</v>
      </c>
      <c r="H798" s="106" t="s">
        <v>4795</v>
      </c>
      <c r="I798" s="106" t="s">
        <v>4863</v>
      </c>
      <c r="K798" s="106" t="s">
        <v>4864</v>
      </c>
      <c r="L798" s="106" t="s">
        <v>4865</v>
      </c>
      <c r="O798" s="106" t="s">
        <v>274</v>
      </c>
      <c r="P798" s="106" t="s">
        <v>472</v>
      </c>
      <c r="Q798" s="106" t="s">
        <v>402</v>
      </c>
      <c r="S798" s="106" t="str" cm="1">
        <f t="array" ref="S798">IF(TRIM($D798)="","(tidak diisi)",IFERROR(INDEX(Kamus!$B$3:$B$28,MATCH(TRUE,ISNUMBER(SEARCH(Kamus!$A$3:$A$28,$D798)),0)),"Jabatan Lainnya"))</f>
        <v>Staf/Pegawai Pelaksana</v>
      </c>
      <c r="T798" s="106" t="str" cm="1">
        <f t="array" ref="T798">IF(TRIM($I798)="","(tidak diisi)",IFERROR(INDEX(Kamus!$E$3:$E$162,MATCH(TRUE,ISNUMBER(SEARCH(Kamus!$D$3:$D$162,$I798)),0)),"Barang Lain / Tidak Terinci"))</f>
        <v>Makanan &amp; Minuman</v>
      </c>
      <c r="U798" s="106" t="str" cm="1">
        <f t="array" ref="U798">IF(TRIM($I798)="","(tidak diisi)",IFERROR(INDEX(Kamus!$H$3:$H$75,MATCH(TRUE,ISNUMBER(SEARCH(Kamus!$G$3:$G$75,$I798)),0)),"Pemberian Umum / Tanpa Konteks"))</f>
        <v>Parsel/Bingkisan Umum (non-hari raya)</v>
      </c>
      <c r="V798" s="106" t="str">
        <f t="shared" si="36"/>
        <v>2026</v>
      </c>
      <c r="W798" s="106" t="str" cm="1">
        <f t="array" ref="W798">IF(TRIM($K798)="","(tidak diisi)",IFERROR(INDEX(Kamus!$K$3:$K$118,MATCH(TRUE,ISNUMBER(SEARCH(Kamus!$J$3:$J$118,$K798)),0)),"Individu / Perorangan"))</f>
        <v>Individu / Perorangan</v>
      </c>
      <c r="X798" s="106" t="str">
        <f t="shared" si="37"/>
        <v>03</v>
      </c>
      <c r="Y798" s="106" t="str" cm="1">
        <f t="array" ref="Y798">IFERROR(INDEX(Kamus!$N$3:$N$111,MATCH(TRUE,ISNUMBER(SEARCH(Kamus!$M$3:$M$111,$I798)),0)),"")</f>
        <v/>
      </c>
      <c r="Z798" s="106" t="str">
        <f>IF(AND(OR($X798="02",$X798="03",$X798="04"),OR($T798="Parsel/Bingkisan (tidak dirinci)",$T798="Makanan &amp; Minuman",$T798="Peralatan Rumah Tangga / Pecah Belah",$T798="Pakaian &amp; Kain")),"Momen Hari Raya (dugaan musiman)",IFERROR(VLOOKUP($W798,Kamus!$P$3:$Q$14,2,FALSE),"Tidak Teridentifikasi"))</f>
        <v>Momen Hari Raya (dugaan musiman)</v>
      </c>
      <c r="AA798" s="106" t="str">
        <f t="shared" si="38"/>
        <v>Momen Hari Raya (dugaan musiman)</v>
      </c>
    </row>
    <row r="799" spans="1:27">
      <c r="A799" s="106">
        <v>798</v>
      </c>
      <c r="B799" s="106" t="s">
        <v>1060</v>
      </c>
      <c r="C799" s="107" t="s">
        <v>1061</v>
      </c>
      <c r="D799" s="106" t="s">
        <v>1033</v>
      </c>
      <c r="E799" s="106" t="s">
        <v>1062</v>
      </c>
      <c r="F799" s="106" t="s">
        <v>4866</v>
      </c>
      <c r="G799" s="106" t="s">
        <v>1074</v>
      </c>
      <c r="H799" s="106" t="s">
        <v>4867</v>
      </c>
      <c r="I799" s="106" t="s">
        <v>2302</v>
      </c>
      <c r="K799" s="106" t="s">
        <v>4868</v>
      </c>
      <c r="L799" s="106" t="s">
        <v>4869</v>
      </c>
      <c r="O799" s="106" t="s">
        <v>274</v>
      </c>
      <c r="P799" s="106" t="s">
        <v>1067</v>
      </c>
      <c r="Q799" s="106" t="s">
        <v>350</v>
      </c>
      <c r="S799" s="106" t="str" cm="1">
        <f t="array" ref="S799">IF(TRIM($D799)="","(tidak diisi)",IFERROR(INDEX(Kamus!$B$3:$B$28,MATCH(TRUE,ISNUMBER(SEARCH(Kamus!$A$3:$A$28,$D799)),0)),"Jabatan Lainnya"))</f>
        <v>Hakim</v>
      </c>
      <c r="T799" s="106" t="str" cm="1">
        <f t="array" ref="T799">IF(TRIM($I799)="","(tidak diisi)",IFERROR(INDEX(Kamus!$E$3:$E$162,MATCH(TRUE,ISNUMBER(SEARCH(Kamus!$D$3:$D$162,$I799)),0)),"Barang Lain / Tidak Terinci"))</f>
        <v>Uang &amp; Setara Uang</v>
      </c>
      <c r="U799" s="106" t="str" cm="1">
        <f t="array" ref="U799">IF(TRIM($I799)="","(tidak diisi)",IFERROR(INDEX(Kamus!$H$3:$H$75,MATCH(TRUE,ISNUMBER(SEARCH(Kamus!$G$3:$G$75,$I799)),0)),"Pemberian Umum / Tanpa Konteks"))</f>
        <v>Pemberian Uang Langsung</v>
      </c>
      <c r="V799" s="106" t="str">
        <f t="shared" si="36"/>
        <v>2026</v>
      </c>
      <c r="W799" s="106" t="str" cm="1">
        <f t="array" ref="W799">IF(TRIM($K799)="","(tidak diisi)",IFERROR(INDEX(Kamus!$K$3:$K$118,MATCH(TRUE,ISNUMBER(SEARCH(Kamus!$J$3:$J$118,$K799)),0)),"Individu / Perorangan"))</f>
        <v>Individu / Perorangan</v>
      </c>
      <c r="X799" s="106" t="str">
        <f t="shared" si="37"/>
        <v>02</v>
      </c>
      <c r="Y799" s="106" t="str" cm="1">
        <f t="array" ref="Y799">IFERROR(INDEX(Kamus!$N$3:$N$111,MATCH(TRUE,ISNUMBER(SEARCH(Kamus!$M$3:$M$111,$I799)),0)),"")</f>
        <v/>
      </c>
      <c r="Z799" s="106" t="str">
        <f>IF(AND(OR($X799="02",$X799="03",$X799="04"),OR($T799="Parsel/Bingkisan (tidak dirinci)",$T799="Makanan &amp; Minuman",$T799="Peralatan Rumah Tangga / Pecah Belah",$T799="Pakaian &amp; Kain")),"Momen Hari Raya (dugaan musiman)",IFERROR(VLOOKUP($W799,Kamus!$P$3:$Q$14,2,FALSE),"Tidak Teridentifikasi"))</f>
        <v>Relasi Personal / Tidak Teridentifikasi</v>
      </c>
      <c r="AA799" s="106" t="str">
        <f t="shared" si="38"/>
        <v>Relasi Personal / Tidak Teridentifikasi</v>
      </c>
    </row>
    <row r="800" spans="1:27">
      <c r="A800" s="106">
        <v>799</v>
      </c>
      <c r="B800" s="106" t="s">
        <v>4870</v>
      </c>
      <c r="C800" s="107" t="s">
        <v>4871</v>
      </c>
      <c r="D800" s="106" t="s">
        <v>1033</v>
      </c>
      <c r="E800" s="106" t="s">
        <v>4872</v>
      </c>
      <c r="G800" s="106" t="s">
        <v>1006</v>
      </c>
      <c r="L800" s="106" t="s">
        <v>4835</v>
      </c>
      <c r="O800" s="106" t="s">
        <v>274</v>
      </c>
      <c r="P800" s="106" t="s">
        <v>4873</v>
      </c>
      <c r="Q800" s="106" t="s">
        <v>420</v>
      </c>
      <c r="S800" s="106" t="str" cm="1">
        <f t="array" ref="S800">IF(TRIM($D800)="","(tidak diisi)",IFERROR(INDEX(Kamus!$B$3:$B$28,MATCH(TRUE,ISNUMBER(SEARCH(Kamus!$A$3:$A$28,$D800)),0)),"Jabatan Lainnya"))</f>
        <v>Hakim</v>
      </c>
      <c r="T800" s="106" t="str" cm="1">
        <f t="array" ref="T800">IF(TRIM($I800)="","(tidak diisi)",IFERROR(INDEX(Kamus!$E$3:$E$162,MATCH(TRUE,ISNUMBER(SEARCH(Kamus!$D$3:$D$162,$I800)),0)),"Barang Lain / Tidak Terinci"))</f>
        <v>(tidak diisi)</v>
      </c>
      <c r="U800" s="106" t="str" cm="1">
        <f t="array" ref="U800">IF(TRIM($I800)="","(tidak diisi)",IFERROR(INDEX(Kamus!$H$3:$H$75,MATCH(TRUE,ISNUMBER(SEARCH(Kamus!$G$3:$G$75,$I800)),0)),"Pemberian Umum / Tanpa Konteks"))</f>
        <v>(tidak diisi)</v>
      </c>
      <c r="V800" s="106" t="str">
        <f t="shared" si="36"/>
        <v>(tidak diisi)</v>
      </c>
      <c r="W800" s="106" t="str" cm="1">
        <f t="array" ref="W800">IF(TRIM($K800)="","(tidak diisi)",IFERROR(INDEX(Kamus!$K$3:$K$118,MATCH(TRUE,ISNUMBER(SEARCH(Kamus!$J$3:$J$118,$K800)),0)),"Individu / Perorangan"))</f>
        <v>(tidak diisi)</v>
      </c>
      <c r="X800" s="106" t="str">
        <f t="shared" si="37"/>
        <v>(tidak diisi)</v>
      </c>
      <c r="Y800" s="106" t="str" cm="1">
        <f t="array" ref="Y800">IFERROR(INDEX(Kamus!$N$3:$N$111,MATCH(TRUE,ISNUMBER(SEARCH(Kamus!$M$3:$M$111,$I800)),0)),"")</f>
        <v/>
      </c>
      <c r="Z800" s="106" t="str">
        <f>IF(AND(OR($X800="02",$X800="03",$X800="04"),OR($T800="Parsel/Bingkisan (tidak dirinci)",$T800="Makanan &amp; Minuman",$T800="Peralatan Rumah Tangga / Pecah Belah",$T800="Pakaian &amp; Kain")),"Momen Hari Raya (dugaan musiman)",IFERROR(VLOOKUP($W800,Kamus!$P$3:$Q$14,2,FALSE),"Tidak Teridentifikasi"))</f>
        <v>Tidak Teridentifikasi</v>
      </c>
      <c r="AA800" s="106" t="str">
        <f t="shared" si="38"/>
        <v>Tidak Teridentifikasi</v>
      </c>
    </row>
    <row r="801" spans="1:27">
      <c r="A801" s="106">
        <v>800</v>
      </c>
      <c r="B801" s="106" t="s">
        <v>4874</v>
      </c>
      <c r="C801" s="107" t="s">
        <v>4875</v>
      </c>
      <c r="D801" s="106" t="s">
        <v>1843</v>
      </c>
      <c r="E801" s="106" t="s">
        <v>1005</v>
      </c>
      <c r="F801" s="106" t="s">
        <v>4876</v>
      </c>
      <c r="G801" s="106" t="s">
        <v>1074</v>
      </c>
      <c r="H801" s="106" t="s">
        <v>4855</v>
      </c>
      <c r="I801" s="106" t="s">
        <v>4877</v>
      </c>
      <c r="K801" s="106" t="s">
        <v>4878</v>
      </c>
      <c r="L801" s="106" t="s">
        <v>4879</v>
      </c>
      <c r="O801" s="106" t="s">
        <v>274</v>
      </c>
      <c r="S801" s="106" t="str" cm="1">
        <f t="array" ref="S801">IF(TRIM($D801)="","(tidak diisi)",IFERROR(INDEX(Kamus!$B$3:$B$28,MATCH(TRUE,ISNUMBER(SEARCH(Kamus!$A$3:$A$28,$D801)),0)),"Jabatan Lainnya"))</f>
        <v>Ketua Pengadilan</v>
      </c>
      <c r="T801" s="106" t="str" cm="1">
        <f t="array" ref="T801">IF(TRIM($I801)="","(tidak diisi)",IFERROR(INDEX(Kamus!$E$3:$E$162,MATCH(TRUE,ISNUMBER(SEARCH(Kamus!$D$3:$D$162,$I801)),0)),"Barang Lain / Tidak Terinci"))</f>
        <v>Peralatan Rumah Tangga / Pecah Belah</v>
      </c>
      <c r="U801" s="106" t="str" cm="1">
        <f t="array" ref="U801">IF(TRIM($I801)="","(tidak diisi)",IFERROR(INDEX(Kamus!$H$3:$H$75,MATCH(TRUE,ISNUMBER(SEARCH(Kamus!$G$3:$G$75,$I801)),0)),"Pemberian Umum / Tanpa Konteks"))</f>
        <v>Jamuan / Konsumsi Rapat &amp; Kegiatan</v>
      </c>
      <c r="V801" s="106" t="str">
        <f t="shared" si="36"/>
        <v>2026</v>
      </c>
      <c r="W801" s="106" t="str" cm="1">
        <f t="array" ref="W801">IF(TRIM($K801)="","(tidak diisi)",IFERROR(INDEX(Kamus!$K$3:$K$118,MATCH(TRUE,ISNUMBER(SEARCH(Kamus!$J$3:$J$118,$K801)),0)),"Individu / Perorangan"))</f>
        <v>Individu / Perorangan</v>
      </c>
      <c r="X801" s="106" t="str">
        <f t="shared" si="37"/>
        <v>03</v>
      </c>
      <c r="Y801" s="106" t="str" cm="1">
        <f t="array" ref="Y801">IFERROR(INDEX(Kamus!$N$3:$N$111,MATCH(TRUE,ISNUMBER(SEARCH(Kamus!$M$3:$M$111,$I801)),0)),"")</f>
        <v>Rapat / Jamuan Dinas</v>
      </c>
      <c r="Z801" s="106" t="str">
        <f>IF(AND(OR($X801="02",$X801="03",$X801="04"),OR($T801="Parsel/Bingkisan (tidak dirinci)",$T801="Makanan &amp; Minuman",$T801="Peralatan Rumah Tangga / Pecah Belah",$T801="Pakaian &amp; Kain")),"Momen Hari Raya (dugaan musiman)",IFERROR(VLOOKUP($W801,Kamus!$P$3:$Q$14,2,FALSE),"Tidak Teridentifikasi"))</f>
        <v>Momen Hari Raya (dugaan musiman)</v>
      </c>
      <c r="AA801" s="106" t="str">
        <f t="shared" si="38"/>
        <v>Rapat / Jamuan Dinas</v>
      </c>
    </row>
    <row r="802" spans="1:27">
      <c r="A802" s="106">
        <v>801</v>
      </c>
      <c r="B802" s="106" t="s">
        <v>1850</v>
      </c>
      <c r="C802" s="107" t="s">
        <v>1851</v>
      </c>
      <c r="D802" s="106" t="s">
        <v>1319</v>
      </c>
      <c r="E802" s="106" t="s">
        <v>1025</v>
      </c>
      <c r="F802" s="106" t="s">
        <v>4880</v>
      </c>
      <c r="G802" s="106" t="s">
        <v>1006</v>
      </c>
      <c r="H802" s="106" t="s">
        <v>4881</v>
      </c>
      <c r="I802" s="106" t="s">
        <v>4882</v>
      </c>
      <c r="K802" s="106" t="s">
        <v>4883</v>
      </c>
      <c r="L802" s="106" t="s">
        <v>4884</v>
      </c>
      <c r="O802" s="106" t="s">
        <v>274</v>
      </c>
      <c r="P802" s="106" t="s">
        <v>561</v>
      </c>
      <c r="Q802" s="106" t="s">
        <v>428</v>
      </c>
      <c r="S802" s="106" t="str" cm="1">
        <f t="array" ref="S802">IF(TRIM($D802)="","(tidak diisi)",IFERROR(INDEX(Kamus!$B$3:$B$28,MATCH(TRUE,ISNUMBER(SEARCH(Kamus!$A$3:$A$28,$D802)),0)),"Jabatan Lainnya"))</f>
        <v>Wakil Ketua Pengadilan</v>
      </c>
      <c r="T802" s="106" t="str" cm="1">
        <f t="array" ref="T802">IF(TRIM($I802)="","(tidak diisi)",IFERROR(INDEX(Kamus!$E$3:$E$162,MATCH(TRUE,ISNUMBER(SEARCH(Kamus!$D$3:$D$162,$I802)),0)),"Barang Lain / Tidak Terinci"))</f>
        <v>Peralatan Rumah Tangga / Pecah Belah</v>
      </c>
      <c r="U802" s="106" t="str" cm="1">
        <f t="array" ref="U802">IF(TRIM($I802)="","(tidak diisi)",IFERROR(INDEX(Kamus!$H$3:$H$75,MATCH(TRUE,ISNUMBER(SEARCH(Kamus!$G$3:$G$75,$I802)),0)),"Pemberian Umum / Tanpa Konteks"))</f>
        <v>Pemberian Umum / Tanpa Konteks</v>
      </c>
      <c r="V802" s="106" t="str">
        <f t="shared" si="36"/>
        <v>2026</v>
      </c>
      <c r="W802" s="106" t="str" cm="1">
        <f t="array" ref="W802">IF(TRIM($K802)="","(tidak diisi)",IFERROR(INDEX(Kamus!$K$3:$K$118,MATCH(TRUE,ISNUMBER(SEARCH(Kamus!$J$3:$J$118,$K802)),0)),"Individu / Perorangan"))</f>
        <v>Bank &amp; Lembaga Keuangan</v>
      </c>
      <c r="X802" s="106" t="str">
        <f t="shared" si="37"/>
        <v>02</v>
      </c>
      <c r="Y802" s="106" t="str" cm="1">
        <f t="array" ref="Y802">IFERROR(INDEX(Kamus!$N$3:$N$111,MATCH(TRUE,ISNUMBER(SEARCH(Kamus!$M$3:$M$111,$I802)),0)),"")</f>
        <v/>
      </c>
      <c r="Z802" s="106" t="str">
        <f>IF(AND(OR($X802="02",$X802="03",$X802="04"),OR($T802="Parsel/Bingkisan (tidak dirinci)",$T802="Makanan &amp; Minuman",$T802="Peralatan Rumah Tangga / Pecah Belah",$T802="Pakaian &amp; Kain")),"Momen Hari Raya (dugaan musiman)",IFERROR(VLOOKUP($W802,Kamus!$P$3:$Q$14,2,FALSE),"Tidak Teridentifikasi"))</f>
        <v>Momen Hari Raya (dugaan musiman)</v>
      </c>
      <c r="AA802" s="106" t="str">
        <f t="shared" si="38"/>
        <v>Momen Hari Raya (dugaan musiman)</v>
      </c>
    </row>
    <row r="803" spans="1:27">
      <c r="A803" s="106">
        <v>802</v>
      </c>
      <c r="B803" s="106" t="s">
        <v>3144</v>
      </c>
      <c r="C803" s="107" t="s">
        <v>3145</v>
      </c>
      <c r="D803" s="106" t="s">
        <v>3146</v>
      </c>
      <c r="E803" s="106" t="s">
        <v>3986</v>
      </c>
      <c r="F803" s="106" t="s">
        <v>4885</v>
      </c>
      <c r="G803" s="106" t="s">
        <v>1006</v>
      </c>
      <c r="H803" s="106" t="s">
        <v>4727</v>
      </c>
      <c r="I803" s="106" t="s">
        <v>4886</v>
      </c>
      <c r="J803" s="106">
        <v>300000</v>
      </c>
      <c r="K803" s="106" t="s">
        <v>4887</v>
      </c>
      <c r="L803" s="106" t="s">
        <v>4888</v>
      </c>
      <c r="M803" s="106" t="s">
        <v>1020</v>
      </c>
      <c r="O803" s="106" t="s">
        <v>274</v>
      </c>
      <c r="P803" s="106" t="s">
        <v>445</v>
      </c>
      <c r="Q803" s="106" t="s">
        <v>404</v>
      </c>
      <c r="S803" s="106" t="str" cm="1">
        <f t="array" ref="S803">IF(TRIM($D803)="","(tidak diisi)",IFERROR(INDEX(Kamus!$B$3:$B$28,MATCH(TRUE,ISNUMBER(SEARCH(Kamus!$A$3:$A$28,$D803)),0)),"Jabatan Lainnya"))</f>
        <v>Hakim</v>
      </c>
      <c r="T803" s="106" t="str" cm="1">
        <f t="array" ref="T803">IF(TRIM($I803)="","(tidak diisi)",IFERROR(INDEX(Kamus!$E$3:$E$162,MATCH(TRUE,ISNUMBER(SEARCH(Kamus!$D$3:$D$162,$I803)),0)),"Barang Lain / Tidak Terinci"))</f>
        <v>Pakaian &amp; Kain</v>
      </c>
      <c r="U803" s="106" t="str" cm="1">
        <f t="array" ref="U803">IF(TRIM($I803)="","(tidak diisi)",IFERROR(INDEX(Kamus!$H$3:$H$75,MATCH(TRUE,ISNUMBER(SEARCH(Kamus!$G$3:$G$75,$I803)),0)),"Pemberian Umum / Tanpa Konteks"))</f>
        <v>Pemberian Umum / Tanpa Konteks</v>
      </c>
      <c r="V803" s="106" t="str">
        <f t="shared" si="36"/>
        <v>2026</v>
      </c>
      <c r="W803" s="106" t="str" cm="1">
        <f t="array" ref="W803">IF(TRIM($K803)="","(tidak diisi)",IFERROR(INDEX(Kamus!$K$3:$K$118,MATCH(TRUE,ISNUMBER(SEARCH(Kamus!$J$3:$J$118,$K803)),0)),"Individu / Perorangan"))</f>
        <v>Individu / Perorangan</v>
      </c>
      <c r="X803" s="106" t="str">
        <f t="shared" si="37"/>
        <v>03</v>
      </c>
      <c r="Y803" s="106" t="str" cm="1">
        <f t="array" ref="Y803">IFERROR(INDEX(Kamus!$N$3:$N$111,MATCH(TRUE,ISNUMBER(SEARCH(Kamus!$M$3:$M$111,$I803)),0)),"")</f>
        <v/>
      </c>
      <c r="Z803" s="106" t="str">
        <f>IF(AND(OR($X803="02",$X803="03",$X803="04"),OR($T803="Parsel/Bingkisan (tidak dirinci)",$T803="Makanan &amp; Minuman",$T803="Peralatan Rumah Tangga / Pecah Belah",$T803="Pakaian &amp; Kain")),"Momen Hari Raya (dugaan musiman)",IFERROR(VLOOKUP($W803,Kamus!$P$3:$Q$14,2,FALSE),"Tidak Teridentifikasi"))</f>
        <v>Momen Hari Raya (dugaan musiman)</v>
      </c>
      <c r="AA803" s="106" t="str">
        <f t="shared" si="38"/>
        <v>Momen Hari Raya (dugaan musiman)</v>
      </c>
    </row>
    <row r="804" spans="1:27">
      <c r="A804" s="106">
        <v>803</v>
      </c>
      <c r="B804" s="106" t="s">
        <v>3144</v>
      </c>
      <c r="C804" s="107" t="s">
        <v>3145</v>
      </c>
      <c r="D804" s="106" t="s">
        <v>3146</v>
      </c>
      <c r="E804" s="106" t="s">
        <v>3986</v>
      </c>
      <c r="F804" s="106" t="s">
        <v>4885</v>
      </c>
      <c r="G804" s="106" t="s">
        <v>1006</v>
      </c>
      <c r="H804" s="106" t="s">
        <v>4855</v>
      </c>
      <c r="I804" s="106" t="s">
        <v>4889</v>
      </c>
      <c r="J804" s="106">
        <v>150000</v>
      </c>
      <c r="K804" s="106" t="s">
        <v>4890</v>
      </c>
      <c r="L804" s="106" t="s">
        <v>4888</v>
      </c>
      <c r="M804" s="106" t="s">
        <v>1020</v>
      </c>
      <c r="O804" s="106" t="s">
        <v>274</v>
      </c>
      <c r="P804" s="106" t="s">
        <v>445</v>
      </c>
      <c r="Q804" s="106" t="s">
        <v>404</v>
      </c>
      <c r="S804" s="106" t="str" cm="1">
        <f t="array" ref="S804">IF(TRIM($D804)="","(tidak diisi)",IFERROR(INDEX(Kamus!$B$3:$B$28,MATCH(TRUE,ISNUMBER(SEARCH(Kamus!$A$3:$A$28,$D804)),0)),"Jabatan Lainnya"))</f>
        <v>Hakim</v>
      </c>
      <c r="T804" s="106" t="str" cm="1">
        <f t="array" ref="T804">IF(TRIM($I804)="","(tidak diisi)",IFERROR(INDEX(Kamus!$E$3:$E$162,MATCH(TRUE,ISNUMBER(SEARCH(Kamus!$D$3:$D$162,$I804)),0)),"Barang Lain / Tidak Terinci"))</f>
        <v>Barang Lain / Tidak Terinci</v>
      </c>
      <c r="U804" s="106" t="str" cm="1">
        <f t="array" ref="U804">IF(TRIM($I804)="","(tidak diisi)",IFERROR(INDEX(Kamus!$H$3:$H$75,MATCH(TRUE,ISNUMBER(SEARCH(Kamus!$G$3:$G$75,$I804)),0)),"Pemberian Umum / Tanpa Konteks"))</f>
        <v>Pemberian Umum / Tanpa Konteks</v>
      </c>
      <c r="V804" s="106" t="str">
        <f t="shared" si="36"/>
        <v>2026</v>
      </c>
      <c r="W804" s="106" t="str" cm="1">
        <f t="array" ref="W804">IF(TRIM($K804)="","(tidak diisi)",IFERROR(INDEX(Kamus!$K$3:$K$118,MATCH(TRUE,ISNUMBER(SEARCH(Kamus!$J$3:$J$118,$K804)),0)),"Individu / Perorangan"))</f>
        <v>Individu / Perorangan</v>
      </c>
      <c r="X804" s="106" t="str">
        <f t="shared" si="37"/>
        <v>03</v>
      </c>
      <c r="Y804" s="106" t="str" cm="1">
        <f t="array" ref="Y804">IFERROR(INDEX(Kamus!$N$3:$N$111,MATCH(TRUE,ISNUMBER(SEARCH(Kamus!$M$3:$M$111,$I804)),0)),"")</f>
        <v/>
      </c>
      <c r="Z804" s="106" t="str">
        <f>IF(AND(OR($X804="02",$X804="03",$X804="04"),OR($T804="Parsel/Bingkisan (tidak dirinci)",$T804="Makanan &amp; Minuman",$T804="Peralatan Rumah Tangga / Pecah Belah",$T804="Pakaian &amp; Kain")),"Momen Hari Raya (dugaan musiman)",IFERROR(VLOOKUP($W804,Kamus!$P$3:$Q$14,2,FALSE),"Tidak Teridentifikasi"))</f>
        <v>Relasi Personal / Tidak Teridentifikasi</v>
      </c>
      <c r="AA804" s="106" t="str">
        <f t="shared" si="38"/>
        <v>Relasi Personal / Tidak Teridentifikasi</v>
      </c>
    </row>
    <row r="805" spans="1:27">
      <c r="A805" s="106">
        <v>804</v>
      </c>
      <c r="B805" s="106" t="s">
        <v>1587</v>
      </c>
      <c r="C805" s="107" t="s">
        <v>1588</v>
      </c>
      <c r="D805" s="106" t="s">
        <v>1571</v>
      </c>
      <c r="E805" s="106" t="s">
        <v>1166</v>
      </c>
      <c r="G805" s="106" t="s">
        <v>1006</v>
      </c>
      <c r="L805" s="106" t="s">
        <v>4891</v>
      </c>
      <c r="O805" s="106" t="s">
        <v>274</v>
      </c>
      <c r="P805" s="106" t="s">
        <v>1173</v>
      </c>
      <c r="Q805" s="106" t="s">
        <v>431</v>
      </c>
      <c r="S805" s="106" t="str" cm="1">
        <f t="array" ref="S805">IF(TRIM($D805)="","(tidak diisi)",IFERROR(INDEX(Kamus!$B$3:$B$28,MATCH(TRUE,ISNUMBER(SEARCH(Kamus!$A$3:$A$28,$D805)),0)),"Jabatan Lainnya"))</f>
        <v>Panitera</v>
      </c>
      <c r="T805" s="106" t="str" cm="1">
        <f t="array" ref="T805">IF(TRIM($I805)="","(tidak diisi)",IFERROR(INDEX(Kamus!$E$3:$E$162,MATCH(TRUE,ISNUMBER(SEARCH(Kamus!$D$3:$D$162,$I805)),0)),"Barang Lain / Tidak Terinci"))</f>
        <v>(tidak diisi)</v>
      </c>
      <c r="U805" s="106" t="str" cm="1">
        <f t="array" ref="U805">IF(TRIM($I805)="","(tidak diisi)",IFERROR(INDEX(Kamus!$H$3:$H$75,MATCH(TRUE,ISNUMBER(SEARCH(Kamus!$G$3:$G$75,$I805)),0)),"Pemberian Umum / Tanpa Konteks"))</f>
        <v>(tidak diisi)</v>
      </c>
      <c r="V805" s="106" t="str">
        <f t="shared" si="36"/>
        <v>(tidak diisi)</v>
      </c>
      <c r="W805" s="106" t="str" cm="1">
        <f t="array" ref="W805">IF(TRIM($K805)="","(tidak diisi)",IFERROR(INDEX(Kamus!$K$3:$K$118,MATCH(TRUE,ISNUMBER(SEARCH(Kamus!$J$3:$J$118,$K805)),0)),"Individu / Perorangan"))</f>
        <v>(tidak diisi)</v>
      </c>
      <c r="X805" s="106" t="str">
        <f t="shared" si="37"/>
        <v>(tidak diisi)</v>
      </c>
      <c r="Y805" s="106" t="str" cm="1">
        <f t="array" ref="Y805">IFERROR(INDEX(Kamus!$N$3:$N$111,MATCH(TRUE,ISNUMBER(SEARCH(Kamus!$M$3:$M$111,$I805)),0)),"")</f>
        <v/>
      </c>
      <c r="Z805" s="106" t="str">
        <f>IF(AND(OR($X805="02",$X805="03",$X805="04"),OR($T805="Parsel/Bingkisan (tidak dirinci)",$T805="Makanan &amp; Minuman",$T805="Peralatan Rumah Tangga / Pecah Belah",$T805="Pakaian &amp; Kain")),"Momen Hari Raya (dugaan musiman)",IFERROR(VLOOKUP($W805,Kamus!$P$3:$Q$14,2,FALSE),"Tidak Teridentifikasi"))</f>
        <v>Tidak Teridentifikasi</v>
      </c>
      <c r="AA805" s="106" t="str">
        <f t="shared" si="38"/>
        <v>Tidak Teridentifikasi</v>
      </c>
    </row>
    <row r="806" spans="1:27">
      <c r="A806" s="106">
        <v>805</v>
      </c>
      <c r="B806" s="106" t="s">
        <v>4892</v>
      </c>
      <c r="C806" s="107" t="s">
        <v>4893</v>
      </c>
      <c r="D806" s="106" t="s">
        <v>1843</v>
      </c>
      <c r="E806" s="106" t="s">
        <v>1005</v>
      </c>
      <c r="F806" s="106" t="s">
        <v>4894</v>
      </c>
      <c r="G806" s="106" t="s">
        <v>1074</v>
      </c>
      <c r="H806" s="106" t="s">
        <v>4745</v>
      </c>
      <c r="I806" s="106" t="s">
        <v>4895</v>
      </c>
      <c r="K806" s="106" t="s">
        <v>4896</v>
      </c>
      <c r="L806" s="106" t="s">
        <v>4897</v>
      </c>
      <c r="O806" s="106" t="s">
        <v>274</v>
      </c>
      <c r="S806" s="106" t="str" cm="1">
        <f t="array" ref="S806">IF(TRIM($D806)="","(tidak diisi)",IFERROR(INDEX(Kamus!$B$3:$B$28,MATCH(TRUE,ISNUMBER(SEARCH(Kamus!$A$3:$A$28,$D806)),0)),"Jabatan Lainnya"))</f>
        <v>Ketua Pengadilan</v>
      </c>
      <c r="T806" s="106" t="str" cm="1">
        <f t="array" ref="T806">IF(TRIM($I806)="","(tidak diisi)",IFERROR(INDEX(Kamus!$E$3:$E$162,MATCH(TRUE,ISNUMBER(SEARCH(Kamus!$D$3:$D$162,$I806)),0)),"Barang Lain / Tidak Terinci"))</f>
        <v>Peralatan Rumah Tangga / Pecah Belah</v>
      </c>
      <c r="U806" s="106" t="str" cm="1">
        <f t="array" ref="U806">IF(TRIM($I806)="","(tidak diisi)",IFERROR(INDEX(Kamus!$H$3:$H$75,MATCH(TRUE,ISNUMBER(SEARCH(Kamus!$G$3:$G$75,$I806)),0)),"Pemberian Umum / Tanpa Konteks"))</f>
        <v>Bingkisan Hari Raya / Keagamaan</v>
      </c>
      <c r="V806" s="106" t="str">
        <f t="shared" si="36"/>
        <v>2026</v>
      </c>
      <c r="W806" s="106" t="str" cm="1">
        <f t="array" ref="W806">IF(TRIM($K806)="","(tidak diisi)",IFERROR(INDEX(Kamus!$K$3:$K$118,MATCH(TRUE,ISNUMBER(SEARCH(Kamus!$J$3:$J$118,$K806)),0)),"Individu / Perorangan"))</f>
        <v>Individu / Perorangan</v>
      </c>
      <c r="X806" s="106" t="str">
        <f t="shared" si="37"/>
        <v>03</v>
      </c>
      <c r="Y806" s="106" t="str" cm="1">
        <f t="array" ref="Y806">IFERROR(INDEX(Kamus!$N$3:$N$111,MATCH(TRUE,ISNUMBER(SEARCH(Kamus!$M$3:$M$111,$I806)),0)),"")</f>
        <v>Momen Hari Raya (Ramadan/Idulfitri)</v>
      </c>
      <c r="Z806" s="106" t="str">
        <f>IF(AND(OR($X806="02",$X806="03",$X806="04"),OR($T806="Parsel/Bingkisan (tidak dirinci)",$T806="Makanan &amp; Minuman",$T806="Peralatan Rumah Tangga / Pecah Belah",$T806="Pakaian &amp; Kain")),"Momen Hari Raya (dugaan musiman)",IFERROR(VLOOKUP($W806,Kamus!$P$3:$Q$14,2,FALSE),"Tidak Teridentifikasi"))</f>
        <v>Momen Hari Raya (dugaan musiman)</v>
      </c>
      <c r="AA806" s="106" t="str">
        <f t="shared" si="38"/>
        <v>Momen Hari Raya (Ramadan/Idulfitri)</v>
      </c>
    </row>
    <row r="807" spans="1:27">
      <c r="A807" s="106">
        <v>806</v>
      </c>
      <c r="B807" s="106" t="s">
        <v>4898</v>
      </c>
      <c r="C807" s="107" t="s">
        <v>4899</v>
      </c>
      <c r="D807" s="106" t="s">
        <v>1033</v>
      </c>
      <c r="E807" s="106" t="s">
        <v>4900</v>
      </c>
      <c r="F807" s="106" t="s">
        <v>4901</v>
      </c>
      <c r="G807" s="106" t="s">
        <v>1006</v>
      </c>
      <c r="H807" s="106" t="s">
        <v>2525</v>
      </c>
      <c r="I807" s="106" t="s">
        <v>4902</v>
      </c>
      <c r="J807" s="106">
        <v>124640</v>
      </c>
      <c r="K807" s="106" t="s">
        <v>4903</v>
      </c>
      <c r="L807" s="106" t="s">
        <v>4904</v>
      </c>
      <c r="M807" s="106" t="s">
        <v>1171</v>
      </c>
      <c r="N807" s="106" t="s">
        <v>4905</v>
      </c>
      <c r="O807" s="106" t="s">
        <v>274</v>
      </c>
      <c r="P807" s="106" t="s">
        <v>4906</v>
      </c>
      <c r="Q807" s="106" t="s">
        <v>309</v>
      </c>
      <c r="S807" s="106" t="str" cm="1">
        <f t="array" ref="S807">IF(TRIM($D807)="","(tidak diisi)",IFERROR(INDEX(Kamus!$B$3:$B$28,MATCH(TRUE,ISNUMBER(SEARCH(Kamus!$A$3:$A$28,$D807)),0)),"Jabatan Lainnya"))</f>
        <v>Hakim</v>
      </c>
      <c r="T807" s="106" t="str" cm="1">
        <f t="array" ref="T807">IF(TRIM($I807)="","(tidak diisi)",IFERROR(INDEX(Kamus!$E$3:$E$162,MATCH(TRUE,ISNUMBER(SEARCH(Kamus!$D$3:$D$162,$I807)),0)),"Barang Lain / Tidak Terinci"))</f>
        <v>Peralatan Rumah Tangga / Pecah Belah</v>
      </c>
      <c r="U807" s="106" t="str" cm="1">
        <f t="array" ref="U807">IF(TRIM($I807)="","(tidak diisi)",IFERROR(INDEX(Kamus!$H$3:$H$75,MATCH(TRUE,ISNUMBER(SEARCH(Kamus!$G$3:$G$75,$I807)),0)),"Pemberian Umum / Tanpa Konteks"))</f>
        <v>Bingkisan Hari Raya / Keagamaan</v>
      </c>
      <c r="V807" s="106" t="str">
        <f t="shared" si="36"/>
        <v>2026</v>
      </c>
      <c r="W807" s="106" t="str" cm="1">
        <f t="array" ref="W807">IF(TRIM($K807)="","(tidak diisi)",IFERROR(INDEX(Kamus!$K$3:$K$118,MATCH(TRUE,ISNUMBER(SEARCH(Kamus!$J$3:$J$118,$K807)),0)),"Individu / Perorangan"))</f>
        <v>Aparat/Instansi Penegak Hukum &amp; Vertikal</v>
      </c>
      <c r="X807" s="106" t="str">
        <f t="shared" si="37"/>
        <v>03</v>
      </c>
      <c r="Y807" s="106" t="str" cm="1">
        <f t="array" ref="Y807">IFERROR(INDEX(Kamus!$N$3:$N$111,MATCH(TRUE,ISNUMBER(SEARCH(Kamus!$M$3:$M$111,$I807)),0)),"")</f>
        <v>Momen Hari Raya (Ramadan/Idulfitri)</v>
      </c>
      <c r="Z807" s="106" t="str">
        <f>IF(AND(OR($X807="02",$X807="03",$X807="04"),OR($T807="Parsel/Bingkisan (tidak dirinci)",$T807="Makanan &amp; Minuman",$T807="Peralatan Rumah Tangga / Pecah Belah",$T807="Pakaian &amp; Kain")),"Momen Hari Raya (dugaan musiman)",IFERROR(VLOOKUP($W807,Kamus!$P$3:$Q$14,2,FALSE),"Tidak Teridentifikasi"))</f>
        <v>Momen Hari Raya (dugaan musiman)</v>
      </c>
      <c r="AA807" s="106" t="str">
        <f t="shared" si="38"/>
        <v>Momen Hari Raya (Ramadan/Idulfitri)</v>
      </c>
    </row>
    <row r="808" spans="1:27">
      <c r="A808" s="106">
        <v>807</v>
      </c>
      <c r="B808" s="106" t="s">
        <v>3187</v>
      </c>
      <c r="C808" s="107" t="s">
        <v>3188</v>
      </c>
      <c r="D808" s="106" t="s">
        <v>1033</v>
      </c>
      <c r="E808" s="106" t="s">
        <v>3189</v>
      </c>
      <c r="F808" s="106" t="s">
        <v>4907</v>
      </c>
      <c r="G808" s="106" t="s">
        <v>1006</v>
      </c>
      <c r="H808" s="106" t="s">
        <v>4855</v>
      </c>
      <c r="I808" s="106" t="s">
        <v>1857</v>
      </c>
      <c r="K808" s="106" t="s">
        <v>4908</v>
      </c>
      <c r="L808" s="106" t="s">
        <v>4909</v>
      </c>
      <c r="O808" s="106" t="s">
        <v>274</v>
      </c>
      <c r="P808" s="106" t="s">
        <v>3195</v>
      </c>
      <c r="Q808" s="106" t="s">
        <v>399</v>
      </c>
      <c r="S808" s="106" t="str" cm="1">
        <f t="array" ref="S808">IF(TRIM($D808)="","(tidak diisi)",IFERROR(INDEX(Kamus!$B$3:$B$28,MATCH(TRUE,ISNUMBER(SEARCH(Kamus!$A$3:$A$28,$D808)),0)),"Jabatan Lainnya"))</f>
        <v>Hakim</v>
      </c>
      <c r="T808" s="106" t="str" cm="1">
        <f t="array" ref="T808">IF(TRIM($I808)="","(tidak diisi)",IFERROR(INDEX(Kamus!$E$3:$E$162,MATCH(TRUE,ISNUMBER(SEARCH(Kamus!$D$3:$D$162,$I808)),0)),"Barang Lain / Tidak Terinci"))</f>
        <v>Makanan &amp; Minuman</v>
      </c>
      <c r="U808" s="106" t="str" cm="1">
        <f t="array" ref="U808">IF(TRIM($I808)="","(tidak diisi)",IFERROR(INDEX(Kamus!$H$3:$H$75,MATCH(TRUE,ISNUMBER(SEARCH(Kamus!$G$3:$G$75,$I808)),0)),"Pemberian Umum / Tanpa Konteks"))</f>
        <v>Parsel/Bingkisan Umum (non-hari raya)</v>
      </c>
      <c r="V808" s="106" t="str">
        <f t="shared" si="36"/>
        <v>2026</v>
      </c>
      <c r="W808" s="106" t="str" cm="1">
        <f t="array" ref="W808">IF(TRIM($K808)="","(tidak diisi)",IFERROR(INDEX(Kamus!$K$3:$K$118,MATCH(TRUE,ISNUMBER(SEARCH(Kamus!$J$3:$J$118,$K808)),0)),"Individu / Perorangan"))</f>
        <v>Individu / Perorangan</v>
      </c>
      <c r="X808" s="106" t="str">
        <f t="shared" si="37"/>
        <v>03</v>
      </c>
      <c r="Y808" s="106" t="str" cm="1">
        <f t="array" ref="Y808">IFERROR(INDEX(Kamus!$N$3:$N$111,MATCH(TRUE,ISNUMBER(SEARCH(Kamus!$M$3:$M$111,$I808)),0)),"")</f>
        <v/>
      </c>
      <c r="Z808" s="106" t="str">
        <f>IF(AND(OR($X808="02",$X808="03",$X808="04"),OR($T808="Parsel/Bingkisan (tidak dirinci)",$T808="Makanan &amp; Minuman",$T808="Peralatan Rumah Tangga / Pecah Belah",$T808="Pakaian &amp; Kain")),"Momen Hari Raya (dugaan musiman)",IFERROR(VLOOKUP($W808,Kamus!$P$3:$Q$14,2,FALSE),"Tidak Teridentifikasi"))</f>
        <v>Momen Hari Raya (dugaan musiman)</v>
      </c>
      <c r="AA808" s="106" t="str">
        <f t="shared" si="38"/>
        <v>Momen Hari Raya (dugaan musiman)</v>
      </c>
    </row>
    <row r="809" spans="1:27">
      <c r="A809" s="106">
        <v>808</v>
      </c>
      <c r="B809" s="106" t="s">
        <v>1174</v>
      </c>
      <c r="C809" s="107" t="s">
        <v>1175</v>
      </c>
      <c r="D809" s="106" t="s">
        <v>1042</v>
      </c>
      <c r="E809" s="106" t="s">
        <v>1176</v>
      </c>
      <c r="F809" s="106" t="s">
        <v>4910</v>
      </c>
      <c r="G809" s="106" t="s">
        <v>1006</v>
      </c>
      <c r="H809" s="106" t="s">
        <v>4855</v>
      </c>
      <c r="I809" s="106" t="s">
        <v>4911</v>
      </c>
      <c r="K809" s="106" t="s">
        <v>4912</v>
      </c>
      <c r="L809" s="106" t="s">
        <v>4913</v>
      </c>
      <c r="O809" s="106" t="s">
        <v>274</v>
      </c>
      <c r="P809" s="106" t="s">
        <v>1181</v>
      </c>
      <c r="Q809" s="106" t="s">
        <v>429</v>
      </c>
      <c r="S809" s="106" t="str" cm="1">
        <f t="array" ref="S809">IF(TRIM($D809)="","(tidak diisi)",IFERROR(INDEX(Kamus!$B$3:$B$28,MATCH(TRUE,ISNUMBER(SEARCH(Kamus!$A$3:$A$28,$D809)),0)),"Jabatan Lainnya"))</f>
        <v>Ketua Pengadilan</v>
      </c>
      <c r="T809" s="106" t="str" cm="1">
        <f t="array" ref="T809">IF(TRIM($I809)="","(tidak diisi)",IFERROR(INDEX(Kamus!$E$3:$E$162,MATCH(TRUE,ISNUMBER(SEARCH(Kamus!$D$3:$D$162,$I809)),0)),"Barang Lain / Tidak Terinci"))</f>
        <v>Makanan &amp; Minuman</v>
      </c>
      <c r="U809" s="106" t="str" cm="1">
        <f t="array" ref="U809">IF(TRIM($I809)="","(tidak diisi)",IFERROR(INDEX(Kamus!$H$3:$H$75,MATCH(TRUE,ISNUMBER(SEARCH(Kamus!$G$3:$G$75,$I809)),0)),"Pemberian Umum / Tanpa Konteks"))</f>
        <v>Pemberian Umum / Tanpa Konteks</v>
      </c>
      <c r="V809" s="106" t="str">
        <f t="shared" si="36"/>
        <v>2026</v>
      </c>
      <c r="W809" s="106" t="str" cm="1">
        <f t="array" ref="W809">IF(TRIM($K809)="","(tidak diisi)",IFERROR(INDEX(Kamus!$K$3:$K$118,MATCH(TRUE,ISNUMBER(SEARCH(Kamus!$J$3:$J$118,$K809)),0)),"Individu / Perorangan"))</f>
        <v>Individu / Perorangan</v>
      </c>
      <c r="X809" s="106" t="str">
        <f t="shared" si="37"/>
        <v>03</v>
      </c>
      <c r="Y809" s="106" t="str" cm="1">
        <f t="array" ref="Y809">IFERROR(INDEX(Kamus!$N$3:$N$111,MATCH(TRUE,ISNUMBER(SEARCH(Kamus!$M$3:$M$111,$I809)),0)),"")</f>
        <v/>
      </c>
      <c r="Z809" s="106" t="str">
        <f>IF(AND(OR($X809="02",$X809="03",$X809="04"),OR($T809="Parsel/Bingkisan (tidak dirinci)",$T809="Makanan &amp; Minuman",$T809="Peralatan Rumah Tangga / Pecah Belah",$T809="Pakaian &amp; Kain")),"Momen Hari Raya (dugaan musiman)",IFERROR(VLOOKUP($W809,Kamus!$P$3:$Q$14,2,FALSE),"Tidak Teridentifikasi"))</f>
        <v>Momen Hari Raya (dugaan musiman)</v>
      </c>
      <c r="AA809" s="106" t="str">
        <f t="shared" si="38"/>
        <v>Momen Hari Raya (dugaan musiman)</v>
      </c>
    </row>
    <row r="810" spans="1:27">
      <c r="A810" s="106">
        <v>809</v>
      </c>
      <c r="B810" s="106" t="s">
        <v>4477</v>
      </c>
      <c r="C810" s="107" t="s">
        <v>4478</v>
      </c>
      <c r="D810" s="106" t="s">
        <v>1144</v>
      </c>
      <c r="E810" s="106" t="s">
        <v>4914</v>
      </c>
      <c r="F810" s="106" t="s">
        <v>4915</v>
      </c>
      <c r="G810" s="106" t="s">
        <v>1006</v>
      </c>
      <c r="H810" s="106" t="s">
        <v>4764</v>
      </c>
      <c r="I810" s="106" t="s">
        <v>4916</v>
      </c>
      <c r="J810" s="106">
        <v>1200000</v>
      </c>
      <c r="K810" s="106" t="s">
        <v>4917</v>
      </c>
      <c r="L810" s="106" t="s">
        <v>4918</v>
      </c>
      <c r="M810" s="106" t="s">
        <v>2529</v>
      </c>
      <c r="O810" s="106" t="s">
        <v>274</v>
      </c>
      <c r="P810" s="106" t="s">
        <v>4919</v>
      </c>
      <c r="Q810" s="106" t="s">
        <v>397</v>
      </c>
      <c r="S810" s="106" t="str" cm="1">
        <f t="array" ref="S810">IF(TRIM($D810)="","(tidak diisi)",IFERROR(INDEX(Kamus!$B$3:$B$28,MATCH(TRUE,ISNUMBER(SEARCH(Kamus!$A$3:$A$28,$D810)),0)),"Jabatan Lainnya"))</f>
        <v>Ketua Pengadilan</v>
      </c>
      <c r="T810" s="106" t="str" cm="1">
        <f t="array" ref="T810">IF(TRIM($I810)="","(tidak diisi)",IFERROR(INDEX(Kamus!$E$3:$E$162,MATCH(TRUE,ISNUMBER(SEARCH(Kamus!$D$3:$D$162,$I810)),0)),"Barang Lain / Tidak Terinci"))</f>
        <v>Makanan &amp; Minuman</v>
      </c>
      <c r="U810" s="106" t="str" cm="1">
        <f t="array" ref="U810">IF(TRIM($I810)="","(tidak diisi)",IFERROR(INDEX(Kamus!$H$3:$H$75,MATCH(TRUE,ISNUMBER(SEARCH(Kamus!$G$3:$G$75,$I810)),0)),"Pemberian Umum / Tanpa Konteks"))</f>
        <v>Pemberian Umum / Tanpa Konteks</v>
      </c>
      <c r="V810" s="106" t="str">
        <f t="shared" si="36"/>
        <v>2026</v>
      </c>
      <c r="W810" s="106" t="str" cm="1">
        <f t="array" ref="W810">IF(TRIM($K810)="","(tidak diisi)",IFERROR(INDEX(Kamus!$K$3:$K$118,MATCH(TRUE,ISNUMBER(SEARCH(Kamus!$J$3:$J$118,$K810)),0)),"Individu / Perorangan"))</f>
        <v>Individu / Perorangan</v>
      </c>
      <c r="X810" s="106" t="str">
        <f t="shared" si="37"/>
        <v>03</v>
      </c>
      <c r="Y810" s="106" t="str" cm="1">
        <f t="array" ref="Y810">IFERROR(INDEX(Kamus!$N$3:$N$111,MATCH(TRUE,ISNUMBER(SEARCH(Kamus!$M$3:$M$111,$I810)),0)),"")</f>
        <v/>
      </c>
      <c r="Z810" s="106" t="str">
        <f>IF(AND(OR($X810="02",$X810="03",$X810="04"),OR($T810="Parsel/Bingkisan (tidak dirinci)",$T810="Makanan &amp; Minuman",$T810="Peralatan Rumah Tangga / Pecah Belah",$T810="Pakaian &amp; Kain")),"Momen Hari Raya (dugaan musiman)",IFERROR(VLOOKUP($W810,Kamus!$P$3:$Q$14,2,FALSE),"Tidak Teridentifikasi"))</f>
        <v>Momen Hari Raya (dugaan musiman)</v>
      </c>
      <c r="AA810" s="106" t="str">
        <f t="shared" si="38"/>
        <v>Momen Hari Raya (dugaan musiman)</v>
      </c>
    </row>
    <row r="811" spans="1:27">
      <c r="A811" s="106">
        <v>810</v>
      </c>
      <c r="B811" s="106" t="s">
        <v>1174</v>
      </c>
      <c r="C811" s="107" t="s">
        <v>1175</v>
      </c>
      <c r="D811" s="106" t="s">
        <v>1042</v>
      </c>
      <c r="E811" s="106" t="s">
        <v>1176</v>
      </c>
      <c r="F811" s="106" t="s">
        <v>4920</v>
      </c>
      <c r="G811" s="106" t="s">
        <v>1006</v>
      </c>
      <c r="H811" s="106" t="s">
        <v>2525</v>
      </c>
      <c r="I811" s="106" t="s">
        <v>4911</v>
      </c>
      <c r="K811" s="106" t="s">
        <v>4921</v>
      </c>
      <c r="L811" s="106" t="s">
        <v>4922</v>
      </c>
      <c r="O811" s="106" t="s">
        <v>274</v>
      </c>
      <c r="P811" s="106" t="s">
        <v>1181</v>
      </c>
      <c r="Q811" s="106" t="s">
        <v>429</v>
      </c>
      <c r="S811" s="106" t="str" cm="1">
        <f t="array" ref="S811">IF(TRIM($D811)="","(tidak diisi)",IFERROR(INDEX(Kamus!$B$3:$B$28,MATCH(TRUE,ISNUMBER(SEARCH(Kamus!$A$3:$A$28,$D811)),0)),"Jabatan Lainnya"))</f>
        <v>Ketua Pengadilan</v>
      </c>
      <c r="T811" s="106" t="str" cm="1">
        <f t="array" ref="T811">IF(TRIM($I811)="","(tidak diisi)",IFERROR(INDEX(Kamus!$E$3:$E$162,MATCH(TRUE,ISNUMBER(SEARCH(Kamus!$D$3:$D$162,$I811)),0)),"Barang Lain / Tidak Terinci"))</f>
        <v>Makanan &amp; Minuman</v>
      </c>
      <c r="U811" s="106" t="str" cm="1">
        <f t="array" ref="U811">IF(TRIM($I811)="","(tidak diisi)",IFERROR(INDEX(Kamus!$H$3:$H$75,MATCH(TRUE,ISNUMBER(SEARCH(Kamus!$G$3:$G$75,$I811)),0)),"Pemberian Umum / Tanpa Konteks"))</f>
        <v>Pemberian Umum / Tanpa Konteks</v>
      </c>
      <c r="V811" s="106" t="str">
        <f t="shared" si="36"/>
        <v>2026</v>
      </c>
      <c r="W811" s="106" t="str" cm="1">
        <f t="array" ref="W811">IF(TRIM($K811)="","(tidak diisi)",IFERROR(INDEX(Kamus!$K$3:$K$118,MATCH(TRUE,ISNUMBER(SEARCH(Kamus!$J$3:$J$118,$K811)),0)),"Individu / Perorangan"))</f>
        <v>Individu / Perorangan</v>
      </c>
      <c r="X811" s="106" t="str">
        <f t="shared" si="37"/>
        <v>03</v>
      </c>
      <c r="Y811" s="106" t="str" cm="1">
        <f t="array" ref="Y811">IFERROR(INDEX(Kamus!$N$3:$N$111,MATCH(TRUE,ISNUMBER(SEARCH(Kamus!$M$3:$M$111,$I811)),0)),"")</f>
        <v/>
      </c>
      <c r="Z811" s="106" t="str">
        <f>IF(AND(OR($X811="02",$X811="03",$X811="04"),OR($T811="Parsel/Bingkisan (tidak dirinci)",$T811="Makanan &amp; Minuman",$T811="Peralatan Rumah Tangga / Pecah Belah",$T811="Pakaian &amp; Kain")),"Momen Hari Raya (dugaan musiman)",IFERROR(VLOOKUP($W811,Kamus!$P$3:$Q$14,2,FALSE),"Tidak Teridentifikasi"))</f>
        <v>Momen Hari Raya (dugaan musiman)</v>
      </c>
      <c r="AA811" s="106" t="str">
        <f t="shared" si="38"/>
        <v>Momen Hari Raya (dugaan musiman)</v>
      </c>
    </row>
    <row r="812" spans="1:27">
      <c r="A812" s="106">
        <v>811</v>
      </c>
      <c r="B812" s="106" t="s">
        <v>4923</v>
      </c>
      <c r="C812" s="107" t="s">
        <v>4924</v>
      </c>
      <c r="D812" s="106" t="s">
        <v>4925</v>
      </c>
      <c r="E812" s="106" t="s">
        <v>1005</v>
      </c>
      <c r="F812" s="106" t="s">
        <v>4926</v>
      </c>
      <c r="G812" s="106" t="s">
        <v>1006</v>
      </c>
      <c r="H812" s="106" t="s">
        <v>4795</v>
      </c>
      <c r="I812" s="106" t="s">
        <v>4927</v>
      </c>
      <c r="J812" s="106">
        <v>300000</v>
      </c>
      <c r="K812" s="106" t="s">
        <v>4928</v>
      </c>
      <c r="L812" s="106" t="s">
        <v>4929</v>
      </c>
      <c r="M812" s="106" t="s">
        <v>1171</v>
      </c>
      <c r="N812" s="106" t="s">
        <v>4930</v>
      </c>
      <c r="O812" s="106" t="s">
        <v>274</v>
      </c>
      <c r="S812" s="106" t="str" cm="1">
        <f t="array" ref="S812">IF(TRIM($D812)="","(tidak diisi)",IFERROR(INDEX(Kamus!$B$3:$B$28,MATCH(TRUE,ISNUMBER(SEARCH(Kamus!$A$3:$A$28,$D812)),0)),"Jabatan Lainnya"))</f>
        <v>Wakil Ketua Pengadilan</v>
      </c>
      <c r="T812" s="106" t="str" cm="1">
        <f t="array" ref="T812">IF(TRIM($I812)="","(tidak diisi)",IFERROR(INDEX(Kamus!$E$3:$E$162,MATCH(TRUE,ISNUMBER(SEARCH(Kamus!$D$3:$D$162,$I812)),0)),"Barang Lain / Tidak Terinci"))</f>
        <v>Peralatan Rumah Tangga / Pecah Belah</v>
      </c>
      <c r="U812" s="106" t="str" cm="1">
        <f t="array" ref="U812">IF(TRIM($I812)="","(tidak diisi)",IFERROR(INDEX(Kamus!$H$3:$H$75,MATCH(TRUE,ISNUMBER(SEARCH(Kamus!$G$3:$G$75,$I812)),0)),"Pemberian Umum / Tanpa Konteks"))</f>
        <v>Parsel/Bingkisan Umum (non-hari raya)</v>
      </c>
      <c r="V812" s="106" t="str">
        <f t="shared" si="36"/>
        <v>2026</v>
      </c>
      <c r="W812" s="106" t="str" cm="1">
        <f t="array" ref="W812">IF(TRIM($K812)="","(tidak diisi)",IFERROR(INDEX(Kamus!$K$3:$K$118,MATCH(TRUE,ISNUMBER(SEARCH(Kamus!$J$3:$J$118,$K812)),0)),"Individu / Perorangan"))</f>
        <v>Aparat/Instansi Penegak Hukum &amp; Vertikal</v>
      </c>
      <c r="X812" s="106" t="str">
        <f t="shared" si="37"/>
        <v>03</v>
      </c>
      <c r="Y812" s="106" t="str" cm="1">
        <f t="array" ref="Y812">IFERROR(INDEX(Kamus!$N$3:$N$111,MATCH(TRUE,ISNUMBER(SEARCH(Kamus!$M$3:$M$111,$I812)),0)),"")</f>
        <v/>
      </c>
      <c r="Z812" s="106" t="str">
        <f>IF(AND(OR($X812="02",$X812="03",$X812="04"),OR($T812="Parsel/Bingkisan (tidak dirinci)",$T812="Makanan &amp; Minuman",$T812="Peralatan Rumah Tangga / Pecah Belah",$T812="Pakaian &amp; Kain")),"Momen Hari Raya (dugaan musiman)",IFERROR(VLOOKUP($W812,Kamus!$P$3:$Q$14,2,FALSE),"Tidak Teridentifikasi"))</f>
        <v>Momen Hari Raya (dugaan musiman)</v>
      </c>
      <c r="AA812" s="106" t="str">
        <f t="shared" si="38"/>
        <v>Momen Hari Raya (dugaan musiman)</v>
      </c>
    </row>
    <row r="813" spans="1:27">
      <c r="A813" s="106">
        <v>812</v>
      </c>
      <c r="B813" s="106" t="s">
        <v>4874</v>
      </c>
      <c r="C813" s="107" t="s">
        <v>4875</v>
      </c>
      <c r="D813" s="106" t="s">
        <v>1843</v>
      </c>
      <c r="E813" s="106" t="s">
        <v>1005</v>
      </c>
      <c r="F813" s="106" t="s">
        <v>4931</v>
      </c>
      <c r="G813" s="106" t="s">
        <v>1074</v>
      </c>
      <c r="H813" s="106" t="s">
        <v>2525</v>
      </c>
      <c r="I813" s="106" t="s">
        <v>4932</v>
      </c>
      <c r="K813" s="106" t="s">
        <v>4933</v>
      </c>
      <c r="L813" s="106" t="s">
        <v>4934</v>
      </c>
      <c r="O813" s="106" t="s">
        <v>274</v>
      </c>
      <c r="S813" s="106" t="str" cm="1">
        <f t="array" ref="S813">IF(TRIM($D813)="","(tidak diisi)",IFERROR(INDEX(Kamus!$B$3:$B$28,MATCH(TRUE,ISNUMBER(SEARCH(Kamus!$A$3:$A$28,$D813)),0)),"Jabatan Lainnya"))</f>
        <v>Ketua Pengadilan</v>
      </c>
      <c r="T813" s="106" t="str" cm="1">
        <f t="array" ref="T813">IF(TRIM($I813)="","(tidak diisi)",IFERROR(INDEX(Kamus!$E$3:$E$162,MATCH(TRUE,ISNUMBER(SEARCH(Kamus!$D$3:$D$162,$I813)),0)),"Barang Lain / Tidak Terinci"))</f>
        <v>Peralatan Rumah Tangga / Pecah Belah</v>
      </c>
      <c r="U813" s="106" t="str" cm="1">
        <f t="array" ref="U813">IF(TRIM($I813)="","(tidak diisi)",IFERROR(INDEX(Kamus!$H$3:$H$75,MATCH(TRUE,ISNUMBER(SEARCH(Kamus!$G$3:$G$75,$I813)),0)),"Pemberian Umum / Tanpa Konteks"))</f>
        <v>Parsel/Bingkisan Umum (non-hari raya)</v>
      </c>
      <c r="V813" s="106" t="str">
        <f t="shared" si="36"/>
        <v>2026</v>
      </c>
      <c r="W813" s="106" t="str" cm="1">
        <f t="array" ref="W813">IF(TRIM($K813)="","(tidak diisi)",IFERROR(INDEX(Kamus!$K$3:$K$118,MATCH(TRUE,ISNUMBER(SEARCH(Kamus!$J$3:$J$118,$K813)),0)),"Individu / Perorangan"))</f>
        <v>Individu / Perorangan</v>
      </c>
      <c r="X813" s="106" t="str">
        <f t="shared" si="37"/>
        <v>03</v>
      </c>
      <c r="Y813" s="106" t="str" cm="1">
        <f t="array" ref="Y813">IFERROR(INDEX(Kamus!$N$3:$N$111,MATCH(TRUE,ISNUMBER(SEARCH(Kamus!$M$3:$M$111,$I813)),0)),"")</f>
        <v/>
      </c>
      <c r="Z813" s="106" t="str">
        <f>IF(AND(OR($X813="02",$X813="03",$X813="04"),OR($T813="Parsel/Bingkisan (tidak dirinci)",$T813="Makanan &amp; Minuman",$T813="Peralatan Rumah Tangga / Pecah Belah",$T813="Pakaian &amp; Kain")),"Momen Hari Raya (dugaan musiman)",IFERROR(VLOOKUP($W813,Kamus!$P$3:$Q$14,2,FALSE),"Tidak Teridentifikasi"))</f>
        <v>Momen Hari Raya (dugaan musiman)</v>
      </c>
      <c r="AA813" s="106" t="str">
        <f t="shared" si="38"/>
        <v>Momen Hari Raya (dugaan musiman)</v>
      </c>
    </row>
    <row r="814" spans="1:27">
      <c r="A814" s="106">
        <v>813</v>
      </c>
      <c r="B814" s="106" t="s">
        <v>4935</v>
      </c>
      <c r="C814" s="107" t="s">
        <v>4936</v>
      </c>
      <c r="D814" s="106" t="s">
        <v>4937</v>
      </c>
      <c r="E814" s="106" t="s">
        <v>1005</v>
      </c>
      <c r="F814" s="106" t="s">
        <v>4938</v>
      </c>
      <c r="G814" s="106" t="s">
        <v>1006</v>
      </c>
      <c r="H814" s="106" t="s">
        <v>2525</v>
      </c>
      <c r="I814" s="106" t="s">
        <v>4939</v>
      </c>
      <c r="J814" s="106">
        <v>600000</v>
      </c>
      <c r="K814" s="106" t="s">
        <v>4940</v>
      </c>
      <c r="L814" s="106" t="s">
        <v>4941</v>
      </c>
      <c r="M814" s="106" t="s">
        <v>1171</v>
      </c>
      <c r="N814" s="106" t="s">
        <v>4942</v>
      </c>
      <c r="O814" s="106" t="s">
        <v>274</v>
      </c>
      <c r="S814" s="106" t="str" cm="1">
        <f t="array" ref="S814">IF(TRIM($D814)="","(tidak diisi)",IFERROR(INDEX(Kamus!$B$3:$B$28,MATCH(TRUE,ISNUMBER(SEARCH(Kamus!$A$3:$A$28,$D814)),0)),"Jabatan Lainnya"))</f>
        <v>Ketua Pengadilan</v>
      </c>
      <c r="T814" s="106" t="str" cm="1">
        <f t="array" ref="T814">IF(TRIM($I814)="","(tidak diisi)",IFERROR(INDEX(Kamus!$E$3:$E$162,MATCH(TRUE,ISNUMBER(SEARCH(Kamus!$D$3:$D$162,$I814)),0)),"Barang Lain / Tidak Terinci"))</f>
        <v>Peralatan Rumah Tangga / Pecah Belah</v>
      </c>
      <c r="U814" s="106" t="str" cm="1">
        <f t="array" ref="U814">IF(TRIM($I814)="","(tidak diisi)",IFERROR(INDEX(Kamus!$H$3:$H$75,MATCH(TRUE,ISNUMBER(SEARCH(Kamus!$G$3:$G$75,$I814)),0)),"Pemberian Umum / Tanpa Konteks"))</f>
        <v>Bingkisan Hari Raya / Keagamaan</v>
      </c>
      <c r="V814" s="106" t="str">
        <f t="shared" si="36"/>
        <v>2026</v>
      </c>
      <c r="W814" s="106" t="str" cm="1">
        <f t="array" ref="W814">IF(TRIM($K814)="","(tidak diisi)",IFERROR(INDEX(Kamus!$K$3:$K$118,MATCH(TRUE,ISNUMBER(SEARCH(Kamus!$J$3:$J$118,$K814)),0)),"Individu / Perorangan"))</f>
        <v>Aparat/Instansi Penegak Hukum &amp; Vertikal</v>
      </c>
      <c r="X814" s="106" t="str">
        <f t="shared" si="37"/>
        <v>03</v>
      </c>
      <c r="Y814" s="106" t="str" cm="1">
        <f t="array" ref="Y814">IFERROR(INDEX(Kamus!$N$3:$N$111,MATCH(TRUE,ISNUMBER(SEARCH(Kamus!$M$3:$M$111,$I814)),0)),"")</f>
        <v>Momen Hari Raya (Ramadan/Idulfitri)</v>
      </c>
      <c r="Z814" s="106" t="str">
        <f>IF(AND(OR($X814="02",$X814="03",$X814="04"),OR($T814="Parsel/Bingkisan (tidak dirinci)",$T814="Makanan &amp; Minuman",$T814="Peralatan Rumah Tangga / Pecah Belah",$T814="Pakaian &amp; Kain")),"Momen Hari Raya (dugaan musiman)",IFERROR(VLOOKUP($W814,Kamus!$P$3:$Q$14,2,FALSE),"Tidak Teridentifikasi"))</f>
        <v>Momen Hari Raya (dugaan musiman)</v>
      </c>
      <c r="AA814" s="106" t="str">
        <f t="shared" si="38"/>
        <v>Momen Hari Raya (Ramadan/Idulfitri)</v>
      </c>
    </row>
    <row r="815" spans="1:27">
      <c r="A815" s="106">
        <v>814</v>
      </c>
      <c r="B815" s="106" t="s">
        <v>4943</v>
      </c>
      <c r="C815" s="107" t="s">
        <v>4944</v>
      </c>
      <c r="D815" s="106" t="s">
        <v>1160</v>
      </c>
      <c r="E815" s="106" t="s">
        <v>2150</v>
      </c>
      <c r="F815" s="106" t="s">
        <v>4945</v>
      </c>
      <c r="G815" s="106" t="s">
        <v>1006</v>
      </c>
      <c r="H815" s="106" t="s">
        <v>1456</v>
      </c>
      <c r="I815" s="106" t="s">
        <v>1017</v>
      </c>
      <c r="J815" s="106">
        <v>100000</v>
      </c>
      <c r="K815" s="106" t="s">
        <v>4946</v>
      </c>
      <c r="L815" s="106" t="s">
        <v>4947</v>
      </c>
      <c r="M815" s="106" t="s">
        <v>1171</v>
      </c>
      <c r="N815" s="106" t="s">
        <v>4948</v>
      </c>
      <c r="O815" s="106" t="s">
        <v>274</v>
      </c>
      <c r="P815" s="106" t="s">
        <v>604</v>
      </c>
      <c r="Q815" s="106" t="s">
        <v>429</v>
      </c>
      <c r="S815" s="106" t="str" cm="1">
        <f t="array" ref="S815">IF(TRIM($D815)="","(tidak diisi)",IFERROR(INDEX(Kamus!$B$3:$B$28,MATCH(TRUE,ISNUMBER(SEARCH(Kamus!$A$3:$A$28,$D815)),0)),"Jabatan Lainnya"))</f>
        <v>Panitera</v>
      </c>
      <c r="T815" s="106" t="str" cm="1">
        <f t="array" ref="T815">IF(TRIM($I815)="","(tidak diisi)",IFERROR(INDEX(Kamus!$E$3:$E$162,MATCH(TRUE,ISNUMBER(SEARCH(Kamus!$D$3:$D$162,$I815)),0)),"Barang Lain / Tidak Terinci"))</f>
        <v>Uang &amp; Setara Uang</v>
      </c>
      <c r="U815" s="106" t="str" cm="1">
        <f t="array" ref="U815">IF(TRIM($I815)="","(tidak diisi)",IFERROR(INDEX(Kamus!$H$3:$H$75,MATCH(TRUE,ISNUMBER(SEARCH(Kamus!$G$3:$G$75,$I815)),0)),"Pemberian Umum / Tanpa Konteks"))</f>
        <v>Pemberian Uang Langsung</v>
      </c>
      <c r="V815" s="106" t="str">
        <f t="shared" si="36"/>
        <v>2025</v>
      </c>
      <c r="W815" s="106" t="str" cm="1">
        <f t="array" ref="W815">IF(TRIM($K815)="","(tidak diisi)",IFERROR(INDEX(Kamus!$K$3:$K$118,MATCH(TRUE,ISNUMBER(SEARCH(Kamus!$J$3:$J$118,$K815)),0)),"Individu / Perorangan"))</f>
        <v>Kampus &amp; Sekolah</v>
      </c>
      <c r="X815" s="106" t="str">
        <f t="shared" si="37"/>
        <v>02</v>
      </c>
      <c r="Y815" s="106" t="str" cm="1">
        <f t="array" ref="Y815">IFERROR(INDEX(Kamus!$N$3:$N$111,MATCH(TRUE,ISNUMBER(SEARCH(Kamus!$M$3:$M$111,$I815)),0)),"")</f>
        <v/>
      </c>
      <c r="Z815" s="106" t="str">
        <f>IF(AND(OR($X815="02",$X815="03",$X815="04"),OR($T815="Parsel/Bingkisan (tidak dirinci)",$T815="Makanan &amp; Minuman",$T815="Peralatan Rumah Tangga / Pecah Belah",$T815="Pakaian &amp; Kain")),"Momen Hari Raya (dugaan musiman)",IFERROR(VLOOKUP($W815,Kamus!$P$3:$Q$14,2,FALSE),"Tidak Teridentifikasi"))</f>
        <v>Kerja Sama Pendidikan/PKL (dugaan)</v>
      </c>
      <c r="AA815" s="106" t="str">
        <f t="shared" si="38"/>
        <v>Kerja Sama Pendidikan/PKL (dugaan)</v>
      </c>
    </row>
    <row r="816" spans="1:27">
      <c r="A816" s="106">
        <v>815</v>
      </c>
      <c r="B816" s="106" t="s">
        <v>4874</v>
      </c>
      <c r="C816" s="107" t="s">
        <v>4875</v>
      </c>
      <c r="D816" s="106" t="s">
        <v>1843</v>
      </c>
      <c r="E816" s="106" t="s">
        <v>1005</v>
      </c>
      <c r="F816" s="106" t="s">
        <v>4949</v>
      </c>
      <c r="G816" s="106" t="s">
        <v>1074</v>
      </c>
      <c r="H816" s="106" t="s">
        <v>2525</v>
      </c>
      <c r="I816" s="106" t="s">
        <v>4950</v>
      </c>
      <c r="K816" s="106" t="s">
        <v>4951</v>
      </c>
      <c r="L816" s="106" t="s">
        <v>4952</v>
      </c>
      <c r="O816" s="106" t="s">
        <v>274</v>
      </c>
      <c r="S816" s="106" t="str" cm="1">
        <f t="array" ref="S816">IF(TRIM($D816)="","(tidak diisi)",IFERROR(INDEX(Kamus!$B$3:$B$28,MATCH(TRUE,ISNUMBER(SEARCH(Kamus!$A$3:$A$28,$D816)),0)),"Jabatan Lainnya"))</f>
        <v>Ketua Pengadilan</v>
      </c>
      <c r="T816" s="106" t="str" cm="1">
        <f t="array" ref="T816">IF(TRIM($I816)="","(tidak diisi)",IFERROR(INDEX(Kamus!$E$3:$E$162,MATCH(TRUE,ISNUMBER(SEARCH(Kamus!$D$3:$D$162,$I816)),0)),"Barang Lain / Tidak Terinci"))</f>
        <v>Makanan &amp; Minuman</v>
      </c>
      <c r="U816" s="106" t="str" cm="1">
        <f t="array" ref="U816">IF(TRIM($I816)="","(tidak diisi)",IFERROR(INDEX(Kamus!$H$3:$H$75,MATCH(TRUE,ISNUMBER(SEARCH(Kamus!$G$3:$G$75,$I816)),0)),"Pemberian Umum / Tanpa Konteks"))</f>
        <v>Parsel/Bingkisan Umum (non-hari raya)</v>
      </c>
      <c r="V816" s="106" t="str">
        <f t="shared" si="36"/>
        <v>2026</v>
      </c>
      <c r="W816" s="106" t="str" cm="1">
        <f t="array" ref="W816">IF(TRIM($K816)="","(tidak diisi)",IFERROR(INDEX(Kamus!$K$3:$K$118,MATCH(TRUE,ISNUMBER(SEARCH(Kamus!$J$3:$J$118,$K816)),0)),"Individu / Perorangan"))</f>
        <v>Individu / Perorangan</v>
      </c>
      <c r="X816" s="106" t="str">
        <f t="shared" si="37"/>
        <v>03</v>
      </c>
      <c r="Y816" s="106" t="str" cm="1">
        <f t="array" ref="Y816">IFERROR(INDEX(Kamus!$N$3:$N$111,MATCH(TRUE,ISNUMBER(SEARCH(Kamus!$M$3:$M$111,$I816)),0)),"")</f>
        <v/>
      </c>
      <c r="Z816" s="106" t="str">
        <f>IF(AND(OR($X816="02",$X816="03",$X816="04"),OR($T816="Parsel/Bingkisan (tidak dirinci)",$T816="Makanan &amp; Minuman",$T816="Peralatan Rumah Tangga / Pecah Belah",$T816="Pakaian &amp; Kain")),"Momen Hari Raya (dugaan musiman)",IFERROR(VLOOKUP($W816,Kamus!$P$3:$Q$14,2,FALSE),"Tidak Teridentifikasi"))</f>
        <v>Momen Hari Raya (dugaan musiman)</v>
      </c>
      <c r="AA816" s="106" t="str">
        <f t="shared" si="38"/>
        <v>Momen Hari Raya (dugaan musiman)</v>
      </c>
    </row>
    <row r="817" spans="1:27">
      <c r="A817" s="106">
        <v>816</v>
      </c>
      <c r="B817" s="106" t="s">
        <v>3727</v>
      </c>
      <c r="C817" s="107" t="s">
        <v>3728</v>
      </c>
      <c r="D817" s="106" t="s">
        <v>1042</v>
      </c>
      <c r="E817" s="106" t="s">
        <v>2150</v>
      </c>
      <c r="F817" s="106" t="s">
        <v>4953</v>
      </c>
      <c r="G817" s="106" t="s">
        <v>1006</v>
      </c>
      <c r="H817" s="106" t="s">
        <v>2525</v>
      </c>
      <c r="I817" s="106" t="s">
        <v>2009</v>
      </c>
      <c r="K817" s="106" t="s">
        <v>2435</v>
      </c>
      <c r="L817" s="106" t="s">
        <v>4954</v>
      </c>
      <c r="O817" s="106" t="s">
        <v>274</v>
      </c>
      <c r="P817" s="106" t="s">
        <v>604</v>
      </c>
      <c r="Q817" s="106" t="s">
        <v>429</v>
      </c>
      <c r="S817" s="106" t="str" cm="1">
        <f t="array" ref="S817">IF(TRIM($D817)="","(tidak diisi)",IFERROR(INDEX(Kamus!$B$3:$B$28,MATCH(TRUE,ISNUMBER(SEARCH(Kamus!$A$3:$A$28,$D817)),0)),"Jabatan Lainnya"))</f>
        <v>Ketua Pengadilan</v>
      </c>
      <c r="T817" s="106" t="str" cm="1">
        <f t="array" ref="T817">IF(TRIM($I817)="","(tidak diisi)",IFERROR(INDEX(Kamus!$E$3:$E$162,MATCH(TRUE,ISNUMBER(SEARCH(Kamus!$D$3:$D$162,$I817)),0)),"Barang Lain / Tidak Terinci"))</f>
        <v>Makanan &amp; Minuman</v>
      </c>
      <c r="U817" s="106" t="str" cm="1">
        <f t="array" ref="U817">IF(TRIM($I817)="","(tidak diisi)",IFERROR(INDEX(Kamus!$H$3:$H$75,MATCH(TRUE,ISNUMBER(SEARCH(Kamus!$G$3:$G$75,$I817)),0)),"Pemberian Umum / Tanpa Konteks"))</f>
        <v>Bingkisan Hari Raya / Keagamaan</v>
      </c>
      <c r="V817" s="106" t="str">
        <f t="shared" si="36"/>
        <v>2026</v>
      </c>
      <c r="W817" s="106" t="str" cm="1">
        <f t="array" ref="W817">IF(TRIM($K817)="","(tidak diisi)",IFERROR(INDEX(Kamus!$K$3:$K$118,MATCH(TRUE,ISNUMBER(SEARCH(Kamus!$J$3:$J$118,$K817)),0)),"Individu / Perorangan"))</f>
        <v>Individu / Perorangan</v>
      </c>
      <c r="X817" s="106" t="str">
        <f t="shared" si="37"/>
        <v>03</v>
      </c>
      <c r="Y817" s="106" t="str" cm="1">
        <f t="array" ref="Y817">IFERROR(INDEX(Kamus!$N$3:$N$111,MATCH(TRUE,ISNUMBER(SEARCH(Kamus!$M$3:$M$111,$I817)),0)),"")</f>
        <v>Momen Hari Raya (Ramadan/Idulfitri)</v>
      </c>
      <c r="Z817" s="106" t="str">
        <f>IF(AND(OR($X817="02",$X817="03",$X817="04"),OR($T817="Parsel/Bingkisan (tidak dirinci)",$T817="Makanan &amp; Minuman",$T817="Peralatan Rumah Tangga / Pecah Belah",$T817="Pakaian &amp; Kain")),"Momen Hari Raya (dugaan musiman)",IFERROR(VLOOKUP($W817,Kamus!$P$3:$Q$14,2,FALSE),"Tidak Teridentifikasi"))</f>
        <v>Momen Hari Raya (dugaan musiman)</v>
      </c>
      <c r="AA817" s="106" t="str">
        <f t="shared" si="38"/>
        <v>Momen Hari Raya (Ramadan/Idulfitri)</v>
      </c>
    </row>
    <row r="818" spans="1:27">
      <c r="A818" s="106">
        <v>817</v>
      </c>
      <c r="B818" s="106" t="s">
        <v>1532</v>
      </c>
      <c r="C818" s="107" t="s">
        <v>1533</v>
      </c>
      <c r="D818" s="106" t="s">
        <v>1534</v>
      </c>
      <c r="E818" s="106" t="s">
        <v>1166</v>
      </c>
      <c r="F818" s="106" t="s">
        <v>4955</v>
      </c>
      <c r="G818" s="106" t="s">
        <v>1006</v>
      </c>
      <c r="H818" s="106" t="s">
        <v>2525</v>
      </c>
      <c r="I818" s="106" t="s">
        <v>4956</v>
      </c>
      <c r="J818" s="106">
        <v>300000</v>
      </c>
      <c r="K818" s="106" t="s">
        <v>4957</v>
      </c>
      <c r="L818" s="106" t="s">
        <v>4958</v>
      </c>
      <c r="M818" s="106" t="s">
        <v>1171</v>
      </c>
      <c r="N818" s="106" t="s">
        <v>4959</v>
      </c>
      <c r="O818" s="106" t="s">
        <v>274</v>
      </c>
      <c r="P818" s="106" t="s">
        <v>1173</v>
      </c>
      <c r="Q818" s="106" t="s">
        <v>431</v>
      </c>
      <c r="S818" s="106" t="str" cm="1">
        <f t="array" ref="S818">IF(TRIM($D818)="","(tidak diisi)",IFERROR(INDEX(Kamus!$B$3:$B$28,MATCH(TRUE,ISNUMBER(SEARCH(Kamus!$A$3:$A$28,$D818)),0)),"Jabatan Lainnya"))</f>
        <v>Ketua Pengadilan</v>
      </c>
      <c r="T818" s="106" t="str" cm="1">
        <f t="array" ref="T818">IF(TRIM($I818)="","(tidak diisi)",IFERROR(INDEX(Kamus!$E$3:$E$162,MATCH(TRUE,ISNUMBER(SEARCH(Kamus!$D$3:$D$162,$I818)),0)),"Barang Lain / Tidak Terinci"))</f>
        <v>Peralatan Rumah Tangga / Pecah Belah</v>
      </c>
      <c r="U818" s="106" t="str" cm="1">
        <f t="array" ref="U818">IF(TRIM($I818)="","(tidak diisi)",IFERROR(INDEX(Kamus!$H$3:$H$75,MATCH(TRUE,ISNUMBER(SEARCH(Kamus!$G$3:$G$75,$I818)),0)),"Pemberian Umum / Tanpa Konteks"))</f>
        <v>Parsel/Bingkisan Umum (non-hari raya)</v>
      </c>
      <c r="V818" s="106" t="str">
        <f t="shared" si="36"/>
        <v>2026</v>
      </c>
      <c r="W818" s="106" t="str" cm="1">
        <f t="array" ref="W818">IF(TRIM($K818)="","(tidak diisi)",IFERROR(INDEX(Kamus!$K$3:$K$118,MATCH(TRUE,ISNUMBER(SEARCH(Kamus!$J$3:$J$118,$K818)),0)),"Individu / Perorangan"))</f>
        <v>Pemerintah Daerah</v>
      </c>
      <c r="X818" s="106" t="str">
        <f t="shared" si="37"/>
        <v>03</v>
      </c>
      <c r="Y818" s="106" t="str" cm="1">
        <f t="array" ref="Y818">IFERROR(INDEX(Kamus!$N$3:$N$111,MATCH(TRUE,ISNUMBER(SEARCH(Kamus!$M$3:$M$111,$I818)),0)),"")</f>
        <v/>
      </c>
      <c r="Z818" s="106" t="str">
        <f>IF(AND(OR($X818="02",$X818="03",$X818="04"),OR($T818="Parsel/Bingkisan (tidak dirinci)",$T818="Makanan &amp; Minuman",$T818="Peralatan Rumah Tangga / Pecah Belah",$T818="Pakaian &amp; Kain")),"Momen Hari Raya (dugaan musiman)",IFERROR(VLOOKUP($W818,Kamus!$P$3:$Q$14,2,FALSE),"Tidak Teridentifikasi"))</f>
        <v>Momen Hari Raya (dugaan musiman)</v>
      </c>
      <c r="AA818" s="106" t="str">
        <f t="shared" si="38"/>
        <v>Momen Hari Raya (dugaan musiman)</v>
      </c>
    </row>
    <row r="819" spans="1:27">
      <c r="A819" s="106">
        <v>818</v>
      </c>
      <c r="B819" s="106" t="s">
        <v>3478</v>
      </c>
      <c r="C819" s="107" t="s">
        <v>3479</v>
      </c>
      <c r="D819" s="106" t="s">
        <v>1843</v>
      </c>
      <c r="E819" s="106" t="s">
        <v>1005</v>
      </c>
      <c r="F819" s="106" t="s">
        <v>4960</v>
      </c>
      <c r="G819" s="106" t="s">
        <v>1074</v>
      </c>
      <c r="H819" s="106" t="s">
        <v>4855</v>
      </c>
      <c r="I819" s="106" t="s">
        <v>2459</v>
      </c>
      <c r="K819" s="106" t="s">
        <v>4961</v>
      </c>
      <c r="L819" s="106" t="s">
        <v>4962</v>
      </c>
      <c r="O819" s="106" t="s">
        <v>274</v>
      </c>
      <c r="S819" s="106" t="str" cm="1">
        <f t="array" ref="S819">IF(TRIM($D819)="","(tidak diisi)",IFERROR(INDEX(Kamus!$B$3:$B$28,MATCH(TRUE,ISNUMBER(SEARCH(Kamus!$A$3:$A$28,$D819)),0)),"Jabatan Lainnya"))</f>
        <v>Ketua Pengadilan</v>
      </c>
      <c r="T819" s="106" t="str" cm="1">
        <f t="array" ref="T819">IF(TRIM($I819)="","(tidak diisi)",IFERROR(INDEX(Kamus!$E$3:$E$162,MATCH(TRUE,ISNUMBER(SEARCH(Kamus!$D$3:$D$162,$I819)),0)),"Barang Lain / Tidak Terinci"))</f>
        <v>Makanan &amp; Minuman</v>
      </c>
      <c r="U819" s="106" t="str" cm="1">
        <f t="array" ref="U819">IF(TRIM($I819)="","(tidak diisi)",IFERROR(INDEX(Kamus!$H$3:$H$75,MATCH(TRUE,ISNUMBER(SEARCH(Kamus!$G$3:$G$75,$I819)),0)),"Pemberian Umum / Tanpa Konteks"))</f>
        <v>Parsel/Bingkisan Umum (non-hari raya)</v>
      </c>
      <c r="V819" s="106" t="str">
        <f t="shared" si="36"/>
        <v>2026</v>
      </c>
      <c r="W819" s="106" t="str" cm="1">
        <f t="array" ref="W819">IF(TRIM($K819)="","(tidak diisi)",IFERROR(INDEX(Kamus!$K$3:$K$118,MATCH(TRUE,ISNUMBER(SEARCH(Kamus!$J$3:$J$118,$K819)),0)),"Individu / Perorangan"))</f>
        <v>Bank &amp; Lembaga Keuangan</v>
      </c>
      <c r="X819" s="106" t="str">
        <f t="shared" si="37"/>
        <v>03</v>
      </c>
      <c r="Y819" s="106" t="str" cm="1">
        <f t="array" ref="Y819">IFERROR(INDEX(Kamus!$N$3:$N$111,MATCH(TRUE,ISNUMBER(SEARCH(Kamus!$M$3:$M$111,$I819)),0)),"")</f>
        <v/>
      </c>
      <c r="Z819" s="106" t="str">
        <f>IF(AND(OR($X819="02",$X819="03",$X819="04"),OR($T819="Parsel/Bingkisan (tidak dirinci)",$T819="Makanan &amp; Minuman",$T819="Peralatan Rumah Tangga / Pecah Belah",$T819="Pakaian &amp; Kain")),"Momen Hari Raya (dugaan musiman)",IFERROR(VLOOKUP($W819,Kamus!$P$3:$Q$14,2,FALSE),"Tidak Teridentifikasi"))</f>
        <v>Momen Hari Raya (dugaan musiman)</v>
      </c>
      <c r="AA819" s="106" t="str">
        <f t="shared" si="38"/>
        <v>Momen Hari Raya (dugaan musiman)</v>
      </c>
    </row>
    <row r="820" spans="1:27">
      <c r="A820" s="106">
        <v>819</v>
      </c>
      <c r="B820" s="106" t="s">
        <v>4963</v>
      </c>
      <c r="C820" s="107" t="s">
        <v>4964</v>
      </c>
      <c r="D820" s="106" t="s">
        <v>1033</v>
      </c>
      <c r="E820" s="106" t="s">
        <v>3189</v>
      </c>
      <c r="F820" s="106" t="s">
        <v>4965</v>
      </c>
      <c r="G820" s="106" t="s">
        <v>1006</v>
      </c>
      <c r="H820" s="106" t="s">
        <v>2525</v>
      </c>
      <c r="I820" s="106" t="s">
        <v>4966</v>
      </c>
      <c r="J820" s="106">
        <v>170000</v>
      </c>
      <c r="K820" s="106" t="s">
        <v>4967</v>
      </c>
      <c r="L820" s="106" t="s">
        <v>4968</v>
      </c>
      <c r="M820" s="106" t="s">
        <v>2529</v>
      </c>
      <c r="O820" s="106" t="s">
        <v>274</v>
      </c>
      <c r="P820" s="106" t="s">
        <v>3195</v>
      </c>
      <c r="Q820" s="106" t="s">
        <v>399</v>
      </c>
      <c r="S820" s="106" t="str" cm="1">
        <f t="array" ref="S820">IF(TRIM($D820)="","(tidak diisi)",IFERROR(INDEX(Kamus!$B$3:$B$28,MATCH(TRUE,ISNUMBER(SEARCH(Kamus!$A$3:$A$28,$D820)),0)),"Jabatan Lainnya"))</f>
        <v>Hakim</v>
      </c>
      <c r="T820" s="106" t="str" cm="1">
        <f t="array" ref="T820">IF(TRIM($I820)="","(tidak diisi)",IFERROR(INDEX(Kamus!$E$3:$E$162,MATCH(TRUE,ISNUMBER(SEARCH(Kamus!$D$3:$D$162,$I820)),0)),"Barang Lain / Tidak Terinci"))</f>
        <v>Makanan &amp; Minuman</v>
      </c>
      <c r="U820" s="106" t="str" cm="1">
        <f t="array" ref="U820">IF(TRIM($I820)="","(tidak diisi)",IFERROR(INDEX(Kamus!$H$3:$H$75,MATCH(TRUE,ISNUMBER(SEARCH(Kamus!$G$3:$G$75,$I820)),0)),"Pemberian Umum / Tanpa Konteks"))</f>
        <v>Parsel/Bingkisan Umum (non-hari raya)</v>
      </c>
      <c r="V820" s="106" t="str">
        <f t="shared" si="36"/>
        <v>2026</v>
      </c>
      <c r="W820" s="106" t="str" cm="1">
        <f t="array" ref="W820">IF(TRIM($K820)="","(tidak diisi)",IFERROR(INDEX(Kamus!$K$3:$K$118,MATCH(TRUE,ISNUMBER(SEARCH(Kamus!$J$3:$J$118,$K820)),0)),"Individu / Perorangan"))</f>
        <v>Individu / Perorangan</v>
      </c>
      <c r="X820" s="106" t="str">
        <f t="shared" si="37"/>
        <v>03</v>
      </c>
      <c r="Y820" s="106" t="str" cm="1">
        <f t="array" ref="Y820">IFERROR(INDEX(Kamus!$N$3:$N$111,MATCH(TRUE,ISNUMBER(SEARCH(Kamus!$M$3:$M$111,$I820)),0)),"")</f>
        <v/>
      </c>
      <c r="Z820" s="106" t="str">
        <f>IF(AND(OR($X820="02",$X820="03",$X820="04"),OR($T820="Parsel/Bingkisan (tidak dirinci)",$T820="Makanan &amp; Minuman",$T820="Peralatan Rumah Tangga / Pecah Belah",$T820="Pakaian &amp; Kain")),"Momen Hari Raya (dugaan musiman)",IFERROR(VLOOKUP($W820,Kamus!$P$3:$Q$14,2,FALSE),"Tidak Teridentifikasi"))</f>
        <v>Momen Hari Raya (dugaan musiman)</v>
      </c>
      <c r="AA820" s="106" t="str">
        <f t="shared" si="38"/>
        <v>Momen Hari Raya (dugaan musiman)</v>
      </c>
    </row>
    <row r="821" spans="1:27">
      <c r="A821" s="106">
        <v>820</v>
      </c>
      <c r="B821" s="106" t="s">
        <v>1088</v>
      </c>
      <c r="C821" s="107" t="s">
        <v>1089</v>
      </c>
      <c r="D821" s="106" t="s">
        <v>1033</v>
      </c>
      <c r="E821" s="106" t="s">
        <v>1090</v>
      </c>
      <c r="F821" s="106" t="s">
        <v>4969</v>
      </c>
      <c r="G821" s="106" t="s">
        <v>1006</v>
      </c>
      <c r="H821" s="106" t="s">
        <v>4970</v>
      </c>
      <c r="I821" s="106" t="s">
        <v>4971</v>
      </c>
      <c r="K821" s="106" t="s">
        <v>4972</v>
      </c>
      <c r="L821" s="106" t="s">
        <v>4973</v>
      </c>
      <c r="O821" s="106" t="s">
        <v>274</v>
      </c>
      <c r="P821" s="106" t="s">
        <v>1095</v>
      </c>
      <c r="Q821" s="106" t="s">
        <v>348</v>
      </c>
      <c r="S821" s="106" t="str" cm="1">
        <f t="array" ref="S821">IF(TRIM($D821)="","(tidak diisi)",IFERROR(INDEX(Kamus!$B$3:$B$28,MATCH(TRUE,ISNUMBER(SEARCH(Kamus!$A$3:$A$28,$D821)),0)),"Jabatan Lainnya"))</f>
        <v>Hakim</v>
      </c>
      <c r="T821" s="106" t="str" cm="1">
        <f t="array" ref="T821">IF(TRIM($I821)="","(tidak diisi)",IFERROR(INDEX(Kamus!$E$3:$E$162,MATCH(TRUE,ISNUMBER(SEARCH(Kamus!$D$3:$D$162,$I821)),0)),"Barang Lain / Tidak Terinci"))</f>
        <v>Suvenir &amp; Merchandise</v>
      </c>
      <c r="U821" s="106" t="str" cm="1">
        <f t="array" ref="U821">IF(TRIM($I821)="","(tidak diisi)",IFERROR(INDEX(Kamus!$H$3:$H$75,MATCH(TRUE,ISNUMBER(SEARCH(Kamus!$G$3:$G$75,$I821)),0)),"Pemberian Umum / Tanpa Konteks"))</f>
        <v>Suvenir / Merchandise Kegiatan &amp; Kunjungan</v>
      </c>
      <c r="V821" s="106" t="str">
        <f t="shared" si="36"/>
        <v>2026</v>
      </c>
      <c r="W821" s="106" t="str" cm="1">
        <f t="array" ref="W821">IF(TRIM($K821)="","(tidak diisi)",IFERROR(INDEX(Kamus!$K$3:$K$118,MATCH(TRUE,ISNUMBER(SEARCH(Kamus!$J$3:$J$118,$K821)),0)),"Individu / Perorangan"))</f>
        <v>Individu / Perorangan</v>
      </c>
      <c r="X821" s="106" t="str">
        <f t="shared" si="37"/>
        <v>03</v>
      </c>
      <c r="Y821" s="106" t="str" cm="1">
        <f t="array" ref="Y821">IFERROR(INDEX(Kamus!$N$3:$N$111,MATCH(TRUE,ISNUMBER(SEARCH(Kamus!$M$3:$M$111,$I821)),0)),"")</f>
        <v/>
      </c>
      <c r="Z821" s="106" t="str">
        <f>IF(AND(OR($X821="02",$X821="03",$X821="04"),OR($T821="Parsel/Bingkisan (tidak dirinci)",$T821="Makanan &amp; Minuman",$T821="Peralatan Rumah Tangga / Pecah Belah",$T821="Pakaian &amp; Kain")),"Momen Hari Raya (dugaan musiman)",IFERROR(VLOOKUP($W821,Kamus!$P$3:$Q$14,2,FALSE),"Tidak Teridentifikasi"))</f>
        <v>Relasi Personal / Tidak Teridentifikasi</v>
      </c>
      <c r="AA821" s="106" t="str">
        <f t="shared" si="38"/>
        <v>Relasi Personal / Tidak Teridentifikasi</v>
      </c>
    </row>
    <row r="822" spans="1:27">
      <c r="A822" s="106">
        <v>821</v>
      </c>
      <c r="B822" s="106" t="s">
        <v>2005</v>
      </c>
      <c r="C822" s="107" t="s">
        <v>2006</v>
      </c>
      <c r="D822" s="106" t="s">
        <v>1843</v>
      </c>
      <c r="E822" s="106" t="s">
        <v>2007</v>
      </c>
      <c r="F822" s="106" t="s">
        <v>4974</v>
      </c>
      <c r="G822" s="106" t="s">
        <v>1074</v>
      </c>
      <c r="H822" s="106" t="s">
        <v>4970</v>
      </c>
      <c r="I822" s="106" t="s">
        <v>1017</v>
      </c>
      <c r="J822" s="106">
        <v>30000000</v>
      </c>
      <c r="K822" s="106" t="s">
        <v>4975</v>
      </c>
      <c r="L822" s="106" t="s">
        <v>4976</v>
      </c>
      <c r="M822" s="106" t="s">
        <v>2247</v>
      </c>
      <c r="O822" s="106" t="s">
        <v>274</v>
      </c>
      <c r="P822" s="106" t="s">
        <v>2012</v>
      </c>
      <c r="Q822" s="106" t="s">
        <v>402</v>
      </c>
      <c r="S822" s="106" t="str" cm="1">
        <f t="array" ref="S822">IF(TRIM($D822)="","(tidak diisi)",IFERROR(INDEX(Kamus!$B$3:$B$28,MATCH(TRUE,ISNUMBER(SEARCH(Kamus!$A$3:$A$28,$D822)),0)),"Jabatan Lainnya"))</f>
        <v>Ketua Pengadilan</v>
      </c>
      <c r="T822" s="106" t="str" cm="1">
        <f t="array" ref="T822">IF(TRIM($I822)="","(tidak diisi)",IFERROR(INDEX(Kamus!$E$3:$E$162,MATCH(TRUE,ISNUMBER(SEARCH(Kamus!$D$3:$D$162,$I822)),0)),"Barang Lain / Tidak Terinci"))</f>
        <v>Uang &amp; Setara Uang</v>
      </c>
      <c r="U822" s="106" t="str" cm="1">
        <f t="array" ref="U822">IF(TRIM($I822)="","(tidak diisi)",IFERROR(INDEX(Kamus!$H$3:$H$75,MATCH(TRUE,ISNUMBER(SEARCH(Kamus!$G$3:$G$75,$I822)),0)),"Pemberian Umum / Tanpa Konteks"))</f>
        <v>Pemberian Uang Langsung</v>
      </c>
      <c r="V822" s="106" t="str">
        <f t="shared" si="36"/>
        <v>2026</v>
      </c>
      <c r="W822" s="106" t="str" cm="1">
        <f t="array" ref="W822">IF(TRIM($K822)="","(tidak diisi)",IFERROR(INDEX(Kamus!$K$3:$K$118,MATCH(TRUE,ISNUMBER(SEARCH(Kamus!$J$3:$J$118,$K822)),0)),"Individu / Perorangan"))</f>
        <v>Pemerintah Daerah</v>
      </c>
      <c r="X822" s="106" t="str">
        <f t="shared" si="37"/>
        <v>03</v>
      </c>
      <c r="Y822" s="106" t="str" cm="1">
        <f t="array" ref="Y822">IFERROR(INDEX(Kamus!$N$3:$N$111,MATCH(TRUE,ISNUMBER(SEARCH(Kamus!$M$3:$M$111,$I822)),0)),"")</f>
        <v/>
      </c>
      <c r="Z822" s="106" t="str">
        <f>IF(AND(OR($X822="02",$X822="03",$X822="04"),OR($T822="Parsel/Bingkisan (tidak dirinci)",$T822="Makanan &amp; Minuman",$T822="Peralatan Rumah Tangga / Pecah Belah",$T822="Pakaian &amp; Kain")),"Momen Hari Raya (dugaan musiman)",IFERROR(VLOOKUP($W822,Kamus!$P$3:$Q$14,2,FALSE),"Tidak Teridentifikasi"))</f>
        <v>Koordinasi Antarinstansi (dugaan)</v>
      </c>
      <c r="AA822" s="106" t="str">
        <f t="shared" si="38"/>
        <v>Koordinasi Antarinstansi (dugaan)</v>
      </c>
    </row>
    <row r="823" spans="1:27">
      <c r="A823" s="106">
        <v>822</v>
      </c>
      <c r="B823" s="106" t="s">
        <v>4977</v>
      </c>
      <c r="C823" s="107" t="s">
        <v>4978</v>
      </c>
      <c r="D823" s="106" t="s">
        <v>4979</v>
      </c>
      <c r="E823" s="106" t="s">
        <v>4872</v>
      </c>
      <c r="F823" s="106" t="s">
        <v>4980</v>
      </c>
      <c r="G823" s="106" t="s">
        <v>1006</v>
      </c>
      <c r="H823" s="106" t="s">
        <v>4855</v>
      </c>
      <c r="I823" s="106" t="s">
        <v>4981</v>
      </c>
      <c r="J823" s="106">
        <v>100000</v>
      </c>
      <c r="K823" s="106" t="s">
        <v>4982</v>
      </c>
      <c r="L823" s="106" t="s">
        <v>4983</v>
      </c>
      <c r="M823" s="106" t="s">
        <v>2529</v>
      </c>
      <c r="O823" s="106" t="s">
        <v>274</v>
      </c>
      <c r="P823" s="106" t="s">
        <v>4873</v>
      </c>
      <c r="Q823" s="106" t="s">
        <v>420</v>
      </c>
      <c r="S823" s="106" t="str" cm="1">
        <f t="array" ref="S823">IF(TRIM($D823)="","(tidak diisi)",IFERROR(INDEX(Kamus!$B$3:$B$28,MATCH(TRUE,ISNUMBER(SEARCH(Kamus!$A$3:$A$28,$D823)),0)),"Jabatan Lainnya"))</f>
        <v>Ketua Pengadilan</v>
      </c>
      <c r="T823" s="106" t="str" cm="1">
        <f t="array" ref="T823">IF(TRIM($I823)="","(tidak diisi)",IFERROR(INDEX(Kamus!$E$3:$E$162,MATCH(TRUE,ISNUMBER(SEARCH(Kamus!$D$3:$D$162,$I823)),0)),"Barang Lain / Tidak Terinci"))</f>
        <v>Peralatan Rumah Tangga / Pecah Belah</v>
      </c>
      <c r="U823" s="106" t="str" cm="1">
        <f t="array" ref="U823">IF(TRIM($I823)="","(tidak diisi)",IFERROR(INDEX(Kamus!$H$3:$H$75,MATCH(TRUE,ISNUMBER(SEARCH(Kamus!$G$3:$G$75,$I823)),0)),"Pemberian Umum / Tanpa Konteks"))</f>
        <v>Parsel/Bingkisan Umum (non-hari raya)</v>
      </c>
      <c r="V823" s="106" t="str">
        <f t="shared" si="36"/>
        <v>2026</v>
      </c>
      <c r="W823" s="106" t="str" cm="1">
        <f t="array" ref="W823">IF(TRIM($K823)="","(tidak diisi)",IFERROR(INDEX(Kamus!$K$3:$K$118,MATCH(TRUE,ISNUMBER(SEARCH(Kamus!$J$3:$J$118,$K823)),0)),"Individu / Perorangan"))</f>
        <v>Bank &amp; Lembaga Keuangan</v>
      </c>
      <c r="X823" s="106" t="str">
        <f t="shared" si="37"/>
        <v>03</v>
      </c>
      <c r="Y823" s="106" t="str" cm="1">
        <f t="array" ref="Y823">IFERROR(INDEX(Kamus!$N$3:$N$111,MATCH(TRUE,ISNUMBER(SEARCH(Kamus!$M$3:$M$111,$I823)),0)),"")</f>
        <v/>
      </c>
      <c r="Z823" s="106" t="str">
        <f>IF(AND(OR($X823="02",$X823="03",$X823="04"),OR($T823="Parsel/Bingkisan (tidak dirinci)",$T823="Makanan &amp; Minuman",$T823="Peralatan Rumah Tangga / Pecah Belah",$T823="Pakaian &amp; Kain")),"Momen Hari Raya (dugaan musiman)",IFERROR(VLOOKUP($W823,Kamus!$P$3:$Q$14,2,FALSE),"Tidak Teridentifikasi"))</f>
        <v>Momen Hari Raya (dugaan musiman)</v>
      </c>
      <c r="AA823" s="106" t="str">
        <f t="shared" si="38"/>
        <v>Momen Hari Raya (dugaan musiman)</v>
      </c>
    </row>
    <row r="824" spans="1:27">
      <c r="A824" s="106">
        <v>823</v>
      </c>
      <c r="B824" s="106" t="s">
        <v>4977</v>
      </c>
      <c r="C824" s="107" t="s">
        <v>4978</v>
      </c>
      <c r="D824" s="106" t="s">
        <v>4979</v>
      </c>
      <c r="E824" s="106" t="s">
        <v>4872</v>
      </c>
      <c r="F824" s="106" t="s">
        <v>4980</v>
      </c>
      <c r="G824" s="106" t="s">
        <v>1006</v>
      </c>
      <c r="H824" s="106" t="s">
        <v>4855</v>
      </c>
      <c r="I824" s="106" t="s">
        <v>4984</v>
      </c>
      <c r="J824" s="106">
        <v>250000</v>
      </c>
      <c r="K824" s="106" t="s">
        <v>4985</v>
      </c>
      <c r="L824" s="106" t="s">
        <v>4983</v>
      </c>
      <c r="M824" s="106" t="s">
        <v>1039</v>
      </c>
      <c r="O824" s="106" t="s">
        <v>274</v>
      </c>
      <c r="P824" s="106" t="s">
        <v>4873</v>
      </c>
      <c r="Q824" s="106" t="s">
        <v>420</v>
      </c>
      <c r="S824" s="106" t="str" cm="1">
        <f t="array" ref="S824">IF(TRIM($D824)="","(tidak diisi)",IFERROR(INDEX(Kamus!$B$3:$B$28,MATCH(TRUE,ISNUMBER(SEARCH(Kamus!$A$3:$A$28,$D824)),0)),"Jabatan Lainnya"))</f>
        <v>Ketua Pengadilan</v>
      </c>
      <c r="T824" s="106" t="str" cm="1">
        <f t="array" ref="T824">IF(TRIM($I824)="","(tidak diisi)",IFERROR(INDEX(Kamus!$E$3:$E$162,MATCH(TRUE,ISNUMBER(SEARCH(Kamus!$D$3:$D$162,$I824)),0)),"Barang Lain / Tidak Terinci"))</f>
        <v>Peralatan Rumah Tangga / Pecah Belah</v>
      </c>
      <c r="U824" s="106" t="str" cm="1">
        <f t="array" ref="U824">IF(TRIM($I824)="","(tidak diisi)",IFERROR(INDEX(Kamus!$H$3:$H$75,MATCH(TRUE,ISNUMBER(SEARCH(Kamus!$G$3:$G$75,$I824)),0)),"Pemberian Umum / Tanpa Konteks"))</f>
        <v>Parsel/Bingkisan Umum (non-hari raya)</v>
      </c>
      <c r="V824" s="106" t="str">
        <f t="shared" si="36"/>
        <v>2026</v>
      </c>
      <c r="W824" s="106" t="str" cm="1">
        <f t="array" ref="W824">IF(TRIM($K824)="","(tidak diisi)",IFERROR(INDEX(Kamus!$K$3:$K$118,MATCH(TRUE,ISNUMBER(SEARCH(Kamus!$J$3:$J$118,$K824)),0)),"Individu / Perorangan"))</f>
        <v>Bank &amp; Lembaga Keuangan</v>
      </c>
      <c r="X824" s="106" t="str">
        <f t="shared" si="37"/>
        <v>03</v>
      </c>
      <c r="Y824" s="106" t="str" cm="1">
        <f t="array" ref="Y824">IFERROR(INDEX(Kamus!$N$3:$N$111,MATCH(TRUE,ISNUMBER(SEARCH(Kamus!$M$3:$M$111,$I824)),0)),"")</f>
        <v/>
      </c>
      <c r="Z824" s="106" t="str">
        <f>IF(AND(OR($X824="02",$X824="03",$X824="04"),OR($T824="Parsel/Bingkisan (tidak dirinci)",$T824="Makanan &amp; Minuman",$T824="Peralatan Rumah Tangga / Pecah Belah",$T824="Pakaian &amp; Kain")),"Momen Hari Raya (dugaan musiman)",IFERROR(VLOOKUP($W824,Kamus!$P$3:$Q$14,2,FALSE),"Tidak Teridentifikasi"))</f>
        <v>Momen Hari Raya (dugaan musiman)</v>
      </c>
      <c r="AA824" s="106" t="str">
        <f t="shared" si="38"/>
        <v>Momen Hari Raya (dugaan musiman)</v>
      </c>
    </row>
    <row r="825" spans="1:27">
      <c r="A825" s="106">
        <v>824</v>
      </c>
      <c r="B825" s="106" t="s">
        <v>4977</v>
      </c>
      <c r="C825" s="107" t="s">
        <v>4978</v>
      </c>
      <c r="D825" s="106" t="s">
        <v>4979</v>
      </c>
      <c r="E825" s="106" t="s">
        <v>4872</v>
      </c>
      <c r="F825" s="106" t="s">
        <v>4980</v>
      </c>
      <c r="G825" s="106" t="s">
        <v>1006</v>
      </c>
      <c r="H825" s="106" t="s">
        <v>4855</v>
      </c>
      <c r="I825" s="106" t="s">
        <v>2459</v>
      </c>
      <c r="J825" s="106">
        <v>20000</v>
      </c>
      <c r="K825" s="106" t="s">
        <v>4985</v>
      </c>
      <c r="L825" s="106" t="s">
        <v>4983</v>
      </c>
      <c r="M825" s="106" t="s">
        <v>2529</v>
      </c>
      <c r="O825" s="106" t="s">
        <v>274</v>
      </c>
      <c r="P825" s="106" t="s">
        <v>4873</v>
      </c>
      <c r="Q825" s="106" t="s">
        <v>420</v>
      </c>
      <c r="S825" s="106" t="str" cm="1">
        <f t="array" ref="S825">IF(TRIM($D825)="","(tidak diisi)",IFERROR(INDEX(Kamus!$B$3:$B$28,MATCH(TRUE,ISNUMBER(SEARCH(Kamus!$A$3:$A$28,$D825)),0)),"Jabatan Lainnya"))</f>
        <v>Ketua Pengadilan</v>
      </c>
      <c r="T825" s="106" t="str" cm="1">
        <f t="array" ref="T825">IF(TRIM($I825)="","(tidak diisi)",IFERROR(INDEX(Kamus!$E$3:$E$162,MATCH(TRUE,ISNUMBER(SEARCH(Kamus!$D$3:$D$162,$I825)),0)),"Barang Lain / Tidak Terinci"))</f>
        <v>Makanan &amp; Minuman</v>
      </c>
      <c r="U825" s="106" t="str" cm="1">
        <f t="array" ref="U825">IF(TRIM($I825)="","(tidak diisi)",IFERROR(INDEX(Kamus!$H$3:$H$75,MATCH(TRUE,ISNUMBER(SEARCH(Kamus!$G$3:$G$75,$I825)),0)),"Pemberian Umum / Tanpa Konteks"))</f>
        <v>Parsel/Bingkisan Umum (non-hari raya)</v>
      </c>
      <c r="V825" s="106" t="str">
        <f t="shared" si="36"/>
        <v>2026</v>
      </c>
      <c r="W825" s="106" t="str" cm="1">
        <f t="array" ref="W825">IF(TRIM($K825)="","(tidak diisi)",IFERROR(INDEX(Kamus!$K$3:$K$118,MATCH(TRUE,ISNUMBER(SEARCH(Kamus!$J$3:$J$118,$K825)),0)),"Individu / Perorangan"))</f>
        <v>Bank &amp; Lembaga Keuangan</v>
      </c>
      <c r="X825" s="106" t="str">
        <f t="shared" si="37"/>
        <v>03</v>
      </c>
      <c r="Y825" s="106" t="str" cm="1">
        <f t="array" ref="Y825">IFERROR(INDEX(Kamus!$N$3:$N$111,MATCH(TRUE,ISNUMBER(SEARCH(Kamus!$M$3:$M$111,$I825)),0)),"")</f>
        <v/>
      </c>
      <c r="Z825" s="106" t="str">
        <f>IF(AND(OR($X825="02",$X825="03",$X825="04"),OR($T825="Parsel/Bingkisan (tidak dirinci)",$T825="Makanan &amp; Minuman",$T825="Peralatan Rumah Tangga / Pecah Belah",$T825="Pakaian &amp; Kain")),"Momen Hari Raya (dugaan musiman)",IFERROR(VLOOKUP($W825,Kamus!$P$3:$Q$14,2,FALSE),"Tidak Teridentifikasi"))</f>
        <v>Momen Hari Raya (dugaan musiman)</v>
      </c>
      <c r="AA825" s="106" t="str">
        <f t="shared" si="38"/>
        <v>Momen Hari Raya (dugaan musiman)</v>
      </c>
    </row>
    <row r="826" spans="1:27">
      <c r="A826" s="106">
        <v>825</v>
      </c>
      <c r="B826" s="106" t="s">
        <v>4986</v>
      </c>
      <c r="C826" s="107" t="s">
        <v>4987</v>
      </c>
      <c r="D826" s="106" t="s">
        <v>1042</v>
      </c>
      <c r="E826" s="106" t="s">
        <v>3959</v>
      </c>
      <c r="F826" s="106" t="s">
        <v>4988</v>
      </c>
      <c r="G826" s="106" t="s">
        <v>1006</v>
      </c>
      <c r="H826" s="106" t="s">
        <v>4727</v>
      </c>
      <c r="I826" s="106" t="s">
        <v>4777</v>
      </c>
      <c r="J826" s="106">
        <v>200000</v>
      </c>
      <c r="K826" s="106" t="s">
        <v>4989</v>
      </c>
      <c r="L826" s="106" t="s">
        <v>4990</v>
      </c>
      <c r="M826" s="106" t="s">
        <v>1171</v>
      </c>
      <c r="N826" s="106" t="s">
        <v>4991</v>
      </c>
      <c r="O826" s="106" t="s">
        <v>274</v>
      </c>
      <c r="P826" s="106" t="s">
        <v>3964</v>
      </c>
      <c r="Q826" s="106" t="s">
        <v>428</v>
      </c>
      <c r="S826" s="106" t="str" cm="1">
        <f t="array" ref="S826">IF(TRIM($D826)="","(tidak diisi)",IFERROR(INDEX(Kamus!$B$3:$B$28,MATCH(TRUE,ISNUMBER(SEARCH(Kamus!$A$3:$A$28,$D826)),0)),"Jabatan Lainnya"))</f>
        <v>Ketua Pengadilan</v>
      </c>
      <c r="T826" s="106" t="str" cm="1">
        <f t="array" ref="T826">IF(TRIM($I826)="","(tidak diisi)",IFERROR(INDEX(Kamus!$E$3:$E$162,MATCH(TRUE,ISNUMBER(SEARCH(Kamus!$D$3:$D$162,$I826)),0)),"Barang Lain / Tidak Terinci"))</f>
        <v>Peralatan Rumah Tangga / Pecah Belah</v>
      </c>
      <c r="U826" s="106" t="str" cm="1">
        <f t="array" ref="U826">IF(TRIM($I826)="","(tidak diisi)",IFERROR(INDEX(Kamus!$H$3:$H$75,MATCH(TRUE,ISNUMBER(SEARCH(Kamus!$G$3:$G$75,$I826)),0)),"Pemberian Umum / Tanpa Konteks"))</f>
        <v>Pemberian Umum / Tanpa Konteks</v>
      </c>
      <c r="V826" s="106" t="str">
        <f t="shared" si="36"/>
        <v>2026</v>
      </c>
      <c r="W826" s="106" t="str" cm="1">
        <f t="array" ref="W826">IF(TRIM($K826)="","(tidak diisi)",IFERROR(INDEX(Kamus!$K$3:$K$118,MATCH(TRUE,ISNUMBER(SEARCH(Kamus!$J$3:$J$118,$K826)),0)),"Individu / Perorangan"))</f>
        <v>Aparat/Instansi Penegak Hukum &amp; Vertikal</v>
      </c>
      <c r="X826" s="106" t="str">
        <f t="shared" si="37"/>
        <v>03</v>
      </c>
      <c r="Y826" s="106" t="str" cm="1">
        <f t="array" ref="Y826">IFERROR(INDEX(Kamus!$N$3:$N$111,MATCH(TRUE,ISNUMBER(SEARCH(Kamus!$M$3:$M$111,$I826)),0)),"")</f>
        <v/>
      </c>
      <c r="Z826" s="106" t="str">
        <f>IF(AND(OR($X826="02",$X826="03",$X826="04"),OR($T826="Parsel/Bingkisan (tidak dirinci)",$T826="Makanan &amp; Minuman",$T826="Peralatan Rumah Tangga / Pecah Belah",$T826="Pakaian &amp; Kain")),"Momen Hari Raya (dugaan musiman)",IFERROR(VLOOKUP($W826,Kamus!$P$3:$Q$14,2,FALSE),"Tidak Teridentifikasi"))</f>
        <v>Momen Hari Raya (dugaan musiman)</v>
      </c>
      <c r="AA826" s="106" t="str">
        <f t="shared" si="38"/>
        <v>Momen Hari Raya (dugaan musiman)</v>
      </c>
    </row>
    <row r="827" spans="1:27">
      <c r="A827" s="106">
        <v>826</v>
      </c>
      <c r="B827" s="106" t="s">
        <v>1543</v>
      </c>
      <c r="C827" s="107" t="s">
        <v>1544</v>
      </c>
      <c r="D827" s="106" t="s">
        <v>1033</v>
      </c>
      <c r="E827" s="106" t="s">
        <v>1545</v>
      </c>
      <c r="F827" s="106" t="s">
        <v>4992</v>
      </c>
      <c r="G827" s="106" t="s">
        <v>1006</v>
      </c>
      <c r="H827" s="106" t="s">
        <v>4704</v>
      </c>
      <c r="I827" s="106" t="s">
        <v>4993</v>
      </c>
      <c r="J827" s="106">
        <v>150000</v>
      </c>
      <c r="K827" s="106" t="s">
        <v>4994</v>
      </c>
      <c r="L827" s="106" t="s">
        <v>4995</v>
      </c>
      <c r="M827" s="106" t="s">
        <v>2529</v>
      </c>
      <c r="O827" s="106" t="s">
        <v>274</v>
      </c>
      <c r="P827" s="106" t="s">
        <v>1552</v>
      </c>
      <c r="Q827" s="106" t="s">
        <v>423</v>
      </c>
      <c r="S827" s="106" t="str" cm="1">
        <f t="array" ref="S827">IF(TRIM($D827)="","(tidak diisi)",IFERROR(INDEX(Kamus!$B$3:$B$28,MATCH(TRUE,ISNUMBER(SEARCH(Kamus!$A$3:$A$28,$D827)),0)),"Jabatan Lainnya"))</f>
        <v>Hakim</v>
      </c>
      <c r="T827" s="106" t="str" cm="1">
        <f t="array" ref="T827">IF(TRIM($I827)="","(tidak diisi)",IFERROR(INDEX(Kamus!$E$3:$E$162,MATCH(TRUE,ISNUMBER(SEARCH(Kamus!$D$3:$D$162,$I827)),0)),"Barang Lain / Tidak Terinci"))</f>
        <v>Makanan &amp; Minuman</v>
      </c>
      <c r="U827" s="106" t="str" cm="1">
        <f t="array" ref="U827">IF(TRIM($I827)="","(tidak diisi)",IFERROR(INDEX(Kamus!$H$3:$H$75,MATCH(TRUE,ISNUMBER(SEARCH(Kamus!$G$3:$G$75,$I827)),0)),"Pemberian Umum / Tanpa Konteks"))</f>
        <v>Parsel/Bingkisan Umum (non-hari raya)</v>
      </c>
      <c r="V827" s="106" t="str">
        <f t="shared" si="36"/>
        <v>2026</v>
      </c>
      <c r="W827" s="106" t="str" cm="1">
        <f t="array" ref="W827">IF(TRIM($K827)="","(tidak diisi)",IFERROR(INDEX(Kamus!$K$3:$K$118,MATCH(TRUE,ISNUMBER(SEARCH(Kamus!$J$3:$J$118,$K827)),0)),"Individu / Perorangan"))</f>
        <v>Individu / Perorangan</v>
      </c>
      <c r="X827" s="106" t="str">
        <f t="shared" si="37"/>
        <v>03</v>
      </c>
      <c r="Y827" s="106" t="str" cm="1">
        <f t="array" ref="Y827">IFERROR(INDEX(Kamus!$N$3:$N$111,MATCH(TRUE,ISNUMBER(SEARCH(Kamus!$M$3:$M$111,$I827)),0)),"")</f>
        <v/>
      </c>
      <c r="Z827" s="106" t="str">
        <f>IF(AND(OR($X827="02",$X827="03",$X827="04"),OR($T827="Parsel/Bingkisan (tidak dirinci)",$T827="Makanan &amp; Minuman",$T827="Peralatan Rumah Tangga / Pecah Belah",$T827="Pakaian &amp; Kain")),"Momen Hari Raya (dugaan musiman)",IFERROR(VLOOKUP($W827,Kamus!$P$3:$Q$14,2,FALSE),"Tidak Teridentifikasi"))</f>
        <v>Momen Hari Raya (dugaan musiman)</v>
      </c>
      <c r="AA827" s="106" t="str">
        <f t="shared" si="38"/>
        <v>Momen Hari Raya (dugaan musiman)</v>
      </c>
    </row>
    <row r="828" spans="1:27">
      <c r="A828" s="106">
        <v>827</v>
      </c>
      <c r="B828" s="106" t="s">
        <v>4477</v>
      </c>
      <c r="C828" s="107" t="s">
        <v>4478</v>
      </c>
      <c r="D828" s="106" t="s">
        <v>1144</v>
      </c>
      <c r="E828" s="106" t="s">
        <v>4914</v>
      </c>
      <c r="F828" s="106" t="s">
        <v>4996</v>
      </c>
      <c r="G828" s="106" t="s">
        <v>1006</v>
      </c>
      <c r="H828" s="106" t="s">
        <v>4795</v>
      </c>
      <c r="I828" s="106" t="s">
        <v>2231</v>
      </c>
      <c r="J828" s="106">
        <v>125000</v>
      </c>
      <c r="K828" s="106" t="s">
        <v>4997</v>
      </c>
      <c r="L828" s="106" t="s">
        <v>4998</v>
      </c>
      <c r="M828" s="106" t="s">
        <v>1020</v>
      </c>
      <c r="O828" s="106" t="s">
        <v>274</v>
      </c>
      <c r="P828" s="106" t="s">
        <v>4919</v>
      </c>
      <c r="Q828" s="106" t="s">
        <v>397</v>
      </c>
      <c r="S828" s="106" t="str" cm="1">
        <f t="array" ref="S828">IF(TRIM($D828)="","(tidak diisi)",IFERROR(INDEX(Kamus!$B$3:$B$28,MATCH(TRUE,ISNUMBER(SEARCH(Kamus!$A$3:$A$28,$D828)),0)),"Jabatan Lainnya"))</f>
        <v>Ketua Pengadilan</v>
      </c>
      <c r="T828" s="106" t="str" cm="1">
        <f t="array" ref="T828">IF(TRIM($I828)="","(tidak diisi)",IFERROR(INDEX(Kamus!$E$3:$E$162,MATCH(TRUE,ISNUMBER(SEARCH(Kamus!$D$3:$D$162,$I828)),0)),"Barang Lain / Tidak Terinci"))</f>
        <v>Makanan &amp; Minuman</v>
      </c>
      <c r="U828" s="106" t="str" cm="1">
        <f t="array" ref="U828">IF(TRIM($I828)="","(tidak diisi)",IFERROR(INDEX(Kamus!$H$3:$H$75,MATCH(TRUE,ISNUMBER(SEARCH(Kamus!$G$3:$G$75,$I828)),0)),"Pemberian Umum / Tanpa Konteks"))</f>
        <v>Pemberian Umum / Tanpa Konteks</v>
      </c>
      <c r="V828" s="106" t="str">
        <f t="shared" si="36"/>
        <v>2026</v>
      </c>
      <c r="W828" s="106" t="str" cm="1">
        <f t="array" ref="W828">IF(TRIM($K828)="","(tidak diisi)",IFERROR(INDEX(Kamus!$K$3:$K$118,MATCH(TRUE,ISNUMBER(SEARCH(Kamus!$J$3:$J$118,$K828)),0)),"Individu / Perorangan"))</f>
        <v>Individu / Perorangan</v>
      </c>
      <c r="X828" s="106" t="str">
        <f t="shared" si="37"/>
        <v>03</v>
      </c>
      <c r="Y828" s="106" t="str" cm="1">
        <f t="array" ref="Y828">IFERROR(INDEX(Kamus!$N$3:$N$111,MATCH(TRUE,ISNUMBER(SEARCH(Kamus!$M$3:$M$111,$I828)),0)),"")</f>
        <v/>
      </c>
      <c r="Z828" s="106" t="str">
        <f>IF(AND(OR($X828="02",$X828="03",$X828="04"),OR($T828="Parsel/Bingkisan (tidak dirinci)",$T828="Makanan &amp; Minuman",$T828="Peralatan Rumah Tangga / Pecah Belah",$T828="Pakaian &amp; Kain")),"Momen Hari Raya (dugaan musiman)",IFERROR(VLOOKUP($W828,Kamus!$P$3:$Q$14,2,FALSE),"Tidak Teridentifikasi"))</f>
        <v>Momen Hari Raya (dugaan musiman)</v>
      </c>
      <c r="AA828" s="106" t="str">
        <f t="shared" si="38"/>
        <v>Momen Hari Raya (dugaan musiman)</v>
      </c>
    </row>
    <row r="829" spans="1:27">
      <c r="A829" s="106">
        <v>828</v>
      </c>
      <c r="B829" s="106" t="s">
        <v>1619</v>
      </c>
      <c r="C829" s="107" t="s">
        <v>1620</v>
      </c>
      <c r="D829" s="106" t="s">
        <v>1621</v>
      </c>
      <c r="E829" s="106" t="s">
        <v>1622</v>
      </c>
      <c r="F829" s="106" t="s">
        <v>4999</v>
      </c>
      <c r="G829" s="106" t="s">
        <v>1006</v>
      </c>
      <c r="H829" s="106" t="s">
        <v>4855</v>
      </c>
      <c r="I829" s="106" t="s">
        <v>1945</v>
      </c>
      <c r="K829" s="106" t="s">
        <v>5000</v>
      </c>
      <c r="L829" s="106" t="s">
        <v>5001</v>
      </c>
      <c r="O829" s="106" t="s">
        <v>274</v>
      </c>
      <c r="P829" s="106" t="s">
        <v>1628</v>
      </c>
      <c r="Q829" s="106" t="s">
        <v>404</v>
      </c>
      <c r="S829" s="106" t="str" cm="1">
        <f t="array" ref="S829">IF(TRIM($D829)="","(tidak diisi)",IFERROR(INDEX(Kamus!$B$3:$B$28,MATCH(TRUE,ISNUMBER(SEARCH(Kamus!$A$3:$A$28,$D829)),0)),"Jabatan Lainnya"))</f>
        <v>Ketua Pengadilan</v>
      </c>
      <c r="T829" s="106" t="str" cm="1">
        <f t="array" ref="T829">IF(TRIM($I829)="","(tidak diisi)",IFERROR(INDEX(Kamus!$E$3:$E$162,MATCH(TRUE,ISNUMBER(SEARCH(Kamus!$D$3:$D$162,$I829)),0)),"Barang Lain / Tidak Terinci"))</f>
        <v>Makanan &amp; Minuman</v>
      </c>
      <c r="U829" s="106" t="str" cm="1">
        <f t="array" ref="U829">IF(TRIM($I829)="","(tidak diisi)",IFERROR(INDEX(Kamus!$H$3:$H$75,MATCH(TRUE,ISNUMBER(SEARCH(Kamus!$G$3:$G$75,$I829)),0)),"Pemberian Umum / Tanpa Konteks"))</f>
        <v>Pemberian Umum / Tanpa Konteks</v>
      </c>
      <c r="V829" s="106" t="str">
        <f t="shared" si="36"/>
        <v>2026</v>
      </c>
      <c r="W829" s="106" t="str" cm="1">
        <f t="array" ref="W829">IF(TRIM($K829)="","(tidak diisi)",IFERROR(INDEX(Kamus!$K$3:$K$118,MATCH(TRUE,ISNUMBER(SEARCH(Kamus!$J$3:$J$118,$K829)),0)),"Individu / Perorangan"))</f>
        <v>Pemerintah Daerah</v>
      </c>
      <c r="X829" s="106" t="str">
        <f t="shared" si="37"/>
        <v>03</v>
      </c>
      <c r="Y829" s="106" t="str" cm="1">
        <f t="array" ref="Y829">IFERROR(INDEX(Kamus!$N$3:$N$111,MATCH(TRUE,ISNUMBER(SEARCH(Kamus!$M$3:$M$111,$I829)),0)),"")</f>
        <v/>
      </c>
      <c r="Z829" s="106" t="str">
        <f>IF(AND(OR($X829="02",$X829="03",$X829="04"),OR($T829="Parsel/Bingkisan (tidak dirinci)",$T829="Makanan &amp; Minuman",$T829="Peralatan Rumah Tangga / Pecah Belah",$T829="Pakaian &amp; Kain")),"Momen Hari Raya (dugaan musiman)",IFERROR(VLOOKUP($W829,Kamus!$P$3:$Q$14,2,FALSE),"Tidak Teridentifikasi"))</f>
        <v>Momen Hari Raya (dugaan musiman)</v>
      </c>
      <c r="AA829" s="106" t="str">
        <f t="shared" si="38"/>
        <v>Momen Hari Raya (dugaan musiman)</v>
      </c>
    </row>
    <row r="830" spans="1:27">
      <c r="A830" s="106">
        <v>829</v>
      </c>
      <c r="B830" s="106" t="s">
        <v>5002</v>
      </c>
      <c r="C830" s="107" t="s">
        <v>5003</v>
      </c>
      <c r="D830" s="106" t="s">
        <v>5004</v>
      </c>
      <c r="E830" s="106" t="s">
        <v>5005</v>
      </c>
      <c r="F830" s="106" t="s">
        <v>5006</v>
      </c>
      <c r="G830" s="106" t="s">
        <v>1006</v>
      </c>
      <c r="H830" s="106" t="s">
        <v>4855</v>
      </c>
      <c r="I830" s="106" t="s">
        <v>5007</v>
      </c>
      <c r="J830" s="106">
        <v>700000</v>
      </c>
      <c r="K830" s="106" t="s">
        <v>5008</v>
      </c>
      <c r="L830" s="106" t="s">
        <v>5009</v>
      </c>
      <c r="M830" s="106" t="s">
        <v>2529</v>
      </c>
      <c r="O830" s="106" t="s">
        <v>274</v>
      </c>
      <c r="P830" s="106" t="s">
        <v>5010</v>
      </c>
      <c r="Q830" s="106" t="s">
        <v>404</v>
      </c>
      <c r="S830" s="106" t="str" cm="1">
        <f t="array" ref="S830">IF(TRIM($D830)="","(tidak diisi)",IFERROR(INDEX(Kamus!$B$3:$B$28,MATCH(TRUE,ISNUMBER(SEARCH(Kamus!$A$3:$A$28,$D830)),0)),"Jabatan Lainnya"))</f>
        <v>Ketua Pengadilan</v>
      </c>
      <c r="T830" s="106" t="str" cm="1">
        <f t="array" ref="T830">IF(TRIM($I830)="","(tidak diisi)",IFERROR(INDEX(Kamus!$E$3:$E$162,MATCH(TRUE,ISNUMBER(SEARCH(Kamus!$D$3:$D$162,$I830)),0)),"Barang Lain / Tidak Terinci"))</f>
        <v>Makanan &amp; Minuman</v>
      </c>
      <c r="U830" s="106" t="str" cm="1">
        <f t="array" ref="U830">IF(TRIM($I830)="","(tidak diisi)",IFERROR(INDEX(Kamus!$H$3:$H$75,MATCH(TRUE,ISNUMBER(SEARCH(Kamus!$G$3:$G$75,$I830)),0)),"Pemberian Umum / Tanpa Konteks"))</f>
        <v>Bingkisan Hari Raya / Keagamaan</v>
      </c>
      <c r="V830" s="106" t="str">
        <f t="shared" si="36"/>
        <v>2026</v>
      </c>
      <c r="W830" s="106" t="str" cm="1">
        <f t="array" ref="W830">IF(TRIM($K830)="","(tidak diisi)",IFERROR(INDEX(Kamus!$K$3:$K$118,MATCH(TRUE,ISNUMBER(SEARCH(Kamus!$J$3:$J$118,$K830)),0)),"Individu / Perorangan"))</f>
        <v>Individu / Perorangan</v>
      </c>
      <c r="X830" s="106" t="str">
        <f t="shared" si="37"/>
        <v>03</v>
      </c>
      <c r="Y830" s="106" t="str" cm="1">
        <f t="array" ref="Y830">IFERROR(INDEX(Kamus!$N$3:$N$111,MATCH(TRUE,ISNUMBER(SEARCH(Kamus!$M$3:$M$111,$I830)),0)),"")</f>
        <v>Momen Hari Raya (Ramadan/Idulfitri)</v>
      </c>
      <c r="Z830" s="106" t="str">
        <f>IF(AND(OR($X830="02",$X830="03",$X830="04"),OR($T830="Parsel/Bingkisan (tidak dirinci)",$T830="Makanan &amp; Minuman",$T830="Peralatan Rumah Tangga / Pecah Belah",$T830="Pakaian &amp; Kain")),"Momen Hari Raya (dugaan musiman)",IFERROR(VLOOKUP($W830,Kamus!$P$3:$Q$14,2,FALSE),"Tidak Teridentifikasi"))</f>
        <v>Momen Hari Raya (dugaan musiman)</v>
      </c>
      <c r="AA830" s="106" t="str">
        <f t="shared" si="38"/>
        <v>Momen Hari Raya (Ramadan/Idulfitri)</v>
      </c>
    </row>
    <row r="831" spans="1:27">
      <c r="A831" s="106">
        <v>830</v>
      </c>
      <c r="B831" s="106" t="s">
        <v>4986</v>
      </c>
      <c r="C831" s="107" t="s">
        <v>4987</v>
      </c>
      <c r="D831" s="106" t="s">
        <v>1042</v>
      </c>
      <c r="E831" s="106" t="s">
        <v>3959</v>
      </c>
      <c r="F831" s="106" t="s">
        <v>5011</v>
      </c>
      <c r="G831" s="106" t="s">
        <v>1006</v>
      </c>
      <c r="H831" s="106" t="s">
        <v>2525</v>
      </c>
      <c r="I831" s="106" t="s">
        <v>2374</v>
      </c>
      <c r="K831" s="106" t="s">
        <v>5012</v>
      </c>
      <c r="L831" s="106" t="s">
        <v>5013</v>
      </c>
      <c r="O831" s="106" t="s">
        <v>274</v>
      </c>
      <c r="P831" s="106" t="s">
        <v>3964</v>
      </c>
      <c r="Q831" s="106" t="s">
        <v>428</v>
      </c>
      <c r="S831" s="106" t="str" cm="1">
        <f t="array" ref="S831">IF(TRIM($D831)="","(tidak diisi)",IFERROR(INDEX(Kamus!$B$3:$B$28,MATCH(TRUE,ISNUMBER(SEARCH(Kamus!$A$3:$A$28,$D831)),0)),"Jabatan Lainnya"))</f>
        <v>Ketua Pengadilan</v>
      </c>
      <c r="T831" s="106" t="str" cm="1">
        <f t="array" ref="T831">IF(TRIM($I831)="","(tidak diisi)",IFERROR(INDEX(Kamus!$E$3:$E$162,MATCH(TRUE,ISNUMBER(SEARCH(Kamus!$D$3:$D$162,$I831)),0)),"Barang Lain / Tidak Terinci"))</f>
        <v>Makanan &amp; Minuman</v>
      </c>
      <c r="U831" s="106" t="str" cm="1">
        <f t="array" ref="U831">IF(TRIM($I831)="","(tidak diisi)",IFERROR(INDEX(Kamus!$H$3:$H$75,MATCH(TRUE,ISNUMBER(SEARCH(Kamus!$G$3:$G$75,$I831)),0)),"Pemberian Umum / Tanpa Konteks"))</f>
        <v>Parsel/Bingkisan Umum (non-hari raya)</v>
      </c>
      <c r="V831" s="106" t="str">
        <f t="shared" si="36"/>
        <v>2026</v>
      </c>
      <c r="W831" s="106" t="str" cm="1">
        <f t="array" ref="W831">IF(TRIM($K831)="","(tidak diisi)",IFERROR(INDEX(Kamus!$K$3:$K$118,MATCH(TRUE,ISNUMBER(SEARCH(Kamus!$J$3:$J$118,$K831)),0)),"Individu / Perorangan"))</f>
        <v>Individu / Perorangan</v>
      </c>
      <c r="X831" s="106" t="str">
        <f t="shared" si="37"/>
        <v>03</v>
      </c>
      <c r="Y831" s="106" t="str" cm="1">
        <f t="array" ref="Y831">IFERROR(INDEX(Kamus!$N$3:$N$111,MATCH(TRUE,ISNUMBER(SEARCH(Kamus!$M$3:$M$111,$I831)),0)),"")</f>
        <v/>
      </c>
      <c r="Z831" s="106" t="str">
        <f>IF(AND(OR($X831="02",$X831="03",$X831="04"),OR($T831="Parsel/Bingkisan (tidak dirinci)",$T831="Makanan &amp; Minuman",$T831="Peralatan Rumah Tangga / Pecah Belah",$T831="Pakaian &amp; Kain")),"Momen Hari Raya (dugaan musiman)",IFERROR(VLOOKUP($W831,Kamus!$P$3:$Q$14,2,FALSE),"Tidak Teridentifikasi"))</f>
        <v>Momen Hari Raya (dugaan musiman)</v>
      </c>
      <c r="AA831" s="106" t="str">
        <f t="shared" si="38"/>
        <v>Momen Hari Raya (dugaan musiman)</v>
      </c>
    </row>
    <row r="832" spans="1:27">
      <c r="A832" s="106">
        <v>831</v>
      </c>
      <c r="B832" s="106" t="s">
        <v>5014</v>
      </c>
      <c r="C832" s="107" t="s">
        <v>5015</v>
      </c>
      <c r="D832" s="106" t="s">
        <v>1042</v>
      </c>
      <c r="E832" s="106" t="s">
        <v>3959</v>
      </c>
      <c r="F832" s="106" t="s">
        <v>5016</v>
      </c>
      <c r="G832" s="106" t="s">
        <v>1006</v>
      </c>
      <c r="H832" s="106" t="s">
        <v>2525</v>
      </c>
      <c r="I832" s="106" t="s">
        <v>5017</v>
      </c>
      <c r="K832" s="106" t="s">
        <v>5012</v>
      </c>
      <c r="L832" s="106" t="s">
        <v>5018</v>
      </c>
      <c r="O832" s="106" t="s">
        <v>274</v>
      </c>
      <c r="P832" s="106" t="s">
        <v>3964</v>
      </c>
      <c r="Q832" s="106" t="s">
        <v>428</v>
      </c>
      <c r="S832" s="106" t="str" cm="1">
        <f t="array" ref="S832">IF(TRIM($D832)="","(tidak diisi)",IFERROR(INDEX(Kamus!$B$3:$B$28,MATCH(TRUE,ISNUMBER(SEARCH(Kamus!$A$3:$A$28,$D832)),0)),"Jabatan Lainnya"))</f>
        <v>Ketua Pengadilan</v>
      </c>
      <c r="T832" s="106" t="str" cm="1">
        <f t="array" ref="T832">IF(TRIM($I832)="","(tidak diisi)",IFERROR(INDEX(Kamus!$E$3:$E$162,MATCH(TRUE,ISNUMBER(SEARCH(Kamus!$D$3:$D$162,$I832)),0)),"Barang Lain / Tidak Terinci"))</f>
        <v>Makanan &amp; Minuman</v>
      </c>
      <c r="U832" s="106" t="str" cm="1">
        <f t="array" ref="U832">IF(TRIM($I832)="","(tidak diisi)",IFERROR(INDEX(Kamus!$H$3:$H$75,MATCH(TRUE,ISNUMBER(SEARCH(Kamus!$G$3:$G$75,$I832)),0)),"Pemberian Umum / Tanpa Konteks"))</f>
        <v>Bingkisan Hari Raya / Keagamaan</v>
      </c>
      <c r="V832" s="106" t="str">
        <f t="shared" si="36"/>
        <v>2026</v>
      </c>
      <c r="W832" s="106" t="str" cm="1">
        <f t="array" ref="W832">IF(TRIM($K832)="","(tidak diisi)",IFERROR(INDEX(Kamus!$K$3:$K$118,MATCH(TRUE,ISNUMBER(SEARCH(Kamus!$J$3:$J$118,$K832)),0)),"Individu / Perorangan"))</f>
        <v>Individu / Perorangan</v>
      </c>
      <c r="X832" s="106" t="str">
        <f t="shared" si="37"/>
        <v>03</v>
      </c>
      <c r="Y832" s="106" t="str" cm="1">
        <f t="array" ref="Y832">IFERROR(INDEX(Kamus!$N$3:$N$111,MATCH(TRUE,ISNUMBER(SEARCH(Kamus!$M$3:$M$111,$I832)),0)),"")</f>
        <v>Momen Hari Raya (Ramadan/Idulfitri)</v>
      </c>
      <c r="Z832" s="106" t="str">
        <f>IF(AND(OR($X832="02",$X832="03",$X832="04"),OR($T832="Parsel/Bingkisan (tidak dirinci)",$T832="Makanan &amp; Minuman",$T832="Peralatan Rumah Tangga / Pecah Belah",$T832="Pakaian &amp; Kain")),"Momen Hari Raya (dugaan musiman)",IFERROR(VLOOKUP($W832,Kamus!$P$3:$Q$14,2,FALSE),"Tidak Teridentifikasi"))</f>
        <v>Momen Hari Raya (dugaan musiman)</v>
      </c>
      <c r="AA832" s="106" t="str">
        <f t="shared" si="38"/>
        <v>Momen Hari Raya (Ramadan/Idulfitri)</v>
      </c>
    </row>
    <row r="833" spans="1:27">
      <c r="A833" s="106">
        <v>832</v>
      </c>
      <c r="B833" s="106" t="s">
        <v>1900</v>
      </c>
      <c r="C833" s="107" t="s">
        <v>1901</v>
      </c>
      <c r="D833" s="106" t="s">
        <v>1902</v>
      </c>
      <c r="E833" s="106" t="s">
        <v>1903</v>
      </c>
      <c r="F833" s="106" t="s">
        <v>5019</v>
      </c>
      <c r="G833" s="106" t="s">
        <v>1006</v>
      </c>
      <c r="H833" s="106" t="s">
        <v>5020</v>
      </c>
      <c r="I833" s="106" t="s">
        <v>1887</v>
      </c>
      <c r="K833" s="106" t="s">
        <v>1908</v>
      </c>
      <c r="L833" s="106" t="s">
        <v>5021</v>
      </c>
      <c r="O833" s="106" t="s">
        <v>274</v>
      </c>
      <c r="P833" s="106" t="s">
        <v>1907</v>
      </c>
      <c r="Q833" s="106" t="s">
        <v>404</v>
      </c>
      <c r="S833" s="106" t="str" cm="1">
        <f t="array" ref="S833">IF(TRIM($D833)="","(tidak diisi)",IFERROR(INDEX(Kamus!$B$3:$B$28,MATCH(TRUE,ISNUMBER(SEARCH(Kamus!$A$3:$A$28,$D833)),0)),"Jabatan Lainnya"))</f>
        <v>Ketua Pengadilan</v>
      </c>
      <c r="T833" s="106" t="str" cm="1">
        <f t="array" ref="T833">IF(TRIM($I833)="","(tidak diisi)",IFERROR(INDEX(Kamus!$E$3:$E$162,MATCH(TRUE,ISNUMBER(SEARCH(Kamus!$D$3:$D$162,$I833)),0)),"Barang Lain / Tidak Terinci"))</f>
        <v>Parsel/Bingkisan (tidak dirinci)</v>
      </c>
      <c r="U833" s="106" t="str" cm="1">
        <f t="array" ref="U833">IF(TRIM($I833)="","(tidak diisi)",IFERROR(INDEX(Kamus!$H$3:$H$75,MATCH(TRUE,ISNUMBER(SEARCH(Kamus!$G$3:$G$75,$I833)),0)),"Pemberian Umum / Tanpa Konteks"))</f>
        <v>Bingkisan Hari Raya / Keagamaan</v>
      </c>
      <c r="V833" s="106" t="str">
        <f t="shared" si="36"/>
        <v>2026</v>
      </c>
      <c r="W833" s="106" t="str" cm="1">
        <f t="array" ref="W833">IF(TRIM($K833)="","(tidak diisi)",IFERROR(INDEX(Kamus!$K$3:$K$118,MATCH(TRUE,ISNUMBER(SEARCH(Kamus!$J$3:$J$118,$K833)),0)),"Individu / Perorangan"))</f>
        <v>Aparat/Instansi Penegak Hukum &amp; Vertikal</v>
      </c>
      <c r="X833" s="106" t="str">
        <f t="shared" si="37"/>
        <v>03</v>
      </c>
      <c r="Y833" s="106" t="str" cm="1">
        <f t="array" ref="Y833">IFERROR(INDEX(Kamus!$N$3:$N$111,MATCH(TRUE,ISNUMBER(SEARCH(Kamus!$M$3:$M$111,$I833)),0)),"")</f>
        <v>Momen Hari Raya (Ramadan/Idulfitri)</v>
      </c>
      <c r="Z833" s="106" t="str">
        <f>IF(AND(OR($X833="02",$X833="03",$X833="04"),OR($T833="Parsel/Bingkisan (tidak dirinci)",$T833="Makanan &amp; Minuman",$T833="Peralatan Rumah Tangga / Pecah Belah",$T833="Pakaian &amp; Kain")),"Momen Hari Raya (dugaan musiman)",IFERROR(VLOOKUP($W833,Kamus!$P$3:$Q$14,2,FALSE),"Tidak Teridentifikasi"))</f>
        <v>Momen Hari Raya (dugaan musiman)</v>
      </c>
      <c r="AA833" s="106" t="str">
        <f t="shared" si="38"/>
        <v>Momen Hari Raya (Ramadan/Idulfitri)</v>
      </c>
    </row>
    <row r="834" spans="1:27">
      <c r="A834" s="106">
        <v>833</v>
      </c>
      <c r="B834" s="106" t="s">
        <v>1900</v>
      </c>
      <c r="C834" s="107" t="s">
        <v>1901</v>
      </c>
      <c r="D834" s="106" t="s">
        <v>1902</v>
      </c>
      <c r="E834" s="106" t="s">
        <v>1903</v>
      </c>
      <c r="F834" s="106" t="s">
        <v>5019</v>
      </c>
      <c r="G834" s="106" t="s">
        <v>1006</v>
      </c>
      <c r="H834" s="106" t="s">
        <v>5020</v>
      </c>
      <c r="I834" s="106" t="s">
        <v>1887</v>
      </c>
      <c r="K834" s="106" t="s">
        <v>5022</v>
      </c>
      <c r="L834" s="106" t="s">
        <v>5021</v>
      </c>
      <c r="O834" s="106" t="s">
        <v>274</v>
      </c>
      <c r="P834" s="106" t="s">
        <v>1907</v>
      </c>
      <c r="Q834" s="106" t="s">
        <v>404</v>
      </c>
      <c r="S834" s="106" t="str" cm="1">
        <f t="array" ref="S834">IF(TRIM($D834)="","(tidak diisi)",IFERROR(INDEX(Kamus!$B$3:$B$28,MATCH(TRUE,ISNUMBER(SEARCH(Kamus!$A$3:$A$28,$D834)),0)),"Jabatan Lainnya"))</f>
        <v>Ketua Pengadilan</v>
      </c>
      <c r="T834" s="106" t="str" cm="1">
        <f t="array" ref="T834">IF(TRIM($I834)="","(tidak diisi)",IFERROR(INDEX(Kamus!$E$3:$E$162,MATCH(TRUE,ISNUMBER(SEARCH(Kamus!$D$3:$D$162,$I834)),0)),"Barang Lain / Tidak Terinci"))</f>
        <v>Parsel/Bingkisan (tidak dirinci)</v>
      </c>
      <c r="U834" s="106" t="str" cm="1">
        <f t="array" ref="U834">IF(TRIM($I834)="","(tidak diisi)",IFERROR(INDEX(Kamus!$H$3:$H$75,MATCH(TRUE,ISNUMBER(SEARCH(Kamus!$G$3:$G$75,$I834)),0)),"Pemberian Umum / Tanpa Konteks"))</f>
        <v>Bingkisan Hari Raya / Keagamaan</v>
      </c>
      <c r="V834" s="106" t="str">
        <f t="shared" si="36"/>
        <v>2026</v>
      </c>
      <c r="W834" s="106" t="str" cm="1">
        <f t="array" ref="W834">IF(TRIM($K834)="","(tidak diisi)",IFERROR(INDEX(Kamus!$K$3:$K$118,MATCH(TRUE,ISNUMBER(SEARCH(Kamus!$J$3:$J$118,$K834)),0)),"Individu / Perorangan"))</f>
        <v>Aparat/Instansi Penegak Hukum &amp; Vertikal</v>
      </c>
      <c r="X834" s="106" t="str">
        <f t="shared" si="37"/>
        <v>03</v>
      </c>
      <c r="Y834" s="106" t="str" cm="1">
        <f t="array" ref="Y834">IFERROR(INDEX(Kamus!$N$3:$N$111,MATCH(TRUE,ISNUMBER(SEARCH(Kamus!$M$3:$M$111,$I834)),0)),"")</f>
        <v>Momen Hari Raya (Ramadan/Idulfitri)</v>
      </c>
      <c r="Z834" s="106" t="str">
        <f>IF(AND(OR($X834="02",$X834="03",$X834="04"),OR($T834="Parsel/Bingkisan (tidak dirinci)",$T834="Makanan &amp; Minuman",$T834="Peralatan Rumah Tangga / Pecah Belah",$T834="Pakaian &amp; Kain")),"Momen Hari Raya (dugaan musiman)",IFERROR(VLOOKUP($W834,Kamus!$P$3:$Q$14,2,FALSE),"Tidak Teridentifikasi"))</f>
        <v>Momen Hari Raya (dugaan musiman)</v>
      </c>
      <c r="AA834" s="106" t="str">
        <f t="shared" si="38"/>
        <v>Momen Hari Raya (Ramadan/Idulfitri)</v>
      </c>
    </row>
    <row r="835" spans="1:27">
      <c r="A835" s="106">
        <v>834</v>
      </c>
      <c r="B835" s="106" t="s">
        <v>1900</v>
      </c>
      <c r="C835" s="107" t="s">
        <v>1901</v>
      </c>
      <c r="D835" s="106" t="s">
        <v>1902</v>
      </c>
      <c r="E835" s="106" t="s">
        <v>1903</v>
      </c>
      <c r="F835" s="106" t="s">
        <v>5019</v>
      </c>
      <c r="G835" s="106" t="s">
        <v>1006</v>
      </c>
      <c r="H835" s="106" t="s">
        <v>5023</v>
      </c>
      <c r="I835" s="106" t="s">
        <v>5024</v>
      </c>
      <c r="K835" s="106" t="s">
        <v>1905</v>
      </c>
      <c r="L835" s="106" t="s">
        <v>5021</v>
      </c>
      <c r="O835" s="106" t="s">
        <v>274</v>
      </c>
      <c r="P835" s="106" t="s">
        <v>1907</v>
      </c>
      <c r="Q835" s="106" t="s">
        <v>404</v>
      </c>
      <c r="S835" s="106" t="str" cm="1">
        <f t="array" ref="S835">IF(TRIM($D835)="","(tidak diisi)",IFERROR(INDEX(Kamus!$B$3:$B$28,MATCH(TRUE,ISNUMBER(SEARCH(Kamus!$A$3:$A$28,$D835)),0)),"Jabatan Lainnya"))</f>
        <v>Ketua Pengadilan</v>
      </c>
      <c r="T835" s="106" t="str" cm="1">
        <f t="array" ref="T835">IF(TRIM($I835)="","(tidak diisi)",IFERROR(INDEX(Kamus!$E$3:$E$162,MATCH(TRUE,ISNUMBER(SEARCH(Kamus!$D$3:$D$162,$I835)),0)),"Barang Lain / Tidak Terinci"))</f>
        <v>Parsel/Bingkisan (tidak dirinci)</v>
      </c>
      <c r="U835" s="106" t="str" cm="1">
        <f t="array" ref="U835">IF(TRIM($I835)="","(tidak diisi)",IFERROR(INDEX(Kamus!$H$3:$H$75,MATCH(TRUE,ISNUMBER(SEARCH(Kamus!$G$3:$G$75,$I835)),0)),"Pemberian Umum / Tanpa Konteks"))</f>
        <v>Bingkisan Hari Raya / Keagamaan</v>
      </c>
      <c r="V835" s="106" t="str">
        <f t="shared" ref="V835:V898" si="39">IF($H835="","(tidak diisi)",IF(ISNUMBER($H835),TEXT(YEAR($H835),"0"),LEFT($H835,4)))</f>
        <v>2026</v>
      </c>
      <c r="W835" s="106" t="str" cm="1">
        <f t="array" ref="W835">IF(TRIM($K835)="","(tidak diisi)",IFERROR(INDEX(Kamus!$K$3:$K$118,MATCH(TRUE,ISNUMBER(SEARCH(Kamus!$J$3:$J$118,$K835)),0)),"Individu / Perorangan"))</f>
        <v>Perusahaan / Vendor</v>
      </c>
      <c r="X835" s="106" t="str">
        <f t="shared" ref="X835:X898" si="40">IF($H835="","(tidak diisi)",IF(ISNUMBER($H835),TEXT(MONTH($H835),"00"),MID($H835,6,2)))</f>
        <v>03</v>
      </c>
      <c r="Y835" s="106" t="str" cm="1">
        <f t="array" ref="Y835">IFERROR(INDEX(Kamus!$N$3:$N$111,MATCH(TRUE,ISNUMBER(SEARCH(Kamus!$M$3:$M$111,$I835)),0)),"")</f>
        <v>Momen Hari Raya (Ramadan/Idulfitri)</v>
      </c>
      <c r="Z835" s="106" t="str">
        <f>IF(AND(OR($X835="02",$X835="03",$X835="04"),OR($T835="Parsel/Bingkisan (tidak dirinci)",$T835="Makanan &amp; Minuman",$T835="Peralatan Rumah Tangga / Pecah Belah",$T835="Pakaian &amp; Kain")),"Momen Hari Raya (dugaan musiman)",IFERROR(VLOOKUP($W835,Kamus!$P$3:$Q$14,2,FALSE),"Tidak Teridentifikasi"))</f>
        <v>Momen Hari Raya (dugaan musiman)</v>
      </c>
      <c r="AA835" s="106" t="str">
        <f t="shared" ref="AA835:AA898" si="41">IF($Y835="",$Z835,$Y835)</f>
        <v>Momen Hari Raya (Ramadan/Idulfitri)</v>
      </c>
    </row>
    <row r="836" spans="1:27">
      <c r="A836" s="106">
        <v>835</v>
      </c>
      <c r="B836" s="106" t="s">
        <v>1619</v>
      </c>
      <c r="C836" s="107" t="s">
        <v>1620</v>
      </c>
      <c r="D836" s="106" t="s">
        <v>1621</v>
      </c>
      <c r="E836" s="106" t="s">
        <v>1622</v>
      </c>
      <c r="F836" s="106" t="s">
        <v>5025</v>
      </c>
      <c r="G836" s="106" t="s">
        <v>1006</v>
      </c>
      <c r="H836" s="106" t="s">
        <v>2525</v>
      </c>
      <c r="I836" s="106" t="s">
        <v>1945</v>
      </c>
      <c r="K836" s="106" t="s">
        <v>5026</v>
      </c>
      <c r="L836" s="106" t="s">
        <v>5027</v>
      </c>
      <c r="O836" s="106" t="s">
        <v>274</v>
      </c>
      <c r="P836" s="106" t="s">
        <v>1628</v>
      </c>
      <c r="Q836" s="106" t="s">
        <v>404</v>
      </c>
      <c r="S836" s="106" t="str" cm="1">
        <f t="array" ref="S836">IF(TRIM($D836)="","(tidak diisi)",IFERROR(INDEX(Kamus!$B$3:$B$28,MATCH(TRUE,ISNUMBER(SEARCH(Kamus!$A$3:$A$28,$D836)),0)),"Jabatan Lainnya"))</f>
        <v>Ketua Pengadilan</v>
      </c>
      <c r="T836" s="106" t="str" cm="1">
        <f t="array" ref="T836">IF(TRIM($I836)="","(tidak diisi)",IFERROR(INDEX(Kamus!$E$3:$E$162,MATCH(TRUE,ISNUMBER(SEARCH(Kamus!$D$3:$D$162,$I836)),0)),"Barang Lain / Tidak Terinci"))</f>
        <v>Makanan &amp; Minuman</v>
      </c>
      <c r="U836" s="106" t="str" cm="1">
        <f t="array" ref="U836">IF(TRIM($I836)="","(tidak diisi)",IFERROR(INDEX(Kamus!$H$3:$H$75,MATCH(TRUE,ISNUMBER(SEARCH(Kamus!$G$3:$G$75,$I836)),0)),"Pemberian Umum / Tanpa Konteks"))</f>
        <v>Pemberian Umum / Tanpa Konteks</v>
      </c>
      <c r="V836" s="106" t="str">
        <f t="shared" si="39"/>
        <v>2026</v>
      </c>
      <c r="W836" s="106" t="str" cm="1">
        <f t="array" ref="W836">IF(TRIM($K836)="","(tidak diisi)",IFERROR(INDEX(Kamus!$K$3:$K$118,MATCH(TRUE,ISNUMBER(SEARCH(Kamus!$J$3:$J$118,$K836)),0)),"Individu / Perorangan"))</f>
        <v>Aparat/Instansi Penegak Hukum &amp; Vertikal</v>
      </c>
      <c r="X836" s="106" t="str">
        <f t="shared" si="40"/>
        <v>03</v>
      </c>
      <c r="Y836" s="106" t="str" cm="1">
        <f t="array" ref="Y836">IFERROR(INDEX(Kamus!$N$3:$N$111,MATCH(TRUE,ISNUMBER(SEARCH(Kamus!$M$3:$M$111,$I836)),0)),"")</f>
        <v/>
      </c>
      <c r="Z836" s="106" t="str">
        <f>IF(AND(OR($X836="02",$X836="03",$X836="04"),OR($T836="Parsel/Bingkisan (tidak dirinci)",$T836="Makanan &amp; Minuman",$T836="Peralatan Rumah Tangga / Pecah Belah",$T836="Pakaian &amp; Kain")),"Momen Hari Raya (dugaan musiman)",IFERROR(VLOOKUP($W836,Kamus!$P$3:$Q$14,2,FALSE),"Tidak Teridentifikasi"))</f>
        <v>Momen Hari Raya (dugaan musiman)</v>
      </c>
      <c r="AA836" s="106" t="str">
        <f t="shared" si="41"/>
        <v>Momen Hari Raya (dugaan musiman)</v>
      </c>
    </row>
    <row r="837" spans="1:27">
      <c r="A837" s="106">
        <v>836</v>
      </c>
      <c r="B837" s="106" t="s">
        <v>1619</v>
      </c>
      <c r="C837" s="107" t="s">
        <v>1620</v>
      </c>
      <c r="D837" s="106" t="s">
        <v>1621</v>
      </c>
      <c r="E837" s="106" t="s">
        <v>1622</v>
      </c>
      <c r="F837" s="106" t="s">
        <v>5028</v>
      </c>
      <c r="G837" s="106" t="s">
        <v>1074</v>
      </c>
      <c r="H837" s="106" t="s">
        <v>5029</v>
      </c>
      <c r="I837" s="106" t="s">
        <v>5030</v>
      </c>
      <c r="K837" s="106" t="s">
        <v>5031</v>
      </c>
      <c r="L837" s="106" t="s">
        <v>5032</v>
      </c>
      <c r="O837" s="106" t="s">
        <v>274</v>
      </c>
      <c r="P837" s="106" t="s">
        <v>1628</v>
      </c>
      <c r="Q837" s="106" t="s">
        <v>404</v>
      </c>
      <c r="S837" s="106" t="str" cm="1">
        <f t="array" ref="S837">IF(TRIM($D837)="","(tidak diisi)",IFERROR(INDEX(Kamus!$B$3:$B$28,MATCH(TRUE,ISNUMBER(SEARCH(Kamus!$A$3:$A$28,$D837)),0)),"Jabatan Lainnya"))</f>
        <v>Ketua Pengadilan</v>
      </c>
      <c r="T837" s="106" t="str" cm="1">
        <f t="array" ref="T837">IF(TRIM($I837)="","(tidak diisi)",IFERROR(INDEX(Kamus!$E$3:$E$162,MATCH(TRUE,ISNUMBER(SEARCH(Kamus!$D$3:$D$162,$I837)),0)),"Barang Lain / Tidak Terinci"))</f>
        <v>Peralatan Rumah Tangga / Pecah Belah</v>
      </c>
      <c r="U837" s="106" t="str" cm="1">
        <f t="array" ref="U837">IF(TRIM($I837)="","(tidak diisi)",IFERROR(INDEX(Kamus!$H$3:$H$75,MATCH(TRUE,ISNUMBER(SEARCH(Kamus!$G$3:$G$75,$I837)),0)),"Pemberian Umum / Tanpa Konteks"))</f>
        <v>Pemberian Umum / Tanpa Konteks</v>
      </c>
      <c r="V837" s="106" t="str">
        <f t="shared" si="39"/>
        <v>2026</v>
      </c>
      <c r="W837" s="106" t="str" cm="1">
        <f t="array" ref="W837">IF(TRIM($K837)="","(tidak diisi)",IFERROR(INDEX(Kamus!$K$3:$K$118,MATCH(TRUE,ISNUMBER(SEARCH(Kamus!$J$3:$J$118,$K837)),0)),"Individu / Perorangan"))</f>
        <v>Aparat/Instansi Penegak Hukum &amp; Vertikal</v>
      </c>
      <c r="X837" s="106" t="str">
        <f t="shared" si="40"/>
        <v>03</v>
      </c>
      <c r="Y837" s="106" t="str" cm="1">
        <f t="array" ref="Y837">IFERROR(INDEX(Kamus!$N$3:$N$111,MATCH(TRUE,ISNUMBER(SEARCH(Kamus!$M$3:$M$111,$I837)),0)),"")</f>
        <v/>
      </c>
      <c r="Z837" s="106" t="str">
        <f>IF(AND(OR($X837="02",$X837="03",$X837="04"),OR($T837="Parsel/Bingkisan (tidak dirinci)",$T837="Makanan &amp; Minuman",$T837="Peralatan Rumah Tangga / Pecah Belah",$T837="Pakaian &amp; Kain")),"Momen Hari Raya (dugaan musiman)",IFERROR(VLOOKUP($W837,Kamus!$P$3:$Q$14,2,FALSE),"Tidak Teridentifikasi"))</f>
        <v>Momen Hari Raya (dugaan musiman)</v>
      </c>
      <c r="AA837" s="106" t="str">
        <f t="shared" si="41"/>
        <v>Momen Hari Raya (dugaan musiman)</v>
      </c>
    </row>
    <row r="838" spans="1:27">
      <c r="A838" s="106">
        <v>837</v>
      </c>
      <c r="B838" s="106" t="s">
        <v>1909</v>
      </c>
      <c r="C838" s="107" t="s">
        <v>1910</v>
      </c>
      <c r="D838" s="106" t="s">
        <v>1042</v>
      </c>
      <c r="E838" s="106" t="s">
        <v>1911</v>
      </c>
      <c r="F838" s="106" t="s">
        <v>5033</v>
      </c>
      <c r="G838" s="106" t="s">
        <v>1006</v>
      </c>
      <c r="H838" s="106" t="s">
        <v>5029</v>
      </c>
      <c r="I838" s="106" t="s">
        <v>5034</v>
      </c>
      <c r="J838" s="106">
        <v>600000</v>
      </c>
      <c r="K838" s="106" t="s">
        <v>2701</v>
      </c>
      <c r="L838" s="106" t="s">
        <v>5035</v>
      </c>
      <c r="M838" s="106" t="s">
        <v>1039</v>
      </c>
      <c r="O838" s="106" t="s">
        <v>274</v>
      </c>
      <c r="P838" s="106" t="s">
        <v>1916</v>
      </c>
      <c r="Q838" s="106" t="s">
        <v>423</v>
      </c>
      <c r="S838" s="106" t="str" cm="1">
        <f t="array" ref="S838">IF(TRIM($D838)="","(tidak diisi)",IFERROR(INDEX(Kamus!$B$3:$B$28,MATCH(TRUE,ISNUMBER(SEARCH(Kamus!$A$3:$A$28,$D838)),0)),"Jabatan Lainnya"))</f>
        <v>Ketua Pengadilan</v>
      </c>
      <c r="T838" s="106" t="str" cm="1">
        <f t="array" ref="T838">IF(TRIM($I838)="","(tidak diisi)",IFERROR(INDEX(Kamus!$E$3:$E$162,MATCH(TRUE,ISNUMBER(SEARCH(Kamus!$D$3:$D$162,$I838)),0)),"Barang Lain / Tidak Terinci"))</f>
        <v>Peralatan Rumah Tangga / Pecah Belah</v>
      </c>
      <c r="U838" s="106" t="str" cm="1">
        <f t="array" ref="U838">IF(TRIM($I838)="","(tidak diisi)",IFERROR(INDEX(Kamus!$H$3:$H$75,MATCH(TRUE,ISNUMBER(SEARCH(Kamus!$G$3:$G$75,$I838)),0)),"Pemberian Umum / Tanpa Konteks"))</f>
        <v>Pemberian Umum / Tanpa Konteks</v>
      </c>
      <c r="V838" s="106" t="str">
        <f t="shared" si="39"/>
        <v>2026</v>
      </c>
      <c r="W838" s="106" t="str" cm="1">
        <f t="array" ref="W838">IF(TRIM($K838)="","(tidak diisi)",IFERROR(INDEX(Kamus!$K$3:$K$118,MATCH(TRUE,ISNUMBER(SEARCH(Kamus!$J$3:$J$118,$K838)),0)),"Individu / Perorangan"))</f>
        <v>Tidak Diketahui</v>
      </c>
      <c r="X838" s="106" t="str">
        <f t="shared" si="40"/>
        <v>03</v>
      </c>
      <c r="Y838" s="106" t="str" cm="1">
        <f t="array" ref="Y838">IFERROR(INDEX(Kamus!$N$3:$N$111,MATCH(TRUE,ISNUMBER(SEARCH(Kamus!$M$3:$M$111,$I838)),0)),"")</f>
        <v/>
      </c>
      <c r="Z838" s="106" t="str">
        <f>IF(AND(OR($X838="02",$X838="03",$X838="04"),OR($T838="Parsel/Bingkisan (tidak dirinci)",$T838="Makanan &amp; Minuman",$T838="Peralatan Rumah Tangga / Pecah Belah",$T838="Pakaian &amp; Kain")),"Momen Hari Raya (dugaan musiman)",IFERROR(VLOOKUP($W838,Kamus!$P$3:$Q$14,2,FALSE),"Tidak Teridentifikasi"))</f>
        <v>Momen Hari Raya (dugaan musiman)</v>
      </c>
      <c r="AA838" s="106" t="str">
        <f t="shared" si="41"/>
        <v>Momen Hari Raya (dugaan musiman)</v>
      </c>
    </row>
    <row r="839" spans="1:27">
      <c r="A839" s="106">
        <v>838</v>
      </c>
      <c r="B839" s="106" t="s">
        <v>1909</v>
      </c>
      <c r="C839" s="107" t="s">
        <v>1910</v>
      </c>
      <c r="D839" s="106" t="s">
        <v>1042</v>
      </c>
      <c r="E839" s="106" t="s">
        <v>1911</v>
      </c>
      <c r="F839" s="106" t="s">
        <v>5033</v>
      </c>
      <c r="G839" s="106" t="s">
        <v>1006</v>
      </c>
      <c r="H839" s="106" t="s">
        <v>5029</v>
      </c>
      <c r="I839" s="106" t="s">
        <v>2693</v>
      </c>
      <c r="J839" s="106">
        <v>300000</v>
      </c>
      <c r="K839" s="106" t="s">
        <v>2701</v>
      </c>
      <c r="L839" s="106" t="s">
        <v>5035</v>
      </c>
      <c r="M839" s="106" t="s">
        <v>2529</v>
      </c>
      <c r="O839" s="106" t="s">
        <v>274</v>
      </c>
      <c r="P839" s="106" t="s">
        <v>1916</v>
      </c>
      <c r="Q839" s="106" t="s">
        <v>423</v>
      </c>
      <c r="S839" s="106" t="str" cm="1">
        <f t="array" ref="S839">IF(TRIM($D839)="","(tidak diisi)",IFERROR(INDEX(Kamus!$B$3:$B$28,MATCH(TRUE,ISNUMBER(SEARCH(Kamus!$A$3:$A$28,$D839)),0)),"Jabatan Lainnya"))</f>
        <v>Ketua Pengadilan</v>
      </c>
      <c r="T839" s="106" t="str" cm="1">
        <f t="array" ref="T839">IF(TRIM($I839)="","(tidak diisi)",IFERROR(INDEX(Kamus!$E$3:$E$162,MATCH(TRUE,ISNUMBER(SEARCH(Kamus!$D$3:$D$162,$I839)),0)),"Barang Lain / Tidak Terinci"))</f>
        <v>Makanan &amp; Minuman</v>
      </c>
      <c r="U839" s="106" t="str" cm="1">
        <f t="array" ref="U839">IF(TRIM($I839)="","(tidak diisi)",IFERROR(INDEX(Kamus!$H$3:$H$75,MATCH(TRUE,ISNUMBER(SEARCH(Kamus!$G$3:$G$75,$I839)),0)),"Pemberian Umum / Tanpa Konteks"))</f>
        <v>Pemberian Umum / Tanpa Konteks</v>
      </c>
      <c r="V839" s="106" t="str">
        <f t="shared" si="39"/>
        <v>2026</v>
      </c>
      <c r="W839" s="106" t="str" cm="1">
        <f t="array" ref="W839">IF(TRIM($K839)="","(tidak diisi)",IFERROR(INDEX(Kamus!$K$3:$K$118,MATCH(TRUE,ISNUMBER(SEARCH(Kamus!$J$3:$J$118,$K839)),0)),"Individu / Perorangan"))</f>
        <v>Tidak Diketahui</v>
      </c>
      <c r="X839" s="106" t="str">
        <f t="shared" si="40"/>
        <v>03</v>
      </c>
      <c r="Y839" s="106" t="str" cm="1">
        <f t="array" ref="Y839">IFERROR(INDEX(Kamus!$N$3:$N$111,MATCH(TRUE,ISNUMBER(SEARCH(Kamus!$M$3:$M$111,$I839)),0)),"")</f>
        <v/>
      </c>
      <c r="Z839" s="106" t="str">
        <f>IF(AND(OR($X839="02",$X839="03",$X839="04"),OR($T839="Parsel/Bingkisan (tidak dirinci)",$T839="Makanan &amp; Minuman",$T839="Peralatan Rumah Tangga / Pecah Belah",$T839="Pakaian &amp; Kain")),"Momen Hari Raya (dugaan musiman)",IFERROR(VLOOKUP($W839,Kamus!$P$3:$Q$14,2,FALSE),"Tidak Teridentifikasi"))</f>
        <v>Momen Hari Raya (dugaan musiman)</v>
      </c>
      <c r="AA839" s="106" t="str">
        <f t="shared" si="41"/>
        <v>Momen Hari Raya (dugaan musiman)</v>
      </c>
    </row>
    <row r="840" spans="1:27">
      <c r="A840" s="106">
        <v>839</v>
      </c>
      <c r="B840" s="106" t="s">
        <v>1909</v>
      </c>
      <c r="C840" s="107" t="s">
        <v>1910</v>
      </c>
      <c r="D840" s="106" t="s">
        <v>1042</v>
      </c>
      <c r="E840" s="106" t="s">
        <v>1911</v>
      </c>
      <c r="F840" s="106" t="s">
        <v>5036</v>
      </c>
      <c r="G840" s="106" t="s">
        <v>1006</v>
      </c>
      <c r="H840" s="106" t="s">
        <v>5020</v>
      </c>
      <c r="I840" s="106" t="s">
        <v>5037</v>
      </c>
      <c r="J840" s="106">
        <v>700000</v>
      </c>
      <c r="K840" s="106" t="s">
        <v>2701</v>
      </c>
      <c r="L840" s="106" t="s">
        <v>5038</v>
      </c>
      <c r="M840" s="106" t="s">
        <v>1039</v>
      </c>
      <c r="O840" s="106" t="s">
        <v>274</v>
      </c>
      <c r="P840" s="106" t="s">
        <v>1916</v>
      </c>
      <c r="Q840" s="106" t="s">
        <v>423</v>
      </c>
      <c r="S840" s="106" t="str" cm="1">
        <f t="array" ref="S840">IF(TRIM($D840)="","(tidak diisi)",IFERROR(INDEX(Kamus!$B$3:$B$28,MATCH(TRUE,ISNUMBER(SEARCH(Kamus!$A$3:$A$28,$D840)),0)),"Jabatan Lainnya"))</f>
        <v>Ketua Pengadilan</v>
      </c>
      <c r="T840" s="106" t="str" cm="1">
        <f t="array" ref="T840">IF(TRIM($I840)="","(tidak diisi)",IFERROR(INDEX(Kamus!$E$3:$E$162,MATCH(TRUE,ISNUMBER(SEARCH(Kamus!$D$3:$D$162,$I840)),0)),"Barang Lain / Tidak Terinci"))</f>
        <v>Peralatan Rumah Tangga / Pecah Belah</v>
      </c>
      <c r="U840" s="106" t="str" cm="1">
        <f t="array" ref="U840">IF(TRIM($I840)="","(tidak diisi)",IFERROR(INDEX(Kamus!$H$3:$H$75,MATCH(TRUE,ISNUMBER(SEARCH(Kamus!$G$3:$G$75,$I840)),0)),"Pemberian Umum / Tanpa Konteks"))</f>
        <v>Pemberian Umum / Tanpa Konteks</v>
      </c>
      <c r="V840" s="106" t="str">
        <f t="shared" si="39"/>
        <v>2026</v>
      </c>
      <c r="W840" s="106" t="str" cm="1">
        <f t="array" ref="W840">IF(TRIM($K840)="","(tidak diisi)",IFERROR(INDEX(Kamus!$K$3:$K$118,MATCH(TRUE,ISNUMBER(SEARCH(Kamus!$J$3:$J$118,$K840)),0)),"Individu / Perorangan"))</f>
        <v>Tidak Diketahui</v>
      </c>
      <c r="X840" s="106" t="str">
        <f t="shared" si="40"/>
        <v>03</v>
      </c>
      <c r="Y840" s="106" t="str" cm="1">
        <f t="array" ref="Y840">IFERROR(INDEX(Kamus!$N$3:$N$111,MATCH(TRUE,ISNUMBER(SEARCH(Kamus!$M$3:$M$111,$I840)),0)),"")</f>
        <v/>
      </c>
      <c r="Z840" s="106" t="str">
        <f>IF(AND(OR($X840="02",$X840="03",$X840="04"),OR($T840="Parsel/Bingkisan (tidak dirinci)",$T840="Makanan &amp; Minuman",$T840="Peralatan Rumah Tangga / Pecah Belah",$T840="Pakaian &amp; Kain")),"Momen Hari Raya (dugaan musiman)",IFERROR(VLOOKUP($W840,Kamus!$P$3:$Q$14,2,FALSE),"Tidak Teridentifikasi"))</f>
        <v>Momen Hari Raya (dugaan musiman)</v>
      </c>
      <c r="AA840" s="106" t="str">
        <f t="shared" si="41"/>
        <v>Momen Hari Raya (dugaan musiman)</v>
      </c>
    </row>
    <row r="841" spans="1:27">
      <c r="A841" s="106">
        <v>840</v>
      </c>
      <c r="B841" s="106" t="s">
        <v>1909</v>
      </c>
      <c r="C841" s="107" t="s">
        <v>1910</v>
      </c>
      <c r="D841" s="106" t="s">
        <v>1042</v>
      </c>
      <c r="E841" s="106" t="s">
        <v>1911</v>
      </c>
      <c r="F841" s="106" t="s">
        <v>5039</v>
      </c>
      <c r="G841" s="106" t="s">
        <v>1006</v>
      </c>
      <c r="H841" s="106" t="s">
        <v>5020</v>
      </c>
      <c r="I841" s="106" t="s">
        <v>5040</v>
      </c>
      <c r="J841" s="106">
        <v>200000</v>
      </c>
      <c r="K841" s="106" t="s">
        <v>2701</v>
      </c>
      <c r="L841" s="106" t="s">
        <v>5041</v>
      </c>
      <c r="M841" s="106" t="s">
        <v>1039</v>
      </c>
      <c r="O841" s="106" t="s">
        <v>274</v>
      </c>
      <c r="P841" s="106" t="s">
        <v>1916</v>
      </c>
      <c r="Q841" s="106" t="s">
        <v>423</v>
      </c>
      <c r="S841" s="106" t="str" cm="1">
        <f t="array" ref="S841">IF(TRIM($D841)="","(tidak diisi)",IFERROR(INDEX(Kamus!$B$3:$B$28,MATCH(TRUE,ISNUMBER(SEARCH(Kamus!$A$3:$A$28,$D841)),0)),"Jabatan Lainnya"))</f>
        <v>Ketua Pengadilan</v>
      </c>
      <c r="T841" s="106" t="str" cm="1">
        <f t="array" ref="T841">IF(TRIM($I841)="","(tidak diisi)",IFERROR(INDEX(Kamus!$E$3:$E$162,MATCH(TRUE,ISNUMBER(SEARCH(Kamus!$D$3:$D$162,$I841)),0)),"Barang Lain / Tidak Terinci"))</f>
        <v>Peralatan Rumah Tangga / Pecah Belah</v>
      </c>
      <c r="U841" s="106" t="str" cm="1">
        <f t="array" ref="U841">IF(TRIM($I841)="","(tidak diisi)",IFERROR(INDEX(Kamus!$H$3:$H$75,MATCH(TRUE,ISNUMBER(SEARCH(Kamus!$G$3:$G$75,$I841)),0)),"Pemberian Umum / Tanpa Konteks"))</f>
        <v>Pemberian Umum / Tanpa Konteks</v>
      </c>
      <c r="V841" s="106" t="str">
        <f t="shared" si="39"/>
        <v>2026</v>
      </c>
      <c r="W841" s="106" t="str" cm="1">
        <f t="array" ref="W841">IF(TRIM($K841)="","(tidak diisi)",IFERROR(INDEX(Kamus!$K$3:$K$118,MATCH(TRUE,ISNUMBER(SEARCH(Kamus!$J$3:$J$118,$K841)),0)),"Individu / Perorangan"))</f>
        <v>Tidak Diketahui</v>
      </c>
      <c r="X841" s="106" t="str">
        <f t="shared" si="40"/>
        <v>03</v>
      </c>
      <c r="Y841" s="106" t="str" cm="1">
        <f t="array" ref="Y841">IFERROR(INDEX(Kamus!$N$3:$N$111,MATCH(TRUE,ISNUMBER(SEARCH(Kamus!$M$3:$M$111,$I841)),0)),"")</f>
        <v/>
      </c>
      <c r="Z841" s="106" t="str">
        <f>IF(AND(OR($X841="02",$X841="03",$X841="04"),OR($T841="Parsel/Bingkisan (tidak dirinci)",$T841="Makanan &amp; Minuman",$T841="Peralatan Rumah Tangga / Pecah Belah",$T841="Pakaian &amp; Kain")),"Momen Hari Raya (dugaan musiman)",IFERROR(VLOOKUP($W841,Kamus!$P$3:$Q$14,2,FALSE),"Tidak Teridentifikasi"))</f>
        <v>Momen Hari Raya (dugaan musiman)</v>
      </c>
      <c r="AA841" s="106" t="str">
        <f t="shared" si="41"/>
        <v>Momen Hari Raya (dugaan musiman)</v>
      </c>
    </row>
    <row r="842" spans="1:27">
      <c r="A842" s="106">
        <v>841</v>
      </c>
      <c r="B842" s="106" t="s">
        <v>1909</v>
      </c>
      <c r="C842" s="107" t="s">
        <v>1910</v>
      </c>
      <c r="D842" s="106" t="s">
        <v>1042</v>
      </c>
      <c r="E842" s="106" t="s">
        <v>1911</v>
      </c>
      <c r="F842" s="106" t="s">
        <v>5039</v>
      </c>
      <c r="G842" s="106" t="s">
        <v>1006</v>
      </c>
      <c r="H842" s="106" t="s">
        <v>5020</v>
      </c>
      <c r="I842" s="106" t="s">
        <v>5042</v>
      </c>
      <c r="J842" s="106">
        <v>400000</v>
      </c>
      <c r="K842" s="106" t="s">
        <v>2701</v>
      </c>
      <c r="L842" s="106" t="s">
        <v>5041</v>
      </c>
      <c r="M842" s="106" t="s">
        <v>2529</v>
      </c>
      <c r="O842" s="106" t="s">
        <v>274</v>
      </c>
      <c r="P842" s="106" t="s">
        <v>1916</v>
      </c>
      <c r="Q842" s="106" t="s">
        <v>423</v>
      </c>
      <c r="S842" s="106" t="str" cm="1">
        <f t="array" ref="S842">IF(TRIM($D842)="","(tidak diisi)",IFERROR(INDEX(Kamus!$B$3:$B$28,MATCH(TRUE,ISNUMBER(SEARCH(Kamus!$A$3:$A$28,$D842)),0)),"Jabatan Lainnya"))</f>
        <v>Ketua Pengadilan</v>
      </c>
      <c r="T842" s="106" t="str" cm="1">
        <f t="array" ref="T842">IF(TRIM($I842)="","(tidak diisi)",IFERROR(INDEX(Kamus!$E$3:$E$162,MATCH(TRUE,ISNUMBER(SEARCH(Kamus!$D$3:$D$162,$I842)),0)),"Barang Lain / Tidak Terinci"))</f>
        <v>Makanan &amp; Minuman</v>
      </c>
      <c r="U842" s="106" t="str" cm="1">
        <f t="array" ref="U842">IF(TRIM($I842)="","(tidak diisi)",IFERROR(INDEX(Kamus!$H$3:$H$75,MATCH(TRUE,ISNUMBER(SEARCH(Kamus!$G$3:$G$75,$I842)),0)),"Pemberian Umum / Tanpa Konteks"))</f>
        <v>Pemberian Umum / Tanpa Konteks</v>
      </c>
      <c r="V842" s="106" t="str">
        <f t="shared" si="39"/>
        <v>2026</v>
      </c>
      <c r="W842" s="106" t="str" cm="1">
        <f t="array" ref="W842">IF(TRIM($K842)="","(tidak diisi)",IFERROR(INDEX(Kamus!$K$3:$K$118,MATCH(TRUE,ISNUMBER(SEARCH(Kamus!$J$3:$J$118,$K842)),0)),"Individu / Perorangan"))</f>
        <v>Tidak Diketahui</v>
      </c>
      <c r="X842" s="106" t="str">
        <f t="shared" si="40"/>
        <v>03</v>
      </c>
      <c r="Y842" s="106" t="str" cm="1">
        <f t="array" ref="Y842">IFERROR(INDEX(Kamus!$N$3:$N$111,MATCH(TRUE,ISNUMBER(SEARCH(Kamus!$M$3:$M$111,$I842)),0)),"")</f>
        <v/>
      </c>
      <c r="Z842" s="106" t="str">
        <f>IF(AND(OR($X842="02",$X842="03",$X842="04"),OR($T842="Parsel/Bingkisan (tidak dirinci)",$T842="Makanan &amp; Minuman",$T842="Peralatan Rumah Tangga / Pecah Belah",$T842="Pakaian &amp; Kain")),"Momen Hari Raya (dugaan musiman)",IFERROR(VLOOKUP($W842,Kamus!$P$3:$Q$14,2,FALSE),"Tidak Teridentifikasi"))</f>
        <v>Momen Hari Raya (dugaan musiman)</v>
      </c>
      <c r="AA842" s="106" t="str">
        <f t="shared" si="41"/>
        <v>Momen Hari Raya (dugaan musiman)</v>
      </c>
    </row>
    <row r="843" spans="1:27">
      <c r="A843" s="106">
        <v>842</v>
      </c>
      <c r="B843" s="106" t="s">
        <v>3865</v>
      </c>
      <c r="C843" s="107" t="s">
        <v>3866</v>
      </c>
      <c r="D843" s="106" t="s">
        <v>1042</v>
      </c>
      <c r="E843" s="106" t="s">
        <v>1005</v>
      </c>
      <c r="F843" s="106" t="s">
        <v>5043</v>
      </c>
      <c r="G843" s="106" t="s">
        <v>1006</v>
      </c>
      <c r="H843" s="106" t="s">
        <v>2525</v>
      </c>
      <c r="I843" s="106" t="s">
        <v>5044</v>
      </c>
      <c r="J843" s="106">
        <v>250000</v>
      </c>
      <c r="K843" s="106" t="s">
        <v>5045</v>
      </c>
      <c r="L843" s="106" t="s">
        <v>5046</v>
      </c>
      <c r="M843" s="106" t="s">
        <v>1039</v>
      </c>
      <c r="O843" s="106" t="s">
        <v>274</v>
      </c>
      <c r="S843" s="106" t="str" cm="1">
        <f t="array" ref="S843">IF(TRIM($D843)="","(tidak diisi)",IFERROR(INDEX(Kamus!$B$3:$B$28,MATCH(TRUE,ISNUMBER(SEARCH(Kamus!$A$3:$A$28,$D843)),0)),"Jabatan Lainnya"))</f>
        <v>Ketua Pengadilan</v>
      </c>
      <c r="T843" s="106" t="str" cm="1">
        <f t="array" ref="T843">IF(TRIM($I843)="","(tidak diisi)",IFERROR(INDEX(Kamus!$E$3:$E$162,MATCH(TRUE,ISNUMBER(SEARCH(Kamus!$D$3:$D$162,$I843)),0)),"Barang Lain / Tidak Terinci"))</f>
        <v>Peralatan Rumah Tangga / Pecah Belah</v>
      </c>
      <c r="U843" s="106" t="str" cm="1">
        <f t="array" ref="U843">IF(TRIM($I843)="","(tidak diisi)",IFERROR(INDEX(Kamus!$H$3:$H$75,MATCH(TRUE,ISNUMBER(SEARCH(Kamus!$G$3:$G$75,$I843)),0)),"Pemberian Umum / Tanpa Konteks"))</f>
        <v>Pemberian Umum / Tanpa Konteks</v>
      </c>
      <c r="V843" s="106" t="str">
        <f t="shared" si="39"/>
        <v>2026</v>
      </c>
      <c r="W843" s="106" t="str" cm="1">
        <f t="array" ref="W843">IF(TRIM($K843)="","(tidak diisi)",IFERROR(INDEX(Kamus!$K$3:$K$118,MATCH(TRUE,ISNUMBER(SEARCH(Kamus!$J$3:$J$118,$K843)),0)),"Individu / Perorangan"))</f>
        <v>Individu / Perorangan</v>
      </c>
      <c r="X843" s="106" t="str">
        <f t="shared" si="40"/>
        <v>03</v>
      </c>
      <c r="Y843" s="106" t="str" cm="1">
        <f t="array" ref="Y843">IFERROR(INDEX(Kamus!$N$3:$N$111,MATCH(TRUE,ISNUMBER(SEARCH(Kamus!$M$3:$M$111,$I843)),0)),"")</f>
        <v/>
      </c>
      <c r="Z843" s="106" t="str">
        <f>IF(AND(OR($X843="02",$X843="03",$X843="04"),OR($T843="Parsel/Bingkisan (tidak dirinci)",$T843="Makanan &amp; Minuman",$T843="Peralatan Rumah Tangga / Pecah Belah",$T843="Pakaian &amp; Kain")),"Momen Hari Raya (dugaan musiman)",IFERROR(VLOOKUP($W843,Kamus!$P$3:$Q$14,2,FALSE),"Tidak Teridentifikasi"))</f>
        <v>Momen Hari Raya (dugaan musiman)</v>
      </c>
      <c r="AA843" s="106" t="str">
        <f t="shared" si="41"/>
        <v>Momen Hari Raya (dugaan musiman)</v>
      </c>
    </row>
    <row r="844" spans="1:27">
      <c r="A844" s="106">
        <v>843</v>
      </c>
      <c r="B844" s="106" t="s">
        <v>3865</v>
      </c>
      <c r="C844" s="107" t="s">
        <v>3866</v>
      </c>
      <c r="D844" s="106" t="s">
        <v>1042</v>
      </c>
      <c r="E844" s="106" t="s">
        <v>1005</v>
      </c>
      <c r="F844" s="106" t="s">
        <v>5043</v>
      </c>
      <c r="G844" s="106" t="s">
        <v>1006</v>
      </c>
      <c r="H844" s="106" t="s">
        <v>2525</v>
      </c>
      <c r="I844" s="106" t="s">
        <v>2459</v>
      </c>
      <c r="J844" s="106">
        <v>100000</v>
      </c>
      <c r="K844" s="106" t="s">
        <v>5045</v>
      </c>
      <c r="L844" s="106" t="s">
        <v>5046</v>
      </c>
      <c r="M844" s="106" t="s">
        <v>2529</v>
      </c>
      <c r="O844" s="106" t="s">
        <v>274</v>
      </c>
      <c r="S844" s="106" t="str" cm="1">
        <f t="array" ref="S844">IF(TRIM($D844)="","(tidak diisi)",IFERROR(INDEX(Kamus!$B$3:$B$28,MATCH(TRUE,ISNUMBER(SEARCH(Kamus!$A$3:$A$28,$D844)),0)),"Jabatan Lainnya"))</f>
        <v>Ketua Pengadilan</v>
      </c>
      <c r="T844" s="106" t="str" cm="1">
        <f t="array" ref="T844">IF(TRIM($I844)="","(tidak diisi)",IFERROR(INDEX(Kamus!$E$3:$E$162,MATCH(TRUE,ISNUMBER(SEARCH(Kamus!$D$3:$D$162,$I844)),0)),"Barang Lain / Tidak Terinci"))</f>
        <v>Makanan &amp; Minuman</v>
      </c>
      <c r="U844" s="106" t="str" cm="1">
        <f t="array" ref="U844">IF(TRIM($I844)="","(tidak diisi)",IFERROR(INDEX(Kamus!$H$3:$H$75,MATCH(TRUE,ISNUMBER(SEARCH(Kamus!$G$3:$G$75,$I844)),0)),"Pemberian Umum / Tanpa Konteks"))</f>
        <v>Parsel/Bingkisan Umum (non-hari raya)</v>
      </c>
      <c r="V844" s="106" t="str">
        <f t="shared" si="39"/>
        <v>2026</v>
      </c>
      <c r="W844" s="106" t="str" cm="1">
        <f t="array" ref="W844">IF(TRIM($K844)="","(tidak diisi)",IFERROR(INDEX(Kamus!$K$3:$K$118,MATCH(TRUE,ISNUMBER(SEARCH(Kamus!$J$3:$J$118,$K844)),0)),"Individu / Perorangan"))</f>
        <v>Individu / Perorangan</v>
      </c>
      <c r="X844" s="106" t="str">
        <f t="shared" si="40"/>
        <v>03</v>
      </c>
      <c r="Y844" s="106" t="str" cm="1">
        <f t="array" ref="Y844">IFERROR(INDEX(Kamus!$N$3:$N$111,MATCH(TRUE,ISNUMBER(SEARCH(Kamus!$M$3:$M$111,$I844)),0)),"")</f>
        <v/>
      </c>
      <c r="Z844" s="106" t="str">
        <f>IF(AND(OR($X844="02",$X844="03",$X844="04"),OR($T844="Parsel/Bingkisan (tidak dirinci)",$T844="Makanan &amp; Minuman",$T844="Peralatan Rumah Tangga / Pecah Belah",$T844="Pakaian &amp; Kain")),"Momen Hari Raya (dugaan musiman)",IFERROR(VLOOKUP($W844,Kamus!$P$3:$Q$14,2,FALSE),"Tidak Teridentifikasi"))</f>
        <v>Momen Hari Raya (dugaan musiman)</v>
      </c>
      <c r="AA844" s="106" t="str">
        <f t="shared" si="41"/>
        <v>Momen Hari Raya (dugaan musiman)</v>
      </c>
    </row>
    <row r="845" spans="1:27">
      <c r="A845" s="106">
        <v>844</v>
      </c>
      <c r="B845" s="106" t="s">
        <v>4713</v>
      </c>
      <c r="C845" s="107" t="s">
        <v>4714</v>
      </c>
      <c r="D845" s="106" t="s">
        <v>4715</v>
      </c>
      <c r="E845" s="106" t="s">
        <v>1005</v>
      </c>
      <c r="G845" s="106" t="s">
        <v>1074</v>
      </c>
      <c r="L845" s="106" t="s">
        <v>5047</v>
      </c>
      <c r="O845" s="106" t="s">
        <v>274</v>
      </c>
      <c r="S845" s="106" t="str" cm="1">
        <f t="array" ref="S845">IF(TRIM($D845)="","(tidak diisi)",IFERROR(INDEX(Kamus!$B$3:$B$28,MATCH(TRUE,ISNUMBER(SEARCH(Kamus!$A$3:$A$28,$D845)),0)),"Jabatan Lainnya"))</f>
        <v>Staf/Pegawai Pelaksana</v>
      </c>
      <c r="T845" s="106" t="str" cm="1">
        <f t="array" ref="T845">IF(TRIM($I845)="","(tidak diisi)",IFERROR(INDEX(Kamus!$E$3:$E$162,MATCH(TRUE,ISNUMBER(SEARCH(Kamus!$D$3:$D$162,$I845)),0)),"Barang Lain / Tidak Terinci"))</f>
        <v>(tidak diisi)</v>
      </c>
      <c r="U845" s="106" t="str" cm="1">
        <f t="array" ref="U845">IF(TRIM($I845)="","(tidak diisi)",IFERROR(INDEX(Kamus!$H$3:$H$75,MATCH(TRUE,ISNUMBER(SEARCH(Kamus!$G$3:$G$75,$I845)),0)),"Pemberian Umum / Tanpa Konteks"))</f>
        <v>(tidak diisi)</v>
      </c>
      <c r="V845" s="106" t="str">
        <f t="shared" si="39"/>
        <v>(tidak diisi)</v>
      </c>
      <c r="W845" s="106" t="str" cm="1">
        <f t="array" ref="W845">IF(TRIM($K845)="","(tidak diisi)",IFERROR(INDEX(Kamus!$K$3:$K$118,MATCH(TRUE,ISNUMBER(SEARCH(Kamus!$J$3:$J$118,$K845)),0)),"Individu / Perorangan"))</f>
        <v>(tidak diisi)</v>
      </c>
      <c r="X845" s="106" t="str">
        <f t="shared" si="40"/>
        <v>(tidak diisi)</v>
      </c>
      <c r="Y845" s="106" t="str" cm="1">
        <f t="array" ref="Y845">IFERROR(INDEX(Kamus!$N$3:$N$111,MATCH(TRUE,ISNUMBER(SEARCH(Kamus!$M$3:$M$111,$I845)),0)),"")</f>
        <v/>
      </c>
      <c r="Z845" s="106" t="str">
        <f>IF(AND(OR($X845="02",$X845="03",$X845="04"),OR($T845="Parsel/Bingkisan (tidak dirinci)",$T845="Makanan &amp; Minuman",$T845="Peralatan Rumah Tangga / Pecah Belah",$T845="Pakaian &amp; Kain")),"Momen Hari Raya (dugaan musiman)",IFERROR(VLOOKUP($W845,Kamus!$P$3:$Q$14,2,FALSE),"Tidak Teridentifikasi"))</f>
        <v>Tidak Teridentifikasi</v>
      </c>
      <c r="AA845" s="106" t="str">
        <f t="shared" si="41"/>
        <v>Tidak Teridentifikasi</v>
      </c>
    </row>
    <row r="846" spans="1:27">
      <c r="A846" s="106">
        <v>845</v>
      </c>
      <c r="B846" s="106" t="s">
        <v>1105</v>
      </c>
      <c r="C846" s="107" t="s">
        <v>1106</v>
      </c>
      <c r="D846" s="106" t="s">
        <v>1042</v>
      </c>
      <c r="E846" s="106" t="s">
        <v>1014</v>
      </c>
      <c r="F846" s="106" t="s">
        <v>5048</v>
      </c>
      <c r="G846" s="106" t="s">
        <v>1006</v>
      </c>
      <c r="H846" s="106" t="s">
        <v>2525</v>
      </c>
      <c r="I846" s="106" t="s">
        <v>5049</v>
      </c>
      <c r="J846" s="106">
        <v>150000</v>
      </c>
      <c r="K846" s="106" t="s">
        <v>5050</v>
      </c>
      <c r="L846" s="106" t="s">
        <v>5051</v>
      </c>
      <c r="M846" s="106" t="s">
        <v>2529</v>
      </c>
      <c r="O846" s="106" t="s">
        <v>274</v>
      </c>
      <c r="P846" s="106" t="s">
        <v>1021</v>
      </c>
      <c r="Q846" s="106" t="s">
        <v>428</v>
      </c>
      <c r="S846" s="106" t="str" cm="1">
        <f t="array" ref="S846">IF(TRIM($D846)="","(tidak diisi)",IFERROR(INDEX(Kamus!$B$3:$B$28,MATCH(TRUE,ISNUMBER(SEARCH(Kamus!$A$3:$A$28,$D846)),0)),"Jabatan Lainnya"))</f>
        <v>Ketua Pengadilan</v>
      </c>
      <c r="T846" s="106" t="str" cm="1">
        <f t="array" ref="T846">IF(TRIM($I846)="","(tidak diisi)",IFERROR(INDEX(Kamus!$E$3:$E$162,MATCH(TRUE,ISNUMBER(SEARCH(Kamus!$D$3:$D$162,$I846)),0)),"Barang Lain / Tidak Terinci"))</f>
        <v>Makanan &amp; Minuman</v>
      </c>
      <c r="U846" s="106" t="str" cm="1">
        <f t="array" ref="U846">IF(TRIM($I846)="","(tidak diisi)",IFERROR(INDEX(Kamus!$H$3:$H$75,MATCH(TRUE,ISNUMBER(SEARCH(Kamus!$G$3:$G$75,$I846)),0)),"Pemberian Umum / Tanpa Konteks"))</f>
        <v>Pemberian Umum / Tanpa Konteks</v>
      </c>
      <c r="V846" s="106" t="str">
        <f t="shared" si="39"/>
        <v>2026</v>
      </c>
      <c r="W846" s="106" t="str" cm="1">
        <f t="array" ref="W846">IF(TRIM($K846)="","(tidak diisi)",IFERROR(INDEX(Kamus!$K$3:$K$118,MATCH(TRUE,ISNUMBER(SEARCH(Kamus!$J$3:$J$118,$K846)),0)),"Individu / Perorangan"))</f>
        <v>Individu / Perorangan</v>
      </c>
      <c r="X846" s="106" t="str">
        <f t="shared" si="40"/>
        <v>03</v>
      </c>
      <c r="Y846" s="106" t="str" cm="1">
        <f t="array" ref="Y846">IFERROR(INDEX(Kamus!$N$3:$N$111,MATCH(TRUE,ISNUMBER(SEARCH(Kamus!$M$3:$M$111,$I846)),0)),"")</f>
        <v/>
      </c>
      <c r="Z846" s="106" t="str">
        <f>IF(AND(OR($X846="02",$X846="03",$X846="04"),OR($T846="Parsel/Bingkisan (tidak dirinci)",$T846="Makanan &amp; Minuman",$T846="Peralatan Rumah Tangga / Pecah Belah",$T846="Pakaian &amp; Kain")),"Momen Hari Raya (dugaan musiman)",IFERROR(VLOOKUP($W846,Kamus!$P$3:$Q$14,2,FALSE),"Tidak Teridentifikasi"))</f>
        <v>Momen Hari Raya (dugaan musiman)</v>
      </c>
      <c r="AA846" s="106" t="str">
        <f t="shared" si="41"/>
        <v>Momen Hari Raya (dugaan musiman)</v>
      </c>
    </row>
    <row r="847" spans="1:27">
      <c r="A847" s="106">
        <v>846</v>
      </c>
      <c r="B847" s="106" t="s">
        <v>4874</v>
      </c>
      <c r="C847" s="107" t="s">
        <v>4875</v>
      </c>
      <c r="D847" s="106" t="s">
        <v>1843</v>
      </c>
      <c r="E847" s="106" t="s">
        <v>1005</v>
      </c>
      <c r="F847" s="106" t="s">
        <v>5052</v>
      </c>
      <c r="G847" s="106" t="s">
        <v>1006</v>
      </c>
      <c r="H847" s="106" t="s">
        <v>5020</v>
      </c>
      <c r="I847" s="106" t="s">
        <v>1255</v>
      </c>
      <c r="K847" s="106" t="s">
        <v>5053</v>
      </c>
      <c r="L847" s="106" t="s">
        <v>5054</v>
      </c>
      <c r="O847" s="106" t="s">
        <v>274</v>
      </c>
      <c r="S847" s="106" t="str" cm="1">
        <f t="array" ref="S847">IF(TRIM($D847)="","(tidak diisi)",IFERROR(INDEX(Kamus!$B$3:$B$28,MATCH(TRUE,ISNUMBER(SEARCH(Kamus!$A$3:$A$28,$D847)),0)),"Jabatan Lainnya"))</f>
        <v>Ketua Pengadilan</v>
      </c>
      <c r="T847" s="106" t="str" cm="1">
        <f t="array" ref="T847">IF(TRIM($I847)="","(tidak diisi)",IFERROR(INDEX(Kamus!$E$3:$E$162,MATCH(TRUE,ISNUMBER(SEARCH(Kamus!$D$3:$D$162,$I847)),0)),"Barang Lain / Tidak Terinci"))</f>
        <v>Makanan &amp; Minuman</v>
      </c>
      <c r="U847" s="106" t="str" cm="1">
        <f t="array" ref="U847">IF(TRIM($I847)="","(tidak diisi)",IFERROR(INDEX(Kamus!$H$3:$H$75,MATCH(TRUE,ISNUMBER(SEARCH(Kamus!$G$3:$G$75,$I847)),0)),"Pemberian Umum / Tanpa Konteks"))</f>
        <v>Parsel/Bingkisan Umum (non-hari raya)</v>
      </c>
      <c r="V847" s="106" t="str">
        <f t="shared" si="39"/>
        <v>2026</v>
      </c>
      <c r="W847" s="106" t="str" cm="1">
        <f t="array" ref="W847">IF(TRIM($K847)="","(tidak diisi)",IFERROR(INDEX(Kamus!$K$3:$K$118,MATCH(TRUE,ISNUMBER(SEARCH(Kamus!$J$3:$J$118,$K847)),0)),"Individu / Perorangan"))</f>
        <v>Individu / Perorangan</v>
      </c>
      <c r="X847" s="106" t="str">
        <f t="shared" si="40"/>
        <v>03</v>
      </c>
      <c r="Y847" s="106" t="str" cm="1">
        <f t="array" ref="Y847">IFERROR(INDEX(Kamus!$N$3:$N$111,MATCH(TRUE,ISNUMBER(SEARCH(Kamus!$M$3:$M$111,$I847)),0)),"")</f>
        <v/>
      </c>
      <c r="Z847" s="106" t="str">
        <f>IF(AND(OR($X847="02",$X847="03",$X847="04"),OR($T847="Parsel/Bingkisan (tidak dirinci)",$T847="Makanan &amp; Minuman",$T847="Peralatan Rumah Tangga / Pecah Belah",$T847="Pakaian &amp; Kain")),"Momen Hari Raya (dugaan musiman)",IFERROR(VLOOKUP($W847,Kamus!$P$3:$Q$14,2,FALSE),"Tidak Teridentifikasi"))</f>
        <v>Momen Hari Raya (dugaan musiman)</v>
      </c>
      <c r="AA847" s="106" t="str">
        <f t="shared" si="41"/>
        <v>Momen Hari Raya (dugaan musiman)</v>
      </c>
    </row>
    <row r="848" spans="1:27">
      <c r="A848" s="106">
        <v>847</v>
      </c>
      <c r="B848" s="106" t="s">
        <v>4874</v>
      </c>
      <c r="C848" s="107" t="s">
        <v>4875</v>
      </c>
      <c r="D848" s="106" t="s">
        <v>1843</v>
      </c>
      <c r="E848" s="106" t="s">
        <v>1005</v>
      </c>
      <c r="F848" s="106" t="s">
        <v>5055</v>
      </c>
      <c r="G848" s="106" t="s">
        <v>1006</v>
      </c>
      <c r="H848" s="106" t="s">
        <v>5020</v>
      </c>
      <c r="I848" s="106" t="s">
        <v>5056</v>
      </c>
      <c r="K848" s="106" t="s">
        <v>5057</v>
      </c>
      <c r="L848" s="106" t="s">
        <v>5058</v>
      </c>
      <c r="O848" s="106" t="s">
        <v>274</v>
      </c>
      <c r="S848" s="106" t="str" cm="1">
        <f t="array" ref="S848">IF(TRIM($D848)="","(tidak diisi)",IFERROR(INDEX(Kamus!$B$3:$B$28,MATCH(TRUE,ISNUMBER(SEARCH(Kamus!$A$3:$A$28,$D848)),0)),"Jabatan Lainnya"))</f>
        <v>Ketua Pengadilan</v>
      </c>
      <c r="T848" s="106" t="str" cm="1">
        <f t="array" ref="T848">IF(TRIM($I848)="","(tidak diisi)",IFERROR(INDEX(Kamus!$E$3:$E$162,MATCH(TRUE,ISNUMBER(SEARCH(Kamus!$D$3:$D$162,$I848)),0)),"Barang Lain / Tidak Terinci"))</f>
        <v>Peralatan Rumah Tangga / Pecah Belah</v>
      </c>
      <c r="U848" s="106" t="str" cm="1">
        <f t="array" ref="U848">IF(TRIM($I848)="","(tidak diisi)",IFERROR(INDEX(Kamus!$H$3:$H$75,MATCH(TRUE,ISNUMBER(SEARCH(Kamus!$G$3:$G$75,$I848)),0)),"Pemberian Umum / Tanpa Konteks"))</f>
        <v>Parsel/Bingkisan Umum (non-hari raya)</v>
      </c>
      <c r="V848" s="106" t="str">
        <f t="shared" si="39"/>
        <v>2026</v>
      </c>
      <c r="W848" s="106" t="str" cm="1">
        <f t="array" ref="W848">IF(TRIM($K848)="","(tidak diisi)",IFERROR(INDEX(Kamus!$K$3:$K$118,MATCH(TRUE,ISNUMBER(SEARCH(Kamus!$J$3:$J$118,$K848)),0)),"Individu / Perorangan"))</f>
        <v>Individu / Perorangan</v>
      </c>
      <c r="X848" s="106" t="str">
        <f t="shared" si="40"/>
        <v>03</v>
      </c>
      <c r="Y848" s="106" t="str" cm="1">
        <f t="array" ref="Y848">IFERROR(INDEX(Kamus!$N$3:$N$111,MATCH(TRUE,ISNUMBER(SEARCH(Kamus!$M$3:$M$111,$I848)),0)),"")</f>
        <v/>
      </c>
      <c r="Z848" s="106" t="str">
        <f>IF(AND(OR($X848="02",$X848="03",$X848="04"),OR($T848="Parsel/Bingkisan (tidak dirinci)",$T848="Makanan &amp; Minuman",$T848="Peralatan Rumah Tangga / Pecah Belah",$T848="Pakaian &amp; Kain")),"Momen Hari Raya (dugaan musiman)",IFERROR(VLOOKUP($W848,Kamus!$P$3:$Q$14,2,FALSE),"Tidak Teridentifikasi"))</f>
        <v>Momen Hari Raya (dugaan musiman)</v>
      </c>
      <c r="AA848" s="106" t="str">
        <f t="shared" si="41"/>
        <v>Momen Hari Raya (dugaan musiman)</v>
      </c>
    </row>
    <row r="849" spans="1:27">
      <c r="A849" s="106">
        <v>848</v>
      </c>
      <c r="B849" s="106" t="s">
        <v>4874</v>
      </c>
      <c r="C849" s="107" t="s">
        <v>4875</v>
      </c>
      <c r="D849" s="106" t="s">
        <v>1843</v>
      </c>
      <c r="E849" s="106" t="s">
        <v>1005</v>
      </c>
      <c r="F849" s="106" t="s">
        <v>5059</v>
      </c>
      <c r="G849" s="106" t="s">
        <v>1074</v>
      </c>
      <c r="H849" s="106" t="s">
        <v>5020</v>
      </c>
      <c r="I849" s="106" t="s">
        <v>5060</v>
      </c>
      <c r="K849" s="106" t="s">
        <v>5061</v>
      </c>
      <c r="L849" s="106" t="s">
        <v>5062</v>
      </c>
      <c r="O849" s="106" t="s">
        <v>274</v>
      </c>
      <c r="S849" s="106" t="str" cm="1">
        <f t="array" ref="S849">IF(TRIM($D849)="","(tidak diisi)",IFERROR(INDEX(Kamus!$B$3:$B$28,MATCH(TRUE,ISNUMBER(SEARCH(Kamus!$A$3:$A$28,$D849)),0)),"Jabatan Lainnya"))</f>
        <v>Ketua Pengadilan</v>
      </c>
      <c r="T849" s="106" t="str" cm="1">
        <f t="array" ref="T849">IF(TRIM($I849)="","(tidak diisi)",IFERROR(INDEX(Kamus!$E$3:$E$162,MATCH(TRUE,ISNUMBER(SEARCH(Kamus!$D$3:$D$162,$I849)),0)),"Barang Lain / Tidak Terinci"))</f>
        <v>Peralatan Rumah Tangga / Pecah Belah</v>
      </c>
      <c r="U849" s="106" t="str" cm="1">
        <f t="array" ref="U849">IF(TRIM($I849)="","(tidak diisi)",IFERROR(INDEX(Kamus!$H$3:$H$75,MATCH(TRUE,ISNUMBER(SEARCH(Kamus!$G$3:$G$75,$I849)),0)),"Pemberian Umum / Tanpa Konteks"))</f>
        <v>Parsel/Bingkisan Umum (non-hari raya)</v>
      </c>
      <c r="V849" s="106" t="str">
        <f t="shared" si="39"/>
        <v>2026</v>
      </c>
      <c r="W849" s="106" t="str" cm="1">
        <f t="array" ref="W849">IF(TRIM($K849)="","(tidak diisi)",IFERROR(INDEX(Kamus!$K$3:$K$118,MATCH(TRUE,ISNUMBER(SEARCH(Kamus!$J$3:$J$118,$K849)),0)),"Individu / Perorangan"))</f>
        <v>Individu / Perorangan</v>
      </c>
      <c r="X849" s="106" t="str">
        <f t="shared" si="40"/>
        <v>03</v>
      </c>
      <c r="Y849" s="106" t="str" cm="1">
        <f t="array" ref="Y849">IFERROR(INDEX(Kamus!$N$3:$N$111,MATCH(TRUE,ISNUMBER(SEARCH(Kamus!$M$3:$M$111,$I849)),0)),"")</f>
        <v/>
      </c>
      <c r="Z849" s="106" t="str">
        <f>IF(AND(OR($X849="02",$X849="03",$X849="04"),OR($T849="Parsel/Bingkisan (tidak dirinci)",$T849="Makanan &amp; Minuman",$T849="Peralatan Rumah Tangga / Pecah Belah",$T849="Pakaian &amp; Kain")),"Momen Hari Raya (dugaan musiman)",IFERROR(VLOOKUP($W849,Kamus!$P$3:$Q$14,2,FALSE),"Tidak Teridentifikasi"))</f>
        <v>Momen Hari Raya (dugaan musiman)</v>
      </c>
      <c r="AA849" s="106" t="str">
        <f t="shared" si="41"/>
        <v>Momen Hari Raya (dugaan musiman)</v>
      </c>
    </row>
    <row r="850" spans="1:27">
      <c r="A850" s="106">
        <v>849</v>
      </c>
      <c r="B850" s="106" t="s">
        <v>4874</v>
      </c>
      <c r="C850" s="107" t="s">
        <v>4875</v>
      </c>
      <c r="D850" s="106" t="s">
        <v>1843</v>
      </c>
      <c r="E850" s="106" t="s">
        <v>1005</v>
      </c>
      <c r="F850" s="106" t="s">
        <v>5063</v>
      </c>
      <c r="G850" s="106" t="s">
        <v>1074</v>
      </c>
      <c r="H850" s="106" t="s">
        <v>5020</v>
      </c>
      <c r="I850" s="106" t="s">
        <v>5064</v>
      </c>
      <c r="K850" s="106" t="s">
        <v>5065</v>
      </c>
      <c r="L850" s="106" t="s">
        <v>5066</v>
      </c>
      <c r="O850" s="106" t="s">
        <v>274</v>
      </c>
      <c r="S850" s="106" t="str" cm="1">
        <f t="array" ref="S850">IF(TRIM($D850)="","(tidak diisi)",IFERROR(INDEX(Kamus!$B$3:$B$28,MATCH(TRUE,ISNUMBER(SEARCH(Kamus!$A$3:$A$28,$D850)),0)),"Jabatan Lainnya"))</f>
        <v>Ketua Pengadilan</v>
      </c>
      <c r="T850" s="106" t="str" cm="1">
        <f t="array" ref="T850">IF(TRIM($I850)="","(tidak diisi)",IFERROR(INDEX(Kamus!$E$3:$E$162,MATCH(TRUE,ISNUMBER(SEARCH(Kamus!$D$3:$D$162,$I850)),0)),"Barang Lain / Tidak Terinci"))</f>
        <v>Peralatan Rumah Tangga / Pecah Belah</v>
      </c>
      <c r="U850" s="106" t="str" cm="1">
        <f t="array" ref="U850">IF(TRIM($I850)="","(tidak diisi)",IFERROR(INDEX(Kamus!$H$3:$H$75,MATCH(TRUE,ISNUMBER(SEARCH(Kamus!$G$3:$G$75,$I850)),0)),"Pemberian Umum / Tanpa Konteks"))</f>
        <v>Pemberian Umum / Tanpa Konteks</v>
      </c>
      <c r="V850" s="106" t="str">
        <f t="shared" si="39"/>
        <v>2026</v>
      </c>
      <c r="W850" s="106" t="str" cm="1">
        <f t="array" ref="W850">IF(TRIM($K850)="","(tidak diisi)",IFERROR(INDEX(Kamus!$K$3:$K$118,MATCH(TRUE,ISNUMBER(SEARCH(Kamus!$J$3:$J$118,$K850)),0)),"Individu / Perorangan"))</f>
        <v>Bank &amp; Lembaga Keuangan</v>
      </c>
      <c r="X850" s="106" t="str">
        <f t="shared" si="40"/>
        <v>03</v>
      </c>
      <c r="Y850" s="106" t="str" cm="1">
        <f t="array" ref="Y850">IFERROR(INDEX(Kamus!$N$3:$N$111,MATCH(TRUE,ISNUMBER(SEARCH(Kamus!$M$3:$M$111,$I850)),0)),"")</f>
        <v/>
      </c>
      <c r="Z850" s="106" t="str">
        <f>IF(AND(OR($X850="02",$X850="03",$X850="04"),OR($T850="Parsel/Bingkisan (tidak dirinci)",$T850="Makanan &amp; Minuman",$T850="Peralatan Rumah Tangga / Pecah Belah",$T850="Pakaian &amp; Kain")),"Momen Hari Raya (dugaan musiman)",IFERROR(VLOOKUP($W850,Kamus!$P$3:$Q$14,2,FALSE),"Tidak Teridentifikasi"))</f>
        <v>Momen Hari Raya (dugaan musiman)</v>
      </c>
      <c r="AA850" s="106" t="str">
        <f t="shared" si="41"/>
        <v>Momen Hari Raya (dugaan musiman)</v>
      </c>
    </row>
    <row r="851" spans="1:27">
      <c r="A851" s="106">
        <v>850</v>
      </c>
      <c r="B851" s="106" t="s">
        <v>2033</v>
      </c>
      <c r="C851" s="107" t="s">
        <v>2034</v>
      </c>
      <c r="D851" s="106" t="s">
        <v>2035</v>
      </c>
      <c r="E851" s="106" t="s">
        <v>1005</v>
      </c>
      <c r="F851" s="106" t="s">
        <v>5067</v>
      </c>
      <c r="G851" s="106" t="s">
        <v>1074</v>
      </c>
      <c r="H851" s="106" t="s">
        <v>4970</v>
      </c>
      <c r="I851" s="106" t="s">
        <v>5068</v>
      </c>
      <c r="K851" s="106" t="s">
        <v>5069</v>
      </c>
      <c r="L851" s="106" t="s">
        <v>5070</v>
      </c>
      <c r="O851" s="106" t="s">
        <v>274</v>
      </c>
      <c r="S851" s="106" t="str" cm="1">
        <f t="array" ref="S851">IF(TRIM($D851)="","(tidak diisi)",IFERROR(INDEX(Kamus!$B$3:$B$28,MATCH(TRUE,ISNUMBER(SEARCH(Kamus!$A$3:$A$28,$D851)),0)),"Jabatan Lainnya"))</f>
        <v>Ketua Pengadilan</v>
      </c>
      <c r="T851" s="106" t="str" cm="1">
        <f t="array" ref="T851">IF(TRIM($I851)="","(tidak diisi)",IFERROR(INDEX(Kamus!$E$3:$E$162,MATCH(TRUE,ISNUMBER(SEARCH(Kamus!$D$3:$D$162,$I851)),0)),"Barang Lain / Tidak Terinci"))</f>
        <v>Pakaian &amp; Kain</v>
      </c>
      <c r="U851" s="106" t="str" cm="1">
        <f t="array" ref="U851">IF(TRIM($I851)="","(tidak diisi)",IFERROR(INDEX(Kamus!$H$3:$H$75,MATCH(TRUE,ISNUMBER(SEARCH(Kamus!$G$3:$G$75,$I851)),0)),"Pemberian Umum / Tanpa Konteks"))</f>
        <v>Parsel/Bingkisan Umum (non-hari raya)</v>
      </c>
      <c r="V851" s="106" t="str">
        <f t="shared" si="39"/>
        <v>2026</v>
      </c>
      <c r="W851" s="106" t="str" cm="1">
        <f t="array" ref="W851">IF(TRIM($K851)="","(tidak diisi)",IFERROR(INDEX(Kamus!$K$3:$K$118,MATCH(TRUE,ISNUMBER(SEARCH(Kamus!$J$3:$J$118,$K851)),0)),"Individu / Perorangan"))</f>
        <v>Individu / Perorangan</v>
      </c>
      <c r="X851" s="106" t="str">
        <f t="shared" si="40"/>
        <v>03</v>
      </c>
      <c r="Y851" s="106" t="str" cm="1">
        <f t="array" ref="Y851">IFERROR(INDEX(Kamus!$N$3:$N$111,MATCH(TRUE,ISNUMBER(SEARCH(Kamus!$M$3:$M$111,$I851)),0)),"")</f>
        <v/>
      </c>
      <c r="Z851" s="106" t="str">
        <f>IF(AND(OR($X851="02",$X851="03",$X851="04"),OR($T851="Parsel/Bingkisan (tidak dirinci)",$T851="Makanan &amp; Minuman",$T851="Peralatan Rumah Tangga / Pecah Belah",$T851="Pakaian &amp; Kain")),"Momen Hari Raya (dugaan musiman)",IFERROR(VLOOKUP($W851,Kamus!$P$3:$Q$14,2,FALSE),"Tidak Teridentifikasi"))</f>
        <v>Momen Hari Raya (dugaan musiman)</v>
      </c>
      <c r="AA851" s="106" t="str">
        <f t="shared" si="41"/>
        <v>Momen Hari Raya (dugaan musiman)</v>
      </c>
    </row>
    <row r="852" spans="1:27">
      <c r="A852" s="106">
        <v>851</v>
      </c>
      <c r="B852" s="106" t="s">
        <v>1040</v>
      </c>
      <c r="C852" s="107" t="s">
        <v>1041</v>
      </c>
      <c r="D852" s="106" t="s">
        <v>1042</v>
      </c>
      <c r="E852" s="106" t="s">
        <v>1043</v>
      </c>
      <c r="F852" s="106" t="s">
        <v>5071</v>
      </c>
      <c r="G852" s="106" t="s">
        <v>1006</v>
      </c>
      <c r="H852" s="106" t="s">
        <v>2525</v>
      </c>
      <c r="I852" s="106" t="s">
        <v>1857</v>
      </c>
      <c r="K852" s="106" t="s">
        <v>5072</v>
      </c>
      <c r="L852" s="106" t="s">
        <v>5073</v>
      </c>
      <c r="O852" s="106" t="s">
        <v>274</v>
      </c>
      <c r="P852" s="106" t="s">
        <v>1047</v>
      </c>
      <c r="Q852" s="106" t="s">
        <v>420</v>
      </c>
      <c r="S852" s="106" t="str" cm="1">
        <f t="array" ref="S852">IF(TRIM($D852)="","(tidak diisi)",IFERROR(INDEX(Kamus!$B$3:$B$28,MATCH(TRUE,ISNUMBER(SEARCH(Kamus!$A$3:$A$28,$D852)),0)),"Jabatan Lainnya"))</f>
        <v>Ketua Pengadilan</v>
      </c>
      <c r="T852" s="106" t="str" cm="1">
        <f t="array" ref="T852">IF(TRIM($I852)="","(tidak diisi)",IFERROR(INDEX(Kamus!$E$3:$E$162,MATCH(TRUE,ISNUMBER(SEARCH(Kamus!$D$3:$D$162,$I852)),0)),"Barang Lain / Tidak Terinci"))</f>
        <v>Makanan &amp; Minuman</v>
      </c>
      <c r="U852" s="106" t="str" cm="1">
        <f t="array" ref="U852">IF(TRIM($I852)="","(tidak diisi)",IFERROR(INDEX(Kamus!$H$3:$H$75,MATCH(TRUE,ISNUMBER(SEARCH(Kamus!$G$3:$G$75,$I852)),0)),"Pemberian Umum / Tanpa Konteks"))</f>
        <v>Parsel/Bingkisan Umum (non-hari raya)</v>
      </c>
      <c r="V852" s="106" t="str">
        <f t="shared" si="39"/>
        <v>2026</v>
      </c>
      <c r="W852" s="106" t="str" cm="1">
        <f t="array" ref="W852">IF(TRIM($K852)="","(tidak diisi)",IFERROR(INDEX(Kamus!$K$3:$K$118,MATCH(TRUE,ISNUMBER(SEARCH(Kamus!$J$3:$J$118,$K852)),0)),"Individu / Perorangan"))</f>
        <v>Bank &amp; Lembaga Keuangan</v>
      </c>
      <c r="X852" s="106" t="str">
        <f t="shared" si="40"/>
        <v>03</v>
      </c>
      <c r="Y852" s="106" t="str" cm="1">
        <f t="array" ref="Y852">IFERROR(INDEX(Kamus!$N$3:$N$111,MATCH(TRUE,ISNUMBER(SEARCH(Kamus!$M$3:$M$111,$I852)),0)),"")</f>
        <v/>
      </c>
      <c r="Z852" s="106" t="str">
        <f>IF(AND(OR($X852="02",$X852="03",$X852="04"),OR($T852="Parsel/Bingkisan (tidak dirinci)",$T852="Makanan &amp; Minuman",$T852="Peralatan Rumah Tangga / Pecah Belah",$T852="Pakaian &amp; Kain")),"Momen Hari Raya (dugaan musiman)",IFERROR(VLOOKUP($W852,Kamus!$P$3:$Q$14,2,FALSE),"Tidak Teridentifikasi"))</f>
        <v>Momen Hari Raya (dugaan musiman)</v>
      </c>
      <c r="AA852" s="106" t="str">
        <f t="shared" si="41"/>
        <v>Momen Hari Raya (dugaan musiman)</v>
      </c>
    </row>
    <row r="853" spans="1:27">
      <c r="A853" s="106">
        <v>852</v>
      </c>
      <c r="B853" s="106" t="s">
        <v>5074</v>
      </c>
      <c r="C853" s="107" t="s">
        <v>5075</v>
      </c>
      <c r="D853" s="106" t="s">
        <v>1033</v>
      </c>
      <c r="E853" s="106" t="s">
        <v>5076</v>
      </c>
      <c r="F853" s="106" t="s">
        <v>5077</v>
      </c>
      <c r="G853" s="106" t="s">
        <v>1006</v>
      </c>
      <c r="H853" s="106" t="s">
        <v>5020</v>
      </c>
      <c r="I853" s="106" t="s">
        <v>5078</v>
      </c>
      <c r="J853" s="106">
        <v>600000</v>
      </c>
      <c r="K853" s="106" t="s">
        <v>5079</v>
      </c>
      <c r="L853" s="106" t="s">
        <v>5080</v>
      </c>
      <c r="M853" s="106" t="s">
        <v>1039</v>
      </c>
      <c r="O853" s="106" t="s">
        <v>274</v>
      </c>
      <c r="P853" s="106" t="s">
        <v>5081</v>
      </c>
      <c r="Q853" s="106" t="s">
        <v>433</v>
      </c>
      <c r="S853" s="106" t="str" cm="1">
        <f t="array" ref="S853">IF(TRIM($D853)="","(tidak diisi)",IFERROR(INDEX(Kamus!$B$3:$B$28,MATCH(TRUE,ISNUMBER(SEARCH(Kamus!$A$3:$A$28,$D853)),0)),"Jabatan Lainnya"))</f>
        <v>Hakim</v>
      </c>
      <c r="T853" s="106" t="str" cm="1">
        <f t="array" ref="T853">IF(TRIM($I853)="","(tidak diisi)",IFERROR(INDEX(Kamus!$E$3:$E$162,MATCH(TRUE,ISNUMBER(SEARCH(Kamus!$D$3:$D$162,$I853)),0)),"Barang Lain / Tidak Terinci"))</f>
        <v>Peralatan Rumah Tangga / Pecah Belah</v>
      </c>
      <c r="U853" s="106" t="str" cm="1">
        <f t="array" ref="U853">IF(TRIM($I853)="","(tidak diisi)",IFERROR(INDEX(Kamus!$H$3:$H$75,MATCH(TRUE,ISNUMBER(SEARCH(Kamus!$G$3:$G$75,$I853)),0)),"Pemberian Umum / Tanpa Konteks"))</f>
        <v>Bingkisan Hari Raya / Keagamaan</v>
      </c>
      <c r="V853" s="106" t="str">
        <f t="shared" si="39"/>
        <v>2026</v>
      </c>
      <c r="W853" s="106" t="str" cm="1">
        <f t="array" ref="W853">IF(TRIM($K853)="","(tidak diisi)",IFERROR(INDEX(Kamus!$K$3:$K$118,MATCH(TRUE,ISNUMBER(SEARCH(Kamus!$J$3:$J$118,$K853)),0)),"Individu / Perorangan"))</f>
        <v>Bank &amp; Lembaga Keuangan</v>
      </c>
      <c r="X853" s="106" t="str">
        <f t="shared" si="40"/>
        <v>03</v>
      </c>
      <c r="Y853" s="106" t="str" cm="1">
        <f t="array" ref="Y853">IFERROR(INDEX(Kamus!$N$3:$N$111,MATCH(TRUE,ISNUMBER(SEARCH(Kamus!$M$3:$M$111,$I853)),0)),"")</f>
        <v>Momen Hari Raya (Ramadan/Idulfitri)</v>
      </c>
      <c r="Z853" s="106" t="str">
        <f>IF(AND(OR($X853="02",$X853="03",$X853="04"),OR($T853="Parsel/Bingkisan (tidak dirinci)",$T853="Makanan &amp; Minuman",$T853="Peralatan Rumah Tangga / Pecah Belah",$T853="Pakaian &amp; Kain")),"Momen Hari Raya (dugaan musiman)",IFERROR(VLOOKUP($W853,Kamus!$P$3:$Q$14,2,FALSE),"Tidak Teridentifikasi"))</f>
        <v>Momen Hari Raya (dugaan musiman)</v>
      </c>
      <c r="AA853" s="106" t="str">
        <f t="shared" si="41"/>
        <v>Momen Hari Raya (Ramadan/Idulfitri)</v>
      </c>
    </row>
    <row r="854" spans="1:27">
      <c r="A854" s="106">
        <v>853</v>
      </c>
      <c r="B854" s="106" t="s">
        <v>2724</v>
      </c>
      <c r="C854" s="107" t="s">
        <v>2725</v>
      </c>
      <c r="D854" s="106" t="s">
        <v>1042</v>
      </c>
      <c r="E854" s="106" t="s">
        <v>2726</v>
      </c>
      <c r="F854" s="106" t="s">
        <v>5082</v>
      </c>
      <c r="G854" s="106" t="s">
        <v>1006</v>
      </c>
      <c r="H854" s="106" t="s">
        <v>5020</v>
      </c>
      <c r="I854" s="106" t="s">
        <v>5083</v>
      </c>
      <c r="K854" s="106" t="s">
        <v>5084</v>
      </c>
      <c r="L854" s="106" t="s">
        <v>5085</v>
      </c>
      <c r="O854" s="106" t="s">
        <v>274</v>
      </c>
      <c r="P854" s="106" t="s">
        <v>2732</v>
      </c>
      <c r="Q854" s="106" t="s">
        <v>428</v>
      </c>
      <c r="S854" s="106" t="str" cm="1">
        <f t="array" ref="S854">IF(TRIM($D854)="","(tidak diisi)",IFERROR(INDEX(Kamus!$B$3:$B$28,MATCH(TRUE,ISNUMBER(SEARCH(Kamus!$A$3:$A$28,$D854)),0)),"Jabatan Lainnya"))</f>
        <v>Ketua Pengadilan</v>
      </c>
      <c r="T854" s="106" t="str" cm="1">
        <f t="array" ref="T854">IF(TRIM($I854)="","(tidak diisi)",IFERROR(INDEX(Kamus!$E$3:$E$162,MATCH(TRUE,ISNUMBER(SEARCH(Kamus!$D$3:$D$162,$I854)),0)),"Barang Lain / Tidak Terinci"))</f>
        <v>Makanan &amp; Minuman</v>
      </c>
      <c r="U854" s="106" t="str" cm="1">
        <f t="array" ref="U854">IF(TRIM($I854)="","(tidak diisi)",IFERROR(INDEX(Kamus!$H$3:$H$75,MATCH(TRUE,ISNUMBER(SEARCH(Kamus!$G$3:$G$75,$I854)),0)),"Pemberian Umum / Tanpa Konteks"))</f>
        <v>Pemberian Umum / Tanpa Konteks</v>
      </c>
      <c r="V854" s="106" t="str">
        <f t="shared" si="39"/>
        <v>2026</v>
      </c>
      <c r="W854" s="106" t="str" cm="1">
        <f t="array" ref="W854">IF(TRIM($K854)="","(tidak diisi)",IFERROR(INDEX(Kamus!$K$3:$K$118,MATCH(TRUE,ISNUMBER(SEARCH(Kamus!$J$3:$J$118,$K854)),0)),"Individu / Perorangan"))</f>
        <v>Pemerintah Daerah</v>
      </c>
      <c r="X854" s="106" t="str">
        <f t="shared" si="40"/>
        <v>03</v>
      </c>
      <c r="Y854" s="106" t="str" cm="1">
        <f t="array" ref="Y854">IFERROR(INDEX(Kamus!$N$3:$N$111,MATCH(TRUE,ISNUMBER(SEARCH(Kamus!$M$3:$M$111,$I854)),0)),"")</f>
        <v/>
      </c>
      <c r="Z854" s="106" t="str">
        <f>IF(AND(OR($X854="02",$X854="03",$X854="04"),OR($T854="Parsel/Bingkisan (tidak dirinci)",$T854="Makanan &amp; Minuman",$T854="Peralatan Rumah Tangga / Pecah Belah",$T854="Pakaian &amp; Kain")),"Momen Hari Raya (dugaan musiman)",IFERROR(VLOOKUP($W854,Kamus!$P$3:$Q$14,2,FALSE),"Tidak Teridentifikasi"))</f>
        <v>Momen Hari Raya (dugaan musiman)</v>
      </c>
      <c r="AA854" s="106" t="str">
        <f t="shared" si="41"/>
        <v>Momen Hari Raya (dugaan musiman)</v>
      </c>
    </row>
    <row r="855" spans="1:27">
      <c r="A855" s="106">
        <v>854</v>
      </c>
      <c r="B855" s="106" t="s">
        <v>5086</v>
      </c>
      <c r="C855" s="107" t="s">
        <v>5087</v>
      </c>
      <c r="D855" s="106" t="s">
        <v>1042</v>
      </c>
      <c r="E855" s="106" t="s">
        <v>1005</v>
      </c>
      <c r="F855" s="106" t="s">
        <v>5088</v>
      </c>
      <c r="G855" s="106" t="s">
        <v>1006</v>
      </c>
      <c r="H855" s="106" t="s">
        <v>4764</v>
      </c>
      <c r="I855" s="106" t="s">
        <v>5089</v>
      </c>
      <c r="J855" s="106">
        <v>400000</v>
      </c>
      <c r="K855" s="106" t="s">
        <v>5090</v>
      </c>
      <c r="L855" s="106" t="s">
        <v>5091</v>
      </c>
      <c r="M855" s="106" t="s">
        <v>1171</v>
      </c>
      <c r="N855" s="106" t="s">
        <v>5092</v>
      </c>
      <c r="O855" s="106" t="s">
        <v>274</v>
      </c>
      <c r="S855" s="106" t="str" cm="1">
        <f t="array" ref="S855">IF(TRIM($D855)="","(tidak diisi)",IFERROR(INDEX(Kamus!$B$3:$B$28,MATCH(TRUE,ISNUMBER(SEARCH(Kamus!$A$3:$A$28,$D855)),0)),"Jabatan Lainnya"))</f>
        <v>Ketua Pengadilan</v>
      </c>
      <c r="T855" s="106" t="str" cm="1">
        <f t="array" ref="T855">IF(TRIM($I855)="","(tidak diisi)",IFERROR(INDEX(Kamus!$E$3:$E$162,MATCH(TRUE,ISNUMBER(SEARCH(Kamus!$D$3:$D$162,$I855)),0)),"Barang Lain / Tidak Terinci"))</f>
        <v>Peralatan Rumah Tangga / Pecah Belah</v>
      </c>
      <c r="U855" s="106" t="str" cm="1">
        <f t="array" ref="U855">IF(TRIM($I855)="","(tidak diisi)",IFERROR(INDEX(Kamus!$H$3:$H$75,MATCH(TRUE,ISNUMBER(SEARCH(Kamus!$G$3:$G$75,$I855)),0)),"Pemberian Umum / Tanpa Konteks"))</f>
        <v>Pemberian Umum / Tanpa Konteks</v>
      </c>
      <c r="V855" s="106" t="str">
        <f t="shared" si="39"/>
        <v>2026</v>
      </c>
      <c r="W855" s="106" t="str" cm="1">
        <f t="array" ref="W855">IF(TRIM($K855)="","(tidak diisi)",IFERROR(INDEX(Kamus!$K$3:$K$118,MATCH(TRUE,ISNUMBER(SEARCH(Kamus!$J$3:$J$118,$K855)),0)),"Individu / Perorangan"))</f>
        <v>Individu / Perorangan</v>
      </c>
      <c r="X855" s="106" t="str">
        <f t="shared" si="40"/>
        <v>03</v>
      </c>
      <c r="Y855" s="106" t="str" cm="1">
        <f t="array" ref="Y855">IFERROR(INDEX(Kamus!$N$3:$N$111,MATCH(TRUE,ISNUMBER(SEARCH(Kamus!$M$3:$M$111,$I855)),0)),"")</f>
        <v/>
      </c>
      <c r="Z855" s="106" t="str">
        <f>IF(AND(OR($X855="02",$X855="03",$X855="04"),OR($T855="Parsel/Bingkisan (tidak dirinci)",$T855="Makanan &amp; Minuman",$T855="Peralatan Rumah Tangga / Pecah Belah",$T855="Pakaian &amp; Kain")),"Momen Hari Raya (dugaan musiman)",IFERROR(VLOOKUP($W855,Kamus!$P$3:$Q$14,2,FALSE),"Tidak Teridentifikasi"))</f>
        <v>Momen Hari Raya (dugaan musiman)</v>
      </c>
      <c r="AA855" s="106" t="str">
        <f t="shared" si="41"/>
        <v>Momen Hari Raya (dugaan musiman)</v>
      </c>
    </row>
    <row r="856" spans="1:27">
      <c r="A856" s="106">
        <v>855</v>
      </c>
      <c r="B856" s="106" t="s">
        <v>5093</v>
      </c>
      <c r="C856" s="107" t="s">
        <v>5094</v>
      </c>
      <c r="D856" s="106" t="s">
        <v>1024</v>
      </c>
      <c r="E856" s="106" t="s">
        <v>5095</v>
      </c>
      <c r="F856" s="106" t="s">
        <v>5096</v>
      </c>
      <c r="G856" s="106" t="s">
        <v>1006</v>
      </c>
      <c r="H856" s="106" t="s">
        <v>5020</v>
      </c>
      <c r="I856" s="106" t="s">
        <v>1251</v>
      </c>
      <c r="J856" s="106">
        <v>300000</v>
      </c>
      <c r="K856" s="106" t="s">
        <v>5097</v>
      </c>
      <c r="L856" s="106" t="s">
        <v>5098</v>
      </c>
      <c r="M856" s="106" t="s">
        <v>2529</v>
      </c>
      <c r="O856" s="106" t="s">
        <v>274</v>
      </c>
      <c r="P856" s="106" t="s">
        <v>5099</v>
      </c>
      <c r="Q856" s="106" t="s">
        <v>420</v>
      </c>
      <c r="S856" s="106" t="str" cm="1">
        <f t="array" ref="S856">IF(TRIM($D856)="","(tidak diisi)",IFERROR(INDEX(Kamus!$B$3:$B$28,MATCH(TRUE,ISNUMBER(SEARCH(Kamus!$A$3:$A$28,$D856)),0)),"Jabatan Lainnya"))</f>
        <v>Sekretaris</v>
      </c>
      <c r="T856" s="106" t="str" cm="1">
        <f t="array" ref="T856">IF(TRIM($I856)="","(tidak diisi)",IFERROR(INDEX(Kamus!$E$3:$E$162,MATCH(TRUE,ISNUMBER(SEARCH(Kamus!$D$3:$D$162,$I856)),0)),"Barang Lain / Tidak Terinci"))</f>
        <v>Peralatan Rumah Tangga / Pecah Belah</v>
      </c>
      <c r="U856" s="106" t="str" cm="1">
        <f t="array" ref="U856">IF(TRIM($I856)="","(tidak diisi)",IFERROR(INDEX(Kamus!$H$3:$H$75,MATCH(TRUE,ISNUMBER(SEARCH(Kamus!$G$3:$G$75,$I856)),0)),"Pemberian Umum / Tanpa Konteks"))</f>
        <v>Parsel/Bingkisan Umum (non-hari raya)</v>
      </c>
      <c r="V856" s="106" t="str">
        <f t="shared" si="39"/>
        <v>2026</v>
      </c>
      <c r="W856" s="106" t="str" cm="1">
        <f t="array" ref="W856">IF(TRIM($K856)="","(tidak diisi)",IFERROR(INDEX(Kamus!$K$3:$K$118,MATCH(TRUE,ISNUMBER(SEARCH(Kamus!$J$3:$J$118,$K856)),0)),"Individu / Perorangan"))</f>
        <v>Individu / Perorangan</v>
      </c>
      <c r="X856" s="106" t="str">
        <f t="shared" si="40"/>
        <v>03</v>
      </c>
      <c r="Y856" s="106" t="str" cm="1">
        <f t="array" ref="Y856">IFERROR(INDEX(Kamus!$N$3:$N$111,MATCH(TRUE,ISNUMBER(SEARCH(Kamus!$M$3:$M$111,$I856)),0)),"")</f>
        <v/>
      </c>
      <c r="Z856" s="106" t="str">
        <f>IF(AND(OR($X856="02",$X856="03",$X856="04"),OR($T856="Parsel/Bingkisan (tidak dirinci)",$T856="Makanan &amp; Minuman",$T856="Peralatan Rumah Tangga / Pecah Belah",$T856="Pakaian &amp; Kain")),"Momen Hari Raya (dugaan musiman)",IFERROR(VLOOKUP($W856,Kamus!$P$3:$Q$14,2,FALSE),"Tidak Teridentifikasi"))</f>
        <v>Momen Hari Raya (dugaan musiman)</v>
      </c>
      <c r="AA856" s="106" t="str">
        <f t="shared" si="41"/>
        <v>Momen Hari Raya (dugaan musiman)</v>
      </c>
    </row>
    <row r="857" spans="1:27">
      <c r="A857" s="106">
        <v>856</v>
      </c>
      <c r="B857" s="106" t="s">
        <v>5093</v>
      </c>
      <c r="C857" s="107" t="s">
        <v>5094</v>
      </c>
      <c r="D857" s="106" t="s">
        <v>1024</v>
      </c>
      <c r="E857" s="106" t="s">
        <v>5095</v>
      </c>
      <c r="F857" s="106" t="s">
        <v>5096</v>
      </c>
      <c r="G857" s="106" t="s">
        <v>1006</v>
      </c>
      <c r="H857" s="106" t="s">
        <v>5020</v>
      </c>
      <c r="I857" s="106" t="s">
        <v>5100</v>
      </c>
      <c r="J857" s="106">
        <v>300000</v>
      </c>
      <c r="K857" s="106" t="s">
        <v>2121</v>
      </c>
      <c r="L857" s="106" t="s">
        <v>5098</v>
      </c>
      <c r="M857" s="106" t="s">
        <v>2529</v>
      </c>
      <c r="O857" s="106" t="s">
        <v>274</v>
      </c>
      <c r="P857" s="106" t="s">
        <v>5099</v>
      </c>
      <c r="Q857" s="106" t="s">
        <v>420</v>
      </c>
      <c r="S857" s="106" t="str" cm="1">
        <f t="array" ref="S857">IF(TRIM($D857)="","(tidak diisi)",IFERROR(INDEX(Kamus!$B$3:$B$28,MATCH(TRUE,ISNUMBER(SEARCH(Kamus!$A$3:$A$28,$D857)),0)),"Jabatan Lainnya"))</f>
        <v>Sekretaris</v>
      </c>
      <c r="T857" s="106" t="str" cm="1">
        <f t="array" ref="T857">IF(TRIM($I857)="","(tidak diisi)",IFERROR(INDEX(Kamus!$E$3:$E$162,MATCH(TRUE,ISNUMBER(SEARCH(Kamus!$D$3:$D$162,$I857)),0)),"Barang Lain / Tidak Terinci"))</f>
        <v>Makanan &amp; Minuman</v>
      </c>
      <c r="U857" s="106" t="str" cm="1">
        <f t="array" ref="U857">IF(TRIM($I857)="","(tidak diisi)",IFERROR(INDEX(Kamus!$H$3:$H$75,MATCH(TRUE,ISNUMBER(SEARCH(Kamus!$G$3:$G$75,$I857)),0)),"Pemberian Umum / Tanpa Konteks"))</f>
        <v>Bingkisan Hari Raya / Keagamaan</v>
      </c>
      <c r="V857" s="106" t="str">
        <f t="shared" si="39"/>
        <v>2026</v>
      </c>
      <c r="W857" s="106" t="str" cm="1">
        <f t="array" ref="W857">IF(TRIM($K857)="","(tidak diisi)",IFERROR(INDEX(Kamus!$K$3:$K$118,MATCH(TRUE,ISNUMBER(SEARCH(Kamus!$J$3:$J$118,$K857)),0)),"Individu / Perorangan"))</f>
        <v>Bank &amp; Lembaga Keuangan</v>
      </c>
      <c r="X857" s="106" t="str">
        <f t="shared" si="40"/>
        <v>03</v>
      </c>
      <c r="Y857" s="106" t="str" cm="1">
        <f t="array" ref="Y857">IFERROR(INDEX(Kamus!$N$3:$N$111,MATCH(TRUE,ISNUMBER(SEARCH(Kamus!$M$3:$M$111,$I857)),0)),"")</f>
        <v>Momen Hari Raya (Ramadan/Idulfitri)</v>
      </c>
      <c r="Z857" s="106" t="str">
        <f>IF(AND(OR($X857="02",$X857="03",$X857="04"),OR($T857="Parsel/Bingkisan (tidak dirinci)",$T857="Makanan &amp; Minuman",$T857="Peralatan Rumah Tangga / Pecah Belah",$T857="Pakaian &amp; Kain")),"Momen Hari Raya (dugaan musiman)",IFERROR(VLOOKUP($W857,Kamus!$P$3:$Q$14,2,FALSE),"Tidak Teridentifikasi"))</f>
        <v>Momen Hari Raya (dugaan musiman)</v>
      </c>
      <c r="AA857" s="106" t="str">
        <f t="shared" si="41"/>
        <v>Momen Hari Raya (Ramadan/Idulfitri)</v>
      </c>
    </row>
    <row r="858" spans="1:27">
      <c r="A858" s="106">
        <v>857</v>
      </c>
      <c r="B858" s="106" t="s">
        <v>5093</v>
      </c>
      <c r="C858" s="107" t="s">
        <v>5094</v>
      </c>
      <c r="D858" s="106" t="s">
        <v>1024</v>
      </c>
      <c r="E858" s="106" t="s">
        <v>5095</v>
      </c>
      <c r="F858" s="106" t="s">
        <v>5096</v>
      </c>
      <c r="G858" s="106" t="s">
        <v>1006</v>
      </c>
      <c r="H858" s="106" t="s">
        <v>5020</v>
      </c>
      <c r="I858" s="106" t="s">
        <v>5101</v>
      </c>
      <c r="J858" s="106">
        <v>300000</v>
      </c>
      <c r="K858" s="106" t="s">
        <v>5102</v>
      </c>
      <c r="L858" s="106" t="s">
        <v>5098</v>
      </c>
      <c r="M858" s="106" t="s">
        <v>2529</v>
      </c>
      <c r="O858" s="106" t="s">
        <v>274</v>
      </c>
      <c r="P858" s="106" t="s">
        <v>5099</v>
      </c>
      <c r="Q858" s="106" t="s">
        <v>420</v>
      </c>
      <c r="S858" s="106" t="str" cm="1">
        <f t="array" ref="S858">IF(TRIM($D858)="","(tidak diisi)",IFERROR(INDEX(Kamus!$B$3:$B$28,MATCH(TRUE,ISNUMBER(SEARCH(Kamus!$A$3:$A$28,$D858)),0)),"Jabatan Lainnya"))</f>
        <v>Sekretaris</v>
      </c>
      <c r="T858" s="106" t="str" cm="1">
        <f t="array" ref="T858">IF(TRIM($I858)="","(tidak diisi)",IFERROR(INDEX(Kamus!$E$3:$E$162,MATCH(TRUE,ISNUMBER(SEARCH(Kamus!$D$3:$D$162,$I858)),0)),"Barang Lain / Tidak Terinci"))</f>
        <v>Makanan &amp; Minuman</v>
      </c>
      <c r="U858" s="106" t="str" cm="1">
        <f t="array" ref="U858">IF(TRIM($I858)="","(tidak diisi)",IFERROR(INDEX(Kamus!$H$3:$H$75,MATCH(TRUE,ISNUMBER(SEARCH(Kamus!$G$3:$G$75,$I858)),0)),"Pemberian Umum / Tanpa Konteks"))</f>
        <v>Bingkisan Hari Raya / Keagamaan</v>
      </c>
      <c r="V858" s="106" t="str">
        <f t="shared" si="39"/>
        <v>2026</v>
      </c>
      <c r="W858" s="106" t="str" cm="1">
        <f t="array" ref="W858">IF(TRIM($K858)="","(tidak diisi)",IFERROR(INDEX(Kamus!$K$3:$K$118,MATCH(TRUE,ISNUMBER(SEARCH(Kamus!$J$3:$J$118,$K858)),0)),"Individu / Perorangan"))</f>
        <v>Individu / Perorangan</v>
      </c>
      <c r="X858" s="106" t="str">
        <f t="shared" si="40"/>
        <v>03</v>
      </c>
      <c r="Y858" s="106" t="str" cm="1">
        <f t="array" ref="Y858">IFERROR(INDEX(Kamus!$N$3:$N$111,MATCH(TRUE,ISNUMBER(SEARCH(Kamus!$M$3:$M$111,$I858)),0)),"")</f>
        <v>Momen Hari Raya (Ramadan/Idulfitri)</v>
      </c>
      <c r="Z858" s="106" t="str">
        <f>IF(AND(OR($X858="02",$X858="03",$X858="04"),OR($T858="Parsel/Bingkisan (tidak dirinci)",$T858="Makanan &amp; Minuman",$T858="Peralatan Rumah Tangga / Pecah Belah",$T858="Pakaian &amp; Kain")),"Momen Hari Raya (dugaan musiman)",IFERROR(VLOOKUP($W858,Kamus!$P$3:$Q$14,2,FALSE),"Tidak Teridentifikasi"))</f>
        <v>Momen Hari Raya (dugaan musiman)</v>
      </c>
      <c r="AA858" s="106" t="str">
        <f t="shared" si="41"/>
        <v>Momen Hari Raya (Ramadan/Idulfitri)</v>
      </c>
    </row>
    <row r="859" spans="1:27">
      <c r="A859" s="106">
        <v>858</v>
      </c>
      <c r="B859" s="106" t="s">
        <v>5093</v>
      </c>
      <c r="C859" s="107" t="s">
        <v>5094</v>
      </c>
      <c r="D859" s="106" t="s">
        <v>1024</v>
      </c>
      <c r="E859" s="106" t="s">
        <v>5095</v>
      </c>
      <c r="F859" s="106" t="s">
        <v>5096</v>
      </c>
      <c r="G859" s="106" t="s">
        <v>1006</v>
      </c>
      <c r="H859" s="106" t="s">
        <v>5020</v>
      </c>
      <c r="I859" s="106" t="s">
        <v>1956</v>
      </c>
      <c r="J859" s="106">
        <v>300000</v>
      </c>
      <c r="K859" s="106" t="s">
        <v>5103</v>
      </c>
      <c r="L859" s="106" t="s">
        <v>5098</v>
      </c>
      <c r="M859" s="106" t="s">
        <v>2529</v>
      </c>
      <c r="O859" s="106" t="s">
        <v>274</v>
      </c>
      <c r="P859" s="106" t="s">
        <v>5099</v>
      </c>
      <c r="Q859" s="106" t="s">
        <v>420</v>
      </c>
      <c r="S859" s="106" t="str" cm="1">
        <f t="array" ref="S859">IF(TRIM($D859)="","(tidak diisi)",IFERROR(INDEX(Kamus!$B$3:$B$28,MATCH(TRUE,ISNUMBER(SEARCH(Kamus!$A$3:$A$28,$D859)),0)),"Jabatan Lainnya"))</f>
        <v>Sekretaris</v>
      </c>
      <c r="T859" s="106" t="str" cm="1">
        <f t="array" ref="T859">IF(TRIM($I859)="","(tidak diisi)",IFERROR(INDEX(Kamus!$E$3:$E$162,MATCH(TRUE,ISNUMBER(SEARCH(Kamus!$D$3:$D$162,$I859)),0)),"Barang Lain / Tidak Terinci"))</f>
        <v>Parsel/Bingkisan (tidak dirinci)</v>
      </c>
      <c r="U859" s="106" t="str" cm="1">
        <f t="array" ref="U859">IF(TRIM($I859)="","(tidak diisi)",IFERROR(INDEX(Kamus!$H$3:$H$75,MATCH(TRUE,ISNUMBER(SEARCH(Kamus!$G$3:$G$75,$I859)),0)),"Pemberian Umum / Tanpa Konteks"))</f>
        <v>Bingkisan Hari Raya / Keagamaan</v>
      </c>
      <c r="V859" s="106" t="str">
        <f t="shared" si="39"/>
        <v>2026</v>
      </c>
      <c r="W859" s="106" t="str" cm="1">
        <f t="array" ref="W859">IF(TRIM($K859)="","(tidak diisi)",IFERROR(INDEX(Kamus!$K$3:$K$118,MATCH(TRUE,ISNUMBER(SEARCH(Kamus!$J$3:$J$118,$K859)),0)),"Individu / Perorangan"))</f>
        <v>Perusahaan / Vendor</v>
      </c>
      <c r="X859" s="106" t="str">
        <f t="shared" si="40"/>
        <v>03</v>
      </c>
      <c r="Y859" s="106" t="str" cm="1">
        <f t="array" ref="Y859">IFERROR(INDEX(Kamus!$N$3:$N$111,MATCH(TRUE,ISNUMBER(SEARCH(Kamus!$M$3:$M$111,$I859)),0)),"")</f>
        <v>Momen Hari Raya (Ramadan/Idulfitri)</v>
      </c>
      <c r="Z859" s="106" t="str">
        <f>IF(AND(OR($X859="02",$X859="03",$X859="04"),OR($T859="Parsel/Bingkisan (tidak dirinci)",$T859="Makanan &amp; Minuman",$T859="Peralatan Rumah Tangga / Pecah Belah",$T859="Pakaian &amp; Kain")),"Momen Hari Raya (dugaan musiman)",IFERROR(VLOOKUP($W859,Kamus!$P$3:$Q$14,2,FALSE),"Tidak Teridentifikasi"))</f>
        <v>Momen Hari Raya (dugaan musiman)</v>
      </c>
      <c r="AA859" s="106" t="str">
        <f t="shared" si="41"/>
        <v>Momen Hari Raya (Ramadan/Idulfitri)</v>
      </c>
    </row>
    <row r="860" spans="1:27">
      <c r="A860" s="106">
        <v>859</v>
      </c>
      <c r="B860" s="106" t="s">
        <v>2724</v>
      </c>
      <c r="C860" s="107" t="s">
        <v>2725</v>
      </c>
      <c r="D860" s="106" t="s">
        <v>1042</v>
      </c>
      <c r="E860" s="106" t="s">
        <v>2726</v>
      </c>
      <c r="F860" s="106" t="s">
        <v>5104</v>
      </c>
      <c r="G860" s="106" t="s">
        <v>1006</v>
      </c>
      <c r="H860" s="106" t="s">
        <v>5023</v>
      </c>
      <c r="I860" s="106" t="s">
        <v>5105</v>
      </c>
      <c r="K860" s="106" t="s">
        <v>5106</v>
      </c>
      <c r="L860" s="106" t="s">
        <v>5107</v>
      </c>
      <c r="O860" s="106" t="s">
        <v>274</v>
      </c>
      <c r="P860" s="106" t="s">
        <v>2732</v>
      </c>
      <c r="Q860" s="106" t="s">
        <v>428</v>
      </c>
      <c r="S860" s="106" t="str" cm="1">
        <f t="array" ref="S860">IF(TRIM($D860)="","(tidak diisi)",IFERROR(INDEX(Kamus!$B$3:$B$28,MATCH(TRUE,ISNUMBER(SEARCH(Kamus!$A$3:$A$28,$D860)),0)),"Jabatan Lainnya"))</f>
        <v>Ketua Pengadilan</v>
      </c>
      <c r="T860" s="106" t="str" cm="1">
        <f t="array" ref="T860">IF(TRIM($I860)="","(tidak diisi)",IFERROR(INDEX(Kamus!$E$3:$E$162,MATCH(TRUE,ISNUMBER(SEARCH(Kamus!$D$3:$D$162,$I860)),0)),"Barang Lain / Tidak Terinci"))</f>
        <v>Makanan &amp; Minuman</v>
      </c>
      <c r="U860" s="106" t="str" cm="1">
        <f t="array" ref="U860">IF(TRIM($I860)="","(tidak diisi)",IFERROR(INDEX(Kamus!$H$3:$H$75,MATCH(TRUE,ISNUMBER(SEARCH(Kamus!$G$3:$G$75,$I860)),0)),"Pemberian Umum / Tanpa Konteks"))</f>
        <v>Pemberian Umum / Tanpa Konteks</v>
      </c>
      <c r="V860" s="106" t="str">
        <f t="shared" si="39"/>
        <v>2026</v>
      </c>
      <c r="W860" s="106" t="str" cm="1">
        <f t="array" ref="W860">IF(TRIM($K860)="","(tidak diisi)",IFERROR(INDEX(Kamus!$K$3:$K$118,MATCH(TRUE,ISNUMBER(SEARCH(Kamus!$J$3:$J$118,$K860)),0)),"Individu / Perorangan"))</f>
        <v>Bank &amp; Lembaga Keuangan</v>
      </c>
      <c r="X860" s="106" t="str">
        <f t="shared" si="40"/>
        <v>03</v>
      </c>
      <c r="Y860" s="106" t="str" cm="1">
        <f t="array" ref="Y860">IFERROR(INDEX(Kamus!$N$3:$N$111,MATCH(TRUE,ISNUMBER(SEARCH(Kamus!$M$3:$M$111,$I860)),0)),"")</f>
        <v/>
      </c>
      <c r="Z860" s="106" t="str">
        <f>IF(AND(OR($X860="02",$X860="03",$X860="04"),OR($T860="Parsel/Bingkisan (tidak dirinci)",$T860="Makanan &amp; Minuman",$T860="Peralatan Rumah Tangga / Pecah Belah",$T860="Pakaian &amp; Kain")),"Momen Hari Raya (dugaan musiman)",IFERROR(VLOOKUP($W860,Kamus!$P$3:$Q$14,2,FALSE),"Tidak Teridentifikasi"))</f>
        <v>Momen Hari Raya (dugaan musiman)</v>
      </c>
      <c r="AA860" s="106" t="str">
        <f t="shared" si="41"/>
        <v>Momen Hari Raya (dugaan musiman)</v>
      </c>
    </row>
    <row r="861" spans="1:27">
      <c r="A861" s="106">
        <v>860</v>
      </c>
      <c r="B861" s="106" t="s">
        <v>4603</v>
      </c>
      <c r="C861" s="107" t="s">
        <v>4604</v>
      </c>
      <c r="D861" s="106" t="s">
        <v>1843</v>
      </c>
      <c r="E861" s="106" t="s">
        <v>1403</v>
      </c>
      <c r="F861" s="106" t="s">
        <v>5108</v>
      </c>
      <c r="G861" s="106" t="s">
        <v>1006</v>
      </c>
      <c r="H861" s="106" t="s">
        <v>5020</v>
      </c>
      <c r="I861" s="106" t="s">
        <v>1634</v>
      </c>
      <c r="J861" s="106">
        <v>500000</v>
      </c>
      <c r="K861" s="106" t="s">
        <v>5109</v>
      </c>
      <c r="L861" s="106" t="s">
        <v>5110</v>
      </c>
      <c r="M861" s="106" t="s">
        <v>1171</v>
      </c>
      <c r="N861" s="106" t="s">
        <v>5111</v>
      </c>
      <c r="O861" s="106" t="s">
        <v>274</v>
      </c>
      <c r="P861" s="106" t="s">
        <v>1410</v>
      </c>
      <c r="Q861" s="106" t="s">
        <v>403</v>
      </c>
      <c r="S861" s="106" t="str" cm="1">
        <f t="array" ref="S861">IF(TRIM($D861)="","(tidak diisi)",IFERROR(INDEX(Kamus!$B$3:$B$28,MATCH(TRUE,ISNUMBER(SEARCH(Kamus!$A$3:$A$28,$D861)),0)),"Jabatan Lainnya"))</f>
        <v>Ketua Pengadilan</v>
      </c>
      <c r="T861" s="106" t="str" cm="1">
        <f t="array" ref="T861">IF(TRIM($I861)="","(tidak diisi)",IFERROR(INDEX(Kamus!$E$3:$E$162,MATCH(TRUE,ISNUMBER(SEARCH(Kamus!$D$3:$D$162,$I861)),0)),"Barang Lain / Tidak Terinci"))</f>
        <v>Pakaian &amp; Kain</v>
      </c>
      <c r="U861" s="106" t="str" cm="1">
        <f t="array" ref="U861">IF(TRIM($I861)="","(tidak diisi)",IFERROR(INDEX(Kamus!$H$3:$H$75,MATCH(TRUE,ISNUMBER(SEARCH(Kamus!$G$3:$G$75,$I861)),0)),"Pemberian Umum / Tanpa Konteks"))</f>
        <v>Pemberian Umum / Tanpa Konteks</v>
      </c>
      <c r="V861" s="106" t="str">
        <f t="shared" si="39"/>
        <v>2026</v>
      </c>
      <c r="W861" s="106" t="str" cm="1">
        <f t="array" ref="W861">IF(TRIM($K861)="","(tidak diisi)",IFERROR(INDEX(Kamus!$K$3:$K$118,MATCH(TRUE,ISNUMBER(SEARCH(Kamus!$J$3:$J$118,$K861)),0)),"Individu / Perorangan"))</f>
        <v>Pemerintah Daerah</v>
      </c>
      <c r="X861" s="106" t="str">
        <f t="shared" si="40"/>
        <v>03</v>
      </c>
      <c r="Y861" s="106" t="str" cm="1">
        <f t="array" ref="Y861">IFERROR(INDEX(Kamus!$N$3:$N$111,MATCH(TRUE,ISNUMBER(SEARCH(Kamus!$M$3:$M$111,$I861)),0)),"")</f>
        <v/>
      </c>
      <c r="Z861" s="106" t="str">
        <f>IF(AND(OR($X861="02",$X861="03",$X861="04"),OR($T861="Parsel/Bingkisan (tidak dirinci)",$T861="Makanan &amp; Minuman",$T861="Peralatan Rumah Tangga / Pecah Belah",$T861="Pakaian &amp; Kain")),"Momen Hari Raya (dugaan musiman)",IFERROR(VLOOKUP($W861,Kamus!$P$3:$Q$14,2,FALSE),"Tidak Teridentifikasi"))</f>
        <v>Momen Hari Raya (dugaan musiman)</v>
      </c>
      <c r="AA861" s="106" t="str">
        <f t="shared" si="41"/>
        <v>Momen Hari Raya (dugaan musiman)</v>
      </c>
    </row>
    <row r="862" spans="1:27">
      <c r="A862" s="106">
        <v>861</v>
      </c>
      <c r="B862" s="106" t="s">
        <v>5112</v>
      </c>
      <c r="C862" s="107" t="s">
        <v>5113</v>
      </c>
      <c r="D862" s="106" t="s">
        <v>1024</v>
      </c>
      <c r="E862" s="106" t="s">
        <v>4000</v>
      </c>
      <c r="F862" s="106" t="s">
        <v>5114</v>
      </c>
      <c r="G862" s="106" t="s">
        <v>1074</v>
      </c>
      <c r="H862" s="106" t="s">
        <v>4855</v>
      </c>
      <c r="I862" s="106" t="s">
        <v>5115</v>
      </c>
      <c r="K862" s="106" t="s">
        <v>5116</v>
      </c>
      <c r="L862" s="106" t="s">
        <v>5117</v>
      </c>
      <c r="O862" s="106" t="s">
        <v>274</v>
      </c>
      <c r="P862" s="106" t="s">
        <v>479</v>
      </c>
      <c r="Q862" s="106" t="s">
        <v>403</v>
      </c>
      <c r="S862" s="106" t="str" cm="1">
        <f t="array" ref="S862">IF(TRIM($D862)="","(tidak diisi)",IFERROR(INDEX(Kamus!$B$3:$B$28,MATCH(TRUE,ISNUMBER(SEARCH(Kamus!$A$3:$A$28,$D862)),0)),"Jabatan Lainnya"))</f>
        <v>Sekretaris</v>
      </c>
      <c r="T862" s="106" t="str" cm="1">
        <f t="array" ref="T862">IF(TRIM($I862)="","(tidak diisi)",IFERROR(INDEX(Kamus!$E$3:$E$162,MATCH(TRUE,ISNUMBER(SEARCH(Kamus!$D$3:$D$162,$I862)),0)),"Barang Lain / Tidak Terinci"))</f>
        <v>Makanan &amp; Minuman</v>
      </c>
      <c r="U862" s="106" t="str" cm="1">
        <f t="array" ref="U862">IF(TRIM($I862)="","(tidak diisi)",IFERROR(INDEX(Kamus!$H$3:$H$75,MATCH(TRUE,ISNUMBER(SEARCH(Kamus!$G$3:$G$75,$I862)),0)),"Pemberian Umum / Tanpa Konteks"))</f>
        <v>Bingkisan Hari Raya / Keagamaan</v>
      </c>
      <c r="V862" s="106" t="str">
        <f t="shared" si="39"/>
        <v>2026</v>
      </c>
      <c r="W862" s="106" t="str" cm="1">
        <f t="array" ref="W862">IF(TRIM($K862)="","(tidak diisi)",IFERROR(INDEX(Kamus!$K$3:$K$118,MATCH(TRUE,ISNUMBER(SEARCH(Kamus!$J$3:$J$118,$K862)),0)),"Individu / Perorangan"))</f>
        <v>Individu / Perorangan</v>
      </c>
      <c r="X862" s="106" t="str">
        <f t="shared" si="40"/>
        <v>03</v>
      </c>
      <c r="Y862" s="106" t="str" cm="1">
        <f t="array" ref="Y862">IFERROR(INDEX(Kamus!$N$3:$N$111,MATCH(TRUE,ISNUMBER(SEARCH(Kamus!$M$3:$M$111,$I862)),0)),"")</f>
        <v>Momen Hari Raya (Ramadan/Idulfitri)</v>
      </c>
      <c r="Z862" s="106" t="str">
        <f>IF(AND(OR($X862="02",$X862="03",$X862="04"),OR($T862="Parsel/Bingkisan (tidak dirinci)",$T862="Makanan &amp; Minuman",$T862="Peralatan Rumah Tangga / Pecah Belah",$T862="Pakaian &amp; Kain")),"Momen Hari Raya (dugaan musiman)",IFERROR(VLOOKUP($W862,Kamus!$P$3:$Q$14,2,FALSE),"Tidak Teridentifikasi"))</f>
        <v>Momen Hari Raya (dugaan musiman)</v>
      </c>
      <c r="AA862" s="106" t="str">
        <f t="shared" si="41"/>
        <v>Momen Hari Raya (Ramadan/Idulfitri)</v>
      </c>
    </row>
    <row r="863" spans="1:27">
      <c r="A863" s="106">
        <v>862</v>
      </c>
      <c r="B863" s="106" t="s">
        <v>5112</v>
      </c>
      <c r="C863" s="107" t="s">
        <v>5113</v>
      </c>
      <c r="D863" s="106" t="s">
        <v>1024</v>
      </c>
      <c r="E863" s="106" t="s">
        <v>4000</v>
      </c>
      <c r="F863" s="106" t="s">
        <v>5114</v>
      </c>
      <c r="G863" s="106" t="s">
        <v>1074</v>
      </c>
      <c r="H863" s="106" t="s">
        <v>5023</v>
      </c>
      <c r="I863" s="106" t="s">
        <v>5118</v>
      </c>
      <c r="K863" s="106" t="s">
        <v>5119</v>
      </c>
      <c r="L863" s="106" t="s">
        <v>5117</v>
      </c>
      <c r="O863" s="106" t="s">
        <v>274</v>
      </c>
      <c r="P863" s="106" t="s">
        <v>479</v>
      </c>
      <c r="Q863" s="106" t="s">
        <v>403</v>
      </c>
      <c r="S863" s="106" t="str" cm="1">
        <f t="array" ref="S863">IF(TRIM($D863)="","(tidak diisi)",IFERROR(INDEX(Kamus!$B$3:$B$28,MATCH(TRUE,ISNUMBER(SEARCH(Kamus!$A$3:$A$28,$D863)),0)),"Jabatan Lainnya"))</f>
        <v>Sekretaris</v>
      </c>
      <c r="T863" s="106" t="str" cm="1">
        <f t="array" ref="T863">IF(TRIM($I863)="","(tidak diisi)",IFERROR(INDEX(Kamus!$E$3:$E$162,MATCH(TRUE,ISNUMBER(SEARCH(Kamus!$D$3:$D$162,$I863)),0)),"Barang Lain / Tidak Terinci"))</f>
        <v>Makanan &amp; Minuman</v>
      </c>
      <c r="U863" s="106" t="str" cm="1">
        <f t="array" ref="U863">IF(TRIM($I863)="","(tidak diisi)",IFERROR(INDEX(Kamus!$H$3:$H$75,MATCH(TRUE,ISNUMBER(SEARCH(Kamus!$G$3:$G$75,$I863)),0)),"Pemberian Umum / Tanpa Konteks"))</f>
        <v>Bingkisan Hari Raya / Keagamaan</v>
      </c>
      <c r="V863" s="106" t="str">
        <f t="shared" si="39"/>
        <v>2026</v>
      </c>
      <c r="W863" s="106" t="str" cm="1">
        <f t="array" ref="W863">IF(TRIM($K863)="","(tidak diisi)",IFERROR(INDEX(Kamus!$K$3:$K$118,MATCH(TRUE,ISNUMBER(SEARCH(Kamus!$J$3:$J$118,$K863)),0)),"Individu / Perorangan"))</f>
        <v>Individu / Perorangan</v>
      </c>
      <c r="X863" s="106" t="str">
        <f t="shared" si="40"/>
        <v>03</v>
      </c>
      <c r="Y863" s="106" t="str" cm="1">
        <f t="array" ref="Y863">IFERROR(INDEX(Kamus!$N$3:$N$111,MATCH(TRUE,ISNUMBER(SEARCH(Kamus!$M$3:$M$111,$I863)),0)),"")</f>
        <v>Momen Hari Raya (Ramadan/Idulfitri)</v>
      </c>
      <c r="Z863" s="106" t="str">
        <f>IF(AND(OR($X863="02",$X863="03",$X863="04"),OR($T863="Parsel/Bingkisan (tidak dirinci)",$T863="Makanan &amp; Minuman",$T863="Peralatan Rumah Tangga / Pecah Belah",$T863="Pakaian &amp; Kain")),"Momen Hari Raya (dugaan musiman)",IFERROR(VLOOKUP($W863,Kamus!$P$3:$Q$14,2,FALSE),"Tidak Teridentifikasi"))</f>
        <v>Momen Hari Raya (dugaan musiman)</v>
      </c>
      <c r="AA863" s="106" t="str">
        <f t="shared" si="41"/>
        <v>Momen Hari Raya (Ramadan/Idulfitri)</v>
      </c>
    </row>
    <row r="864" spans="1:27">
      <c r="A864" s="106">
        <v>863</v>
      </c>
      <c r="B864" s="106" t="s">
        <v>4603</v>
      </c>
      <c r="C864" s="107" t="s">
        <v>4604</v>
      </c>
      <c r="D864" s="106" t="s">
        <v>1843</v>
      </c>
      <c r="E864" s="106" t="s">
        <v>1403</v>
      </c>
      <c r="F864" s="106" t="s">
        <v>5120</v>
      </c>
      <c r="G864" s="106" t="s">
        <v>1006</v>
      </c>
      <c r="H864" s="106" t="s">
        <v>5020</v>
      </c>
      <c r="I864" s="106" t="s">
        <v>1017</v>
      </c>
      <c r="J864" s="106">
        <v>5000000</v>
      </c>
      <c r="K864" s="106" t="s">
        <v>5109</v>
      </c>
      <c r="L864" s="106" t="s">
        <v>5121</v>
      </c>
      <c r="M864" s="106" t="s">
        <v>1171</v>
      </c>
      <c r="N864" s="106" t="s">
        <v>5122</v>
      </c>
      <c r="O864" s="106" t="s">
        <v>274</v>
      </c>
      <c r="P864" s="106" t="s">
        <v>1410</v>
      </c>
      <c r="Q864" s="106" t="s">
        <v>403</v>
      </c>
      <c r="S864" s="106" t="str" cm="1">
        <f t="array" ref="S864">IF(TRIM($D864)="","(tidak diisi)",IFERROR(INDEX(Kamus!$B$3:$B$28,MATCH(TRUE,ISNUMBER(SEARCH(Kamus!$A$3:$A$28,$D864)),0)),"Jabatan Lainnya"))</f>
        <v>Ketua Pengadilan</v>
      </c>
      <c r="T864" s="106" t="str" cm="1">
        <f t="array" ref="T864">IF(TRIM($I864)="","(tidak diisi)",IFERROR(INDEX(Kamus!$E$3:$E$162,MATCH(TRUE,ISNUMBER(SEARCH(Kamus!$D$3:$D$162,$I864)),0)),"Barang Lain / Tidak Terinci"))</f>
        <v>Uang &amp; Setara Uang</v>
      </c>
      <c r="U864" s="106" t="str" cm="1">
        <f t="array" ref="U864">IF(TRIM($I864)="","(tidak diisi)",IFERROR(INDEX(Kamus!$H$3:$H$75,MATCH(TRUE,ISNUMBER(SEARCH(Kamus!$G$3:$G$75,$I864)),0)),"Pemberian Umum / Tanpa Konteks"))</f>
        <v>Pemberian Uang Langsung</v>
      </c>
      <c r="V864" s="106" t="str">
        <f t="shared" si="39"/>
        <v>2026</v>
      </c>
      <c r="W864" s="106" t="str" cm="1">
        <f t="array" ref="W864">IF(TRIM($K864)="","(tidak diisi)",IFERROR(INDEX(Kamus!$K$3:$K$118,MATCH(TRUE,ISNUMBER(SEARCH(Kamus!$J$3:$J$118,$K864)),0)),"Individu / Perorangan"))</f>
        <v>Pemerintah Daerah</v>
      </c>
      <c r="X864" s="106" t="str">
        <f t="shared" si="40"/>
        <v>03</v>
      </c>
      <c r="Y864" s="106" t="str" cm="1">
        <f t="array" ref="Y864">IFERROR(INDEX(Kamus!$N$3:$N$111,MATCH(TRUE,ISNUMBER(SEARCH(Kamus!$M$3:$M$111,$I864)),0)),"")</f>
        <v/>
      </c>
      <c r="Z864" s="106" t="str">
        <f>IF(AND(OR($X864="02",$X864="03",$X864="04"),OR($T864="Parsel/Bingkisan (tidak dirinci)",$T864="Makanan &amp; Minuman",$T864="Peralatan Rumah Tangga / Pecah Belah",$T864="Pakaian &amp; Kain")),"Momen Hari Raya (dugaan musiman)",IFERROR(VLOOKUP($W864,Kamus!$P$3:$Q$14,2,FALSE),"Tidak Teridentifikasi"))</f>
        <v>Koordinasi Antarinstansi (dugaan)</v>
      </c>
      <c r="AA864" s="106" t="str">
        <f t="shared" si="41"/>
        <v>Koordinasi Antarinstansi (dugaan)</v>
      </c>
    </row>
    <row r="865" spans="1:27">
      <c r="A865" s="106">
        <v>864</v>
      </c>
      <c r="B865" s="106" t="s">
        <v>5123</v>
      </c>
      <c r="C865" s="107" t="s">
        <v>5124</v>
      </c>
      <c r="D865" s="106" t="s">
        <v>1042</v>
      </c>
      <c r="E865" s="106" t="s">
        <v>1005</v>
      </c>
      <c r="F865" s="106" t="s">
        <v>5125</v>
      </c>
      <c r="G865" s="106" t="s">
        <v>1006</v>
      </c>
      <c r="H865" s="106" t="s">
        <v>2525</v>
      </c>
      <c r="I865" s="106" t="s">
        <v>5126</v>
      </c>
      <c r="K865" s="106" t="s">
        <v>5127</v>
      </c>
      <c r="L865" s="106" t="s">
        <v>5128</v>
      </c>
      <c r="O865" s="106" t="s">
        <v>274</v>
      </c>
      <c r="S865" s="106" t="str" cm="1">
        <f t="array" ref="S865">IF(TRIM($D865)="","(tidak diisi)",IFERROR(INDEX(Kamus!$B$3:$B$28,MATCH(TRUE,ISNUMBER(SEARCH(Kamus!$A$3:$A$28,$D865)),0)),"Jabatan Lainnya"))</f>
        <v>Ketua Pengadilan</v>
      </c>
      <c r="T865" s="106" t="str" cm="1">
        <f t="array" ref="T865">IF(TRIM($I865)="","(tidak diisi)",IFERROR(INDEX(Kamus!$E$3:$E$162,MATCH(TRUE,ISNUMBER(SEARCH(Kamus!$D$3:$D$162,$I865)),0)),"Barang Lain / Tidak Terinci"))</f>
        <v>Makanan &amp; Minuman</v>
      </c>
      <c r="U865" s="106" t="str" cm="1">
        <f t="array" ref="U865">IF(TRIM($I865)="","(tidak diisi)",IFERROR(INDEX(Kamus!$H$3:$H$75,MATCH(TRUE,ISNUMBER(SEARCH(Kamus!$G$3:$G$75,$I865)),0)),"Pemberian Umum / Tanpa Konteks"))</f>
        <v>Pemberian Umum / Tanpa Konteks</v>
      </c>
      <c r="V865" s="106" t="str">
        <f t="shared" si="39"/>
        <v>2026</v>
      </c>
      <c r="W865" s="106" t="str" cm="1">
        <f t="array" ref="W865">IF(TRIM($K865)="","(tidak diisi)",IFERROR(INDEX(Kamus!$K$3:$K$118,MATCH(TRUE,ISNUMBER(SEARCH(Kamus!$J$3:$J$118,$K865)),0)),"Individu / Perorangan"))</f>
        <v>Aparat/Instansi Penegak Hukum &amp; Vertikal</v>
      </c>
      <c r="X865" s="106" t="str">
        <f t="shared" si="40"/>
        <v>03</v>
      </c>
      <c r="Y865" s="106" t="str" cm="1">
        <f t="array" ref="Y865">IFERROR(INDEX(Kamus!$N$3:$N$111,MATCH(TRUE,ISNUMBER(SEARCH(Kamus!$M$3:$M$111,$I865)),0)),"")</f>
        <v/>
      </c>
      <c r="Z865" s="106" t="str">
        <f>IF(AND(OR($X865="02",$X865="03",$X865="04"),OR($T865="Parsel/Bingkisan (tidak dirinci)",$T865="Makanan &amp; Minuman",$T865="Peralatan Rumah Tangga / Pecah Belah",$T865="Pakaian &amp; Kain")),"Momen Hari Raya (dugaan musiman)",IFERROR(VLOOKUP($W865,Kamus!$P$3:$Q$14,2,FALSE),"Tidak Teridentifikasi"))</f>
        <v>Momen Hari Raya (dugaan musiman)</v>
      </c>
      <c r="AA865" s="106" t="str">
        <f t="shared" si="41"/>
        <v>Momen Hari Raya (dugaan musiman)</v>
      </c>
    </row>
    <row r="866" spans="1:27">
      <c r="A866" s="106">
        <v>865</v>
      </c>
      <c r="B866" s="106" t="s">
        <v>5129</v>
      </c>
      <c r="C866" s="107" t="s">
        <v>5130</v>
      </c>
      <c r="D866" s="106" t="s">
        <v>1336</v>
      </c>
      <c r="E866" s="106" t="s">
        <v>1622</v>
      </c>
      <c r="G866" s="106" t="s">
        <v>1006</v>
      </c>
      <c r="L866" s="106" t="s">
        <v>5131</v>
      </c>
      <c r="O866" s="106" t="s">
        <v>274</v>
      </c>
      <c r="P866" s="106" t="s">
        <v>1628</v>
      </c>
      <c r="Q866" s="106" t="s">
        <v>404</v>
      </c>
      <c r="S866" s="106" t="str" cm="1">
        <f t="array" ref="S866">IF(TRIM($D866)="","(tidak diisi)",IFERROR(INDEX(Kamus!$B$3:$B$28,MATCH(TRUE,ISNUMBER(SEARCH(Kamus!$A$3:$A$28,$D866)),0)),"Jabatan Lainnya"))</f>
        <v>Panitera</v>
      </c>
      <c r="T866" s="106" t="str" cm="1">
        <f t="array" ref="T866">IF(TRIM($I866)="","(tidak diisi)",IFERROR(INDEX(Kamus!$E$3:$E$162,MATCH(TRUE,ISNUMBER(SEARCH(Kamus!$D$3:$D$162,$I866)),0)),"Barang Lain / Tidak Terinci"))</f>
        <v>(tidak diisi)</v>
      </c>
      <c r="U866" s="106" t="str" cm="1">
        <f t="array" ref="U866">IF(TRIM($I866)="","(tidak diisi)",IFERROR(INDEX(Kamus!$H$3:$H$75,MATCH(TRUE,ISNUMBER(SEARCH(Kamus!$G$3:$G$75,$I866)),0)),"Pemberian Umum / Tanpa Konteks"))</f>
        <v>(tidak diisi)</v>
      </c>
      <c r="V866" s="106" t="str">
        <f t="shared" si="39"/>
        <v>(tidak diisi)</v>
      </c>
      <c r="W866" s="106" t="str" cm="1">
        <f t="array" ref="W866">IF(TRIM($K866)="","(tidak diisi)",IFERROR(INDEX(Kamus!$K$3:$K$118,MATCH(TRUE,ISNUMBER(SEARCH(Kamus!$J$3:$J$118,$K866)),0)),"Individu / Perorangan"))</f>
        <v>(tidak diisi)</v>
      </c>
      <c r="X866" s="106" t="str">
        <f t="shared" si="40"/>
        <v>(tidak diisi)</v>
      </c>
      <c r="Y866" s="106" t="str" cm="1">
        <f t="array" ref="Y866">IFERROR(INDEX(Kamus!$N$3:$N$111,MATCH(TRUE,ISNUMBER(SEARCH(Kamus!$M$3:$M$111,$I866)),0)),"")</f>
        <v/>
      </c>
      <c r="Z866" s="106" t="str">
        <f>IF(AND(OR($X866="02",$X866="03",$X866="04"),OR($T866="Parsel/Bingkisan (tidak dirinci)",$T866="Makanan &amp; Minuman",$T866="Peralatan Rumah Tangga / Pecah Belah",$T866="Pakaian &amp; Kain")),"Momen Hari Raya (dugaan musiman)",IFERROR(VLOOKUP($W866,Kamus!$P$3:$Q$14,2,FALSE),"Tidak Teridentifikasi"))</f>
        <v>Tidak Teridentifikasi</v>
      </c>
      <c r="AA866" s="106" t="str">
        <f t="shared" si="41"/>
        <v>Tidak Teridentifikasi</v>
      </c>
    </row>
    <row r="867" spans="1:27">
      <c r="A867" s="106">
        <v>866</v>
      </c>
      <c r="B867" s="106" t="s">
        <v>3504</v>
      </c>
      <c r="C867" s="107" t="s">
        <v>3505</v>
      </c>
      <c r="D867" s="106" t="s">
        <v>3506</v>
      </c>
      <c r="E867" s="106" t="s">
        <v>3493</v>
      </c>
      <c r="F867" s="106" t="s">
        <v>5132</v>
      </c>
      <c r="G867" s="106" t="s">
        <v>1074</v>
      </c>
      <c r="H867" s="106" t="s">
        <v>4704</v>
      </c>
      <c r="I867" s="106" t="s">
        <v>5133</v>
      </c>
      <c r="J867" s="106">
        <v>500000</v>
      </c>
      <c r="K867" s="106" t="s">
        <v>5134</v>
      </c>
      <c r="L867" s="106" t="s">
        <v>5135</v>
      </c>
      <c r="M867" s="106" t="s">
        <v>2247</v>
      </c>
      <c r="O867" s="106" t="s">
        <v>274</v>
      </c>
      <c r="P867" s="106" t="s">
        <v>3498</v>
      </c>
      <c r="Q867" s="106" t="s">
        <v>433</v>
      </c>
      <c r="S867" s="106" t="str" cm="1">
        <f t="array" ref="S867">IF(TRIM($D867)="","(tidak diisi)",IFERROR(INDEX(Kamus!$B$3:$B$28,MATCH(TRUE,ISNUMBER(SEARCH(Kamus!$A$3:$A$28,$D867)),0)),"Jabatan Lainnya"))</f>
        <v>Ketua Pengadilan</v>
      </c>
      <c r="T867" s="106" t="str" cm="1">
        <f t="array" ref="T867">IF(TRIM($I867)="","(tidak diisi)",IFERROR(INDEX(Kamus!$E$3:$E$162,MATCH(TRUE,ISNUMBER(SEARCH(Kamus!$D$3:$D$162,$I867)),0)),"Barang Lain / Tidak Terinci"))</f>
        <v>Peralatan Rumah Tangga / Pecah Belah</v>
      </c>
      <c r="U867" s="106" t="str" cm="1">
        <f t="array" ref="U867">IF(TRIM($I867)="","(tidak diisi)",IFERROR(INDEX(Kamus!$H$3:$H$75,MATCH(TRUE,ISNUMBER(SEARCH(Kamus!$G$3:$G$75,$I867)),0)),"Pemberian Umum / Tanpa Konteks"))</f>
        <v>Pemberian Umum / Tanpa Konteks</v>
      </c>
      <c r="V867" s="106" t="str">
        <f t="shared" si="39"/>
        <v>2026</v>
      </c>
      <c r="W867" s="106" t="str" cm="1">
        <f t="array" ref="W867">IF(TRIM($K867)="","(tidak diisi)",IFERROR(INDEX(Kamus!$K$3:$K$118,MATCH(TRUE,ISNUMBER(SEARCH(Kamus!$J$3:$J$118,$K867)),0)),"Individu / Perorangan"))</f>
        <v>Individu / Perorangan</v>
      </c>
      <c r="X867" s="106" t="str">
        <f t="shared" si="40"/>
        <v>03</v>
      </c>
      <c r="Y867" s="106" t="str" cm="1">
        <f t="array" ref="Y867">IFERROR(INDEX(Kamus!$N$3:$N$111,MATCH(TRUE,ISNUMBER(SEARCH(Kamus!$M$3:$M$111,$I867)),0)),"")</f>
        <v/>
      </c>
      <c r="Z867" s="106" t="str">
        <f>IF(AND(OR($X867="02",$X867="03",$X867="04"),OR($T867="Parsel/Bingkisan (tidak dirinci)",$T867="Makanan &amp; Minuman",$T867="Peralatan Rumah Tangga / Pecah Belah",$T867="Pakaian &amp; Kain")),"Momen Hari Raya (dugaan musiman)",IFERROR(VLOOKUP($W867,Kamus!$P$3:$Q$14,2,FALSE),"Tidak Teridentifikasi"))</f>
        <v>Momen Hari Raya (dugaan musiman)</v>
      </c>
      <c r="AA867" s="106" t="str">
        <f t="shared" si="41"/>
        <v>Momen Hari Raya (dugaan musiman)</v>
      </c>
    </row>
    <row r="868" spans="1:27">
      <c r="A868" s="106">
        <v>867</v>
      </c>
      <c r="B868" s="106" t="s">
        <v>3504</v>
      </c>
      <c r="C868" s="107" t="s">
        <v>3505</v>
      </c>
      <c r="D868" s="106" t="s">
        <v>3506</v>
      </c>
      <c r="E868" s="106" t="s">
        <v>3493</v>
      </c>
      <c r="F868" s="106" t="s">
        <v>5136</v>
      </c>
      <c r="G868" s="106" t="s">
        <v>1074</v>
      </c>
      <c r="H868" s="106" t="s">
        <v>4704</v>
      </c>
      <c r="I868" s="106" t="s">
        <v>1251</v>
      </c>
      <c r="K868" s="106" t="s">
        <v>5134</v>
      </c>
      <c r="L868" s="106" t="s">
        <v>5137</v>
      </c>
      <c r="O868" s="106" t="s">
        <v>274</v>
      </c>
      <c r="P868" s="106" t="s">
        <v>3498</v>
      </c>
      <c r="Q868" s="106" t="s">
        <v>433</v>
      </c>
      <c r="S868" s="106" t="str" cm="1">
        <f t="array" ref="S868">IF(TRIM($D868)="","(tidak diisi)",IFERROR(INDEX(Kamus!$B$3:$B$28,MATCH(TRUE,ISNUMBER(SEARCH(Kamus!$A$3:$A$28,$D868)),0)),"Jabatan Lainnya"))</f>
        <v>Ketua Pengadilan</v>
      </c>
      <c r="T868" s="106" t="str" cm="1">
        <f t="array" ref="T868">IF(TRIM($I868)="","(tidak diisi)",IFERROR(INDEX(Kamus!$E$3:$E$162,MATCH(TRUE,ISNUMBER(SEARCH(Kamus!$D$3:$D$162,$I868)),0)),"Barang Lain / Tidak Terinci"))</f>
        <v>Peralatan Rumah Tangga / Pecah Belah</v>
      </c>
      <c r="U868" s="106" t="str" cm="1">
        <f t="array" ref="U868">IF(TRIM($I868)="","(tidak diisi)",IFERROR(INDEX(Kamus!$H$3:$H$75,MATCH(TRUE,ISNUMBER(SEARCH(Kamus!$G$3:$G$75,$I868)),0)),"Pemberian Umum / Tanpa Konteks"))</f>
        <v>Parsel/Bingkisan Umum (non-hari raya)</v>
      </c>
      <c r="V868" s="106" t="str">
        <f t="shared" si="39"/>
        <v>2026</v>
      </c>
      <c r="W868" s="106" t="str" cm="1">
        <f t="array" ref="W868">IF(TRIM($K868)="","(tidak diisi)",IFERROR(INDEX(Kamus!$K$3:$K$118,MATCH(TRUE,ISNUMBER(SEARCH(Kamus!$J$3:$J$118,$K868)),0)),"Individu / Perorangan"))</f>
        <v>Individu / Perorangan</v>
      </c>
      <c r="X868" s="106" t="str">
        <f t="shared" si="40"/>
        <v>03</v>
      </c>
      <c r="Y868" s="106" t="str" cm="1">
        <f t="array" ref="Y868">IFERROR(INDEX(Kamus!$N$3:$N$111,MATCH(TRUE,ISNUMBER(SEARCH(Kamus!$M$3:$M$111,$I868)),0)),"")</f>
        <v/>
      </c>
      <c r="Z868" s="106" t="str">
        <f>IF(AND(OR($X868="02",$X868="03",$X868="04"),OR($T868="Parsel/Bingkisan (tidak dirinci)",$T868="Makanan &amp; Minuman",$T868="Peralatan Rumah Tangga / Pecah Belah",$T868="Pakaian &amp; Kain")),"Momen Hari Raya (dugaan musiman)",IFERROR(VLOOKUP($W868,Kamus!$P$3:$Q$14,2,FALSE),"Tidak Teridentifikasi"))</f>
        <v>Momen Hari Raya (dugaan musiman)</v>
      </c>
      <c r="AA868" s="106" t="str">
        <f t="shared" si="41"/>
        <v>Momen Hari Raya (dugaan musiman)</v>
      </c>
    </row>
    <row r="869" spans="1:27">
      <c r="A869" s="106">
        <v>868</v>
      </c>
      <c r="B869" s="106" t="s">
        <v>3504</v>
      </c>
      <c r="C869" s="107" t="s">
        <v>3505</v>
      </c>
      <c r="D869" s="106" t="s">
        <v>3506</v>
      </c>
      <c r="E869" s="106" t="s">
        <v>3493</v>
      </c>
      <c r="F869" s="106" t="s">
        <v>5138</v>
      </c>
      <c r="G869" s="106" t="s">
        <v>1074</v>
      </c>
      <c r="H869" s="106" t="s">
        <v>4727</v>
      </c>
      <c r="I869" s="106" t="s">
        <v>5139</v>
      </c>
      <c r="K869" s="106" t="s">
        <v>5140</v>
      </c>
      <c r="L869" s="106" t="s">
        <v>5141</v>
      </c>
      <c r="O869" s="106" t="s">
        <v>274</v>
      </c>
      <c r="P869" s="106" t="s">
        <v>3498</v>
      </c>
      <c r="Q869" s="106" t="s">
        <v>433</v>
      </c>
      <c r="S869" s="106" t="str" cm="1">
        <f t="array" ref="S869">IF(TRIM($D869)="","(tidak diisi)",IFERROR(INDEX(Kamus!$B$3:$B$28,MATCH(TRUE,ISNUMBER(SEARCH(Kamus!$A$3:$A$28,$D869)),0)),"Jabatan Lainnya"))</f>
        <v>Ketua Pengadilan</v>
      </c>
      <c r="T869" s="106" t="str" cm="1">
        <f t="array" ref="T869">IF(TRIM($I869)="","(tidak diisi)",IFERROR(INDEX(Kamus!$E$3:$E$162,MATCH(TRUE,ISNUMBER(SEARCH(Kamus!$D$3:$D$162,$I869)),0)),"Barang Lain / Tidak Terinci"))</f>
        <v>Pakaian &amp; Kain</v>
      </c>
      <c r="U869" s="106" t="str" cm="1">
        <f t="array" ref="U869">IF(TRIM($I869)="","(tidak diisi)",IFERROR(INDEX(Kamus!$H$3:$H$75,MATCH(TRUE,ISNUMBER(SEARCH(Kamus!$G$3:$G$75,$I869)),0)),"Pemberian Umum / Tanpa Konteks"))</f>
        <v>Pemberian Umum / Tanpa Konteks</v>
      </c>
      <c r="V869" s="106" t="str">
        <f t="shared" si="39"/>
        <v>2026</v>
      </c>
      <c r="W869" s="106" t="str" cm="1">
        <f t="array" ref="W869">IF(TRIM($K869)="","(tidak diisi)",IFERROR(INDEX(Kamus!$K$3:$K$118,MATCH(TRUE,ISNUMBER(SEARCH(Kamus!$J$3:$J$118,$K869)),0)),"Individu / Perorangan"))</f>
        <v>Individu / Perorangan</v>
      </c>
      <c r="X869" s="106" t="str">
        <f t="shared" si="40"/>
        <v>03</v>
      </c>
      <c r="Y869" s="106" t="str" cm="1">
        <f t="array" ref="Y869">IFERROR(INDEX(Kamus!$N$3:$N$111,MATCH(TRUE,ISNUMBER(SEARCH(Kamus!$M$3:$M$111,$I869)),0)),"")</f>
        <v/>
      </c>
      <c r="Z869" s="106" t="str">
        <f>IF(AND(OR($X869="02",$X869="03",$X869="04"),OR($T869="Parsel/Bingkisan (tidak dirinci)",$T869="Makanan &amp; Minuman",$T869="Peralatan Rumah Tangga / Pecah Belah",$T869="Pakaian &amp; Kain")),"Momen Hari Raya (dugaan musiman)",IFERROR(VLOOKUP($W869,Kamus!$P$3:$Q$14,2,FALSE),"Tidak Teridentifikasi"))</f>
        <v>Momen Hari Raya (dugaan musiman)</v>
      </c>
      <c r="AA869" s="106" t="str">
        <f t="shared" si="41"/>
        <v>Momen Hari Raya (dugaan musiman)</v>
      </c>
    </row>
    <row r="870" spans="1:27">
      <c r="A870" s="106">
        <v>869</v>
      </c>
      <c r="B870" s="106" t="s">
        <v>4477</v>
      </c>
      <c r="C870" s="107" t="s">
        <v>4478</v>
      </c>
      <c r="D870" s="106" t="s">
        <v>1144</v>
      </c>
      <c r="E870" s="106" t="s">
        <v>4914</v>
      </c>
      <c r="F870" s="106" t="s">
        <v>5142</v>
      </c>
      <c r="G870" s="106" t="s">
        <v>1006</v>
      </c>
      <c r="H870" s="106" t="s">
        <v>4970</v>
      </c>
      <c r="I870" s="106" t="s">
        <v>1036</v>
      </c>
      <c r="J870" s="106">
        <v>800000</v>
      </c>
      <c r="K870" s="106" t="s">
        <v>5143</v>
      </c>
      <c r="L870" s="106" t="s">
        <v>5144</v>
      </c>
      <c r="M870" s="106" t="s">
        <v>1171</v>
      </c>
      <c r="N870" s="106" t="s">
        <v>5145</v>
      </c>
      <c r="O870" s="106" t="s">
        <v>274</v>
      </c>
      <c r="P870" s="106" t="s">
        <v>4919</v>
      </c>
      <c r="Q870" s="106" t="s">
        <v>397</v>
      </c>
      <c r="S870" s="106" t="str" cm="1">
        <f t="array" ref="S870">IF(TRIM($D870)="","(tidak diisi)",IFERROR(INDEX(Kamus!$B$3:$B$28,MATCH(TRUE,ISNUMBER(SEARCH(Kamus!$A$3:$A$28,$D870)),0)),"Jabatan Lainnya"))</f>
        <v>Ketua Pengadilan</v>
      </c>
      <c r="T870" s="106" t="str" cm="1">
        <f t="array" ref="T870">IF(TRIM($I870)="","(tidak diisi)",IFERROR(INDEX(Kamus!$E$3:$E$162,MATCH(TRUE,ISNUMBER(SEARCH(Kamus!$D$3:$D$162,$I870)),0)),"Barang Lain / Tidak Terinci"))</f>
        <v>Peralatan Rumah Tangga / Pecah Belah</v>
      </c>
      <c r="U870" s="106" t="str" cm="1">
        <f t="array" ref="U870">IF(TRIM($I870)="","(tidak diisi)",IFERROR(INDEX(Kamus!$H$3:$H$75,MATCH(TRUE,ISNUMBER(SEARCH(Kamus!$G$3:$G$75,$I870)),0)),"Pemberian Umum / Tanpa Konteks"))</f>
        <v>Parsel/Bingkisan Umum (non-hari raya)</v>
      </c>
      <c r="V870" s="106" t="str">
        <f t="shared" si="39"/>
        <v>2026</v>
      </c>
      <c r="W870" s="106" t="str" cm="1">
        <f t="array" ref="W870">IF(TRIM($K870)="","(tidak diisi)",IFERROR(INDEX(Kamus!$K$3:$K$118,MATCH(TRUE,ISNUMBER(SEARCH(Kamus!$J$3:$J$118,$K870)),0)),"Individu / Perorangan"))</f>
        <v>Individu / Perorangan</v>
      </c>
      <c r="X870" s="106" t="str">
        <f t="shared" si="40"/>
        <v>03</v>
      </c>
      <c r="Y870" s="106" t="str" cm="1">
        <f t="array" ref="Y870">IFERROR(INDEX(Kamus!$N$3:$N$111,MATCH(TRUE,ISNUMBER(SEARCH(Kamus!$M$3:$M$111,$I870)),0)),"")</f>
        <v/>
      </c>
      <c r="Z870" s="106" t="str">
        <f>IF(AND(OR($X870="02",$X870="03",$X870="04"),OR($T870="Parsel/Bingkisan (tidak dirinci)",$T870="Makanan &amp; Minuman",$T870="Peralatan Rumah Tangga / Pecah Belah",$T870="Pakaian &amp; Kain")),"Momen Hari Raya (dugaan musiman)",IFERROR(VLOOKUP($W870,Kamus!$P$3:$Q$14,2,FALSE),"Tidak Teridentifikasi"))</f>
        <v>Momen Hari Raya (dugaan musiman)</v>
      </c>
      <c r="AA870" s="106" t="str">
        <f t="shared" si="41"/>
        <v>Momen Hari Raya (dugaan musiman)</v>
      </c>
    </row>
    <row r="871" spans="1:27">
      <c r="A871" s="106">
        <v>870</v>
      </c>
      <c r="B871" s="106" t="s">
        <v>2148</v>
      </c>
      <c r="C871" s="107" t="s">
        <v>2149</v>
      </c>
      <c r="D871" s="106" t="s">
        <v>1600</v>
      </c>
      <c r="E871" s="106" t="s">
        <v>2150</v>
      </c>
      <c r="F871" s="106" t="s">
        <v>5146</v>
      </c>
      <c r="G871" s="106" t="s">
        <v>1006</v>
      </c>
      <c r="H871" s="106" t="s">
        <v>4745</v>
      </c>
      <c r="I871" s="106" t="s">
        <v>5147</v>
      </c>
      <c r="K871" s="106" t="s">
        <v>468</v>
      </c>
      <c r="L871" s="106" t="s">
        <v>5148</v>
      </c>
      <c r="O871" s="106" t="s">
        <v>274</v>
      </c>
      <c r="P871" s="106" t="s">
        <v>604</v>
      </c>
      <c r="Q871" s="106" t="s">
        <v>429</v>
      </c>
      <c r="S871" s="106" t="str" cm="1">
        <f t="array" ref="S871">IF(TRIM($D871)="","(tidak diisi)",IFERROR(INDEX(Kamus!$B$3:$B$28,MATCH(TRUE,ISNUMBER(SEARCH(Kamus!$A$3:$A$28,$D871)),0)),"Jabatan Lainnya"))</f>
        <v>Staf/Pegawai Pelaksana</v>
      </c>
      <c r="T871" s="106" t="str" cm="1">
        <f t="array" ref="T871">IF(TRIM($I871)="","(tidak diisi)",IFERROR(INDEX(Kamus!$E$3:$E$162,MATCH(TRUE,ISNUMBER(SEARCH(Kamus!$D$3:$D$162,$I871)),0)),"Barang Lain / Tidak Terinci"))</f>
        <v>Makanan &amp; Minuman</v>
      </c>
      <c r="U871" s="106" t="str" cm="1">
        <f t="array" ref="U871">IF(TRIM($I871)="","(tidak diisi)",IFERROR(INDEX(Kamus!$H$3:$H$75,MATCH(TRUE,ISNUMBER(SEARCH(Kamus!$G$3:$G$75,$I871)),0)),"Pemberian Umum / Tanpa Konteks"))</f>
        <v>Pemberian Umum / Tanpa Konteks</v>
      </c>
      <c r="V871" s="106" t="str">
        <f t="shared" si="39"/>
        <v>2026</v>
      </c>
      <c r="W871" s="106" t="str" cm="1">
        <f t="array" ref="W871">IF(TRIM($K871)="","(tidak diisi)",IFERROR(INDEX(Kamus!$K$3:$K$118,MATCH(TRUE,ISNUMBER(SEARCH(Kamus!$J$3:$J$118,$K871)),0)),"Individu / Perorangan"))</f>
        <v>Individu / Perorangan</v>
      </c>
      <c r="X871" s="106" t="str">
        <f t="shared" si="40"/>
        <v>03</v>
      </c>
      <c r="Y871" s="106" t="str" cm="1">
        <f t="array" ref="Y871">IFERROR(INDEX(Kamus!$N$3:$N$111,MATCH(TRUE,ISNUMBER(SEARCH(Kamus!$M$3:$M$111,$I871)),0)),"")</f>
        <v/>
      </c>
      <c r="Z871" s="106" t="str">
        <f>IF(AND(OR($X871="02",$X871="03",$X871="04"),OR($T871="Parsel/Bingkisan (tidak dirinci)",$T871="Makanan &amp; Minuman",$T871="Peralatan Rumah Tangga / Pecah Belah",$T871="Pakaian &amp; Kain")),"Momen Hari Raya (dugaan musiman)",IFERROR(VLOOKUP($W871,Kamus!$P$3:$Q$14,2,FALSE),"Tidak Teridentifikasi"))</f>
        <v>Momen Hari Raya (dugaan musiman)</v>
      </c>
      <c r="AA871" s="106" t="str">
        <f t="shared" si="41"/>
        <v>Momen Hari Raya (dugaan musiman)</v>
      </c>
    </row>
    <row r="872" spans="1:27">
      <c r="A872" s="106">
        <v>871</v>
      </c>
      <c r="B872" s="106" t="s">
        <v>5149</v>
      </c>
      <c r="C872" s="107" t="s">
        <v>5150</v>
      </c>
      <c r="D872" s="106" t="s">
        <v>5151</v>
      </c>
      <c r="E872" s="106" t="s">
        <v>1005</v>
      </c>
      <c r="G872" s="106" t="s">
        <v>1006</v>
      </c>
      <c r="L872" s="106" t="s">
        <v>5131</v>
      </c>
      <c r="O872" s="106" t="s">
        <v>274</v>
      </c>
      <c r="S872" s="106" t="str" cm="1">
        <f t="array" ref="S872">IF(TRIM($D872)="","(tidak diisi)",IFERROR(INDEX(Kamus!$B$3:$B$28,MATCH(TRUE,ISNUMBER(SEARCH(Kamus!$A$3:$A$28,$D872)),0)),"Jabatan Lainnya"))</f>
        <v>Staf/Pegawai Pelaksana</v>
      </c>
      <c r="T872" s="106" t="str" cm="1">
        <f t="array" ref="T872">IF(TRIM($I872)="","(tidak diisi)",IFERROR(INDEX(Kamus!$E$3:$E$162,MATCH(TRUE,ISNUMBER(SEARCH(Kamus!$D$3:$D$162,$I872)),0)),"Barang Lain / Tidak Terinci"))</f>
        <v>(tidak diisi)</v>
      </c>
      <c r="U872" s="106" t="str" cm="1">
        <f t="array" ref="U872">IF(TRIM($I872)="","(tidak diisi)",IFERROR(INDEX(Kamus!$H$3:$H$75,MATCH(TRUE,ISNUMBER(SEARCH(Kamus!$G$3:$G$75,$I872)),0)),"Pemberian Umum / Tanpa Konteks"))</f>
        <v>(tidak diisi)</v>
      </c>
      <c r="V872" s="106" t="str">
        <f t="shared" si="39"/>
        <v>(tidak diisi)</v>
      </c>
      <c r="W872" s="106" t="str" cm="1">
        <f t="array" ref="W872">IF(TRIM($K872)="","(tidak diisi)",IFERROR(INDEX(Kamus!$K$3:$K$118,MATCH(TRUE,ISNUMBER(SEARCH(Kamus!$J$3:$J$118,$K872)),0)),"Individu / Perorangan"))</f>
        <v>(tidak diisi)</v>
      </c>
      <c r="X872" s="106" t="str">
        <f t="shared" si="40"/>
        <v>(tidak diisi)</v>
      </c>
      <c r="Y872" s="106" t="str" cm="1">
        <f t="array" ref="Y872">IFERROR(INDEX(Kamus!$N$3:$N$111,MATCH(TRUE,ISNUMBER(SEARCH(Kamus!$M$3:$M$111,$I872)),0)),"")</f>
        <v/>
      </c>
      <c r="Z872" s="106" t="str">
        <f>IF(AND(OR($X872="02",$X872="03",$X872="04"),OR($T872="Parsel/Bingkisan (tidak dirinci)",$T872="Makanan &amp; Minuman",$T872="Peralatan Rumah Tangga / Pecah Belah",$T872="Pakaian &amp; Kain")),"Momen Hari Raya (dugaan musiman)",IFERROR(VLOOKUP($W872,Kamus!$P$3:$Q$14,2,FALSE),"Tidak Teridentifikasi"))</f>
        <v>Tidak Teridentifikasi</v>
      </c>
      <c r="AA872" s="106" t="str">
        <f t="shared" si="41"/>
        <v>Tidak Teridentifikasi</v>
      </c>
    </row>
    <row r="873" spans="1:27">
      <c r="A873" s="106">
        <v>872</v>
      </c>
      <c r="B873" s="106" t="s">
        <v>2148</v>
      </c>
      <c r="C873" s="107" t="s">
        <v>2149</v>
      </c>
      <c r="D873" s="106" t="s">
        <v>1600</v>
      </c>
      <c r="E873" s="106" t="s">
        <v>2150</v>
      </c>
      <c r="F873" s="106" t="s">
        <v>5152</v>
      </c>
      <c r="G873" s="106" t="s">
        <v>1006</v>
      </c>
      <c r="H873" s="106" t="s">
        <v>4795</v>
      </c>
      <c r="I873" s="106" t="s">
        <v>5153</v>
      </c>
      <c r="K873" s="106" t="s">
        <v>468</v>
      </c>
      <c r="L873" s="106" t="s">
        <v>5154</v>
      </c>
      <c r="O873" s="106" t="s">
        <v>274</v>
      </c>
      <c r="P873" s="106" t="s">
        <v>604</v>
      </c>
      <c r="Q873" s="106" t="s">
        <v>429</v>
      </c>
      <c r="S873" s="106" t="str" cm="1">
        <f t="array" ref="S873">IF(TRIM($D873)="","(tidak diisi)",IFERROR(INDEX(Kamus!$B$3:$B$28,MATCH(TRUE,ISNUMBER(SEARCH(Kamus!$A$3:$A$28,$D873)),0)),"Jabatan Lainnya"))</f>
        <v>Staf/Pegawai Pelaksana</v>
      </c>
      <c r="T873" s="106" t="str" cm="1">
        <f t="array" ref="T873">IF(TRIM($I873)="","(tidak diisi)",IFERROR(INDEX(Kamus!$E$3:$E$162,MATCH(TRUE,ISNUMBER(SEARCH(Kamus!$D$3:$D$162,$I873)),0)),"Barang Lain / Tidak Terinci"))</f>
        <v>Peralatan Rumah Tangga / Pecah Belah</v>
      </c>
      <c r="U873" s="106" t="str" cm="1">
        <f t="array" ref="U873">IF(TRIM($I873)="","(tidak diisi)",IFERROR(INDEX(Kamus!$H$3:$H$75,MATCH(TRUE,ISNUMBER(SEARCH(Kamus!$G$3:$G$75,$I873)),0)),"Pemberian Umum / Tanpa Konteks"))</f>
        <v>Pemberian Umum / Tanpa Konteks</v>
      </c>
      <c r="V873" s="106" t="str">
        <f t="shared" si="39"/>
        <v>2026</v>
      </c>
      <c r="W873" s="106" t="str" cm="1">
        <f t="array" ref="W873">IF(TRIM($K873)="","(tidak diisi)",IFERROR(INDEX(Kamus!$K$3:$K$118,MATCH(TRUE,ISNUMBER(SEARCH(Kamus!$J$3:$J$118,$K873)),0)),"Individu / Perorangan"))</f>
        <v>Individu / Perorangan</v>
      </c>
      <c r="X873" s="106" t="str">
        <f t="shared" si="40"/>
        <v>03</v>
      </c>
      <c r="Y873" s="106" t="str" cm="1">
        <f t="array" ref="Y873">IFERROR(INDEX(Kamus!$N$3:$N$111,MATCH(TRUE,ISNUMBER(SEARCH(Kamus!$M$3:$M$111,$I873)),0)),"")</f>
        <v/>
      </c>
      <c r="Z873" s="106" t="str">
        <f>IF(AND(OR($X873="02",$X873="03",$X873="04"),OR($T873="Parsel/Bingkisan (tidak dirinci)",$T873="Makanan &amp; Minuman",$T873="Peralatan Rumah Tangga / Pecah Belah",$T873="Pakaian &amp; Kain")),"Momen Hari Raya (dugaan musiman)",IFERROR(VLOOKUP($W873,Kamus!$P$3:$Q$14,2,FALSE),"Tidak Teridentifikasi"))</f>
        <v>Momen Hari Raya (dugaan musiman)</v>
      </c>
      <c r="AA873" s="106" t="str">
        <f t="shared" si="41"/>
        <v>Momen Hari Raya (dugaan musiman)</v>
      </c>
    </row>
    <row r="874" spans="1:27">
      <c r="A874" s="106">
        <v>873</v>
      </c>
      <c r="B874" s="106" t="s">
        <v>5155</v>
      </c>
      <c r="C874" s="107" t="s">
        <v>5156</v>
      </c>
      <c r="D874" s="106" t="s">
        <v>5157</v>
      </c>
      <c r="E874" s="106" t="s">
        <v>1729</v>
      </c>
      <c r="F874" s="106" t="s">
        <v>5158</v>
      </c>
      <c r="G874" s="106" t="s">
        <v>1074</v>
      </c>
      <c r="H874" s="106" t="s">
        <v>4795</v>
      </c>
      <c r="I874" s="106" t="s">
        <v>5159</v>
      </c>
      <c r="J874" s="106">
        <v>500000</v>
      </c>
      <c r="K874" s="106" t="s">
        <v>5160</v>
      </c>
      <c r="L874" s="106" t="s">
        <v>5161</v>
      </c>
      <c r="M874" s="106" t="s">
        <v>2247</v>
      </c>
      <c r="O874" s="106" t="s">
        <v>274</v>
      </c>
      <c r="Q874" s="106" t="s">
        <v>329</v>
      </c>
      <c r="S874" s="106" t="str" cm="1">
        <f t="array" ref="S874">IF(TRIM($D874)="","(tidak diisi)",IFERROR(INDEX(Kamus!$B$3:$B$28,MATCH(TRUE,ISNUMBER(SEARCH(Kamus!$A$3:$A$28,$D874)),0)),"Jabatan Lainnya"))</f>
        <v>Ketua Pengadilan</v>
      </c>
      <c r="T874" s="106" t="str" cm="1">
        <f t="array" ref="T874">IF(TRIM($I874)="","(tidak diisi)",IFERROR(INDEX(Kamus!$E$3:$E$162,MATCH(TRUE,ISNUMBER(SEARCH(Kamus!$D$3:$D$162,$I874)),0)),"Barang Lain / Tidak Terinci"))</f>
        <v>Uang &amp; Setara Uang</v>
      </c>
      <c r="U874" s="106" t="str" cm="1">
        <f t="array" ref="U874">IF(TRIM($I874)="","(tidak diisi)",IFERROR(INDEX(Kamus!$H$3:$H$75,MATCH(TRUE,ISNUMBER(SEARCH(Kamus!$G$3:$G$75,$I874)),0)),"Pemberian Umum / Tanpa Konteks"))</f>
        <v>Pemberian Uang Langsung</v>
      </c>
      <c r="V874" s="106" t="str">
        <f t="shared" si="39"/>
        <v>2026</v>
      </c>
      <c r="W874" s="106" t="str" cm="1">
        <f t="array" ref="W874">IF(TRIM($K874)="","(tidak diisi)",IFERROR(INDEX(Kamus!$K$3:$K$118,MATCH(TRUE,ISNUMBER(SEARCH(Kamus!$J$3:$J$118,$K874)),0)),"Individu / Perorangan"))</f>
        <v>Individu / Perorangan</v>
      </c>
      <c r="X874" s="106" t="str">
        <f t="shared" si="40"/>
        <v>03</v>
      </c>
      <c r="Y874" s="106" t="str" cm="1">
        <f t="array" ref="Y874">IFERROR(INDEX(Kamus!$N$3:$N$111,MATCH(TRUE,ISNUMBER(SEARCH(Kamus!$M$3:$M$111,$I874)),0)),"")</f>
        <v/>
      </c>
      <c r="Z874" s="106" t="str">
        <f>IF(AND(OR($X874="02",$X874="03",$X874="04"),OR($T874="Parsel/Bingkisan (tidak dirinci)",$T874="Makanan &amp; Minuman",$T874="Peralatan Rumah Tangga / Pecah Belah",$T874="Pakaian &amp; Kain")),"Momen Hari Raya (dugaan musiman)",IFERROR(VLOOKUP($W874,Kamus!$P$3:$Q$14,2,FALSE),"Tidak Teridentifikasi"))</f>
        <v>Relasi Personal / Tidak Teridentifikasi</v>
      </c>
      <c r="AA874" s="106" t="str">
        <f t="shared" si="41"/>
        <v>Relasi Personal / Tidak Teridentifikasi</v>
      </c>
    </row>
    <row r="875" spans="1:27">
      <c r="A875" s="106">
        <v>874</v>
      </c>
      <c r="B875" s="106" t="s">
        <v>2005</v>
      </c>
      <c r="C875" s="107" t="s">
        <v>2006</v>
      </c>
      <c r="D875" s="106" t="s">
        <v>1843</v>
      </c>
      <c r="E875" s="106" t="s">
        <v>2007</v>
      </c>
      <c r="F875" s="106" t="s">
        <v>5162</v>
      </c>
      <c r="G875" s="106" t="s">
        <v>1074</v>
      </c>
      <c r="H875" s="106" t="s">
        <v>5023</v>
      </c>
      <c r="I875" s="106" t="s">
        <v>5163</v>
      </c>
      <c r="K875" s="106" t="s">
        <v>5164</v>
      </c>
      <c r="L875" s="106" t="s">
        <v>5165</v>
      </c>
      <c r="O875" s="106" t="s">
        <v>274</v>
      </c>
      <c r="P875" s="106" t="s">
        <v>2012</v>
      </c>
      <c r="Q875" s="106" t="s">
        <v>402</v>
      </c>
      <c r="S875" s="106" t="str" cm="1">
        <f t="array" ref="S875">IF(TRIM($D875)="","(tidak diisi)",IFERROR(INDEX(Kamus!$B$3:$B$28,MATCH(TRUE,ISNUMBER(SEARCH(Kamus!$A$3:$A$28,$D875)),0)),"Jabatan Lainnya"))</f>
        <v>Ketua Pengadilan</v>
      </c>
      <c r="T875" s="106" t="str" cm="1">
        <f t="array" ref="T875">IF(TRIM($I875)="","(tidak diisi)",IFERROR(INDEX(Kamus!$E$3:$E$162,MATCH(TRUE,ISNUMBER(SEARCH(Kamus!$D$3:$D$162,$I875)),0)),"Barang Lain / Tidak Terinci"))</f>
        <v>Peralatan Rumah Tangga / Pecah Belah</v>
      </c>
      <c r="U875" s="106" t="str" cm="1">
        <f t="array" ref="U875">IF(TRIM($I875)="","(tidak diisi)",IFERROR(INDEX(Kamus!$H$3:$H$75,MATCH(TRUE,ISNUMBER(SEARCH(Kamus!$G$3:$G$75,$I875)),0)),"Pemberian Umum / Tanpa Konteks"))</f>
        <v>Parsel/Bingkisan Umum (non-hari raya)</v>
      </c>
      <c r="V875" s="106" t="str">
        <f t="shared" si="39"/>
        <v>2026</v>
      </c>
      <c r="W875" s="106" t="str" cm="1">
        <f t="array" ref="W875">IF(TRIM($K875)="","(tidak diisi)",IFERROR(INDEX(Kamus!$K$3:$K$118,MATCH(TRUE,ISNUMBER(SEARCH(Kamus!$J$3:$J$118,$K875)),0)),"Individu / Perorangan"))</f>
        <v>Individu / Perorangan</v>
      </c>
      <c r="X875" s="106" t="str">
        <f t="shared" si="40"/>
        <v>03</v>
      </c>
      <c r="Y875" s="106" t="str" cm="1">
        <f t="array" ref="Y875">IFERROR(INDEX(Kamus!$N$3:$N$111,MATCH(TRUE,ISNUMBER(SEARCH(Kamus!$M$3:$M$111,$I875)),0)),"")</f>
        <v/>
      </c>
      <c r="Z875" s="106" t="str">
        <f>IF(AND(OR($X875="02",$X875="03",$X875="04"),OR($T875="Parsel/Bingkisan (tidak dirinci)",$T875="Makanan &amp; Minuman",$T875="Peralatan Rumah Tangga / Pecah Belah",$T875="Pakaian &amp; Kain")),"Momen Hari Raya (dugaan musiman)",IFERROR(VLOOKUP($W875,Kamus!$P$3:$Q$14,2,FALSE),"Tidak Teridentifikasi"))</f>
        <v>Momen Hari Raya (dugaan musiman)</v>
      </c>
      <c r="AA875" s="106" t="str">
        <f t="shared" si="41"/>
        <v>Momen Hari Raya (dugaan musiman)</v>
      </c>
    </row>
    <row r="876" spans="1:27">
      <c r="A876" s="106">
        <v>875</v>
      </c>
      <c r="B876" s="106" t="s">
        <v>2033</v>
      </c>
      <c r="C876" s="107" t="s">
        <v>2034</v>
      </c>
      <c r="D876" s="106" t="s">
        <v>2035</v>
      </c>
      <c r="E876" s="106" t="s">
        <v>1005</v>
      </c>
      <c r="F876" s="106" t="s">
        <v>5166</v>
      </c>
      <c r="G876" s="106" t="s">
        <v>1074</v>
      </c>
      <c r="H876" s="106" t="s">
        <v>5020</v>
      </c>
      <c r="I876" s="106" t="s">
        <v>5167</v>
      </c>
      <c r="K876" s="106" t="s">
        <v>5168</v>
      </c>
      <c r="L876" s="106" t="s">
        <v>5169</v>
      </c>
      <c r="O876" s="106" t="s">
        <v>274</v>
      </c>
      <c r="S876" s="106" t="str" cm="1">
        <f t="array" ref="S876">IF(TRIM($D876)="","(tidak diisi)",IFERROR(INDEX(Kamus!$B$3:$B$28,MATCH(TRUE,ISNUMBER(SEARCH(Kamus!$A$3:$A$28,$D876)),0)),"Jabatan Lainnya"))</f>
        <v>Ketua Pengadilan</v>
      </c>
      <c r="T876" s="106" t="str" cm="1">
        <f t="array" ref="T876">IF(TRIM($I876)="","(tidak diisi)",IFERROR(INDEX(Kamus!$E$3:$E$162,MATCH(TRUE,ISNUMBER(SEARCH(Kamus!$D$3:$D$162,$I876)),0)),"Barang Lain / Tidak Terinci"))</f>
        <v>Makanan &amp; Minuman</v>
      </c>
      <c r="U876" s="106" t="str" cm="1">
        <f t="array" ref="U876">IF(TRIM($I876)="","(tidak diisi)",IFERROR(INDEX(Kamus!$H$3:$H$75,MATCH(TRUE,ISNUMBER(SEARCH(Kamus!$G$3:$G$75,$I876)),0)),"Pemberian Umum / Tanpa Konteks"))</f>
        <v>Parsel/Bingkisan Umum (non-hari raya)</v>
      </c>
      <c r="V876" s="106" t="str">
        <f t="shared" si="39"/>
        <v>2026</v>
      </c>
      <c r="W876" s="106" t="str" cm="1">
        <f t="array" ref="W876">IF(TRIM($K876)="","(tidak diisi)",IFERROR(INDEX(Kamus!$K$3:$K$118,MATCH(TRUE,ISNUMBER(SEARCH(Kamus!$J$3:$J$118,$K876)),0)),"Individu / Perorangan"))</f>
        <v>Individu / Perorangan</v>
      </c>
      <c r="X876" s="106" t="str">
        <f t="shared" si="40"/>
        <v>03</v>
      </c>
      <c r="Y876" s="106" t="str" cm="1">
        <f t="array" ref="Y876">IFERROR(INDEX(Kamus!$N$3:$N$111,MATCH(TRUE,ISNUMBER(SEARCH(Kamus!$M$3:$M$111,$I876)),0)),"")</f>
        <v/>
      </c>
      <c r="Z876" s="106" t="str">
        <f>IF(AND(OR($X876="02",$X876="03",$X876="04"),OR($T876="Parsel/Bingkisan (tidak dirinci)",$T876="Makanan &amp; Minuman",$T876="Peralatan Rumah Tangga / Pecah Belah",$T876="Pakaian &amp; Kain")),"Momen Hari Raya (dugaan musiman)",IFERROR(VLOOKUP($W876,Kamus!$P$3:$Q$14,2,FALSE),"Tidak Teridentifikasi"))</f>
        <v>Momen Hari Raya (dugaan musiman)</v>
      </c>
      <c r="AA876" s="106" t="str">
        <f t="shared" si="41"/>
        <v>Momen Hari Raya (dugaan musiman)</v>
      </c>
    </row>
    <row r="877" spans="1:27">
      <c r="A877" s="106">
        <v>876</v>
      </c>
      <c r="B877" s="106" t="s">
        <v>2033</v>
      </c>
      <c r="C877" s="107" t="s">
        <v>2034</v>
      </c>
      <c r="D877" s="106" t="s">
        <v>2035</v>
      </c>
      <c r="E877" s="106" t="s">
        <v>1005</v>
      </c>
      <c r="F877" s="106" t="s">
        <v>5170</v>
      </c>
      <c r="G877" s="106" t="s">
        <v>1074</v>
      </c>
      <c r="H877" s="106" t="s">
        <v>5020</v>
      </c>
      <c r="I877" s="106" t="s">
        <v>5171</v>
      </c>
      <c r="K877" s="106" t="s">
        <v>5172</v>
      </c>
      <c r="L877" s="106" t="s">
        <v>5173</v>
      </c>
      <c r="O877" s="106" t="s">
        <v>274</v>
      </c>
      <c r="S877" s="106" t="str" cm="1">
        <f t="array" ref="S877">IF(TRIM($D877)="","(tidak diisi)",IFERROR(INDEX(Kamus!$B$3:$B$28,MATCH(TRUE,ISNUMBER(SEARCH(Kamus!$A$3:$A$28,$D877)),0)),"Jabatan Lainnya"))</f>
        <v>Ketua Pengadilan</v>
      </c>
      <c r="T877" s="106" t="str" cm="1">
        <f t="array" ref="T877">IF(TRIM($I877)="","(tidak diisi)",IFERROR(INDEX(Kamus!$E$3:$E$162,MATCH(TRUE,ISNUMBER(SEARCH(Kamus!$D$3:$D$162,$I877)),0)),"Barang Lain / Tidak Terinci"))</f>
        <v>Peralatan Rumah Tangga / Pecah Belah</v>
      </c>
      <c r="U877" s="106" t="str" cm="1">
        <f t="array" ref="U877">IF(TRIM($I877)="","(tidak diisi)",IFERROR(INDEX(Kamus!$H$3:$H$75,MATCH(TRUE,ISNUMBER(SEARCH(Kamus!$G$3:$G$75,$I877)),0)),"Pemberian Umum / Tanpa Konteks"))</f>
        <v>Parsel/Bingkisan Umum (non-hari raya)</v>
      </c>
      <c r="V877" s="106" t="str">
        <f t="shared" si="39"/>
        <v>2026</v>
      </c>
      <c r="W877" s="106" t="str" cm="1">
        <f t="array" ref="W877">IF(TRIM($K877)="","(tidak diisi)",IFERROR(INDEX(Kamus!$K$3:$K$118,MATCH(TRUE,ISNUMBER(SEARCH(Kamus!$J$3:$J$118,$K877)),0)),"Individu / Perorangan"))</f>
        <v>Individu / Perorangan</v>
      </c>
      <c r="X877" s="106" t="str">
        <f t="shared" si="40"/>
        <v>03</v>
      </c>
      <c r="Y877" s="106" t="str" cm="1">
        <f t="array" ref="Y877">IFERROR(INDEX(Kamus!$N$3:$N$111,MATCH(TRUE,ISNUMBER(SEARCH(Kamus!$M$3:$M$111,$I877)),0)),"")</f>
        <v/>
      </c>
      <c r="Z877" s="106" t="str">
        <f>IF(AND(OR($X877="02",$X877="03",$X877="04"),OR($T877="Parsel/Bingkisan (tidak dirinci)",$T877="Makanan &amp; Minuman",$T877="Peralatan Rumah Tangga / Pecah Belah",$T877="Pakaian &amp; Kain")),"Momen Hari Raya (dugaan musiman)",IFERROR(VLOOKUP($W877,Kamus!$P$3:$Q$14,2,FALSE),"Tidak Teridentifikasi"))</f>
        <v>Momen Hari Raya (dugaan musiman)</v>
      </c>
      <c r="AA877" s="106" t="str">
        <f t="shared" si="41"/>
        <v>Momen Hari Raya (dugaan musiman)</v>
      </c>
    </row>
    <row r="878" spans="1:27">
      <c r="A878" s="106">
        <v>877</v>
      </c>
      <c r="B878" s="106" t="s">
        <v>3608</v>
      </c>
      <c r="C878" s="107" t="s">
        <v>3609</v>
      </c>
      <c r="D878" s="106" t="s">
        <v>3610</v>
      </c>
      <c r="E878" s="106" t="s">
        <v>3611</v>
      </c>
      <c r="G878" s="106" t="s">
        <v>1006</v>
      </c>
      <c r="L878" s="106" t="s">
        <v>5174</v>
      </c>
      <c r="O878" s="106" t="s">
        <v>274</v>
      </c>
      <c r="P878" s="106" t="s">
        <v>3616</v>
      </c>
      <c r="Q878" s="106" t="s">
        <v>422</v>
      </c>
      <c r="S878" s="106" t="str" cm="1">
        <f t="array" ref="S878">IF(TRIM($D878)="","(tidak diisi)",IFERROR(INDEX(Kamus!$B$3:$B$28,MATCH(TRUE,ISNUMBER(SEARCH(Kamus!$A$3:$A$28,$D878)),0)),"Jabatan Lainnya"))</f>
        <v>Ketua Pengadilan</v>
      </c>
      <c r="T878" s="106" t="str" cm="1">
        <f t="array" ref="T878">IF(TRIM($I878)="","(tidak diisi)",IFERROR(INDEX(Kamus!$E$3:$E$162,MATCH(TRUE,ISNUMBER(SEARCH(Kamus!$D$3:$D$162,$I878)),0)),"Barang Lain / Tidak Terinci"))</f>
        <v>(tidak diisi)</v>
      </c>
      <c r="U878" s="106" t="str" cm="1">
        <f t="array" ref="U878">IF(TRIM($I878)="","(tidak diisi)",IFERROR(INDEX(Kamus!$H$3:$H$75,MATCH(TRUE,ISNUMBER(SEARCH(Kamus!$G$3:$G$75,$I878)),0)),"Pemberian Umum / Tanpa Konteks"))</f>
        <v>(tidak diisi)</v>
      </c>
      <c r="V878" s="106" t="str">
        <f t="shared" si="39"/>
        <v>(tidak diisi)</v>
      </c>
      <c r="W878" s="106" t="str" cm="1">
        <f t="array" ref="W878">IF(TRIM($K878)="","(tidak diisi)",IFERROR(INDEX(Kamus!$K$3:$K$118,MATCH(TRUE,ISNUMBER(SEARCH(Kamus!$J$3:$J$118,$K878)),0)),"Individu / Perorangan"))</f>
        <v>(tidak diisi)</v>
      </c>
      <c r="X878" s="106" t="str">
        <f t="shared" si="40"/>
        <v>(tidak diisi)</v>
      </c>
      <c r="Y878" s="106" t="str" cm="1">
        <f t="array" ref="Y878">IFERROR(INDEX(Kamus!$N$3:$N$111,MATCH(TRUE,ISNUMBER(SEARCH(Kamus!$M$3:$M$111,$I878)),0)),"")</f>
        <v/>
      </c>
      <c r="Z878" s="106" t="str">
        <f>IF(AND(OR($X878="02",$X878="03",$X878="04"),OR($T878="Parsel/Bingkisan (tidak dirinci)",$T878="Makanan &amp; Minuman",$T878="Peralatan Rumah Tangga / Pecah Belah",$T878="Pakaian &amp; Kain")),"Momen Hari Raya (dugaan musiman)",IFERROR(VLOOKUP($W878,Kamus!$P$3:$Q$14,2,FALSE),"Tidak Teridentifikasi"))</f>
        <v>Tidak Teridentifikasi</v>
      </c>
      <c r="AA878" s="106" t="str">
        <f t="shared" si="41"/>
        <v>Tidak Teridentifikasi</v>
      </c>
    </row>
    <row r="879" spans="1:27">
      <c r="A879" s="106">
        <v>878</v>
      </c>
      <c r="B879" s="106" t="s">
        <v>5175</v>
      </c>
      <c r="C879" s="107" t="s">
        <v>5176</v>
      </c>
      <c r="D879" s="106" t="s">
        <v>5177</v>
      </c>
      <c r="E879" s="106" t="s">
        <v>2150</v>
      </c>
      <c r="F879" s="106" t="s">
        <v>5178</v>
      </c>
      <c r="G879" s="106" t="s">
        <v>1006</v>
      </c>
      <c r="H879" s="106" t="s">
        <v>4855</v>
      </c>
      <c r="I879" s="106" t="s">
        <v>5179</v>
      </c>
      <c r="J879" s="106">
        <v>200000</v>
      </c>
      <c r="K879" s="106" t="s">
        <v>5180</v>
      </c>
      <c r="L879" s="106" t="s">
        <v>5181</v>
      </c>
      <c r="M879" s="106" t="s">
        <v>2529</v>
      </c>
      <c r="O879" s="106" t="s">
        <v>274</v>
      </c>
      <c r="P879" s="106" t="s">
        <v>604</v>
      </c>
      <c r="Q879" s="106" t="s">
        <v>429</v>
      </c>
      <c r="S879" s="106" t="str" cm="1">
        <f t="array" ref="S879">IF(TRIM($D879)="","(tidak diisi)",IFERROR(INDEX(Kamus!$B$3:$B$28,MATCH(TRUE,ISNUMBER(SEARCH(Kamus!$A$3:$A$28,$D879)),0)),"Jabatan Lainnya"))</f>
        <v>Pejabat Struktural (Kasubbag/Kabag)</v>
      </c>
      <c r="T879" s="106" t="str" cm="1">
        <f t="array" ref="T879">IF(TRIM($I879)="","(tidak diisi)",IFERROR(INDEX(Kamus!$E$3:$E$162,MATCH(TRUE,ISNUMBER(SEARCH(Kamus!$D$3:$D$162,$I879)),0)),"Barang Lain / Tidak Terinci"))</f>
        <v>Peralatan Rumah Tangga / Pecah Belah</v>
      </c>
      <c r="U879" s="106" t="str" cm="1">
        <f t="array" ref="U879">IF(TRIM($I879)="","(tidak diisi)",IFERROR(INDEX(Kamus!$H$3:$H$75,MATCH(TRUE,ISNUMBER(SEARCH(Kamus!$G$3:$G$75,$I879)),0)),"Pemberian Umum / Tanpa Konteks"))</f>
        <v>Bingkisan Hari Raya / Keagamaan</v>
      </c>
      <c r="V879" s="106" t="str">
        <f t="shared" si="39"/>
        <v>2026</v>
      </c>
      <c r="W879" s="106" t="str" cm="1">
        <f t="array" ref="W879">IF(TRIM($K879)="","(tidak diisi)",IFERROR(INDEX(Kamus!$K$3:$K$118,MATCH(TRUE,ISNUMBER(SEARCH(Kamus!$J$3:$J$118,$K879)),0)),"Individu / Perorangan"))</f>
        <v>Individu / Perorangan</v>
      </c>
      <c r="X879" s="106" t="str">
        <f t="shared" si="40"/>
        <v>03</v>
      </c>
      <c r="Y879" s="106" t="str" cm="1">
        <f t="array" ref="Y879">IFERROR(INDEX(Kamus!$N$3:$N$111,MATCH(TRUE,ISNUMBER(SEARCH(Kamus!$M$3:$M$111,$I879)),0)),"")</f>
        <v>Momen Hari Raya (Ramadan/Idulfitri)</v>
      </c>
      <c r="Z879" s="106" t="str">
        <f>IF(AND(OR($X879="02",$X879="03",$X879="04"),OR($T879="Parsel/Bingkisan (tidak dirinci)",$T879="Makanan &amp; Minuman",$T879="Peralatan Rumah Tangga / Pecah Belah",$T879="Pakaian &amp; Kain")),"Momen Hari Raya (dugaan musiman)",IFERROR(VLOOKUP($W879,Kamus!$P$3:$Q$14,2,FALSE),"Tidak Teridentifikasi"))</f>
        <v>Momen Hari Raya (dugaan musiman)</v>
      </c>
      <c r="AA879" s="106" t="str">
        <f t="shared" si="41"/>
        <v>Momen Hari Raya (Ramadan/Idulfitri)</v>
      </c>
    </row>
    <row r="880" spans="1:27">
      <c r="A880" s="106">
        <v>879</v>
      </c>
      <c r="B880" s="106" t="s">
        <v>5175</v>
      </c>
      <c r="C880" s="107" t="s">
        <v>5176</v>
      </c>
      <c r="D880" s="106" t="s">
        <v>5177</v>
      </c>
      <c r="E880" s="106" t="s">
        <v>2150</v>
      </c>
      <c r="F880" s="106" t="s">
        <v>5178</v>
      </c>
      <c r="G880" s="106" t="s">
        <v>1006</v>
      </c>
      <c r="H880" s="106" t="s">
        <v>4855</v>
      </c>
      <c r="I880" s="106" t="s">
        <v>5182</v>
      </c>
      <c r="J880" s="106">
        <v>120000</v>
      </c>
      <c r="K880" s="106" t="s">
        <v>5180</v>
      </c>
      <c r="L880" s="106" t="s">
        <v>5181</v>
      </c>
      <c r="M880" s="106" t="s">
        <v>1039</v>
      </c>
      <c r="O880" s="106" t="s">
        <v>274</v>
      </c>
      <c r="P880" s="106" t="s">
        <v>604</v>
      </c>
      <c r="Q880" s="106" t="s">
        <v>429</v>
      </c>
      <c r="S880" s="106" t="str" cm="1">
        <f t="array" ref="S880">IF(TRIM($D880)="","(tidak diisi)",IFERROR(INDEX(Kamus!$B$3:$B$28,MATCH(TRUE,ISNUMBER(SEARCH(Kamus!$A$3:$A$28,$D880)),0)),"Jabatan Lainnya"))</f>
        <v>Pejabat Struktural (Kasubbag/Kabag)</v>
      </c>
      <c r="T880" s="106" t="str" cm="1">
        <f t="array" ref="T880">IF(TRIM($I880)="","(tidak diisi)",IFERROR(INDEX(Kamus!$E$3:$E$162,MATCH(TRUE,ISNUMBER(SEARCH(Kamus!$D$3:$D$162,$I880)),0)),"Barang Lain / Tidak Terinci"))</f>
        <v>Buku &amp; Publikasi</v>
      </c>
      <c r="U880" s="106" t="str" cm="1">
        <f t="array" ref="U880">IF(TRIM($I880)="","(tidak diisi)",IFERROR(INDEX(Kamus!$H$3:$H$75,MATCH(TRUE,ISNUMBER(SEARCH(Kamus!$G$3:$G$75,$I880)),0)),"Pemberian Umum / Tanpa Konteks"))</f>
        <v>Suvenir / Merchandise Kegiatan &amp; Kunjungan</v>
      </c>
      <c r="V880" s="106" t="str">
        <f t="shared" si="39"/>
        <v>2026</v>
      </c>
      <c r="W880" s="106" t="str" cm="1">
        <f t="array" ref="W880">IF(TRIM($K880)="","(tidak diisi)",IFERROR(INDEX(Kamus!$K$3:$K$118,MATCH(TRUE,ISNUMBER(SEARCH(Kamus!$J$3:$J$118,$K880)),0)),"Individu / Perorangan"))</f>
        <v>Individu / Perorangan</v>
      </c>
      <c r="X880" s="106" t="str">
        <f t="shared" si="40"/>
        <v>03</v>
      </c>
      <c r="Y880" s="106" t="str" cm="1">
        <f t="array" ref="Y880">IFERROR(INDEX(Kamus!$N$3:$N$111,MATCH(TRUE,ISNUMBER(SEARCH(Kamus!$M$3:$M$111,$I880)),0)),"")</f>
        <v/>
      </c>
      <c r="Z880" s="106" t="str">
        <f>IF(AND(OR($X880="02",$X880="03",$X880="04"),OR($T880="Parsel/Bingkisan (tidak dirinci)",$T880="Makanan &amp; Minuman",$T880="Peralatan Rumah Tangga / Pecah Belah",$T880="Pakaian &amp; Kain")),"Momen Hari Raya (dugaan musiman)",IFERROR(VLOOKUP($W880,Kamus!$P$3:$Q$14,2,FALSE),"Tidak Teridentifikasi"))</f>
        <v>Relasi Personal / Tidak Teridentifikasi</v>
      </c>
      <c r="AA880" s="106" t="str">
        <f t="shared" si="41"/>
        <v>Relasi Personal / Tidak Teridentifikasi</v>
      </c>
    </row>
    <row r="881" spans="1:27">
      <c r="A881" s="106">
        <v>880</v>
      </c>
      <c r="B881" s="106" t="s">
        <v>4874</v>
      </c>
      <c r="C881" s="107" t="s">
        <v>4875</v>
      </c>
      <c r="D881" s="106" t="s">
        <v>1843</v>
      </c>
      <c r="E881" s="106" t="s">
        <v>1005</v>
      </c>
      <c r="F881" s="106" t="s">
        <v>5183</v>
      </c>
      <c r="G881" s="106" t="s">
        <v>1074</v>
      </c>
      <c r="H881" s="106" t="s">
        <v>5184</v>
      </c>
      <c r="I881" s="106" t="s">
        <v>5185</v>
      </c>
      <c r="K881" s="106" t="s">
        <v>5186</v>
      </c>
      <c r="L881" s="106" t="s">
        <v>5187</v>
      </c>
      <c r="O881" s="106" t="s">
        <v>274</v>
      </c>
      <c r="S881" s="106" t="str" cm="1">
        <f t="array" ref="S881">IF(TRIM($D881)="","(tidak diisi)",IFERROR(INDEX(Kamus!$B$3:$B$28,MATCH(TRUE,ISNUMBER(SEARCH(Kamus!$A$3:$A$28,$D881)),0)),"Jabatan Lainnya"))</f>
        <v>Ketua Pengadilan</v>
      </c>
      <c r="T881" s="106" t="str" cm="1">
        <f t="array" ref="T881">IF(TRIM($I881)="","(tidak diisi)",IFERROR(INDEX(Kamus!$E$3:$E$162,MATCH(TRUE,ISNUMBER(SEARCH(Kamus!$D$3:$D$162,$I881)),0)),"Barang Lain / Tidak Terinci"))</f>
        <v>Makanan &amp; Minuman</v>
      </c>
      <c r="U881" s="106" t="str" cm="1">
        <f t="array" ref="U881">IF(TRIM($I881)="","(tidak diisi)",IFERROR(INDEX(Kamus!$H$3:$H$75,MATCH(TRUE,ISNUMBER(SEARCH(Kamus!$G$3:$G$75,$I881)),0)),"Pemberian Umum / Tanpa Konteks"))</f>
        <v>Parsel/Bingkisan Umum (non-hari raya)</v>
      </c>
      <c r="V881" s="106" t="str">
        <f t="shared" si="39"/>
        <v>2026</v>
      </c>
      <c r="W881" s="106" t="str" cm="1">
        <f t="array" ref="W881">IF(TRIM($K881)="","(tidak diisi)",IFERROR(INDEX(Kamus!$K$3:$K$118,MATCH(TRUE,ISNUMBER(SEARCH(Kamus!$J$3:$J$118,$K881)),0)),"Individu / Perorangan"))</f>
        <v>Pemerintah Daerah</v>
      </c>
      <c r="X881" s="106" t="str">
        <f t="shared" si="40"/>
        <v>03</v>
      </c>
      <c r="Y881" s="106" t="str" cm="1">
        <f t="array" ref="Y881">IFERROR(INDEX(Kamus!$N$3:$N$111,MATCH(TRUE,ISNUMBER(SEARCH(Kamus!$M$3:$M$111,$I881)),0)),"")</f>
        <v/>
      </c>
      <c r="Z881" s="106" t="str">
        <f>IF(AND(OR($X881="02",$X881="03",$X881="04"),OR($T881="Parsel/Bingkisan (tidak dirinci)",$T881="Makanan &amp; Minuman",$T881="Peralatan Rumah Tangga / Pecah Belah",$T881="Pakaian &amp; Kain")),"Momen Hari Raya (dugaan musiman)",IFERROR(VLOOKUP($W881,Kamus!$P$3:$Q$14,2,FALSE),"Tidak Teridentifikasi"))</f>
        <v>Momen Hari Raya (dugaan musiman)</v>
      </c>
      <c r="AA881" s="106" t="str">
        <f t="shared" si="41"/>
        <v>Momen Hari Raya (dugaan musiman)</v>
      </c>
    </row>
    <row r="882" spans="1:27">
      <c r="A882" s="106">
        <v>881</v>
      </c>
      <c r="B882" s="106" t="s">
        <v>3004</v>
      </c>
      <c r="C882" s="107" t="s">
        <v>3005</v>
      </c>
      <c r="D882" s="106" t="s">
        <v>1033</v>
      </c>
      <c r="E882" s="106" t="s">
        <v>3006</v>
      </c>
      <c r="F882" s="106" t="s">
        <v>5188</v>
      </c>
      <c r="G882" s="106" t="s">
        <v>1006</v>
      </c>
      <c r="H882" s="106" t="s">
        <v>4704</v>
      </c>
      <c r="I882" s="106" t="s">
        <v>5189</v>
      </c>
      <c r="K882" s="106" t="s">
        <v>5190</v>
      </c>
      <c r="L882" s="106" t="s">
        <v>5191</v>
      </c>
      <c r="O882" s="106" t="s">
        <v>274</v>
      </c>
      <c r="P882" s="106" t="s">
        <v>3010</v>
      </c>
      <c r="Q882" s="106" t="s">
        <v>347</v>
      </c>
      <c r="S882" s="106" t="str" cm="1">
        <f t="array" ref="S882">IF(TRIM($D882)="","(tidak diisi)",IFERROR(INDEX(Kamus!$B$3:$B$28,MATCH(TRUE,ISNUMBER(SEARCH(Kamus!$A$3:$A$28,$D882)),0)),"Jabatan Lainnya"))</f>
        <v>Hakim</v>
      </c>
      <c r="T882" s="106" t="str" cm="1">
        <f t="array" ref="T882">IF(TRIM($I882)="","(tidak diisi)",IFERROR(INDEX(Kamus!$E$3:$E$162,MATCH(TRUE,ISNUMBER(SEARCH(Kamus!$D$3:$D$162,$I882)),0)),"Barang Lain / Tidak Terinci"))</f>
        <v>Peralatan Rumah Tangga / Pecah Belah</v>
      </c>
      <c r="U882" s="106" t="str" cm="1">
        <f t="array" ref="U882">IF(TRIM($I882)="","(tidak diisi)",IFERROR(INDEX(Kamus!$H$3:$H$75,MATCH(TRUE,ISNUMBER(SEARCH(Kamus!$G$3:$G$75,$I882)),0)),"Pemberian Umum / Tanpa Konteks"))</f>
        <v>Suvenir / Merchandise Kegiatan &amp; Kunjungan</v>
      </c>
      <c r="V882" s="106" t="str">
        <f t="shared" si="39"/>
        <v>2026</v>
      </c>
      <c r="W882" s="106" t="str" cm="1">
        <f t="array" ref="W882">IF(TRIM($K882)="","(tidak diisi)",IFERROR(INDEX(Kamus!$K$3:$K$118,MATCH(TRUE,ISNUMBER(SEARCH(Kamus!$J$3:$J$118,$K882)),0)),"Individu / Perorangan"))</f>
        <v>Individu / Perorangan</v>
      </c>
      <c r="X882" s="106" t="str">
        <f t="shared" si="40"/>
        <v>03</v>
      </c>
      <c r="Y882" s="106" t="str" cm="1">
        <f t="array" ref="Y882">IFERROR(INDEX(Kamus!$N$3:$N$111,MATCH(TRUE,ISNUMBER(SEARCH(Kamus!$M$3:$M$111,$I882)),0)),"")</f>
        <v/>
      </c>
      <c r="Z882" s="106" t="str">
        <f>IF(AND(OR($X882="02",$X882="03",$X882="04"),OR($T882="Parsel/Bingkisan (tidak dirinci)",$T882="Makanan &amp; Minuman",$T882="Peralatan Rumah Tangga / Pecah Belah",$T882="Pakaian &amp; Kain")),"Momen Hari Raya (dugaan musiman)",IFERROR(VLOOKUP($W882,Kamus!$P$3:$Q$14,2,FALSE),"Tidak Teridentifikasi"))</f>
        <v>Momen Hari Raya (dugaan musiman)</v>
      </c>
      <c r="AA882" s="106" t="str">
        <f t="shared" si="41"/>
        <v>Momen Hari Raya (dugaan musiman)</v>
      </c>
    </row>
    <row r="883" spans="1:27">
      <c r="A883" s="106">
        <v>882</v>
      </c>
      <c r="B883" s="106" t="s">
        <v>5192</v>
      </c>
      <c r="C883" s="107" t="s">
        <v>5193</v>
      </c>
      <c r="D883" s="106" t="s">
        <v>1144</v>
      </c>
      <c r="E883" s="106" t="s">
        <v>5194</v>
      </c>
      <c r="F883" s="106" t="s">
        <v>5195</v>
      </c>
      <c r="G883" s="106" t="s">
        <v>1006</v>
      </c>
      <c r="H883" s="106" t="s">
        <v>4745</v>
      </c>
      <c r="I883" s="106" t="s">
        <v>1956</v>
      </c>
      <c r="K883" s="106" t="s">
        <v>5196</v>
      </c>
      <c r="L883" s="106" t="s">
        <v>5197</v>
      </c>
      <c r="O883" s="106" t="s">
        <v>274</v>
      </c>
      <c r="P883" s="106" t="s">
        <v>5198</v>
      </c>
      <c r="Q883" s="106" t="s">
        <v>405</v>
      </c>
      <c r="S883" s="106" t="str" cm="1">
        <f t="array" ref="S883">IF(TRIM($D883)="","(tidak diisi)",IFERROR(INDEX(Kamus!$B$3:$B$28,MATCH(TRUE,ISNUMBER(SEARCH(Kamus!$A$3:$A$28,$D883)),0)),"Jabatan Lainnya"))</f>
        <v>Ketua Pengadilan</v>
      </c>
      <c r="T883" s="106" t="str" cm="1">
        <f t="array" ref="T883">IF(TRIM($I883)="","(tidak diisi)",IFERROR(INDEX(Kamus!$E$3:$E$162,MATCH(TRUE,ISNUMBER(SEARCH(Kamus!$D$3:$D$162,$I883)),0)),"Barang Lain / Tidak Terinci"))</f>
        <v>Parsel/Bingkisan (tidak dirinci)</v>
      </c>
      <c r="U883" s="106" t="str" cm="1">
        <f t="array" ref="U883">IF(TRIM($I883)="","(tidak diisi)",IFERROR(INDEX(Kamus!$H$3:$H$75,MATCH(TRUE,ISNUMBER(SEARCH(Kamus!$G$3:$G$75,$I883)),0)),"Pemberian Umum / Tanpa Konteks"))</f>
        <v>Bingkisan Hari Raya / Keagamaan</v>
      </c>
      <c r="V883" s="106" t="str">
        <f t="shared" si="39"/>
        <v>2026</v>
      </c>
      <c r="W883" s="106" t="str" cm="1">
        <f t="array" ref="W883">IF(TRIM($K883)="","(tidak diisi)",IFERROR(INDEX(Kamus!$K$3:$K$118,MATCH(TRUE,ISNUMBER(SEARCH(Kamus!$J$3:$J$118,$K883)),0)),"Individu / Perorangan"))</f>
        <v>Individu / Perorangan</v>
      </c>
      <c r="X883" s="106" t="str">
        <f t="shared" si="40"/>
        <v>03</v>
      </c>
      <c r="Y883" s="106" t="str" cm="1">
        <f t="array" ref="Y883">IFERROR(INDEX(Kamus!$N$3:$N$111,MATCH(TRUE,ISNUMBER(SEARCH(Kamus!$M$3:$M$111,$I883)),0)),"")</f>
        <v>Momen Hari Raya (Ramadan/Idulfitri)</v>
      </c>
      <c r="Z883" s="106" t="str">
        <f>IF(AND(OR($X883="02",$X883="03",$X883="04"),OR($T883="Parsel/Bingkisan (tidak dirinci)",$T883="Makanan &amp; Minuman",$T883="Peralatan Rumah Tangga / Pecah Belah",$T883="Pakaian &amp; Kain")),"Momen Hari Raya (dugaan musiman)",IFERROR(VLOOKUP($W883,Kamus!$P$3:$Q$14,2,FALSE),"Tidak Teridentifikasi"))</f>
        <v>Momen Hari Raya (dugaan musiman)</v>
      </c>
      <c r="AA883" s="106" t="str">
        <f t="shared" si="41"/>
        <v>Momen Hari Raya (Ramadan/Idulfitri)</v>
      </c>
    </row>
    <row r="884" spans="1:27">
      <c r="A884" s="106">
        <v>883</v>
      </c>
      <c r="B884" s="106" t="s">
        <v>2318</v>
      </c>
      <c r="C884" s="107" t="s">
        <v>2319</v>
      </c>
      <c r="D884" s="106" t="s">
        <v>1042</v>
      </c>
      <c r="E884" s="106" t="s">
        <v>1025</v>
      </c>
      <c r="F884" s="106" t="s">
        <v>5199</v>
      </c>
      <c r="G884" s="106" t="s">
        <v>1074</v>
      </c>
      <c r="H884" s="106" t="s">
        <v>5200</v>
      </c>
      <c r="I884" s="106" t="s">
        <v>2502</v>
      </c>
      <c r="K884" s="106" t="s">
        <v>5201</v>
      </c>
      <c r="L884" s="106" t="s">
        <v>5202</v>
      </c>
      <c r="O884" s="106" t="s">
        <v>274</v>
      </c>
      <c r="P884" s="106" t="s">
        <v>561</v>
      </c>
      <c r="Q884" s="106" t="s">
        <v>428</v>
      </c>
      <c r="S884" s="106" t="str" cm="1">
        <f t="array" ref="S884">IF(TRIM($D884)="","(tidak diisi)",IFERROR(INDEX(Kamus!$B$3:$B$28,MATCH(TRUE,ISNUMBER(SEARCH(Kamus!$A$3:$A$28,$D884)),0)),"Jabatan Lainnya"))</f>
        <v>Ketua Pengadilan</v>
      </c>
      <c r="T884" s="106" t="str" cm="1">
        <f t="array" ref="T884">IF(TRIM($I884)="","(tidak diisi)",IFERROR(INDEX(Kamus!$E$3:$E$162,MATCH(TRUE,ISNUMBER(SEARCH(Kamus!$D$3:$D$162,$I884)),0)),"Barang Lain / Tidak Terinci"))</f>
        <v>Makanan &amp; Minuman</v>
      </c>
      <c r="U884" s="106" t="str" cm="1">
        <f t="array" ref="U884">IF(TRIM($I884)="","(tidak diisi)",IFERROR(INDEX(Kamus!$H$3:$H$75,MATCH(TRUE,ISNUMBER(SEARCH(Kamus!$G$3:$G$75,$I884)),0)),"Pemberian Umum / Tanpa Konteks"))</f>
        <v>Parsel/Bingkisan Umum (non-hari raya)</v>
      </c>
      <c r="V884" s="106" t="str">
        <f t="shared" si="39"/>
        <v>2026</v>
      </c>
      <c r="W884" s="106" t="str" cm="1">
        <f t="array" ref="W884">IF(TRIM($K884)="","(tidak diisi)",IFERROR(INDEX(Kamus!$K$3:$K$118,MATCH(TRUE,ISNUMBER(SEARCH(Kamus!$J$3:$J$118,$K884)),0)),"Individu / Perorangan"))</f>
        <v>Bank &amp; Lembaga Keuangan</v>
      </c>
      <c r="X884" s="106" t="str">
        <f t="shared" si="40"/>
        <v>03</v>
      </c>
      <c r="Y884" s="106" t="str" cm="1">
        <f t="array" ref="Y884">IFERROR(INDEX(Kamus!$N$3:$N$111,MATCH(TRUE,ISNUMBER(SEARCH(Kamus!$M$3:$M$111,$I884)),0)),"")</f>
        <v/>
      </c>
      <c r="Z884" s="106" t="str">
        <f>IF(AND(OR($X884="02",$X884="03",$X884="04"),OR($T884="Parsel/Bingkisan (tidak dirinci)",$T884="Makanan &amp; Minuman",$T884="Peralatan Rumah Tangga / Pecah Belah",$T884="Pakaian &amp; Kain")),"Momen Hari Raya (dugaan musiman)",IFERROR(VLOOKUP($W884,Kamus!$P$3:$Q$14,2,FALSE),"Tidak Teridentifikasi"))</f>
        <v>Momen Hari Raya (dugaan musiman)</v>
      </c>
      <c r="AA884" s="106" t="str">
        <f t="shared" si="41"/>
        <v>Momen Hari Raya (dugaan musiman)</v>
      </c>
    </row>
    <row r="885" spans="1:27">
      <c r="A885" s="106">
        <v>884</v>
      </c>
      <c r="B885" s="106" t="s">
        <v>5203</v>
      </c>
      <c r="C885" s="107" t="s">
        <v>5204</v>
      </c>
      <c r="D885" s="106" t="s">
        <v>3375</v>
      </c>
      <c r="E885" s="106" t="s">
        <v>5205</v>
      </c>
      <c r="G885" s="106" t="s">
        <v>1074</v>
      </c>
      <c r="L885" s="106" t="s">
        <v>5206</v>
      </c>
      <c r="O885" s="106" t="s">
        <v>274</v>
      </c>
      <c r="P885" s="106" t="s">
        <v>5207</v>
      </c>
      <c r="Q885" s="106" t="s">
        <v>401</v>
      </c>
      <c r="S885" s="106" t="str" cm="1">
        <f t="array" ref="S885">IF(TRIM($D885)="","(tidak diisi)",IFERROR(INDEX(Kamus!$B$3:$B$28,MATCH(TRUE,ISNUMBER(SEARCH(Kamus!$A$3:$A$28,$D885)),0)),"Jabatan Lainnya"))</f>
        <v>Staf/Pegawai Pelaksana</v>
      </c>
      <c r="T885" s="106" t="str" cm="1">
        <f t="array" ref="T885">IF(TRIM($I885)="","(tidak diisi)",IFERROR(INDEX(Kamus!$E$3:$E$162,MATCH(TRUE,ISNUMBER(SEARCH(Kamus!$D$3:$D$162,$I885)),0)),"Barang Lain / Tidak Terinci"))</f>
        <v>(tidak diisi)</v>
      </c>
      <c r="U885" s="106" t="str" cm="1">
        <f t="array" ref="U885">IF(TRIM($I885)="","(tidak diisi)",IFERROR(INDEX(Kamus!$H$3:$H$75,MATCH(TRUE,ISNUMBER(SEARCH(Kamus!$G$3:$G$75,$I885)),0)),"Pemberian Umum / Tanpa Konteks"))</f>
        <v>(tidak diisi)</v>
      </c>
      <c r="V885" s="106" t="str">
        <f t="shared" si="39"/>
        <v>(tidak diisi)</v>
      </c>
      <c r="W885" s="106" t="str" cm="1">
        <f t="array" ref="W885">IF(TRIM($K885)="","(tidak diisi)",IFERROR(INDEX(Kamus!$K$3:$K$118,MATCH(TRUE,ISNUMBER(SEARCH(Kamus!$J$3:$J$118,$K885)),0)),"Individu / Perorangan"))</f>
        <v>(tidak diisi)</v>
      </c>
      <c r="X885" s="106" t="str">
        <f t="shared" si="40"/>
        <v>(tidak diisi)</v>
      </c>
      <c r="Y885" s="106" t="str" cm="1">
        <f t="array" ref="Y885">IFERROR(INDEX(Kamus!$N$3:$N$111,MATCH(TRUE,ISNUMBER(SEARCH(Kamus!$M$3:$M$111,$I885)),0)),"")</f>
        <v/>
      </c>
      <c r="Z885" s="106" t="str">
        <f>IF(AND(OR($X885="02",$X885="03",$X885="04"),OR($T885="Parsel/Bingkisan (tidak dirinci)",$T885="Makanan &amp; Minuman",$T885="Peralatan Rumah Tangga / Pecah Belah",$T885="Pakaian &amp; Kain")),"Momen Hari Raya (dugaan musiman)",IFERROR(VLOOKUP($W885,Kamus!$P$3:$Q$14,2,FALSE),"Tidak Teridentifikasi"))</f>
        <v>Tidak Teridentifikasi</v>
      </c>
      <c r="AA885" s="106" t="str">
        <f t="shared" si="41"/>
        <v>Tidak Teridentifikasi</v>
      </c>
    </row>
    <row r="886" spans="1:27">
      <c r="A886" s="106">
        <v>885</v>
      </c>
      <c r="B886" s="106" t="s">
        <v>5208</v>
      </c>
      <c r="C886" s="107" t="s">
        <v>5209</v>
      </c>
      <c r="D886" s="106" t="s">
        <v>5210</v>
      </c>
      <c r="E886" s="106" t="s">
        <v>5205</v>
      </c>
      <c r="F886" s="106" t="s">
        <v>5211</v>
      </c>
      <c r="G886" s="106" t="s">
        <v>1074</v>
      </c>
      <c r="H886" s="106" t="s">
        <v>4764</v>
      </c>
      <c r="I886" s="106" t="s">
        <v>5212</v>
      </c>
      <c r="K886" s="106" t="s">
        <v>5213</v>
      </c>
      <c r="L886" s="106" t="s">
        <v>5214</v>
      </c>
      <c r="O886" s="106" t="s">
        <v>274</v>
      </c>
      <c r="P886" s="106" t="s">
        <v>5207</v>
      </c>
      <c r="Q886" s="106" t="s">
        <v>401</v>
      </c>
      <c r="S886" s="106" t="str" cm="1">
        <f t="array" ref="S886">IF(TRIM($D886)="","(tidak diisi)",IFERROR(INDEX(Kamus!$B$3:$B$28,MATCH(TRUE,ISNUMBER(SEARCH(Kamus!$A$3:$A$28,$D886)),0)),"Jabatan Lainnya"))</f>
        <v>Ketua Pengadilan</v>
      </c>
      <c r="T886" s="106" t="str" cm="1">
        <f t="array" ref="T886">IF(TRIM($I886)="","(tidak diisi)",IFERROR(INDEX(Kamus!$E$3:$E$162,MATCH(TRUE,ISNUMBER(SEARCH(Kamus!$D$3:$D$162,$I886)),0)),"Barang Lain / Tidak Terinci"))</f>
        <v>Makanan &amp; Minuman</v>
      </c>
      <c r="U886" s="106" t="str" cm="1">
        <f t="array" ref="U886">IF(TRIM($I886)="","(tidak diisi)",IFERROR(INDEX(Kamus!$H$3:$H$75,MATCH(TRUE,ISNUMBER(SEARCH(Kamus!$G$3:$G$75,$I886)),0)),"Pemberian Umum / Tanpa Konteks"))</f>
        <v>Parsel/Bingkisan Umum (non-hari raya)</v>
      </c>
      <c r="V886" s="106" t="str">
        <f t="shared" si="39"/>
        <v>2026</v>
      </c>
      <c r="W886" s="106" t="str" cm="1">
        <f t="array" ref="W886">IF(TRIM($K886)="","(tidak diisi)",IFERROR(INDEX(Kamus!$K$3:$K$118,MATCH(TRUE,ISNUMBER(SEARCH(Kamus!$J$3:$J$118,$K886)),0)),"Individu / Perorangan"))</f>
        <v>Individu / Perorangan</v>
      </c>
      <c r="X886" s="106" t="str">
        <f t="shared" si="40"/>
        <v>03</v>
      </c>
      <c r="Y886" s="106" t="str" cm="1">
        <f t="array" ref="Y886">IFERROR(INDEX(Kamus!$N$3:$N$111,MATCH(TRUE,ISNUMBER(SEARCH(Kamus!$M$3:$M$111,$I886)),0)),"")</f>
        <v/>
      </c>
      <c r="Z886" s="106" t="str">
        <f>IF(AND(OR($X886="02",$X886="03",$X886="04"),OR($T886="Parsel/Bingkisan (tidak dirinci)",$T886="Makanan &amp; Minuman",$T886="Peralatan Rumah Tangga / Pecah Belah",$T886="Pakaian &amp; Kain")),"Momen Hari Raya (dugaan musiman)",IFERROR(VLOOKUP($W886,Kamus!$P$3:$Q$14,2,FALSE),"Tidak Teridentifikasi"))</f>
        <v>Momen Hari Raya (dugaan musiman)</v>
      </c>
      <c r="AA886" s="106" t="str">
        <f t="shared" si="41"/>
        <v>Momen Hari Raya (dugaan musiman)</v>
      </c>
    </row>
    <row r="887" spans="1:27">
      <c r="A887" s="106">
        <v>886</v>
      </c>
      <c r="B887" s="106" t="s">
        <v>5208</v>
      </c>
      <c r="C887" s="107" t="s">
        <v>5209</v>
      </c>
      <c r="D887" s="106" t="s">
        <v>5210</v>
      </c>
      <c r="E887" s="106" t="s">
        <v>5205</v>
      </c>
      <c r="F887" s="106" t="s">
        <v>5211</v>
      </c>
      <c r="G887" s="106" t="s">
        <v>1074</v>
      </c>
      <c r="H887" s="106" t="s">
        <v>5184</v>
      </c>
      <c r="I887" s="106" t="s">
        <v>5215</v>
      </c>
      <c r="K887" s="106" t="s">
        <v>5216</v>
      </c>
      <c r="L887" s="106" t="s">
        <v>5214</v>
      </c>
      <c r="O887" s="106" t="s">
        <v>274</v>
      </c>
      <c r="P887" s="106" t="s">
        <v>5207</v>
      </c>
      <c r="Q887" s="106" t="s">
        <v>401</v>
      </c>
      <c r="S887" s="106" t="str" cm="1">
        <f t="array" ref="S887">IF(TRIM($D887)="","(tidak diisi)",IFERROR(INDEX(Kamus!$B$3:$B$28,MATCH(TRUE,ISNUMBER(SEARCH(Kamus!$A$3:$A$28,$D887)),0)),"Jabatan Lainnya"))</f>
        <v>Ketua Pengadilan</v>
      </c>
      <c r="T887" s="106" t="str" cm="1">
        <f t="array" ref="T887">IF(TRIM($I887)="","(tidak diisi)",IFERROR(INDEX(Kamus!$E$3:$E$162,MATCH(TRUE,ISNUMBER(SEARCH(Kamus!$D$3:$D$162,$I887)),0)),"Barang Lain / Tidak Terinci"))</f>
        <v>Peralatan Rumah Tangga / Pecah Belah</v>
      </c>
      <c r="U887" s="106" t="str" cm="1">
        <f t="array" ref="U887">IF(TRIM($I887)="","(tidak diisi)",IFERROR(INDEX(Kamus!$H$3:$H$75,MATCH(TRUE,ISNUMBER(SEARCH(Kamus!$G$3:$G$75,$I887)),0)),"Pemberian Umum / Tanpa Konteks"))</f>
        <v>Parsel/Bingkisan Umum (non-hari raya)</v>
      </c>
      <c r="V887" s="106" t="str">
        <f t="shared" si="39"/>
        <v>2026</v>
      </c>
      <c r="W887" s="106" t="str" cm="1">
        <f t="array" ref="W887">IF(TRIM($K887)="","(tidak diisi)",IFERROR(INDEX(Kamus!$K$3:$K$118,MATCH(TRUE,ISNUMBER(SEARCH(Kamus!$J$3:$J$118,$K887)),0)),"Individu / Perorangan"))</f>
        <v>Pemerintah Daerah</v>
      </c>
      <c r="X887" s="106" t="str">
        <f t="shared" si="40"/>
        <v>03</v>
      </c>
      <c r="Y887" s="106" t="str" cm="1">
        <f t="array" ref="Y887">IFERROR(INDEX(Kamus!$N$3:$N$111,MATCH(TRUE,ISNUMBER(SEARCH(Kamus!$M$3:$M$111,$I887)),0)),"")</f>
        <v/>
      </c>
      <c r="Z887" s="106" t="str">
        <f>IF(AND(OR($X887="02",$X887="03",$X887="04"),OR($T887="Parsel/Bingkisan (tidak dirinci)",$T887="Makanan &amp; Minuman",$T887="Peralatan Rumah Tangga / Pecah Belah",$T887="Pakaian &amp; Kain")),"Momen Hari Raya (dugaan musiman)",IFERROR(VLOOKUP($W887,Kamus!$P$3:$Q$14,2,FALSE),"Tidak Teridentifikasi"))</f>
        <v>Momen Hari Raya (dugaan musiman)</v>
      </c>
      <c r="AA887" s="106" t="str">
        <f t="shared" si="41"/>
        <v>Momen Hari Raya (dugaan musiman)</v>
      </c>
    </row>
    <row r="888" spans="1:27">
      <c r="A888" s="106">
        <v>887</v>
      </c>
      <c r="B888" s="106" t="s">
        <v>5208</v>
      </c>
      <c r="C888" s="107" t="s">
        <v>5209</v>
      </c>
      <c r="D888" s="106" t="s">
        <v>5210</v>
      </c>
      <c r="E888" s="106" t="s">
        <v>5205</v>
      </c>
      <c r="F888" s="106" t="s">
        <v>5211</v>
      </c>
      <c r="G888" s="106" t="s">
        <v>1074</v>
      </c>
      <c r="H888" s="106" t="s">
        <v>5020</v>
      </c>
      <c r="I888" s="106" t="s">
        <v>5217</v>
      </c>
      <c r="K888" s="106" t="s">
        <v>5218</v>
      </c>
      <c r="L888" s="106" t="s">
        <v>5214</v>
      </c>
      <c r="O888" s="106" t="s">
        <v>274</v>
      </c>
      <c r="P888" s="106" t="s">
        <v>5207</v>
      </c>
      <c r="Q888" s="106" t="s">
        <v>401</v>
      </c>
      <c r="S888" s="106" t="str" cm="1">
        <f t="array" ref="S888">IF(TRIM($D888)="","(tidak diisi)",IFERROR(INDEX(Kamus!$B$3:$B$28,MATCH(TRUE,ISNUMBER(SEARCH(Kamus!$A$3:$A$28,$D888)),0)),"Jabatan Lainnya"))</f>
        <v>Ketua Pengadilan</v>
      </c>
      <c r="T888" s="106" t="str" cm="1">
        <f t="array" ref="T888">IF(TRIM($I888)="","(tidak diisi)",IFERROR(INDEX(Kamus!$E$3:$E$162,MATCH(TRUE,ISNUMBER(SEARCH(Kamus!$D$3:$D$162,$I888)),0)),"Barang Lain / Tidak Terinci"))</f>
        <v>Makanan &amp; Minuman</v>
      </c>
      <c r="U888" s="106" t="str" cm="1">
        <f t="array" ref="U888">IF(TRIM($I888)="","(tidak diisi)",IFERROR(INDEX(Kamus!$H$3:$H$75,MATCH(TRUE,ISNUMBER(SEARCH(Kamus!$G$3:$G$75,$I888)),0)),"Pemberian Umum / Tanpa Konteks"))</f>
        <v>Parsel/Bingkisan Umum (non-hari raya)</v>
      </c>
      <c r="V888" s="106" t="str">
        <f t="shared" si="39"/>
        <v>2026</v>
      </c>
      <c r="W888" s="106" t="str" cm="1">
        <f t="array" ref="W888">IF(TRIM($K888)="","(tidak diisi)",IFERROR(INDEX(Kamus!$K$3:$K$118,MATCH(TRUE,ISNUMBER(SEARCH(Kamus!$J$3:$J$118,$K888)),0)),"Individu / Perorangan"))</f>
        <v>Aparat/Instansi Penegak Hukum &amp; Vertikal</v>
      </c>
      <c r="X888" s="106" t="str">
        <f t="shared" si="40"/>
        <v>03</v>
      </c>
      <c r="Y888" s="106" t="str" cm="1">
        <f t="array" ref="Y888">IFERROR(INDEX(Kamus!$N$3:$N$111,MATCH(TRUE,ISNUMBER(SEARCH(Kamus!$M$3:$M$111,$I888)),0)),"")</f>
        <v/>
      </c>
      <c r="Z888" s="106" t="str">
        <f>IF(AND(OR($X888="02",$X888="03",$X888="04"),OR($T888="Parsel/Bingkisan (tidak dirinci)",$T888="Makanan &amp; Minuman",$T888="Peralatan Rumah Tangga / Pecah Belah",$T888="Pakaian &amp; Kain")),"Momen Hari Raya (dugaan musiman)",IFERROR(VLOOKUP($W888,Kamus!$P$3:$Q$14,2,FALSE),"Tidak Teridentifikasi"))</f>
        <v>Momen Hari Raya (dugaan musiman)</v>
      </c>
      <c r="AA888" s="106" t="str">
        <f t="shared" si="41"/>
        <v>Momen Hari Raya (dugaan musiman)</v>
      </c>
    </row>
    <row r="889" spans="1:27">
      <c r="A889" s="106">
        <v>888</v>
      </c>
      <c r="B889" s="106" t="s">
        <v>5208</v>
      </c>
      <c r="C889" s="107" t="s">
        <v>5209</v>
      </c>
      <c r="D889" s="106" t="s">
        <v>5210</v>
      </c>
      <c r="E889" s="106" t="s">
        <v>5205</v>
      </c>
      <c r="F889" s="106" t="s">
        <v>5211</v>
      </c>
      <c r="G889" s="106" t="s">
        <v>1074</v>
      </c>
      <c r="H889" s="106" t="s">
        <v>5029</v>
      </c>
      <c r="I889" s="106" t="s">
        <v>5219</v>
      </c>
      <c r="K889" s="106" t="s">
        <v>5220</v>
      </c>
      <c r="L889" s="106" t="s">
        <v>5214</v>
      </c>
      <c r="O889" s="106" t="s">
        <v>274</v>
      </c>
      <c r="P889" s="106" t="s">
        <v>5207</v>
      </c>
      <c r="Q889" s="106" t="s">
        <v>401</v>
      </c>
      <c r="S889" s="106" t="str" cm="1">
        <f t="array" ref="S889">IF(TRIM($D889)="","(tidak diisi)",IFERROR(INDEX(Kamus!$B$3:$B$28,MATCH(TRUE,ISNUMBER(SEARCH(Kamus!$A$3:$A$28,$D889)),0)),"Jabatan Lainnya"))</f>
        <v>Ketua Pengadilan</v>
      </c>
      <c r="T889" s="106" t="str" cm="1">
        <f t="array" ref="T889">IF(TRIM($I889)="","(tidak diisi)",IFERROR(INDEX(Kamus!$E$3:$E$162,MATCH(TRUE,ISNUMBER(SEARCH(Kamus!$D$3:$D$162,$I889)),0)),"Barang Lain / Tidak Terinci"))</f>
        <v>Peralatan Rumah Tangga / Pecah Belah</v>
      </c>
      <c r="U889" s="106" t="str" cm="1">
        <f t="array" ref="U889">IF(TRIM($I889)="","(tidak diisi)",IFERROR(INDEX(Kamus!$H$3:$H$75,MATCH(TRUE,ISNUMBER(SEARCH(Kamus!$G$3:$G$75,$I889)),0)),"Pemberian Umum / Tanpa Konteks"))</f>
        <v>Bingkisan Hari Raya / Keagamaan</v>
      </c>
      <c r="V889" s="106" t="str">
        <f t="shared" si="39"/>
        <v>2026</v>
      </c>
      <c r="W889" s="106" t="str" cm="1">
        <f t="array" ref="W889">IF(TRIM($K889)="","(tidak diisi)",IFERROR(INDEX(Kamus!$K$3:$K$118,MATCH(TRUE,ISNUMBER(SEARCH(Kamus!$J$3:$J$118,$K889)),0)),"Individu / Perorangan"))</f>
        <v>Aparat/Instansi Penegak Hukum &amp; Vertikal</v>
      </c>
      <c r="X889" s="106" t="str">
        <f t="shared" si="40"/>
        <v>03</v>
      </c>
      <c r="Y889" s="106" t="str" cm="1">
        <f t="array" ref="Y889">IFERROR(INDEX(Kamus!$N$3:$N$111,MATCH(TRUE,ISNUMBER(SEARCH(Kamus!$M$3:$M$111,$I889)),0)),"")</f>
        <v>Momen Hari Raya (Ramadan/Idulfitri)</v>
      </c>
      <c r="Z889" s="106" t="str">
        <f>IF(AND(OR($X889="02",$X889="03",$X889="04"),OR($T889="Parsel/Bingkisan (tidak dirinci)",$T889="Makanan &amp; Minuman",$T889="Peralatan Rumah Tangga / Pecah Belah",$T889="Pakaian &amp; Kain")),"Momen Hari Raya (dugaan musiman)",IFERROR(VLOOKUP($W889,Kamus!$P$3:$Q$14,2,FALSE),"Tidak Teridentifikasi"))</f>
        <v>Momen Hari Raya (dugaan musiman)</v>
      </c>
      <c r="AA889" s="106" t="str">
        <f t="shared" si="41"/>
        <v>Momen Hari Raya (Ramadan/Idulfitri)</v>
      </c>
    </row>
    <row r="890" spans="1:27">
      <c r="A890" s="106">
        <v>889</v>
      </c>
      <c r="B890" s="106" t="s">
        <v>5093</v>
      </c>
      <c r="C890" s="107" t="s">
        <v>5094</v>
      </c>
      <c r="D890" s="106" t="s">
        <v>1024</v>
      </c>
      <c r="E890" s="106" t="s">
        <v>5095</v>
      </c>
      <c r="F890" s="106" t="s">
        <v>5221</v>
      </c>
      <c r="G890" s="106" t="s">
        <v>1006</v>
      </c>
      <c r="H890" s="106" t="s">
        <v>5200</v>
      </c>
      <c r="I890" s="106" t="s">
        <v>2231</v>
      </c>
      <c r="J890" s="106">
        <v>250000</v>
      </c>
      <c r="K890" s="106" t="s">
        <v>2230</v>
      </c>
      <c r="L890" s="106" t="s">
        <v>5222</v>
      </c>
      <c r="M890" s="106" t="s">
        <v>2529</v>
      </c>
      <c r="O890" s="106" t="s">
        <v>274</v>
      </c>
      <c r="P890" s="106" t="s">
        <v>5099</v>
      </c>
      <c r="Q890" s="106" t="s">
        <v>420</v>
      </c>
      <c r="S890" s="106" t="str" cm="1">
        <f t="array" ref="S890">IF(TRIM($D890)="","(tidak diisi)",IFERROR(INDEX(Kamus!$B$3:$B$28,MATCH(TRUE,ISNUMBER(SEARCH(Kamus!$A$3:$A$28,$D890)),0)),"Jabatan Lainnya"))</f>
        <v>Sekretaris</v>
      </c>
      <c r="T890" s="106" t="str" cm="1">
        <f t="array" ref="T890">IF(TRIM($I890)="","(tidak diisi)",IFERROR(INDEX(Kamus!$E$3:$E$162,MATCH(TRUE,ISNUMBER(SEARCH(Kamus!$D$3:$D$162,$I890)),0)),"Barang Lain / Tidak Terinci"))</f>
        <v>Makanan &amp; Minuman</v>
      </c>
      <c r="U890" s="106" t="str" cm="1">
        <f t="array" ref="U890">IF(TRIM($I890)="","(tidak diisi)",IFERROR(INDEX(Kamus!$H$3:$H$75,MATCH(TRUE,ISNUMBER(SEARCH(Kamus!$G$3:$G$75,$I890)),0)),"Pemberian Umum / Tanpa Konteks"))</f>
        <v>Pemberian Umum / Tanpa Konteks</v>
      </c>
      <c r="V890" s="106" t="str">
        <f t="shared" si="39"/>
        <v>2026</v>
      </c>
      <c r="W890" s="106" t="str" cm="1">
        <f t="array" ref="W890">IF(TRIM($K890)="","(tidak diisi)",IFERROR(INDEX(Kamus!$K$3:$K$118,MATCH(TRUE,ISNUMBER(SEARCH(Kamus!$J$3:$J$118,$K890)),0)),"Individu / Perorangan"))</f>
        <v>Bank &amp; Lembaga Keuangan</v>
      </c>
      <c r="X890" s="106" t="str">
        <f t="shared" si="40"/>
        <v>03</v>
      </c>
      <c r="Y890" s="106" t="str" cm="1">
        <f t="array" ref="Y890">IFERROR(INDEX(Kamus!$N$3:$N$111,MATCH(TRUE,ISNUMBER(SEARCH(Kamus!$M$3:$M$111,$I890)),0)),"")</f>
        <v/>
      </c>
      <c r="Z890" s="106" t="str">
        <f>IF(AND(OR($X890="02",$X890="03",$X890="04"),OR($T890="Parsel/Bingkisan (tidak dirinci)",$T890="Makanan &amp; Minuman",$T890="Peralatan Rumah Tangga / Pecah Belah",$T890="Pakaian &amp; Kain")),"Momen Hari Raya (dugaan musiman)",IFERROR(VLOOKUP($W890,Kamus!$P$3:$Q$14,2,FALSE),"Tidak Teridentifikasi"))</f>
        <v>Momen Hari Raya (dugaan musiman)</v>
      </c>
      <c r="AA890" s="106" t="str">
        <f t="shared" si="41"/>
        <v>Momen Hari Raya (dugaan musiman)</v>
      </c>
    </row>
    <row r="891" spans="1:27">
      <c r="A891" s="106">
        <v>890</v>
      </c>
      <c r="B891" s="106" t="s">
        <v>1197</v>
      </c>
      <c r="C891" s="107" t="s">
        <v>1198</v>
      </c>
      <c r="D891" s="106" t="s">
        <v>1199</v>
      </c>
      <c r="E891" s="106" t="s">
        <v>1200</v>
      </c>
      <c r="F891" s="106" t="s">
        <v>5223</v>
      </c>
      <c r="G891" s="106" t="s">
        <v>1006</v>
      </c>
      <c r="H891" s="106" t="s">
        <v>5224</v>
      </c>
      <c r="I891" s="106" t="s">
        <v>5225</v>
      </c>
      <c r="K891" s="106" t="s">
        <v>5226</v>
      </c>
      <c r="L891" s="106" t="s">
        <v>5227</v>
      </c>
      <c r="O891" s="106" t="s">
        <v>274</v>
      </c>
      <c r="P891" s="106" t="s">
        <v>1205</v>
      </c>
      <c r="Q891" s="106" t="s">
        <v>366</v>
      </c>
      <c r="S891" s="106" t="str" cm="1">
        <f t="array" ref="S891">IF(TRIM($D891)="","(tidak diisi)",IFERROR(INDEX(Kamus!$B$3:$B$28,MATCH(TRUE,ISNUMBER(SEARCH(Kamus!$A$3:$A$28,$D891)),0)),"Jabatan Lainnya"))</f>
        <v>Pimpinan Satker/Direktorat</v>
      </c>
      <c r="T891" s="106" t="str" cm="1">
        <f t="array" ref="T891">IF(TRIM($I891)="","(tidak diisi)",IFERROR(INDEX(Kamus!$E$3:$E$162,MATCH(TRUE,ISNUMBER(SEARCH(Kamus!$D$3:$D$162,$I891)),0)),"Barang Lain / Tidak Terinci"))</f>
        <v>Suvenir &amp; Merchandise</v>
      </c>
      <c r="U891" s="106" t="str" cm="1">
        <f t="array" ref="U891">IF(TRIM($I891)="","(tidak diisi)",IFERROR(INDEX(Kamus!$H$3:$H$75,MATCH(TRUE,ISNUMBER(SEARCH(Kamus!$G$3:$G$75,$I891)),0)),"Pemberian Umum / Tanpa Konteks"))</f>
        <v>Pemberian Umum / Tanpa Konteks</v>
      </c>
      <c r="V891" s="106" t="str">
        <f t="shared" si="39"/>
        <v>2026</v>
      </c>
      <c r="W891" s="106" t="str" cm="1">
        <f t="array" ref="W891">IF(TRIM($K891)="","(tidak diisi)",IFERROR(INDEX(Kamus!$K$3:$K$118,MATCH(TRUE,ISNUMBER(SEARCH(Kamus!$J$3:$J$118,$K891)),0)),"Individu / Perorangan"))</f>
        <v>Individu / Perorangan</v>
      </c>
      <c r="X891" s="106" t="str">
        <f t="shared" si="40"/>
        <v>03</v>
      </c>
      <c r="Y891" s="106" t="str" cm="1">
        <f t="array" ref="Y891">IFERROR(INDEX(Kamus!$N$3:$N$111,MATCH(TRUE,ISNUMBER(SEARCH(Kamus!$M$3:$M$111,$I891)),0)),"")</f>
        <v/>
      </c>
      <c r="Z891" s="106" t="str">
        <f>IF(AND(OR($X891="02",$X891="03",$X891="04"),OR($T891="Parsel/Bingkisan (tidak dirinci)",$T891="Makanan &amp; Minuman",$T891="Peralatan Rumah Tangga / Pecah Belah",$T891="Pakaian &amp; Kain")),"Momen Hari Raya (dugaan musiman)",IFERROR(VLOOKUP($W891,Kamus!$P$3:$Q$14,2,FALSE),"Tidak Teridentifikasi"))</f>
        <v>Relasi Personal / Tidak Teridentifikasi</v>
      </c>
      <c r="AA891" s="106" t="str">
        <f t="shared" si="41"/>
        <v>Relasi Personal / Tidak Teridentifikasi</v>
      </c>
    </row>
    <row r="892" spans="1:27">
      <c r="A892" s="106">
        <v>891</v>
      </c>
      <c r="B892" s="106" t="s">
        <v>2432</v>
      </c>
      <c r="C892" s="107" t="s">
        <v>5228</v>
      </c>
      <c r="D892" s="106" t="s">
        <v>1033</v>
      </c>
      <c r="E892" s="106" t="s">
        <v>1098</v>
      </c>
      <c r="F892" s="106" t="s">
        <v>5229</v>
      </c>
      <c r="G892" s="106" t="s">
        <v>1006</v>
      </c>
      <c r="H892" s="106" t="s">
        <v>5184</v>
      </c>
      <c r="I892" s="106" t="s">
        <v>5230</v>
      </c>
      <c r="J892" s="106">
        <v>700000</v>
      </c>
      <c r="K892" s="106" t="s">
        <v>5231</v>
      </c>
      <c r="L892" s="106" t="s">
        <v>5232</v>
      </c>
      <c r="M892" s="106" t="s">
        <v>1039</v>
      </c>
      <c r="O892" s="106" t="s">
        <v>274</v>
      </c>
      <c r="P892" s="106" t="s">
        <v>1103</v>
      </c>
      <c r="Q892" s="106" t="s">
        <v>415</v>
      </c>
      <c r="S892" s="106" t="str" cm="1">
        <f t="array" ref="S892">IF(TRIM($D892)="","(tidak diisi)",IFERROR(INDEX(Kamus!$B$3:$B$28,MATCH(TRUE,ISNUMBER(SEARCH(Kamus!$A$3:$A$28,$D892)),0)),"Jabatan Lainnya"))</f>
        <v>Hakim</v>
      </c>
      <c r="T892" s="106" t="str" cm="1">
        <f t="array" ref="T892">IF(TRIM($I892)="","(tidak diisi)",IFERROR(INDEX(Kamus!$E$3:$E$162,MATCH(TRUE,ISNUMBER(SEARCH(Kamus!$D$3:$D$162,$I892)),0)),"Barang Lain / Tidak Terinci"))</f>
        <v>Peralatan Rumah Tangga / Pecah Belah</v>
      </c>
      <c r="U892" s="106" t="str" cm="1">
        <f t="array" ref="U892">IF(TRIM($I892)="","(tidak diisi)",IFERROR(INDEX(Kamus!$H$3:$H$75,MATCH(TRUE,ISNUMBER(SEARCH(Kamus!$G$3:$G$75,$I892)),0)),"Pemberian Umum / Tanpa Konteks"))</f>
        <v>Pemberian Umum / Tanpa Konteks</v>
      </c>
      <c r="V892" s="106" t="str">
        <f t="shared" si="39"/>
        <v>2026</v>
      </c>
      <c r="W892" s="106" t="str" cm="1">
        <f t="array" ref="W892">IF(TRIM($K892)="","(tidak diisi)",IFERROR(INDEX(Kamus!$K$3:$K$118,MATCH(TRUE,ISNUMBER(SEARCH(Kamus!$J$3:$J$118,$K892)),0)),"Individu / Perorangan"))</f>
        <v>Pemerintah Daerah</v>
      </c>
      <c r="X892" s="106" t="str">
        <f t="shared" si="40"/>
        <v>03</v>
      </c>
      <c r="Y892" s="106" t="str" cm="1">
        <f t="array" ref="Y892">IFERROR(INDEX(Kamus!$N$3:$N$111,MATCH(TRUE,ISNUMBER(SEARCH(Kamus!$M$3:$M$111,$I892)),0)),"")</f>
        <v/>
      </c>
      <c r="Z892" s="106" t="str">
        <f>IF(AND(OR($X892="02",$X892="03",$X892="04"),OR($T892="Parsel/Bingkisan (tidak dirinci)",$T892="Makanan &amp; Minuman",$T892="Peralatan Rumah Tangga / Pecah Belah",$T892="Pakaian &amp; Kain")),"Momen Hari Raya (dugaan musiman)",IFERROR(VLOOKUP($W892,Kamus!$P$3:$Q$14,2,FALSE),"Tidak Teridentifikasi"))</f>
        <v>Momen Hari Raya (dugaan musiman)</v>
      </c>
      <c r="AA892" s="106" t="str">
        <f t="shared" si="41"/>
        <v>Momen Hari Raya (dugaan musiman)</v>
      </c>
    </row>
    <row r="893" spans="1:27">
      <c r="A893" s="106">
        <v>892</v>
      </c>
      <c r="B893" s="106" t="s">
        <v>5002</v>
      </c>
      <c r="C893" s="107" t="s">
        <v>5003</v>
      </c>
      <c r="D893" s="106" t="s">
        <v>5004</v>
      </c>
      <c r="E893" s="106" t="s">
        <v>5005</v>
      </c>
      <c r="F893" s="106" t="s">
        <v>5233</v>
      </c>
      <c r="G893" s="106" t="s">
        <v>1006</v>
      </c>
      <c r="H893" s="106" t="s">
        <v>5020</v>
      </c>
      <c r="I893" s="106" t="s">
        <v>1887</v>
      </c>
      <c r="J893" s="106">
        <v>700000</v>
      </c>
      <c r="K893" s="106" t="s">
        <v>5234</v>
      </c>
      <c r="L893" s="106" t="s">
        <v>5235</v>
      </c>
      <c r="M893" s="106" t="s">
        <v>2529</v>
      </c>
      <c r="O893" s="106" t="s">
        <v>274</v>
      </c>
      <c r="P893" s="106" t="s">
        <v>5010</v>
      </c>
      <c r="Q893" s="106" t="s">
        <v>404</v>
      </c>
      <c r="S893" s="106" t="str" cm="1">
        <f t="array" ref="S893">IF(TRIM($D893)="","(tidak diisi)",IFERROR(INDEX(Kamus!$B$3:$B$28,MATCH(TRUE,ISNUMBER(SEARCH(Kamus!$A$3:$A$28,$D893)),0)),"Jabatan Lainnya"))</f>
        <v>Ketua Pengadilan</v>
      </c>
      <c r="T893" s="106" t="str" cm="1">
        <f t="array" ref="T893">IF(TRIM($I893)="","(tidak diisi)",IFERROR(INDEX(Kamus!$E$3:$E$162,MATCH(TRUE,ISNUMBER(SEARCH(Kamus!$D$3:$D$162,$I893)),0)),"Barang Lain / Tidak Terinci"))</f>
        <v>Parsel/Bingkisan (tidak dirinci)</v>
      </c>
      <c r="U893" s="106" t="str" cm="1">
        <f t="array" ref="U893">IF(TRIM($I893)="","(tidak diisi)",IFERROR(INDEX(Kamus!$H$3:$H$75,MATCH(TRUE,ISNUMBER(SEARCH(Kamus!$G$3:$G$75,$I893)),0)),"Pemberian Umum / Tanpa Konteks"))</f>
        <v>Bingkisan Hari Raya / Keagamaan</v>
      </c>
      <c r="V893" s="106" t="str">
        <f t="shared" si="39"/>
        <v>2026</v>
      </c>
      <c r="W893" s="106" t="str" cm="1">
        <f t="array" ref="W893">IF(TRIM($K893)="","(tidak diisi)",IFERROR(INDEX(Kamus!$K$3:$K$118,MATCH(TRUE,ISNUMBER(SEARCH(Kamus!$J$3:$J$118,$K893)),0)),"Individu / Perorangan"))</f>
        <v>Individu / Perorangan</v>
      </c>
      <c r="X893" s="106" t="str">
        <f t="shared" si="40"/>
        <v>03</v>
      </c>
      <c r="Y893" s="106" t="str" cm="1">
        <f t="array" ref="Y893">IFERROR(INDEX(Kamus!$N$3:$N$111,MATCH(TRUE,ISNUMBER(SEARCH(Kamus!$M$3:$M$111,$I893)),0)),"")</f>
        <v>Momen Hari Raya (Ramadan/Idulfitri)</v>
      </c>
      <c r="Z893" s="106" t="str">
        <f>IF(AND(OR($X893="02",$X893="03",$X893="04"),OR($T893="Parsel/Bingkisan (tidak dirinci)",$T893="Makanan &amp; Minuman",$T893="Peralatan Rumah Tangga / Pecah Belah",$T893="Pakaian &amp; Kain")),"Momen Hari Raya (dugaan musiman)",IFERROR(VLOOKUP($W893,Kamus!$P$3:$Q$14,2,FALSE),"Tidak Teridentifikasi"))</f>
        <v>Momen Hari Raya (dugaan musiman)</v>
      </c>
      <c r="AA893" s="106" t="str">
        <f t="shared" si="41"/>
        <v>Momen Hari Raya (Ramadan/Idulfitri)</v>
      </c>
    </row>
    <row r="894" spans="1:27">
      <c r="A894" s="106">
        <v>893</v>
      </c>
      <c r="B894" s="106" t="s">
        <v>5236</v>
      </c>
      <c r="C894" s="107" t="s">
        <v>5237</v>
      </c>
      <c r="D894" s="106" t="s">
        <v>1319</v>
      </c>
      <c r="E894" s="106" t="s">
        <v>5238</v>
      </c>
      <c r="F894" s="106" t="s">
        <v>5239</v>
      </c>
      <c r="G894" s="106" t="s">
        <v>1006</v>
      </c>
      <c r="H894" s="106" t="s">
        <v>2525</v>
      </c>
      <c r="I894" s="106" t="s">
        <v>5240</v>
      </c>
      <c r="K894" s="106" t="s">
        <v>5241</v>
      </c>
      <c r="L894" s="106" t="s">
        <v>5242</v>
      </c>
      <c r="O894" s="106" t="s">
        <v>274</v>
      </c>
      <c r="P894" s="106" t="s">
        <v>404</v>
      </c>
      <c r="Q894" s="106" t="s">
        <v>366</v>
      </c>
      <c r="S894" s="106" t="str" cm="1">
        <f t="array" ref="S894">IF(TRIM($D894)="","(tidak diisi)",IFERROR(INDEX(Kamus!$B$3:$B$28,MATCH(TRUE,ISNUMBER(SEARCH(Kamus!$A$3:$A$28,$D894)),0)),"Jabatan Lainnya"))</f>
        <v>Wakil Ketua Pengadilan</v>
      </c>
      <c r="T894" s="106" t="str" cm="1">
        <f t="array" ref="T894">IF(TRIM($I894)="","(tidak diisi)",IFERROR(INDEX(Kamus!$E$3:$E$162,MATCH(TRUE,ISNUMBER(SEARCH(Kamus!$D$3:$D$162,$I894)),0)),"Barang Lain / Tidak Terinci"))</f>
        <v>Makanan &amp; Minuman</v>
      </c>
      <c r="U894" s="106" t="str" cm="1">
        <f t="array" ref="U894">IF(TRIM($I894)="","(tidak diisi)",IFERROR(INDEX(Kamus!$H$3:$H$75,MATCH(TRUE,ISNUMBER(SEARCH(Kamus!$G$3:$G$75,$I894)),0)),"Pemberian Umum / Tanpa Konteks"))</f>
        <v>Parsel/Bingkisan Umum (non-hari raya)</v>
      </c>
      <c r="V894" s="106" t="str">
        <f t="shared" si="39"/>
        <v>2026</v>
      </c>
      <c r="W894" s="106" t="str" cm="1">
        <f t="array" ref="W894">IF(TRIM($K894)="","(tidak diisi)",IFERROR(INDEX(Kamus!$K$3:$K$118,MATCH(TRUE,ISNUMBER(SEARCH(Kamus!$J$3:$J$118,$K894)),0)),"Individu / Perorangan"))</f>
        <v>Individu / Perorangan</v>
      </c>
      <c r="X894" s="106" t="str">
        <f t="shared" si="40"/>
        <v>03</v>
      </c>
      <c r="Y894" s="106" t="str" cm="1">
        <f t="array" ref="Y894">IFERROR(INDEX(Kamus!$N$3:$N$111,MATCH(TRUE,ISNUMBER(SEARCH(Kamus!$M$3:$M$111,$I894)),0)),"")</f>
        <v/>
      </c>
      <c r="Z894" s="106" t="str">
        <f>IF(AND(OR($X894="02",$X894="03",$X894="04"),OR($T894="Parsel/Bingkisan (tidak dirinci)",$T894="Makanan &amp; Minuman",$T894="Peralatan Rumah Tangga / Pecah Belah",$T894="Pakaian &amp; Kain")),"Momen Hari Raya (dugaan musiman)",IFERROR(VLOOKUP($W894,Kamus!$P$3:$Q$14,2,FALSE),"Tidak Teridentifikasi"))</f>
        <v>Momen Hari Raya (dugaan musiman)</v>
      </c>
      <c r="AA894" s="106" t="str">
        <f t="shared" si="41"/>
        <v>Momen Hari Raya (dugaan musiman)</v>
      </c>
    </row>
    <row r="895" spans="1:27">
      <c r="A895" s="106">
        <v>894</v>
      </c>
      <c r="B895" s="106" t="s">
        <v>2661</v>
      </c>
      <c r="C895" s="107" t="s">
        <v>2662</v>
      </c>
      <c r="D895" s="106" t="s">
        <v>1033</v>
      </c>
      <c r="E895" s="106" t="s">
        <v>2663</v>
      </c>
      <c r="F895" s="106" t="s">
        <v>5243</v>
      </c>
      <c r="G895" s="106" t="s">
        <v>1006</v>
      </c>
      <c r="H895" s="106" t="s">
        <v>4855</v>
      </c>
      <c r="I895" s="106" t="s">
        <v>5244</v>
      </c>
      <c r="K895" s="106" t="s">
        <v>5245</v>
      </c>
      <c r="L895" s="106" t="s">
        <v>5246</v>
      </c>
      <c r="O895" s="106" t="s">
        <v>274</v>
      </c>
      <c r="P895" s="106" t="s">
        <v>2668</v>
      </c>
      <c r="Q895" s="106" t="s">
        <v>395</v>
      </c>
      <c r="S895" s="106" t="str" cm="1">
        <f t="array" ref="S895">IF(TRIM($D895)="","(tidak diisi)",IFERROR(INDEX(Kamus!$B$3:$B$28,MATCH(TRUE,ISNUMBER(SEARCH(Kamus!$A$3:$A$28,$D895)),0)),"Jabatan Lainnya"))</f>
        <v>Hakim</v>
      </c>
      <c r="T895" s="106" t="str" cm="1">
        <f t="array" ref="T895">IF(TRIM($I895)="","(tidak diisi)",IFERROR(INDEX(Kamus!$E$3:$E$162,MATCH(TRUE,ISNUMBER(SEARCH(Kamus!$D$3:$D$162,$I895)),0)),"Barang Lain / Tidak Terinci"))</f>
        <v>Makanan &amp; Minuman</v>
      </c>
      <c r="U895" s="106" t="str" cm="1">
        <f t="array" ref="U895">IF(TRIM($I895)="","(tidak diisi)",IFERROR(INDEX(Kamus!$H$3:$H$75,MATCH(TRUE,ISNUMBER(SEARCH(Kamus!$G$3:$G$75,$I895)),0)),"Pemberian Umum / Tanpa Konteks"))</f>
        <v>Bingkisan Hari Raya / Keagamaan</v>
      </c>
      <c r="V895" s="106" t="str">
        <f t="shared" si="39"/>
        <v>2026</v>
      </c>
      <c r="W895" s="106" t="str" cm="1">
        <f t="array" ref="W895">IF(TRIM($K895)="","(tidak diisi)",IFERROR(INDEX(Kamus!$K$3:$K$118,MATCH(TRUE,ISNUMBER(SEARCH(Kamus!$J$3:$J$118,$K895)),0)),"Individu / Perorangan"))</f>
        <v>Internal Peradilan / Instansi Sendiri</v>
      </c>
      <c r="X895" s="106" t="str">
        <f t="shared" si="40"/>
        <v>03</v>
      </c>
      <c r="Y895" s="106" t="str" cm="1">
        <f t="array" ref="Y895">IFERROR(INDEX(Kamus!$N$3:$N$111,MATCH(TRUE,ISNUMBER(SEARCH(Kamus!$M$3:$M$111,$I895)),0)),"")</f>
        <v>Momen Hari Raya (Ramadan/Idulfitri)</v>
      </c>
      <c r="Z895" s="106" t="str">
        <f>IF(AND(OR($X895="02",$X895="03",$X895="04"),OR($T895="Parsel/Bingkisan (tidak dirinci)",$T895="Makanan &amp; Minuman",$T895="Peralatan Rumah Tangga / Pecah Belah",$T895="Pakaian &amp; Kain")),"Momen Hari Raya (dugaan musiman)",IFERROR(VLOOKUP($W895,Kamus!$P$3:$Q$14,2,FALSE),"Tidak Teridentifikasi"))</f>
        <v>Momen Hari Raya (dugaan musiman)</v>
      </c>
      <c r="AA895" s="106" t="str">
        <f t="shared" si="41"/>
        <v>Momen Hari Raya (Ramadan/Idulfitri)</v>
      </c>
    </row>
    <row r="896" spans="1:27">
      <c r="A896" s="106">
        <v>895</v>
      </c>
      <c r="B896" s="106" t="s">
        <v>2661</v>
      </c>
      <c r="C896" s="107" t="s">
        <v>2662</v>
      </c>
      <c r="D896" s="106" t="s">
        <v>1033</v>
      </c>
      <c r="E896" s="106" t="s">
        <v>2663</v>
      </c>
      <c r="F896" s="106" t="s">
        <v>5247</v>
      </c>
      <c r="G896" s="106" t="s">
        <v>1006</v>
      </c>
      <c r="H896" s="106" t="s">
        <v>2525</v>
      </c>
      <c r="I896" s="106" t="s">
        <v>2302</v>
      </c>
      <c r="J896" s="106">
        <v>135000</v>
      </c>
      <c r="K896" s="106" t="s">
        <v>5248</v>
      </c>
      <c r="L896" s="106" t="s">
        <v>5249</v>
      </c>
      <c r="M896" s="106" t="s">
        <v>2300</v>
      </c>
      <c r="O896" s="106" t="s">
        <v>274</v>
      </c>
      <c r="P896" s="106" t="s">
        <v>2668</v>
      </c>
      <c r="Q896" s="106" t="s">
        <v>395</v>
      </c>
      <c r="S896" s="106" t="str" cm="1">
        <f t="array" ref="S896">IF(TRIM($D896)="","(tidak diisi)",IFERROR(INDEX(Kamus!$B$3:$B$28,MATCH(TRUE,ISNUMBER(SEARCH(Kamus!$A$3:$A$28,$D896)),0)),"Jabatan Lainnya"))</f>
        <v>Hakim</v>
      </c>
      <c r="T896" s="106" t="str" cm="1">
        <f t="array" ref="T896">IF(TRIM($I896)="","(tidak diisi)",IFERROR(INDEX(Kamus!$E$3:$E$162,MATCH(TRUE,ISNUMBER(SEARCH(Kamus!$D$3:$D$162,$I896)),0)),"Barang Lain / Tidak Terinci"))</f>
        <v>Uang &amp; Setara Uang</v>
      </c>
      <c r="U896" s="106" t="str" cm="1">
        <f t="array" ref="U896">IF(TRIM($I896)="","(tidak diisi)",IFERROR(INDEX(Kamus!$H$3:$H$75,MATCH(TRUE,ISNUMBER(SEARCH(Kamus!$G$3:$G$75,$I896)),0)),"Pemberian Umum / Tanpa Konteks"))</f>
        <v>Pemberian Uang Langsung</v>
      </c>
      <c r="V896" s="106" t="str">
        <f t="shared" si="39"/>
        <v>2026</v>
      </c>
      <c r="W896" s="106" t="str" cm="1">
        <f t="array" ref="W896">IF(TRIM($K896)="","(tidak diisi)",IFERROR(INDEX(Kamus!$K$3:$K$118,MATCH(TRUE,ISNUMBER(SEARCH(Kamus!$J$3:$J$118,$K896)),0)),"Individu / Perorangan"))</f>
        <v>Individu / Perorangan</v>
      </c>
      <c r="X896" s="106" t="str">
        <f t="shared" si="40"/>
        <v>03</v>
      </c>
      <c r="Y896" s="106" t="str" cm="1">
        <f t="array" ref="Y896">IFERROR(INDEX(Kamus!$N$3:$N$111,MATCH(TRUE,ISNUMBER(SEARCH(Kamus!$M$3:$M$111,$I896)),0)),"")</f>
        <v/>
      </c>
      <c r="Z896" s="106" t="str">
        <f>IF(AND(OR($X896="02",$X896="03",$X896="04"),OR($T896="Parsel/Bingkisan (tidak dirinci)",$T896="Makanan &amp; Minuman",$T896="Peralatan Rumah Tangga / Pecah Belah",$T896="Pakaian &amp; Kain")),"Momen Hari Raya (dugaan musiman)",IFERROR(VLOOKUP($W896,Kamus!$P$3:$Q$14,2,FALSE),"Tidak Teridentifikasi"))</f>
        <v>Relasi Personal / Tidak Teridentifikasi</v>
      </c>
      <c r="AA896" s="106" t="str">
        <f t="shared" si="41"/>
        <v>Relasi Personal / Tidak Teridentifikasi</v>
      </c>
    </row>
    <row r="897" spans="1:27">
      <c r="A897" s="106">
        <v>896</v>
      </c>
      <c r="B897" s="106" t="s">
        <v>2233</v>
      </c>
      <c r="C897" s="107" t="s">
        <v>2234</v>
      </c>
      <c r="D897" s="106" t="s">
        <v>1024</v>
      </c>
      <c r="E897" s="106" t="s">
        <v>2235</v>
      </c>
      <c r="F897" s="106" t="s">
        <v>5250</v>
      </c>
      <c r="G897" s="106" t="s">
        <v>1006</v>
      </c>
      <c r="H897" s="106" t="s">
        <v>4855</v>
      </c>
      <c r="I897" s="106" t="s">
        <v>5251</v>
      </c>
      <c r="K897" s="106" t="s">
        <v>2238</v>
      </c>
      <c r="L897" s="106" t="s">
        <v>5252</v>
      </c>
      <c r="O897" s="106" t="s">
        <v>274</v>
      </c>
      <c r="P897" s="106" t="s">
        <v>508</v>
      </c>
      <c r="Q897" s="106" t="s">
        <v>407</v>
      </c>
      <c r="S897" s="106" t="str" cm="1">
        <f t="array" ref="S897">IF(TRIM($D897)="","(tidak diisi)",IFERROR(INDEX(Kamus!$B$3:$B$28,MATCH(TRUE,ISNUMBER(SEARCH(Kamus!$A$3:$A$28,$D897)),0)),"Jabatan Lainnya"))</f>
        <v>Sekretaris</v>
      </c>
      <c r="T897" s="106" t="str" cm="1">
        <f t="array" ref="T897">IF(TRIM($I897)="","(tidak diisi)",IFERROR(INDEX(Kamus!$E$3:$E$162,MATCH(TRUE,ISNUMBER(SEARCH(Kamus!$D$3:$D$162,$I897)),0)),"Barang Lain / Tidak Terinci"))</f>
        <v>Makanan &amp; Minuman</v>
      </c>
      <c r="U897" s="106" t="str" cm="1">
        <f t="array" ref="U897">IF(TRIM($I897)="","(tidak diisi)",IFERROR(INDEX(Kamus!$H$3:$H$75,MATCH(TRUE,ISNUMBER(SEARCH(Kamus!$G$3:$G$75,$I897)),0)),"Pemberian Umum / Tanpa Konteks"))</f>
        <v>Pemberian Umum / Tanpa Konteks</v>
      </c>
      <c r="V897" s="106" t="str">
        <f t="shared" si="39"/>
        <v>2026</v>
      </c>
      <c r="W897" s="106" t="str" cm="1">
        <f t="array" ref="W897">IF(TRIM($K897)="","(tidak diisi)",IFERROR(INDEX(Kamus!$K$3:$K$118,MATCH(TRUE,ISNUMBER(SEARCH(Kamus!$J$3:$J$118,$K897)),0)),"Individu / Perorangan"))</f>
        <v>Bank &amp; Lembaga Keuangan</v>
      </c>
      <c r="X897" s="106" t="str">
        <f t="shared" si="40"/>
        <v>03</v>
      </c>
      <c r="Y897" s="106" t="str" cm="1">
        <f t="array" ref="Y897">IFERROR(INDEX(Kamus!$N$3:$N$111,MATCH(TRUE,ISNUMBER(SEARCH(Kamus!$M$3:$M$111,$I897)),0)),"")</f>
        <v/>
      </c>
      <c r="Z897" s="106" t="str">
        <f>IF(AND(OR($X897="02",$X897="03",$X897="04"),OR($T897="Parsel/Bingkisan (tidak dirinci)",$T897="Makanan &amp; Minuman",$T897="Peralatan Rumah Tangga / Pecah Belah",$T897="Pakaian &amp; Kain")),"Momen Hari Raya (dugaan musiman)",IFERROR(VLOOKUP($W897,Kamus!$P$3:$Q$14,2,FALSE),"Tidak Teridentifikasi"))</f>
        <v>Momen Hari Raya (dugaan musiman)</v>
      </c>
      <c r="AA897" s="106" t="str">
        <f t="shared" si="41"/>
        <v>Momen Hari Raya (dugaan musiman)</v>
      </c>
    </row>
    <row r="898" spans="1:27">
      <c r="A898" s="106">
        <v>897</v>
      </c>
      <c r="B898" s="106" t="s">
        <v>2233</v>
      </c>
      <c r="C898" s="107" t="s">
        <v>2234</v>
      </c>
      <c r="D898" s="106" t="s">
        <v>1024</v>
      </c>
      <c r="E898" s="106" t="s">
        <v>2235</v>
      </c>
      <c r="F898" s="106" t="s">
        <v>5253</v>
      </c>
      <c r="G898" s="106" t="s">
        <v>1006</v>
      </c>
      <c r="H898" s="106" t="s">
        <v>5020</v>
      </c>
      <c r="I898" s="106" t="s">
        <v>5254</v>
      </c>
      <c r="K898" s="106" t="s">
        <v>5255</v>
      </c>
      <c r="L898" s="106" t="s">
        <v>5256</v>
      </c>
      <c r="O898" s="106" t="s">
        <v>274</v>
      </c>
      <c r="P898" s="106" t="s">
        <v>508</v>
      </c>
      <c r="Q898" s="106" t="s">
        <v>407</v>
      </c>
      <c r="S898" s="106" t="str" cm="1">
        <f t="array" ref="S898">IF(TRIM($D898)="","(tidak diisi)",IFERROR(INDEX(Kamus!$B$3:$B$28,MATCH(TRUE,ISNUMBER(SEARCH(Kamus!$A$3:$A$28,$D898)),0)),"Jabatan Lainnya"))</f>
        <v>Sekretaris</v>
      </c>
      <c r="T898" s="106" t="str" cm="1">
        <f t="array" ref="T898">IF(TRIM($I898)="","(tidak diisi)",IFERROR(INDEX(Kamus!$E$3:$E$162,MATCH(TRUE,ISNUMBER(SEARCH(Kamus!$D$3:$D$162,$I898)),0)),"Barang Lain / Tidak Terinci"))</f>
        <v>Makanan &amp; Minuman</v>
      </c>
      <c r="U898" s="106" t="str" cm="1">
        <f t="array" ref="U898">IF(TRIM($I898)="","(tidak diisi)",IFERROR(INDEX(Kamus!$H$3:$H$75,MATCH(TRUE,ISNUMBER(SEARCH(Kamus!$G$3:$G$75,$I898)),0)),"Pemberian Umum / Tanpa Konteks"))</f>
        <v>Pemberian Umum / Tanpa Konteks</v>
      </c>
      <c r="V898" s="106" t="str">
        <f t="shared" si="39"/>
        <v>2026</v>
      </c>
      <c r="W898" s="106" t="str" cm="1">
        <f t="array" ref="W898">IF(TRIM($K898)="","(tidak diisi)",IFERROR(INDEX(Kamus!$K$3:$K$118,MATCH(TRUE,ISNUMBER(SEARCH(Kamus!$J$3:$J$118,$K898)),0)),"Individu / Perorangan"))</f>
        <v>Kampus &amp; Sekolah</v>
      </c>
      <c r="X898" s="106" t="str">
        <f t="shared" si="40"/>
        <v>03</v>
      </c>
      <c r="Y898" s="106" t="str" cm="1">
        <f t="array" ref="Y898">IFERROR(INDEX(Kamus!$N$3:$N$111,MATCH(TRUE,ISNUMBER(SEARCH(Kamus!$M$3:$M$111,$I898)),0)),"")</f>
        <v/>
      </c>
      <c r="Z898" s="106" t="str">
        <f>IF(AND(OR($X898="02",$X898="03",$X898="04"),OR($T898="Parsel/Bingkisan (tidak dirinci)",$T898="Makanan &amp; Minuman",$T898="Peralatan Rumah Tangga / Pecah Belah",$T898="Pakaian &amp; Kain")),"Momen Hari Raya (dugaan musiman)",IFERROR(VLOOKUP($W898,Kamus!$P$3:$Q$14,2,FALSE),"Tidak Teridentifikasi"))</f>
        <v>Momen Hari Raya (dugaan musiman)</v>
      </c>
      <c r="AA898" s="106" t="str">
        <f t="shared" si="41"/>
        <v>Momen Hari Raya (dugaan musiman)</v>
      </c>
    </row>
    <row r="899" spans="1:27">
      <c r="A899" s="106">
        <v>898</v>
      </c>
      <c r="B899" s="106" t="s">
        <v>2467</v>
      </c>
      <c r="C899" s="107" t="s">
        <v>2468</v>
      </c>
      <c r="D899" s="106" t="s">
        <v>1042</v>
      </c>
      <c r="E899" s="106" t="s">
        <v>2469</v>
      </c>
      <c r="F899" s="106" t="s">
        <v>5257</v>
      </c>
      <c r="G899" s="106" t="s">
        <v>1006</v>
      </c>
      <c r="H899" s="106" t="s">
        <v>5020</v>
      </c>
      <c r="I899" s="106" t="s">
        <v>1036</v>
      </c>
      <c r="J899" s="106">
        <v>438153</v>
      </c>
      <c r="K899" s="106" t="s">
        <v>5258</v>
      </c>
      <c r="L899" s="106" t="s">
        <v>5259</v>
      </c>
      <c r="M899" s="106" t="s">
        <v>1171</v>
      </c>
      <c r="N899" s="106" t="s">
        <v>5260</v>
      </c>
      <c r="O899" s="106" t="s">
        <v>274</v>
      </c>
      <c r="Q899" s="106" t="s">
        <v>317</v>
      </c>
      <c r="S899" s="106" t="str" cm="1">
        <f t="array" ref="S899">IF(TRIM($D899)="","(tidak diisi)",IFERROR(INDEX(Kamus!$B$3:$B$28,MATCH(TRUE,ISNUMBER(SEARCH(Kamus!$A$3:$A$28,$D899)),0)),"Jabatan Lainnya"))</f>
        <v>Ketua Pengadilan</v>
      </c>
      <c r="T899" s="106" t="str" cm="1">
        <f t="array" ref="T899">IF(TRIM($I899)="","(tidak diisi)",IFERROR(INDEX(Kamus!$E$3:$E$162,MATCH(TRUE,ISNUMBER(SEARCH(Kamus!$D$3:$D$162,$I899)),0)),"Barang Lain / Tidak Terinci"))</f>
        <v>Peralatan Rumah Tangga / Pecah Belah</v>
      </c>
      <c r="U899" s="106" t="str" cm="1">
        <f t="array" ref="U899">IF(TRIM($I899)="","(tidak diisi)",IFERROR(INDEX(Kamus!$H$3:$H$75,MATCH(TRUE,ISNUMBER(SEARCH(Kamus!$G$3:$G$75,$I899)),0)),"Pemberian Umum / Tanpa Konteks"))</f>
        <v>Parsel/Bingkisan Umum (non-hari raya)</v>
      </c>
      <c r="V899" s="106" t="str">
        <f t="shared" ref="V899:V962" si="42">IF($H899="","(tidak diisi)",IF(ISNUMBER($H899),TEXT(YEAR($H899),"0"),LEFT($H899,4)))</f>
        <v>2026</v>
      </c>
      <c r="W899" s="106" t="str" cm="1">
        <f t="array" ref="W899">IF(TRIM($K899)="","(tidak diisi)",IFERROR(INDEX(Kamus!$K$3:$K$118,MATCH(TRUE,ISNUMBER(SEARCH(Kamus!$J$3:$J$118,$K899)),0)),"Individu / Perorangan"))</f>
        <v>Aparat/Instansi Penegak Hukum &amp; Vertikal</v>
      </c>
      <c r="X899" s="106" t="str">
        <f t="shared" ref="X899:X962" si="43">IF($H899="","(tidak diisi)",IF(ISNUMBER($H899),TEXT(MONTH($H899),"00"),MID($H899,6,2)))</f>
        <v>03</v>
      </c>
      <c r="Y899" s="106" t="str" cm="1">
        <f t="array" ref="Y899">IFERROR(INDEX(Kamus!$N$3:$N$111,MATCH(TRUE,ISNUMBER(SEARCH(Kamus!$M$3:$M$111,$I899)),0)),"")</f>
        <v/>
      </c>
      <c r="Z899" s="106" t="str">
        <f>IF(AND(OR($X899="02",$X899="03",$X899="04"),OR($T899="Parsel/Bingkisan (tidak dirinci)",$T899="Makanan &amp; Minuman",$T899="Peralatan Rumah Tangga / Pecah Belah",$T899="Pakaian &amp; Kain")),"Momen Hari Raya (dugaan musiman)",IFERROR(VLOOKUP($W899,Kamus!$P$3:$Q$14,2,FALSE),"Tidak Teridentifikasi"))</f>
        <v>Momen Hari Raya (dugaan musiman)</v>
      </c>
      <c r="AA899" s="106" t="str">
        <f t="shared" ref="AA899:AA962" si="44">IF($Y899="",$Z899,$Y899)</f>
        <v>Momen Hari Raya (dugaan musiman)</v>
      </c>
    </row>
    <row r="900" spans="1:27">
      <c r="A900" s="106">
        <v>899</v>
      </c>
      <c r="B900" s="106" t="s">
        <v>2467</v>
      </c>
      <c r="C900" s="107" t="s">
        <v>2468</v>
      </c>
      <c r="D900" s="106" t="s">
        <v>1042</v>
      </c>
      <c r="E900" s="106" t="s">
        <v>2469</v>
      </c>
      <c r="F900" s="106" t="s">
        <v>5257</v>
      </c>
      <c r="G900" s="106" t="s">
        <v>1006</v>
      </c>
      <c r="H900" s="106" t="s">
        <v>4795</v>
      </c>
      <c r="I900" s="106" t="s">
        <v>5261</v>
      </c>
      <c r="J900" s="106">
        <v>265800</v>
      </c>
      <c r="K900" s="106" t="s">
        <v>2435</v>
      </c>
      <c r="L900" s="106" t="s">
        <v>5259</v>
      </c>
      <c r="M900" s="106" t="s">
        <v>1171</v>
      </c>
      <c r="N900" s="106" t="s">
        <v>5260</v>
      </c>
      <c r="O900" s="106" t="s">
        <v>274</v>
      </c>
      <c r="Q900" s="106" t="s">
        <v>317</v>
      </c>
      <c r="S900" s="106" t="str" cm="1">
        <f t="array" ref="S900">IF(TRIM($D900)="","(tidak diisi)",IFERROR(INDEX(Kamus!$B$3:$B$28,MATCH(TRUE,ISNUMBER(SEARCH(Kamus!$A$3:$A$28,$D900)),0)),"Jabatan Lainnya"))</f>
        <v>Ketua Pengadilan</v>
      </c>
      <c r="T900" s="106" t="str" cm="1">
        <f t="array" ref="T900">IF(TRIM($I900)="","(tidak diisi)",IFERROR(INDEX(Kamus!$E$3:$E$162,MATCH(TRUE,ISNUMBER(SEARCH(Kamus!$D$3:$D$162,$I900)),0)),"Barang Lain / Tidak Terinci"))</f>
        <v>Peralatan Rumah Tangga / Pecah Belah</v>
      </c>
      <c r="U900" s="106" t="str" cm="1">
        <f t="array" ref="U900">IF(TRIM($I900)="","(tidak diisi)",IFERROR(INDEX(Kamus!$H$3:$H$75,MATCH(TRUE,ISNUMBER(SEARCH(Kamus!$G$3:$G$75,$I900)),0)),"Pemberian Umum / Tanpa Konteks"))</f>
        <v>Parsel/Bingkisan Umum (non-hari raya)</v>
      </c>
      <c r="V900" s="106" t="str">
        <f t="shared" si="42"/>
        <v>2026</v>
      </c>
      <c r="W900" s="106" t="str" cm="1">
        <f t="array" ref="W900">IF(TRIM($K900)="","(tidak diisi)",IFERROR(INDEX(Kamus!$K$3:$K$118,MATCH(TRUE,ISNUMBER(SEARCH(Kamus!$J$3:$J$118,$K900)),0)),"Individu / Perorangan"))</f>
        <v>Individu / Perorangan</v>
      </c>
      <c r="X900" s="106" t="str">
        <f t="shared" si="43"/>
        <v>03</v>
      </c>
      <c r="Y900" s="106" t="str" cm="1">
        <f t="array" ref="Y900">IFERROR(INDEX(Kamus!$N$3:$N$111,MATCH(TRUE,ISNUMBER(SEARCH(Kamus!$M$3:$M$111,$I900)),0)),"")</f>
        <v/>
      </c>
      <c r="Z900" s="106" t="str">
        <f>IF(AND(OR($X900="02",$X900="03",$X900="04"),OR($T900="Parsel/Bingkisan (tidak dirinci)",$T900="Makanan &amp; Minuman",$T900="Peralatan Rumah Tangga / Pecah Belah",$T900="Pakaian &amp; Kain")),"Momen Hari Raya (dugaan musiman)",IFERROR(VLOOKUP($W900,Kamus!$P$3:$Q$14,2,FALSE),"Tidak Teridentifikasi"))</f>
        <v>Momen Hari Raya (dugaan musiman)</v>
      </c>
      <c r="AA900" s="106" t="str">
        <f t="shared" si="44"/>
        <v>Momen Hari Raya (dugaan musiman)</v>
      </c>
    </row>
    <row r="901" spans="1:27">
      <c r="A901" s="106">
        <v>900</v>
      </c>
      <c r="B901" s="106" t="s">
        <v>1900</v>
      </c>
      <c r="C901" s="107" t="s">
        <v>1901</v>
      </c>
      <c r="D901" s="106" t="s">
        <v>1902</v>
      </c>
      <c r="E901" s="106" t="s">
        <v>1903</v>
      </c>
      <c r="F901" s="106" t="s">
        <v>5262</v>
      </c>
      <c r="G901" s="106" t="s">
        <v>1006</v>
      </c>
      <c r="H901" s="106" t="s">
        <v>5263</v>
      </c>
      <c r="I901" s="106" t="s">
        <v>5264</v>
      </c>
      <c r="J901" s="106">
        <v>159100</v>
      </c>
      <c r="K901" s="106" t="s">
        <v>5265</v>
      </c>
      <c r="L901" s="106" t="s">
        <v>5266</v>
      </c>
      <c r="M901" s="106" t="s">
        <v>1171</v>
      </c>
      <c r="N901" s="106" t="s">
        <v>5267</v>
      </c>
      <c r="O901" s="106" t="s">
        <v>274</v>
      </c>
      <c r="P901" s="106" t="s">
        <v>1907</v>
      </c>
      <c r="Q901" s="106" t="s">
        <v>404</v>
      </c>
      <c r="S901" s="106" t="str" cm="1">
        <f t="array" ref="S901">IF(TRIM($D901)="","(tidak diisi)",IFERROR(INDEX(Kamus!$B$3:$B$28,MATCH(TRUE,ISNUMBER(SEARCH(Kamus!$A$3:$A$28,$D901)),0)),"Jabatan Lainnya"))</f>
        <v>Ketua Pengadilan</v>
      </c>
      <c r="T901" s="106" t="str" cm="1">
        <f t="array" ref="T901">IF(TRIM($I901)="","(tidak diisi)",IFERROR(INDEX(Kamus!$E$3:$E$162,MATCH(TRUE,ISNUMBER(SEARCH(Kamus!$D$3:$D$162,$I901)),0)),"Barang Lain / Tidak Terinci"))</f>
        <v>Peralatan Rumah Tangga / Pecah Belah</v>
      </c>
      <c r="U901" s="106" t="str" cm="1">
        <f t="array" ref="U901">IF(TRIM($I901)="","(tidak diisi)",IFERROR(INDEX(Kamus!$H$3:$H$75,MATCH(TRUE,ISNUMBER(SEARCH(Kamus!$G$3:$G$75,$I901)),0)),"Pemberian Umum / Tanpa Konteks"))</f>
        <v>Pemberian Umum / Tanpa Konteks</v>
      </c>
      <c r="V901" s="106" t="str">
        <f t="shared" si="42"/>
        <v>2026</v>
      </c>
      <c r="W901" s="106" t="str" cm="1">
        <f t="array" ref="W901">IF(TRIM($K901)="","(tidak diisi)",IFERROR(INDEX(Kamus!$K$3:$K$118,MATCH(TRUE,ISNUMBER(SEARCH(Kamus!$J$3:$J$118,$K901)),0)),"Individu / Perorangan"))</f>
        <v>Individu / Perorangan</v>
      </c>
      <c r="X901" s="106" t="str">
        <f t="shared" si="43"/>
        <v>03</v>
      </c>
      <c r="Y901" s="106" t="str" cm="1">
        <f t="array" ref="Y901">IFERROR(INDEX(Kamus!$N$3:$N$111,MATCH(TRUE,ISNUMBER(SEARCH(Kamus!$M$3:$M$111,$I901)),0)),"")</f>
        <v/>
      </c>
      <c r="Z901" s="106" t="str">
        <f>IF(AND(OR($X901="02",$X901="03",$X901="04"),OR($T901="Parsel/Bingkisan (tidak dirinci)",$T901="Makanan &amp; Minuman",$T901="Peralatan Rumah Tangga / Pecah Belah",$T901="Pakaian &amp; Kain")),"Momen Hari Raya (dugaan musiman)",IFERROR(VLOOKUP($W901,Kamus!$P$3:$Q$14,2,FALSE),"Tidak Teridentifikasi"))</f>
        <v>Momen Hari Raya (dugaan musiman)</v>
      </c>
      <c r="AA901" s="106" t="str">
        <f t="shared" si="44"/>
        <v>Momen Hari Raya (dugaan musiman)</v>
      </c>
    </row>
    <row r="902" spans="1:27">
      <c r="A902" s="106">
        <v>901</v>
      </c>
      <c r="B902" s="106" t="s">
        <v>1900</v>
      </c>
      <c r="C902" s="107" t="s">
        <v>1901</v>
      </c>
      <c r="D902" s="106" t="s">
        <v>1902</v>
      </c>
      <c r="E902" s="106" t="s">
        <v>1903</v>
      </c>
      <c r="F902" s="106" t="s">
        <v>5262</v>
      </c>
      <c r="G902" s="106" t="s">
        <v>1006</v>
      </c>
      <c r="H902" s="106" t="s">
        <v>5263</v>
      </c>
      <c r="I902" s="106" t="s">
        <v>5268</v>
      </c>
      <c r="J902" s="106">
        <v>710000</v>
      </c>
      <c r="K902" s="106" t="s">
        <v>5269</v>
      </c>
      <c r="L902" s="106" t="s">
        <v>5266</v>
      </c>
      <c r="M902" s="106" t="s">
        <v>1171</v>
      </c>
      <c r="N902" s="106" t="s">
        <v>5267</v>
      </c>
      <c r="O902" s="106" t="s">
        <v>274</v>
      </c>
      <c r="P902" s="106" t="s">
        <v>1907</v>
      </c>
      <c r="Q902" s="106" t="s">
        <v>404</v>
      </c>
      <c r="S902" s="106" t="str" cm="1">
        <f t="array" ref="S902">IF(TRIM($D902)="","(tidak diisi)",IFERROR(INDEX(Kamus!$B$3:$B$28,MATCH(TRUE,ISNUMBER(SEARCH(Kamus!$A$3:$A$28,$D902)),0)),"Jabatan Lainnya"))</f>
        <v>Ketua Pengadilan</v>
      </c>
      <c r="T902" s="106" t="str" cm="1">
        <f t="array" ref="T902">IF(TRIM($I902)="","(tidak diisi)",IFERROR(INDEX(Kamus!$E$3:$E$162,MATCH(TRUE,ISNUMBER(SEARCH(Kamus!$D$3:$D$162,$I902)),0)),"Barang Lain / Tidak Terinci"))</f>
        <v>Barang Lain / Tidak Terinci</v>
      </c>
      <c r="U902" s="106" t="str" cm="1">
        <f t="array" ref="U902">IF(TRIM($I902)="","(tidak diisi)",IFERROR(INDEX(Kamus!$H$3:$H$75,MATCH(TRUE,ISNUMBER(SEARCH(Kamus!$G$3:$G$75,$I902)),0)),"Pemberian Umum / Tanpa Konteks"))</f>
        <v>Pemberian Umum / Tanpa Konteks</v>
      </c>
      <c r="V902" s="106" t="str">
        <f t="shared" si="42"/>
        <v>2026</v>
      </c>
      <c r="W902" s="106" t="str" cm="1">
        <f t="array" ref="W902">IF(TRIM($K902)="","(tidak diisi)",IFERROR(INDEX(Kamus!$K$3:$K$118,MATCH(TRUE,ISNUMBER(SEARCH(Kamus!$J$3:$J$118,$K902)),0)),"Individu / Perorangan"))</f>
        <v>Pemerintah Daerah</v>
      </c>
      <c r="X902" s="106" t="str">
        <f t="shared" si="43"/>
        <v>03</v>
      </c>
      <c r="Y902" s="106" t="str" cm="1">
        <f t="array" ref="Y902">IFERROR(INDEX(Kamus!$N$3:$N$111,MATCH(TRUE,ISNUMBER(SEARCH(Kamus!$M$3:$M$111,$I902)),0)),"")</f>
        <v/>
      </c>
      <c r="Z902" s="106" t="str">
        <f>IF(AND(OR($X902="02",$X902="03",$X902="04"),OR($T902="Parsel/Bingkisan (tidak dirinci)",$T902="Makanan &amp; Minuman",$T902="Peralatan Rumah Tangga / Pecah Belah",$T902="Pakaian &amp; Kain")),"Momen Hari Raya (dugaan musiman)",IFERROR(VLOOKUP($W902,Kamus!$P$3:$Q$14,2,FALSE),"Tidak Teridentifikasi"))</f>
        <v>Koordinasi Antarinstansi (dugaan)</v>
      </c>
      <c r="AA902" s="106" t="str">
        <f t="shared" si="44"/>
        <v>Koordinasi Antarinstansi (dugaan)</v>
      </c>
    </row>
    <row r="903" spans="1:27">
      <c r="A903" s="106">
        <v>902</v>
      </c>
      <c r="B903" s="106" t="s">
        <v>1900</v>
      </c>
      <c r="C903" s="107" t="s">
        <v>1901</v>
      </c>
      <c r="D903" s="106" t="s">
        <v>1902</v>
      </c>
      <c r="E903" s="106" t="s">
        <v>1903</v>
      </c>
      <c r="F903" s="106" t="s">
        <v>5262</v>
      </c>
      <c r="G903" s="106" t="s">
        <v>1006</v>
      </c>
      <c r="H903" s="106" t="s">
        <v>5263</v>
      </c>
      <c r="I903" s="106" t="s">
        <v>5270</v>
      </c>
      <c r="J903" s="106">
        <v>865000</v>
      </c>
      <c r="K903" s="106" t="s">
        <v>2358</v>
      </c>
      <c r="L903" s="106" t="s">
        <v>5266</v>
      </c>
      <c r="M903" s="106" t="s">
        <v>1171</v>
      </c>
      <c r="N903" s="106" t="s">
        <v>5267</v>
      </c>
      <c r="O903" s="106" t="s">
        <v>274</v>
      </c>
      <c r="P903" s="106" t="s">
        <v>1907</v>
      </c>
      <c r="Q903" s="106" t="s">
        <v>404</v>
      </c>
      <c r="S903" s="106" t="str" cm="1">
        <f t="array" ref="S903">IF(TRIM($D903)="","(tidak diisi)",IFERROR(INDEX(Kamus!$B$3:$B$28,MATCH(TRUE,ISNUMBER(SEARCH(Kamus!$A$3:$A$28,$D903)),0)),"Jabatan Lainnya"))</f>
        <v>Ketua Pengadilan</v>
      </c>
      <c r="T903" s="106" t="str" cm="1">
        <f t="array" ref="T903">IF(TRIM($I903)="","(tidak diisi)",IFERROR(INDEX(Kamus!$E$3:$E$162,MATCH(TRUE,ISNUMBER(SEARCH(Kamus!$D$3:$D$162,$I903)),0)),"Barang Lain / Tidak Terinci"))</f>
        <v>Peralatan Rumah Tangga / Pecah Belah</v>
      </c>
      <c r="U903" s="106" t="str" cm="1">
        <f t="array" ref="U903">IF(TRIM($I903)="","(tidak diisi)",IFERROR(INDEX(Kamus!$H$3:$H$75,MATCH(TRUE,ISNUMBER(SEARCH(Kamus!$G$3:$G$75,$I903)),0)),"Pemberian Umum / Tanpa Konteks"))</f>
        <v>Pemberian Umum / Tanpa Konteks</v>
      </c>
      <c r="V903" s="106" t="str">
        <f t="shared" si="42"/>
        <v>2026</v>
      </c>
      <c r="W903" s="106" t="str" cm="1">
        <f t="array" ref="W903">IF(TRIM($K903)="","(tidak diisi)",IFERROR(INDEX(Kamus!$K$3:$K$118,MATCH(TRUE,ISNUMBER(SEARCH(Kamus!$J$3:$J$118,$K903)),0)),"Individu / Perorangan"))</f>
        <v>Aparat/Instansi Penegak Hukum &amp; Vertikal</v>
      </c>
      <c r="X903" s="106" t="str">
        <f t="shared" si="43"/>
        <v>03</v>
      </c>
      <c r="Y903" s="106" t="str" cm="1">
        <f t="array" ref="Y903">IFERROR(INDEX(Kamus!$N$3:$N$111,MATCH(TRUE,ISNUMBER(SEARCH(Kamus!$M$3:$M$111,$I903)),0)),"")</f>
        <v/>
      </c>
      <c r="Z903" s="106" t="str">
        <f>IF(AND(OR($X903="02",$X903="03",$X903="04"),OR($T903="Parsel/Bingkisan (tidak dirinci)",$T903="Makanan &amp; Minuman",$T903="Peralatan Rumah Tangga / Pecah Belah",$T903="Pakaian &amp; Kain")),"Momen Hari Raya (dugaan musiman)",IFERROR(VLOOKUP($W903,Kamus!$P$3:$Q$14,2,FALSE),"Tidak Teridentifikasi"))</f>
        <v>Momen Hari Raya (dugaan musiman)</v>
      </c>
      <c r="AA903" s="106" t="str">
        <f t="shared" si="44"/>
        <v>Momen Hari Raya (dugaan musiman)</v>
      </c>
    </row>
    <row r="904" spans="1:27">
      <c r="A904" s="106">
        <v>903</v>
      </c>
      <c r="B904" s="106" t="s">
        <v>4986</v>
      </c>
      <c r="C904" s="107" t="s">
        <v>4987</v>
      </c>
      <c r="D904" s="106" t="s">
        <v>1042</v>
      </c>
      <c r="E904" s="106" t="s">
        <v>3959</v>
      </c>
      <c r="F904" s="106" t="s">
        <v>5271</v>
      </c>
      <c r="G904" s="106" t="s">
        <v>1006</v>
      </c>
      <c r="H904" s="106" t="s">
        <v>5023</v>
      </c>
      <c r="I904" s="106" t="s">
        <v>5272</v>
      </c>
      <c r="K904" s="106" t="s">
        <v>5273</v>
      </c>
      <c r="L904" s="106" t="s">
        <v>5274</v>
      </c>
      <c r="O904" s="106" t="s">
        <v>274</v>
      </c>
      <c r="P904" s="106" t="s">
        <v>3964</v>
      </c>
      <c r="Q904" s="106" t="s">
        <v>428</v>
      </c>
      <c r="S904" s="106" t="str" cm="1">
        <f t="array" ref="S904">IF(TRIM($D904)="","(tidak diisi)",IFERROR(INDEX(Kamus!$B$3:$B$28,MATCH(TRUE,ISNUMBER(SEARCH(Kamus!$A$3:$A$28,$D904)),0)),"Jabatan Lainnya"))</f>
        <v>Ketua Pengadilan</v>
      </c>
      <c r="T904" s="106" t="str" cm="1">
        <f t="array" ref="T904">IF(TRIM($I904)="","(tidak diisi)",IFERROR(INDEX(Kamus!$E$3:$E$162,MATCH(TRUE,ISNUMBER(SEARCH(Kamus!$D$3:$D$162,$I904)),0)),"Barang Lain / Tidak Terinci"))</f>
        <v>Makanan &amp; Minuman</v>
      </c>
      <c r="U904" s="106" t="str" cm="1">
        <f t="array" ref="U904">IF(TRIM($I904)="","(tidak diisi)",IFERROR(INDEX(Kamus!$H$3:$H$75,MATCH(TRUE,ISNUMBER(SEARCH(Kamus!$G$3:$G$75,$I904)),0)),"Pemberian Umum / Tanpa Konteks"))</f>
        <v>Bingkisan Hari Raya / Keagamaan</v>
      </c>
      <c r="V904" s="106" t="str">
        <f t="shared" si="42"/>
        <v>2026</v>
      </c>
      <c r="W904" s="106" t="str" cm="1">
        <f t="array" ref="W904">IF(TRIM($K904)="","(tidak diisi)",IFERROR(INDEX(Kamus!$K$3:$K$118,MATCH(TRUE,ISNUMBER(SEARCH(Kamus!$J$3:$J$118,$K904)),0)),"Individu / Perorangan"))</f>
        <v>Aparat/Instansi Penegak Hukum &amp; Vertikal</v>
      </c>
      <c r="X904" s="106" t="str">
        <f t="shared" si="43"/>
        <v>03</v>
      </c>
      <c r="Y904" s="106" t="str" cm="1">
        <f t="array" ref="Y904">IFERROR(INDEX(Kamus!$N$3:$N$111,MATCH(TRUE,ISNUMBER(SEARCH(Kamus!$M$3:$M$111,$I904)),0)),"")</f>
        <v>Momen Hari Raya (Ramadan/Idulfitri)</v>
      </c>
      <c r="Z904" s="106" t="str">
        <f>IF(AND(OR($X904="02",$X904="03",$X904="04"),OR($T904="Parsel/Bingkisan (tidak dirinci)",$T904="Makanan &amp; Minuman",$T904="Peralatan Rumah Tangga / Pecah Belah",$T904="Pakaian &amp; Kain")),"Momen Hari Raya (dugaan musiman)",IFERROR(VLOOKUP($W904,Kamus!$P$3:$Q$14,2,FALSE),"Tidak Teridentifikasi"))</f>
        <v>Momen Hari Raya (dugaan musiman)</v>
      </c>
      <c r="AA904" s="106" t="str">
        <f t="shared" si="44"/>
        <v>Momen Hari Raya (Ramadan/Idulfitri)</v>
      </c>
    </row>
    <row r="905" spans="1:27">
      <c r="A905" s="106">
        <v>904</v>
      </c>
      <c r="B905" s="106" t="s">
        <v>4477</v>
      </c>
      <c r="C905" s="107" t="s">
        <v>4478</v>
      </c>
      <c r="D905" s="106" t="s">
        <v>1144</v>
      </c>
      <c r="E905" s="106" t="s">
        <v>4914</v>
      </c>
      <c r="F905" s="106" t="s">
        <v>5275</v>
      </c>
      <c r="G905" s="106" t="s">
        <v>1006</v>
      </c>
      <c r="H905" s="106" t="s">
        <v>5029</v>
      </c>
      <c r="I905" s="106" t="s">
        <v>5276</v>
      </c>
      <c r="J905" s="106">
        <v>500000</v>
      </c>
      <c r="K905" s="106" t="s">
        <v>5277</v>
      </c>
      <c r="L905" s="106" t="s">
        <v>5278</v>
      </c>
      <c r="M905" s="106" t="s">
        <v>1171</v>
      </c>
      <c r="N905" s="106" t="s">
        <v>5279</v>
      </c>
      <c r="O905" s="106" t="s">
        <v>274</v>
      </c>
      <c r="P905" s="106" t="s">
        <v>4919</v>
      </c>
      <c r="Q905" s="106" t="s">
        <v>397</v>
      </c>
      <c r="S905" s="106" t="str" cm="1">
        <f t="array" ref="S905">IF(TRIM($D905)="","(tidak diisi)",IFERROR(INDEX(Kamus!$B$3:$B$28,MATCH(TRUE,ISNUMBER(SEARCH(Kamus!$A$3:$A$28,$D905)),0)),"Jabatan Lainnya"))</f>
        <v>Ketua Pengadilan</v>
      </c>
      <c r="T905" s="106" t="str" cm="1">
        <f t="array" ref="T905">IF(TRIM($I905)="","(tidak diisi)",IFERROR(INDEX(Kamus!$E$3:$E$162,MATCH(TRUE,ISNUMBER(SEARCH(Kamus!$D$3:$D$162,$I905)),0)),"Barang Lain / Tidak Terinci"))</f>
        <v>Peralatan Rumah Tangga / Pecah Belah</v>
      </c>
      <c r="U905" s="106" t="str" cm="1">
        <f t="array" ref="U905">IF(TRIM($I905)="","(tidak diisi)",IFERROR(INDEX(Kamus!$H$3:$H$75,MATCH(TRUE,ISNUMBER(SEARCH(Kamus!$G$3:$G$75,$I905)),0)),"Pemberian Umum / Tanpa Konteks"))</f>
        <v>Parsel/Bingkisan Umum (non-hari raya)</v>
      </c>
      <c r="V905" s="106" t="str">
        <f t="shared" si="42"/>
        <v>2026</v>
      </c>
      <c r="W905" s="106" t="str" cm="1">
        <f t="array" ref="W905">IF(TRIM($K905)="","(tidak diisi)",IFERROR(INDEX(Kamus!$K$3:$K$118,MATCH(TRUE,ISNUMBER(SEARCH(Kamus!$J$3:$J$118,$K905)),0)),"Individu / Perorangan"))</f>
        <v>Aparat/Instansi Penegak Hukum &amp; Vertikal</v>
      </c>
      <c r="X905" s="106" t="str">
        <f t="shared" si="43"/>
        <v>03</v>
      </c>
      <c r="Y905" s="106" t="str" cm="1">
        <f t="array" ref="Y905">IFERROR(INDEX(Kamus!$N$3:$N$111,MATCH(TRUE,ISNUMBER(SEARCH(Kamus!$M$3:$M$111,$I905)),0)),"")</f>
        <v/>
      </c>
      <c r="Z905" s="106" t="str">
        <f>IF(AND(OR($X905="02",$X905="03",$X905="04"),OR($T905="Parsel/Bingkisan (tidak dirinci)",$T905="Makanan &amp; Minuman",$T905="Peralatan Rumah Tangga / Pecah Belah",$T905="Pakaian &amp; Kain")),"Momen Hari Raya (dugaan musiman)",IFERROR(VLOOKUP($W905,Kamus!$P$3:$Q$14,2,FALSE),"Tidak Teridentifikasi"))</f>
        <v>Momen Hari Raya (dugaan musiman)</v>
      </c>
      <c r="AA905" s="106" t="str">
        <f t="shared" si="44"/>
        <v>Momen Hari Raya (dugaan musiman)</v>
      </c>
    </row>
    <row r="906" spans="1:27">
      <c r="A906" s="106">
        <v>905</v>
      </c>
      <c r="B906" s="106" t="s">
        <v>2218</v>
      </c>
      <c r="C906" s="107" t="s">
        <v>2219</v>
      </c>
      <c r="D906" s="106" t="s">
        <v>1042</v>
      </c>
      <c r="E906" s="106" t="s">
        <v>2220</v>
      </c>
      <c r="F906" s="106" t="s">
        <v>5280</v>
      </c>
      <c r="G906" s="106" t="s">
        <v>1006</v>
      </c>
      <c r="H906" s="106" t="s">
        <v>5020</v>
      </c>
      <c r="I906" s="106" t="s">
        <v>2459</v>
      </c>
      <c r="J906" s="106">
        <v>435000</v>
      </c>
      <c r="K906" s="106" t="s">
        <v>5281</v>
      </c>
      <c r="L906" s="106" t="s">
        <v>5282</v>
      </c>
      <c r="M906" s="106" t="s">
        <v>2529</v>
      </c>
      <c r="N906" s="106" t="s">
        <v>5283</v>
      </c>
      <c r="O906" s="106" t="s">
        <v>274</v>
      </c>
      <c r="P906" s="106" t="s">
        <v>2226</v>
      </c>
      <c r="Q906" s="106" t="s">
        <v>427</v>
      </c>
      <c r="S906" s="106" t="str" cm="1">
        <f t="array" ref="S906">IF(TRIM($D906)="","(tidak diisi)",IFERROR(INDEX(Kamus!$B$3:$B$28,MATCH(TRUE,ISNUMBER(SEARCH(Kamus!$A$3:$A$28,$D906)),0)),"Jabatan Lainnya"))</f>
        <v>Ketua Pengadilan</v>
      </c>
      <c r="T906" s="106" t="str" cm="1">
        <f t="array" ref="T906">IF(TRIM($I906)="","(tidak diisi)",IFERROR(INDEX(Kamus!$E$3:$E$162,MATCH(TRUE,ISNUMBER(SEARCH(Kamus!$D$3:$D$162,$I906)),0)),"Barang Lain / Tidak Terinci"))</f>
        <v>Makanan &amp; Minuman</v>
      </c>
      <c r="U906" s="106" t="str" cm="1">
        <f t="array" ref="U906">IF(TRIM($I906)="","(tidak diisi)",IFERROR(INDEX(Kamus!$H$3:$H$75,MATCH(TRUE,ISNUMBER(SEARCH(Kamus!$G$3:$G$75,$I906)),0)),"Pemberian Umum / Tanpa Konteks"))</f>
        <v>Parsel/Bingkisan Umum (non-hari raya)</v>
      </c>
      <c r="V906" s="106" t="str">
        <f t="shared" si="42"/>
        <v>2026</v>
      </c>
      <c r="W906" s="106" t="str" cm="1">
        <f t="array" ref="W906">IF(TRIM($K906)="","(tidak diisi)",IFERROR(INDEX(Kamus!$K$3:$K$118,MATCH(TRUE,ISNUMBER(SEARCH(Kamus!$J$3:$J$118,$K906)),0)),"Individu / Perorangan"))</f>
        <v>Individu / Perorangan</v>
      </c>
      <c r="X906" s="106" t="str">
        <f t="shared" si="43"/>
        <v>03</v>
      </c>
      <c r="Y906" s="106" t="str" cm="1">
        <f t="array" ref="Y906">IFERROR(INDEX(Kamus!$N$3:$N$111,MATCH(TRUE,ISNUMBER(SEARCH(Kamus!$M$3:$M$111,$I906)),0)),"")</f>
        <v/>
      </c>
      <c r="Z906" s="106" t="str">
        <f>IF(AND(OR($X906="02",$X906="03",$X906="04"),OR($T906="Parsel/Bingkisan (tidak dirinci)",$T906="Makanan &amp; Minuman",$T906="Peralatan Rumah Tangga / Pecah Belah",$T906="Pakaian &amp; Kain")),"Momen Hari Raya (dugaan musiman)",IFERROR(VLOOKUP($W906,Kamus!$P$3:$Q$14,2,FALSE),"Tidak Teridentifikasi"))</f>
        <v>Momen Hari Raya (dugaan musiman)</v>
      </c>
      <c r="AA906" s="106" t="str">
        <f t="shared" si="44"/>
        <v>Momen Hari Raya (dugaan musiman)</v>
      </c>
    </row>
    <row r="907" spans="1:27">
      <c r="A907" s="106">
        <v>906</v>
      </c>
      <c r="B907" s="106" t="s">
        <v>2218</v>
      </c>
      <c r="C907" s="107" t="s">
        <v>2219</v>
      </c>
      <c r="D907" s="106" t="s">
        <v>1042</v>
      </c>
      <c r="E907" s="106" t="s">
        <v>2220</v>
      </c>
      <c r="F907" s="106" t="s">
        <v>5280</v>
      </c>
      <c r="G907" s="106" t="s">
        <v>1006</v>
      </c>
      <c r="H907" s="106" t="s">
        <v>5023</v>
      </c>
      <c r="I907" s="106" t="s">
        <v>5284</v>
      </c>
      <c r="J907" s="106">
        <v>450000</v>
      </c>
      <c r="K907" s="106" t="s">
        <v>5285</v>
      </c>
      <c r="L907" s="106" t="s">
        <v>5282</v>
      </c>
      <c r="M907" s="106" t="s">
        <v>1039</v>
      </c>
      <c r="N907" s="106" t="s">
        <v>5283</v>
      </c>
      <c r="O907" s="106" t="s">
        <v>274</v>
      </c>
      <c r="P907" s="106" t="s">
        <v>2226</v>
      </c>
      <c r="Q907" s="106" t="s">
        <v>427</v>
      </c>
      <c r="S907" s="106" t="str" cm="1">
        <f t="array" ref="S907">IF(TRIM($D907)="","(tidak diisi)",IFERROR(INDEX(Kamus!$B$3:$B$28,MATCH(TRUE,ISNUMBER(SEARCH(Kamus!$A$3:$A$28,$D907)),0)),"Jabatan Lainnya"))</f>
        <v>Ketua Pengadilan</v>
      </c>
      <c r="T907" s="106" t="str" cm="1">
        <f t="array" ref="T907">IF(TRIM($I907)="","(tidak diisi)",IFERROR(INDEX(Kamus!$E$3:$E$162,MATCH(TRUE,ISNUMBER(SEARCH(Kamus!$D$3:$D$162,$I907)),0)),"Barang Lain / Tidak Terinci"))</f>
        <v>Barang Lain / Tidak Terinci</v>
      </c>
      <c r="U907" s="106" t="str" cm="1">
        <f t="array" ref="U907">IF(TRIM($I907)="","(tidak diisi)",IFERROR(INDEX(Kamus!$H$3:$H$75,MATCH(TRUE,ISNUMBER(SEARCH(Kamus!$G$3:$G$75,$I907)),0)),"Pemberian Umum / Tanpa Konteks"))</f>
        <v>Pemberian Umum / Tanpa Konteks</v>
      </c>
      <c r="V907" s="106" t="str">
        <f t="shared" si="42"/>
        <v>2026</v>
      </c>
      <c r="W907" s="106" t="str" cm="1">
        <f t="array" ref="W907">IF(TRIM($K907)="","(tidak diisi)",IFERROR(INDEX(Kamus!$K$3:$K$118,MATCH(TRUE,ISNUMBER(SEARCH(Kamus!$J$3:$J$118,$K907)),0)),"Individu / Perorangan"))</f>
        <v>Individu / Perorangan</v>
      </c>
      <c r="X907" s="106" t="str">
        <f t="shared" si="43"/>
        <v>03</v>
      </c>
      <c r="Y907" s="106" t="str" cm="1">
        <f t="array" ref="Y907">IFERROR(INDEX(Kamus!$N$3:$N$111,MATCH(TRUE,ISNUMBER(SEARCH(Kamus!$M$3:$M$111,$I907)),0)),"")</f>
        <v/>
      </c>
      <c r="Z907" s="106" t="str">
        <f>IF(AND(OR($X907="02",$X907="03",$X907="04"),OR($T907="Parsel/Bingkisan (tidak dirinci)",$T907="Makanan &amp; Minuman",$T907="Peralatan Rumah Tangga / Pecah Belah",$T907="Pakaian &amp; Kain")),"Momen Hari Raya (dugaan musiman)",IFERROR(VLOOKUP($W907,Kamus!$P$3:$Q$14,2,FALSE),"Tidak Teridentifikasi"))</f>
        <v>Relasi Personal / Tidak Teridentifikasi</v>
      </c>
      <c r="AA907" s="106" t="str">
        <f t="shared" si="44"/>
        <v>Relasi Personal / Tidak Teridentifikasi</v>
      </c>
    </row>
    <row r="908" spans="1:27">
      <c r="A908" s="106">
        <v>907</v>
      </c>
      <c r="B908" s="106" t="s">
        <v>2218</v>
      </c>
      <c r="C908" s="107" t="s">
        <v>2219</v>
      </c>
      <c r="D908" s="106" t="s">
        <v>1042</v>
      </c>
      <c r="E908" s="106" t="s">
        <v>2220</v>
      </c>
      <c r="F908" s="106" t="s">
        <v>5280</v>
      </c>
      <c r="G908" s="106" t="s">
        <v>1006</v>
      </c>
      <c r="H908" s="106" t="s">
        <v>5020</v>
      </c>
      <c r="I908" s="106" t="s">
        <v>5286</v>
      </c>
      <c r="J908" s="106">
        <v>400000</v>
      </c>
      <c r="K908" s="106" t="s">
        <v>5287</v>
      </c>
      <c r="L908" s="106" t="s">
        <v>5282</v>
      </c>
      <c r="M908" s="106" t="s">
        <v>2529</v>
      </c>
      <c r="N908" s="106" t="s">
        <v>5283</v>
      </c>
      <c r="O908" s="106" t="s">
        <v>274</v>
      </c>
      <c r="P908" s="106" t="s">
        <v>2226</v>
      </c>
      <c r="Q908" s="106" t="s">
        <v>427</v>
      </c>
      <c r="S908" s="106" t="str" cm="1">
        <f t="array" ref="S908">IF(TRIM($D908)="","(tidak diisi)",IFERROR(INDEX(Kamus!$B$3:$B$28,MATCH(TRUE,ISNUMBER(SEARCH(Kamus!$A$3:$A$28,$D908)),0)),"Jabatan Lainnya"))</f>
        <v>Ketua Pengadilan</v>
      </c>
      <c r="T908" s="106" t="str" cm="1">
        <f t="array" ref="T908">IF(TRIM($I908)="","(tidak diisi)",IFERROR(INDEX(Kamus!$E$3:$E$162,MATCH(TRUE,ISNUMBER(SEARCH(Kamus!$D$3:$D$162,$I908)),0)),"Barang Lain / Tidak Terinci"))</f>
        <v>Makanan &amp; Minuman</v>
      </c>
      <c r="U908" s="106" t="str" cm="1">
        <f t="array" ref="U908">IF(TRIM($I908)="","(tidak diisi)",IFERROR(INDEX(Kamus!$H$3:$H$75,MATCH(TRUE,ISNUMBER(SEARCH(Kamus!$G$3:$G$75,$I908)),0)),"Pemberian Umum / Tanpa Konteks"))</f>
        <v>Pemberian Umum / Tanpa Konteks</v>
      </c>
      <c r="V908" s="106" t="str">
        <f t="shared" si="42"/>
        <v>2026</v>
      </c>
      <c r="W908" s="106" t="str" cm="1">
        <f t="array" ref="W908">IF(TRIM($K908)="","(tidak diisi)",IFERROR(INDEX(Kamus!$K$3:$K$118,MATCH(TRUE,ISNUMBER(SEARCH(Kamus!$J$3:$J$118,$K908)),0)),"Individu / Perorangan"))</f>
        <v>Individu / Perorangan</v>
      </c>
      <c r="X908" s="106" t="str">
        <f t="shared" si="43"/>
        <v>03</v>
      </c>
      <c r="Y908" s="106" t="str" cm="1">
        <f t="array" ref="Y908">IFERROR(INDEX(Kamus!$N$3:$N$111,MATCH(TRUE,ISNUMBER(SEARCH(Kamus!$M$3:$M$111,$I908)),0)),"")</f>
        <v/>
      </c>
      <c r="Z908" s="106" t="str">
        <f>IF(AND(OR($X908="02",$X908="03",$X908="04"),OR($T908="Parsel/Bingkisan (tidak dirinci)",$T908="Makanan &amp; Minuman",$T908="Peralatan Rumah Tangga / Pecah Belah",$T908="Pakaian &amp; Kain")),"Momen Hari Raya (dugaan musiman)",IFERROR(VLOOKUP($W908,Kamus!$P$3:$Q$14,2,FALSE),"Tidak Teridentifikasi"))</f>
        <v>Momen Hari Raya (dugaan musiman)</v>
      </c>
      <c r="AA908" s="106" t="str">
        <f t="shared" si="44"/>
        <v>Momen Hari Raya (dugaan musiman)</v>
      </c>
    </row>
    <row r="909" spans="1:27">
      <c r="A909" s="106">
        <v>908</v>
      </c>
      <c r="B909" s="106" t="s">
        <v>2218</v>
      </c>
      <c r="C909" s="107" t="s">
        <v>2219</v>
      </c>
      <c r="D909" s="106" t="s">
        <v>1042</v>
      </c>
      <c r="E909" s="106" t="s">
        <v>2220</v>
      </c>
      <c r="F909" s="106" t="s">
        <v>5280</v>
      </c>
      <c r="G909" s="106" t="s">
        <v>1006</v>
      </c>
      <c r="H909" s="106" t="s">
        <v>5020</v>
      </c>
      <c r="I909" s="106" t="s">
        <v>4777</v>
      </c>
      <c r="J909" s="106">
        <v>185000</v>
      </c>
      <c r="K909" s="106" t="s">
        <v>5281</v>
      </c>
      <c r="L909" s="106" t="s">
        <v>5282</v>
      </c>
      <c r="M909" s="106" t="s">
        <v>1039</v>
      </c>
      <c r="N909" s="106" t="s">
        <v>5283</v>
      </c>
      <c r="O909" s="106" t="s">
        <v>274</v>
      </c>
      <c r="P909" s="106" t="s">
        <v>2226</v>
      </c>
      <c r="Q909" s="106" t="s">
        <v>427</v>
      </c>
      <c r="S909" s="106" t="str" cm="1">
        <f t="array" ref="S909">IF(TRIM($D909)="","(tidak diisi)",IFERROR(INDEX(Kamus!$B$3:$B$28,MATCH(TRUE,ISNUMBER(SEARCH(Kamus!$A$3:$A$28,$D909)),0)),"Jabatan Lainnya"))</f>
        <v>Ketua Pengadilan</v>
      </c>
      <c r="T909" s="106" t="str" cm="1">
        <f t="array" ref="T909">IF(TRIM($I909)="","(tidak diisi)",IFERROR(INDEX(Kamus!$E$3:$E$162,MATCH(TRUE,ISNUMBER(SEARCH(Kamus!$D$3:$D$162,$I909)),0)),"Barang Lain / Tidak Terinci"))</f>
        <v>Peralatan Rumah Tangga / Pecah Belah</v>
      </c>
      <c r="U909" s="106" t="str" cm="1">
        <f t="array" ref="U909">IF(TRIM($I909)="","(tidak diisi)",IFERROR(INDEX(Kamus!$H$3:$H$75,MATCH(TRUE,ISNUMBER(SEARCH(Kamus!$G$3:$G$75,$I909)),0)),"Pemberian Umum / Tanpa Konteks"))</f>
        <v>Pemberian Umum / Tanpa Konteks</v>
      </c>
      <c r="V909" s="106" t="str">
        <f t="shared" si="42"/>
        <v>2026</v>
      </c>
      <c r="W909" s="106" t="str" cm="1">
        <f t="array" ref="W909">IF(TRIM($K909)="","(tidak diisi)",IFERROR(INDEX(Kamus!$K$3:$K$118,MATCH(TRUE,ISNUMBER(SEARCH(Kamus!$J$3:$J$118,$K909)),0)),"Individu / Perorangan"))</f>
        <v>Individu / Perorangan</v>
      </c>
      <c r="X909" s="106" t="str">
        <f t="shared" si="43"/>
        <v>03</v>
      </c>
      <c r="Y909" s="106" t="str" cm="1">
        <f t="array" ref="Y909">IFERROR(INDEX(Kamus!$N$3:$N$111,MATCH(TRUE,ISNUMBER(SEARCH(Kamus!$M$3:$M$111,$I909)),0)),"")</f>
        <v/>
      </c>
      <c r="Z909" s="106" t="str">
        <f>IF(AND(OR($X909="02",$X909="03",$X909="04"),OR($T909="Parsel/Bingkisan (tidak dirinci)",$T909="Makanan &amp; Minuman",$T909="Peralatan Rumah Tangga / Pecah Belah",$T909="Pakaian &amp; Kain")),"Momen Hari Raya (dugaan musiman)",IFERROR(VLOOKUP($W909,Kamus!$P$3:$Q$14,2,FALSE),"Tidak Teridentifikasi"))</f>
        <v>Momen Hari Raya (dugaan musiman)</v>
      </c>
      <c r="AA909" s="106" t="str">
        <f t="shared" si="44"/>
        <v>Momen Hari Raya (dugaan musiman)</v>
      </c>
    </row>
    <row r="910" spans="1:27">
      <c r="A910" s="106">
        <v>909</v>
      </c>
      <c r="B910" s="106" t="s">
        <v>2218</v>
      </c>
      <c r="C910" s="107" t="s">
        <v>2219</v>
      </c>
      <c r="D910" s="106" t="s">
        <v>1042</v>
      </c>
      <c r="E910" s="106" t="s">
        <v>2220</v>
      </c>
      <c r="F910" s="106" t="s">
        <v>5280</v>
      </c>
      <c r="G910" s="106" t="s">
        <v>1006</v>
      </c>
      <c r="H910" s="106" t="s">
        <v>5020</v>
      </c>
      <c r="I910" s="106" t="s">
        <v>5288</v>
      </c>
      <c r="J910" s="106">
        <v>50000</v>
      </c>
      <c r="K910" s="106" t="s">
        <v>5287</v>
      </c>
      <c r="L910" s="106" t="s">
        <v>5282</v>
      </c>
      <c r="M910" s="106" t="s">
        <v>1039</v>
      </c>
      <c r="N910" s="106" t="s">
        <v>5283</v>
      </c>
      <c r="O910" s="106" t="s">
        <v>274</v>
      </c>
      <c r="P910" s="106" t="s">
        <v>2226</v>
      </c>
      <c r="Q910" s="106" t="s">
        <v>427</v>
      </c>
      <c r="S910" s="106" t="str" cm="1">
        <f t="array" ref="S910">IF(TRIM($D910)="","(tidak diisi)",IFERROR(INDEX(Kamus!$B$3:$B$28,MATCH(TRUE,ISNUMBER(SEARCH(Kamus!$A$3:$A$28,$D910)),0)),"Jabatan Lainnya"))</f>
        <v>Ketua Pengadilan</v>
      </c>
      <c r="T910" s="106" t="str" cm="1">
        <f t="array" ref="T910">IF(TRIM($I910)="","(tidak diisi)",IFERROR(INDEX(Kamus!$E$3:$E$162,MATCH(TRUE,ISNUMBER(SEARCH(Kamus!$D$3:$D$162,$I910)),0)),"Barang Lain / Tidak Terinci"))</f>
        <v>Peralatan Rumah Tangga / Pecah Belah</v>
      </c>
      <c r="U910" s="106" t="str" cm="1">
        <f t="array" ref="U910">IF(TRIM($I910)="","(tidak diisi)",IFERROR(INDEX(Kamus!$H$3:$H$75,MATCH(TRUE,ISNUMBER(SEARCH(Kamus!$G$3:$G$75,$I910)),0)),"Pemberian Umum / Tanpa Konteks"))</f>
        <v>Pemberian Umum / Tanpa Konteks</v>
      </c>
      <c r="V910" s="106" t="str">
        <f t="shared" si="42"/>
        <v>2026</v>
      </c>
      <c r="W910" s="106" t="str" cm="1">
        <f t="array" ref="W910">IF(TRIM($K910)="","(tidak diisi)",IFERROR(INDEX(Kamus!$K$3:$K$118,MATCH(TRUE,ISNUMBER(SEARCH(Kamus!$J$3:$J$118,$K910)),0)),"Individu / Perorangan"))</f>
        <v>Individu / Perorangan</v>
      </c>
      <c r="X910" s="106" t="str">
        <f t="shared" si="43"/>
        <v>03</v>
      </c>
      <c r="Y910" s="106" t="str" cm="1">
        <f t="array" ref="Y910">IFERROR(INDEX(Kamus!$N$3:$N$111,MATCH(TRUE,ISNUMBER(SEARCH(Kamus!$M$3:$M$111,$I910)),0)),"")</f>
        <v/>
      </c>
      <c r="Z910" s="106" t="str">
        <f>IF(AND(OR($X910="02",$X910="03",$X910="04"),OR($T910="Parsel/Bingkisan (tidak dirinci)",$T910="Makanan &amp; Minuman",$T910="Peralatan Rumah Tangga / Pecah Belah",$T910="Pakaian &amp; Kain")),"Momen Hari Raya (dugaan musiman)",IFERROR(VLOOKUP($W910,Kamus!$P$3:$Q$14,2,FALSE),"Tidak Teridentifikasi"))</f>
        <v>Momen Hari Raya (dugaan musiman)</v>
      </c>
      <c r="AA910" s="106" t="str">
        <f t="shared" si="44"/>
        <v>Momen Hari Raya (dugaan musiman)</v>
      </c>
    </row>
    <row r="911" spans="1:27">
      <c r="A911" s="106">
        <v>910</v>
      </c>
      <c r="B911" s="106" t="s">
        <v>2218</v>
      </c>
      <c r="C911" s="107" t="s">
        <v>2219</v>
      </c>
      <c r="D911" s="106" t="s">
        <v>1042</v>
      </c>
      <c r="E911" s="106" t="s">
        <v>2220</v>
      </c>
      <c r="F911" s="106" t="s">
        <v>5280</v>
      </c>
      <c r="G911" s="106" t="s">
        <v>1006</v>
      </c>
      <c r="H911" s="106" t="s">
        <v>5020</v>
      </c>
      <c r="I911" s="106" t="s">
        <v>5289</v>
      </c>
      <c r="J911" s="106">
        <v>380000</v>
      </c>
      <c r="K911" s="106" t="s">
        <v>5290</v>
      </c>
      <c r="L911" s="106" t="s">
        <v>5282</v>
      </c>
      <c r="M911" s="106" t="s">
        <v>2529</v>
      </c>
      <c r="N911" s="106" t="s">
        <v>5283</v>
      </c>
      <c r="O911" s="106" t="s">
        <v>274</v>
      </c>
      <c r="P911" s="106" t="s">
        <v>2226</v>
      </c>
      <c r="Q911" s="106" t="s">
        <v>427</v>
      </c>
      <c r="S911" s="106" t="str" cm="1">
        <f t="array" ref="S911">IF(TRIM($D911)="","(tidak diisi)",IFERROR(INDEX(Kamus!$B$3:$B$28,MATCH(TRUE,ISNUMBER(SEARCH(Kamus!$A$3:$A$28,$D911)),0)),"Jabatan Lainnya"))</f>
        <v>Ketua Pengadilan</v>
      </c>
      <c r="T911" s="106" t="str" cm="1">
        <f t="array" ref="T911">IF(TRIM($I911)="","(tidak diisi)",IFERROR(INDEX(Kamus!$E$3:$E$162,MATCH(TRUE,ISNUMBER(SEARCH(Kamus!$D$3:$D$162,$I911)),0)),"Barang Lain / Tidak Terinci"))</f>
        <v>Peralatan Rumah Tangga / Pecah Belah</v>
      </c>
      <c r="U911" s="106" t="str" cm="1">
        <f t="array" ref="U911">IF(TRIM($I911)="","(tidak diisi)",IFERROR(INDEX(Kamus!$H$3:$H$75,MATCH(TRUE,ISNUMBER(SEARCH(Kamus!$G$3:$G$75,$I911)),0)),"Pemberian Umum / Tanpa Konteks"))</f>
        <v>Pemberian Umum / Tanpa Konteks</v>
      </c>
      <c r="V911" s="106" t="str">
        <f t="shared" si="42"/>
        <v>2026</v>
      </c>
      <c r="W911" s="106" t="str" cm="1">
        <f t="array" ref="W911">IF(TRIM($K911)="","(tidak diisi)",IFERROR(INDEX(Kamus!$K$3:$K$118,MATCH(TRUE,ISNUMBER(SEARCH(Kamus!$J$3:$J$118,$K911)),0)),"Individu / Perorangan"))</f>
        <v>Individu / Perorangan</v>
      </c>
      <c r="X911" s="106" t="str">
        <f t="shared" si="43"/>
        <v>03</v>
      </c>
      <c r="Y911" s="106" t="str" cm="1">
        <f t="array" ref="Y911">IFERROR(INDEX(Kamus!$N$3:$N$111,MATCH(TRUE,ISNUMBER(SEARCH(Kamus!$M$3:$M$111,$I911)),0)),"")</f>
        <v/>
      </c>
      <c r="Z911" s="106" t="str">
        <f>IF(AND(OR($X911="02",$X911="03",$X911="04"),OR($T911="Parsel/Bingkisan (tidak dirinci)",$T911="Makanan &amp; Minuman",$T911="Peralatan Rumah Tangga / Pecah Belah",$T911="Pakaian &amp; Kain")),"Momen Hari Raya (dugaan musiman)",IFERROR(VLOOKUP($W911,Kamus!$P$3:$Q$14,2,FALSE),"Tidak Teridentifikasi"))</f>
        <v>Momen Hari Raya (dugaan musiman)</v>
      </c>
      <c r="AA911" s="106" t="str">
        <f t="shared" si="44"/>
        <v>Momen Hari Raya (dugaan musiman)</v>
      </c>
    </row>
    <row r="912" spans="1:27">
      <c r="A912" s="106">
        <v>911</v>
      </c>
      <c r="B912" s="106" t="s">
        <v>2218</v>
      </c>
      <c r="C912" s="107" t="s">
        <v>2219</v>
      </c>
      <c r="D912" s="106" t="s">
        <v>1042</v>
      </c>
      <c r="E912" s="106" t="s">
        <v>2220</v>
      </c>
      <c r="F912" s="106" t="s">
        <v>5280</v>
      </c>
      <c r="G912" s="106" t="s">
        <v>1006</v>
      </c>
      <c r="H912" s="106" t="s">
        <v>5020</v>
      </c>
      <c r="I912" s="106" t="s">
        <v>5291</v>
      </c>
      <c r="J912" s="106">
        <v>350000</v>
      </c>
      <c r="K912" s="106" t="s">
        <v>5287</v>
      </c>
      <c r="L912" s="106" t="s">
        <v>5282</v>
      </c>
      <c r="M912" s="106" t="s">
        <v>1171</v>
      </c>
      <c r="N912" s="106" t="s">
        <v>5283</v>
      </c>
      <c r="O912" s="106" t="s">
        <v>274</v>
      </c>
      <c r="P912" s="106" t="s">
        <v>2226</v>
      </c>
      <c r="Q912" s="106" t="s">
        <v>427</v>
      </c>
      <c r="S912" s="106" t="str" cm="1">
        <f t="array" ref="S912">IF(TRIM($D912)="","(tidak diisi)",IFERROR(INDEX(Kamus!$B$3:$B$28,MATCH(TRUE,ISNUMBER(SEARCH(Kamus!$A$3:$A$28,$D912)),0)),"Jabatan Lainnya"))</f>
        <v>Ketua Pengadilan</v>
      </c>
      <c r="T912" s="106" t="str" cm="1">
        <f t="array" ref="T912">IF(TRIM($I912)="","(tidak diisi)",IFERROR(INDEX(Kamus!$E$3:$E$162,MATCH(TRUE,ISNUMBER(SEARCH(Kamus!$D$3:$D$162,$I912)),0)),"Barang Lain / Tidak Terinci"))</f>
        <v>Pakaian &amp; Kain</v>
      </c>
      <c r="U912" s="106" t="str" cm="1">
        <f t="array" ref="U912">IF(TRIM($I912)="","(tidak diisi)",IFERROR(INDEX(Kamus!$H$3:$H$75,MATCH(TRUE,ISNUMBER(SEARCH(Kamus!$G$3:$G$75,$I912)),0)),"Pemberian Umum / Tanpa Konteks"))</f>
        <v>Pemberian Umum / Tanpa Konteks</v>
      </c>
      <c r="V912" s="106" t="str">
        <f t="shared" si="42"/>
        <v>2026</v>
      </c>
      <c r="W912" s="106" t="str" cm="1">
        <f t="array" ref="W912">IF(TRIM($K912)="","(tidak diisi)",IFERROR(INDEX(Kamus!$K$3:$K$118,MATCH(TRUE,ISNUMBER(SEARCH(Kamus!$J$3:$J$118,$K912)),0)),"Individu / Perorangan"))</f>
        <v>Individu / Perorangan</v>
      </c>
      <c r="X912" s="106" t="str">
        <f t="shared" si="43"/>
        <v>03</v>
      </c>
      <c r="Y912" s="106" t="str" cm="1">
        <f t="array" ref="Y912">IFERROR(INDEX(Kamus!$N$3:$N$111,MATCH(TRUE,ISNUMBER(SEARCH(Kamus!$M$3:$M$111,$I912)),0)),"")</f>
        <v/>
      </c>
      <c r="Z912" s="106" t="str">
        <f>IF(AND(OR($X912="02",$X912="03",$X912="04"),OR($T912="Parsel/Bingkisan (tidak dirinci)",$T912="Makanan &amp; Minuman",$T912="Peralatan Rumah Tangga / Pecah Belah",$T912="Pakaian &amp; Kain")),"Momen Hari Raya (dugaan musiman)",IFERROR(VLOOKUP($W912,Kamus!$P$3:$Q$14,2,FALSE),"Tidak Teridentifikasi"))</f>
        <v>Momen Hari Raya (dugaan musiman)</v>
      </c>
      <c r="AA912" s="106" t="str">
        <f t="shared" si="44"/>
        <v>Momen Hari Raya (dugaan musiman)</v>
      </c>
    </row>
    <row r="913" spans="1:27">
      <c r="A913" s="106">
        <v>912</v>
      </c>
      <c r="B913" s="106" t="s">
        <v>5292</v>
      </c>
      <c r="C913" s="107" t="s">
        <v>5293</v>
      </c>
      <c r="D913" s="106" t="s">
        <v>1507</v>
      </c>
      <c r="E913" s="106" t="s">
        <v>1005</v>
      </c>
      <c r="F913" s="106" t="s">
        <v>5294</v>
      </c>
      <c r="G913" s="106" t="s">
        <v>1006</v>
      </c>
      <c r="H913" s="106" t="s">
        <v>5023</v>
      </c>
      <c r="I913" s="106" t="s">
        <v>5295</v>
      </c>
      <c r="K913" s="106" t="s">
        <v>1045</v>
      </c>
      <c r="L913" s="106" t="s">
        <v>5296</v>
      </c>
      <c r="O913" s="106" t="s">
        <v>274</v>
      </c>
      <c r="S913" s="106" t="str" cm="1">
        <f t="array" ref="S913">IF(TRIM($D913)="","(tidak diisi)",IFERROR(INDEX(Kamus!$B$3:$B$28,MATCH(TRUE,ISNUMBER(SEARCH(Kamus!$A$3:$A$28,$D913)),0)),"Jabatan Lainnya"))</f>
        <v>Wakil Ketua Pengadilan</v>
      </c>
      <c r="T913" s="106" t="str" cm="1">
        <f t="array" ref="T913">IF(TRIM($I913)="","(tidak diisi)",IFERROR(INDEX(Kamus!$E$3:$E$162,MATCH(TRUE,ISNUMBER(SEARCH(Kamus!$D$3:$D$162,$I913)),0)),"Barang Lain / Tidak Terinci"))</f>
        <v>Parsel/Bingkisan (tidak dirinci)</v>
      </c>
      <c r="U913" s="106" t="str" cm="1">
        <f t="array" ref="U913">IF(TRIM($I913)="","(tidak diisi)",IFERROR(INDEX(Kamus!$H$3:$H$75,MATCH(TRUE,ISNUMBER(SEARCH(Kamus!$G$3:$G$75,$I913)),0)),"Pemberian Umum / Tanpa Konteks"))</f>
        <v>Bingkisan Hari Raya / Keagamaan</v>
      </c>
      <c r="V913" s="106" t="str">
        <f t="shared" si="42"/>
        <v>2026</v>
      </c>
      <c r="W913" s="106" t="str" cm="1">
        <f t="array" ref="W913">IF(TRIM($K913)="","(tidak diisi)",IFERROR(INDEX(Kamus!$K$3:$K$118,MATCH(TRUE,ISNUMBER(SEARCH(Kamus!$J$3:$J$118,$K913)),0)),"Individu / Perorangan"))</f>
        <v>Tidak Diketahui</v>
      </c>
      <c r="X913" s="106" t="str">
        <f t="shared" si="43"/>
        <v>03</v>
      </c>
      <c r="Y913" s="106" t="str" cm="1">
        <f t="array" ref="Y913">IFERROR(INDEX(Kamus!$N$3:$N$111,MATCH(TRUE,ISNUMBER(SEARCH(Kamus!$M$3:$M$111,$I913)),0)),"")</f>
        <v>Momen Hari Raya (Ramadan/Idulfitri)</v>
      </c>
      <c r="Z913" s="106" t="str">
        <f>IF(AND(OR($X913="02",$X913="03",$X913="04"),OR($T913="Parsel/Bingkisan (tidak dirinci)",$T913="Makanan &amp; Minuman",$T913="Peralatan Rumah Tangga / Pecah Belah",$T913="Pakaian &amp; Kain")),"Momen Hari Raya (dugaan musiman)",IFERROR(VLOOKUP($W913,Kamus!$P$3:$Q$14,2,FALSE),"Tidak Teridentifikasi"))</f>
        <v>Momen Hari Raya (dugaan musiman)</v>
      </c>
      <c r="AA913" s="106" t="str">
        <f t="shared" si="44"/>
        <v>Momen Hari Raya (Ramadan/Idulfitri)</v>
      </c>
    </row>
    <row r="914" spans="1:27">
      <c r="A914" s="106">
        <v>913</v>
      </c>
      <c r="B914" s="106" t="s">
        <v>2072</v>
      </c>
      <c r="C914" s="107" t="s">
        <v>2073</v>
      </c>
      <c r="D914" s="106" t="s">
        <v>1319</v>
      </c>
      <c r="E914" s="106" t="s">
        <v>2074</v>
      </c>
      <c r="F914" s="106" t="s">
        <v>5297</v>
      </c>
      <c r="G914" s="106" t="s">
        <v>1006</v>
      </c>
      <c r="H914" s="106" t="s">
        <v>5020</v>
      </c>
      <c r="I914" s="106" t="s">
        <v>5298</v>
      </c>
      <c r="K914" s="106" t="s">
        <v>2031</v>
      </c>
      <c r="L914" s="106" t="s">
        <v>5299</v>
      </c>
      <c r="O914" s="106" t="s">
        <v>274</v>
      </c>
      <c r="P914" s="106" t="s">
        <v>2079</v>
      </c>
      <c r="Q914" s="106" t="s">
        <v>407</v>
      </c>
      <c r="S914" s="106" t="str" cm="1">
        <f t="array" ref="S914">IF(TRIM($D914)="","(tidak diisi)",IFERROR(INDEX(Kamus!$B$3:$B$28,MATCH(TRUE,ISNUMBER(SEARCH(Kamus!$A$3:$A$28,$D914)),0)),"Jabatan Lainnya"))</f>
        <v>Wakil Ketua Pengadilan</v>
      </c>
      <c r="T914" s="106" t="str" cm="1">
        <f t="array" ref="T914">IF(TRIM($I914)="","(tidak diisi)",IFERROR(INDEX(Kamus!$E$3:$E$162,MATCH(TRUE,ISNUMBER(SEARCH(Kamus!$D$3:$D$162,$I914)),0)),"Barang Lain / Tidak Terinci"))</f>
        <v>Makanan &amp; Minuman</v>
      </c>
      <c r="U914" s="106" t="str" cm="1">
        <f t="array" ref="U914">IF(TRIM($I914)="","(tidak diisi)",IFERROR(INDEX(Kamus!$H$3:$H$75,MATCH(TRUE,ISNUMBER(SEARCH(Kamus!$G$3:$G$75,$I914)),0)),"Pemberian Umum / Tanpa Konteks"))</f>
        <v>Pemberian Umum / Tanpa Konteks</v>
      </c>
      <c r="V914" s="106" t="str">
        <f t="shared" si="42"/>
        <v>2026</v>
      </c>
      <c r="W914" s="106" t="str" cm="1">
        <f t="array" ref="W914">IF(TRIM($K914)="","(tidak diisi)",IFERROR(INDEX(Kamus!$K$3:$K$118,MATCH(TRUE,ISNUMBER(SEARCH(Kamus!$J$3:$J$118,$K914)),0)),"Individu / Perorangan"))</f>
        <v>Bank &amp; Lembaga Keuangan</v>
      </c>
      <c r="X914" s="106" t="str">
        <f t="shared" si="43"/>
        <v>03</v>
      </c>
      <c r="Y914" s="106" t="str" cm="1">
        <f t="array" ref="Y914">IFERROR(INDEX(Kamus!$N$3:$N$111,MATCH(TRUE,ISNUMBER(SEARCH(Kamus!$M$3:$M$111,$I914)),0)),"")</f>
        <v/>
      </c>
      <c r="Z914" s="106" t="str">
        <f>IF(AND(OR($X914="02",$X914="03",$X914="04"),OR($T914="Parsel/Bingkisan (tidak dirinci)",$T914="Makanan &amp; Minuman",$T914="Peralatan Rumah Tangga / Pecah Belah",$T914="Pakaian &amp; Kain")),"Momen Hari Raya (dugaan musiman)",IFERROR(VLOOKUP($W914,Kamus!$P$3:$Q$14,2,FALSE),"Tidak Teridentifikasi"))</f>
        <v>Momen Hari Raya (dugaan musiman)</v>
      </c>
      <c r="AA914" s="106" t="str">
        <f t="shared" si="44"/>
        <v>Momen Hari Raya (dugaan musiman)</v>
      </c>
    </row>
    <row r="915" spans="1:27">
      <c r="A915" s="106">
        <v>914</v>
      </c>
      <c r="B915" s="106" t="s">
        <v>5300</v>
      </c>
      <c r="C915" s="107" t="s">
        <v>5301</v>
      </c>
      <c r="D915" s="106" t="s">
        <v>1042</v>
      </c>
      <c r="E915" s="106" t="s">
        <v>5302</v>
      </c>
      <c r="F915" s="106" t="s">
        <v>5303</v>
      </c>
      <c r="G915" s="106" t="s">
        <v>1006</v>
      </c>
      <c r="H915" s="106" t="s">
        <v>5023</v>
      </c>
      <c r="I915" s="106" t="s">
        <v>5304</v>
      </c>
      <c r="K915" s="106" t="s">
        <v>5305</v>
      </c>
      <c r="L915" s="106" t="s">
        <v>5306</v>
      </c>
      <c r="O915" s="106" t="s">
        <v>274</v>
      </c>
      <c r="P915" s="106" t="s">
        <v>554</v>
      </c>
      <c r="Q915" s="106" t="s">
        <v>403</v>
      </c>
      <c r="S915" s="106" t="str" cm="1">
        <f t="array" ref="S915">IF(TRIM($D915)="","(tidak diisi)",IFERROR(INDEX(Kamus!$B$3:$B$28,MATCH(TRUE,ISNUMBER(SEARCH(Kamus!$A$3:$A$28,$D915)),0)),"Jabatan Lainnya"))</f>
        <v>Ketua Pengadilan</v>
      </c>
      <c r="T915" s="106" t="str" cm="1">
        <f t="array" ref="T915">IF(TRIM($I915)="","(tidak diisi)",IFERROR(INDEX(Kamus!$E$3:$E$162,MATCH(TRUE,ISNUMBER(SEARCH(Kamus!$D$3:$D$162,$I915)),0)),"Barang Lain / Tidak Terinci"))</f>
        <v>Peralatan Rumah Tangga / Pecah Belah</v>
      </c>
      <c r="U915" s="106" t="str" cm="1">
        <f t="array" ref="U915">IF(TRIM($I915)="","(tidak diisi)",IFERROR(INDEX(Kamus!$H$3:$H$75,MATCH(TRUE,ISNUMBER(SEARCH(Kamus!$G$3:$G$75,$I915)),0)),"Pemberian Umum / Tanpa Konteks"))</f>
        <v>Bingkisan Hari Raya / Keagamaan</v>
      </c>
      <c r="V915" s="106" t="str">
        <f t="shared" si="42"/>
        <v>2026</v>
      </c>
      <c r="W915" s="106" t="str" cm="1">
        <f t="array" ref="W915">IF(TRIM($K915)="","(tidak diisi)",IFERROR(INDEX(Kamus!$K$3:$K$118,MATCH(TRUE,ISNUMBER(SEARCH(Kamus!$J$3:$J$118,$K915)),0)),"Individu / Perorangan"))</f>
        <v>Individu / Perorangan</v>
      </c>
      <c r="X915" s="106" t="str">
        <f t="shared" si="43"/>
        <v>03</v>
      </c>
      <c r="Y915" s="106" t="str" cm="1">
        <f t="array" ref="Y915">IFERROR(INDEX(Kamus!$N$3:$N$111,MATCH(TRUE,ISNUMBER(SEARCH(Kamus!$M$3:$M$111,$I915)),0)),"")</f>
        <v>Momen Hari Raya (Ramadan/Idulfitri)</v>
      </c>
      <c r="Z915" s="106" t="str">
        <f>IF(AND(OR($X915="02",$X915="03",$X915="04"),OR($T915="Parsel/Bingkisan (tidak dirinci)",$T915="Makanan &amp; Minuman",$T915="Peralatan Rumah Tangga / Pecah Belah",$T915="Pakaian &amp; Kain")),"Momen Hari Raya (dugaan musiman)",IFERROR(VLOOKUP($W915,Kamus!$P$3:$Q$14,2,FALSE),"Tidak Teridentifikasi"))</f>
        <v>Momen Hari Raya (dugaan musiman)</v>
      </c>
      <c r="AA915" s="106" t="str">
        <f t="shared" si="44"/>
        <v>Momen Hari Raya (Ramadan/Idulfitri)</v>
      </c>
    </row>
    <row r="916" spans="1:27">
      <c r="A916" s="106">
        <v>915</v>
      </c>
      <c r="B916" s="106" t="s">
        <v>5300</v>
      </c>
      <c r="C916" s="107" t="s">
        <v>5301</v>
      </c>
      <c r="D916" s="106" t="s">
        <v>1042</v>
      </c>
      <c r="E916" s="106" t="s">
        <v>5302</v>
      </c>
      <c r="F916" s="106" t="s">
        <v>5307</v>
      </c>
      <c r="G916" s="106" t="s">
        <v>1006</v>
      </c>
      <c r="H916" s="106" t="s">
        <v>5023</v>
      </c>
      <c r="I916" s="106" t="s">
        <v>5308</v>
      </c>
      <c r="J916" s="106">
        <v>579760</v>
      </c>
      <c r="K916" s="106" t="s">
        <v>5309</v>
      </c>
      <c r="L916" s="106" t="s">
        <v>5310</v>
      </c>
      <c r="M916" s="106" t="s">
        <v>1039</v>
      </c>
      <c r="O916" s="106" t="s">
        <v>274</v>
      </c>
      <c r="P916" s="106" t="s">
        <v>554</v>
      </c>
      <c r="Q916" s="106" t="s">
        <v>403</v>
      </c>
      <c r="S916" s="106" t="str" cm="1">
        <f t="array" ref="S916">IF(TRIM($D916)="","(tidak diisi)",IFERROR(INDEX(Kamus!$B$3:$B$28,MATCH(TRUE,ISNUMBER(SEARCH(Kamus!$A$3:$A$28,$D916)),0)),"Jabatan Lainnya"))</f>
        <v>Ketua Pengadilan</v>
      </c>
      <c r="T916" s="106" t="str" cm="1">
        <f t="array" ref="T916">IF(TRIM($I916)="","(tidak diisi)",IFERROR(INDEX(Kamus!$E$3:$E$162,MATCH(TRUE,ISNUMBER(SEARCH(Kamus!$D$3:$D$162,$I916)),0)),"Barang Lain / Tidak Terinci"))</f>
        <v>Peralatan Rumah Tangga / Pecah Belah</v>
      </c>
      <c r="U916" s="106" t="str" cm="1">
        <f t="array" ref="U916">IF(TRIM($I916)="","(tidak diisi)",IFERROR(INDEX(Kamus!$H$3:$H$75,MATCH(TRUE,ISNUMBER(SEARCH(Kamus!$G$3:$G$75,$I916)),0)),"Pemberian Umum / Tanpa Konteks"))</f>
        <v>Bingkisan Hari Raya / Keagamaan</v>
      </c>
      <c r="V916" s="106" t="str">
        <f t="shared" si="42"/>
        <v>2026</v>
      </c>
      <c r="W916" s="106" t="str" cm="1">
        <f t="array" ref="W916">IF(TRIM($K916)="","(tidak diisi)",IFERROR(INDEX(Kamus!$K$3:$K$118,MATCH(TRUE,ISNUMBER(SEARCH(Kamus!$J$3:$J$118,$K916)),0)),"Individu / Perorangan"))</f>
        <v>Pemerintah Daerah</v>
      </c>
      <c r="X916" s="106" t="str">
        <f t="shared" si="43"/>
        <v>03</v>
      </c>
      <c r="Y916" s="106" t="str" cm="1">
        <f t="array" ref="Y916">IFERROR(INDEX(Kamus!$N$3:$N$111,MATCH(TRUE,ISNUMBER(SEARCH(Kamus!$M$3:$M$111,$I916)),0)),"")</f>
        <v>Momen Hari Raya (Ramadan/Idulfitri)</v>
      </c>
      <c r="Z916" s="106" t="str">
        <f>IF(AND(OR($X916="02",$X916="03",$X916="04"),OR($T916="Parsel/Bingkisan (tidak dirinci)",$T916="Makanan &amp; Minuman",$T916="Peralatan Rumah Tangga / Pecah Belah",$T916="Pakaian &amp; Kain")),"Momen Hari Raya (dugaan musiman)",IFERROR(VLOOKUP($W916,Kamus!$P$3:$Q$14,2,FALSE),"Tidak Teridentifikasi"))</f>
        <v>Momen Hari Raya (dugaan musiman)</v>
      </c>
      <c r="AA916" s="106" t="str">
        <f t="shared" si="44"/>
        <v>Momen Hari Raya (Ramadan/Idulfitri)</v>
      </c>
    </row>
    <row r="917" spans="1:27">
      <c r="A917" s="106">
        <v>916</v>
      </c>
      <c r="B917" s="106" t="s">
        <v>5300</v>
      </c>
      <c r="C917" s="107" t="s">
        <v>5301</v>
      </c>
      <c r="D917" s="106" t="s">
        <v>1042</v>
      </c>
      <c r="E917" s="106" t="s">
        <v>5302</v>
      </c>
      <c r="F917" s="106" t="s">
        <v>5311</v>
      </c>
      <c r="G917" s="106" t="s">
        <v>1006</v>
      </c>
      <c r="H917" s="106" t="s">
        <v>5023</v>
      </c>
      <c r="I917" s="106" t="s">
        <v>5312</v>
      </c>
      <c r="K917" s="106" t="s">
        <v>5313</v>
      </c>
      <c r="L917" s="106" t="s">
        <v>5314</v>
      </c>
      <c r="O917" s="106" t="s">
        <v>274</v>
      </c>
      <c r="P917" s="106" t="s">
        <v>554</v>
      </c>
      <c r="Q917" s="106" t="s">
        <v>403</v>
      </c>
      <c r="S917" s="106" t="str" cm="1">
        <f t="array" ref="S917">IF(TRIM($D917)="","(tidak diisi)",IFERROR(INDEX(Kamus!$B$3:$B$28,MATCH(TRUE,ISNUMBER(SEARCH(Kamus!$A$3:$A$28,$D917)),0)),"Jabatan Lainnya"))</f>
        <v>Ketua Pengadilan</v>
      </c>
      <c r="T917" s="106" t="str" cm="1">
        <f t="array" ref="T917">IF(TRIM($I917)="","(tidak diisi)",IFERROR(INDEX(Kamus!$E$3:$E$162,MATCH(TRUE,ISNUMBER(SEARCH(Kamus!$D$3:$D$162,$I917)),0)),"Barang Lain / Tidak Terinci"))</f>
        <v>Makanan &amp; Minuman</v>
      </c>
      <c r="U917" s="106" t="str" cm="1">
        <f t="array" ref="U917">IF(TRIM($I917)="","(tidak diisi)",IFERROR(INDEX(Kamus!$H$3:$H$75,MATCH(TRUE,ISNUMBER(SEARCH(Kamus!$G$3:$G$75,$I917)),0)),"Pemberian Umum / Tanpa Konteks"))</f>
        <v>Bingkisan Hari Raya / Keagamaan</v>
      </c>
      <c r="V917" s="106" t="str">
        <f t="shared" si="42"/>
        <v>2026</v>
      </c>
      <c r="W917" s="106" t="str" cm="1">
        <f t="array" ref="W917">IF(TRIM($K917)="","(tidak diisi)",IFERROR(INDEX(Kamus!$K$3:$K$118,MATCH(TRUE,ISNUMBER(SEARCH(Kamus!$J$3:$J$118,$K917)),0)),"Individu / Perorangan"))</f>
        <v>Individu / Perorangan</v>
      </c>
      <c r="X917" s="106" t="str">
        <f t="shared" si="43"/>
        <v>03</v>
      </c>
      <c r="Y917" s="106" t="str" cm="1">
        <f t="array" ref="Y917">IFERROR(INDEX(Kamus!$N$3:$N$111,MATCH(TRUE,ISNUMBER(SEARCH(Kamus!$M$3:$M$111,$I917)),0)),"")</f>
        <v>Momen Hari Raya (Ramadan/Idulfitri)</v>
      </c>
      <c r="Z917" s="106" t="str">
        <f>IF(AND(OR($X917="02",$X917="03",$X917="04"),OR($T917="Parsel/Bingkisan (tidak dirinci)",$T917="Makanan &amp; Minuman",$T917="Peralatan Rumah Tangga / Pecah Belah",$T917="Pakaian &amp; Kain")),"Momen Hari Raya (dugaan musiman)",IFERROR(VLOOKUP($W917,Kamus!$P$3:$Q$14,2,FALSE),"Tidak Teridentifikasi"))</f>
        <v>Momen Hari Raya (dugaan musiman)</v>
      </c>
      <c r="AA917" s="106" t="str">
        <f t="shared" si="44"/>
        <v>Momen Hari Raya (Ramadan/Idulfitri)</v>
      </c>
    </row>
    <row r="918" spans="1:27">
      <c r="A918" s="106">
        <v>917</v>
      </c>
      <c r="B918" s="106" t="s">
        <v>5300</v>
      </c>
      <c r="C918" s="107" t="s">
        <v>5301</v>
      </c>
      <c r="D918" s="106" t="s">
        <v>1042</v>
      </c>
      <c r="E918" s="106" t="s">
        <v>5302</v>
      </c>
      <c r="F918" s="106" t="s">
        <v>5315</v>
      </c>
      <c r="G918" s="106" t="s">
        <v>1006</v>
      </c>
      <c r="H918" s="106" t="s">
        <v>5023</v>
      </c>
      <c r="I918" s="106" t="s">
        <v>5316</v>
      </c>
      <c r="K918" s="106" t="s">
        <v>5317</v>
      </c>
      <c r="L918" s="106" t="s">
        <v>5318</v>
      </c>
      <c r="O918" s="106" t="s">
        <v>274</v>
      </c>
      <c r="P918" s="106" t="s">
        <v>554</v>
      </c>
      <c r="Q918" s="106" t="s">
        <v>403</v>
      </c>
      <c r="S918" s="106" t="str" cm="1">
        <f t="array" ref="S918">IF(TRIM($D918)="","(tidak diisi)",IFERROR(INDEX(Kamus!$B$3:$B$28,MATCH(TRUE,ISNUMBER(SEARCH(Kamus!$A$3:$A$28,$D918)),0)),"Jabatan Lainnya"))</f>
        <v>Ketua Pengadilan</v>
      </c>
      <c r="T918" s="106" t="str" cm="1">
        <f t="array" ref="T918">IF(TRIM($I918)="","(tidak diisi)",IFERROR(INDEX(Kamus!$E$3:$E$162,MATCH(TRUE,ISNUMBER(SEARCH(Kamus!$D$3:$D$162,$I918)),0)),"Barang Lain / Tidak Terinci"))</f>
        <v>Makanan &amp; Minuman</v>
      </c>
      <c r="U918" s="106" t="str" cm="1">
        <f t="array" ref="U918">IF(TRIM($I918)="","(tidak diisi)",IFERROR(INDEX(Kamus!$H$3:$H$75,MATCH(TRUE,ISNUMBER(SEARCH(Kamus!$G$3:$G$75,$I918)),0)),"Pemberian Umum / Tanpa Konteks"))</f>
        <v>Parsel/Bingkisan Umum (non-hari raya)</v>
      </c>
      <c r="V918" s="106" t="str">
        <f t="shared" si="42"/>
        <v>2026</v>
      </c>
      <c r="W918" s="106" t="str" cm="1">
        <f t="array" ref="W918">IF(TRIM($K918)="","(tidak diisi)",IFERROR(INDEX(Kamus!$K$3:$K$118,MATCH(TRUE,ISNUMBER(SEARCH(Kamus!$J$3:$J$118,$K918)),0)),"Individu / Perorangan"))</f>
        <v>Pemerintah Daerah</v>
      </c>
      <c r="X918" s="106" t="str">
        <f t="shared" si="43"/>
        <v>03</v>
      </c>
      <c r="Y918" s="106" t="str" cm="1">
        <f t="array" ref="Y918">IFERROR(INDEX(Kamus!$N$3:$N$111,MATCH(TRUE,ISNUMBER(SEARCH(Kamus!$M$3:$M$111,$I918)),0)),"")</f>
        <v/>
      </c>
      <c r="Z918" s="106" t="str">
        <f>IF(AND(OR($X918="02",$X918="03",$X918="04"),OR($T918="Parsel/Bingkisan (tidak dirinci)",$T918="Makanan &amp; Minuman",$T918="Peralatan Rumah Tangga / Pecah Belah",$T918="Pakaian &amp; Kain")),"Momen Hari Raya (dugaan musiman)",IFERROR(VLOOKUP($W918,Kamus!$P$3:$Q$14,2,FALSE),"Tidak Teridentifikasi"))</f>
        <v>Momen Hari Raya (dugaan musiman)</v>
      </c>
      <c r="AA918" s="106" t="str">
        <f t="shared" si="44"/>
        <v>Momen Hari Raya (dugaan musiman)</v>
      </c>
    </row>
    <row r="919" spans="1:27">
      <c r="A919" s="106">
        <v>918</v>
      </c>
      <c r="B919" s="106" t="s">
        <v>5319</v>
      </c>
      <c r="C919" s="107" t="s">
        <v>5320</v>
      </c>
      <c r="D919" s="106" t="s">
        <v>1042</v>
      </c>
      <c r="E919" s="106" t="s">
        <v>5321</v>
      </c>
      <c r="F919" s="106" t="s">
        <v>5322</v>
      </c>
      <c r="G919" s="106" t="s">
        <v>1006</v>
      </c>
      <c r="H919" s="106" t="s">
        <v>5023</v>
      </c>
      <c r="I919" s="106" t="s">
        <v>5323</v>
      </c>
      <c r="K919" s="106" t="s">
        <v>2230</v>
      </c>
      <c r="L919" s="106" t="s">
        <v>5324</v>
      </c>
      <c r="O919" s="106" t="s">
        <v>274</v>
      </c>
      <c r="P919" s="106" t="s">
        <v>5325</v>
      </c>
      <c r="Q919" s="106" t="s">
        <v>372</v>
      </c>
      <c r="S919" s="106" t="str" cm="1">
        <f t="array" ref="S919">IF(TRIM($D919)="","(tidak diisi)",IFERROR(INDEX(Kamus!$B$3:$B$28,MATCH(TRUE,ISNUMBER(SEARCH(Kamus!$A$3:$A$28,$D919)),0)),"Jabatan Lainnya"))</f>
        <v>Ketua Pengadilan</v>
      </c>
      <c r="T919" s="106" t="str" cm="1">
        <f t="array" ref="T919">IF(TRIM($I919)="","(tidak diisi)",IFERROR(INDEX(Kamus!$E$3:$E$162,MATCH(TRUE,ISNUMBER(SEARCH(Kamus!$D$3:$D$162,$I919)),0)),"Barang Lain / Tidak Terinci"))</f>
        <v>Parsel/Bingkisan (tidak dirinci)</v>
      </c>
      <c r="U919" s="106" t="str" cm="1">
        <f t="array" ref="U919">IF(TRIM($I919)="","(tidak diisi)",IFERROR(INDEX(Kamus!$H$3:$H$75,MATCH(TRUE,ISNUMBER(SEARCH(Kamus!$G$3:$G$75,$I919)),0)),"Pemberian Umum / Tanpa Konteks"))</f>
        <v>Bingkisan Hari Raya / Keagamaan</v>
      </c>
      <c r="V919" s="106" t="str">
        <f t="shared" si="42"/>
        <v>2026</v>
      </c>
      <c r="W919" s="106" t="str" cm="1">
        <f t="array" ref="W919">IF(TRIM($K919)="","(tidak diisi)",IFERROR(INDEX(Kamus!$K$3:$K$118,MATCH(TRUE,ISNUMBER(SEARCH(Kamus!$J$3:$J$118,$K919)),0)),"Individu / Perorangan"))</f>
        <v>Bank &amp; Lembaga Keuangan</v>
      </c>
      <c r="X919" s="106" t="str">
        <f t="shared" si="43"/>
        <v>03</v>
      </c>
      <c r="Y919" s="106" t="str" cm="1">
        <f t="array" ref="Y919">IFERROR(INDEX(Kamus!$N$3:$N$111,MATCH(TRUE,ISNUMBER(SEARCH(Kamus!$M$3:$M$111,$I919)),0)),"")</f>
        <v>Momen Hari Raya (Ramadan/Idulfitri)</v>
      </c>
      <c r="Z919" s="106" t="str">
        <f>IF(AND(OR($X919="02",$X919="03",$X919="04"),OR($T919="Parsel/Bingkisan (tidak dirinci)",$T919="Makanan &amp; Minuman",$T919="Peralatan Rumah Tangga / Pecah Belah",$T919="Pakaian &amp; Kain")),"Momen Hari Raya (dugaan musiman)",IFERROR(VLOOKUP($W919,Kamus!$P$3:$Q$14,2,FALSE),"Tidak Teridentifikasi"))</f>
        <v>Momen Hari Raya (dugaan musiman)</v>
      </c>
      <c r="AA919" s="106" t="str">
        <f t="shared" si="44"/>
        <v>Momen Hari Raya (Ramadan/Idulfitri)</v>
      </c>
    </row>
    <row r="920" spans="1:27">
      <c r="A920" s="106">
        <v>919</v>
      </c>
      <c r="B920" s="106" t="s">
        <v>3717</v>
      </c>
      <c r="C920" s="107" t="s">
        <v>3718</v>
      </c>
      <c r="D920" s="106" t="s">
        <v>3719</v>
      </c>
      <c r="E920" s="106" t="s">
        <v>3720</v>
      </c>
      <c r="F920" s="106" t="s">
        <v>5326</v>
      </c>
      <c r="G920" s="106" t="s">
        <v>1006</v>
      </c>
      <c r="H920" s="106" t="s">
        <v>5023</v>
      </c>
      <c r="I920" s="106" t="s">
        <v>2374</v>
      </c>
      <c r="J920" s="106">
        <v>200000</v>
      </c>
      <c r="K920" s="106" t="s">
        <v>5327</v>
      </c>
      <c r="L920" s="106" t="s">
        <v>5328</v>
      </c>
      <c r="M920" s="106" t="s">
        <v>2529</v>
      </c>
      <c r="N920" s="106" t="s">
        <v>5329</v>
      </c>
      <c r="O920" s="106" t="s">
        <v>274</v>
      </c>
      <c r="P920" s="106" t="s">
        <v>3726</v>
      </c>
      <c r="Q920" s="106" t="s">
        <v>427</v>
      </c>
      <c r="S920" s="106" t="str" cm="1">
        <f t="array" ref="S920">IF(TRIM($D920)="","(tidak diisi)",IFERROR(INDEX(Kamus!$B$3:$B$28,MATCH(TRUE,ISNUMBER(SEARCH(Kamus!$A$3:$A$28,$D920)),0)),"Jabatan Lainnya"))</f>
        <v>Ketua Pengadilan</v>
      </c>
      <c r="T920" s="106" t="str" cm="1">
        <f t="array" ref="T920">IF(TRIM($I920)="","(tidak diisi)",IFERROR(INDEX(Kamus!$E$3:$E$162,MATCH(TRUE,ISNUMBER(SEARCH(Kamus!$D$3:$D$162,$I920)),0)),"Barang Lain / Tidak Terinci"))</f>
        <v>Makanan &amp; Minuman</v>
      </c>
      <c r="U920" s="106" t="str" cm="1">
        <f t="array" ref="U920">IF(TRIM($I920)="","(tidak diisi)",IFERROR(INDEX(Kamus!$H$3:$H$75,MATCH(TRUE,ISNUMBER(SEARCH(Kamus!$G$3:$G$75,$I920)),0)),"Pemberian Umum / Tanpa Konteks"))</f>
        <v>Parsel/Bingkisan Umum (non-hari raya)</v>
      </c>
      <c r="V920" s="106" t="str">
        <f t="shared" si="42"/>
        <v>2026</v>
      </c>
      <c r="W920" s="106" t="str" cm="1">
        <f t="array" ref="W920">IF(TRIM($K920)="","(tidak diisi)",IFERROR(INDEX(Kamus!$K$3:$K$118,MATCH(TRUE,ISNUMBER(SEARCH(Kamus!$J$3:$J$118,$K920)),0)),"Individu / Perorangan"))</f>
        <v>Individu / Perorangan</v>
      </c>
      <c r="X920" s="106" t="str">
        <f t="shared" si="43"/>
        <v>03</v>
      </c>
      <c r="Y920" s="106" t="str" cm="1">
        <f t="array" ref="Y920">IFERROR(INDEX(Kamus!$N$3:$N$111,MATCH(TRUE,ISNUMBER(SEARCH(Kamus!$M$3:$M$111,$I920)),0)),"")</f>
        <v/>
      </c>
      <c r="Z920" s="106" t="str">
        <f>IF(AND(OR($X920="02",$X920="03",$X920="04"),OR($T920="Parsel/Bingkisan (tidak dirinci)",$T920="Makanan &amp; Minuman",$T920="Peralatan Rumah Tangga / Pecah Belah",$T920="Pakaian &amp; Kain")),"Momen Hari Raya (dugaan musiman)",IFERROR(VLOOKUP($W920,Kamus!$P$3:$Q$14,2,FALSE),"Tidak Teridentifikasi"))</f>
        <v>Momen Hari Raya (dugaan musiman)</v>
      </c>
      <c r="AA920" s="106" t="str">
        <f t="shared" si="44"/>
        <v>Momen Hari Raya (dugaan musiman)</v>
      </c>
    </row>
    <row r="921" spans="1:27">
      <c r="A921" s="106">
        <v>920</v>
      </c>
      <c r="B921" s="106" t="s">
        <v>3717</v>
      </c>
      <c r="C921" s="107" t="s">
        <v>3718</v>
      </c>
      <c r="D921" s="106" t="s">
        <v>3719</v>
      </c>
      <c r="E921" s="106" t="s">
        <v>3720</v>
      </c>
      <c r="F921" s="106" t="s">
        <v>5326</v>
      </c>
      <c r="G921" s="106" t="s">
        <v>1006</v>
      </c>
      <c r="H921" s="106" t="s">
        <v>5023</v>
      </c>
      <c r="I921" s="106" t="s">
        <v>5330</v>
      </c>
      <c r="J921" s="106">
        <v>184900</v>
      </c>
      <c r="K921" s="106" t="s">
        <v>5331</v>
      </c>
      <c r="L921" s="106" t="s">
        <v>5328</v>
      </c>
      <c r="M921" s="106" t="s">
        <v>1171</v>
      </c>
      <c r="N921" s="106" t="s">
        <v>5329</v>
      </c>
      <c r="O921" s="106" t="s">
        <v>274</v>
      </c>
      <c r="P921" s="106" t="s">
        <v>3726</v>
      </c>
      <c r="Q921" s="106" t="s">
        <v>427</v>
      </c>
      <c r="S921" s="106" t="str" cm="1">
        <f t="array" ref="S921">IF(TRIM($D921)="","(tidak diisi)",IFERROR(INDEX(Kamus!$B$3:$B$28,MATCH(TRUE,ISNUMBER(SEARCH(Kamus!$A$3:$A$28,$D921)),0)),"Jabatan Lainnya"))</f>
        <v>Ketua Pengadilan</v>
      </c>
      <c r="T921" s="106" t="str" cm="1">
        <f t="array" ref="T921">IF(TRIM($I921)="","(tidak diisi)",IFERROR(INDEX(Kamus!$E$3:$E$162,MATCH(TRUE,ISNUMBER(SEARCH(Kamus!$D$3:$D$162,$I921)),0)),"Barang Lain / Tidak Terinci"))</f>
        <v>Peralatan Rumah Tangga / Pecah Belah</v>
      </c>
      <c r="U921" s="106" t="str" cm="1">
        <f t="array" ref="U921">IF(TRIM($I921)="","(tidak diisi)",IFERROR(INDEX(Kamus!$H$3:$H$75,MATCH(TRUE,ISNUMBER(SEARCH(Kamus!$G$3:$G$75,$I921)),0)),"Pemberian Umum / Tanpa Konteks"))</f>
        <v>Pemberian Umum / Tanpa Konteks</v>
      </c>
      <c r="V921" s="106" t="str">
        <f t="shared" si="42"/>
        <v>2026</v>
      </c>
      <c r="W921" s="106" t="str" cm="1">
        <f t="array" ref="W921">IF(TRIM($K921)="","(tidak diisi)",IFERROR(INDEX(Kamus!$K$3:$K$118,MATCH(TRUE,ISNUMBER(SEARCH(Kamus!$J$3:$J$118,$K921)),0)),"Individu / Perorangan"))</f>
        <v>Individu / Perorangan</v>
      </c>
      <c r="X921" s="106" t="str">
        <f t="shared" si="43"/>
        <v>03</v>
      </c>
      <c r="Y921" s="106" t="str" cm="1">
        <f t="array" ref="Y921">IFERROR(INDEX(Kamus!$N$3:$N$111,MATCH(TRUE,ISNUMBER(SEARCH(Kamus!$M$3:$M$111,$I921)),0)),"")</f>
        <v/>
      </c>
      <c r="Z921" s="106" t="str">
        <f>IF(AND(OR($X921="02",$X921="03",$X921="04"),OR($T921="Parsel/Bingkisan (tidak dirinci)",$T921="Makanan &amp; Minuman",$T921="Peralatan Rumah Tangga / Pecah Belah",$T921="Pakaian &amp; Kain")),"Momen Hari Raya (dugaan musiman)",IFERROR(VLOOKUP($W921,Kamus!$P$3:$Q$14,2,FALSE),"Tidak Teridentifikasi"))</f>
        <v>Momen Hari Raya (dugaan musiman)</v>
      </c>
      <c r="AA921" s="106" t="str">
        <f t="shared" si="44"/>
        <v>Momen Hari Raya (dugaan musiman)</v>
      </c>
    </row>
    <row r="922" spans="1:27">
      <c r="A922" s="106">
        <v>921</v>
      </c>
      <c r="B922" s="106" t="s">
        <v>3717</v>
      </c>
      <c r="C922" s="107" t="s">
        <v>3718</v>
      </c>
      <c r="D922" s="106" t="s">
        <v>3719</v>
      </c>
      <c r="E922" s="106" t="s">
        <v>3720</v>
      </c>
      <c r="F922" s="106" t="s">
        <v>5326</v>
      </c>
      <c r="G922" s="106" t="s">
        <v>1006</v>
      </c>
      <c r="H922" s="106" t="s">
        <v>5023</v>
      </c>
      <c r="I922" s="106" t="s">
        <v>5332</v>
      </c>
      <c r="J922" s="106">
        <v>187900</v>
      </c>
      <c r="K922" s="106" t="s">
        <v>5333</v>
      </c>
      <c r="L922" s="106" t="s">
        <v>5328</v>
      </c>
      <c r="M922" s="106" t="s">
        <v>1171</v>
      </c>
      <c r="N922" s="106" t="s">
        <v>5329</v>
      </c>
      <c r="O922" s="106" t="s">
        <v>274</v>
      </c>
      <c r="P922" s="106" t="s">
        <v>3726</v>
      </c>
      <c r="Q922" s="106" t="s">
        <v>427</v>
      </c>
      <c r="S922" s="106" t="str" cm="1">
        <f t="array" ref="S922">IF(TRIM($D922)="","(tidak diisi)",IFERROR(INDEX(Kamus!$B$3:$B$28,MATCH(TRUE,ISNUMBER(SEARCH(Kamus!$A$3:$A$28,$D922)),0)),"Jabatan Lainnya"))</f>
        <v>Ketua Pengadilan</v>
      </c>
      <c r="T922" s="106" t="str" cm="1">
        <f t="array" ref="T922">IF(TRIM($I922)="","(tidak diisi)",IFERROR(INDEX(Kamus!$E$3:$E$162,MATCH(TRUE,ISNUMBER(SEARCH(Kamus!$D$3:$D$162,$I922)),0)),"Barang Lain / Tidak Terinci"))</f>
        <v>Peralatan Rumah Tangga / Pecah Belah</v>
      </c>
      <c r="U922" s="106" t="str" cm="1">
        <f t="array" ref="U922">IF(TRIM($I922)="","(tidak diisi)",IFERROR(INDEX(Kamus!$H$3:$H$75,MATCH(TRUE,ISNUMBER(SEARCH(Kamus!$G$3:$G$75,$I922)),0)),"Pemberian Umum / Tanpa Konteks"))</f>
        <v>Pemberian Umum / Tanpa Konteks</v>
      </c>
      <c r="V922" s="106" t="str">
        <f t="shared" si="42"/>
        <v>2026</v>
      </c>
      <c r="W922" s="106" t="str" cm="1">
        <f t="array" ref="W922">IF(TRIM($K922)="","(tidak diisi)",IFERROR(INDEX(Kamus!$K$3:$K$118,MATCH(TRUE,ISNUMBER(SEARCH(Kamus!$J$3:$J$118,$K922)),0)),"Individu / Perorangan"))</f>
        <v>Individu / Perorangan</v>
      </c>
      <c r="X922" s="106" t="str">
        <f t="shared" si="43"/>
        <v>03</v>
      </c>
      <c r="Y922" s="106" t="str" cm="1">
        <f t="array" ref="Y922">IFERROR(INDEX(Kamus!$N$3:$N$111,MATCH(TRUE,ISNUMBER(SEARCH(Kamus!$M$3:$M$111,$I922)),0)),"")</f>
        <v/>
      </c>
      <c r="Z922" s="106" t="str">
        <f>IF(AND(OR($X922="02",$X922="03",$X922="04"),OR($T922="Parsel/Bingkisan (tidak dirinci)",$T922="Makanan &amp; Minuman",$T922="Peralatan Rumah Tangga / Pecah Belah",$T922="Pakaian &amp; Kain")),"Momen Hari Raya (dugaan musiman)",IFERROR(VLOOKUP($W922,Kamus!$P$3:$Q$14,2,FALSE),"Tidak Teridentifikasi"))</f>
        <v>Momen Hari Raya (dugaan musiman)</v>
      </c>
      <c r="AA922" s="106" t="str">
        <f t="shared" si="44"/>
        <v>Momen Hari Raya (dugaan musiman)</v>
      </c>
    </row>
    <row r="923" spans="1:27">
      <c r="A923" s="106">
        <v>922</v>
      </c>
      <c r="B923" s="106" t="s">
        <v>4682</v>
      </c>
      <c r="C923" s="107" t="s">
        <v>4683</v>
      </c>
      <c r="D923" s="106" t="s">
        <v>1042</v>
      </c>
      <c r="E923" s="106" t="s">
        <v>4684</v>
      </c>
      <c r="F923" s="106" t="s">
        <v>5334</v>
      </c>
      <c r="G923" s="106" t="s">
        <v>1006</v>
      </c>
      <c r="H923" s="106" t="s">
        <v>5023</v>
      </c>
      <c r="I923" s="106" t="s">
        <v>5335</v>
      </c>
      <c r="J923" s="106">
        <v>700000</v>
      </c>
      <c r="K923" s="106" t="s">
        <v>5336</v>
      </c>
      <c r="L923" s="106" t="s">
        <v>5337</v>
      </c>
      <c r="M923" s="106" t="s">
        <v>1039</v>
      </c>
      <c r="O923" s="106" t="s">
        <v>274</v>
      </c>
      <c r="Q923" s="106" t="s">
        <v>410</v>
      </c>
      <c r="S923" s="106" t="str" cm="1">
        <f t="array" ref="S923">IF(TRIM($D923)="","(tidak diisi)",IFERROR(INDEX(Kamus!$B$3:$B$28,MATCH(TRUE,ISNUMBER(SEARCH(Kamus!$A$3:$A$28,$D923)),0)),"Jabatan Lainnya"))</f>
        <v>Ketua Pengadilan</v>
      </c>
      <c r="T923" s="106" t="str" cm="1">
        <f t="array" ref="T923">IF(TRIM($I923)="","(tidak diisi)",IFERROR(INDEX(Kamus!$E$3:$E$162,MATCH(TRUE,ISNUMBER(SEARCH(Kamus!$D$3:$D$162,$I923)),0)),"Barang Lain / Tidak Terinci"))</f>
        <v>Peralatan Rumah Tangga / Pecah Belah</v>
      </c>
      <c r="U923" s="106" t="str" cm="1">
        <f t="array" ref="U923">IF(TRIM($I923)="","(tidak diisi)",IFERROR(INDEX(Kamus!$H$3:$H$75,MATCH(TRUE,ISNUMBER(SEARCH(Kamus!$G$3:$G$75,$I923)),0)),"Pemberian Umum / Tanpa Konteks"))</f>
        <v>Parsel/Bingkisan Umum (non-hari raya)</v>
      </c>
      <c r="V923" s="106" t="str">
        <f t="shared" si="42"/>
        <v>2026</v>
      </c>
      <c r="W923" s="106" t="str" cm="1">
        <f t="array" ref="W923">IF(TRIM($K923)="","(tidak diisi)",IFERROR(INDEX(Kamus!$K$3:$K$118,MATCH(TRUE,ISNUMBER(SEARCH(Kamus!$J$3:$J$118,$K923)),0)),"Individu / Perorangan"))</f>
        <v>Aparat/Instansi Penegak Hukum &amp; Vertikal</v>
      </c>
      <c r="X923" s="106" t="str">
        <f t="shared" si="43"/>
        <v>03</v>
      </c>
      <c r="Y923" s="106" t="str" cm="1">
        <f t="array" ref="Y923">IFERROR(INDEX(Kamus!$N$3:$N$111,MATCH(TRUE,ISNUMBER(SEARCH(Kamus!$M$3:$M$111,$I923)),0)),"")</f>
        <v/>
      </c>
      <c r="Z923" s="106" t="str">
        <f>IF(AND(OR($X923="02",$X923="03",$X923="04"),OR($T923="Parsel/Bingkisan (tidak dirinci)",$T923="Makanan &amp; Minuman",$T923="Peralatan Rumah Tangga / Pecah Belah",$T923="Pakaian &amp; Kain")),"Momen Hari Raya (dugaan musiman)",IFERROR(VLOOKUP($W923,Kamus!$P$3:$Q$14,2,FALSE),"Tidak Teridentifikasi"))</f>
        <v>Momen Hari Raya (dugaan musiman)</v>
      </c>
      <c r="AA923" s="106" t="str">
        <f t="shared" si="44"/>
        <v>Momen Hari Raya (dugaan musiman)</v>
      </c>
    </row>
    <row r="924" spans="1:27">
      <c r="A924" s="106">
        <v>923</v>
      </c>
      <c r="B924" s="106" t="s">
        <v>1174</v>
      </c>
      <c r="C924" s="107" t="s">
        <v>1175</v>
      </c>
      <c r="D924" s="106" t="s">
        <v>1042</v>
      </c>
      <c r="E924" s="106" t="s">
        <v>1176</v>
      </c>
      <c r="F924" s="106" t="s">
        <v>5338</v>
      </c>
      <c r="G924" s="106" t="s">
        <v>1006</v>
      </c>
      <c r="H924" s="106" t="s">
        <v>5224</v>
      </c>
      <c r="I924" s="106" t="s">
        <v>5339</v>
      </c>
      <c r="J924" s="106">
        <v>363600</v>
      </c>
      <c r="K924" s="106" t="s">
        <v>5340</v>
      </c>
      <c r="L924" s="106" t="s">
        <v>5341</v>
      </c>
      <c r="M924" s="106" t="s">
        <v>1171</v>
      </c>
      <c r="N924" s="106" t="s">
        <v>5342</v>
      </c>
      <c r="O924" s="106" t="s">
        <v>274</v>
      </c>
      <c r="P924" s="106" t="s">
        <v>1181</v>
      </c>
      <c r="Q924" s="106" t="s">
        <v>429</v>
      </c>
      <c r="S924" s="106" t="str" cm="1">
        <f t="array" ref="S924">IF(TRIM($D924)="","(tidak diisi)",IFERROR(INDEX(Kamus!$B$3:$B$28,MATCH(TRUE,ISNUMBER(SEARCH(Kamus!$A$3:$A$28,$D924)),0)),"Jabatan Lainnya"))</f>
        <v>Ketua Pengadilan</v>
      </c>
      <c r="T924" s="106" t="str" cm="1">
        <f t="array" ref="T924">IF(TRIM($I924)="","(tidak diisi)",IFERROR(INDEX(Kamus!$E$3:$E$162,MATCH(TRUE,ISNUMBER(SEARCH(Kamus!$D$3:$D$162,$I924)),0)),"Barang Lain / Tidak Terinci"))</f>
        <v>Peralatan Rumah Tangga / Pecah Belah</v>
      </c>
      <c r="U924" s="106" t="str" cm="1">
        <f t="array" ref="U924">IF(TRIM($I924)="","(tidak diisi)",IFERROR(INDEX(Kamus!$H$3:$H$75,MATCH(TRUE,ISNUMBER(SEARCH(Kamus!$G$3:$G$75,$I924)),0)),"Pemberian Umum / Tanpa Konteks"))</f>
        <v>Honor / Uang Kegiatan</v>
      </c>
      <c r="V924" s="106" t="str">
        <f t="shared" si="42"/>
        <v>2026</v>
      </c>
      <c r="W924" s="106" t="str" cm="1">
        <f t="array" ref="W924">IF(TRIM($K924)="","(tidak diisi)",IFERROR(INDEX(Kamus!$K$3:$K$118,MATCH(TRUE,ISNUMBER(SEARCH(Kamus!$J$3:$J$118,$K924)),0)),"Individu / Perorangan"))</f>
        <v>Pemerintah Daerah</v>
      </c>
      <c r="X924" s="106" t="str">
        <f t="shared" si="43"/>
        <v>03</v>
      </c>
      <c r="Y924" s="106" t="str" cm="1">
        <f t="array" ref="Y924">IFERROR(INDEX(Kamus!$N$3:$N$111,MATCH(TRUE,ISNUMBER(SEARCH(Kamus!$M$3:$M$111,$I924)),0)),"")</f>
        <v/>
      </c>
      <c r="Z924" s="106" t="str">
        <f>IF(AND(OR($X924="02",$X924="03",$X924="04"),OR($T924="Parsel/Bingkisan (tidak dirinci)",$T924="Makanan &amp; Minuman",$T924="Peralatan Rumah Tangga / Pecah Belah",$T924="Pakaian &amp; Kain")),"Momen Hari Raya (dugaan musiman)",IFERROR(VLOOKUP($W924,Kamus!$P$3:$Q$14,2,FALSE),"Tidak Teridentifikasi"))</f>
        <v>Momen Hari Raya (dugaan musiman)</v>
      </c>
      <c r="AA924" s="106" t="str">
        <f t="shared" si="44"/>
        <v>Momen Hari Raya (dugaan musiman)</v>
      </c>
    </row>
    <row r="925" spans="1:27">
      <c r="A925" s="106">
        <v>924</v>
      </c>
      <c r="B925" s="106" t="s">
        <v>2138</v>
      </c>
      <c r="C925" s="107" t="s">
        <v>2139</v>
      </c>
      <c r="D925" s="106" t="s">
        <v>1024</v>
      </c>
      <c r="E925" s="106" t="s">
        <v>1176</v>
      </c>
      <c r="F925" s="106" t="s">
        <v>5343</v>
      </c>
      <c r="G925" s="106" t="s">
        <v>1006</v>
      </c>
      <c r="H925" s="106" t="s">
        <v>5200</v>
      </c>
      <c r="I925" s="106" t="s">
        <v>5344</v>
      </c>
      <c r="K925" s="106" t="s">
        <v>5345</v>
      </c>
      <c r="L925" s="106" t="s">
        <v>5346</v>
      </c>
      <c r="O925" s="106" t="s">
        <v>274</v>
      </c>
      <c r="P925" s="106" t="s">
        <v>1181</v>
      </c>
      <c r="Q925" s="106" t="s">
        <v>429</v>
      </c>
      <c r="S925" s="106" t="str" cm="1">
        <f t="array" ref="S925">IF(TRIM($D925)="","(tidak diisi)",IFERROR(INDEX(Kamus!$B$3:$B$28,MATCH(TRUE,ISNUMBER(SEARCH(Kamus!$A$3:$A$28,$D925)),0)),"Jabatan Lainnya"))</f>
        <v>Sekretaris</v>
      </c>
      <c r="T925" s="106" t="str" cm="1">
        <f t="array" ref="T925">IF(TRIM($I925)="","(tidak diisi)",IFERROR(INDEX(Kamus!$E$3:$E$162,MATCH(TRUE,ISNUMBER(SEARCH(Kamus!$D$3:$D$162,$I925)),0)),"Barang Lain / Tidak Terinci"))</f>
        <v>Peralatan Rumah Tangga / Pecah Belah</v>
      </c>
      <c r="U925" s="106" t="str" cm="1">
        <f t="array" ref="U925">IF(TRIM($I925)="","(tidak diisi)",IFERROR(INDEX(Kamus!$H$3:$H$75,MATCH(TRUE,ISNUMBER(SEARCH(Kamus!$G$3:$G$75,$I925)),0)),"Pemberian Umum / Tanpa Konteks"))</f>
        <v>Bingkisan Hari Raya / Keagamaan</v>
      </c>
      <c r="V925" s="106" t="str">
        <f t="shared" si="42"/>
        <v>2026</v>
      </c>
      <c r="W925" s="106" t="str" cm="1">
        <f t="array" ref="W925">IF(TRIM($K925)="","(tidak diisi)",IFERROR(INDEX(Kamus!$K$3:$K$118,MATCH(TRUE,ISNUMBER(SEARCH(Kamus!$J$3:$J$118,$K925)),0)),"Individu / Perorangan"))</f>
        <v>Individu / Perorangan</v>
      </c>
      <c r="X925" s="106" t="str">
        <f t="shared" si="43"/>
        <v>03</v>
      </c>
      <c r="Y925" s="106" t="str" cm="1">
        <f t="array" ref="Y925">IFERROR(INDEX(Kamus!$N$3:$N$111,MATCH(TRUE,ISNUMBER(SEARCH(Kamus!$M$3:$M$111,$I925)),0)),"")</f>
        <v>Momen Hari Raya (Ramadan/Idulfitri)</v>
      </c>
      <c r="Z925" s="106" t="str">
        <f>IF(AND(OR($X925="02",$X925="03",$X925="04"),OR($T925="Parsel/Bingkisan (tidak dirinci)",$T925="Makanan &amp; Minuman",$T925="Peralatan Rumah Tangga / Pecah Belah",$T925="Pakaian &amp; Kain")),"Momen Hari Raya (dugaan musiman)",IFERROR(VLOOKUP($W925,Kamus!$P$3:$Q$14,2,FALSE),"Tidak Teridentifikasi"))</f>
        <v>Momen Hari Raya (dugaan musiman)</v>
      </c>
      <c r="AA925" s="106" t="str">
        <f t="shared" si="44"/>
        <v>Momen Hari Raya (Ramadan/Idulfitri)</v>
      </c>
    </row>
    <row r="926" spans="1:27">
      <c r="A926" s="106">
        <v>925</v>
      </c>
      <c r="B926" s="106" t="s">
        <v>3872</v>
      </c>
      <c r="C926" s="107" t="s">
        <v>3873</v>
      </c>
      <c r="D926" s="106" t="s">
        <v>1319</v>
      </c>
      <c r="E926" s="106" t="s">
        <v>1176</v>
      </c>
      <c r="F926" s="106" t="s">
        <v>5347</v>
      </c>
      <c r="G926" s="106" t="s">
        <v>1006</v>
      </c>
      <c r="H926" s="106" t="s">
        <v>5020</v>
      </c>
      <c r="I926" s="106" t="s">
        <v>5348</v>
      </c>
      <c r="J926" s="106">
        <v>400000</v>
      </c>
      <c r="K926" s="106" t="s">
        <v>5231</v>
      </c>
      <c r="L926" s="106" t="s">
        <v>5349</v>
      </c>
      <c r="M926" s="106" t="s">
        <v>2529</v>
      </c>
      <c r="O926" s="106" t="s">
        <v>274</v>
      </c>
      <c r="P926" s="106" t="s">
        <v>1181</v>
      </c>
      <c r="Q926" s="106" t="s">
        <v>429</v>
      </c>
      <c r="S926" s="106" t="str" cm="1">
        <f t="array" ref="S926">IF(TRIM($D926)="","(tidak diisi)",IFERROR(INDEX(Kamus!$B$3:$B$28,MATCH(TRUE,ISNUMBER(SEARCH(Kamus!$A$3:$A$28,$D926)),0)),"Jabatan Lainnya"))</f>
        <v>Wakil Ketua Pengadilan</v>
      </c>
      <c r="T926" s="106" t="str" cm="1">
        <f t="array" ref="T926">IF(TRIM($I926)="","(tidak diisi)",IFERROR(INDEX(Kamus!$E$3:$E$162,MATCH(TRUE,ISNUMBER(SEARCH(Kamus!$D$3:$D$162,$I926)),0)),"Barang Lain / Tidak Terinci"))</f>
        <v>Makanan &amp; Minuman</v>
      </c>
      <c r="U926" s="106" t="str" cm="1">
        <f t="array" ref="U926">IF(TRIM($I926)="","(tidak diisi)",IFERROR(INDEX(Kamus!$H$3:$H$75,MATCH(TRUE,ISNUMBER(SEARCH(Kamus!$G$3:$G$75,$I926)),0)),"Pemberian Umum / Tanpa Konteks"))</f>
        <v>Parsel/Bingkisan Umum (non-hari raya)</v>
      </c>
      <c r="V926" s="106" t="str">
        <f t="shared" si="42"/>
        <v>2026</v>
      </c>
      <c r="W926" s="106" t="str" cm="1">
        <f t="array" ref="W926">IF(TRIM($K926)="","(tidak diisi)",IFERROR(INDEX(Kamus!$K$3:$K$118,MATCH(TRUE,ISNUMBER(SEARCH(Kamus!$J$3:$J$118,$K926)),0)),"Individu / Perorangan"))</f>
        <v>Pemerintah Daerah</v>
      </c>
      <c r="X926" s="106" t="str">
        <f t="shared" si="43"/>
        <v>03</v>
      </c>
      <c r="Y926" s="106" t="str" cm="1">
        <f t="array" ref="Y926">IFERROR(INDEX(Kamus!$N$3:$N$111,MATCH(TRUE,ISNUMBER(SEARCH(Kamus!$M$3:$M$111,$I926)),0)),"")</f>
        <v/>
      </c>
      <c r="Z926" s="106" t="str">
        <f>IF(AND(OR($X926="02",$X926="03",$X926="04"),OR($T926="Parsel/Bingkisan (tidak dirinci)",$T926="Makanan &amp; Minuman",$T926="Peralatan Rumah Tangga / Pecah Belah",$T926="Pakaian &amp; Kain")),"Momen Hari Raya (dugaan musiman)",IFERROR(VLOOKUP($W926,Kamus!$P$3:$Q$14,2,FALSE),"Tidak Teridentifikasi"))</f>
        <v>Momen Hari Raya (dugaan musiman)</v>
      </c>
      <c r="AA926" s="106" t="str">
        <f t="shared" si="44"/>
        <v>Momen Hari Raya (dugaan musiman)</v>
      </c>
    </row>
    <row r="927" spans="1:27">
      <c r="A927" s="106">
        <v>926</v>
      </c>
      <c r="B927" s="106" t="s">
        <v>5350</v>
      </c>
      <c r="C927" s="107" t="s">
        <v>5351</v>
      </c>
      <c r="D927" s="106" t="s">
        <v>1336</v>
      </c>
      <c r="E927" s="106" t="s">
        <v>4000</v>
      </c>
      <c r="F927" s="106" t="s">
        <v>5352</v>
      </c>
      <c r="G927" s="106" t="s">
        <v>1006</v>
      </c>
      <c r="H927" s="106" t="s">
        <v>5023</v>
      </c>
      <c r="I927" s="106" t="s">
        <v>5353</v>
      </c>
      <c r="K927" s="106" t="s">
        <v>5354</v>
      </c>
      <c r="L927" s="106" t="s">
        <v>5355</v>
      </c>
      <c r="O927" s="106" t="s">
        <v>274</v>
      </c>
      <c r="P927" s="106" t="s">
        <v>479</v>
      </c>
      <c r="Q927" s="106" t="s">
        <v>403</v>
      </c>
      <c r="S927" s="106" t="str" cm="1">
        <f t="array" ref="S927">IF(TRIM($D927)="","(tidak diisi)",IFERROR(INDEX(Kamus!$B$3:$B$28,MATCH(TRUE,ISNUMBER(SEARCH(Kamus!$A$3:$A$28,$D927)),0)),"Jabatan Lainnya"))</f>
        <v>Panitera</v>
      </c>
      <c r="T927" s="106" t="str" cm="1">
        <f t="array" ref="T927">IF(TRIM($I927)="","(tidak diisi)",IFERROR(INDEX(Kamus!$E$3:$E$162,MATCH(TRUE,ISNUMBER(SEARCH(Kamus!$D$3:$D$162,$I927)),0)),"Barang Lain / Tidak Terinci"))</f>
        <v>Parsel/Bingkisan (tidak dirinci)</v>
      </c>
      <c r="U927" s="106" t="str" cm="1">
        <f t="array" ref="U927">IF(TRIM($I927)="","(tidak diisi)",IFERROR(INDEX(Kamus!$H$3:$H$75,MATCH(TRUE,ISNUMBER(SEARCH(Kamus!$G$3:$G$75,$I927)),0)),"Pemberian Umum / Tanpa Konteks"))</f>
        <v>Bingkisan Hari Raya / Keagamaan</v>
      </c>
      <c r="V927" s="106" t="str">
        <f t="shared" si="42"/>
        <v>2026</v>
      </c>
      <c r="W927" s="106" t="str" cm="1">
        <f t="array" ref="W927">IF(TRIM($K927)="","(tidak diisi)",IFERROR(INDEX(Kamus!$K$3:$K$118,MATCH(TRUE,ISNUMBER(SEARCH(Kamus!$J$3:$J$118,$K927)),0)),"Individu / Perorangan"))</f>
        <v>Individu / Perorangan</v>
      </c>
      <c r="X927" s="106" t="str">
        <f t="shared" si="43"/>
        <v>03</v>
      </c>
      <c r="Y927" s="106" t="str" cm="1">
        <f t="array" ref="Y927">IFERROR(INDEX(Kamus!$N$3:$N$111,MATCH(TRUE,ISNUMBER(SEARCH(Kamus!$M$3:$M$111,$I927)),0)),"")</f>
        <v>Momen Hari Raya (Ramadan/Idulfitri)</v>
      </c>
      <c r="Z927" s="106" t="str">
        <f>IF(AND(OR($X927="02",$X927="03",$X927="04"),OR($T927="Parsel/Bingkisan (tidak dirinci)",$T927="Makanan &amp; Minuman",$T927="Peralatan Rumah Tangga / Pecah Belah",$T927="Pakaian &amp; Kain")),"Momen Hari Raya (dugaan musiman)",IFERROR(VLOOKUP($W927,Kamus!$P$3:$Q$14,2,FALSE),"Tidak Teridentifikasi"))</f>
        <v>Momen Hari Raya (dugaan musiman)</v>
      </c>
      <c r="AA927" s="106" t="str">
        <f t="shared" si="44"/>
        <v>Momen Hari Raya (Ramadan/Idulfitri)</v>
      </c>
    </row>
    <row r="928" spans="1:27">
      <c r="A928" s="106">
        <v>927</v>
      </c>
      <c r="B928" s="106" t="s">
        <v>2240</v>
      </c>
      <c r="C928" s="107" t="s">
        <v>2241</v>
      </c>
      <c r="D928" s="106" t="s">
        <v>1319</v>
      </c>
      <c r="E928" s="106" t="s">
        <v>2242</v>
      </c>
      <c r="F928" s="106" t="s">
        <v>5356</v>
      </c>
      <c r="G928" s="106" t="s">
        <v>1074</v>
      </c>
      <c r="H928" s="106" t="s">
        <v>5357</v>
      </c>
      <c r="I928" s="106" t="s">
        <v>5358</v>
      </c>
      <c r="K928" s="106" t="s">
        <v>5359</v>
      </c>
      <c r="L928" s="106" t="s">
        <v>5360</v>
      </c>
      <c r="O928" s="106" t="s">
        <v>274</v>
      </c>
      <c r="P928" s="106" t="s">
        <v>2248</v>
      </c>
      <c r="Q928" s="106" t="s">
        <v>428</v>
      </c>
      <c r="S928" s="106" t="str" cm="1">
        <f t="array" ref="S928">IF(TRIM($D928)="","(tidak diisi)",IFERROR(INDEX(Kamus!$B$3:$B$28,MATCH(TRUE,ISNUMBER(SEARCH(Kamus!$A$3:$A$28,$D928)),0)),"Jabatan Lainnya"))</f>
        <v>Wakil Ketua Pengadilan</v>
      </c>
      <c r="T928" s="106" t="str" cm="1">
        <f t="array" ref="T928">IF(TRIM($I928)="","(tidak diisi)",IFERROR(INDEX(Kamus!$E$3:$E$162,MATCH(TRUE,ISNUMBER(SEARCH(Kamus!$D$3:$D$162,$I928)),0)),"Barang Lain / Tidak Terinci"))</f>
        <v>Peralatan Rumah Tangga / Pecah Belah</v>
      </c>
      <c r="U928" s="106" t="str" cm="1">
        <f t="array" ref="U928">IF(TRIM($I928)="","(tidak diisi)",IFERROR(INDEX(Kamus!$H$3:$H$75,MATCH(TRUE,ISNUMBER(SEARCH(Kamus!$G$3:$G$75,$I928)),0)),"Pemberian Umum / Tanpa Konteks"))</f>
        <v>Pemberian Umum / Tanpa Konteks</v>
      </c>
      <c r="V928" s="106" t="str">
        <f t="shared" si="42"/>
        <v>2026</v>
      </c>
      <c r="W928" s="106" t="str" cm="1">
        <f t="array" ref="W928">IF(TRIM($K928)="","(tidak diisi)",IFERROR(INDEX(Kamus!$K$3:$K$118,MATCH(TRUE,ISNUMBER(SEARCH(Kamus!$J$3:$J$118,$K928)),0)),"Individu / Perorangan"))</f>
        <v>Bank &amp; Lembaga Keuangan</v>
      </c>
      <c r="X928" s="106" t="str">
        <f t="shared" si="43"/>
        <v>04</v>
      </c>
      <c r="Y928" s="106" t="str" cm="1">
        <f t="array" ref="Y928">IFERROR(INDEX(Kamus!$N$3:$N$111,MATCH(TRUE,ISNUMBER(SEARCH(Kamus!$M$3:$M$111,$I928)),0)),"")</f>
        <v/>
      </c>
      <c r="Z928" s="106" t="str">
        <f>IF(AND(OR($X928="02",$X928="03",$X928="04"),OR($T928="Parsel/Bingkisan (tidak dirinci)",$T928="Makanan &amp; Minuman",$T928="Peralatan Rumah Tangga / Pecah Belah",$T928="Pakaian &amp; Kain")),"Momen Hari Raya (dugaan musiman)",IFERROR(VLOOKUP($W928,Kamus!$P$3:$Q$14,2,FALSE),"Tidak Teridentifikasi"))</f>
        <v>Momen Hari Raya (dugaan musiman)</v>
      </c>
      <c r="AA928" s="106" t="str">
        <f t="shared" si="44"/>
        <v>Momen Hari Raya (dugaan musiman)</v>
      </c>
    </row>
    <row r="929" spans="1:27">
      <c r="A929" s="106">
        <v>928</v>
      </c>
      <c r="B929" s="106" t="s">
        <v>5361</v>
      </c>
      <c r="C929" s="107" t="s">
        <v>5362</v>
      </c>
      <c r="D929" s="106" t="s">
        <v>1336</v>
      </c>
      <c r="E929" s="106" t="s">
        <v>2242</v>
      </c>
      <c r="F929" s="106" t="s">
        <v>5363</v>
      </c>
      <c r="G929" s="106" t="s">
        <v>1074</v>
      </c>
      <c r="H929" s="106" t="s">
        <v>5357</v>
      </c>
      <c r="I929" s="106" t="s">
        <v>5358</v>
      </c>
      <c r="K929" s="106" t="s">
        <v>5359</v>
      </c>
      <c r="L929" s="106" t="s">
        <v>5364</v>
      </c>
      <c r="O929" s="106" t="s">
        <v>274</v>
      </c>
      <c r="P929" s="106" t="s">
        <v>2248</v>
      </c>
      <c r="Q929" s="106" t="s">
        <v>428</v>
      </c>
      <c r="S929" s="106" t="str" cm="1">
        <f t="array" ref="S929">IF(TRIM($D929)="","(tidak diisi)",IFERROR(INDEX(Kamus!$B$3:$B$28,MATCH(TRUE,ISNUMBER(SEARCH(Kamus!$A$3:$A$28,$D929)),0)),"Jabatan Lainnya"))</f>
        <v>Panitera</v>
      </c>
      <c r="T929" s="106" t="str" cm="1">
        <f t="array" ref="T929">IF(TRIM($I929)="","(tidak diisi)",IFERROR(INDEX(Kamus!$E$3:$E$162,MATCH(TRUE,ISNUMBER(SEARCH(Kamus!$D$3:$D$162,$I929)),0)),"Barang Lain / Tidak Terinci"))</f>
        <v>Peralatan Rumah Tangga / Pecah Belah</v>
      </c>
      <c r="U929" s="106" t="str" cm="1">
        <f t="array" ref="U929">IF(TRIM($I929)="","(tidak diisi)",IFERROR(INDEX(Kamus!$H$3:$H$75,MATCH(TRUE,ISNUMBER(SEARCH(Kamus!$G$3:$G$75,$I929)),0)),"Pemberian Umum / Tanpa Konteks"))</f>
        <v>Pemberian Umum / Tanpa Konteks</v>
      </c>
      <c r="V929" s="106" t="str">
        <f t="shared" si="42"/>
        <v>2026</v>
      </c>
      <c r="W929" s="106" t="str" cm="1">
        <f t="array" ref="W929">IF(TRIM($K929)="","(tidak diisi)",IFERROR(INDEX(Kamus!$K$3:$K$118,MATCH(TRUE,ISNUMBER(SEARCH(Kamus!$J$3:$J$118,$K929)),0)),"Individu / Perorangan"))</f>
        <v>Bank &amp; Lembaga Keuangan</v>
      </c>
      <c r="X929" s="106" t="str">
        <f t="shared" si="43"/>
        <v>04</v>
      </c>
      <c r="Y929" s="106" t="str" cm="1">
        <f t="array" ref="Y929">IFERROR(INDEX(Kamus!$N$3:$N$111,MATCH(TRUE,ISNUMBER(SEARCH(Kamus!$M$3:$M$111,$I929)),0)),"")</f>
        <v/>
      </c>
      <c r="Z929" s="106" t="str">
        <f>IF(AND(OR($X929="02",$X929="03",$X929="04"),OR($T929="Parsel/Bingkisan (tidak dirinci)",$T929="Makanan &amp; Minuman",$T929="Peralatan Rumah Tangga / Pecah Belah",$T929="Pakaian &amp; Kain")),"Momen Hari Raya (dugaan musiman)",IFERROR(VLOOKUP($W929,Kamus!$P$3:$Q$14,2,FALSE),"Tidak Teridentifikasi"))</f>
        <v>Momen Hari Raya (dugaan musiman)</v>
      </c>
      <c r="AA929" s="106" t="str">
        <f t="shared" si="44"/>
        <v>Momen Hari Raya (dugaan musiman)</v>
      </c>
    </row>
    <row r="930" spans="1:27">
      <c r="A930" s="106">
        <v>929</v>
      </c>
      <c r="B930" s="106" t="s">
        <v>5365</v>
      </c>
      <c r="C930" s="107" t="s">
        <v>5366</v>
      </c>
      <c r="D930" s="106" t="s">
        <v>1024</v>
      </c>
      <c r="E930" s="106" t="s">
        <v>2242</v>
      </c>
      <c r="F930" s="106" t="s">
        <v>5367</v>
      </c>
      <c r="G930" s="106" t="s">
        <v>1074</v>
      </c>
      <c r="H930" s="106" t="s">
        <v>5357</v>
      </c>
      <c r="I930" s="106" t="s">
        <v>5358</v>
      </c>
      <c r="K930" s="106" t="s">
        <v>5359</v>
      </c>
      <c r="L930" s="106" t="s">
        <v>5368</v>
      </c>
      <c r="O930" s="106" t="s">
        <v>274</v>
      </c>
      <c r="P930" s="106" t="s">
        <v>2248</v>
      </c>
      <c r="Q930" s="106" t="s">
        <v>428</v>
      </c>
      <c r="S930" s="106" t="str" cm="1">
        <f t="array" ref="S930">IF(TRIM($D930)="","(tidak diisi)",IFERROR(INDEX(Kamus!$B$3:$B$28,MATCH(TRUE,ISNUMBER(SEARCH(Kamus!$A$3:$A$28,$D930)),0)),"Jabatan Lainnya"))</f>
        <v>Sekretaris</v>
      </c>
      <c r="T930" s="106" t="str" cm="1">
        <f t="array" ref="T930">IF(TRIM($I930)="","(tidak diisi)",IFERROR(INDEX(Kamus!$E$3:$E$162,MATCH(TRUE,ISNUMBER(SEARCH(Kamus!$D$3:$D$162,$I930)),0)),"Barang Lain / Tidak Terinci"))</f>
        <v>Peralatan Rumah Tangga / Pecah Belah</v>
      </c>
      <c r="U930" s="106" t="str" cm="1">
        <f t="array" ref="U930">IF(TRIM($I930)="","(tidak diisi)",IFERROR(INDEX(Kamus!$H$3:$H$75,MATCH(TRUE,ISNUMBER(SEARCH(Kamus!$G$3:$G$75,$I930)),0)),"Pemberian Umum / Tanpa Konteks"))</f>
        <v>Pemberian Umum / Tanpa Konteks</v>
      </c>
      <c r="V930" s="106" t="str">
        <f t="shared" si="42"/>
        <v>2026</v>
      </c>
      <c r="W930" s="106" t="str" cm="1">
        <f t="array" ref="W930">IF(TRIM($K930)="","(tidak diisi)",IFERROR(INDEX(Kamus!$K$3:$K$118,MATCH(TRUE,ISNUMBER(SEARCH(Kamus!$J$3:$J$118,$K930)),0)),"Individu / Perorangan"))</f>
        <v>Bank &amp; Lembaga Keuangan</v>
      </c>
      <c r="X930" s="106" t="str">
        <f t="shared" si="43"/>
        <v>04</v>
      </c>
      <c r="Y930" s="106" t="str" cm="1">
        <f t="array" ref="Y930">IFERROR(INDEX(Kamus!$N$3:$N$111,MATCH(TRUE,ISNUMBER(SEARCH(Kamus!$M$3:$M$111,$I930)),0)),"")</f>
        <v/>
      </c>
      <c r="Z930" s="106" t="str">
        <f>IF(AND(OR($X930="02",$X930="03",$X930="04"),OR($T930="Parsel/Bingkisan (tidak dirinci)",$T930="Makanan &amp; Minuman",$T930="Peralatan Rumah Tangga / Pecah Belah",$T930="Pakaian &amp; Kain")),"Momen Hari Raya (dugaan musiman)",IFERROR(VLOOKUP($W930,Kamus!$P$3:$Q$14,2,FALSE),"Tidak Teridentifikasi"))</f>
        <v>Momen Hari Raya (dugaan musiman)</v>
      </c>
      <c r="AA930" s="106" t="str">
        <f t="shared" si="44"/>
        <v>Momen Hari Raya (dugaan musiman)</v>
      </c>
    </row>
    <row r="931" spans="1:27">
      <c r="A931" s="106">
        <v>930</v>
      </c>
      <c r="B931" s="106" t="s">
        <v>5369</v>
      </c>
      <c r="C931" s="107" t="s">
        <v>5370</v>
      </c>
      <c r="D931" s="106" t="s">
        <v>1042</v>
      </c>
      <c r="E931" s="106" t="s">
        <v>2242</v>
      </c>
      <c r="F931" s="106" t="s">
        <v>5371</v>
      </c>
      <c r="G931" s="106" t="s">
        <v>1074</v>
      </c>
      <c r="H931" s="106" t="s">
        <v>5357</v>
      </c>
      <c r="I931" s="106" t="s">
        <v>5372</v>
      </c>
      <c r="K931" s="106" t="s">
        <v>5359</v>
      </c>
      <c r="L931" s="106" t="s">
        <v>5373</v>
      </c>
      <c r="O931" s="106" t="s">
        <v>274</v>
      </c>
      <c r="P931" s="106" t="s">
        <v>2248</v>
      </c>
      <c r="Q931" s="106" t="s">
        <v>428</v>
      </c>
      <c r="S931" s="106" t="str" cm="1">
        <f t="array" ref="S931">IF(TRIM($D931)="","(tidak diisi)",IFERROR(INDEX(Kamus!$B$3:$B$28,MATCH(TRUE,ISNUMBER(SEARCH(Kamus!$A$3:$A$28,$D931)),0)),"Jabatan Lainnya"))</f>
        <v>Ketua Pengadilan</v>
      </c>
      <c r="T931" s="106" t="str" cm="1">
        <f t="array" ref="T931">IF(TRIM($I931)="","(tidak diisi)",IFERROR(INDEX(Kamus!$E$3:$E$162,MATCH(TRUE,ISNUMBER(SEARCH(Kamus!$D$3:$D$162,$I931)),0)),"Barang Lain / Tidak Terinci"))</f>
        <v>Peralatan Rumah Tangga / Pecah Belah</v>
      </c>
      <c r="U931" s="106" t="str" cm="1">
        <f t="array" ref="U931">IF(TRIM($I931)="","(tidak diisi)",IFERROR(INDEX(Kamus!$H$3:$H$75,MATCH(TRUE,ISNUMBER(SEARCH(Kamus!$G$3:$G$75,$I931)),0)),"Pemberian Umum / Tanpa Konteks"))</f>
        <v>Pemberian Umum / Tanpa Konteks</v>
      </c>
      <c r="V931" s="106" t="str">
        <f t="shared" si="42"/>
        <v>2026</v>
      </c>
      <c r="W931" s="106" t="str" cm="1">
        <f t="array" ref="W931">IF(TRIM($K931)="","(tidak diisi)",IFERROR(INDEX(Kamus!$K$3:$K$118,MATCH(TRUE,ISNUMBER(SEARCH(Kamus!$J$3:$J$118,$K931)),0)),"Individu / Perorangan"))</f>
        <v>Bank &amp; Lembaga Keuangan</v>
      </c>
      <c r="X931" s="106" t="str">
        <f t="shared" si="43"/>
        <v>04</v>
      </c>
      <c r="Y931" s="106" t="str" cm="1">
        <f t="array" ref="Y931">IFERROR(INDEX(Kamus!$N$3:$N$111,MATCH(TRUE,ISNUMBER(SEARCH(Kamus!$M$3:$M$111,$I931)),0)),"")</f>
        <v/>
      </c>
      <c r="Z931" s="106" t="str">
        <f>IF(AND(OR($X931="02",$X931="03",$X931="04"),OR($T931="Parsel/Bingkisan (tidak dirinci)",$T931="Makanan &amp; Minuman",$T931="Peralatan Rumah Tangga / Pecah Belah",$T931="Pakaian &amp; Kain")),"Momen Hari Raya (dugaan musiman)",IFERROR(VLOOKUP($W931,Kamus!$P$3:$Q$14,2,FALSE),"Tidak Teridentifikasi"))</f>
        <v>Momen Hari Raya (dugaan musiman)</v>
      </c>
      <c r="AA931" s="106" t="str">
        <f t="shared" si="44"/>
        <v>Momen Hari Raya (dugaan musiman)</v>
      </c>
    </row>
    <row r="932" spans="1:27">
      <c r="A932" s="106">
        <v>931</v>
      </c>
      <c r="B932" s="106" t="s">
        <v>5374</v>
      </c>
      <c r="C932" s="107" t="s">
        <v>5375</v>
      </c>
      <c r="D932" s="106" t="s">
        <v>5376</v>
      </c>
      <c r="E932" s="106" t="s">
        <v>5377</v>
      </c>
      <c r="F932" s="106" t="s">
        <v>5378</v>
      </c>
      <c r="G932" s="106" t="s">
        <v>1006</v>
      </c>
      <c r="H932" s="106" t="s">
        <v>5023</v>
      </c>
      <c r="I932" s="106" t="s">
        <v>5379</v>
      </c>
      <c r="K932" s="106" t="s">
        <v>5380</v>
      </c>
      <c r="L932" s="106" t="s">
        <v>5381</v>
      </c>
      <c r="O932" s="106" t="s">
        <v>274</v>
      </c>
      <c r="P932" s="106" t="s">
        <v>432</v>
      </c>
      <c r="Q932" s="106" t="s">
        <v>432</v>
      </c>
      <c r="S932" s="106" t="str" cm="1">
        <f t="array" ref="S932">IF(TRIM($D932)="","(tidak diisi)",IFERROR(INDEX(Kamus!$B$3:$B$28,MATCH(TRUE,ISNUMBER(SEARCH(Kamus!$A$3:$A$28,$D932)),0)),"Jabatan Lainnya"))</f>
        <v>Jabatan Lainnya</v>
      </c>
      <c r="T932" s="106" t="str" cm="1">
        <f t="array" ref="T932">IF(TRIM($I932)="","(tidak diisi)",IFERROR(INDEX(Kamus!$E$3:$E$162,MATCH(TRUE,ISNUMBER(SEARCH(Kamus!$D$3:$D$162,$I932)),0)),"Barang Lain / Tidak Terinci"))</f>
        <v>Parsel/Bingkisan (tidak dirinci)</v>
      </c>
      <c r="U932" s="106" t="str" cm="1">
        <f t="array" ref="U932">IF(TRIM($I932)="","(tidak diisi)",IFERROR(INDEX(Kamus!$H$3:$H$75,MATCH(TRUE,ISNUMBER(SEARCH(Kamus!$G$3:$G$75,$I932)),0)),"Pemberian Umum / Tanpa Konteks"))</f>
        <v>Bingkisan Hari Raya / Keagamaan</v>
      </c>
      <c r="V932" s="106" t="str">
        <f t="shared" si="42"/>
        <v>2026</v>
      </c>
      <c r="W932" s="106" t="str" cm="1">
        <f t="array" ref="W932">IF(TRIM($K932)="","(tidak diisi)",IFERROR(INDEX(Kamus!$K$3:$K$118,MATCH(TRUE,ISNUMBER(SEARCH(Kamus!$J$3:$J$118,$K932)),0)),"Individu / Perorangan"))</f>
        <v>Tidak Diketahui</v>
      </c>
      <c r="X932" s="106" t="str">
        <f t="shared" si="43"/>
        <v>03</v>
      </c>
      <c r="Y932" s="106" t="str" cm="1">
        <f t="array" ref="Y932">IFERROR(INDEX(Kamus!$N$3:$N$111,MATCH(TRUE,ISNUMBER(SEARCH(Kamus!$M$3:$M$111,$I932)),0)),"")</f>
        <v>Momen Hari Raya (Ramadan/Idulfitri)</v>
      </c>
      <c r="Z932" s="106" t="str">
        <f>IF(AND(OR($X932="02",$X932="03",$X932="04"),OR($T932="Parsel/Bingkisan (tidak dirinci)",$T932="Makanan &amp; Minuman",$T932="Peralatan Rumah Tangga / Pecah Belah",$T932="Pakaian &amp; Kain")),"Momen Hari Raya (dugaan musiman)",IFERROR(VLOOKUP($W932,Kamus!$P$3:$Q$14,2,FALSE),"Tidak Teridentifikasi"))</f>
        <v>Momen Hari Raya (dugaan musiman)</v>
      </c>
      <c r="AA932" s="106" t="str">
        <f t="shared" si="44"/>
        <v>Momen Hari Raya (Ramadan/Idulfitri)</v>
      </c>
    </row>
    <row r="933" spans="1:27">
      <c r="A933" s="106">
        <v>932</v>
      </c>
      <c r="B933" s="106" t="s">
        <v>4682</v>
      </c>
      <c r="C933" s="107" t="s">
        <v>4683</v>
      </c>
      <c r="D933" s="106" t="s">
        <v>1042</v>
      </c>
      <c r="E933" s="106" t="s">
        <v>4684</v>
      </c>
      <c r="F933" s="106" t="s">
        <v>5382</v>
      </c>
      <c r="G933" s="106" t="s">
        <v>1006</v>
      </c>
      <c r="H933" s="106" t="s">
        <v>5023</v>
      </c>
      <c r="I933" s="106" t="s">
        <v>5383</v>
      </c>
      <c r="J933" s="106">
        <v>100000</v>
      </c>
      <c r="K933" s="106" t="s">
        <v>5384</v>
      </c>
      <c r="L933" s="106" t="s">
        <v>5385</v>
      </c>
      <c r="M933" s="106" t="s">
        <v>2529</v>
      </c>
      <c r="O933" s="106" t="s">
        <v>274</v>
      </c>
      <c r="Q933" s="106" t="s">
        <v>410</v>
      </c>
      <c r="S933" s="106" t="str" cm="1">
        <f t="array" ref="S933">IF(TRIM($D933)="","(tidak diisi)",IFERROR(INDEX(Kamus!$B$3:$B$28,MATCH(TRUE,ISNUMBER(SEARCH(Kamus!$A$3:$A$28,$D933)),0)),"Jabatan Lainnya"))</f>
        <v>Ketua Pengadilan</v>
      </c>
      <c r="T933" s="106" t="str" cm="1">
        <f t="array" ref="T933">IF(TRIM($I933)="","(tidak diisi)",IFERROR(INDEX(Kamus!$E$3:$E$162,MATCH(TRUE,ISNUMBER(SEARCH(Kamus!$D$3:$D$162,$I933)),0)),"Barang Lain / Tidak Terinci"))</f>
        <v>Makanan &amp; Minuman</v>
      </c>
      <c r="U933" s="106" t="str" cm="1">
        <f t="array" ref="U933">IF(TRIM($I933)="","(tidak diisi)",IFERROR(INDEX(Kamus!$H$3:$H$75,MATCH(TRUE,ISNUMBER(SEARCH(Kamus!$G$3:$G$75,$I933)),0)),"Pemberian Umum / Tanpa Konteks"))</f>
        <v>Parsel/Bingkisan Umum (non-hari raya)</v>
      </c>
      <c r="V933" s="106" t="str">
        <f t="shared" si="42"/>
        <v>2026</v>
      </c>
      <c r="W933" s="106" t="str" cm="1">
        <f t="array" ref="W933">IF(TRIM($K933)="","(tidak diisi)",IFERROR(INDEX(Kamus!$K$3:$K$118,MATCH(TRUE,ISNUMBER(SEARCH(Kamus!$J$3:$J$118,$K933)),0)),"Individu / Perorangan"))</f>
        <v>Individu / Perorangan</v>
      </c>
      <c r="X933" s="106" t="str">
        <f t="shared" si="43"/>
        <v>03</v>
      </c>
      <c r="Y933" s="106" t="str" cm="1">
        <f t="array" ref="Y933">IFERROR(INDEX(Kamus!$N$3:$N$111,MATCH(TRUE,ISNUMBER(SEARCH(Kamus!$M$3:$M$111,$I933)),0)),"")</f>
        <v/>
      </c>
      <c r="Z933" s="106" t="str">
        <f>IF(AND(OR($X933="02",$X933="03",$X933="04"),OR($T933="Parsel/Bingkisan (tidak dirinci)",$T933="Makanan &amp; Minuman",$T933="Peralatan Rumah Tangga / Pecah Belah",$T933="Pakaian &amp; Kain")),"Momen Hari Raya (dugaan musiman)",IFERROR(VLOOKUP($W933,Kamus!$P$3:$Q$14,2,FALSE),"Tidak Teridentifikasi"))</f>
        <v>Momen Hari Raya (dugaan musiman)</v>
      </c>
      <c r="AA933" s="106" t="str">
        <f t="shared" si="44"/>
        <v>Momen Hari Raya (dugaan musiman)</v>
      </c>
    </row>
    <row r="934" spans="1:27">
      <c r="A934" s="106">
        <v>933</v>
      </c>
      <c r="B934" s="106" t="s">
        <v>4682</v>
      </c>
      <c r="C934" s="107" t="s">
        <v>4683</v>
      </c>
      <c r="D934" s="106" t="s">
        <v>1042</v>
      </c>
      <c r="E934" s="106" t="s">
        <v>4684</v>
      </c>
      <c r="F934" s="106" t="s">
        <v>5382</v>
      </c>
      <c r="G934" s="106" t="s">
        <v>1006</v>
      </c>
      <c r="H934" s="106" t="s">
        <v>5023</v>
      </c>
      <c r="I934" s="106" t="s">
        <v>5386</v>
      </c>
      <c r="J934" s="106">
        <v>700000</v>
      </c>
      <c r="K934" s="106" t="s">
        <v>5384</v>
      </c>
      <c r="L934" s="106" t="s">
        <v>5385</v>
      </c>
      <c r="M934" s="106" t="s">
        <v>1039</v>
      </c>
      <c r="O934" s="106" t="s">
        <v>274</v>
      </c>
      <c r="Q934" s="106" t="s">
        <v>410</v>
      </c>
      <c r="S934" s="106" t="str" cm="1">
        <f t="array" ref="S934">IF(TRIM($D934)="","(tidak diisi)",IFERROR(INDEX(Kamus!$B$3:$B$28,MATCH(TRUE,ISNUMBER(SEARCH(Kamus!$A$3:$A$28,$D934)),0)),"Jabatan Lainnya"))</f>
        <v>Ketua Pengadilan</v>
      </c>
      <c r="T934" s="106" t="str" cm="1">
        <f t="array" ref="T934">IF(TRIM($I934)="","(tidak diisi)",IFERROR(INDEX(Kamus!$E$3:$E$162,MATCH(TRUE,ISNUMBER(SEARCH(Kamus!$D$3:$D$162,$I934)),0)),"Barang Lain / Tidak Terinci"))</f>
        <v>Peralatan Rumah Tangga / Pecah Belah</v>
      </c>
      <c r="U934" s="106" t="str" cm="1">
        <f t="array" ref="U934">IF(TRIM($I934)="","(tidak diisi)",IFERROR(INDEX(Kamus!$H$3:$H$75,MATCH(TRUE,ISNUMBER(SEARCH(Kamus!$G$3:$G$75,$I934)),0)),"Pemberian Umum / Tanpa Konteks"))</f>
        <v>Parsel/Bingkisan Umum (non-hari raya)</v>
      </c>
      <c r="V934" s="106" t="str">
        <f t="shared" si="42"/>
        <v>2026</v>
      </c>
      <c r="W934" s="106" t="str" cm="1">
        <f t="array" ref="W934">IF(TRIM($K934)="","(tidak diisi)",IFERROR(INDEX(Kamus!$K$3:$K$118,MATCH(TRUE,ISNUMBER(SEARCH(Kamus!$J$3:$J$118,$K934)),0)),"Individu / Perorangan"))</f>
        <v>Individu / Perorangan</v>
      </c>
      <c r="X934" s="106" t="str">
        <f t="shared" si="43"/>
        <v>03</v>
      </c>
      <c r="Y934" s="106" t="str" cm="1">
        <f t="array" ref="Y934">IFERROR(INDEX(Kamus!$N$3:$N$111,MATCH(TRUE,ISNUMBER(SEARCH(Kamus!$M$3:$M$111,$I934)),0)),"")</f>
        <v/>
      </c>
      <c r="Z934" s="106" t="str">
        <f>IF(AND(OR($X934="02",$X934="03",$X934="04"),OR($T934="Parsel/Bingkisan (tidak dirinci)",$T934="Makanan &amp; Minuman",$T934="Peralatan Rumah Tangga / Pecah Belah",$T934="Pakaian &amp; Kain")),"Momen Hari Raya (dugaan musiman)",IFERROR(VLOOKUP($W934,Kamus!$P$3:$Q$14,2,FALSE),"Tidak Teridentifikasi"))</f>
        <v>Momen Hari Raya (dugaan musiman)</v>
      </c>
      <c r="AA934" s="106" t="str">
        <f t="shared" si="44"/>
        <v>Momen Hari Raya (dugaan musiman)</v>
      </c>
    </row>
    <row r="935" spans="1:27">
      <c r="A935" s="106">
        <v>934</v>
      </c>
      <c r="B935" s="106" t="s">
        <v>3717</v>
      </c>
      <c r="C935" s="107" t="s">
        <v>3718</v>
      </c>
      <c r="D935" s="106" t="s">
        <v>3719</v>
      </c>
      <c r="E935" s="106" t="s">
        <v>3720</v>
      </c>
      <c r="F935" s="106" t="s">
        <v>5387</v>
      </c>
      <c r="G935" s="106" t="s">
        <v>1006</v>
      </c>
      <c r="H935" s="106" t="s">
        <v>5023</v>
      </c>
      <c r="I935" s="106" t="s">
        <v>1756</v>
      </c>
      <c r="K935" s="106" t="s">
        <v>5388</v>
      </c>
      <c r="L935" s="106" t="s">
        <v>5389</v>
      </c>
      <c r="O935" s="106" t="s">
        <v>274</v>
      </c>
      <c r="P935" s="106" t="s">
        <v>3726</v>
      </c>
      <c r="Q935" s="106" t="s">
        <v>427</v>
      </c>
      <c r="S935" s="106" t="str" cm="1">
        <f t="array" ref="S935">IF(TRIM($D935)="","(tidak diisi)",IFERROR(INDEX(Kamus!$B$3:$B$28,MATCH(TRUE,ISNUMBER(SEARCH(Kamus!$A$3:$A$28,$D935)),0)),"Jabatan Lainnya"))</f>
        <v>Ketua Pengadilan</v>
      </c>
      <c r="T935" s="106" t="str" cm="1">
        <f t="array" ref="T935">IF(TRIM($I935)="","(tidak diisi)",IFERROR(INDEX(Kamus!$E$3:$E$162,MATCH(TRUE,ISNUMBER(SEARCH(Kamus!$D$3:$D$162,$I935)),0)),"Barang Lain / Tidak Terinci"))</f>
        <v>Makanan &amp; Minuman</v>
      </c>
      <c r="U935" s="106" t="str" cm="1">
        <f t="array" ref="U935">IF(TRIM($I935)="","(tidak diisi)",IFERROR(INDEX(Kamus!$H$3:$H$75,MATCH(TRUE,ISNUMBER(SEARCH(Kamus!$G$3:$G$75,$I935)),0)),"Pemberian Umum / Tanpa Konteks"))</f>
        <v>Parsel/Bingkisan Umum (non-hari raya)</v>
      </c>
      <c r="V935" s="106" t="str">
        <f t="shared" si="42"/>
        <v>2026</v>
      </c>
      <c r="W935" s="106" t="str" cm="1">
        <f t="array" ref="W935">IF(TRIM($K935)="","(tidak diisi)",IFERROR(INDEX(Kamus!$K$3:$K$118,MATCH(TRUE,ISNUMBER(SEARCH(Kamus!$J$3:$J$118,$K935)),0)),"Individu / Perorangan"))</f>
        <v>Individu / Perorangan</v>
      </c>
      <c r="X935" s="106" t="str">
        <f t="shared" si="43"/>
        <v>03</v>
      </c>
      <c r="Y935" s="106" t="str" cm="1">
        <f t="array" ref="Y935">IFERROR(INDEX(Kamus!$N$3:$N$111,MATCH(TRUE,ISNUMBER(SEARCH(Kamus!$M$3:$M$111,$I935)),0)),"")</f>
        <v/>
      </c>
      <c r="Z935" s="106" t="str">
        <f>IF(AND(OR($X935="02",$X935="03",$X935="04"),OR($T935="Parsel/Bingkisan (tidak dirinci)",$T935="Makanan &amp; Minuman",$T935="Peralatan Rumah Tangga / Pecah Belah",$T935="Pakaian &amp; Kain")),"Momen Hari Raya (dugaan musiman)",IFERROR(VLOOKUP($W935,Kamus!$P$3:$Q$14,2,FALSE),"Tidak Teridentifikasi"))</f>
        <v>Momen Hari Raya (dugaan musiman)</v>
      </c>
      <c r="AA935" s="106" t="str">
        <f t="shared" si="44"/>
        <v>Momen Hari Raya (dugaan musiman)</v>
      </c>
    </row>
    <row r="936" spans="1:27">
      <c r="A936" s="106">
        <v>935</v>
      </c>
      <c r="B936" s="106" t="s">
        <v>5390</v>
      </c>
      <c r="C936" s="107" t="s">
        <v>5391</v>
      </c>
      <c r="D936" s="106" t="s">
        <v>1042</v>
      </c>
      <c r="E936" s="106" t="s">
        <v>5392</v>
      </c>
      <c r="F936" s="106" t="s">
        <v>5393</v>
      </c>
      <c r="G936" s="106" t="s">
        <v>1006</v>
      </c>
      <c r="H936" s="106" t="s">
        <v>5023</v>
      </c>
      <c r="I936" s="106" t="s">
        <v>1036</v>
      </c>
      <c r="J936" s="106">
        <v>275000</v>
      </c>
      <c r="K936" s="106" t="s">
        <v>5394</v>
      </c>
      <c r="L936" s="106" t="s">
        <v>5395</v>
      </c>
      <c r="M936" s="106" t="s">
        <v>1171</v>
      </c>
      <c r="O936" s="106" t="s">
        <v>274</v>
      </c>
      <c r="P936" s="106" t="s">
        <v>5396</v>
      </c>
      <c r="Q936" s="106" t="s">
        <v>431</v>
      </c>
      <c r="S936" s="106" t="str" cm="1">
        <f t="array" ref="S936">IF(TRIM($D936)="","(tidak diisi)",IFERROR(INDEX(Kamus!$B$3:$B$28,MATCH(TRUE,ISNUMBER(SEARCH(Kamus!$A$3:$A$28,$D936)),0)),"Jabatan Lainnya"))</f>
        <v>Ketua Pengadilan</v>
      </c>
      <c r="T936" s="106" t="str" cm="1">
        <f t="array" ref="T936">IF(TRIM($I936)="","(tidak diisi)",IFERROR(INDEX(Kamus!$E$3:$E$162,MATCH(TRUE,ISNUMBER(SEARCH(Kamus!$D$3:$D$162,$I936)),0)),"Barang Lain / Tidak Terinci"))</f>
        <v>Peralatan Rumah Tangga / Pecah Belah</v>
      </c>
      <c r="U936" s="106" t="str" cm="1">
        <f t="array" ref="U936">IF(TRIM($I936)="","(tidak diisi)",IFERROR(INDEX(Kamus!$H$3:$H$75,MATCH(TRUE,ISNUMBER(SEARCH(Kamus!$G$3:$G$75,$I936)),0)),"Pemberian Umum / Tanpa Konteks"))</f>
        <v>Parsel/Bingkisan Umum (non-hari raya)</v>
      </c>
      <c r="V936" s="106" t="str">
        <f t="shared" si="42"/>
        <v>2026</v>
      </c>
      <c r="W936" s="106" t="str" cm="1">
        <f t="array" ref="W936">IF(TRIM($K936)="","(tidak diisi)",IFERROR(INDEX(Kamus!$K$3:$K$118,MATCH(TRUE,ISNUMBER(SEARCH(Kamus!$J$3:$J$118,$K936)),0)),"Individu / Perorangan"))</f>
        <v>Individu / Perorangan</v>
      </c>
      <c r="X936" s="106" t="str">
        <f t="shared" si="43"/>
        <v>03</v>
      </c>
      <c r="Y936" s="106" t="str" cm="1">
        <f t="array" ref="Y936">IFERROR(INDEX(Kamus!$N$3:$N$111,MATCH(TRUE,ISNUMBER(SEARCH(Kamus!$M$3:$M$111,$I936)),0)),"")</f>
        <v/>
      </c>
      <c r="Z936" s="106" t="str">
        <f>IF(AND(OR($X936="02",$X936="03",$X936="04"),OR($T936="Parsel/Bingkisan (tidak dirinci)",$T936="Makanan &amp; Minuman",$T936="Peralatan Rumah Tangga / Pecah Belah",$T936="Pakaian &amp; Kain")),"Momen Hari Raya (dugaan musiman)",IFERROR(VLOOKUP($W936,Kamus!$P$3:$Q$14,2,FALSE),"Tidak Teridentifikasi"))</f>
        <v>Momen Hari Raya (dugaan musiman)</v>
      </c>
      <c r="AA936" s="106" t="str">
        <f t="shared" si="44"/>
        <v>Momen Hari Raya (dugaan musiman)</v>
      </c>
    </row>
    <row r="937" spans="1:27">
      <c r="A937" s="106">
        <v>936</v>
      </c>
      <c r="B937" s="106" t="s">
        <v>5390</v>
      </c>
      <c r="C937" s="107" t="s">
        <v>5391</v>
      </c>
      <c r="D937" s="106" t="s">
        <v>1042</v>
      </c>
      <c r="E937" s="106" t="s">
        <v>5392</v>
      </c>
      <c r="F937" s="106" t="s">
        <v>5397</v>
      </c>
      <c r="G937" s="106" t="s">
        <v>1006</v>
      </c>
      <c r="H937" s="106" t="s">
        <v>4745</v>
      </c>
      <c r="I937" s="106" t="s">
        <v>1036</v>
      </c>
      <c r="J937" s="106">
        <v>169100</v>
      </c>
      <c r="K937" s="106" t="s">
        <v>5398</v>
      </c>
      <c r="L937" s="106" t="s">
        <v>5399</v>
      </c>
      <c r="M937" s="106" t="s">
        <v>1171</v>
      </c>
      <c r="O937" s="106" t="s">
        <v>274</v>
      </c>
      <c r="P937" s="106" t="s">
        <v>5396</v>
      </c>
      <c r="Q937" s="106" t="s">
        <v>431</v>
      </c>
      <c r="S937" s="106" t="str" cm="1">
        <f t="array" ref="S937">IF(TRIM($D937)="","(tidak diisi)",IFERROR(INDEX(Kamus!$B$3:$B$28,MATCH(TRUE,ISNUMBER(SEARCH(Kamus!$A$3:$A$28,$D937)),0)),"Jabatan Lainnya"))</f>
        <v>Ketua Pengadilan</v>
      </c>
      <c r="T937" s="106" t="str" cm="1">
        <f t="array" ref="T937">IF(TRIM($I937)="","(tidak diisi)",IFERROR(INDEX(Kamus!$E$3:$E$162,MATCH(TRUE,ISNUMBER(SEARCH(Kamus!$D$3:$D$162,$I937)),0)),"Barang Lain / Tidak Terinci"))</f>
        <v>Peralatan Rumah Tangga / Pecah Belah</v>
      </c>
      <c r="U937" s="106" t="str" cm="1">
        <f t="array" ref="U937">IF(TRIM($I937)="","(tidak diisi)",IFERROR(INDEX(Kamus!$H$3:$H$75,MATCH(TRUE,ISNUMBER(SEARCH(Kamus!$G$3:$G$75,$I937)),0)),"Pemberian Umum / Tanpa Konteks"))</f>
        <v>Parsel/Bingkisan Umum (non-hari raya)</v>
      </c>
      <c r="V937" s="106" t="str">
        <f t="shared" si="42"/>
        <v>2026</v>
      </c>
      <c r="W937" s="106" t="str" cm="1">
        <f t="array" ref="W937">IF(TRIM($K937)="","(tidak diisi)",IFERROR(INDEX(Kamus!$K$3:$K$118,MATCH(TRUE,ISNUMBER(SEARCH(Kamus!$J$3:$J$118,$K937)),0)),"Individu / Perorangan"))</f>
        <v>Individu / Perorangan</v>
      </c>
      <c r="X937" s="106" t="str">
        <f t="shared" si="43"/>
        <v>03</v>
      </c>
      <c r="Y937" s="106" t="str" cm="1">
        <f t="array" ref="Y937">IFERROR(INDEX(Kamus!$N$3:$N$111,MATCH(TRUE,ISNUMBER(SEARCH(Kamus!$M$3:$M$111,$I937)),0)),"")</f>
        <v/>
      </c>
      <c r="Z937" s="106" t="str">
        <f>IF(AND(OR($X937="02",$X937="03",$X937="04"),OR($T937="Parsel/Bingkisan (tidak dirinci)",$T937="Makanan &amp; Minuman",$T937="Peralatan Rumah Tangga / Pecah Belah",$T937="Pakaian &amp; Kain")),"Momen Hari Raya (dugaan musiman)",IFERROR(VLOOKUP($W937,Kamus!$P$3:$Q$14,2,FALSE),"Tidak Teridentifikasi"))</f>
        <v>Momen Hari Raya (dugaan musiman)</v>
      </c>
      <c r="AA937" s="106" t="str">
        <f t="shared" si="44"/>
        <v>Momen Hari Raya (dugaan musiman)</v>
      </c>
    </row>
    <row r="938" spans="1:27">
      <c r="A938" s="106">
        <v>937</v>
      </c>
      <c r="B938" s="106" t="s">
        <v>5390</v>
      </c>
      <c r="C938" s="107" t="s">
        <v>5391</v>
      </c>
      <c r="D938" s="106" t="s">
        <v>1042</v>
      </c>
      <c r="E938" s="106" t="s">
        <v>5392</v>
      </c>
      <c r="F938" s="106" t="s">
        <v>5400</v>
      </c>
      <c r="G938" s="106" t="s">
        <v>1006</v>
      </c>
      <c r="H938" s="106" t="s">
        <v>5020</v>
      </c>
      <c r="I938" s="106" t="s">
        <v>1036</v>
      </c>
      <c r="J938" s="106">
        <v>200800</v>
      </c>
      <c r="K938" s="106" t="s">
        <v>5401</v>
      </c>
      <c r="L938" s="106" t="s">
        <v>5402</v>
      </c>
      <c r="M938" s="106" t="s">
        <v>1171</v>
      </c>
      <c r="N938" s="106" t="s">
        <v>5403</v>
      </c>
      <c r="O938" s="106" t="s">
        <v>274</v>
      </c>
      <c r="P938" s="106" t="s">
        <v>5396</v>
      </c>
      <c r="Q938" s="106" t="s">
        <v>431</v>
      </c>
      <c r="S938" s="106" t="str" cm="1">
        <f t="array" ref="S938">IF(TRIM($D938)="","(tidak diisi)",IFERROR(INDEX(Kamus!$B$3:$B$28,MATCH(TRUE,ISNUMBER(SEARCH(Kamus!$A$3:$A$28,$D938)),0)),"Jabatan Lainnya"))</f>
        <v>Ketua Pengadilan</v>
      </c>
      <c r="T938" s="106" t="str" cm="1">
        <f t="array" ref="T938">IF(TRIM($I938)="","(tidak diisi)",IFERROR(INDEX(Kamus!$E$3:$E$162,MATCH(TRUE,ISNUMBER(SEARCH(Kamus!$D$3:$D$162,$I938)),0)),"Barang Lain / Tidak Terinci"))</f>
        <v>Peralatan Rumah Tangga / Pecah Belah</v>
      </c>
      <c r="U938" s="106" t="str" cm="1">
        <f t="array" ref="U938">IF(TRIM($I938)="","(tidak diisi)",IFERROR(INDEX(Kamus!$H$3:$H$75,MATCH(TRUE,ISNUMBER(SEARCH(Kamus!$G$3:$G$75,$I938)),0)),"Pemberian Umum / Tanpa Konteks"))</f>
        <v>Parsel/Bingkisan Umum (non-hari raya)</v>
      </c>
      <c r="V938" s="106" t="str">
        <f t="shared" si="42"/>
        <v>2026</v>
      </c>
      <c r="W938" s="106" t="str" cm="1">
        <f t="array" ref="W938">IF(TRIM($K938)="","(tidak diisi)",IFERROR(INDEX(Kamus!$K$3:$K$118,MATCH(TRUE,ISNUMBER(SEARCH(Kamus!$J$3:$J$118,$K938)),0)),"Individu / Perorangan"))</f>
        <v>Individu / Perorangan</v>
      </c>
      <c r="X938" s="106" t="str">
        <f t="shared" si="43"/>
        <v>03</v>
      </c>
      <c r="Y938" s="106" t="str" cm="1">
        <f t="array" ref="Y938">IFERROR(INDEX(Kamus!$N$3:$N$111,MATCH(TRUE,ISNUMBER(SEARCH(Kamus!$M$3:$M$111,$I938)),0)),"")</f>
        <v/>
      </c>
      <c r="Z938" s="106" t="str">
        <f>IF(AND(OR($X938="02",$X938="03",$X938="04"),OR($T938="Parsel/Bingkisan (tidak dirinci)",$T938="Makanan &amp; Minuman",$T938="Peralatan Rumah Tangga / Pecah Belah",$T938="Pakaian &amp; Kain")),"Momen Hari Raya (dugaan musiman)",IFERROR(VLOOKUP($W938,Kamus!$P$3:$Q$14,2,FALSE),"Tidak Teridentifikasi"))</f>
        <v>Momen Hari Raya (dugaan musiman)</v>
      </c>
      <c r="AA938" s="106" t="str">
        <f t="shared" si="44"/>
        <v>Momen Hari Raya (dugaan musiman)</v>
      </c>
    </row>
    <row r="939" spans="1:27">
      <c r="A939" s="106">
        <v>938</v>
      </c>
      <c r="B939" s="106" t="s">
        <v>5390</v>
      </c>
      <c r="C939" s="107" t="s">
        <v>5391</v>
      </c>
      <c r="D939" s="106" t="s">
        <v>1042</v>
      </c>
      <c r="E939" s="106" t="s">
        <v>5392</v>
      </c>
      <c r="F939" s="106" t="s">
        <v>5400</v>
      </c>
      <c r="G939" s="106" t="s">
        <v>1006</v>
      </c>
      <c r="H939" s="106" t="s">
        <v>4745</v>
      </c>
      <c r="I939" s="106" t="s">
        <v>1036</v>
      </c>
      <c r="J939" s="106">
        <v>691433</v>
      </c>
      <c r="K939" s="106" t="s">
        <v>5404</v>
      </c>
      <c r="L939" s="106" t="s">
        <v>5402</v>
      </c>
      <c r="M939" s="106" t="s">
        <v>1171</v>
      </c>
      <c r="N939" s="106" t="s">
        <v>5403</v>
      </c>
      <c r="O939" s="106" t="s">
        <v>274</v>
      </c>
      <c r="P939" s="106" t="s">
        <v>5396</v>
      </c>
      <c r="Q939" s="106" t="s">
        <v>431</v>
      </c>
      <c r="S939" s="106" t="str" cm="1">
        <f t="array" ref="S939">IF(TRIM($D939)="","(tidak diisi)",IFERROR(INDEX(Kamus!$B$3:$B$28,MATCH(TRUE,ISNUMBER(SEARCH(Kamus!$A$3:$A$28,$D939)),0)),"Jabatan Lainnya"))</f>
        <v>Ketua Pengadilan</v>
      </c>
      <c r="T939" s="106" t="str" cm="1">
        <f t="array" ref="T939">IF(TRIM($I939)="","(tidak diisi)",IFERROR(INDEX(Kamus!$E$3:$E$162,MATCH(TRUE,ISNUMBER(SEARCH(Kamus!$D$3:$D$162,$I939)),0)),"Barang Lain / Tidak Terinci"))</f>
        <v>Peralatan Rumah Tangga / Pecah Belah</v>
      </c>
      <c r="U939" s="106" t="str" cm="1">
        <f t="array" ref="U939">IF(TRIM($I939)="","(tidak diisi)",IFERROR(INDEX(Kamus!$H$3:$H$75,MATCH(TRUE,ISNUMBER(SEARCH(Kamus!$G$3:$G$75,$I939)),0)),"Pemberian Umum / Tanpa Konteks"))</f>
        <v>Parsel/Bingkisan Umum (non-hari raya)</v>
      </c>
      <c r="V939" s="106" t="str">
        <f t="shared" si="42"/>
        <v>2026</v>
      </c>
      <c r="W939" s="106" t="str" cm="1">
        <f t="array" ref="W939">IF(TRIM($K939)="","(tidak diisi)",IFERROR(INDEX(Kamus!$K$3:$K$118,MATCH(TRUE,ISNUMBER(SEARCH(Kamus!$J$3:$J$118,$K939)),0)),"Individu / Perorangan"))</f>
        <v>Individu / Perorangan</v>
      </c>
      <c r="X939" s="106" t="str">
        <f t="shared" si="43"/>
        <v>03</v>
      </c>
      <c r="Y939" s="106" t="str" cm="1">
        <f t="array" ref="Y939">IFERROR(INDEX(Kamus!$N$3:$N$111,MATCH(TRUE,ISNUMBER(SEARCH(Kamus!$M$3:$M$111,$I939)),0)),"")</f>
        <v/>
      </c>
      <c r="Z939" s="106" t="str">
        <f>IF(AND(OR($X939="02",$X939="03",$X939="04"),OR($T939="Parsel/Bingkisan (tidak dirinci)",$T939="Makanan &amp; Minuman",$T939="Peralatan Rumah Tangga / Pecah Belah",$T939="Pakaian &amp; Kain")),"Momen Hari Raya (dugaan musiman)",IFERROR(VLOOKUP($W939,Kamus!$P$3:$Q$14,2,FALSE),"Tidak Teridentifikasi"))</f>
        <v>Momen Hari Raya (dugaan musiman)</v>
      </c>
      <c r="AA939" s="106" t="str">
        <f t="shared" si="44"/>
        <v>Momen Hari Raya (dugaan musiman)</v>
      </c>
    </row>
    <row r="940" spans="1:27">
      <c r="A940" s="106">
        <v>939</v>
      </c>
      <c r="B940" s="106" t="s">
        <v>5390</v>
      </c>
      <c r="C940" s="107" t="s">
        <v>5391</v>
      </c>
      <c r="D940" s="106" t="s">
        <v>1042</v>
      </c>
      <c r="E940" s="106" t="s">
        <v>5392</v>
      </c>
      <c r="F940" s="106" t="s">
        <v>5400</v>
      </c>
      <c r="G940" s="106" t="s">
        <v>1006</v>
      </c>
      <c r="H940" s="106" t="s">
        <v>5023</v>
      </c>
      <c r="I940" s="106" t="s">
        <v>5405</v>
      </c>
      <c r="J940" s="106">
        <v>25000</v>
      </c>
      <c r="K940" s="106" t="s">
        <v>5406</v>
      </c>
      <c r="L940" s="106" t="s">
        <v>5402</v>
      </c>
      <c r="M940" s="106" t="s">
        <v>1039</v>
      </c>
      <c r="N940" s="106" t="s">
        <v>5403</v>
      </c>
      <c r="O940" s="106" t="s">
        <v>274</v>
      </c>
      <c r="P940" s="106" t="s">
        <v>5396</v>
      </c>
      <c r="Q940" s="106" t="s">
        <v>431</v>
      </c>
      <c r="S940" s="106" t="str" cm="1">
        <f t="array" ref="S940">IF(TRIM($D940)="","(tidak diisi)",IFERROR(INDEX(Kamus!$B$3:$B$28,MATCH(TRUE,ISNUMBER(SEARCH(Kamus!$A$3:$A$28,$D940)),0)),"Jabatan Lainnya"))</f>
        <v>Ketua Pengadilan</v>
      </c>
      <c r="T940" s="106" t="str" cm="1">
        <f t="array" ref="T940">IF(TRIM($I940)="","(tidak diisi)",IFERROR(INDEX(Kamus!$E$3:$E$162,MATCH(TRUE,ISNUMBER(SEARCH(Kamus!$D$3:$D$162,$I940)),0)),"Barang Lain / Tidak Terinci"))</f>
        <v>Suvenir &amp; Merchandise</v>
      </c>
      <c r="U940" s="106" t="str" cm="1">
        <f t="array" ref="U940">IF(TRIM($I940)="","(tidak diisi)",IFERROR(INDEX(Kamus!$H$3:$H$75,MATCH(TRUE,ISNUMBER(SEARCH(Kamus!$G$3:$G$75,$I940)),0)),"Pemberian Umum / Tanpa Konteks"))</f>
        <v>Suvenir / Merchandise Kegiatan &amp; Kunjungan</v>
      </c>
      <c r="V940" s="106" t="str">
        <f t="shared" si="42"/>
        <v>2026</v>
      </c>
      <c r="W940" s="106" t="str" cm="1">
        <f t="array" ref="W940">IF(TRIM($K940)="","(tidak diisi)",IFERROR(INDEX(Kamus!$K$3:$K$118,MATCH(TRUE,ISNUMBER(SEARCH(Kamus!$J$3:$J$118,$K940)),0)),"Individu / Perorangan"))</f>
        <v>Individu / Perorangan</v>
      </c>
      <c r="X940" s="106" t="str">
        <f t="shared" si="43"/>
        <v>03</v>
      </c>
      <c r="Y940" s="106" t="str" cm="1">
        <f t="array" ref="Y940">IFERROR(INDEX(Kamus!$N$3:$N$111,MATCH(TRUE,ISNUMBER(SEARCH(Kamus!$M$3:$M$111,$I940)),0)),"")</f>
        <v/>
      </c>
      <c r="Z940" s="106" t="str">
        <f>IF(AND(OR($X940="02",$X940="03",$X940="04"),OR($T940="Parsel/Bingkisan (tidak dirinci)",$T940="Makanan &amp; Minuman",$T940="Peralatan Rumah Tangga / Pecah Belah",$T940="Pakaian &amp; Kain")),"Momen Hari Raya (dugaan musiman)",IFERROR(VLOOKUP($W940,Kamus!$P$3:$Q$14,2,FALSE),"Tidak Teridentifikasi"))</f>
        <v>Relasi Personal / Tidak Teridentifikasi</v>
      </c>
      <c r="AA940" s="106" t="str">
        <f t="shared" si="44"/>
        <v>Relasi Personal / Tidak Teridentifikasi</v>
      </c>
    </row>
    <row r="941" spans="1:27">
      <c r="A941" s="106">
        <v>940</v>
      </c>
      <c r="B941" s="106" t="s">
        <v>5390</v>
      </c>
      <c r="C941" s="107" t="s">
        <v>5391</v>
      </c>
      <c r="D941" s="106" t="s">
        <v>1042</v>
      </c>
      <c r="E941" s="106" t="s">
        <v>5392</v>
      </c>
      <c r="F941" s="106" t="s">
        <v>5400</v>
      </c>
      <c r="G941" s="106" t="s">
        <v>1006</v>
      </c>
      <c r="H941" s="106" t="s">
        <v>5023</v>
      </c>
      <c r="I941" s="106" t="s">
        <v>1036</v>
      </c>
      <c r="J941" s="106">
        <v>270350</v>
      </c>
      <c r="K941" s="106" t="s">
        <v>5407</v>
      </c>
      <c r="L941" s="106" t="s">
        <v>5402</v>
      </c>
      <c r="M941" s="106" t="s">
        <v>1171</v>
      </c>
      <c r="N941" s="106" t="s">
        <v>5403</v>
      </c>
      <c r="O941" s="106" t="s">
        <v>274</v>
      </c>
      <c r="P941" s="106" t="s">
        <v>5396</v>
      </c>
      <c r="Q941" s="106" t="s">
        <v>431</v>
      </c>
      <c r="S941" s="106" t="str" cm="1">
        <f t="array" ref="S941">IF(TRIM($D941)="","(tidak diisi)",IFERROR(INDEX(Kamus!$B$3:$B$28,MATCH(TRUE,ISNUMBER(SEARCH(Kamus!$A$3:$A$28,$D941)),0)),"Jabatan Lainnya"))</f>
        <v>Ketua Pengadilan</v>
      </c>
      <c r="T941" s="106" t="str" cm="1">
        <f t="array" ref="T941">IF(TRIM($I941)="","(tidak diisi)",IFERROR(INDEX(Kamus!$E$3:$E$162,MATCH(TRUE,ISNUMBER(SEARCH(Kamus!$D$3:$D$162,$I941)),0)),"Barang Lain / Tidak Terinci"))</f>
        <v>Peralatan Rumah Tangga / Pecah Belah</v>
      </c>
      <c r="U941" s="106" t="str" cm="1">
        <f t="array" ref="U941">IF(TRIM($I941)="","(tidak diisi)",IFERROR(INDEX(Kamus!$H$3:$H$75,MATCH(TRUE,ISNUMBER(SEARCH(Kamus!$G$3:$G$75,$I941)),0)),"Pemberian Umum / Tanpa Konteks"))</f>
        <v>Parsel/Bingkisan Umum (non-hari raya)</v>
      </c>
      <c r="V941" s="106" t="str">
        <f t="shared" si="42"/>
        <v>2026</v>
      </c>
      <c r="W941" s="106" t="str" cm="1">
        <f t="array" ref="W941">IF(TRIM($K941)="","(tidak diisi)",IFERROR(INDEX(Kamus!$K$3:$K$118,MATCH(TRUE,ISNUMBER(SEARCH(Kamus!$J$3:$J$118,$K941)),0)),"Individu / Perorangan"))</f>
        <v>Individu / Perorangan</v>
      </c>
      <c r="X941" s="106" t="str">
        <f t="shared" si="43"/>
        <v>03</v>
      </c>
      <c r="Y941" s="106" t="str" cm="1">
        <f t="array" ref="Y941">IFERROR(INDEX(Kamus!$N$3:$N$111,MATCH(TRUE,ISNUMBER(SEARCH(Kamus!$M$3:$M$111,$I941)),0)),"")</f>
        <v/>
      </c>
      <c r="Z941" s="106" t="str">
        <f>IF(AND(OR($X941="02",$X941="03",$X941="04"),OR($T941="Parsel/Bingkisan (tidak dirinci)",$T941="Makanan &amp; Minuman",$T941="Peralatan Rumah Tangga / Pecah Belah",$T941="Pakaian &amp; Kain")),"Momen Hari Raya (dugaan musiman)",IFERROR(VLOOKUP($W941,Kamus!$P$3:$Q$14,2,FALSE),"Tidak Teridentifikasi"))</f>
        <v>Momen Hari Raya (dugaan musiman)</v>
      </c>
      <c r="AA941" s="106" t="str">
        <f t="shared" si="44"/>
        <v>Momen Hari Raya (dugaan musiman)</v>
      </c>
    </row>
    <row r="942" spans="1:27">
      <c r="A942" s="106">
        <v>941</v>
      </c>
      <c r="B942" s="106" t="s">
        <v>5390</v>
      </c>
      <c r="C942" s="107" t="s">
        <v>5391</v>
      </c>
      <c r="D942" s="106" t="s">
        <v>1042</v>
      </c>
      <c r="E942" s="106" t="s">
        <v>5392</v>
      </c>
      <c r="F942" s="106" t="s">
        <v>5400</v>
      </c>
      <c r="G942" s="106" t="s">
        <v>1006</v>
      </c>
      <c r="H942" s="106" t="s">
        <v>4745</v>
      </c>
      <c r="I942" s="106" t="s">
        <v>5408</v>
      </c>
      <c r="J942" s="106">
        <v>295800</v>
      </c>
      <c r="K942" s="106" t="s">
        <v>5409</v>
      </c>
      <c r="L942" s="106" t="s">
        <v>5402</v>
      </c>
      <c r="M942" s="106" t="s">
        <v>1171</v>
      </c>
      <c r="N942" s="106" t="s">
        <v>5403</v>
      </c>
      <c r="O942" s="106" t="s">
        <v>274</v>
      </c>
      <c r="P942" s="106" t="s">
        <v>5396</v>
      </c>
      <c r="Q942" s="106" t="s">
        <v>431</v>
      </c>
      <c r="S942" s="106" t="str" cm="1">
        <f t="array" ref="S942">IF(TRIM($D942)="","(tidak diisi)",IFERROR(INDEX(Kamus!$B$3:$B$28,MATCH(TRUE,ISNUMBER(SEARCH(Kamus!$A$3:$A$28,$D942)),0)),"Jabatan Lainnya"))</f>
        <v>Ketua Pengadilan</v>
      </c>
      <c r="T942" s="106" t="str" cm="1">
        <f t="array" ref="T942">IF(TRIM($I942)="","(tidak diisi)",IFERROR(INDEX(Kamus!$E$3:$E$162,MATCH(TRUE,ISNUMBER(SEARCH(Kamus!$D$3:$D$162,$I942)),0)),"Barang Lain / Tidak Terinci"))</f>
        <v>Makanan &amp; Minuman</v>
      </c>
      <c r="U942" s="106" t="str" cm="1">
        <f t="array" ref="U942">IF(TRIM($I942)="","(tidak diisi)",IFERROR(INDEX(Kamus!$H$3:$H$75,MATCH(TRUE,ISNUMBER(SEARCH(Kamus!$G$3:$G$75,$I942)),0)),"Pemberian Umum / Tanpa Konteks"))</f>
        <v>Parsel/Bingkisan Umum (non-hari raya)</v>
      </c>
      <c r="V942" s="106" t="str">
        <f t="shared" si="42"/>
        <v>2026</v>
      </c>
      <c r="W942" s="106" t="str" cm="1">
        <f t="array" ref="W942">IF(TRIM($K942)="","(tidak diisi)",IFERROR(INDEX(Kamus!$K$3:$K$118,MATCH(TRUE,ISNUMBER(SEARCH(Kamus!$J$3:$J$118,$K942)),0)),"Individu / Perorangan"))</f>
        <v>Individu / Perorangan</v>
      </c>
      <c r="X942" s="106" t="str">
        <f t="shared" si="43"/>
        <v>03</v>
      </c>
      <c r="Y942" s="106" t="str" cm="1">
        <f t="array" ref="Y942">IFERROR(INDEX(Kamus!$N$3:$N$111,MATCH(TRUE,ISNUMBER(SEARCH(Kamus!$M$3:$M$111,$I942)),0)),"")</f>
        <v/>
      </c>
      <c r="Z942" s="106" t="str">
        <f>IF(AND(OR($X942="02",$X942="03",$X942="04"),OR($T942="Parsel/Bingkisan (tidak dirinci)",$T942="Makanan &amp; Minuman",$T942="Peralatan Rumah Tangga / Pecah Belah",$T942="Pakaian &amp; Kain")),"Momen Hari Raya (dugaan musiman)",IFERROR(VLOOKUP($W942,Kamus!$P$3:$Q$14,2,FALSE),"Tidak Teridentifikasi"))</f>
        <v>Momen Hari Raya (dugaan musiman)</v>
      </c>
      <c r="AA942" s="106" t="str">
        <f t="shared" si="44"/>
        <v>Momen Hari Raya (dugaan musiman)</v>
      </c>
    </row>
    <row r="943" spans="1:27">
      <c r="A943" s="106">
        <v>942</v>
      </c>
      <c r="B943" s="106" t="s">
        <v>5390</v>
      </c>
      <c r="C943" s="107" t="s">
        <v>5391</v>
      </c>
      <c r="D943" s="106" t="s">
        <v>1042</v>
      </c>
      <c r="E943" s="106" t="s">
        <v>5392</v>
      </c>
      <c r="F943" s="106" t="s">
        <v>5400</v>
      </c>
      <c r="G943" s="106" t="s">
        <v>1006</v>
      </c>
      <c r="H943" s="106" t="s">
        <v>5023</v>
      </c>
      <c r="I943" s="106" t="s">
        <v>5410</v>
      </c>
      <c r="J943" s="106">
        <v>197095</v>
      </c>
      <c r="K943" s="106" t="s">
        <v>5406</v>
      </c>
      <c r="L943" s="106" t="s">
        <v>5402</v>
      </c>
      <c r="M943" s="106" t="s">
        <v>1171</v>
      </c>
      <c r="N943" s="106" t="s">
        <v>5403</v>
      </c>
      <c r="O943" s="106" t="s">
        <v>274</v>
      </c>
      <c r="P943" s="106" t="s">
        <v>5396</v>
      </c>
      <c r="Q943" s="106" t="s">
        <v>431</v>
      </c>
      <c r="S943" s="106" t="str" cm="1">
        <f t="array" ref="S943">IF(TRIM($D943)="","(tidak diisi)",IFERROR(INDEX(Kamus!$B$3:$B$28,MATCH(TRUE,ISNUMBER(SEARCH(Kamus!$A$3:$A$28,$D943)),0)),"Jabatan Lainnya"))</f>
        <v>Ketua Pengadilan</v>
      </c>
      <c r="T943" s="106" t="str" cm="1">
        <f t="array" ref="T943">IF(TRIM($I943)="","(tidak diisi)",IFERROR(INDEX(Kamus!$E$3:$E$162,MATCH(TRUE,ISNUMBER(SEARCH(Kamus!$D$3:$D$162,$I943)),0)),"Barang Lain / Tidak Terinci"))</f>
        <v>Makanan &amp; Minuman</v>
      </c>
      <c r="U943" s="106" t="str" cm="1">
        <f t="array" ref="U943">IF(TRIM($I943)="","(tidak diisi)",IFERROR(INDEX(Kamus!$H$3:$H$75,MATCH(TRUE,ISNUMBER(SEARCH(Kamus!$G$3:$G$75,$I943)),0)),"Pemberian Umum / Tanpa Konteks"))</f>
        <v>Parsel/Bingkisan Umum (non-hari raya)</v>
      </c>
      <c r="V943" s="106" t="str">
        <f t="shared" si="42"/>
        <v>2026</v>
      </c>
      <c r="W943" s="106" t="str" cm="1">
        <f t="array" ref="W943">IF(TRIM($K943)="","(tidak diisi)",IFERROR(INDEX(Kamus!$K$3:$K$118,MATCH(TRUE,ISNUMBER(SEARCH(Kamus!$J$3:$J$118,$K943)),0)),"Individu / Perorangan"))</f>
        <v>Individu / Perorangan</v>
      </c>
      <c r="X943" s="106" t="str">
        <f t="shared" si="43"/>
        <v>03</v>
      </c>
      <c r="Y943" s="106" t="str" cm="1">
        <f t="array" ref="Y943">IFERROR(INDEX(Kamus!$N$3:$N$111,MATCH(TRUE,ISNUMBER(SEARCH(Kamus!$M$3:$M$111,$I943)),0)),"")</f>
        <v/>
      </c>
      <c r="Z943" s="106" t="str">
        <f>IF(AND(OR($X943="02",$X943="03",$X943="04"),OR($T943="Parsel/Bingkisan (tidak dirinci)",$T943="Makanan &amp; Minuman",$T943="Peralatan Rumah Tangga / Pecah Belah",$T943="Pakaian &amp; Kain")),"Momen Hari Raya (dugaan musiman)",IFERROR(VLOOKUP($W943,Kamus!$P$3:$Q$14,2,FALSE),"Tidak Teridentifikasi"))</f>
        <v>Momen Hari Raya (dugaan musiman)</v>
      </c>
      <c r="AA943" s="106" t="str">
        <f t="shared" si="44"/>
        <v>Momen Hari Raya (dugaan musiman)</v>
      </c>
    </row>
    <row r="944" spans="1:27">
      <c r="A944" s="106">
        <v>943</v>
      </c>
      <c r="B944" s="106" t="s">
        <v>5390</v>
      </c>
      <c r="C944" s="107" t="s">
        <v>5391</v>
      </c>
      <c r="D944" s="106" t="s">
        <v>1042</v>
      </c>
      <c r="E944" s="106" t="s">
        <v>5392</v>
      </c>
      <c r="F944" s="106" t="s">
        <v>5400</v>
      </c>
      <c r="G944" s="106" t="s">
        <v>1006</v>
      </c>
      <c r="H944" s="106" t="s">
        <v>5023</v>
      </c>
      <c r="I944" s="106" t="s">
        <v>1036</v>
      </c>
      <c r="J944" s="106">
        <v>275000</v>
      </c>
      <c r="K944" s="106" t="s">
        <v>5394</v>
      </c>
      <c r="L944" s="106" t="s">
        <v>5402</v>
      </c>
      <c r="M944" s="106" t="s">
        <v>1171</v>
      </c>
      <c r="N944" s="106" t="s">
        <v>5403</v>
      </c>
      <c r="O944" s="106" t="s">
        <v>274</v>
      </c>
      <c r="P944" s="106" t="s">
        <v>5396</v>
      </c>
      <c r="Q944" s="106" t="s">
        <v>431</v>
      </c>
      <c r="S944" s="106" t="str" cm="1">
        <f t="array" ref="S944">IF(TRIM($D944)="","(tidak diisi)",IFERROR(INDEX(Kamus!$B$3:$B$28,MATCH(TRUE,ISNUMBER(SEARCH(Kamus!$A$3:$A$28,$D944)),0)),"Jabatan Lainnya"))</f>
        <v>Ketua Pengadilan</v>
      </c>
      <c r="T944" s="106" t="str" cm="1">
        <f t="array" ref="T944">IF(TRIM($I944)="","(tidak diisi)",IFERROR(INDEX(Kamus!$E$3:$E$162,MATCH(TRUE,ISNUMBER(SEARCH(Kamus!$D$3:$D$162,$I944)),0)),"Barang Lain / Tidak Terinci"))</f>
        <v>Peralatan Rumah Tangga / Pecah Belah</v>
      </c>
      <c r="U944" s="106" t="str" cm="1">
        <f t="array" ref="U944">IF(TRIM($I944)="","(tidak diisi)",IFERROR(INDEX(Kamus!$H$3:$H$75,MATCH(TRUE,ISNUMBER(SEARCH(Kamus!$G$3:$G$75,$I944)),0)),"Pemberian Umum / Tanpa Konteks"))</f>
        <v>Parsel/Bingkisan Umum (non-hari raya)</v>
      </c>
      <c r="V944" s="106" t="str">
        <f t="shared" si="42"/>
        <v>2026</v>
      </c>
      <c r="W944" s="106" t="str" cm="1">
        <f t="array" ref="W944">IF(TRIM($K944)="","(tidak diisi)",IFERROR(INDEX(Kamus!$K$3:$K$118,MATCH(TRUE,ISNUMBER(SEARCH(Kamus!$J$3:$J$118,$K944)),0)),"Individu / Perorangan"))</f>
        <v>Individu / Perorangan</v>
      </c>
      <c r="X944" s="106" t="str">
        <f t="shared" si="43"/>
        <v>03</v>
      </c>
      <c r="Y944" s="106" t="str" cm="1">
        <f t="array" ref="Y944">IFERROR(INDEX(Kamus!$N$3:$N$111,MATCH(TRUE,ISNUMBER(SEARCH(Kamus!$M$3:$M$111,$I944)),0)),"")</f>
        <v/>
      </c>
      <c r="Z944" s="106" t="str">
        <f>IF(AND(OR($X944="02",$X944="03",$X944="04"),OR($T944="Parsel/Bingkisan (tidak dirinci)",$T944="Makanan &amp; Minuman",$T944="Peralatan Rumah Tangga / Pecah Belah",$T944="Pakaian &amp; Kain")),"Momen Hari Raya (dugaan musiman)",IFERROR(VLOOKUP($W944,Kamus!$P$3:$Q$14,2,FALSE),"Tidak Teridentifikasi"))</f>
        <v>Momen Hari Raya (dugaan musiman)</v>
      </c>
      <c r="AA944" s="106" t="str">
        <f t="shared" si="44"/>
        <v>Momen Hari Raya (dugaan musiman)</v>
      </c>
    </row>
    <row r="945" spans="1:27">
      <c r="A945" s="106">
        <v>944</v>
      </c>
      <c r="B945" s="106" t="s">
        <v>5411</v>
      </c>
      <c r="C945" s="107" t="s">
        <v>5412</v>
      </c>
      <c r="D945" s="106" t="s">
        <v>1042</v>
      </c>
      <c r="E945" s="106" t="s">
        <v>5413</v>
      </c>
      <c r="F945" s="106" t="s">
        <v>5414</v>
      </c>
      <c r="G945" s="106" t="s">
        <v>1006</v>
      </c>
      <c r="H945" s="106" t="s">
        <v>5415</v>
      </c>
      <c r="I945" s="106" t="s">
        <v>5416</v>
      </c>
      <c r="J945" s="106">
        <v>500000</v>
      </c>
      <c r="K945" s="106" t="s">
        <v>5417</v>
      </c>
      <c r="L945" s="106" t="s">
        <v>5418</v>
      </c>
      <c r="M945" s="106" t="s">
        <v>2529</v>
      </c>
      <c r="O945" s="106" t="s">
        <v>274</v>
      </c>
      <c r="P945" s="106" t="s">
        <v>5419</v>
      </c>
      <c r="Q945" s="106" t="s">
        <v>438</v>
      </c>
      <c r="S945" s="106" t="str" cm="1">
        <f t="array" ref="S945">IF(TRIM($D945)="","(tidak diisi)",IFERROR(INDEX(Kamus!$B$3:$B$28,MATCH(TRUE,ISNUMBER(SEARCH(Kamus!$A$3:$A$28,$D945)),0)),"Jabatan Lainnya"))</f>
        <v>Ketua Pengadilan</v>
      </c>
      <c r="T945" s="106" t="str" cm="1">
        <f t="array" ref="T945">IF(TRIM($I945)="","(tidak diisi)",IFERROR(INDEX(Kamus!$E$3:$E$162,MATCH(TRUE,ISNUMBER(SEARCH(Kamus!$D$3:$D$162,$I945)),0)),"Barang Lain / Tidak Terinci"))</f>
        <v>Makanan &amp; Minuman</v>
      </c>
      <c r="U945" s="106" t="str" cm="1">
        <f t="array" ref="U945">IF(TRIM($I945)="","(tidak diisi)",IFERROR(INDEX(Kamus!$H$3:$H$75,MATCH(TRUE,ISNUMBER(SEARCH(Kamus!$G$3:$G$75,$I945)),0)),"Pemberian Umum / Tanpa Konteks"))</f>
        <v>Pemberian Umum / Tanpa Konteks</v>
      </c>
      <c r="V945" s="106" t="str">
        <f t="shared" si="42"/>
        <v>2026</v>
      </c>
      <c r="W945" s="106" t="str" cm="1">
        <f t="array" ref="W945">IF(TRIM($K945)="","(tidak diisi)",IFERROR(INDEX(Kamus!$K$3:$K$118,MATCH(TRUE,ISNUMBER(SEARCH(Kamus!$J$3:$J$118,$K945)),0)),"Individu / Perorangan"))</f>
        <v>Individu / Perorangan</v>
      </c>
      <c r="X945" s="106" t="str">
        <f t="shared" si="43"/>
        <v>04</v>
      </c>
      <c r="Y945" s="106" t="str" cm="1">
        <f t="array" ref="Y945">IFERROR(INDEX(Kamus!$N$3:$N$111,MATCH(TRUE,ISNUMBER(SEARCH(Kamus!$M$3:$M$111,$I945)),0)),"")</f>
        <v/>
      </c>
      <c r="Z945" s="106" t="str">
        <f>IF(AND(OR($X945="02",$X945="03",$X945="04"),OR($T945="Parsel/Bingkisan (tidak dirinci)",$T945="Makanan &amp; Minuman",$T945="Peralatan Rumah Tangga / Pecah Belah",$T945="Pakaian &amp; Kain")),"Momen Hari Raya (dugaan musiman)",IFERROR(VLOOKUP($W945,Kamus!$P$3:$Q$14,2,FALSE),"Tidak Teridentifikasi"))</f>
        <v>Momen Hari Raya (dugaan musiman)</v>
      </c>
      <c r="AA945" s="106" t="str">
        <f t="shared" si="44"/>
        <v>Momen Hari Raya (dugaan musiman)</v>
      </c>
    </row>
    <row r="946" spans="1:27">
      <c r="A946" s="106">
        <v>945</v>
      </c>
      <c r="B946" s="106" t="s">
        <v>5420</v>
      </c>
      <c r="C946" s="107" t="s">
        <v>5421</v>
      </c>
      <c r="D946" s="106" t="s">
        <v>1033</v>
      </c>
      <c r="E946" s="106" t="s">
        <v>5422</v>
      </c>
      <c r="F946" s="106" t="s">
        <v>5423</v>
      </c>
      <c r="G946" s="106" t="s">
        <v>1006</v>
      </c>
      <c r="H946" s="106" t="s">
        <v>5424</v>
      </c>
      <c r="I946" s="106" t="s">
        <v>5425</v>
      </c>
      <c r="K946" s="106" t="s">
        <v>5426</v>
      </c>
      <c r="L946" s="106" t="s">
        <v>5427</v>
      </c>
      <c r="O946" s="106" t="s">
        <v>274</v>
      </c>
      <c r="Q946" s="106" t="s">
        <v>321</v>
      </c>
      <c r="S946" s="106" t="str" cm="1">
        <f t="array" ref="S946">IF(TRIM($D946)="","(tidak diisi)",IFERROR(INDEX(Kamus!$B$3:$B$28,MATCH(TRUE,ISNUMBER(SEARCH(Kamus!$A$3:$A$28,$D946)),0)),"Jabatan Lainnya"))</f>
        <v>Hakim</v>
      </c>
      <c r="T946" s="106" t="str" cm="1">
        <f t="array" ref="T946">IF(TRIM($I946)="","(tidak diisi)",IFERROR(INDEX(Kamus!$E$3:$E$162,MATCH(TRUE,ISNUMBER(SEARCH(Kamus!$D$3:$D$162,$I946)),0)),"Barang Lain / Tidak Terinci"))</f>
        <v>Makanan &amp; Minuman</v>
      </c>
      <c r="U946" s="106" t="str" cm="1">
        <f t="array" ref="U946">IF(TRIM($I946)="","(tidak diisi)",IFERROR(INDEX(Kamus!$H$3:$H$75,MATCH(TRUE,ISNUMBER(SEARCH(Kamus!$G$3:$G$75,$I946)),0)),"Pemberian Umum / Tanpa Konteks"))</f>
        <v>Parsel/Bingkisan Umum (non-hari raya)</v>
      </c>
      <c r="V946" s="106" t="str">
        <f t="shared" si="42"/>
        <v>2026</v>
      </c>
      <c r="W946" s="106" t="str" cm="1">
        <f t="array" ref="W946">IF(TRIM($K946)="","(tidak diisi)",IFERROR(INDEX(Kamus!$K$3:$K$118,MATCH(TRUE,ISNUMBER(SEARCH(Kamus!$J$3:$J$118,$K946)),0)),"Individu / Perorangan"))</f>
        <v>Individu / Perorangan</v>
      </c>
      <c r="X946" s="106" t="str">
        <f t="shared" si="43"/>
        <v>03</v>
      </c>
      <c r="Y946" s="106" t="str" cm="1">
        <f t="array" ref="Y946">IFERROR(INDEX(Kamus!$N$3:$N$111,MATCH(TRUE,ISNUMBER(SEARCH(Kamus!$M$3:$M$111,$I946)),0)),"")</f>
        <v/>
      </c>
      <c r="Z946" s="106" t="str">
        <f>IF(AND(OR($X946="02",$X946="03",$X946="04"),OR($T946="Parsel/Bingkisan (tidak dirinci)",$T946="Makanan &amp; Minuman",$T946="Peralatan Rumah Tangga / Pecah Belah",$T946="Pakaian &amp; Kain")),"Momen Hari Raya (dugaan musiman)",IFERROR(VLOOKUP($W946,Kamus!$P$3:$Q$14,2,FALSE),"Tidak Teridentifikasi"))</f>
        <v>Momen Hari Raya (dugaan musiman)</v>
      </c>
      <c r="AA946" s="106" t="str">
        <f t="shared" si="44"/>
        <v>Momen Hari Raya (dugaan musiman)</v>
      </c>
    </row>
    <row r="947" spans="1:27">
      <c r="A947" s="106">
        <v>946</v>
      </c>
      <c r="B947" s="106" t="s">
        <v>1040</v>
      </c>
      <c r="C947" s="107" t="s">
        <v>1041</v>
      </c>
      <c r="D947" s="106" t="s">
        <v>1042</v>
      </c>
      <c r="E947" s="106" t="s">
        <v>1043</v>
      </c>
      <c r="F947" s="106" t="s">
        <v>5428</v>
      </c>
      <c r="G947" s="106" t="s">
        <v>1006</v>
      </c>
      <c r="H947" s="106" t="s">
        <v>4970</v>
      </c>
      <c r="I947" s="106" t="s">
        <v>5429</v>
      </c>
      <c r="J947" s="106">
        <v>250000</v>
      </c>
      <c r="K947" s="106" t="s">
        <v>5430</v>
      </c>
      <c r="L947" s="106" t="s">
        <v>5431</v>
      </c>
      <c r="M947" s="106" t="s">
        <v>1039</v>
      </c>
      <c r="O947" s="106" t="s">
        <v>274</v>
      </c>
      <c r="P947" s="106" t="s">
        <v>1047</v>
      </c>
      <c r="Q947" s="106" t="s">
        <v>420</v>
      </c>
      <c r="S947" s="106" t="str" cm="1">
        <f t="array" ref="S947">IF(TRIM($D947)="","(tidak diisi)",IFERROR(INDEX(Kamus!$B$3:$B$28,MATCH(TRUE,ISNUMBER(SEARCH(Kamus!$A$3:$A$28,$D947)),0)),"Jabatan Lainnya"))</f>
        <v>Ketua Pengadilan</v>
      </c>
      <c r="T947" s="106" t="str" cm="1">
        <f t="array" ref="T947">IF(TRIM($I947)="","(tidak diisi)",IFERROR(INDEX(Kamus!$E$3:$E$162,MATCH(TRUE,ISNUMBER(SEARCH(Kamus!$D$3:$D$162,$I947)),0)),"Barang Lain / Tidak Terinci"))</f>
        <v>Peralatan Rumah Tangga / Pecah Belah</v>
      </c>
      <c r="U947" s="106" t="str" cm="1">
        <f t="array" ref="U947">IF(TRIM($I947)="","(tidak diisi)",IFERROR(INDEX(Kamus!$H$3:$H$75,MATCH(TRUE,ISNUMBER(SEARCH(Kamus!$G$3:$G$75,$I947)),0)),"Pemberian Umum / Tanpa Konteks"))</f>
        <v>Parsel/Bingkisan Umum (non-hari raya)</v>
      </c>
      <c r="V947" s="106" t="str">
        <f t="shared" si="42"/>
        <v>2026</v>
      </c>
      <c r="W947" s="106" t="str" cm="1">
        <f t="array" ref="W947">IF(TRIM($K947)="","(tidak diisi)",IFERROR(INDEX(Kamus!$K$3:$K$118,MATCH(TRUE,ISNUMBER(SEARCH(Kamus!$J$3:$J$118,$K947)),0)),"Individu / Perorangan"))</f>
        <v>Individu / Perorangan</v>
      </c>
      <c r="X947" s="106" t="str">
        <f t="shared" si="43"/>
        <v>03</v>
      </c>
      <c r="Y947" s="106" t="str" cm="1">
        <f t="array" ref="Y947">IFERROR(INDEX(Kamus!$N$3:$N$111,MATCH(TRUE,ISNUMBER(SEARCH(Kamus!$M$3:$M$111,$I947)),0)),"")</f>
        <v/>
      </c>
      <c r="Z947" s="106" t="str">
        <f>IF(AND(OR($X947="02",$X947="03",$X947="04"),OR($T947="Parsel/Bingkisan (tidak dirinci)",$T947="Makanan &amp; Minuman",$T947="Peralatan Rumah Tangga / Pecah Belah",$T947="Pakaian &amp; Kain")),"Momen Hari Raya (dugaan musiman)",IFERROR(VLOOKUP($W947,Kamus!$P$3:$Q$14,2,FALSE),"Tidak Teridentifikasi"))</f>
        <v>Momen Hari Raya (dugaan musiman)</v>
      </c>
      <c r="AA947" s="106" t="str">
        <f t="shared" si="44"/>
        <v>Momen Hari Raya (dugaan musiman)</v>
      </c>
    </row>
    <row r="948" spans="1:27">
      <c r="A948" s="106">
        <v>947</v>
      </c>
      <c r="B948" s="106" t="s">
        <v>1040</v>
      </c>
      <c r="C948" s="107" t="s">
        <v>1041</v>
      </c>
      <c r="D948" s="106" t="s">
        <v>1042</v>
      </c>
      <c r="E948" s="106" t="s">
        <v>1043</v>
      </c>
      <c r="F948" s="106" t="s">
        <v>5428</v>
      </c>
      <c r="G948" s="106" t="s">
        <v>1006</v>
      </c>
      <c r="H948" s="106" t="s">
        <v>4970</v>
      </c>
      <c r="I948" s="106" t="s">
        <v>1857</v>
      </c>
      <c r="J948" s="106">
        <v>250000</v>
      </c>
      <c r="K948" s="106" t="s">
        <v>5430</v>
      </c>
      <c r="L948" s="106" t="s">
        <v>5431</v>
      </c>
      <c r="M948" s="106" t="s">
        <v>2529</v>
      </c>
      <c r="O948" s="106" t="s">
        <v>274</v>
      </c>
      <c r="P948" s="106" t="s">
        <v>1047</v>
      </c>
      <c r="Q948" s="106" t="s">
        <v>420</v>
      </c>
      <c r="S948" s="106" t="str" cm="1">
        <f t="array" ref="S948">IF(TRIM($D948)="","(tidak diisi)",IFERROR(INDEX(Kamus!$B$3:$B$28,MATCH(TRUE,ISNUMBER(SEARCH(Kamus!$A$3:$A$28,$D948)),0)),"Jabatan Lainnya"))</f>
        <v>Ketua Pengadilan</v>
      </c>
      <c r="T948" s="106" t="str" cm="1">
        <f t="array" ref="T948">IF(TRIM($I948)="","(tidak diisi)",IFERROR(INDEX(Kamus!$E$3:$E$162,MATCH(TRUE,ISNUMBER(SEARCH(Kamus!$D$3:$D$162,$I948)),0)),"Barang Lain / Tidak Terinci"))</f>
        <v>Makanan &amp; Minuman</v>
      </c>
      <c r="U948" s="106" t="str" cm="1">
        <f t="array" ref="U948">IF(TRIM($I948)="","(tidak diisi)",IFERROR(INDEX(Kamus!$H$3:$H$75,MATCH(TRUE,ISNUMBER(SEARCH(Kamus!$G$3:$G$75,$I948)),0)),"Pemberian Umum / Tanpa Konteks"))</f>
        <v>Parsel/Bingkisan Umum (non-hari raya)</v>
      </c>
      <c r="V948" s="106" t="str">
        <f t="shared" si="42"/>
        <v>2026</v>
      </c>
      <c r="W948" s="106" t="str" cm="1">
        <f t="array" ref="W948">IF(TRIM($K948)="","(tidak diisi)",IFERROR(INDEX(Kamus!$K$3:$K$118,MATCH(TRUE,ISNUMBER(SEARCH(Kamus!$J$3:$J$118,$K948)),0)),"Individu / Perorangan"))</f>
        <v>Individu / Perorangan</v>
      </c>
      <c r="X948" s="106" t="str">
        <f t="shared" si="43"/>
        <v>03</v>
      </c>
      <c r="Y948" s="106" t="str" cm="1">
        <f t="array" ref="Y948">IFERROR(INDEX(Kamus!$N$3:$N$111,MATCH(TRUE,ISNUMBER(SEARCH(Kamus!$M$3:$M$111,$I948)),0)),"")</f>
        <v/>
      </c>
      <c r="Z948" s="106" t="str">
        <f>IF(AND(OR($X948="02",$X948="03",$X948="04"),OR($T948="Parsel/Bingkisan (tidak dirinci)",$T948="Makanan &amp; Minuman",$T948="Peralatan Rumah Tangga / Pecah Belah",$T948="Pakaian &amp; Kain")),"Momen Hari Raya (dugaan musiman)",IFERROR(VLOOKUP($W948,Kamus!$P$3:$Q$14,2,FALSE),"Tidak Teridentifikasi"))</f>
        <v>Momen Hari Raya (dugaan musiman)</v>
      </c>
      <c r="AA948" s="106" t="str">
        <f t="shared" si="44"/>
        <v>Momen Hari Raya (dugaan musiman)</v>
      </c>
    </row>
    <row r="949" spans="1:27">
      <c r="A949" s="106">
        <v>948</v>
      </c>
      <c r="B949" s="106" t="s">
        <v>1040</v>
      </c>
      <c r="C949" s="107" t="s">
        <v>1041</v>
      </c>
      <c r="D949" s="106" t="s">
        <v>1042</v>
      </c>
      <c r="E949" s="106" t="s">
        <v>1043</v>
      </c>
      <c r="F949" s="106" t="s">
        <v>5432</v>
      </c>
      <c r="G949" s="106" t="s">
        <v>1006</v>
      </c>
      <c r="H949" s="106" t="s">
        <v>4855</v>
      </c>
      <c r="I949" s="106" t="s">
        <v>5433</v>
      </c>
      <c r="K949" s="106" t="s">
        <v>5434</v>
      </c>
      <c r="L949" s="106" t="s">
        <v>5435</v>
      </c>
      <c r="O949" s="106" t="s">
        <v>274</v>
      </c>
      <c r="P949" s="106" t="s">
        <v>1047</v>
      </c>
      <c r="Q949" s="106" t="s">
        <v>420</v>
      </c>
      <c r="S949" s="106" t="str" cm="1">
        <f t="array" ref="S949">IF(TRIM($D949)="","(tidak diisi)",IFERROR(INDEX(Kamus!$B$3:$B$28,MATCH(TRUE,ISNUMBER(SEARCH(Kamus!$A$3:$A$28,$D949)),0)),"Jabatan Lainnya"))</f>
        <v>Ketua Pengadilan</v>
      </c>
      <c r="T949" s="106" t="str" cm="1">
        <f t="array" ref="T949">IF(TRIM($I949)="","(tidak diisi)",IFERROR(INDEX(Kamus!$E$3:$E$162,MATCH(TRUE,ISNUMBER(SEARCH(Kamus!$D$3:$D$162,$I949)),0)),"Barang Lain / Tidak Terinci"))</f>
        <v>Makanan &amp; Minuman</v>
      </c>
      <c r="U949" s="106" t="str" cm="1">
        <f t="array" ref="U949">IF(TRIM($I949)="","(tidak diisi)",IFERROR(INDEX(Kamus!$H$3:$H$75,MATCH(TRUE,ISNUMBER(SEARCH(Kamus!$G$3:$G$75,$I949)),0)),"Pemberian Umum / Tanpa Konteks"))</f>
        <v>Parsel/Bingkisan Umum (non-hari raya)</v>
      </c>
      <c r="V949" s="106" t="str">
        <f t="shared" si="42"/>
        <v>2026</v>
      </c>
      <c r="W949" s="106" t="str" cm="1">
        <f t="array" ref="W949">IF(TRIM($K949)="","(tidak diisi)",IFERROR(INDEX(Kamus!$K$3:$K$118,MATCH(TRUE,ISNUMBER(SEARCH(Kamus!$J$3:$J$118,$K949)),0)),"Individu / Perorangan"))</f>
        <v>Individu / Perorangan</v>
      </c>
      <c r="X949" s="106" t="str">
        <f t="shared" si="43"/>
        <v>03</v>
      </c>
      <c r="Y949" s="106" t="str" cm="1">
        <f t="array" ref="Y949">IFERROR(INDEX(Kamus!$N$3:$N$111,MATCH(TRUE,ISNUMBER(SEARCH(Kamus!$M$3:$M$111,$I949)),0)),"")</f>
        <v/>
      </c>
      <c r="Z949" s="106" t="str">
        <f>IF(AND(OR($X949="02",$X949="03",$X949="04"),OR($T949="Parsel/Bingkisan (tidak dirinci)",$T949="Makanan &amp; Minuman",$T949="Peralatan Rumah Tangga / Pecah Belah",$T949="Pakaian &amp; Kain")),"Momen Hari Raya (dugaan musiman)",IFERROR(VLOOKUP($W949,Kamus!$P$3:$Q$14,2,FALSE),"Tidak Teridentifikasi"))</f>
        <v>Momen Hari Raya (dugaan musiman)</v>
      </c>
      <c r="AA949" s="106" t="str">
        <f t="shared" si="44"/>
        <v>Momen Hari Raya (dugaan musiman)</v>
      </c>
    </row>
    <row r="950" spans="1:27">
      <c r="A950" s="106">
        <v>949</v>
      </c>
      <c r="B950" s="106" t="s">
        <v>5436</v>
      </c>
      <c r="C950" s="107" t="s">
        <v>5437</v>
      </c>
      <c r="D950" s="106" t="s">
        <v>5438</v>
      </c>
      <c r="E950" s="106" t="s">
        <v>5439</v>
      </c>
      <c r="F950" s="106" t="s">
        <v>5440</v>
      </c>
      <c r="G950" s="106" t="s">
        <v>1006</v>
      </c>
      <c r="H950" s="106" t="s">
        <v>5441</v>
      </c>
      <c r="I950" s="106" t="s">
        <v>5442</v>
      </c>
      <c r="K950" s="106" t="s">
        <v>5443</v>
      </c>
      <c r="L950" s="106" t="s">
        <v>5444</v>
      </c>
      <c r="O950" s="106" t="s">
        <v>274</v>
      </c>
      <c r="P950" s="106" t="s">
        <v>453</v>
      </c>
      <c r="Q950" s="106" t="s">
        <v>428</v>
      </c>
      <c r="S950" s="106" t="str" cm="1">
        <f t="array" ref="S950">IF(TRIM($D950)="","(tidak diisi)",IFERROR(INDEX(Kamus!$B$3:$B$28,MATCH(TRUE,ISNUMBER(SEARCH(Kamus!$A$3:$A$28,$D950)),0)),"Jabatan Lainnya"))</f>
        <v>Ketua Pengadilan</v>
      </c>
      <c r="T950" s="106" t="str" cm="1">
        <f t="array" ref="T950">IF(TRIM($I950)="","(tidak diisi)",IFERROR(INDEX(Kamus!$E$3:$E$162,MATCH(TRUE,ISNUMBER(SEARCH(Kamus!$D$3:$D$162,$I950)),0)),"Barang Lain / Tidak Terinci"))</f>
        <v>Makanan &amp; Minuman</v>
      </c>
      <c r="U950" s="106" t="str" cm="1">
        <f t="array" ref="U950">IF(TRIM($I950)="","(tidak diisi)",IFERROR(INDEX(Kamus!$H$3:$H$75,MATCH(TRUE,ISNUMBER(SEARCH(Kamus!$G$3:$G$75,$I950)),0)),"Pemberian Umum / Tanpa Konteks"))</f>
        <v>Bingkisan Hari Raya / Keagamaan</v>
      </c>
      <c r="V950" s="106" t="str">
        <f t="shared" si="42"/>
        <v>2026</v>
      </c>
      <c r="W950" s="106" t="str" cm="1">
        <f t="array" ref="W950">IF(TRIM($K950)="","(tidak diisi)",IFERROR(INDEX(Kamus!$K$3:$K$118,MATCH(TRUE,ISNUMBER(SEARCH(Kamus!$J$3:$J$118,$K950)),0)),"Individu / Perorangan"))</f>
        <v>Individu / Perorangan</v>
      </c>
      <c r="X950" s="106" t="str">
        <f t="shared" si="43"/>
        <v>03</v>
      </c>
      <c r="Y950" s="106" t="str" cm="1">
        <f t="array" ref="Y950">IFERROR(INDEX(Kamus!$N$3:$N$111,MATCH(TRUE,ISNUMBER(SEARCH(Kamus!$M$3:$M$111,$I950)),0)),"")</f>
        <v>Momen Hari Raya (Ramadan/Idulfitri)</v>
      </c>
      <c r="Z950" s="106" t="str">
        <f>IF(AND(OR($X950="02",$X950="03",$X950="04"),OR($T950="Parsel/Bingkisan (tidak dirinci)",$T950="Makanan &amp; Minuman",$T950="Peralatan Rumah Tangga / Pecah Belah",$T950="Pakaian &amp; Kain")),"Momen Hari Raya (dugaan musiman)",IFERROR(VLOOKUP($W950,Kamus!$P$3:$Q$14,2,FALSE),"Tidak Teridentifikasi"))</f>
        <v>Momen Hari Raya (dugaan musiman)</v>
      </c>
      <c r="AA950" s="106" t="str">
        <f t="shared" si="44"/>
        <v>Momen Hari Raya (Ramadan/Idulfitri)</v>
      </c>
    </row>
    <row r="951" spans="1:27">
      <c r="A951" s="106">
        <v>950</v>
      </c>
      <c r="B951" s="106" t="s">
        <v>5445</v>
      </c>
      <c r="C951" s="107" t="s">
        <v>5446</v>
      </c>
      <c r="D951" s="106" t="s">
        <v>1042</v>
      </c>
      <c r="E951" s="106" t="s">
        <v>1005</v>
      </c>
      <c r="G951" s="106" t="s">
        <v>1074</v>
      </c>
      <c r="L951" s="106" t="s">
        <v>5447</v>
      </c>
      <c r="O951" s="106" t="s">
        <v>274</v>
      </c>
      <c r="S951" s="106" t="str" cm="1">
        <f t="array" ref="S951">IF(TRIM($D951)="","(tidak diisi)",IFERROR(INDEX(Kamus!$B$3:$B$28,MATCH(TRUE,ISNUMBER(SEARCH(Kamus!$A$3:$A$28,$D951)),0)),"Jabatan Lainnya"))</f>
        <v>Ketua Pengadilan</v>
      </c>
      <c r="T951" s="106" t="str" cm="1">
        <f t="array" ref="T951">IF(TRIM($I951)="","(tidak diisi)",IFERROR(INDEX(Kamus!$E$3:$E$162,MATCH(TRUE,ISNUMBER(SEARCH(Kamus!$D$3:$D$162,$I951)),0)),"Barang Lain / Tidak Terinci"))</f>
        <v>(tidak diisi)</v>
      </c>
      <c r="U951" s="106" t="str" cm="1">
        <f t="array" ref="U951">IF(TRIM($I951)="","(tidak diisi)",IFERROR(INDEX(Kamus!$H$3:$H$75,MATCH(TRUE,ISNUMBER(SEARCH(Kamus!$G$3:$G$75,$I951)),0)),"Pemberian Umum / Tanpa Konteks"))</f>
        <v>(tidak diisi)</v>
      </c>
      <c r="V951" s="106" t="str">
        <f t="shared" si="42"/>
        <v>(tidak diisi)</v>
      </c>
      <c r="W951" s="106" t="str" cm="1">
        <f t="array" ref="W951">IF(TRIM($K951)="","(tidak diisi)",IFERROR(INDEX(Kamus!$K$3:$K$118,MATCH(TRUE,ISNUMBER(SEARCH(Kamus!$J$3:$J$118,$K951)),0)),"Individu / Perorangan"))</f>
        <v>(tidak diisi)</v>
      </c>
      <c r="X951" s="106" t="str">
        <f t="shared" si="43"/>
        <v>(tidak diisi)</v>
      </c>
      <c r="Y951" s="106" t="str" cm="1">
        <f t="array" ref="Y951">IFERROR(INDEX(Kamus!$N$3:$N$111,MATCH(TRUE,ISNUMBER(SEARCH(Kamus!$M$3:$M$111,$I951)),0)),"")</f>
        <v/>
      </c>
      <c r="Z951" s="106" t="str">
        <f>IF(AND(OR($X951="02",$X951="03",$X951="04"),OR($T951="Parsel/Bingkisan (tidak dirinci)",$T951="Makanan &amp; Minuman",$T951="Peralatan Rumah Tangga / Pecah Belah",$T951="Pakaian &amp; Kain")),"Momen Hari Raya (dugaan musiman)",IFERROR(VLOOKUP($W951,Kamus!$P$3:$Q$14,2,FALSE),"Tidak Teridentifikasi"))</f>
        <v>Tidak Teridentifikasi</v>
      </c>
      <c r="AA951" s="106" t="str">
        <f t="shared" si="44"/>
        <v>Tidak Teridentifikasi</v>
      </c>
    </row>
    <row r="952" spans="1:27">
      <c r="A952" s="106">
        <v>951</v>
      </c>
      <c r="B952" s="106" t="s">
        <v>5448</v>
      </c>
      <c r="C952" s="107" t="s">
        <v>5449</v>
      </c>
      <c r="D952" s="106" t="s">
        <v>1042</v>
      </c>
      <c r="E952" s="106" t="s">
        <v>5450</v>
      </c>
      <c r="F952" s="106" t="s">
        <v>5451</v>
      </c>
      <c r="G952" s="106" t="s">
        <v>1006</v>
      </c>
      <c r="H952" s="106" t="s">
        <v>5023</v>
      </c>
      <c r="I952" s="106" t="s">
        <v>5452</v>
      </c>
      <c r="K952" s="106" t="s">
        <v>5453</v>
      </c>
      <c r="L952" s="106" t="s">
        <v>5454</v>
      </c>
      <c r="O952" s="106" t="s">
        <v>274</v>
      </c>
      <c r="P952" s="106" t="s">
        <v>5455</v>
      </c>
      <c r="Q952" s="106" t="s">
        <v>428</v>
      </c>
      <c r="S952" s="106" t="str" cm="1">
        <f t="array" ref="S952">IF(TRIM($D952)="","(tidak diisi)",IFERROR(INDEX(Kamus!$B$3:$B$28,MATCH(TRUE,ISNUMBER(SEARCH(Kamus!$A$3:$A$28,$D952)),0)),"Jabatan Lainnya"))</f>
        <v>Ketua Pengadilan</v>
      </c>
      <c r="T952" s="106" t="str" cm="1">
        <f t="array" ref="T952">IF(TRIM($I952)="","(tidak diisi)",IFERROR(INDEX(Kamus!$E$3:$E$162,MATCH(TRUE,ISNUMBER(SEARCH(Kamus!$D$3:$D$162,$I952)),0)),"Barang Lain / Tidak Terinci"))</f>
        <v>Makanan &amp; Minuman</v>
      </c>
      <c r="U952" s="106" t="str" cm="1">
        <f t="array" ref="U952">IF(TRIM($I952)="","(tidak diisi)",IFERROR(INDEX(Kamus!$H$3:$H$75,MATCH(TRUE,ISNUMBER(SEARCH(Kamus!$G$3:$G$75,$I952)),0)),"Pemberian Umum / Tanpa Konteks"))</f>
        <v>Bingkisan Hari Raya / Keagamaan</v>
      </c>
      <c r="V952" s="106" t="str">
        <f t="shared" si="42"/>
        <v>2026</v>
      </c>
      <c r="W952" s="106" t="str" cm="1">
        <f t="array" ref="W952">IF(TRIM($K952)="","(tidak diisi)",IFERROR(INDEX(Kamus!$K$3:$K$118,MATCH(TRUE,ISNUMBER(SEARCH(Kamus!$J$3:$J$118,$K952)),0)),"Individu / Perorangan"))</f>
        <v>Aparat/Instansi Penegak Hukum &amp; Vertikal</v>
      </c>
      <c r="X952" s="106" t="str">
        <f t="shared" si="43"/>
        <v>03</v>
      </c>
      <c r="Y952" s="106" t="str" cm="1">
        <f t="array" ref="Y952">IFERROR(INDEX(Kamus!$N$3:$N$111,MATCH(TRUE,ISNUMBER(SEARCH(Kamus!$M$3:$M$111,$I952)),0)),"")</f>
        <v>Momen Hari Raya (Ramadan/Idulfitri)</v>
      </c>
      <c r="Z952" s="106" t="str">
        <f>IF(AND(OR($X952="02",$X952="03",$X952="04"),OR($T952="Parsel/Bingkisan (tidak dirinci)",$T952="Makanan &amp; Minuman",$T952="Peralatan Rumah Tangga / Pecah Belah",$T952="Pakaian &amp; Kain")),"Momen Hari Raya (dugaan musiman)",IFERROR(VLOOKUP($W952,Kamus!$P$3:$Q$14,2,FALSE),"Tidak Teridentifikasi"))</f>
        <v>Momen Hari Raya (dugaan musiman)</v>
      </c>
      <c r="AA952" s="106" t="str">
        <f t="shared" si="44"/>
        <v>Momen Hari Raya (Ramadan/Idulfitri)</v>
      </c>
    </row>
    <row r="953" spans="1:27">
      <c r="A953" s="106">
        <v>952</v>
      </c>
      <c r="B953" s="106" t="s">
        <v>5456</v>
      </c>
      <c r="C953" s="107" t="s">
        <v>5457</v>
      </c>
      <c r="D953" s="106" t="s">
        <v>5458</v>
      </c>
      <c r="E953" s="106" t="s">
        <v>5459</v>
      </c>
      <c r="F953" s="106" t="s">
        <v>5460</v>
      </c>
      <c r="G953" s="106" t="s">
        <v>1006</v>
      </c>
      <c r="H953" s="106" t="s">
        <v>2525</v>
      </c>
      <c r="I953" s="106" t="s">
        <v>5461</v>
      </c>
      <c r="K953" s="106" t="s">
        <v>5462</v>
      </c>
      <c r="L953" s="106" t="s">
        <v>5463</v>
      </c>
      <c r="O953" s="106" t="s">
        <v>274</v>
      </c>
      <c r="Q953" s="106" t="s">
        <v>444</v>
      </c>
      <c r="S953" s="106" t="str" cm="1">
        <f t="array" ref="S953">IF(TRIM($D953)="","(tidak diisi)",IFERROR(INDEX(Kamus!$B$3:$B$28,MATCH(TRUE,ISNUMBER(SEARCH(Kamus!$A$3:$A$28,$D953)),0)),"Jabatan Lainnya"))</f>
        <v>Jabatan Lainnya</v>
      </c>
      <c r="T953" s="106" t="str" cm="1">
        <f t="array" ref="T953">IF(TRIM($I953)="","(tidak diisi)",IFERROR(INDEX(Kamus!$E$3:$E$162,MATCH(TRUE,ISNUMBER(SEARCH(Kamus!$D$3:$D$162,$I953)),0)),"Barang Lain / Tidak Terinci"))</f>
        <v>Makanan &amp; Minuman</v>
      </c>
      <c r="U953" s="106" t="str" cm="1">
        <f t="array" ref="U953">IF(TRIM($I953)="","(tidak diisi)",IFERROR(INDEX(Kamus!$H$3:$H$75,MATCH(TRUE,ISNUMBER(SEARCH(Kamus!$G$3:$G$75,$I953)),0)),"Pemberian Umum / Tanpa Konteks"))</f>
        <v>Pemberian Umum / Tanpa Konteks</v>
      </c>
      <c r="V953" s="106" t="str">
        <f t="shared" si="42"/>
        <v>2026</v>
      </c>
      <c r="W953" s="106" t="str" cm="1">
        <f t="array" ref="W953">IF(TRIM($K953)="","(tidak diisi)",IFERROR(INDEX(Kamus!$K$3:$K$118,MATCH(TRUE,ISNUMBER(SEARCH(Kamus!$J$3:$J$118,$K953)),0)),"Individu / Perorangan"))</f>
        <v>Individu / Perorangan</v>
      </c>
      <c r="X953" s="106" t="str">
        <f t="shared" si="43"/>
        <v>03</v>
      </c>
      <c r="Y953" s="106" t="str" cm="1">
        <f t="array" ref="Y953">IFERROR(INDEX(Kamus!$N$3:$N$111,MATCH(TRUE,ISNUMBER(SEARCH(Kamus!$M$3:$M$111,$I953)),0)),"")</f>
        <v>HUT / Peresmian &amp; Syukuran Instansi</v>
      </c>
      <c r="Z953" s="106" t="str">
        <f>IF(AND(OR($X953="02",$X953="03",$X953="04"),OR($T953="Parsel/Bingkisan (tidak dirinci)",$T953="Makanan &amp; Minuman",$T953="Peralatan Rumah Tangga / Pecah Belah",$T953="Pakaian &amp; Kain")),"Momen Hari Raya (dugaan musiman)",IFERROR(VLOOKUP($W953,Kamus!$P$3:$Q$14,2,FALSE),"Tidak Teridentifikasi"))</f>
        <v>Momen Hari Raya (dugaan musiman)</v>
      </c>
      <c r="AA953" s="106" t="str">
        <f t="shared" si="44"/>
        <v>HUT / Peresmian &amp; Syukuran Instansi</v>
      </c>
    </row>
    <row r="954" spans="1:27">
      <c r="A954" s="106">
        <v>953</v>
      </c>
      <c r="B954" s="106" t="s">
        <v>3559</v>
      </c>
      <c r="C954" s="107" t="s">
        <v>5464</v>
      </c>
      <c r="D954" s="106" t="s">
        <v>1042</v>
      </c>
      <c r="E954" s="106" t="s">
        <v>5465</v>
      </c>
      <c r="G954" s="106" t="s">
        <v>1006</v>
      </c>
      <c r="L954" s="106" t="s">
        <v>5466</v>
      </c>
      <c r="O954" s="106" t="s">
        <v>274</v>
      </c>
      <c r="P954" s="106" t="s">
        <v>5467</v>
      </c>
      <c r="Q954" s="106" t="s">
        <v>425</v>
      </c>
      <c r="S954" s="106" t="str" cm="1">
        <f t="array" ref="S954">IF(TRIM($D954)="","(tidak diisi)",IFERROR(INDEX(Kamus!$B$3:$B$28,MATCH(TRUE,ISNUMBER(SEARCH(Kamus!$A$3:$A$28,$D954)),0)),"Jabatan Lainnya"))</f>
        <v>Ketua Pengadilan</v>
      </c>
      <c r="T954" s="106" t="str" cm="1">
        <f t="array" ref="T954">IF(TRIM($I954)="","(tidak diisi)",IFERROR(INDEX(Kamus!$E$3:$E$162,MATCH(TRUE,ISNUMBER(SEARCH(Kamus!$D$3:$D$162,$I954)),0)),"Barang Lain / Tidak Terinci"))</f>
        <v>(tidak diisi)</v>
      </c>
      <c r="U954" s="106" t="str" cm="1">
        <f t="array" ref="U954">IF(TRIM($I954)="","(tidak diisi)",IFERROR(INDEX(Kamus!$H$3:$H$75,MATCH(TRUE,ISNUMBER(SEARCH(Kamus!$G$3:$G$75,$I954)),0)),"Pemberian Umum / Tanpa Konteks"))</f>
        <v>(tidak diisi)</v>
      </c>
      <c r="V954" s="106" t="str">
        <f t="shared" si="42"/>
        <v>(tidak diisi)</v>
      </c>
      <c r="W954" s="106" t="str" cm="1">
        <f t="array" ref="W954">IF(TRIM($K954)="","(tidak diisi)",IFERROR(INDEX(Kamus!$K$3:$K$118,MATCH(TRUE,ISNUMBER(SEARCH(Kamus!$J$3:$J$118,$K954)),0)),"Individu / Perorangan"))</f>
        <v>(tidak diisi)</v>
      </c>
      <c r="X954" s="106" t="str">
        <f t="shared" si="43"/>
        <v>(tidak diisi)</v>
      </c>
      <c r="Y954" s="106" t="str" cm="1">
        <f t="array" ref="Y954">IFERROR(INDEX(Kamus!$N$3:$N$111,MATCH(TRUE,ISNUMBER(SEARCH(Kamus!$M$3:$M$111,$I954)),0)),"")</f>
        <v/>
      </c>
      <c r="Z954" s="106" t="str">
        <f>IF(AND(OR($X954="02",$X954="03",$X954="04"),OR($T954="Parsel/Bingkisan (tidak dirinci)",$T954="Makanan &amp; Minuman",$T954="Peralatan Rumah Tangga / Pecah Belah",$T954="Pakaian &amp; Kain")),"Momen Hari Raya (dugaan musiman)",IFERROR(VLOOKUP($W954,Kamus!$P$3:$Q$14,2,FALSE),"Tidak Teridentifikasi"))</f>
        <v>Tidak Teridentifikasi</v>
      </c>
      <c r="AA954" s="106" t="str">
        <f t="shared" si="44"/>
        <v>Tidak Teridentifikasi</v>
      </c>
    </row>
    <row r="955" spans="1:27">
      <c r="A955" s="106">
        <v>954</v>
      </c>
      <c r="B955" s="106" t="s">
        <v>5390</v>
      </c>
      <c r="C955" s="107" t="s">
        <v>5391</v>
      </c>
      <c r="D955" s="106" t="s">
        <v>1042</v>
      </c>
      <c r="E955" s="106" t="s">
        <v>5392</v>
      </c>
      <c r="F955" s="106" t="s">
        <v>5468</v>
      </c>
      <c r="G955" s="106" t="s">
        <v>1006</v>
      </c>
      <c r="H955" s="106" t="s">
        <v>5023</v>
      </c>
      <c r="I955" s="106" t="s">
        <v>2374</v>
      </c>
      <c r="J955" s="106">
        <v>262025</v>
      </c>
      <c r="K955" s="106" t="s">
        <v>5469</v>
      </c>
      <c r="L955" s="106" t="s">
        <v>5470</v>
      </c>
      <c r="M955" s="106" t="s">
        <v>1171</v>
      </c>
      <c r="N955" s="106" t="s">
        <v>5471</v>
      </c>
      <c r="O955" s="106" t="s">
        <v>274</v>
      </c>
      <c r="P955" s="106" t="s">
        <v>5396</v>
      </c>
      <c r="Q955" s="106" t="s">
        <v>431</v>
      </c>
      <c r="S955" s="106" t="str" cm="1">
        <f t="array" ref="S955">IF(TRIM($D955)="","(tidak diisi)",IFERROR(INDEX(Kamus!$B$3:$B$28,MATCH(TRUE,ISNUMBER(SEARCH(Kamus!$A$3:$A$28,$D955)),0)),"Jabatan Lainnya"))</f>
        <v>Ketua Pengadilan</v>
      </c>
      <c r="T955" s="106" t="str" cm="1">
        <f t="array" ref="T955">IF(TRIM($I955)="","(tidak diisi)",IFERROR(INDEX(Kamus!$E$3:$E$162,MATCH(TRUE,ISNUMBER(SEARCH(Kamus!$D$3:$D$162,$I955)),0)),"Barang Lain / Tidak Terinci"))</f>
        <v>Makanan &amp; Minuman</v>
      </c>
      <c r="U955" s="106" t="str" cm="1">
        <f t="array" ref="U955">IF(TRIM($I955)="","(tidak diisi)",IFERROR(INDEX(Kamus!$H$3:$H$75,MATCH(TRUE,ISNUMBER(SEARCH(Kamus!$G$3:$G$75,$I955)),0)),"Pemberian Umum / Tanpa Konteks"))</f>
        <v>Parsel/Bingkisan Umum (non-hari raya)</v>
      </c>
      <c r="V955" s="106" t="str">
        <f t="shared" si="42"/>
        <v>2026</v>
      </c>
      <c r="W955" s="106" t="str" cm="1">
        <f t="array" ref="W955">IF(TRIM($K955)="","(tidak diisi)",IFERROR(INDEX(Kamus!$K$3:$K$118,MATCH(TRUE,ISNUMBER(SEARCH(Kamus!$J$3:$J$118,$K955)),0)),"Individu / Perorangan"))</f>
        <v>Individu / Perorangan</v>
      </c>
      <c r="X955" s="106" t="str">
        <f t="shared" si="43"/>
        <v>03</v>
      </c>
      <c r="Y955" s="106" t="str" cm="1">
        <f t="array" ref="Y955">IFERROR(INDEX(Kamus!$N$3:$N$111,MATCH(TRUE,ISNUMBER(SEARCH(Kamus!$M$3:$M$111,$I955)),0)),"")</f>
        <v/>
      </c>
      <c r="Z955" s="106" t="str">
        <f>IF(AND(OR($X955="02",$X955="03",$X955="04"),OR($T955="Parsel/Bingkisan (tidak dirinci)",$T955="Makanan &amp; Minuman",$T955="Peralatan Rumah Tangga / Pecah Belah",$T955="Pakaian &amp; Kain")),"Momen Hari Raya (dugaan musiman)",IFERROR(VLOOKUP($W955,Kamus!$P$3:$Q$14,2,FALSE),"Tidak Teridentifikasi"))</f>
        <v>Momen Hari Raya (dugaan musiman)</v>
      </c>
      <c r="AA955" s="106" t="str">
        <f t="shared" si="44"/>
        <v>Momen Hari Raya (dugaan musiman)</v>
      </c>
    </row>
    <row r="956" spans="1:27">
      <c r="A956" s="106">
        <v>955</v>
      </c>
      <c r="B956" s="106" t="s">
        <v>5390</v>
      </c>
      <c r="C956" s="107" t="s">
        <v>5391</v>
      </c>
      <c r="D956" s="106" t="s">
        <v>1042</v>
      </c>
      <c r="E956" s="106" t="s">
        <v>5392</v>
      </c>
      <c r="F956" s="106" t="s">
        <v>5472</v>
      </c>
      <c r="G956" s="106" t="s">
        <v>1006</v>
      </c>
      <c r="H956" s="106" t="s">
        <v>5023</v>
      </c>
      <c r="I956" s="106" t="s">
        <v>1036</v>
      </c>
      <c r="J956" s="106">
        <v>270350</v>
      </c>
      <c r="K956" s="106" t="s">
        <v>5407</v>
      </c>
      <c r="L956" s="106" t="s">
        <v>5473</v>
      </c>
      <c r="M956" s="106" t="s">
        <v>1171</v>
      </c>
      <c r="O956" s="106" t="s">
        <v>274</v>
      </c>
      <c r="P956" s="106" t="s">
        <v>5396</v>
      </c>
      <c r="Q956" s="106" t="s">
        <v>431</v>
      </c>
      <c r="S956" s="106" t="str" cm="1">
        <f t="array" ref="S956">IF(TRIM($D956)="","(tidak diisi)",IFERROR(INDEX(Kamus!$B$3:$B$28,MATCH(TRUE,ISNUMBER(SEARCH(Kamus!$A$3:$A$28,$D956)),0)),"Jabatan Lainnya"))</f>
        <v>Ketua Pengadilan</v>
      </c>
      <c r="T956" s="106" t="str" cm="1">
        <f t="array" ref="T956">IF(TRIM($I956)="","(tidak diisi)",IFERROR(INDEX(Kamus!$E$3:$E$162,MATCH(TRUE,ISNUMBER(SEARCH(Kamus!$D$3:$D$162,$I956)),0)),"Barang Lain / Tidak Terinci"))</f>
        <v>Peralatan Rumah Tangga / Pecah Belah</v>
      </c>
      <c r="U956" s="106" t="str" cm="1">
        <f t="array" ref="U956">IF(TRIM($I956)="","(tidak diisi)",IFERROR(INDEX(Kamus!$H$3:$H$75,MATCH(TRUE,ISNUMBER(SEARCH(Kamus!$G$3:$G$75,$I956)),0)),"Pemberian Umum / Tanpa Konteks"))</f>
        <v>Parsel/Bingkisan Umum (non-hari raya)</v>
      </c>
      <c r="V956" s="106" t="str">
        <f t="shared" si="42"/>
        <v>2026</v>
      </c>
      <c r="W956" s="106" t="str" cm="1">
        <f t="array" ref="W956">IF(TRIM($K956)="","(tidak diisi)",IFERROR(INDEX(Kamus!$K$3:$K$118,MATCH(TRUE,ISNUMBER(SEARCH(Kamus!$J$3:$J$118,$K956)),0)),"Individu / Perorangan"))</f>
        <v>Individu / Perorangan</v>
      </c>
      <c r="X956" s="106" t="str">
        <f t="shared" si="43"/>
        <v>03</v>
      </c>
      <c r="Y956" s="106" t="str" cm="1">
        <f t="array" ref="Y956">IFERROR(INDEX(Kamus!$N$3:$N$111,MATCH(TRUE,ISNUMBER(SEARCH(Kamus!$M$3:$M$111,$I956)),0)),"")</f>
        <v/>
      </c>
      <c r="Z956" s="106" t="str">
        <f>IF(AND(OR($X956="02",$X956="03",$X956="04"),OR($T956="Parsel/Bingkisan (tidak dirinci)",$T956="Makanan &amp; Minuman",$T956="Peralatan Rumah Tangga / Pecah Belah",$T956="Pakaian &amp; Kain")),"Momen Hari Raya (dugaan musiman)",IFERROR(VLOOKUP($W956,Kamus!$P$3:$Q$14,2,FALSE),"Tidak Teridentifikasi"))</f>
        <v>Momen Hari Raya (dugaan musiman)</v>
      </c>
      <c r="AA956" s="106" t="str">
        <f t="shared" si="44"/>
        <v>Momen Hari Raya (dugaan musiman)</v>
      </c>
    </row>
    <row r="957" spans="1:27">
      <c r="A957" s="106">
        <v>956</v>
      </c>
      <c r="B957" s="106" t="s">
        <v>5390</v>
      </c>
      <c r="C957" s="107" t="s">
        <v>5391</v>
      </c>
      <c r="D957" s="106" t="s">
        <v>1042</v>
      </c>
      <c r="E957" s="106" t="s">
        <v>5392</v>
      </c>
      <c r="F957" s="106" t="s">
        <v>5474</v>
      </c>
      <c r="G957" s="106" t="s">
        <v>1006</v>
      </c>
      <c r="H957" s="106" t="s">
        <v>5023</v>
      </c>
      <c r="I957" s="106" t="s">
        <v>5410</v>
      </c>
      <c r="J957" s="106">
        <v>197095</v>
      </c>
      <c r="K957" s="106" t="s">
        <v>5406</v>
      </c>
      <c r="L957" s="106" t="s">
        <v>5475</v>
      </c>
      <c r="M957" s="106" t="s">
        <v>1171</v>
      </c>
      <c r="O957" s="106" t="s">
        <v>274</v>
      </c>
      <c r="P957" s="106" t="s">
        <v>5396</v>
      </c>
      <c r="Q957" s="106" t="s">
        <v>431</v>
      </c>
      <c r="S957" s="106" t="str" cm="1">
        <f t="array" ref="S957">IF(TRIM($D957)="","(tidak diisi)",IFERROR(INDEX(Kamus!$B$3:$B$28,MATCH(TRUE,ISNUMBER(SEARCH(Kamus!$A$3:$A$28,$D957)),0)),"Jabatan Lainnya"))</f>
        <v>Ketua Pengadilan</v>
      </c>
      <c r="T957" s="106" t="str" cm="1">
        <f t="array" ref="T957">IF(TRIM($I957)="","(tidak diisi)",IFERROR(INDEX(Kamus!$E$3:$E$162,MATCH(TRUE,ISNUMBER(SEARCH(Kamus!$D$3:$D$162,$I957)),0)),"Barang Lain / Tidak Terinci"))</f>
        <v>Makanan &amp; Minuman</v>
      </c>
      <c r="U957" s="106" t="str" cm="1">
        <f t="array" ref="U957">IF(TRIM($I957)="","(tidak diisi)",IFERROR(INDEX(Kamus!$H$3:$H$75,MATCH(TRUE,ISNUMBER(SEARCH(Kamus!$G$3:$G$75,$I957)),0)),"Pemberian Umum / Tanpa Konteks"))</f>
        <v>Parsel/Bingkisan Umum (non-hari raya)</v>
      </c>
      <c r="V957" s="106" t="str">
        <f t="shared" si="42"/>
        <v>2026</v>
      </c>
      <c r="W957" s="106" t="str" cm="1">
        <f t="array" ref="W957">IF(TRIM($K957)="","(tidak diisi)",IFERROR(INDEX(Kamus!$K$3:$K$118,MATCH(TRUE,ISNUMBER(SEARCH(Kamus!$J$3:$J$118,$K957)),0)),"Individu / Perorangan"))</f>
        <v>Individu / Perorangan</v>
      </c>
      <c r="X957" s="106" t="str">
        <f t="shared" si="43"/>
        <v>03</v>
      </c>
      <c r="Y957" s="106" t="str" cm="1">
        <f t="array" ref="Y957">IFERROR(INDEX(Kamus!$N$3:$N$111,MATCH(TRUE,ISNUMBER(SEARCH(Kamus!$M$3:$M$111,$I957)),0)),"")</f>
        <v/>
      </c>
      <c r="Z957" s="106" t="str">
        <f>IF(AND(OR($X957="02",$X957="03",$X957="04"),OR($T957="Parsel/Bingkisan (tidak dirinci)",$T957="Makanan &amp; Minuman",$T957="Peralatan Rumah Tangga / Pecah Belah",$T957="Pakaian &amp; Kain")),"Momen Hari Raya (dugaan musiman)",IFERROR(VLOOKUP($W957,Kamus!$P$3:$Q$14,2,FALSE),"Tidak Teridentifikasi"))</f>
        <v>Momen Hari Raya (dugaan musiman)</v>
      </c>
      <c r="AA957" s="106" t="str">
        <f t="shared" si="44"/>
        <v>Momen Hari Raya (dugaan musiman)</v>
      </c>
    </row>
    <row r="958" spans="1:27">
      <c r="A958" s="106">
        <v>957</v>
      </c>
      <c r="B958" s="106" t="s">
        <v>5390</v>
      </c>
      <c r="C958" s="107" t="s">
        <v>5391</v>
      </c>
      <c r="D958" s="106" t="s">
        <v>1042</v>
      </c>
      <c r="E958" s="106" t="s">
        <v>5392</v>
      </c>
      <c r="F958" s="106" t="s">
        <v>5474</v>
      </c>
      <c r="G958" s="106" t="s">
        <v>1006</v>
      </c>
      <c r="H958" s="106" t="s">
        <v>5023</v>
      </c>
      <c r="I958" s="106" t="s">
        <v>5405</v>
      </c>
      <c r="J958" s="106">
        <v>25000</v>
      </c>
      <c r="K958" s="106" t="s">
        <v>5406</v>
      </c>
      <c r="L958" s="106" t="s">
        <v>5475</v>
      </c>
      <c r="M958" s="106" t="s">
        <v>1039</v>
      </c>
      <c r="O958" s="106" t="s">
        <v>274</v>
      </c>
      <c r="P958" s="106" t="s">
        <v>5396</v>
      </c>
      <c r="Q958" s="106" t="s">
        <v>431</v>
      </c>
      <c r="S958" s="106" t="str" cm="1">
        <f t="array" ref="S958">IF(TRIM($D958)="","(tidak diisi)",IFERROR(INDEX(Kamus!$B$3:$B$28,MATCH(TRUE,ISNUMBER(SEARCH(Kamus!$A$3:$A$28,$D958)),0)),"Jabatan Lainnya"))</f>
        <v>Ketua Pengadilan</v>
      </c>
      <c r="T958" s="106" t="str" cm="1">
        <f t="array" ref="T958">IF(TRIM($I958)="","(tidak diisi)",IFERROR(INDEX(Kamus!$E$3:$E$162,MATCH(TRUE,ISNUMBER(SEARCH(Kamus!$D$3:$D$162,$I958)),0)),"Barang Lain / Tidak Terinci"))</f>
        <v>Suvenir &amp; Merchandise</v>
      </c>
      <c r="U958" s="106" t="str" cm="1">
        <f t="array" ref="U958">IF(TRIM($I958)="","(tidak diisi)",IFERROR(INDEX(Kamus!$H$3:$H$75,MATCH(TRUE,ISNUMBER(SEARCH(Kamus!$G$3:$G$75,$I958)),0)),"Pemberian Umum / Tanpa Konteks"))</f>
        <v>Suvenir / Merchandise Kegiatan &amp; Kunjungan</v>
      </c>
      <c r="V958" s="106" t="str">
        <f t="shared" si="42"/>
        <v>2026</v>
      </c>
      <c r="W958" s="106" t="str" cm="1">
        <f t="array" ref="W958">IF(TRIM($K958)="","(tidak diisi)",IFERROR(INDEX(Kamus!$K$3:$K$118,MATCH(TRUE,ISNUMBER(SEARCH(Kamus!$J$3:$J$118,$K958)),0)),"Individu / Perorangan"))</f>
        <v>Individu / Perorangan</v>
      </c>
      <c r="X958" s="106" t="str">
        <f t="shared" si="43"/>
        <v>03</v>
      </c>
      <c r="Y958" s="106" t="str" cm="1">
        <f t="array" ref="Y958">IFERROR(INDEX(Kamus!$N$3:$N$111,MATCH(TRUE,ISNUMBER(SEARCH(Kamus!$M$3:$M$111,$I958)),0)),"")</f>
        <v/>
      </c>
      <c r="Z958" s="106" t="str">
        <f>IF(AND(OR($X958="02",$X958="03",$X958="04"),OR($T958="Parsel/Bingkisan (tidak dirinci)",$T958="Makanan &amp; Minuman",$T958="Peralatan Rumah Tangga / Pecah Belah",$T958="Pakaian &amp; Kain")),"Momen Hari Raya (dugaan musiman)",IFERROR(VLOOKUP($W958,Kamus!$P$3:$Q$14,2,FALSE),"Tidak Teridentifikasi"))</f>
        <v>Relasi Personal / Tidak Teridentifikasi</v>
      </c>
      <c r="AA958" s="106" t="str">
        <f t="shared" si="44"/>
        <v>Relasi Personal / Tidak Teridentifikasi</v>
      </c>
    </row>
    <row r="959" spans="1:27">
      <c r="A959" s="106">
        <v>958</v>
      </c>
      <c r="B959" s="106" t="s">
        <v>5390</v>
      </c>
      <c r="C959" s="107" t="s">
        <v>5391</v>
      </c>
      <c r="D959" s="106" t="s">
        <v>1042</v>
      </c>
      <c r="E959" s="106" t="s">
        <v>5392</v>
      </c>
      <c r="F959" s="106" t="s">
        <v>5476</v>
      </c>
      <c r="G959" s="106" t="s">
        <v>1006</v>
      </c>
      <c r="H959" s="106" t="s">
        <v>5020</v>
      </c>
      <c r="I959" s="106" t="s">
        <v>1036</v>
      </c>
      <c r="J959" s="106">
        <v>200800</v>
      </c>
      <c r="K959" s="106" t="s">
        <v>5401</v>
      </c>
      <c r="L959" s="106" t="s">
        <v>5477</v>
      </c>
      <c r="M959" s="106" t="s">
        <v>1171</v>
      </c>
      <c r="O959" s="106" t="s">
        <v>274</v>
      </c>
      <c r="P959" s="106" t="s">
        <v>5396</v>
      </c>
      <c r="Q959" s="106" t="s">
        <v>431</v>
      </c>
      <c r="S959" s="106" t="str" cm="1">
        <f t="array" ref="S959">IF(TRIM($D959)="","(tidak diisi)",IFERROR(INDEX(Kamus!$B$3:$B$28,MATCH(TRUE,ISNUMBER(SEARCH(Kamus!$A$3:$A$28,$D959)),0)),"Jabatan Lainnya"))</f>
        <v>Ketua Pengadilan</v>
      </c>
      <c r="T959" s="106" t="str" cm="1">
        <f t="array" ref="T959">IF(TRIM($I959)="","(tidak diisi)",IFERROR(INDEX(Kamus!$E$3:$E$162,MATCH(TRUE,ISNUMBER(SEARCH(Kamus!$D$3:$D$162,$I959)),0)),"Barang Lain / Tidak Terinci"))</f>
        <v>Peralatan Rumah Tangga / Pecah Belah</v>
      </c>
      <c r="U959" s="106" t="str" cm="1">
        <f t="array" ref="U959">IF(TRIM($I959)="","(tidak diisi)",IFERROR(INDEX(Kamus!$H$3:$H$75,MATCH(TRUE,ISNUMBER(SEARCH(Kamus!$G$3:$G$75,$I959)),0)),"Pemberian Umum / Tanpa Konteks"))</f>
        <v>Parsel/Bingkisan Umum (non-hari raya)</v>
      </c>
      <c r="V959" s="106" t="str">
        <f t="shared" si="42"/>
        <v>2026</v>
      </c>
      <c r="W959" s="106" t="str" cm="1">
        <f t="array" ref="W959">IF(TRIM($K959)="","(tidak diisi)",IFERROR(INDEX(Kamus!$K$3:$K$118,MATCH(TRUE,ISNUMBER(SEARCH(Kamus!$J$3:$J$118,$K959)),0)),"Individu / Perorangan"))</f>
        <v>Individu / Perorangan</v>
      </c>
      <c r="X959" s="106" t="str">
        <f t="shared" si="43"/>
        <v>03</v>
      </c>
      <c r="Y959" s="106" t="str" cm="1">
        <f t="array" ref="Y959">IFERROR(INDEX(Kamus!$N$3:$N$111,MATCH(TRUE,ISNUMBER(SEARCH(Kamus!$M$3:$M$111,$I959)),0)),"")</f>
        <v/>
      </c>
      <c r="Z959" s="106" t="str">
        <f>IF(AND(OR($X959="02",$X959="03",$X959="04"),OR($T959="Parsel/Bingkisan (tidak dirinci)",$T959="Makanan &amp; Minuman",$T959="Peralatan Rumah Tangga / Pecah Belah",$T959="Pakaian &amp; Kain")),"Momen Hari Raya (dugaan musiman)",IFERROR(VLOOKUP($W959,Kamus!$P$3:$Q$14,2,FALSE),"Tidak Teridentifikasi"))</f>
        <v>Momen Hari Raya (dugaan musiman)</v>
      </c>
      <c r="AA959" s="106" t="str">
        <f t="shared" si="44"/>
        <v>Momen Hari Raya (dugaan musiman)</v>
      </c>
    </row>
    <row r="960" spans="1:27">
      <c r="A960" s="106">
        <v>959</v>
      </c>
      <c r="B960" s="106" t="s">
        <v>5390</v>
      </c>
      <c r="C960" s="107" t="s">
        <v>5391</v>
      </c>
      <c r="D960" s="106" t="s">
        <v>1042</v>
      </c>
      <c r="E960" s="106" t="s">
        <v>5392</v>
      </c>
      <c r="F960" s="106" t="s">
        <v>5478</v>
      </c>
      <c r="G960" s="106" t="s">
        <v>1006</v>
      </c>
      <c r="H960" s="106" t="s">
        <v>5184</v>
      </c>
      <c r="I960" s="106" t="s">
        <v>1036</v>
      </c>
      <c r="J960" s="106">
        <v>669300</v>
      </c>
      <c r="K960" s="106" t="s">
        <v>5479</v>
      </c>
      <c r="L960" s="106" t="s">
        <v>5480</v>
      </c>
      <c r="M960" s="106" t="s">
        <v>1171</v>
      </c>
      <c r="N960" s="106" t="s">
        <v>5481</v>
      </c>
      <c r="O960" s="106" t="s">
        <v>274</v>
      </c>
      <c r="P960" s="106" t="s">
        <v>5396</v>
      </c>
      <c r="Q960" s="106" t="s">
        <v>431</v>
      </c>
      <c r="S960" s="106" t="str" cm="1">
        <f t="array" ref="S960">IF(TRIM($D960)="","(tidak diisi)",IFERROR(INDEX(Kamus!$B$3:$B$28,MATCH(TRUE,ISNUMBER(SEARCH(Kamus!$A$3:$A$28,$D960)),0)),"Jabatan Lainnya"))</f>
        <v>Ketua Pengadilan</v>
      </c>
      <c r="T960" s="106" t="str" cm="1">
        <f t="array" ref="T960">IF(TRIM($I960)="","(tidak diisi)",IFERROR(INDEX(Kamus!$E$3:$E$162,MATCH(TRUE,ISNUMBER(SEARCH(Kamus!$D$3:$D$162,$I960)),0)),"Barang Lain / Tidak Terinci"))</f>
        <v>Peralatan Rumah Tangga / Pecah Belah</v>
      </c>
      <c r="U960" s="106" t="str" cm="1">
        <f t="array" ref="U960">IF(TRIM($I960)="","(tidak diisi)",IFERROR(INDEX(Kamus!$H$3:$H$75,MATCH(TRUE,ISNUMBER(SEARCH(Kamus!$G$3:$G$75,$I960)),0)),"Pemberian Umum / Tanpa Konteks"))</f>
        <v>Parsel/Bingkisan Umum (non-hari raya)</v>
      </c>
      <c r="V960" s="106" t="str">
        <f t="shared" si="42"/>
        <v>2026</v>
      </c>
      <c r="W960" s="106" t="str" cm="1">
        <f t="array" ref="W960">IF(TRIM($K960)="","(tidak diisi)",IFERROR(INDEX(Kamus!$K$3:$K$118,MATCH(TRUE,ISNUMBER(SEARCH(Kamus!$J$3:$J$118,$K960)),0)),"Individu / Perorangan"))</f>
        <v>Individu / Perorangan</v>
      </c>
      <c r="X960" s="106" t="str">
        <f t="shared" si="43"/>
        <v>03</v>
      </c>
      <c r="Y960" s="106" t="str" cm="1">
        <f t="array" ref="Y960">IFERROR(INDEX(Kamus!$N$3:$N$111,MATCH(TRUE,ISNUMBER(SEARCH(Kamus!$M$3:$M$111,$I960)),0)),"")</f>
        <v/>
      </c>
      <c r="Z960" s="106" t="str">
        <f>IF(AND(OR($X960="02",$X960="03",$X960="04"),OR($T960="Parsel/Bingkisan (tidak dirinci)",$T960="Makanan &amp; Minuman",$T960="Peralatan Rumah Tangga / Pecah Belah",$T960="Pakaian &amp; Kain")),"Momen Hari Raya (dugaan musiman)",IFERROR(VLOOKUP($W960,Kamus!$P$3:$Q$14,2,FALSE),"Tidak Teridentifikasi"))</f>
        <v>Momen Hari Raya (dugaan musiman)</v>
      </c>
      <c r="AA960" s="106" t="str">
        <f t="shared" si="44"/>
        <v>Momen Hari Raya (dugaan musiman)</v>
      </c>
    </row>
    <row r="961" spans="1:27">
      <c r="A961" s="106">
        <v>960</v>
      </c>
      <c r="B961" s="106" t="s">
        <v>3275</v>
      </c>
      <c r="C961" s="107" t="s">
        <v>3276</v>
      </c>
      <c r="D961" s="106" t="s">
        <v>1042</v>
      </c>
      <c r="E961" s="106" t="s">
        <v>1005</v>
      </c>
      <c r="F961" s="106" t="s">
        <v>5482</v>
      </c>
      <c r="G961" s="106" t="s">
        <v>1006</v>
      </c>
      <c r="H961" s="106" t="s">
        <v>5424</v>
      </c>
      <c r="I961" s="106" t="s">
        <v>5483</v>
      </c>
      <c r="J961" s="106">
        <v>50000</v>
      </c>
      <c r="K961" s="106" t="s">
        <v>5484</v>
      </c>
      <c r="L961" s="106" t="s">
        <v>5485</v>
      </c>
      <c r="M961" s="106" t="s">
        <v>1171</v>
      </c>
      <c r="N961" s="106" t="s">
        <v>5486</v>
      </c>
      <c r="O961" s="106" t="s">
        <v>274</v>
      </c>
      <c r="S961" s="106" t="str" cm="1">
        <f t="array" ref="S961">IF(TRIM($D961)="","(tidak diisi)",IFERROR(INDEX(Kamus!$B$3:$B$28,MATCH(TRUE,ISNUMBER(SEARCH(Kamus!$A$3:$A$28,$D961)),0)),"Jabatan Lainnya"))</f>
        <v>Ketua Pengadilan</v>
      </c>
      <c r="T961" s="106" t="str" cm="1">
        <f t="array" ref="T961">IF(TRIM($I961)="","(tidak diisi)",IFERROR(INDEX(Kamus!$E$3:$E$162,MATCH(TRUE,ISNUMBER(SEARCH(Kamus!$D$3:$D$162,$I961)),0)),"Barang Lain / Tidak Terinci"))</f>
        <v>Pakaian &amp; Kain</v>
      </c>
      <c r="U961" s="106" t="str" cm="1">
        <f t="array" ref="U961">IF(TRIM($I961)="","(tidak diisi)",IFERROR(INDEX(Kamus!$H$3:$H$75,MATCH(TRUE,ISNUMBER(SEARCH(Kamus!$G$3:$G$75,$I961)),0)),"Pemberian Umum / Tanpa Konteks"))</f>
        <v>Pemberian Umum / Tanpa Konteks</v>
      </c>
      <c r="V961" s="106" t="str">
        <f t="shared" si="42"/>
        <v>2026</v>
      </c>
      <c r="W961" s="106" t="str" cm="1">
        <f t="array" ref="W961">IF(TRIM($K961)="","(tidak diisi)",IFERROR(INDEX(Kamus!$K$3:$K$118,MATCH(TRUE,ISNUMBER(SEARCH(Kamus!$J$3:$J$118,$K961)),0)),"Individu / Perorangan"))</f>
        <v>Pemerintah Daerah</v>
      </c>
      <c r="X961" s="106" t="str">
        <f t="shared" si="43"/>
        <v>03</v>
      </c>
      <c r="Y961" s="106" t="str" cm="1">
        <f t="array" ref="Y961">IFERROR(INDEX(Kamus!$N$3:$N$111,MATCH(TRUE,ISNUMBER(SEARCH(Kamus!$M$3:$M$111,$I961)),0)),"")</f>
        <v/>
      </c>
      <c r="Z961" s="106" t="str">
        <f>IF(AND(OR($X961="02",$X961="03",$X961="04"),OR($T961="Parsel/Bingkisan (tidak dirinci)",$T961="Makanan &amp; Minuman",$T961="Peralatan Rumah Tangga / Pecah Belah",$T961="Pakaian &amp; Kain")),"Momen Hari Raya (dugaan musiman)",IFERROR(VLOOKUP($W961,Kamus!$P$3:$Q$14,2,FALSE),"Tidak Teridentifikasi"))</f>
        <v>Momen Hari Raya (dugaan musiman)</v>
      </c>
      <c r="AA961" s="106" t="str">
        <f t="shared" si="44"/>
        <v>Momen Hari Raya (dugaan musiman)</v>
      </c>
    </row>
    <row r="962" spans="1:27">
      <c r="A962" s="106">
        <v>961</v>
      </c>
      <c r="B962" s="106" t="s">
        <v>5487</v>
      </c>
      <c r="C962" s="107" t="s">
        <v>5488</v>
      </c>
      <c r="D962" s="106" t="s">
        <v>1042</v>
      </c>
      <c r="E962" s="106" t="s">
        <v>5489</v>
      </c>
      <c r="F962" s="106" t="s">
        <v>5490</v>
      </c>
      <c r="G962" s="106" t="s">
        <v>1006</v>
      </c>
      <c r="H962" s="106" t="s">
        <v>5263</v>
      </c>
      <c r="I962" s="106" t="s">
        <v>5491</v>
      </c>
      <c r="J962" s="106">
        <v>669900</v>
      </c>
      <c r="K962" s="106" t="s">
        <v>5492</v>
      </c>
      <c r="L962" s="106" t="s">
        <v>5493</v>
      </c>
      <c r="M962" s="106" t="s">
        <v>1171</v>
      </c>
      <c r="N962" s="106" t="s">
        <v>5494</v>
      </c>
      <c r="O962" s="106" t="s">
        <v>274</v>
      </c>
      <c r="P962" s="106" t="s">
        <v>5495</v>
      </c>
      <c r="Q962" s="106" t="s">
        <v>428</v>
      </c>
      <c r="S962" s="106" t="str" cm="1">
        <f t="array" ref="S962">IF(TRIM($D962)="","(tidak diisi)",IFERROR(INDEX(Kamus!$B$3:$B$28,MATCH(TRUE,ISNUMBER(SEARCH(Kamus!$A$3:$A$28,$D962)),0)),"Jabatan Lainnya"))</f>
        <v>Ketua Pengadilan</v>
      </c>
      <c r="T962" s="106" t="str" cm="1">
        <f t="array" ref="T962">IF(TRIM($I962)="","(tidak diisi)",IFERROR(INDEX(Kamus!$E$3:$E$162,MATCH(TRUE,ISNUMBER(SEARCH(Kamus!$D$3:$D$162,$I962)),0)),"Barang Lain / Tidak Terinci"))</f>
        <v>Pakaian &amp; Kain</v>
      </c>
      <c r="U962" s="106" t="str" cm="1">
        <f t="array" ref="U962">IF(TRIM($I962)="","(tidak diisi)",IFERROR(INDEX(Kamus!$H$3:$H$75,MATCH(TRUE,ISNUMBER(SEARCH(Kamus!$G$3:$G$75,$I962)),0)),"Pemberian Umum / Tanpa Konteks"))</f>
        <v>Pemberian Umum / Tanpa Konteks</v>
      </c>
      <c r="V962" s="106" t="str">
        <f t="shared" si="42"/>
        <v>2026</v>
      </c>
      <c r="W962" s="106" t="str" cm="1">
        <f t="array" ref="W962">IF(TRIM($K962)="","(tidak diisi)",IFERROR(INDEX(Kamus!$K$3:$K$118,MATCH(TRUE,ISNUMBER(SEARCH(Kamus!$J$3:$J$118,$K962)),0)),"Individu / Perorangan"))</f>
        <v>Individu / Perorangan</v>
      </c>
      <c r="X962" s="106" t="str">
        <f t="shared" si="43"/>
        <v>03</v>
      </c>
      <c r="Y962" s="106" t="str" cm="1">
        <f t="array" ref="Y962">IFERROR(INDEX(Kamus!$N$3:$N$111,MATCH(TRUE,ISNUMBER(SEARCH(Kamus!$M$3:$M$111,$I962)),0)),"")</f>
        <v/>
      </c>
      <c r="Z962" s="106" t="str">
        <f>IF(AND(OR($X962="02",$X962="03",$X962="04"),OR($T962="Parsel/Bingkisan (tidak dirinci)",$T962="Makanan &amp; Minuman",$T962="Peralatan Rumah Tangga / Pecah Belah",$T962="Pakaian &amp; Kain")),"Momen Hari Raya (dugaan musiman)",IFERROR(VLOOKUP($W962,Kamus!$P$3:$Q$14,2,FALSE),"Tidak Teridentifikasi"))</f>
        <v>Momen Hari Raya (dugaan musiman)</v>
      </c>
      <c r="AA962" s="106" t="str">
        <f t="shared" si="44"/>
        <v>Momen Hari Raya (dugaan musiman)</v>
      </c>
    </row>
    <row r="963" spans="1:27">
      <c r="A963" s="106">
        <v>962</v>
      </c>
      <c r="B963" s="106" t="s">
        <v>5487</v>
      </c>
      <c r="C963" s="107" t="s">
        <v>5488</v>
      </c>
      <c r="D963" s="106" t="s">
        <v>1042</v>
      </c>
      <c r="E963" s="106" t="s">
        <v>5489</v>
      </c>
      <c r="F963" s="106" t="s">
        <v>5490</v>
      </c>
      <c r="G963" s="106" t="s">
        <v>1006</v>
      </c>
      <c r="H963" s="106" t="s">
        <v>5263</v>
      </c>
      <c r="I963" s="106" t="s">
        <v>5496</v>
      </c>
      <c r="J963" s="106">
        <v>400000</v>
      </c>
      <c r="K963" s="106" t="s">
        <v>5497</v>
      </c>
      <c r="L963" s="106" t="s">
        <v>5493</v>
      </c>
      <c r="M963" s="106" t="s">
        <v>2529</v>
      </c>
      <c r="N963" s="106" t="s">
        <v>5494</v>
      </c>
      <c r="O963" s="106" t="s">
        <v>274</v>
      </c>
      <c r="P963" s="106" t="s">
        <v>5495</v>
      </c>
      <c r="Q963" s="106" t="s">
        <v>428</v>
      </c>
      <c r="S963" s="106" t="str" cm="1">
        <f t="array" ref="S963">IF(TRIM($D963)="","(tidak diisi)",IFERROR(INDEX(Kamus!$B$3:$B$28,MATCH(TRUE,ISNUMBER(SEARCH(Kamus!$A$3:$A$28,$D963)),0)),"Jabatan Lainnya"))</f>
        <v>Ketua Pengadilan</v>
      </c>
      <c r="T963" s="106" t="str" cm="1">
        <f t="array" ref="T963">IF(TRIM($I963)="","(tidak diisi)",IFERROR(INDEX(Kamus!$E$3:$E$162,MATCH(TRUE,ISNUMBER(SEARCH(Kamus!$D$3:$D$162,$I963)),0)),"Barang Lain / Tidak Terinci"))</f>
        <v>Parsel/Bingkisan (tidak dirinci)</v>
      </c>
      <c r="U963" s="106" t="str" cm="1">
        <f t="array" ref="U963">IF(TRIM($I963)="","(tidak diisi)",IFERROR(INDEX(Kamus!$H$3:$H$75,MATCH(TRUE,ISNUMBER(SEARCH(Kamus!$G$3:$G$75,$I963)),0)),"Pemberian Umum / Tanpa Konteks"))</f>
        <v>Bingkisan Hari Raya / Keagamaan</v>
      </c>
      <c r="V963" s="106" t="str">
        <f t="shared" ref="V963:V1026" si="45">IF($H963="","(tidak diisi)",IF(ISNUMBER($H963),TEXT(YEAR($H963),"0"),LEFT($H963,4)))</f>
        <v>2026</v>
      </c>
      <c r="W963" s="106" t="str" cm="1">
        <f t="array" ref="W963">IF(TRIM($K963)="","(tidak diisi)",IFERROR(INDEX(Kamus!$K$3:$K$118,MATCH(TRUE,ISNUMBER(SEARCH(Kamus!$J$3:$J$118,$K963)),0)),"Individu / Perorangan"))</f>
        <v>Individu / Perorangan</v>
      </c>
      <c r="X963" s="106" t="str">
        <f t="shared" ref="X963:X1026" si="46">IF($H963="","(tidak diisi)",IF(ISNUMBER($H963),TEXT(MONTH($H963),"00"),MID($H963,6,2)))</f>
        <v>03</v>
      </c>
      <c r="Y963" s="106" t="str" cm="1">
        <f t="array" ref="Y963">IFERROR(INDEX(Kamus!$N$3:$N$111,MATCH(TRUE,ISNUMBER(SEARCH(Kamus!$M$3:$M$111,$I963)),0)),"")</f>
        <v>Momen Hari Raya (Ramadan/Idulfitri)</v>
      </c>
      <c r="Z963" s="106" t="str">
        <f>IF(AND(OR($X963="02",$X963="03",$X963="04"),OR($T963="Parsel/Bingkisan (tidak dirinci)",$T963="Makanan &amp; Minuman",$T963="Peralatan Rumah Tangga / Pecah Belah",$T963="Pakaian &amp; Kain")),"Momen Hari Raya (dugaan musiman)",IFERROR(VLOOKUP($W963,Kamus!$P$3:$Q$14,2,FALSE),"Tidak Teridentifikasi"))</f>
        <v>Momen Hari Raya (dugaan musiman)</v>
      </c>
      <c r="AA963" s="106" t="str">
        <f t="shared" ref="AA963:AA1026" si="47">IF($Y963="",$Z963,$Y963)</f>
        <v>Momen Hari Raya (Ramadan/Idulfitri)</v>
      </c>
    </row>
    <row r="964" spans="1:27">
      <c r="A964" s="106">
        <v>963</v>
      </c>
      <c r="B964" s="106" t="s">
        <v>5487</v>
      </c>
      <c r="C964" s="107" t="s">
        <v>5488</v>
      </c>
      <c r="D964" s="106" t="s">
        <v>1042</v>
      </c>
      <c r="E964" s="106" t="s">
        <v>5489</v>
      </c>
      <c r="F964" s="106" t="s">
        <v>5490</v>
      </c>
      <c r="G964" s="106" t="s">
        <v>1006</v>
      </c>
      <c r="H964" s="106" t="s">
        <v>5263</v>
      </c>
      <c r="I964" s="106" t="s">
        <v>2107</v>
      </c>
      <c r="J964" s="106">
        <v>160000</v>
      </c>
      <c r="K964" s="106" t="s">
        <v>5498</v>
      </c>
      <c r="L964" s="106" t="s">
        <v>5493</v>
      </c>
      <c r="M964" s="106" t="s">
        <v>2529</v>
      </c>
      <c r="N964" s="106" t="s">
        <v>5494</v>
      </c>
      <c r="O964" s="106" t="s">
        <v>274</v>
      </c>
      <c r="P964" s="106" t="s">
        <v>5495</v>
      </c>
      <c r="Q964" s="106" t="s">
        <v>428</v>
      </c>
      <c r="S964" s="106" t="str" cm="1">
        <f t="array" ref="S964">IF(TRIM($D964)="","(tidak diisi)",IFERROR(INDEX(Kamus!$B$3:$B$28,MATCH(TRUE,ISNUMBER(SEARCH(Kamus!$A$3:$A$28,$D964)),0)),"Jabatan Lainnya"))</f>
        <v>Ketua Pengadilan</v>
      </c>
      <c r="T964" s="106" t="str" cm="1">
        <f t="array" ref="T964">IF(TRIM($I964)="","(tidak diisi)",IFERROR(INDEX(Kamus!$E$3:$E$162,MATCH(TRUE,ISNUMBER(SEARCH(Kamus!$D$3:$D$162,$I964)),0)),"Barang Lain / Tidak Terinci"))</f>
        <v>Makanan &amp; Minuman</v>
      </c>
      <c r="U964" s="106" t="str" cm="1">
        <f t="array" ref="U964">IF(TRIM($I964)="","(tidak diisi)",IFERROR(INDEX(Kamus!$H$3:$H$75,MATCH(TRUE,ISNUMBER(SEARCH(Kamus!$G$3:$G$75,$I964)),0)),"Pemberian Umum / Tanpa Konteks"))</f>
        <v>Pemberian Umum / Tanpa Konteks</v>
      </c>
      <c r="V964" s="106" t="str">
        <f t="shared" si="45"/>
        <v>2026</v>
      </c>
      <c r="W964" s="106" t="str" cm="1">
        <f t="array" ref="W964">IF(TRIM($K964)="","(tidak diisi)",IFERROR(INDEX(Kamus!$K$3:$K$118,MATCH(TRUE,ISNUMBER(SEARCH(Kamus!$J$3:$J$118,$K964)),0)),"Individu / Perorangan"))</f>
        <v>Perusahaan / Vendor</v>
      </c>
      <c r="X964" s="106" t="str">
        <f t="shared" si="46"/>
        <v>03</v>
      </c>
      <c r="Y964" s="106" t="str" cm="1">
        <f t="array" ref="Y964">IFERROR(INDEX(Kamus!$N$3:$N$111,MATCH(TRUE,ISNUMBER(SEARCH(Kamus!$M$3:$M$111,$I964)),0)),"")</f>
        <v/>
      </c>
      <c r="Z964" s="106" t="str">
        <f>IF(AND(OR($X964="02",$X964="03",$X964="04"),OR($T964="Parsel/Bingkisan (tidak dirinci)",$T964="Makanan &amp; Minuman",$T964="Peralatan Rumah Tangga / Pecah Belah",$T964="Pakaian &amp; Kain")),"Momen Hari Raya (dugaan musiman)",IFERROR(VLOOKUP($W964,Kamus!$P$3:$Q$14,2,FALSE),"Tidak Teridentifikasi"))</f>
        <v>Momen Hari Raya (dugaan musiman)</v>
      </c>
      <c r="AA964" s="106" t="str">
        <f t="shared" si="47"/>
        <v>Momen Hari Raya (dugaan musiman)</v>
      </c>
    </row>
    <row r="965" spans="1:27">
      <c r="A965" s="106">
        <v>964</v>
      </c>
      <c r="B965" s="106" t="s">
        <v>5487</v>
      </c>
      <c r="C965" s="107" t="s">
        <v>5488</v>
      </c>
      <c r="D965" s="106" t="s">
        <v>1042</v>
      </c>
      <c r="E965" s="106" t="s">
        <v>5489</v>
      </c>
      <c r="F965" s="106" t="s">
        <v>5490</v>
      </c>
      <c r="G965" s="106" t="s">
        <v>1006</v>
      </c>
      <c r="H965" s="106" t="s">
        <v>5263</v>
      </c>
      <c r="I965" s="106" t="s">
        <v>5499</v>
      </c>
      <c r="J965" s="106">
        <v>433000</v>
      </c>
      <c r="K965" s="106" t="s">
        <v>5500</v>
      </c>
      <c r="L965" s="106" t="s">
        <v>5493</v>
      </c>
      <c r="M965" s="106" t="s">
        <v>2529</v>
      </c>
      <c r="N965" s="106" t="s">
        <v>5494</v>
      </c>
      <c r="O965" s="106" t="s">
        <v>274</v>
      </c>
      <c r="P965" s="106" t="s">
        <v>5495</v>
      </c>
      <c r="Q965" s="106" t="s">
        <v>428</v>
      </c>
      <c r="S965" s="106" t="str" cm="1">
        <f t="array" ref="S965">IF(TRIM($D965)="","(tidak diisi)",IFERROR(INDEX(Kamus!$B$3:$B$28,MATCH(TRUE,ISNUMBER(SEARCH(Kamus!$A$3:$A$28,$D965)),0)),"Jabatan Lainnya"))</f>
        <v>Ketua Pengadilan</v>
      </c>
      <c r="T965" s="106" t="str" cm="1">
        <f t="array" ref="T965">IF(TRIM($I965)="","(tidak diisi)",IFERROR(INDEX(Kamus!$E$3:$E$162,MATCH(TRUE,ISNUMBER(SEARCH(Kamus!$D$3:$D$162,$I965)),0)),"Barang Lain / Tidak Terinci"))</f>
        <v>Makanan &amp; Minuman</v>
      </c>
      <c r="U965" s="106" t="str" cm="1">
        <f t="array" ref="U965">IF(TRIM($I965)="","(tidak diisi)",IFERROR(INDEX(Kamus!$H$3:$H$75,MATCH(TRUE,ISNUMBER(SEARCH(Kamus!$G$3:$G$75,$I965)),0)),"Pemberian Umum / Tanpa Konteks"))</f>
        <v>Bingkisan Hari Raya / Keagamaan</v>
      </c>
      <c r="V965" s="106" t="str">
        <f t="shared" si="45"/>
        <v>2026</v>
      </c>
      <c r="W965" s="106" t="str" cm="1">
        <f t="array" ref="W965">IF(TRIM($K965)="","(tidak diisi)",IFERROR(INDEX(Kamus!$K$3:$K$118,MATCH(TRUE,ISNUMBER(SEARCH(Kamus!$J$3:$J$118,$K965)),0)),"Individu / Perorangan"))</f>
        <v>Individu / Perorangan</v>
      </c>
      <c r="X965" s="106" t="str">
        <f t="shared" si="46"/>
        <v>03</v>
      </c>
      <c r="Y965" s="106" t="str" cm="1">
        <f t="array" ref="Y965">IFERROR(INDEX(Kamus!$N$3:$N$111,MATCH(TRUE,ISNUMBER(SEARCH(Kamus!$M$3:$M$111,$I965)),0)),"")</f>
        <v>Momen Hari Raya (Ramadan/Idulfitri)</v>
      </c>
      <c r="Z965" s="106" t="str">
        <f>IF(AND(OR($X965="02",$X965="03",$X965="04"),OR($T965="Parsel/Bingkisan (tidak dirinci)",$T965="Makanan &amp; Minuman",$T965="Peralatan Rumah Tangga / Pecah Belah",$T965="Pakaian &amp; Kain")),"Momen Hari Raya (dugaan musiman)",IFERROR(VLOOKUP($W965,Kamus!$P$3:$Q$14,2,FALSE),"Tidak Teridentifikasi"))</f>
        <v>Momen Hari Raya (dugaan musiman)</v>
      </c>
      <c r="AA965" s="106" t="str">
        <f t="shared" si="47"/>
        <v>Momen Hari Raya (Ramadan/Idulfitri)</v>
      </c>
    </row>
    <row r="966" spans="1:27">
      <c r="A966" s="106">
        <v>965</v>
      </c>
      <c r="B966" s="106" t="s">
        <v>5501</v>
      </c>
      <c r="C966" s="107" t="s">
        <v>5502</v>
      </c>
      <c r="D966" s="106" t="s">
        <v>1336</v>
      </c>
      <c r="E966" s="106" t="s">
        <v>2998</v>
      </c>
      <c r="F966" s="106" t="s">
        <v>5503</v>
      </c>
      <c r="G966" s="106" t="s">
        <v>1074</v>
      </c>
      <c r="H966" s="106" t="s">
        <v>5023</v>
      </c>
      <c r="I966" s="106" t="s">
        <v>1017</v>
      </c>
      <c r="J966" s="106">
        <v>10000000</v>
      </c>
      <c r="K966" s="106" t="s">
        <v>4298</v>
      </c>
      <c r="L966" s="106" t="s">
        <v>5504</v>
      </c>
      <c r="M966" s="106" t="s">
        <v>2247</v>
      </c>
      <c r="O966" s="106" t="s">
        <v>274</v>
      </c>
      <c r="P966" s="106" t="s">
        <v>3003</v>
      </c>
      <c r="Q966" s="106" t="s">
        <v>430</v>
      </c>
      <c r="S966" s="106" t="str" cm="1">
        <f t="array" ref="S966">IF(TRIM($D966)="","(tidak diisi)",IFERROR(INDEX(Kamus!$B$3:$B$28,MATCH(TRUE,ISNUMBER(SEARCH(Kamus!$A$3:$A$28,$D966)),0)),"Jabatan Lainnya"))</f>
        <v>Panitera</v>
      </c>
      <c r="T966" s="106" t="str" cm="1">
        <f t="array" ref="T966">IF(TRIM($I966)="","(tidak diisi)",IFERROR(INDEX(Kamus!$E$3:$E$162,MATCH(TRUE,ISNUMBER(SEARCH(Kamus!$D$3:$D$162,$I966)),0)),"Barang Lain / Tidak Terinci"))</f>
        <v>Uang &amp; Setara Uang</v>
      </c>
      <c r="U966" s="106" t="str" cm="1">
        <f t="array" ref="U966">IF(TRIM($I966)="","(tidak diisi)",IFERROR(INDEX(Kamus!$H$3:$H$75,MATCH(TRUE,ISNUMBER(SEARCH(Kamus!$G$3:$G$75,$I966)),0)),"Pemberian Umum / Tanpa Konteks"))</f>
        <v>Pemberian Uang Langsung</v>
      </c>
      <c r="V966" s="106" t="str">
        <f t="shared" si="45"/>
        <v>2026</v>
      </c>
      <c r="W966" s="106" t="str" cm="1">
        <f t="array" ref="W966">IF(TRIM($K966)="","(tidak diisi)",IFERROR(INDEX(Kamus!$K$3:$K$118,MATCH(TRUE,ISNUMBER(SEARCH(Kamus!$J$3:$J$118,$K966)),0)),"Individu / Perorangan"))</f>
        <v>Individu / Perorangan</v>
      </c>
      <c r="X966" s="106" t="str">
        <f t="shared" si="46"/>
        <v>03</v>
      </c>
      <c r="Y966" s="106" t="str" cm="1">
        <f t="array" ref="Y966">IFERROR(INDEX(Kamus!$N$3:$N$111,MATCH(TRUE,ISNUMBER(SEARCH(Kamus!$M$3:$M$111,$I966)),0)),"")</f>
        <v/>
      </c>
      <c r="Z966" s="106" t="str">
        <f>IF(AND(OR($X966="02",$X966="03",$X966="04"),OR($T966="Parsel/Bingkisan (tidak dirinci)",$T966="Makanan &amp; Minuman",$T966="Peralatan Rumah Tangga / Pecah Belah",$T966="Pakaian &amp; Kain")),"Momen Hari Raya (dugaan musiman)",IFERROR(VLOOKUP($W966,Kamus!$P$3:$Q$14,2,FALSE),"Tidak Teridentifikasi"))</f>
        <v>Relasi Personal / Tidak Teridentifikasi</v>
      </c>
      <c r="AA966" s="106" t="str">
        <f t="shared" si="47"/>
        <v>Relasi Personal / Tidak Teridentifikasi</v>
      </c>
    </row>
    <row r="967" spans="1:27">
      <c r="A967" s="106">
        <v>966</v>
      </c>
      <c r="B967" s="106" t="s">
        <v>3559</v>
      </c>
      <c r="C967" s="107" t="s">
        <v>5464</v>
      </c>
      <c r="D967" s="106" t="s">
        <v>1042</v>
      </c>
      <c r="E967" s="106" t="s">
        <v>5465</v>
      </c>
      <c r="F967" s="106" t="s">
        <v>5505</v>
      </c>
      <c r="G967" s="106" t="s">
        <v>1006</v>
      </c>
      <c r="H967" s="106" t="s">
        <v>5424</v>
      </c>
      <c r="I967" s="106" t="s">
        <v>5506</v>
      </c>
      <c r="K967" s="106" t="s">
        <v>5507</v>
      </c>
      <c r="L967" s="106" t="s">
        <v>5508</v>
      </c>
      <c r="O967" s="106" t="s">
        <v>274</v>
      </c>
      <c r="P967" s="106" t="s">
        <v>5467</v>
      </c>
      <c r="Q967" s="106" t="s">
        <v>425</v>
      </c>
      <c r="S967" s="106" t="str" cm="1">
        <f t="array" ref="S967">IF(TRIM($D967)="","(tidak diisi)",IFERROR(INDEX(Kamus!$B$3:$B$28,MATCH(TRUE,ISNUMBER(SEARCH(Kamus!$A$3:$A$28,$D967)),0)),"Jabatan Lainnya"))</f>
        <v>Ketua Pengadilan</v>
      </c>
      <c r="T967" s="106" t="str" cm="1">
        <f t="array" ref="T967">IF(TRIM($I967)="","(tidak diisi)",IFERROR(INDEX(Kamus!$E$3:$E$162,MATCH(TRUE,ISNUMBER(SEARCH(Kamus!$D$3:$D$162,$I967)),0)),"Barang Lain / Tidak Terinci"))</f>
        <v>Pakaian &amp; Kain</v>
      </c>
      <c r="U967" s="106" t="str" cm="1">
        <f t="array" ref="U967">IF(TRIM($I967)="","(tidak diisi)",IFERROR(INDEX(Kamus!$H$3:$H$75,MATCH(TRUE,ISNUMBER(SEARCH(Kamus!$G$3:$G$75,$I967)),0)),"Pemberian Umum / Tanpa Konteks"))</f>
        <v>Parsel/Bingkisan Umum (non-hari raya)</v>
      </c>
      <c r="V967" s="106" t="str">
        <f t="shared" si="45"/>
        <v>2026</v>
      </c>
      <c r="W967" s="106" t="str" cm="1">
        <f t="array" ref="W967">IF(TRIM($K967)="","(tidak diisi)",IFERROR(INDEX(Kamus!$K$3:$K$118,MATCH(TRUE,ISNUMBER(SEARCH(Kamus!$J$3:$J$118,$K967)),0)),"Individu / Perorangan"))</f>
        <v>Individu / Perorangan</v>
      </c>
      <c r="X967" s="106" t="str">
        <f t="shared" si="46"/>
        <v>03</v>
      </c>
      <c r="Y967" s="106" t="str" cm="1">
        <f t="array" ref="Y967">IFERROR(INDEX(Kamus!$N$3:$N$111,MATCH(TRUE,ISNUMBER(SEARCH(Kamus!$M$3:$M$111,$I967)),0)),"")</f>
        <v/>
      </c>
      <c r="Z967" s="106" t="str">
        <f>IF(AND(OR($X967="02",$X967="03",$X967="04"),OR($T967="Parsel/Bingkisan (tidak dirinci)",$T967="Makanan &amp; Minuman",$T967="Peralatan Rumah Tangga / Pecah Belah",$T967="Pakaian &amp; Kain")),"Momen Hari Raya (dugaan musiman)",IFERROR(VLOOKUP($W967,Kamus!$P$3:$Q$14,2,FALSE),"Tidak Teridentifikasi"))</f>
        <v>Momen Hari Raya (dugaan musiman)</v>
      </c>
      <c r="AA967" s="106" t="str">
        <f t="shared" si="47"/>
        <v>Momen Hari Raya (dugaan musiman)</v>
      </c>
    </row>
    <row r="968" spans="1:27">
      <c r="A968" s="106">
        <v>967</v>
      </c>
      <c r="B968" s="106" t="s">
        <v>4977</v>
      </c>
      <c r="C968" s="107" t="s">
        <v>4978</v>
      </c>
      <c r="D968" s="106" t="s">
        <v>4979</v>
      </c>
      <c r="E968" s="106" t="s">
        <v>4872</v>
      </c>
      <c r="F968" s="106" t="s">
        <v>5509</v>
      </c>
      <c r="G968" s="106" t="s">
        <v>1006</v>
      </c>
      <c r="H968" s="106" t="s">
        <v>5023</v>
      </c>
      <c r="I968" s="106" t="s">
        <v>1036</v>
      </c>
      <c r="J968" s="106">
        <v>350000</v>
      </c>
      <c r="K968" s="106" t="s">
        <v>5510</v>
      </c>
      <c r="L968" s="106" t="s">
        <v>5511</v>
      </c>
      <c r="M968" s="106" t="s">
        <v>1039</v>
      </c>
      <c r="O968" s="106" t="s">
        <v>274</v>
      </c>
      <c r="P968" s="106" t="s">
        <v>4873</v>
      </c>
      <c r="Q968" s="106" t="s">
        <v>420</v>
      </c>
      <c r="S968" s="106" t="str" cm="1">
        <f t="array" ref="S968">IF(TRIM($D968)="","(tidak diisi)",IFERROR(INDEX(Kamus!$B$3:$B$28,MATCH(TRUE,ISNUMBER(SEARCH(Kamus!$A$3:$A$28,$D968)),0)),"Jabatan Lainnya"))</f>
        <v>Ketua Pengadilan</v>
      </c>
      <c r="T968" s="106" t="str" cm="1">
        <f t="array" ref="T968">IF(TRIM($I968)="","(tidak diisi)",IFERROR(INDEX(Kamus!$E$3:$E$162,MATCH(TRUE,ISNUMBER(SEARCH(Kamus!$D$3:$D$162,$I968)),0)),"Barang Lain / Tidak Terinci"))</f>
        <v>Peralatan Rumah Tangga / Pecah Belah</v>
      </c>
      <c r="U968" s="106" t="str" cm="1">
        <f t="array" ref="U968">IF(TRIM($I968)="","(tidak diisi)",IFERROR(INDEX(Kamus!$H$3:$H$75,MATCH(TRUE,ISNUMBER(SEARCH(Kamus!$G$3:$G$75,$I968)),0)),"Pemberian Umum / Tanpa Konteks"))</f>
        <v>Parsel/Bingkisan Umum (non-hari raya)</v>
      </c>
      <c r="V968" s="106" t="str">
        <f t="shared" si="45"/>
        <v>2026</v>
      </c>
      <c r="W968" s="106" t="str" cm="1">
        <f t="array" ref="W968">IF(TRIM($K968)="","(tidak diisi)",IFERROR(INDEX(Kamus!$K$3:$K$118,MATCH(TRUE,ISNUMBER(SEARCH(Kamus!$J$3:$J$118,$K968)),0)),"Individu / Perorangan"))</f>
        <v>Pemerintah Daerah</v>
      </c>
      <c r="X968" s="106" t="str">
        <f t="shared" si="46"/>
        <v>03</v>
      </c>
      <c r="Y968" s="106" t="str" cm="1">
        <f t="array" ref="Y968">IFERROR(INDEX(Kamus!$N$3:$N$111,MATCH(TRUE,ISNUMBER(SEARCH(Kamus!$M$3:$M$111,$I968)),0)),"")</f>
        <v/>
      </c>
      <c r="Z968" s="106" t="str">
        <f>IF(AND(OR($X968="02",$X968="03",$X968="04"),OR($T968="Parsel/Bingkisan (tidak dirinci)",$T968="Makanan &amp; Minuman",$T968="Peralatan Rumah Tangga / Pecah Belah",$T968="Pakaian &amp; Kain")),"Momen Hari Raya (dugaan musiman)",IFERROR(VLOOKUP($W968,Kamus!$P$3:$Q$14,2,FALSE),"Tidak Teridentifikasi"))</f>
        <v>Momen Hari Raya (dugaan musiman)</v>
      </c>
      <c r="AA968" s="106" t="str">
        <f t="shared" si="47"/>
        <v>Momen Hari Raya (dugaan musiman)</v>
      </c>
    </row>
    <row r="969" spans="1:27">
      <c r="A969" s="106">
        <v>968</v>
      </c>
      <c r="B969" s="106" t="s">
        <v>4977</v>
      </c>
      <c r="C969" s="107" t="s">
        <v>4978</v>
      </c>
      <c r="D969" s="106" t="s">
        <v>4979</v>
      </c>
      <c r="E969" s="106" t="s">
        <v>4872</v>
      </c>
      <c r="F969" s="106" t="s">
        <v>5509</v>
      </c>
      <c r="G969" s="106" t="s">
        <v>1006</v>
      </c>
      <c r="H969" s="106" t="s">
        <v>5023</v>
      </c>
      <c r="I969" s="106" t="s">
        <v>2459</v>
      </c>
      <c r="J969" s="106">
        <v>200000</v>
      </c>
      <c r="K969" s="106" t="s">
        <v>5510</v>
      </c>
      <c r="L969" s="106" t="s">
        <v>5511</v>
      </c>
      <c r="M969" s="106" t="s">
        <v>2529</v>
      </c>
      <c r="O969" s="106" t="s">
        <v>274</v>
      </c>
      <c r="P969" s="106" t="s">
        <v>4873</v>
      </c>
      <c r="Q969" s="106" t="s">
        <v>420</v>
      </c>
      <c r="S969" s="106" t="str" cm="1">
        <f t="array" ref="S969">IF(TRIM($D969)="","(tidak diisi)",IFERROR(INDEX(Kamus!$B$3:$B$28,MATCH(TRUE,ISNUMBER(SEARCH(Kamus!$A$3:$A$28,$D969)),0)),"Jabatan Lainnya"))</f>
        <v>Ketua Pengadilan</v>
      </c>
      <c r="T969" s="106" t="str" cm="1">
        <f t="array" ref="T969">IF(TRIM($I969)="","(tidak diisi)",IFERROR(INDEX(Kamus!$E$3:$E$162,MATCH(TRUE,ISNUMBER(SEARCH(Kamus!$D$3:$D$162,$I969)),0)),"Barang Lain / Tidak Terinci"))</f>
        <v>Makanan &amp; Minuman</v>
      </c>
      <c r="U969" s="106" t="str" cm="1">
        <f t="array" ref="U969">IF(TRIM($I969)="","(tidak diisi)",IFERROR(INDEX(Kamus!$H$3:$H$75,MATCH(TRUE,ISNUMBER(SEARCH(Kamus!$G$3:$G$75,$I969)),0)),"Pemberian Umum / Tanpa Konteks"))</f>
        <v>Parsel/Bingkisan Umum (non-hari raya)</v>
      </c>
      <c r="V969" s="106" t="str">
        <f t="shared" si="45"/>
        <v>2026</v>
      </c>
      <c r="W969" s="106" t="str" cm="1">
        <f t="array" ref="W969">IF(TRIM($K969)="","(tidak diisi)",IFERROR(INDEX(Kamus!$K$3:$K$118,MATCH(TRUE,ISNUMBER(SEARCH(Kamus!$J$3:$J$118,$K969)),0)),"Individu / Perorangan"))</f>
        <v>Pemerintah Daerah</v>
      </c>
      <c r="X969" s="106" t="str">
        <f t="shared" si="46"/>
        <v>03</v>
      </c>
      <c r="Y969" s="106" t="str" cm="1">
        <f t="array" ref="Y969">IFERROR(INDEX(Kamus!$N$3:$N$111,MATCH(TRUE,ISNUMBER(SEARCH(Kamus!$M$3:$M$111,$I969)),0)),"")</f>
        <v/>
      </c>
      <c r="Z969" s="106" t="str">
        <f>IF(AND(OR($X969="02",$X969="03",$X969="04"),OR($T969="Parsel/Bingkisan (tidak dirinci)",$T969="Makanan &amp; Minuman",$T969="Peralatan Rumah Tangga / Pecah Belah",$T969="Pakaian &amp; Kain")),"Momen Hari Raya (dugaan musiman)",IFERROR(VLOOKUP($W969,Kamus!$P$3:$Q$14,2,FALSE),"Tidak Teridentifikasi"))</f>
        <v>Momen Hari Raya (dugaan musiman)</v>
      </c>
      <c r="AA969" s="106" t="str">
        <f t="shared" si="47"/>
        <v>Momen Hari Raya (dugaan musiman)</v>
      </c>
    </row>
    <row r="970" spans="1:27">
      <c r="A970" s="106">
        <v>969</v>
      </c>
      <c r="B970" s="106" t="s">
        <v>3559</v>
      </c>
      <c r="C970" s="107" t="s">
        <v>5464</v>
      </c>
      <c r="D970" s="106" t="s">
        <v>1042</v>
      </c>
      <c r="E970" s="106" t="s">
        <v>5465</v>
      </c>
      <c r="F970" s="106" t="s">
        <v>5512</v>
      </c>
      <c r="G970" s="106" t="s">
        <v>1006</v>
      </c>
      <c r="H970" s="106" t="s">
        <v>5424</v>
      </c>
      <c r="I970" s="106" t="s">
        <v>1036</v>
      </c>
      <c r="J970" s="106">
        <v>379000</v>
      </c>
      <c r="K970" s="106" t="s">
        <v>5513</v>
      </c>
      <c r="L970" s="106" t="s">
        <v>5514</v>
      </c>
      <c r="M970" s="106" t="s">
        <v>1171</v>
      </c>
      <c r="N970" s="106" t="s">
        <v>5515</v>
      </c>
      <c r="O970" s="106" t="s">
        <v>274</v>
      </c>
      <c r="P970" s="106" t="s">
        <v>5467</v>
      </c>
      <c r="Q970" s="106" t="s">
        <v>425</v>
      </c>
      <c r="S970" s="106" t="str" cm="1">
        <f t="array" ref="S970">IF(TRIM($D970)="","(tidak diisi)",IFERROR(INDEX(Kamus!$B$3:$B$28,MATCH(TRUE,ISNUMBER(SEARCH(Kamus!$A$3:$A$28,$D970)),0)),"Jabatan Lainnya"))</f>
        <v>Ketua Pengadilan</v>
      </c>
      <c r="T970" s="106" t="str" cm="1">
        <f t="array" ref="T970">IF(TRIM($I970)="","(tidak diisi)",IFERROR(INDEX(Kamus!$E$3:$E$162,MATCH(TRUE,ISNUMBER(SEARCH(Kamus!$D$3:$D$162,$I970)),0)),"Barang Lain / Tidak Terinci"))</f>
        <v>Peralatan Rumah Tangga / Pecah Belah</v>
      </c>
      <c r="U970" s="106" t="str" cm="1">
        <f t="array" ref="U970">IF(TRIM($I970)="","(tidak diisi)",IFERROR(INDEX(Kamus!$H$3:$H$75,MATCH(TRUE,ISNUMBER(SEARCH(Kamus!$G$3:$G$75,$I970)),0)),"Pemberian Umum / Tanpa Konteks"))</f>
        <v>Parsel/Bingkisan Umum (non-hari raya)</v>
      </c>
      <c r="V970" s="106" t="str">
        <f t="shared" si="45"/>
        <v>2026</v>
      </c>
      <c r="W970" s="106" t="str" cm="1">
        <f t="array" ref="W970">IF(TRIM($K970)="","(tidak diisi)",IFERROR(INDEX(Kamus!$K$3:$K$118,MATCH(TRUE,ISNUMBER(SEARCH(Kamus!$J$3:$J$118,$K970)),0)),"Individu / Perorangan"))</f>
        <v>Pemerintah Daerah</v>
      </c>
      <c r="X970" s="106" t="str">
        <f t="shared" si="46"/>
        <v>03</v>
      </c>
      <c r="Y970" s="106" t="str" cm="1">
        <f t="array" ref="Y970">IFERROR(INDEX(Kamus!$N$3:$N$111,MATCH(TRUE,ISNUMBER(SEARCH(Kamus!$M$3:$M$111,$I970)),0)),"")</f>
        <v/>
      </c>
      <c r="Z970" s="106" t="str">
        <f>IF(AND(OR($X970="02",$X970="03",$X970="04"),OR($T970="Parsel/Bingkisan (tidak dirinci)",$T970="Makanan &amp; Minuman",$T970="Peralatan Rumah Tangga / Pecah Belah",$T970="Pakaian &amp; Kain")),"Momen Hari Raya (dugaan musiman)",IFERROR(VLOOKUP($W970,Kamus!$P$3:$Q$14,2,FALSE),"Tidak Teridentifikasi"))</f>
        <v>Momen Hari Raya (dugaan musiman)</v>
      </c>
      <c r="AA970" s="106" t="str">
        <f t="shared" si="47"/>
        <v>Momen Hari Raya (dugaan musiman)</v>
      </c>
    </row>
    <row r="971" spans="1:27">
      <c r="A971" s="106">
        <v>970</v>
      </c>
      <c r="B971" s="106" t="s">
        <v>5516</v>
      </c>
      <c r="C971" s="107" t="s">
        <v>5517</v>
      </c>
      <c r="D971" s="106" t="s">
        <v>5518</v>
      </c>
      <c r="E971" s="106" t="s">
        <v>5519</v>
      </c>
      <c r="G971" s="106" t="s">
        <v>1006</v>
      </c>
      <c r="L971" s="106" t="s">
        <v>5520</v>
      </c>
      <c r="O971" s="106" t="s">
        <v>274</v>
      </c>
      <c r="P971" s="106" t="s">
        <v>5521</v>
      </c>
      <c r="Q971" s="106" t="s">
        <v>420</v>
      </c>
      <c r="S971" s="106" t="str" cm="1">
        <f t="array" ref="S971">IF(TRIM($D971)="","(tidak diisi)",IFERROR(INDEX(Kamus!$B$3:$B$28,MATCH(TRUE,ISNUMBER(SEARCH(Kamus!$A$3:$A$28,$D971)),0)),"Jabatan Lainnya"))</f>
        <v>Staf/Pegawai Pelaksana</v>
      </c>
      <c r="T971" s="106" t="str" cm="1">
        <f t="array" ref="T971">IF(TRIM($I971)="","(tidak diisi)",IFERROR(INDEX(Kamus!$E$3:$E$162,MATCH(TRUE,ISNUMBER(SEARCH(Kamus!$D$3:$D$162,$I971)),0)),"Barang Lain / Tidak Terinci"))</f>
        <v>(tidak diisi)</v>
      </c>
      <c r="U971" s="106" t="str" cm="1">
        <f t="array" ref="U971">IF(TRIM($I971)="","(tidak diisi)",IFERROR(INDEX(Kamus!$H$3:$H$75,MATCH(TRUE,ISNUMBER(SEARCH(Kamus!$G$3:$G$75,$I971)),0)),"Pemberian Umum / Tanpa Konteks"))</f>
        <v>(tidak diisi)</v>
      </c>
      <c r="V971" s="106" t="str">
        <f t="shared" si="45"/>
        <v>(tidak diisi)</v>
      </c>
      <c r="W971" s="106" t="str" cm="1">
        <f t="array" ref="W971">IF(TRIM($K971)="","(tidak diisi)",IFERROR(INDEX(Kamus!$K$3:$K$118,MATCH(TRUE,ISNUMBER(SEARCH(Kamus!$J$3:$J$118,$K971)),0)),"Individu / Perorangan"))</f>
        <v>(tidak diisi)</v>
      </c>
      <c r="X971" s="106" t="str">
        <f t="shared" si="46"/>
        <v>(tidak diisi)</v>
      </c>
      <c r="Y971" s="106" t="str" cm="1">
        <f t="array" ref="Y971">IFERROR(INDEX(Kamus!$N$3:$N$111,MATCH(TRUE,ISNUMBER(SEARCH(Kamus!$M$3:$M$111,$I971)),0)),"")</f>
        <v/>
      </c>
      <c r="Z971" s="106" t="str">
        <f>IF(AND(OR($X971="02",$X971="03",$X971="04"),OR($T971="Parsel/Bingkisan (tidak dirinci)",$T971="Makanan &amp; Minuman",$T971="Peralatan Rumah Tangga / Pecah Belah",$T971="Pakaian &amp; Kain")),"Momen Hari Raya (dugaan musiman)",IFERROR(VLOOKUP($W971,Kamus!$P$3:$Q$14,2,FALSE),"Tidak Teridentifikasi"))</f>
        <v>Tidak Teridentifikasi</v>
      </c>
      <c r="AA971" s="106" t="str">
        <f t="shared" si="47"/>
        <v>Tidak Teridentifikasi</v>
      </c>
    </row>
    <row r="972" spans="1:27">
      <c r="A972" s="106">
        <v>971</v>
      </c>
      <c r="B972" s="106" t="s">
        <v>5522</v>
      </c>
      <c r="C972" s="107" t="s">
        <v>5523</v>
      </c>
      <c r="D972" s="106" t="s">
        <v>1042</v>
      </c>
      <c r="E972" s="106" t="s">
        <v>5459</v>
      </c>
      <c r="F972" s="106" t="s">
        <v>5524</v>
      </c>
      <c r="G972" s="106" t="s">
        <v>1006</v>
      </c>
      <c r="H972" s="106" t="s">
        <v>2525</v>
      </c>
      <c r="I972" s="106" t="s">
        <v>1036</v>
      </c>
      <c r="J972" s="106">
        <v>500000</v>
      </c>
      <c r="K972" s="106" t="s">
        <v>5525</v>
      </c>
      <c r="L972" s="106" t="s">
        <v>5526</v>
      </c>
      <c r="M972" s="106" t="s">
        <v>1039</v>
      </c>
      <c r="O972" s="106" t="s">
        <v>274</v>
      </c>
      <c r="Q972" s="106" t="s">
        <v>444</v>
      </c>
      <c r="S972" s="106" t="str" cm="1">
        <f t="array" ref="S972">IF(TRIM($D972)="","(tidak diisi)",IFERROR(INDEX(Kamus!$B$3:$B$28,MATCH(TRUE,ISNUMBER(SEARCH(Kamus!$A$3:$A$28,$D972)),0)),"Jabatan Lainnya"))</f>
        <v>Ketua Pengadilan</v>
      </c>
      <c r="T972" s="106" t="str" cm="1">
        <f t="array" ref="T972">IF(TRIM($I972)="","(tidak diisi)",IFERROR(INDEX(Kamus!$E$3:$E$162,MATCH(TRUE,ISNUMBER(SEARCH(Kamus!$D$3:$D$162,$I972)),0)),"Barang Lain / Tidak Terinci"))</f>
        <v>Peralatan Rumah Tangga / Pecah Belah</v>
      </c>
      <c r="U972" s="106" t="str" cm="1">
        <f t="array" ref="U972">IF(TRIM($I972)="","(tidak diisi)",IFERROR(INDEX(Kamus!$H$3:$H$75,MATCH(TRUE,ISNUMBER(SEARCH(Kamus!$G$3:$G$75,$I972)),0)),"Pemberian Umum / Tanpa Konteks"))</f>
        <v>Parsel/Bingkisan Umum (non-hari raya)</v>
      </c>
      <c r="V972" s="106" t="str">
        <f t="shared" si="45"/>
        <v>2026</v>
      </c>
      <c r="W972" s="106" t="str" cm="1">
        <f t="array" ref="W972">IF(TRIM($K972)="","(tidak diisi)",IFERROR(INDEX(Kamus!$K$3:$K$118,MATCH(TRUE,ISNUMBER(SEARCH(Kamus!$J$3:$J$118,$K972)),0)),"Individu / Perorangan"))</f>
        <v>Individu / Perorangan</v>
      </c>
      <c r="X972" s="106" t="str">
        <f t="shared" si="46"/>
        <v>03</v>
      </c>
      <c r="Y972" s="106" t="str" cm="1">
        <f t="array" ref="Y972">IFERROR(INDEX(Kamus!$N$3:$N$111,MATCH(TRUE,ISNUMBER(SEARCH(Kamus!$M$3:$M$111,$I972)),0)),"")</f>
        <v/>
      </c>
      <c r="Z972" s="106" t="str">
        <f>IF(AND(OR($X972="02",$X972="03",$X972="04"),OR($T972="Parsel/Bingkisan (tidak dirinci)",$T972="Makanan &amp; Minuman",$T972="Peralatan Rumah Tangga / Pecah Belah",$T972="Pakaian &amp; Kain")),"Momen Hari Raya (dugaan musiman)",IFERROR(VLOOKUP($W972,Kamus!$P$3:$Q$14,2,FALSE),"Tidak Teridentifikasi"))</f>
        <v>Momen Hari Raya (dugaan musiman)</v>
      </c>
      <c r="AA972" s="106" t="str">
        <f t="shared" si="47"/>
        <v>Momen Hari Raya (dugaan musiman)</v>
      </c>
    </row>
    <row r="973" spans="1:27">
      <c r="A973" s="106">
        <v>972</v>
      </c>
      <c r="B973" s="106" t="s">
        <v>5522</v>
      </c>
      <c r="C973" s="107" t="s">
        <v>5523</v>
      </c>
      <c r="D973" s="106" t="s">
        <v>1042</v>
      </c>
      <c r="E973" s="106" t="s">
        <v>5459</v>
      </c>
      <c r="F973" s="106" t="s">
        <v>5524</v>
      </c>
      <c r="G973" s="106" t="s">
        <v>1006</v>
      </c>
      <c r="H973" s="106" t="s">
        <v>2525</v>
      </c>
      <c r="I973" s="106" t="s">
        <v>5527</v>
      </c>
      <c r="J973" s="106">
        <v>400000</v>
      </c>
      <c r="K973" s="106" t="s">
        <v>5528</v>
      </c>
      <c r="L973" s="106" t="s">
        <v>5526</v>
      </c>
      <c r="M973" s="106" t="s">
        <v>2529</v>
      </c>
      <c r="O973" s="106" t="s">
        <v>274</v>
      </c>
      <c r="Q973" s="106" t="s">
        <v>444</v>
      </c>
      <c r="S973" s="106" t="str" cm="1">
        <f t="array" ref="S973">IF(TRIM($D973)="","(tidak diisi)",IFERROR(INDEX(Kamus!$B$3:$B$28,MATCH(TRUE,ISNUMBER(SEARCH(Kamus!$A$3:$A$28,$D973)),0)),"Jabatan Lainnya"))</f>
        <v>Ketua Pengadilan</v>
      </c>
      <c r="T973" s="106" t="str" cm="1">
        <f t="array" ref="T973">IF(TRIM($I973)="","(tidak diisi)",IFERROR(INDEX(Kamus!$E$3:$E$162,MATCH(TRUE,ISNUMBER(SEARCH(Kamus!$D$3:$D$162,$I973)),0)),"Barang Lain / Tidak Terinci"))</f>
        <v>Makanan &amp; Minuman</v>
      </c>
      <c r="U973" s="106" t="str" cm="1">
        <f t="array" ref="U973">IF(TRIM($I973)="","(tidak diisi)",IFERROR(INDEX(Kamus!$H$3:$H$75,MATCH(TRUE,ISNUMBER(SEARCH(Kamus!$G$3:$G$75,$I973)),0)),"Pemberian Umum / Tanpa Konteks"))</f>
        <v>Pemberian Umum / Tanpa Konteks</v>
      </c>
      <c r="V973" s="106" t="str">
        <f t="shared" si="45"/>
        <v>2026</v>
      </c>
      <c r="W973" s="106" t="str" cm="1">
        <f t="array" ref="W973">IF(TRIM($K973)="","(tidak diisi)",IFERROR(INDEX(Kamus!$K$3:$K$118,MATCH(TRUE,ISNUMBER(SEARCH(Kamus!$J$3:$J$118,$K973)),0)),"Individu / Perorangan"))</f>
        <v>Individu / Perorangan</v>
      </c>
      <c r="X973" s="106" t="str">
        <f t="shared" si="46"/>
        <v>03</v>
      </c>
      <c r="Y973" s="106" t="str" cm="1">
        <f t="array" ref="Y973">IFERROR(INDEX(Kamus!$N$3:$N$111,MATCH(TRUE,ISNUMBER(SEARCH(Kamus!$M$3:$M$111,$I973)),0)),"")</f>
        <v>HUT / Peresmian &amp; Syukuran Instansi</v>
      </c>
      <c r="Z973" s="106" t="str">
        <f>IF(AND(OR($X973="02",$X973="03",$X973="04"),OR($T973="Parsel/Bingkisan (tidak dirinci)",$T973="Makanan &amp; Minuman",$T973="Peralatan Rumah Tangga / Pecah Belah",$T973="Pakaian &amp; Kain")),"Momen Hari Raya (dugaan musiman)",IFERROR(VLOOKUP($W973,Kamus!$P$3:$Q$14,2,FALSE),"Tidak Teridentifikasi"))</f>
        <v>Momen Hari Raya (dugaan musiman)</v>
      </c>
      <c r="AA973" s="106" t="str">
        <f t="shared" si="47"/>
        <v>HUT / Peresmian &amp; Syukuran Instansi</v>
      </c>
    </row>
    <row r="974" spans="1:27">
      <c r="A974" s="106">
        <v>973</v>
      </c>
      <c r="B974" s="106" t="s">
        <v>5529</v>
      </c>
      <c r="C974" s="107" t="s">
        <v>5530</v>
      </c>
      <c r="D974" s="106" t="s">
        <v>2259</v>
      </c>
      <c r="E974" s="106" t="s">
        <v>2998</v>
      </c>
      <c r="F974" s="106" t="s">
        <v>5531</v>
      </c>
      <c r="G974" s="106" t="s">
        <v>1006</v>
      </c>
      <c r="H974" s="106" t="s">
        <v>4593</v>
      </c>
      <c r="I974" s="106" t="s">
        <v>1017</v>
      </c>
      <c r="J974" s="106">
        <v>800000</v>
      </c>
      <c r="K974" s="106" t="s">
        <v>1045</v>
      </c>
      <c r="L974" s="106" t="s">
        <v>5532</v>
      </c>
      <c r="M974" s="106" t="s">
        <v>1171</v>
      </c>
      <c r="N974" s="106" t="s">
        <v>5533</v>
      </c>
      <c r="O974" s="106" t="s">
        <v>274</v>
      </c>
      <c r="P974" s="106" t="s">
        <v>3003</v>
      </c>
      <c r="Q974" s="106" t="s">
        <v>430</v>
      </c>
      <c r="S974" s="106" t="str" cm="1">
        <f t="array" ref="S974">IF(TRIM($D974)="","(tidak diisi)",IFERROR(INDEX(Kamus!$B$3:$B$28,MATCH(TRUE,ISNUMBER(SEARCH(Kamus!$A$3:$A$28,$D974)),0)),"Jabatan Lainnya"))</f>
        <v>Staf/Pegawai Pelaksana</v>
      </c>
      <c r="T974" s="106" t="str" cm="1">
        <f t="array" ref="T974">IF(TRIM($I974)="","(tidak diisi)",IFERROR(INDEX(Kamus!$E$3:$E$162,MATCH(TRUE,ISNUMBER(SEARCH(Kamus!$D$3:$D$162,$I974)),0)),"Barang Lain / Tidak Terinci"))</f>
        <v>Uang &amp; Setara Uang</v>
      </c>
      <c r="U974" s="106" t="str" cm="1">
        <f t="array" ref="U974">IF(TRIM($I974)="","(tidak diisi)",IFERROR(INDEX(Kamus!$H$3:$H$75,MATCH(TRUE,ISNUMBER(SEARCH(Kamus!$G$3:$G$75,$I974)),0)),"Pemberian Umum / Tanpa Konteks"))</f>
        <v>Pemberian Uang Langsung</v>
      </c>
      <c r="V974" s="106" t="str">
        <f t="shared" si="45"/>
        <v>2026</v>
      </c>
      <c r="W974" s="106" t="str" cm="1">
        <f t="array" ref="W974">IF(TRIM($K974)="","(tidak diisi)",IFERROR(INDEX(Kamus!$K$3:$K$118,MATCH(TRUE,ISNUMBER(SEARCH(Kamus!$J$3:$J$118,$K974)),0)),"Individu / Perorangan"))</f>
        <v>Tidak Diketahui</v>
      </c>
      <c r="X974" s="106" t="str">
        <f t="shared" si="46"/>
        <v>02</v>
      </c>
      <c r="Y974" s="106" t="str" cm="1">
        <f t="array" ref="Y974">IFERROR(INDEX(Kamus!$N$3:$N$111,MATCH(TRUE,ISNUMBER(SEARCH(Kamus!$M$3:$M$111,$I974)),0)),"")</f>
        <v/>
      </c>
      <c r="Z974" s="106" t="str">
        <f>IF(AND(OR($X974="02",$X974="03",$X974="04"),OR($T974="Parsel/Bingkisan (tidak dirinci)",$T974="Makanan &amp; Minuman",$T974="Peralatan Rumah Tangga / Pecah Belah",$T974="Pakaian &amp; Kain")),"Momen Hari Raya (dugaan musiman)",IFERROR(VLOOKUP($W974,Kamus!$P$3:$Q$14,2,FALSE),"Tidak Teridentifikasi"))</f>
        <v>Pemberi Tidak Diketahui</v>
      </c>
      <c r="AA974" s="106" t="str">
        <f t="shared" si="47"/>
        <v>Pemberi Tidak Diketahui</v>
      </c>
    </row>
    <row r="975" spans="1:27">
      <c r="A975" s="106">
        <v>974</v>
      </c>
      <c r="B975" s="106" t="s">
        <v>4201</v>
      </c>
      <c r="C975" s="107" t="s">
        <v>4202</v>
      </c>
      <c r="D975" s="106" t="s">
        <v>4203</v>
      </c>
      <c r="E975" s="106" t="s">
        <v>1005</v>
      </c>
      <c r="F975" s="106" t="s">
        <v>5534</v>
      </c>
      <c r="G975" s="106" t="s">
        <v>1006</v>
      </c>
      <c r="H975" s="106" t="s">
        <v>2525</v>
      </c>
      <c r="I975" s="106" t="s">
        <v>5535</v>
      </c>
      <c r="K975" s="106" t="s">
        <v>1045</v>
      </c>
      <c r="L975" s="106" t="s">
        <v>5536</v>
      </c>
      <c r="O975" s="106" t="s">
        <v>274</v>
      </c>
      <c r="S975" s="106" t="str" cm="1">
        <f t="array" ref="S975">IF(TRIM($D975)="","(tidak diisi)",IFERROR(INDEX(Kamus!$B$3:$B$28,MATCH(TRUE,ISNUMBER(SEARCH(Kamus!$A$3:$A$28,$D975)),0)),"Jabatan Lainnya"))</f>
        <v>Jabatan Lainnya</v>
      </c>
      <c r="T975" s="106" t="str" cm="1">
        <f t="array" ref="T975">IF(TRIM($I975)="","(tidak diisi)",IFERROR(INDEX(Kamus!$E$3:$E$162,MATCH(TRUE,ISNUMBER(SEARCH(Kamus!$D$3:$D$162,$I975)),0)),"Barang Lain / Tidak Terinci"))</f>
        <v>Makanan &amp; Minuman</v>
      </c>
      <c r="U975" s="106" t="str" cm="1">
        <f t="array" ref="U975">IF(TRIM($I975)="","(tidak diisi)",IFERROR(INDEX(Kamus!$H$3:$H$75,MATCH(TRUE,ISNUMBER(SEARCH(Kamus!$G$3:$G$75,$I975)),0)),"Pemberian Umum / Tanpa Konteks"))</f>
        <v>Parsel/Bingkisan Umum (non-hari raya)</v>
      </c>
      <c r="V975" s="106" t="str">
        <f t="shared" si="45"/>
        <v>2026</v>
      </c>
      <c r="W975" s="106" t="str" cm="1">
        <f t="array" ref="W975">IF(TRIM($K975)="","(tidak diisi)",IFERROR(INDEX(Kamus!$K$3:$K$118,MATCH(TRUE,ISNUMBER(SEARCH(Kamus!$J$3:$J$118,$K975)),0)),"Individu / Perorangan"))</f>
        <v>Tidak Diketahui</v>
      </c>
      <c r="X975" s="106" t="str">
        <f t="shared" si="46"/>
        <v>03</v>
      </c>
      <c r="Y975" s="106" t="str" cm="1">
        <f t="array" ref="Y975">IFERROR(INDEX(Kamus!$N$3:$N$111,MATCH(TRUE,ISNUMBER(SEARCH(Kamus!$M$3:$M$111,$I975)),0)),"")</f>
        <v/>
      </c>
      <c r="Z975" s="106" t="str">
        <f>IF(AND(OR($X975="02",$X975="03",$X975="04"),OR($T975="Parsel/Bingkisan (tidak dirinci)",$T975="Makanan &amp; Minuman",$T975="Peralatan Rumah Tangga / Pecah Belah",$T975="Pakaian &amp; Kain")),"Momen Hari Raya (dugaan musiman)",IFERROR(VLOOKUP($W975,Kamus!$P$3:$Q$14,2,FALSE),"Tidak Teridentifikasi"))</f>
        <v>Momen Hari Raya (dugaan musiman)</v>
      </c>
      <c r="AA975" s="106" t="str">
        <f t="shared" si="47"/>
        <v>Momen Hari Raya (dugaan musiman)</v>
      </c>
    </row>
    <row r="976" spans="1:27">
      <c r="A976" s="106">
        <v>975</v>
      </c>
      <c r="B976" s="106" t="s">
        <v>5537</v>
      </c>
      <c r="C976" s="107" t="s">
        <v>5538</v>
      </c>
      <c r="D976" s="106" t="s">
        <v>5539</v>
      </c>
      <c r="E976" s="106" t="s">
        <v>4872</v>
      </c>
      <c r="F976" s="106" t="s">
        <v>5540</v>
      </c>
      <c r="G976" s="106" t="s">
        <v>1006</v>
      </c>
      <c r="H976" s="106" t="s">
        <v>5023</v>
      </c>
      <c r="I976" s="106" t="s">
        <v>5541</v>
      </c>
      <c r="J976" s="106">
        <v>150000</v>
      </c>
      <c r="K976" s="106" t="s">
        <v>4985</v>
      </c>
      <c r="L976" s="106" t="s">
        <v>5542</v>
      </c>
      <c r="M976" s="106" t="s">
        <v>2529</v>
      </c>
      <c r="O976" s="106" t="s">
        <v>274</v>
      </c>
      <c r="P976" s="106" t="s">
        <v>4873</v>
      </c>
      <c r="Q976" s="106" t="s">
        <v>420</v>
      </c>
      <c r="S976" s="106" t="str" cm="1">
        <f t="array" ref="S976">IF(TRIM($D976)="","(tidak diisi)",IFERROR(INDEX(Kamus!$B$3:$B$28,MATCH(TRUE,ISNUMBER(SEARCH(Kamus!$A$3:$A$28,$D976)),0)),"Jabatan Lainnya"))</f>
        <v>Panitera</v>
      </c>
      <c r="T976" s="106" t="str" cm="1">
        <f t="array" ref="T976">IF(TRIM($I976)="","(tidak diisi)",IFERROR(INDEX(Kamus!$E$3:$E$162,MATCH(TRUE,ISNUMBER(SEARCH(Kamus!$D$3:$D$162,$I976)),0)),"Barang Lain / Tidak Terinci"))</f>
        <v>Makanan &amp; Minuman</v>
      </c>
      <c r="U976" s="106" t="str" cm="1">
        <f t="array" ref="U976">IF(TRIM($I976)="","(tidak diisi)",IFERROR(INDEX(Kamus!$H$3:$H$75,MATCH(TRUE,ISNUMBER(SEARCH(Kamus!$G$3:$G$75,$I976)),0)),"Pemberian Umum / Tanpa Konteks"))</f>
        <v>Parsel/Bingkisan Umum (non-hari raya)</v>
      </c>
      <c r="V976" s="106" t="str">
        <f t="shared" si="45"/>
        <v>2026</v>
      </c>
      <c r="W976" s="106" t="str" cm="1">
        <f t="array" ref="W976">IF(TRIM($K976)="","(tidak diisi)",IFERROR(INDEX(Kamus!$K$3:$K$118,MATCH(TRUE,ISNUMBER(SEARCH(Kamus!$J$3:$J$118,$K976)),0)),"Individu / Perorangan"))</f>
        <v>Bank &amp; Lembaga Keuangan</v>
      </c>
      <c r="X976" s="106" t="str">
        <f t="shared" si="46"/>
        <v>03</v>
      </c>
      <c r="Y976" s="106" t="str" cm="1">
        <f t="array" ref="Y976">IFERROR(INDEX(Kamus!$N$3:$N$111,MATCH(TRUE,ISNUMBER(SEARCH(Kamus!$M$3:$M$111,$I976)),0)),"")</f>
        <v/>
      </c>
      <c r="Z976" s="106" t="str">
        <f>IF(AND(OR($X976="02",$X976="03",$X976="04"),OR($T976="Parsel/Bingkisan (tidak dirinci)",$T976="Makanan &amp; Minuman",$T976="Peralatan Rumah Tangga / Pecah Belah",$T976="Pakaian &amp; Kain")),"Momen Hari Raya (dugaan musiman)",IFERROR(VLOOKUP($W976,Kamus!$P$3:$Q$14,2,FALSE),"Tidak Teridentifikasi"))</f>
        <v>Momen Hari Raya (dugaan musiman)</v>
      </c>
      <c r="AA976" s="106" t="str">
        <f t="shared" si="47"/>
        <v>Momen Hari Raya (dugaan musiman)</v>
      </c>
    </row>
    <row r="977" spans="1:27">
      <c r="A977" s="106">
        <v>976</v>
      </c>
      <c r="B977" s="106" t="s">
        <v>5537</v>
      </c>
      <c r="C977" s="107" t="s">
        <v>5538</v>
      </c>
      <c r="D977" s="106" t="s">
        <v>5539</v>
      </c>
      <c r="E977" s="106" t="s">
        <v>4872</v>
      </c>
      <c r="F977" s="106" t="s">
        <v>5540</v>
      </c>
      <c r="G977" s="106" t="s">
        <v>1006</v>
      </c>
      <c r="H977" s="106" t="s">
        <v>5023</v>
      </c>
      <c r="I977" s="106" t="s">
        <v>4984</v>
      </c>
      <c r="J977" s="106">
        <v>150000</v>
      </c>
      <c r="K977" s="106" t="s">
        <v>4985</v>
      </c>
      <c r="L977" s="106" t="s">
        <v>5542</v>
      </c>
      <c r="M977" s="106" t="s">
        <v>1039</v>
      </c>
      <c r="O977" s="106" t="s">
        <v>274</v>
      </c>
      <c r="P977" s="106" t="s">
        <v>4873</v>
      </c>
      <c r="Q977" s="106" t="s">
        <v>420</v>
      </c>
      <c r="S977" s="106" t="str" cm="1">
        <f t="array" ref="S977">IF(TRIM($D977)="","(tidak diisi)",IFERROR(INDEX(Kamus!$B$3:$B$28,MATCH(TRUE,ISNUMBER(SEARCH(Kamus!$A$3:$A$28,$D977)),0)),"Jabatan Lainnya"))</f>
        <v>Panitera</v>
      </c>
      <c r="T977" s="106" t="str" cm="1">
        <f t="array" ref="T977">IF(TRIM($I977)="","(tidak diisi)",IFERROR(INDEX(Kamus!$E$3:$E$162,MATCH(TRUE,ISNUMBER(SEARCH(Kamus!$D$3:$D$162,$I977)),0)),"Barang Lain / Tidak Terinci"))</f>
        <v>Peralatan Rumah Tangga / Pecah Belah</v>
      </c>
      <c r="U977" s="106" t="str" cm="1">
        <f t="array" ref="U977">IF(TRIM($I977)="","(tidak diisi)",IFERROR(INDEX(Kamus!$H$3:$H$75,MATCH(TRUE,ISNUMBER(SEARCH(Kamus!$G$3:$G$75,$I977)),0)),"Pemberian Umum / Tanpa Konteks"))</f>
        <v>Parsel/Bingkisan Umum (non-hari raya)</v>
      </c>
      <c r="V977" s="106" t="str">
        <f t="shared" si="45"/>
        <v>2026</v>
      </c>
      <c r="W977" s="106" t="str" cm="1">
        <f t="array" ref="W977">IF(TRIM($K977)="","(tidak diisi)",IFERROR(INDEX(Kamus!$K$3:$K$118,MATCH(TRUE,ISNUMBER(SEARCH(Kamus!$J$3:$J$118,$K977)),0)),"Individu / Perorangan"))</f>
        <v>Bank &amp; Lembaga Keuangan</v>
      </c>
      <c r="X977" s="106" t="str">
        <f t="shared" si="46"/>
        <v>03</v>
      </c>
      <c r="Y977" s="106" t="str" cm="1">
        <f t="array" ref="Y977">IFERROR(INDEX(Kamus!$N$3:$N$111,MATCH(TRUE,ISNUMBER(SEARCH(Kamus!$M$3:$M$111,$I977)),0)),"")</f>
        <v/>
      </c>
      <c r="Z977" s="106" t="str">
        <f>IF(AND(OR($X977="02",$X977="03",$X977="04"),OR($T977="Parsel/Bingkisan (tidak dirinci)",$T977="Makanan &amp; Minuman",$T977="Peralatan Rumah Tangga / Pecah Belah",$T977="Pakaian &amp; Kain")),"Momen Hari Raya (dugaan musiman)",IFERROR(VLOOKUP($W977,Kamus!$P$3:$Q$14,2,FALSE),"Tidak Teridentifikasi"))</f>
        <v>Momen Hari Raya (dugaan musiman)</v>
      </c>
      <c r="AA977" s="106" t="str">
        <f t="shared" si="47"/>
        <v>Momen Hari Raya (dugaan musiman)</v>
      </c>
    </row>
    <row r="978" spans="1:27">
      <c r="A978" s="106">
        <v>977</v>
      </c>
      <c r="B978" s="106" t="s">
        <v>5537</v>
      </c>
      <c r="C978" s="107" t="s">
        <v>5538</v>
      </c>
      <c r="D978" s="106" t="s">
        <v>5539</v>
      </c>
      <c r="E978" s="106" t="s">
        <v>4872</v>
      </c>
      <c r="F978" s="106" t="s">
        <v>5543</v>
      </c>
      <c r="G978" s="106" t="s">
        <v>1006</v>
      </c>
      <c r="H978" s="106" t="s">
        <v>5023</v>
      </c>
      <c r="I978" s="106" t="s">
        <v>5544</v>
      </c>
      <c r="J978" s="106">
        <v>50000</v>
      </c>
      <c r="K978" s="106" t="s">
        <v>4982</v>
      </c>
      <c r="L978" s="106" t="s">
        <v>5545</v>
      </c>
      <c r="M978" s="106" t="s">
        <v>1039</v>
      </c>
      <c r="O978" s="106" t="s">
        <v>274</v>
      </c>
      <c r="P978" s="106" t="s">
        <v>4873</v>
      </c>
      <c r="Q978" s="106" t="s">
        <v>420</v>
      </c>
      <c r="S978" s="106" t="str" cm="1">
        <f t="array" ref="S978">IF(TRIM($D978)="","(tidak diisi)",IFERROR(INDEX(Kamus!$B$3:$B$28,MATCH(TRUE,ISNUMBER(SEARCH(Kamus!$A$3:$A$28,$D978)),0)),"Jabatan Lainnya"))</f>
        <v>Panitera</v>
      </c>
      <c r="T978" s="106" t="str" cm="1">
        <f t="array" ref="T978">IF(TRIM($I978)="","(tidak diisi)",IFERROR(INDEX(Kamus!$E$3:$E$162,MATCH(TRUE,ISNUMBER(SEARCH(Kamus!$D$3:$D$162,$I978)),0)),"Barang Lain / Tidak Terinci"))</f>
        <v>Peralatan Rumah Tangga / Pecah Belah</v>
      </c>
      <c r="U978" s="106" t="str" cm="1">
        <f t="array" ref="U978">IF(TRIM($I978)="","(tidak diisi)",IFERROR(INDEX(Kamus!$H$3:$H$75,MATCH(TRUE,ISNUMBER(SEARCH(Kamus!$G$3:$G$75,$I978)),0)),"Pemberian Umum / Tanpa Konteks"))</f>
        <v>Parsel/Bingkisan Umum (non-hari raya)</v>
      </c>
      <c r="V978" s="106" t="str">
        <f t="shared" si="45"/>
        <v>2026</v>
      </c>
      <c r="W978" s="106" t="str" cm="1">
        <f t="array" ref="W978">IF(TRIM($K978)="","(tidak diisi)",IFERROR(INDEX(Kamus!$K$3:$K$118,MATCH(TRUE,ISNUMBER(SEARCH(Kamus!$J$3:$J$118,$K978)),0)),"Individu / Perorangan"))</f>
        <v>Bank &amp; Lembaga Keuangan</v>
      </c>
      <c r="X978" s="106" t="str">
        <f t="shared" si="46"/>
        <v>03</v>
      </c>
      <c r="Y978" s="106" t="str" cm="1">
        <f t="array" ref="Y978">IFERROR(INDEX(Kamus!$N$3:$N$111,MATCH(TRUE,ISNUMBER(SEARCH(Kamus!$M$3:$M$111,$I978)),0)),"")</f>
        <v/>
      </c>
      <c r="Z978" s="106" t="str">
        <f>IF(AND(OR($X978="02",$X978="03",$X978="04"),OR($T978="Parsel/Bingkisan (tidak dirinci)",$T978="Makanan &amp; Minuman",$T978="Peralatan Rumah Tangga / Pecah Belah",$T978="Pakaian &amp; Kain")),"Momen Hari Raya (dugaan musiman)",IFERROR(VLOOKUP($W978,Kamus!$P$3:$Q$14,2,FALSE),"Tidak Teridentifikasi"))</f>
        <v>Momen Hari Raya (dugaan musiman)</v>
      </c>
      <c r="AA978" s="106" t="str">
        <f t="shared" si="47"/>
        <v>Momen Hari Raya (dugaan musiman)</v>
      </c>
    </row>
    <row r="979" spans="1:27">
      <c r="A979" s="106">
        <v>978</v>
      </c>
      <c r="B979" s="106" t="s">
        <v>5537</v>
      </c>
      <c r="C979" s="107" t="s">
        <v>5538</v>
      </c>
      <c r="D979" s="106" t="s">
        <v>5539</v>
      </c>
      <c r="E979" s="106" t="s">
        <v>4872</v>
      </c>
      <c r="F979" s="106" t="s">
        <v>5543</v>
      </c>
      <c r="G979" s="106" t="s">
        <v>1006</v>
      </c>
      <c r="H979" s="106" t="s">
        <v>5023</v>
      </c>
      <c r="I979" s="106" t="s">
        <v>5546</v>
      </c>
      <c r="J979" s="106">
        <v>50000</v>
      </c>
      <c r="K979" s="106" t="s">
        <v>4982</v>
      </c>
      <c r="L979" s="106" t="s">
        <v>5545</v>
      </c>
      <c r="M979" s="106" t="s">
        <v>2529</v>
      </c>
      <c r="O979" s="106" t="s">
        <v>274</v>
      </c>
      <c r="P979" s="106" t="s">
        <v>4873</v>
      </c>
      <c r="Q979" s="106" t="s">
        <v>420</v>
      </c>
      <c r="S979" s="106" t="str" cm="1">
        <f t="array" ref="S979">IF(TRIM($D979)="","(tidak diisi)",IFERROR(INDEX(Kamus!$B$3:$B$28,MATCH(TRUE,ISNUMBER(SEARCH(Kamus!$A$3:$A$28,$D979)),0)),"Jabatan Lainnya"))</f>
        <v>Panitera</v>
      </c>
      <c r="T979" s="106" t="str" cm="1">
        <f t="array" ref="T979">IF(TRIM($I979)="","(tidak diisi)",IFERROR(INDEX(Kamus!$E$3:$E$162,MATCH(TRUE,ISNUMBER(SEARCH(Kamus!$D$3:$D$162,$I979)),0)),"Barang Lain / Tidak Terinci"))</f>
        <v>Makanan &amp; Minuman</v>
      </c>
      <c r="U979" s="106" t="str" cm="1">
        <f t="array" ref="U979">IF(TRIM($I979)="","(tidak diisi)",IFERROR(INDEX(Kamus!$H$3:$H$75,MATCH(TRUE,ISNUMBER(SEARCH(Kamus!$G$3:$G$75,$I979)),0)),"Pemberian Umum / Tanpa Konteks"))</f>
        <v>Parsel/Bingkisan Umum (non-hari raya)</v>
      </c>
      <c r="V979" s="106" t="str">
        <f t="shared" si="45"/>
        <v>2026</v>
      </c>
      <c r="W979" s="106" t="str" cm="1">
        <f t="array" ref="W979">IF(TRIM($K979)="","(tidak diisi)",IFERROR(INDEX(Kamus!$K$3:$K$118,MATCH(TRUE,ISNUMBER(SEARCH(Kamus!$J$3:$J$118,$K979)),0)),"Individu / Perorangan"))</f>
        <v>Bank &amp; Lembaga Keuangan</v>
      </c>
      <c r="X979" s="106" t="str">
        <f t="shared" si="46"/>
        <v>03</v>
      </c>
      <c r="Y979" s="106" t="str" cm="1">
        <f t="array" ref="Y979">IFERROR(INDEX(Kamus!$N$3:$N$111,MATCH(TRUE,ISNUMBER(SEARCH(Kamus!$M$3:$M$111,$I979)),0)),"")</f>
        <v/>
      </c>
      <c r="Z979" s="106" t="str">
        <f>IF(AND(OR($X979="02",$X979="03",$X979="04"),OR($T979="Parsel/Bingkisan (tidak dirinci)",$T979="Makanan &amp; Minuman",$T979="Peralatan Rumah Tangga / Pecah Belah",$T979="Pakaian &amp; Kain")),"Momen Hari Raya (dugaan musiman)",IFERROR(VLOOKUP($W979,Kamus!$P$3:$Q$14,2,FALSE),"Tidak Teridentifikasi"))</f>
        <v>Momen Hari Raya (dugaan musiman)</v>
      </c>
      <c r="AA979" s="106" t="str">
        <f t="shared" si="47"/>
        <v>Momen Hari Raya (dugaan musiman)</v>
      </c>
    </row>
    <row r="980" spans="1:27">
      <c r="A980" s="106">
        <v>979</v>
      </c>
      <c r="B980" s="106" t="s">
        <v>1983</v>
      </c>
      <c r="C980" s="107" t="s">
        <v>1984</v>
      </c>
      <c r="D980" s="106" t="s">
        <v>1042</v>
      </c>
      <c r="E980" s="106" t="s">
        <v>1965</v>
      </c>
      <c r="F980" s="106" t="s">
        <v>5547</v>
      </c>
      <c r="G980" s="106" t="s">
        <v>1006</v>
      </c>
      <c r="H980" s="106" t="s">
        <v>5023</v>
      </c>
      <c r="I980" s="106" t="s">
        <v>5548</v>
      </c>
      <c r="K980" s="106" t="s">
        <v>1986</v>
      </c>
      <c r="L980" s="106" t="s">
        <v>5549</v>
      </c>
      <c r="O980" s="106" t="s">
        <v>274</v>
      </c>
      <c r="P980" s="106" t="s">
        <v>1967</v>
      </c>
      <c r="Q980" s="106" t="s">
        <v>428</v>
      </c>
      <c r="S980" s="106" t="str" cm="1">
        <f t="array" ref="S980">IF(TRIM($D980)="","(tidak diisi)",IFERROR(INDEX(Kamus!$B$3:$B$28,MATCH(TRUE,ISNUMBER(SEARCH(Kamus!$A$3:$A$28,$D980)),0)),"Jabatan Lainnya"))</f>
        <v>Ketua Pengadilan</v>
      </c>
      <c r="T980" s="106" t="str" cm="1">
        <f t="array" ref="T980">IF(TRIM($I980)="","(tidak diisi)",IFERROR(INDEX(Kamus!$E$3:$E$162,MATCH(TRUE,ISNUMBER(SEARCH(Kamus!$D$3:$D$162,$I980)),0)),"Barang Lain / Tidak Terinci"))</f>
        <v>Makanan &amp; Minuman</v>
      </c>
      <c r="U980" s="106" t="str" cm="1">
        <f t="array" ref="U980">IF(TRIM($I980)="","(tidak diisi)",IFERROR(INDEX(Kamus!$H$3:$H$75,MATCH(TRUE,ISNUMBER(SEARCH(Kamus!$G$3:$G$75,$I980)),0)),"Pemberian Umum / Tanpa Konteks"))</f>
        <v>Bingkisan Hari Raya / Keagamaan</v>
      </c>
      <c r="V980" s="106" t="str">
        <f t="shared" si="45"/>
        <v>2026</v>
      </c>
      <c r="W980" s="106" t="str" cm="1">
        <f t="array" ref="W980">IF(TRIM($K980)="","(tidak diisi)",IFERROR(INDEX(Kamus!$K$3:$K$118,MATCH(TRUE,ISNUMBER(SEARCH(Kamus!$J$3:$J$118,$K980)),0)),"Individu / Perorangan"))</f>
        <v>Bank &amp; Lembaga Keuangan</v>
      </c>
      <c r="X980" s="106" t="str">
        <f t="shared" si="46"/>
        <v>03</v>
      </c>
      <c r="Y980" s="106" t="str" cm="1">
        <f t="array" ref="Y980">IFERROR(INDEX(Kamus!$N$3:$N$111,MATCH(TRUE,ISNUMBER(SEARCH(Kamus!$M$3:$M$111,$I980)),0)),"")</f>
        <v>Momen Hari Raya (Ramadan/Idulfitri)</v>
      </c>
      <c r="Z980" s="106" t="str">
        <f>IF(AND(OR($X980="02",$X980="03",$X980="04"),OR($T980="Parsel/Bingkisan (tidak dirinci)",$T980="Makanan &amp; Minuman",$T980="Peralatan Rumah Tangga / Pecah Belah",$T980="Pakaian &amp; Kain")),"Momen Hari Raya (dugaan musiman)",IFERROR(VLOOKUP($W980,Kamus!$P$3:$Q$14,2,FALSE),"Tidak Teridentifikasi"))</f>
        <v>Momen Hari Raya (dugaan musiman)</v>
      </c>
      <c r="AA980" s="106" t="str">
        <f t="shared" si="47"/>
        <v>Momen Hari Raya (Ramadan/Idulfitri)</v>
      </c>
    </row>
    <row r="981" spans="1:27">
      <c r="A981" s="106">
        <v>980</v>
      </c>
      <c r="B981" s="106" t="s">
        <v>5550</v>
      </c>
      <c r="C981" s="107" t="s">
        <v>5551</v>
      </c>
      <c r="D981" s="106" t="s">
        <v>5552</v>
      </c>
      <c r="E981" s="106" t="s">
        <v>1903</v>
      </c>
      <c r="F981" s="106" t="s">
        <v>5553</v>
      </c>
      <c r="G981" s="106" t="s">
        <v>1006</v>
      </c>
      <c r="H981" s="106" t="s">
        <v>5554</v>
      </c>
      <c r="I981" s="106" t="s">
        <v>5555</v>
      </c>
      <c r="J981" s="106">
        <v>150187</v>
      </c>
      <c r="K981" s="106" t="s">
        <v>5556</v>
      </c>
      <c r="L981" s="106" t="s">
        <v>5557</v>
      </c>
      <c r="M981" s="106" t="s">
        <v>1171</v>
      </c>
      <c r="N981" s="106" t="s">
        <v>5558</v>
      </c>
      <c r="O981" s="106" t="s">
        <v>274</v>
      </c>
      <c r="P981" s="106" t="s">
        <v>1907</v>
      </c>
      <c r="Q981" s="106" t="s">
        <v>404</v>
      </c>
      <c r="S981" s="106" t="str" cm="1">
        <f t="array" ref="S981">IF(TRIM($D981)="","(tidak diisi)",IFERROR(INDEX(Kamus!$B$3:$B$28,MATCH(TRUE,ISNUMBER(SEARCH(Kamus!$A$3:$A$28,$D981)),0)),"Jabatan Lainnya"))</f>
        <v>Panitera</v>
      </c>
      <c r="T981" s="106" t="str" cm="1">
        <f t="array" ref="T981">IF(TRIM($I981)="","(tidak diisi)",IFERROR(INDEX(Kamus!$E$3:$E$162,MATCH(TRUE,ISNUMBER(SEARCH(Kamus!$D$3:$D$162,$I981)),0)),"Barang Lain / Tidak Terinci"))</f>
        <v>Makanan &amp; Minuman</v>
      </c>
      <c r="U981" s="106" t="str" cm="1">
        <f t="array" ref="U981">IF(TRIM($I981)="","(tidak diisi)",IFERROR(INDEX(Kamus!$H$3:$H$75,MATCH(TRUE,ISNUMBER(SEARCH(Kamus!$G$3:$G$75,$I981)),0)),"Pemberian Umum / Tanpa Konteks"))</f>
        <v>Bingkisan Hari Raya / Keagamaan</v>
      </c>
      <c r="V981" s="106" t="str">
        <f t="shared" si="45"/>
        <v>2026</v>
      </c>
      <c r="W981" s="106" t="str" cm="1">
        <f t="array" ref="W981">IF(TRIM($K981)="","(tidak diisi)",IFERROR(INDEX(Kamus!$K$3:$K$118,MATCH(TRUE,ISNUMBER(SEARCH(Kamus!$J$3:$J$118,$K981)),0)),"Individu / Perorangan"))</f>
        <v>Bank &amp; Lembaga Keuangan</v>
      </c>
      <c r="X981" s="106" t="str">
        <f t="shared" si="46"/>
        <v>04</v>
      </c>
      <c r="Y981" s="106" t="str" cm="1">
        <f t="array" ref="Y981">IFERROR(INDEX(Kamus!$N$3:$N$111,MATCH(TRUE,ISNUMBER(SEARCH(Kamus!$M$3:$M$111,$I981)),0)),"")</f>
        <v>Momen Hari Raya (Ramadan/Idulfitri)</v>
      </c>
      <c r="Z981" s="106" t="str">
        <f>IF(AND(OR($X981="02",$X981="03",$X981="04"),OR($T981="Parsel/Bingkisan (tidak dirinci)",$T981="Makanan &amp; Minuman",$T981="Peralatan Rumah Tangga / Pecah Belah",$T981="Pakaian &amp; Kain")),"Momen Hari Raya (dugaan musiman)",IFERROR(VLOOKUP($W981,Kamus!$P$3:$Q$14,2,FALSE),"Tidak Teridentifikasi"))</f>
        <v>Momen Hari Raya (dugaan musiman)</v>
      </c>
      <c r="AA981" s="106" t="str">
        <f t="shared" si="47"/>
        <v>Momen Hari Raya (Ramadan/Idulfitri)</v>
      </c>
    </row>
    <row r="982" spans="1:27">
      <c r="A982" s="106">
        <v>981</v>
      </c>
      <c r="B982" s="106" t="s">
        <v>5550</v>
      </c>
      <c r="C982" s="107" t="s">
        <v>5551</v>
      </c>
      <c r="D982" s="106" t="s">
        <v>5552</v>
      </c>
      <c r="E982" s="106" t="s">
        <v>1903</v>
      </c>
      <c r="F982" s="106" t="s">
        <v>5553</v>
      </c>
      <c r="G982" s="106" t="s">
        <v>1006</v>
      </c>
      <c r="H982" s="106" t="s">
        <v>5554</v>
      </c>
      <c r="I982" s="106" t="s">
        <v>5559</v>
      </c>
      <c r="J982" s="106">
        <v>95800</v>
      </c>
      <c r="K982" s="106" t="s">
        <v>5556</v>
      </c>
      <c r="L982" s="106" t="s">
        <v>5557</v>
      </c>
      <c r="M982" s="106" t="s">
        <v>1171</v>
      </c>
      <c r="N982" s="106" t="s">
        <v>5558</v>
      </c>
      <c r="O982" s="106" t="s">
        <v>274</v>
      </c>
      <c r="P982" s="106" t="s">
        <v>1907</v>
      </c>
      <c r="Q982" s="106" t="s">
        <v>404</v>
      </c>
      <c r="S982" s="106" t="str" cm="1">
        <f t="array" ref="S982">IF(TRIM($D982)="","(tidak diisi)",IFERROR(INDEX(Kamus!$B$3:$B$28,MATCH(TRUE,ISNUMBER(SEARCH(Kamus!$A$3:$A$28,$D982)),0)),"Jabatan Lainnya"))</f>
        <v>Panitera</v>
      </c>
      <c r="T982" s="106" t="str" cm="1">
        <f t="array" ref="T982">IF(TRIM($I982)="","(tidak diisi)",IFERROR(INDEX(Kamus!$E$3:$E$162,MATCH(TRUE,ISNUMBER(SEARCH(Kamus!$D$3:$D$162,$I982)),0)),"Barang Lain / Tidak Terinci"))</f>
        <v>Peralatan Rumah Tangga / Pecah Belah</v>
      </c>
      <c r="U982" s="106" t="str" cm="1">
        <f t="array" ref="U982">IF(TRIM($I982)="","(tidak diisi)",IFERROR(INDEX(Kamus!$H$3:$H$75,MATCH(TRUE,ISNUMBER(SEARCH(Kamus!$G$3:$G$75,$I982)),0)),"Pemberian Umum / Tanpa Konteks"))</f>
        <v>Parsel/Bingkisan Umum (non-hari raya)</v>
      </c>
      <c r="V982" s="106" t="str">
        <f t="shared" si="45"/>
        <v>2026</v>
      </c>
      <c r="W982" s="106" t="str" cm="1">
        <f t="array" ref="W982">IF(TRIM($K982)="","(tidak diisi)",IFERROR(INDEX(Kamus!$K$3:$K$118,MATCH(TRUE,ISNUMBER(SEARCH(Kamus!$J$3:$J$118,$K982)),0)),"Individu / Perorangan"))</f>
        <v>Bank &amp; Lembaga Keuangan</v>
      </c>
      <c r="X982" s="106" t="str">
        <f t="shared" si="46"/>
        <v>04</v>
      </c>
      <c r="Y982" s="106" t="str" cm="1">
        <f t="array" ref="Y982">IFERROR(INDEX(Kamus!$N$3:$N$111,MATCH(TRUE,ISNUMBER(SEARCH(Kamus!$M$3:$M$111,$I982)),0)),"")</f>
        <v/>
      </c>
      <c r="Z982" s="106" t="str">
        <f>IF(AND(OR($X982="02",$X982="03",$X982="04"),OR($T982="Parsel/Bingkisan (tidak dirinci)",$T982="Makanan &amp; Minuman",$T982="Peralatan Rumah Tangga / Pecah Belah",$T982="Pakaian &amp; Kain")),"Momen Hari Raya (dugaan musiman)",IFERROR(VLOOKUP($W982,Kamus!$P$3:$Q$14,2,FALSE),"Tidak Teridentifikasi"))</f>
        <v>Momen Hari Raya (dugaan musiman)</v>
      </c>
      <c r="AA982" s="106" t="str">
        <f t="shared" si="47"/>
        <v>Momen Hari Raya (dugaan musiman)</v>
      </c>
    </row>
    <row r="983" spans="1:27">
      <c r="A983" s="106">
        <v>982</v>
      </c>
      <c r="B983" s="106" t="s">
        <v>5560</v>
      </c>
      <c r="C983" s="107" t="s">
        <v>5561</v>
      </c>
      <c r="D983" s="106" t="s">
        <v>1616</v>
      </c>
      <c r="E983" s="106" t="s">
        <v>4872</v>
      </c>
      <c r="F983" s="106" t="s">
        <v>5562</v>
      </c>
      <c r="G983" s="106" t="s">
        <v>1006</v>
      </c>
      <c r="H983" s="106" t="s">
        <v>5023</v>
      </c>
      <c r="I983" s="106" t="s">
        <v>5563</v>
      </c>
      <c r="J983" s="106">
        <v>145980</v>
      </c>
      <c r="K983" s="106" t="s">
        <v>4982</v>
      </c>
      <c r="L983" s="106" t="s">
        <v>5564</v>
      </c>
      <c r="M983" s="106" t="s">
        <v>1171</v>
      </c>
      <c r="N983" s="106" t="s">
        <v>5565</v>
      </c>
      <c r="O983" s="106" t="s">
        <v>274</v>
      </c>
      <c r="P983" s="106" t="s">
        <v>4873</v>
      </c>
      <c r="Q983" s="106" t="s">
        <v>420</v>
      </c>
      <c r="S983" s="106" t="str" cm="1">
        <f t="array" ref="S983">IF(TRIM($D983)="","(tidak diisi)",IFERROR(INDEX(Kamus!$B$3:$B$28,MATCH(TRUE,ISNUMBER(SEARCH(Kamus!$A$3:$A$28,$D983)),0)),"Jabatan Lainnya"))</f>
        <v>Sekretaris</v>
      </c>
      <c r="T983" s="106" t="str" cm="1">
        <f t="array" ref="T983">IF(TRIM($I983)="","(tidak diisi)",IFERROR(INDEX(Kamus!$E$3:$E$162,MATCH(TRUE,ISNUMBER(SEARCH(Kamus!$D$3:$D$162,$I983)),0)),"Barang Lain / Tidak Terinci"))</f>
        <v>Peralatan Rumah Tangga / Pecah Belah</v>
      </c>
      <c r="U983" s="106" t="str" cm="1">
        <f t="array" ref="U983">IF(TRIM($I983)="","(tidak diisi)",IFERROR(INDEX(Kamus!$H$3:$H$75,MATCH(TRUE,ISNUMBER(SEARCH(Kamus!$G$3:$G$75,$I983)),0)),"Pemberian Umum / Tanpa Konteks"))</f>
        <v>Parsel/Bingkisan Umum (non-hari raya)</v>
      </c>
      <c r="V983" s="106" t="str">
        <f t="shared" si="45"/>
        <v>2026</v>
      </c>
      <c r="W983" s="106" t="str" cm="1">
        <f t="array" ref="W983">IF(TRIM($K983)="","(tidak diisi)",IFERROR(INDEX(Kamus!$K$3:$K$118,MATCH(TRUE,ISNUMBER(SEARCH(Kamus!$J$3:$J$118,$K983)),0)),"Individu / Perorangan"))</f>
        <v>Bank &amp; Lembaga Keuangan</v>
      </c>
      <c r="X983" s="106" t="str">
        <f t="shared" si="46"/>
        <v>03</v>
      </c>
      <c r="Y983" s="106" t="str" cm="1">
        <f t="array" ref="Y983">IFERROR(INDEX(Kamus!$N$3:$N$111,MATCH(TRUE,ISNUMBER(SEARCH(Kamus!$M$3:$M$111,$I983)),0)),"")</f>
        <v/>
      </c>
      <c r="Z983" s="106" t="str">
        <f>IF(AND(OR($X983="02",$X983="03",$X983="04"),OR($T983="Parsel/Bingkisan (tidak dirinci)",$T983="Makanan &amp; Minuman",$T983="Peralatan Rumah Tangga / Pecah Belah",$T983="Pakaian &amp; Kain")),"Momen Hari Raya (dugaan musiman)",IFERROR(VLOOKUP($W983,Kamus!$P$3:$Q$14,2,FALSE),"Tidak Teridentifikasi"))</f>
        <v>Momen Hari Raya (dugaan musiman)</v>
      </c>
      <c r="AA983" s="106" t="str">
        <f t="shared" si="47"/>
        <v>Momen Hari Raya (dugaan musiman)</v>
      </c>
    </row>
    <row r="984" spans="1:27">
      <c r="A984" s="106">
        <v>983</v>
      </c>
      <c r="B984" s="106" t="s">
        <v>5560</v>
      </c>
      <c r="C984" s="107" t="s">
        <v>5561</v>
      </c>
      <c r="D984" s="106" t="s">
        <v>1616</v>
      </c>
      <c r="E984" s="106" t="s">
        <v>4872</v>
      </c>
      <c r="F984" s="106" t="s">
        <v>5562</v>
      </c>
      <c r="G984" s="106" t="s">
        <v>1006</v>
      </c>
      <c r="H984" s="106" t="s">
        <v>5023</v>
      </c>
      <c r="I984" s="106" t="s">
        <v>5566</v>
      </c>
      <c r="J984" s="106">
        <v>209550</v>
      </c>
      <c r="K984" s="106" t="s">
        <v>4985</v>
      </c>
      <c r="L984" s="106" t="s">
        <v>5564</v>
      </c>
      <c r="M984" s="106" t="s">
        <v>1171</v>
      </c>
      <c r="N984" s="106" t="s">
        <v>5565</v>
      </c>
      <c r="O984" s="106" t="s">
        <v>274</v>
      </c>
      <c r="P984" s="106" t="s">
        <v>4873</v>
      </c>
      <c r="Q984" s="106" t="s">
        <v>420</v>
      </c>
      <c r="S984" s="106" t="str" cm="1">
        <f t="array" ref="S984">IF(TRIM($D984)="","(tidak diisi)",IFERROR(INDEX(Kamus!$B$3:$B$28,MATCH(TRUE,ISNUMBER(SEARCH(Kamus!$A$3:$A$28,$D984)),0)),"Jabatan Lainnya"))</f>
        <v>Sekretaris</v>
      </c>
      <c r="T984" s="106" t="str" cm="1">
        <f t="array" ref="T984">IF(TRIM($I984)="","(tidak diisi)",IFERROR(INDEX(Kamus!$E$3:$E$162,MATCH(TRUE,ISNUMBER(SEARCH(Kamus!$D$3:$D$162,$I984)),0)),"Barang Lain / Tidak Terinci"))</f>
        <v>Peralatan Rumah Tangga / Pecah Belah</v>
      </c>
      <c r="U984" s="106" t="str" cm="1">
        <f t="array" ref="U984">IF(TRIM($I984)="","(tidak diisi)",IFERROR(INDEX(Kamus!$H$3:$H$75,MATCH(TRUE,ISNUMBER(SEARCH(Kamus!$G$3:$G$75,$I984)),0)),"Pemberian Umum / Tanpa Konteks"))</f>
        <v>Parsel/Bingkisan Umum (non-hari raya)</v>
      </c>
      <c r="V984" s="106" t="str">
        <f t="shared" si="45"/>
        <v>2026</v>
      </c>
      <c r="W984" s="106" t="str" cm="1">
        <f t="array" ref="W984">IF(TRIM($K984)="","(tidak diisi)",IFERROR(INDEX(Kamus!$K$3:$K$118,MATCH(TRUE,ISNUMBER(SEARCH(Kamus!$J$3:$J$118,$K984)),0)),"Individu / Perorangan"))</f>
        <v>Bank &amp; Lembaga Keuangan</v>
      </c>
      <c r="X984" s="106" t="str">
        <f t="shared" si="46"/>
        <v>03</v>
      </c>
      <c r="Y984" s="106" t="str" cm="1">
        <f t="array" ref="Y984">IFERROR(INDEX(Kamus!$N$3:$N$111,MATCH(TRUE,ISNUMBER(SEARCH(Kamus!$M$3:$M$111,$I984)),0)),"")</f>
        <v/>
      </c>
      <c r="Z984" s="106" t="str">
        <f>IF(AND(OR($X984="02",$X984="03",$X984="04"),OR($T984="Parsel/Bingkisan (tidak dirinci)",$T984="Makanan &amp; Minuman",$T984="Peralatan Rumah Tangga / Pecah Belah",$T984="Pakaian &amp; Kain")),"Momen Hari Raya (dugaan musiman)",IFERROR(VLOOKUP($W984,Kamus!$P$3:$Q$14,2,FALSE),"Tidak Teridentifikasi"))</f>
        <v>Momen Hari Raya (dugaan musiman)</v>
      </c>
      <c r="AA984" s="106" t="str">
        <f t="shared" si="47"/>
        <v>Momen Hari Raya (dugaan musiman)</v>
      </c>
    </row>
    <row r="985" spans="1:27">
      <c r="A985" s="106">
        <v>984</v>
      </c>
      <c r="B985" s="106" t="s">
        <v>5567</v>
      </c>
      <c r="C985" s="107" t="s">
        <v>5568</v>
      </c>
      <c r="D985" s="106" t="s">
        <v>5569</v>
      </c>
      <c r="E985" s="106" t="s">
        <v>4872</v>
      </c>
      <c r="F985" s="106" t="s">
        <v>5570</v>
      </c>
      <c r="G985" s="106" t="s">
        <v>1006</v>
      </c>
      <c r="H985" s="106" t="s">
        <v>5023</v>
      </c>
      <c r="I985" s="106" t="s">
        <v>5571</v>
      </c>
      <c r="J985" s="106">
        <v>148916</v>
      </c>
      <c r="K985" s="106" t="s">
        <v>4982</v>
      </c>
      <c r="L985" s="106" t="s">
        <v>5572</v>
      </c>
      <c r="M985" s="106" t="s">
        <v>1171</v>
      </c>
      <c r="N985" s="106" t="s">
        <v>5573</v>
      </c>
      <c r="O985" s="106" t="s">
        <v>274</v>
      </c>
      <c r="P985" s="106" t="s">
        <v>4873</v>
      </c>
      <c r="Q985" s="106" t="s">
        <v>420</v>
      </c>
      <c r="S985" s="106" t="str" cm="1">
        <f t="array" ref="S985">IF(TRIM($D985)="","(tidak diisi)",IFERROR(INDEX(Kamus!$B$3:$B$28,MATCH(TRUE,ISNUMBER(SEARCH(Kamus!$A$3:$A$28,$D985)),0)),"Jabatan Lainnya"))</f>
        <v>Staf/Pegawai Pelaksana</v>
      </c>
      <c r="T985" s="106" t="str" cm="1">
        <f t="array" ref="T985">IF(TRIM($I985)="","(tidak diisi)",IFERROR(INDEX(Kamus!$E$3:$E$162,MATCH(TRUE,ISNUMBER(SEARCH(Kamus!$D$3:$D$162,$I985)),0)),"Barang Lain / Tidak Terinci"))</f>
        <v>Peralatan Rumah Tangga / Pecah Belah</v>
      </c>
      <c r="U985" s="106" t="str" cm="1">
        <f t="array" ref="U985">IF(TRIM($I985)="","(tidak diisi)",IFERROR(INDEX(Kamus!$H$3:$H$75,MATCH(TRUE,ISNUMBER(SEARCH(Kamus!$G$3:$G$75,$I985)),0)),"Pemberian Umum / Tanpa Konteks"))</f>
        <v>Parsel/Bingkisan Umum (non-hari raya)</v>
      </c>
      <c r="V985" s="106" t="str">
        <f t="shared" si="45"/>
        <v>2026</v>
      </c>
      <c r="W985" s="106" t="str" cm="1">
        <f t="array" ref="W985">IF(TRIM($K985)="","(tidak diisi)",IFERROR(INDEX(Kamus!$K$3:$K$118,MATCH(TRUE,ISNUMBER(SEARCH(Kamus!$J$3:$J$118,$K985)),0)),"Individu / Perorangan"))</f>
        <v>Bank &amp; Lembaga Keuangan</v>
      </c>
      <c r="X985" s="106" t="str">
        <f t="shared" si="46"/>
        <v>03</v>
      </c>
      <c r="Y985" s="106" t="str" cm="1">
        <f t="array" ref="Y985">IFERROR(INDEX(Kamus!$N$3:$N$111,MATCH(TRUE,ISNUMBER(SEARCH(Kamus!$M$3:$M$111,$I985)),0)),"")</f>
        <v/>
      </c>
      <c r="Z985" s="106" t="str">
        <f>IF(AND(OR($X985="02",$X985="03",$X985="04"),OR($T985="Parsel/Bingkisan (tidak dirinci)",$T985="Makanan &amp; Minuman",$T985="Peralatan Rumah Tangga / Pecah Belah",$T985="Pakaian &amp; Kain")),"Momen Hari Raya (dugaan musiman)",IFERROR(VLOOKUP($W985,Kamus!$P$3:$Q$14,2,FALSE),"Tidak Teridentifikasi"))</f>
        <v>Momen Hari Raya (dugaan musiman)</v>
      </c>
      <c r="AA985" s="106" t="str">
        <f t="shared" si="47"/>
        <v>Momen Hari Raya (dugaan musiman)</v>
      </c>
    </row>
    <row r="986" spans="1:27">
      <c r="A986" s="106">
        <v>985</v>
      </c>
      <c r="B986" s="106" t="s">
        <v>5567</v>
      </c>
      <c r="C986" s="107" t="s">
        <v>5568</v>
      </c>
      <c r="D986" s="106" t="s">
        <v>5569</v>
      </c>
      <c r="E986" s="106" t="s">
        <v>4872</v>
      </c>
      <c r="F986" s="106" t="s">
        <v>5570</v>
      </c>
      <c r="G986" s="106" t="s">
        <v>1006</v>
      </c>
      <c r="H986" s="106" t="s">
        <v>5023</v>
      </c>
      <c r="I986" s="106" t="s">
        <v>5566</v>
      </c>
      <c r="J986" s="106">
        <v>203200</v>
      </c>
      <c r="K986" s="106" t="s">
        <v>4985</v>
      </c>
      <c r="L986" s="106" t="s">
        <v>5572</v>
      </c>
      <c r="M986" s="106" t="s">
        <v>1171</v>
      </c>
      <c r="N986" s="106" t="s">
        <v>5573</v>
      </c>
      <c r="O986" s="106" t="s">
        <v>274</v>
      </c>
      <c r="P986" s="106" t="s">
        <v>4873</v>
      </c>
      <c r="Q986" s="106" t="s">
        <v>420</v>
      </c>
      <c r="S986" s="106" t="str" cm="1">
        <f t="array" ref="S986">IF(TRIM($D986)="","(tidak diisi)",IFERROR(INDEX(Kamus!$B$3:$B$28,MATCH(TRUE,ISNUMBER(SEARCH(Kamus!$A$3:$A$28,$D986)),0)),"Jabatan Lainnya"))</f>
        <v>Staf/Pegawai Pelaksana</v>
      </c>
      <c r="T986" s="106" t="str" cm="1">
        <f t="array" ref="T986">IF(TRIM($I986)="","(tidak diisi)",IFERROR(INDEX(Kamus!$E$3:$E$162,MATCH(TRUE,ISNUMBER(SEARCH(Kamus!$D$3:$D$162,$I986)),0)),"Barang Lain / Tidak Terinci"))</f>
        <v>Peralatan Rumah Tangga / Pecah Belah</v>
      </c>
      <c r="U986" s="106" t="str" cm="1">
        <f t="array" ref="U986">IF(TRIM($I986)="","(tidak diisi)",IFERROR(INDEX(Kamus!$H$3:$H$75,MATCH(TRUE,ISNUMBER(SEARCH(Kamus!$G$3:$G$75,$I986)),0)),"Pemberian Umum / Tanpa Konteks"))</f>
        <v>Parsel/Bingkisan Umum (non-hari raya)</v>
      </c>
      <c r="V986" s="106" t="str">
        <f t="shared" si="45"/>
        <v>2026</v>
      </c>
      <c r="W986" s="106" t="str" cm="1">
        <f t="array" ref="W986">IF(TRIM($K986)="","(tidak diisi)",IFERROR(INDEX(Kamus!$K$3:$K$118,MATCH(TRUE,ISNUMBER(SEARCH(Kamus!$J$3:$J$118,$K986)),0)),"Individu / Perorangan"))</f>
        <v>Bank &amp; Lembaga Keuangan</v>
      </c>
      <c r="X986" s="106" t="str">
        <f t="shared" si="46"/>
        <v>03</v>
      </c>
      <c r="Y986" s="106" t="str" cm="1">
        <f t="array" ref="Y986">IFERROR(INDEX(Kamus!$N$3:$N$111,MATCH(TRUE,ISNUMBER(SEARCH(Kamus!$M$3:$M$111,$I986)),0)),"")</f>
        <v/>
      </c>
      <c r="Z986" s="106" t="str">
        <f>IF(AND(OR($X986="02",$X986="03",$X986="04"),OR($T986="Parsel/Bingkisan (tidak dirinci)",$T986="Makanan &amp; Minuman",$T986="Peralatan Rumah Tangga / Pecah Belah",$T986="Pakaian &amp; Kain")),"Momen Hari Raya (dugaan musiman)",IFERROR(VLOOKUP($W986,Kamus!$P$3:$Q$14,2,FALSE),"Tidak Teridentifikasi"))</f>
        <v>Momen Hari Raya (dugaan musiman)</v>
      </c>
      <c r="AA986" s="106" t="str">
        <f t="shared" si="47"/>
        <v>Momen Hari Raya (dugaan musiman)</v>
      </c>
    </row>
    <row r="987" spans="1:27">
      <c r="A987" s="106">
        <v>986</v>
      </c>
      <c r="B987" s="106" t="s">
        <v>3910</v>
      </c>
      <c r="C987" s="107" t="s">
        <v>3911</v>
      </c>
      <c r="D987" s="106" t="s">
        <v>1033</v>
      </c>
      <c r="E987" s="106" t="s">
        <v>1005</v>
      </c>
      <c r="F987" s="106" t="s">
        <v>5574</v>
      </c>
      <c r="G987" s="106" t="s">
        <v>1006</v>
      </c>
      <c r="H987" s="106" t="s">
        <v>5424</v>
      </c>
      <c r="I987" s="106" t="s">
        <v>5575</v>
      </c>
      <c r="J987" s="106">
        <v>50000</v>
      </c>
      <c r="K987" s="106" t="s">
        <v>5576</v>
      </c>
      <c r="L987" s="106" t="s">
        <v>5577</v>
      </c>
      <c r="M987" s="106" t="s">
        <v>1171</v>
      </c>
      <c r="N987" s="106" t="s">
        <v>5578</v>
      </c>
      <c r="O987" s="106" t="s">
        <v>274</v>
      </c>
      <c r="S987" s="106" t="str" cm="1">
        <f t="array" ref="S987">IF(TRIM($D987)="","(tidak diisi)",IFERROR(INDEX(Kamus!$B$3:$B$28,MATCH(TRUE,ISNUMBER(SEARCH(Kamus!$A$3:$A$28,$D987)),0)),"Jabatan Lainnya"))</f>
        <v>Hakim</v>
      </c>
      <c r="T987" s="106" t="str" cm="1">
        <f t="array" ref="T987">IF(TRIM($I987)="","(tidak diisi)",IFERROR(INDEX(Kamus!$E$3:$E$162,MATCH(TRUE,ISNUMBER(SEARCH(Kamus!$D$3:$D$162,$I987)),0)),"Barang Lain / Tidak Terinci"))</f>
        <v>Pakaian &amp; Kain</v>
      </c>
      <c r="U987" s="106" t="str" cm="1">
        <f t="array" ref="U987">IF(TRIM($I987)="","(tidak diisi)",IFERROR(INDEX(Kamus!$H$3:$H$75,MATCH(TRUE,ISNUMBER(SEARCH(Kamus!$G$3:$G$75,$I987)),0)),"Pemberian Umum / Tanpa Konteks"))</f>
        <v>Pemberian Umum / Tanpa Konteks</v>
      </c>
      <c r="V987" s="106" t="str">
        <f t="shared" si="45"/>
        <v>2026</v>
      </c>
      <c r="W987" s="106" t="str" cm="1">
        <f t="array" ref="W987">IF(TRIM($K987)="","(tidak diisi)",IFERROR(INDEX(Kamus!$K$3:$K$118,MATCH(TRUE,ISNUMBER(SEARCH(Kamus!$J$3:$J$118,$K987)),0)),"Individu / Perorangan"))</f>
        <v>Individu / Perorangan</v>
      </c>
      <c r="X987" s="106" t="str">
        <f t="shared" si="46"/>
        <v>03</v>
      </c>
      <c r="Y987" s="106" t="str" cm="1">
        <f t="array" ref="Y987">IFERROR(INDEX(Kamus!$N$3:$N$111,MATCH(TRUE,ISNUMBER(SEARCH(Kamus!$M$3:$M$111,$I987)),0)),"")</f>
        <v/>
      </c>
      <c r="Z987" s="106" t="str">
        <f>IF(AND(OR($X987="02",$X987="03",$X987="04"),OR($T987="Parsel/Bingkisan (tidak dirinci)",$T987="Makanan &amp; Minuman",$T987="Peralatan Rumah Tangga / Pecah Belah",$T987="Pakaian &amp; Kain")),"Momen Hari Raya (dugaan musiman)",IFERROR(VLOOKUP($W987,Kamus!$P$3:$Q$14,2,FALSE),"Tidak Teridentifikasi"))</f>
        <v>Momen Hari Raya (dugaan musiman)</v>
      </c>
      <c r="AA987" s="106" t="str">
        <f t="shared" si="47"/>
        <v>Momen Hari Raya (dugaan musiman)</v>
      </c>
    </row>
    <row r="988" spans="1:27">
      <c r="A988" s="106">
        <v>987</v>
      </c>
      <c r="B988" s="106" t="s">
        <v>5579</v>
      </c>
      <c r="C988" s="107" t="s">
        <v>5580</v>
      </c>
      <c r="D988" s="106" t="s">
        <v>5581</v>
      </c>
      <c r="E988" s="106" t="s">
        <v>5582</v>
      </c>
      <c r="F988" s="106" t="s">
        <v>5583</v>
      </c>
      <c r="G988" s="106" t="s">
        <v>1006</v>
      </c>
      <c r="H988" s="106" t="s">
        <v>5584</v>
      </c>
      <c r="I988" s="106" t="s">
        <v>1251</v>
      </c>
      <c r="J988" s="106">
        <v>500000</v>
      </c>
      <c r="K988" s="106" t="s">
        <v>1045</v>
      </c>
      <c r="L988" s="106" t="s">
        <v>5585</v>
      </c>
      <c r="M988" s="106" t="s">
        <v>1039</v>
      </c>
      <c r="O988" s="106" t="s">
        <v>274</v>
      </c>
      <c r="P988" s="106" t="s">
        <v>5586</v>
      </c>
      <c r="Q988" s="106" t="s">
        <v>433</v>
      </c>
      <c r="S988" s="106" t="str" cm="1">
        <f t="array" ref="S988">IF(TRIM($D988)="","(tidak diisi)",IFERROR(INDEX(Kamus!$B$3:$B$28,MATCH(TRUE,ISNUMBER(SEARCH(Kamus!$A$3:$A$28,$D988)),0)),"Jabatan Lainnya"))</f>
        <v>Ketua Pengadilan</v>
      </c>
      <c r="T988" s="106" t="str" cm="1">
        <f t="array" ref="T988">IF(TRIM($I988)="","(tidak diisi)",IFERROR(INDEX(Kamus!$E$3:$E$162,MATCH(TRUE,ISNUMBER(SEARCH(Kamus!$D$3:$D$162,$I988)),0)),"Barang Lain / Tidak Terinci"))</f>
        <v>Peralatan Rumah Tangga / Pecah Belah</v>
      </c>
      <c r="U988" s="106" t="str" cm="1">
        <f t="array" ref="U988">IF(TRIM($I988)="","(tidak diisi)",IFERROR(INDEX(Kamus!$H$3:$H$75,MATCH(TRUE,ISNUMBER(SEARCH(Kamus!$G$3:$G$75,$I988)),0)),"Pemberian Umum / Tanpa Konteks"))</f>
        <v>Parsel/Bingkisan Umum (non-hari raya)</v>
      </c>
      <c r="V988" s="106" t="str">
        <f t="shared" si="45"/>
        <v>2017</v>
      </c>
      <c r="W988" s="106" t="str" cm="1">
        <f t="array" ref="W988">IF(TRIM($K988)="","(tidak diisi)",IFERROR(INDEX(Kamus!$K$3:$K$118,MATCH(TRUE,ISNUMBER(SEARCH(Kamus!$J$3:$J$118,$K988)),0)),"Individu / Perorangan"))</f>
        <v>Tidak Diketahui</v>
      </c>
      <c r="X988" s="106" t="str">
        <f t="shared" si="46"/>
        <v>03</v>
      </c>
      <c r="Y988" s="106" t="str" cm="1">
        <f t="array" ref="Y988">IFERROR(INDEX(Kamus!$N$3:$N$111,MATCH(TRUE,ISNUMBER(SEARCH(Kamus!$M$3:$M$111,$I988)),0)),"")</f>
        <v/>
      </c>
      <c r="Z988" s="106" t="str">
        <f>IF(AND(OR($X988="02",$X988="03",$X988="04"),OR($T988="Parsel/Bingkisan (tidak dirinci)",$T988="Makanan &amp; Minuman",$T988="Peralatan Rumah Tangga / Pecah Belah",$T988="Pakaian &amp; Kain")),"Momen Hari Raya (dugaan musiman)",IFERROR(VLOOKUP($W988,Kamus!$P$3:$Q$14,2,FALSE),"Tidak Teridentifikasi"))</f>
        <v>Momen Hari Raya (dugaan musiman)</v>
      </c>
      <c r="AA988" s="106" t="str">
        <f t="shared" si="47"/>
        <v>Momen Hari Raya (dugaan musiman)</v>
      </c>
    </row>
    <row r="989" spans="1:27">
      <c r="A989" s="106">
        <v>988</v>
      </c>
      <c r="B989" s="106" t="s">
        <v>5579</v>
      </c>
      <c r="C989" s="107" t="s">
        <v>5580</v>
      </c>
      <c r="D989" s="106" t="s">
        <v>5581</v>
      </c>
      <c r="E989" s="106" t="s">
        <v>5582</v>
      </c>
      <c r="F989" s="106" t="s">
        <v>5587</v>
      </c>
      <c r="G989" s="106" t="s">
        <v>1006</v>
      </c>
      <c r="H989" s="106" t="s">
        <v>5023</v>
      </c>
      <c r="I989" s="106" t="s">
        <v>5588</v>
      </c>
      <c r="J989" s="106">
        <v>500000</v>
      </c>
      <c r="K989" s="106" t="s">
        <v>1045</v>
      </c>
      <c r="L989" s="106" t="s">
        <v>5589</v>
      </c>
      <c r="M989" s="106" t="s">
        <v>1039</v>
      </c>
      <c r="O989" s="106" t="s">
        <v>274</v>
      </c>
      <c r="P989" s="106" t="s">
        <v>5586</v>
      </c>
      <c r="Q989" s="106" t="s">
        <v>433</v>
      </c>
      <c r="S989" s="106" t="str" cm="1">
        <f t="array" ref="S989">IF(TRIM($D989)="","(tidak diisi)",IFERROR(INDEX(Kamus!$B$3:$B$28,MATCH(TRUE,ISNUMBER(SEARCH(Kamus!$A$3:$A$28,$D989)),0)),"Jabatan Lainnya"))</f>
        <v>Ketua Pengadilan</v>
      </c>
      <c r="T989" s="106" t="str" cm="1">
        <f t="array" ref="T989">IF(TRIM($I989)="","(tidak diisi)",IFERROR(INDEX(Kamus!$E$3:$E$162,MATCH(TRUE,ISNUMBER(SEARCH(Kamus!$D$3:$D$162,$I989)),0)),"Barang Lain / Tidak Terinci"))</f>
        <v>Peralatan Rumah Tangga / Pecah Belah</v>
      </c>
      <c r="U989" s="106" t="str" cm="1">
        <f t="array" ref="U989">IF(TRIM($I989)="","(tidak diisi)",IFERROR(INDEX(Kamus!$H$3:$H$75,MATCH(TRUE,ISNUMBER(SEARCH(Kamus!$G$3:$G$75,$I989)),0)),"Pemberian Umum / Tanpa Konteks"))</f>
        <v>Parsel/Bingkisan Umum (non-hari raya)</v>
      </c>
      <c r="V989" s="106" t="str">
        <f t="shared" si="45"/>
        <v>2026</v>
      </c>
      <c r="W989" s="106" t="str" cm="1">
        <f t="array" ref="W989">IF(TRIM($K989)="","(tidak diisi)",IFERROR(INDEX(Kamus!$K$3:$K$118,MATCH(TRUE,ISNUMBER(SEARCH(Kamus!$J$3:$J$118,$K989)),0)),"Individu / Perorangan"))</f>
        <v>Tidak Diketahui</v>
      </c>
      <c r="X989" s="106" t="str">
        <f t="shared" si="46"/>
        <v>03</v>
      </c>
      <c r="Y989" s="106" t="str" cm="1">
        <f t="array" ref="Y989">IFERROR(INDEX(Kamus!$N$3:$N$111,MATCH(TRUE,ISNUMBER(SEARCH(Kamus!$M$3:$M$111,$I989)),0)),"")</f>
        <v/>
      </c>
      <c r="Z989" s="106" t="str">
        <f>IF(AND(OR($X989="02",$X989="03",$X989="04"),OR($T989="Parsel/Bingkisan (tidak dirinci)",$T989="Makanan &amp; Minuman",$T989="Peralatan Rumah Tangga / Pecah Belah",$T989="Pakaian &amp; Kain")),"Momen Hari Raya (dugaan musiman)",IFERROR(VLOOKUP($W989,Kamus!$P$3:$Q$14,2,FALSE),"Tidak Teridentifikasi"))</f>
        <v>Momen Hari Raya (dugaan musiman)</v>
      </c>
      <c r="AA989" s="106" t="str">
        <f t="shared" si="47"/>
        <v>Momen Hari Raya (dugaan musiman)</v>
      </c>
    </row>
    <row r="990" spans="1:27">
      <c r="A990" s="106">
        <v>989</v>
      </c>
      <c r="B990" s="106" t="s">
        <v>1900</v>
      </c>
      <c r="C990" s="107" t="s">
        <v>1901</v>
      </c>
      <c r="D990" s="106" t="s">
        <v>1902</v>
      </c>
      <c r="E990" s="106" t="s">
        <v>1903</v>
      </c>
      <c r="F990" s="106" t="s">
        <v>5590</v>
      </c>
      <c r="G990" s="106" t="s">
        <v>1006</v>
      </c>
      <c r="H990" s="106" t="s">
        <v>5554</v>
      </c>
      <c r="I990" s="106" t="s">
        <v>5559</v>
      </c>
      <c r="J990" s="106">
        <v>95800</v>
      </c>
      <c r="K990" s="106" t="s">
        <v>5556</v>
      </c>
      <c r="L990" s="106" t="s">
        <v>5591</v>
      </c>
      <c r="M990" s="106" t="s">
        <v>1171</v>
      </c>
      <c r="N990" s="106" t="s">
        <v>5592</v>
      </c>
      <c r="O990" s="106" t="s">
        <v>274</v>
      </c>
      <c r="P990" s="106" t="s">
        <v>1907</v>
      </c>
      <c r="Q990" s="106" t="s">
        <v>404</v>
      </c>
      <c r="S990" s="106" t="str" cm="1">
        <f t="array" ref="S990">IF(TRIM($D990)="","(tidak diisi)",IFERROR(INDEX(Kamus!$B$3:$B$28,MATCH(TRUE,ISNUMBER(SEARCH(Kamus!$A$3:$A$28,$D990)),0)),"Jabatan Lainnya"))</f>
        <v>Ketua Pengadilan</v>
      </c>
      <c r="T990" s="106" t="str" cm="1">
        <f t="array" ref="T990">IF(TRIM($I990)="","(tidak diisi)",IFERROR(INDEX(Kamus!$E$3:$E$162,MATCH(TRUE,ISNUMBER(SEARCH(Kamus!$D$3:$D$162,$I990)),0)),"Barang Lain / Tidak Terinci"))</f>
        <v>Peralatan Rumah Tangga / Pecah Belah</v>
      </c>
      <c r="U990" s="106" t="str" cm="1">
        <f t="array" ref="U990">IF(TRIM($I990)="","(tidak diisi)",IFERROR(INDEX(Kamus!$H$3:$H$75,MATCH(TRUE,ISNUMBER(SEARCH(Kamus!$G$3:$G$75,$I990)),0)),"Pemberian Umum / Tanpa Konteks"))</f>
        <v>Parsel/Bingkisan Umum (non-hari raya)</v>
      </c>
      <c r="V990" s="106" t="str">
        <f t="shared" si="45"/>
        <v>2026</v>
      </c>
      <c r="W990" s="106" t="str" cm="1">
        <f t="array" ref="W990">IF(TRIM($K990)="","(tidak diisi)",IFERROR(INDEX(Kamus!$K$3:$K$118,MATCH(TRUE,ISNUMBER(SEARCH(Kamus!$J$3:$J$118,$K990)),0)),"Individu / Perorangan"))</f>
        <v>Bank &amp; Lembaga Keuangan</v>
      </c>
      <c r="X990" s="106" t="str">
        <f t="shared" si="46"/>
        <v>04</v>
      </c>
      <c r="Y990" s="106" t="str" cm="1">
        <f t="array" ref="Y990">IFERROR(INDEX(Kamus!$N$3:$N$111,MATCH(TRUE,ISNUMBER(SEARCH(Kamus!$M$3:$M$111,$I990)),0)),"")</f>
        <v/>
      </c>
      <c r="Z990" s="106" t="str">
        <f>IF(AND(OR($X990="02",$X990="03",$X990="04"),OR($T990="Parsel/Bingkisan (tidak dirinci)",$T990="Makanan &amp; Minuman",$T990="Peralatan Rumah Tangga / Pecah Belah",$T990="Pakaian &amp; Kain")),"Momen Hari Raya (dugaan musiman)",IFERROR(VLOOKUP($W990,Kamus!$P$3:$Q$14,2,FALSE),"Tidak Teridentifikasi"))</f>
        <v>Momen Hari Raya (dugaan musiman)</v>
      </c>
      <c r="AA990" s="106" t="str">
        <f t="shared" si="47"/>
        <v>Momen Hari Raya (dugaan musiman)</v>
      </c>
    </row>
    <row r="991" spans="1:27">
      <c r="A991" s="106">
        <v>990</v>
      </c>
      <c r="B991" s="106" t="s">
        <v>1900</v>
      </c>
      <c r="C991" s="107" t="s">
        <v>1901</v>
      </c>
      <c r="D991" s="106" t="s">
        <v>1902</v>
      </c>
      <c r="E991" s="106" t="s">
        <v>1903</v>
      </c>
      <c r="F991" s="106" t="s">
        <v>5590</v>
      </c>
      <c r="G991" s="106" t="s">
        <v>1006</v>
      </c>
      <c r="H991" s="106" t="s">
        <v>5554</v>
      </c>
      <c r="I991" s="106" t="s">
        <v>5593</v>
      </c>
      <c r="J991" s="106">
        <v>150187</v>
      </c>
      <c r="K991" s="106" t="s">
        <v>5556</v>
      </c>
      <c r="L991" s="106" t="s">
        <v>5591</v>
      </c>
      <c r="M991" s="106" t="s">
        <v>1171</v>
      </c>
      <c r="N991" s="106" t="s">
        <v>5592</v>
      </c>
      <c r="O991" s="106" t="s">
        <v>274</v>
      </c>
      <c r="P991" s="106" t="s">
        <v>1907</v>
      </c>
      <c r="Q991" s="106" t="s">
        <v>404</v>
      </c>
      <c r="S991" s="106" t="str" cm="1">
        <f t="array" ref="S991">IF(TRIM($D991)="","(tidak diisi)",IFERROR(INDEX(Kamus!$B$3:$B$28,MATCH(TRUE,ISNUMBER(SEARCH(Kamus!$A$3:$A$28,$D991)),0)),"Jabatan Lainnya"))</f>
        <v>Ketua Pengadilan</v>
      </c>
      <c r="T991" s="106" t="str" cm="1">
        <f t="array" ref="T991">IF(TRIM($I991)="","(tidak diisi)",IFERROR(INDEX(Kamus!$E$3:$E$162,MATCH(TRUE,ISNUMBER(SEARCH(Kamus!$D$3:$D$162,$I991)),0)),"Barang Lain / Tidak Terinci"))</f>
        <v>Makanan &amp; Minuman</v>
      </c>
      <c r="U991" s="106" t="str" cm="1">
        <f t="array" ref="U991">IF(TRIM($I991)="","(tidak diisi)",IFERROR(INDEX(Kamus!$H$3:$H$75,MATCH(TRUE,ISNUMBER(SEARCH(Kamus!$G$3:$G$75,$I991)),0)),"Pemberian Umum / Tanpa Konteks"))</f>
        <v>Parsel/Bingkisan Umum (non-hari raya)</v>
      </c>
      <c r="V991" s="106" t="str">
        <f t="shared" si="45"/>
        <v>2026</v>
      </c>
      <c r="W991" s="106" t="str" cm="1">
        <f t="array" ref="W991">IF(TRIM($K991)="","(tidak diisi)",IFERROR(INDEX(Kamus!$K$3:$K$118,MATCH(TRUE,ISNUMBER(SEARCH(Kamus!$J$3:$J$118,$K991)),0)),"Individu / Perorangan"))</f>
        <v>Bank &amp; Lembaga Keuangan</v>
      </c>
      <c r="X991" s="106" t="str">
        <f t="shared" si="46"/>
        <v>04</v>
      </c>
      <c r="Y991" s="106" t="str" cm="1">
        <f t="array" ref="Y991">IFERROR(INDEX(Kamus!$N$3:$N$111,MATCH(TRUE,ISNUMBER(SEARCH(Kamus!$M$3:$M$111,$I991)),0)),"")</f>
        <v/>
      </c>
      <c r="Z991" s="106" t="str">
        <f>IF(AND(OR($X991="02",$X991="03",$X991="04"),OR($T991="Parsel/Bingkisan (tidak dirinci)",$T991="Makanan &amp; Minuman",$T991="Peralatan Rumah Tangga / Pecah Belah",$T991="Pakaian &amp; Kain")),"Momen Hari Raya (dugaan musiman)",IFERROR(VLOOKUP($W991,Kamus!$P$3:$Q$14,2,FALSE),"Tidak Teridentifikasi"))</f>
        <v>Momen Hari Raya (dugaan musiman)</v>
      </c>
      <c r="AA991" s="106" t="str">
        <f t="shared" si="47"/>
        <v>Momen Hari Raya (dugaan musiman)</v>
      </c>
    </row>
    <row r="992" spans="1:27">
      <c r="A992" s="106">
        <v>991</v>
      </c>
      <c r="B992" s="106" t="s">
        <v>1900</v>
      </c>
      <c r="C992" s="107" t="s">
        <v>1901</v>
      </c>
      <c r="D992" s="106" t="s">
        <v>1902</v>
      </c>
      <c r="E992" s="106" t="s">
        <v>1903</v>
      </c>
      <c r="F992" s="106" t="s">
        <v>5594</v>
      </c>
      <c r="G992" s="106" t="s">
        <v>1006</v>
      </c>
      <c r="H992" s="106" t="s">
        <v>5357</v>
      </c>
      <c r="I992" s="106" t="s">
        <v>5595</v>
      </c>
      <c r="J992" s="106">
        <v>130000</v>
      </c>
      <c r="K992" s="106" t="s">
        <v>5596</v>
      </c>
      <c r="L992" s="106" t="s">
        <v>5597</v>
      </c>
      <c r="M992" s="106" t="s">
        <v>2529</v>
      </c>
      <c r="O992" s="106" t="s">
        <v>274</v>
      </c>
      <c r="P992" s="106" t="s">
        <v>1907</v>
      </c>
      <c r="Q992" s="106" t="s">
        <v>404</v>
      </c>
      <c r="S992" s="106" t="str" cm="1">
        <f t="array" ref="S992">IF(TRIM($D992)="","(tidak diisi)",IFERROR(INDEX(Kamus!$B$3:$B$28,MATCH(TRUE,ISNUMBER(SEARCH(Kamus!$A$3:$A$28,$D992)),0)),"Jabatan Lainnya"))</f>
        <v>Ketua Pengadilan</v>
      </c>
      <c r="T992" s="106" t="str" cm="1">
        <f t="array" ref="T992">IF(TRIM($I992)="","(tidak diisi)",IFERROR(INDEX(Kamus!$E$3:$E$162,MATCH(TRUE,ISNUMBER(SEARCH(Kamus!$D$3:$D$162,$I992)),0)),"Barang Lain / Tidak Terinci"))</f>
        <v>Makanan &amp; Minuman</v>
      </c>
      <c r="U992" s="106" t="str" cm="1">
        <f t="array" ref="U992">IF(TRIM($I992)="","(tidak diisi)",IFERROR(INDEX(Kamus!$H$3:$H$75,MATCH(TRUE,ISNUMBER(SEARCH(Kamus!$G$3:$G$75,$I992)),0)),"Pemberian Umum / Tanpa Konteks"))</f>
        <v>Pemberian Umum / Tanpa Konteks</v>
      </c>
      <c r="V992" s="106" t="str">
        <f t="shared" si="45"/>
        <v>2026</v>
      </c>
      <c r="W992" s="106" t="str" cm="1">
        <f t="array" ref="W992">IF(TRIM($K992)="","(tidak diisi)",IFERROR(INDEX(Kamus!$K$3:$K$118,MATCH(TRUE,ISNUMBER(SEARCH(Kamus!$J$3:$J$118,$K992)),0)),"Individu / Perorangan"))</f>
        <v>Individu / Perorangan</v>
      </c>
      <c r="X992" s="106" t="str">
        <f t="shared" si="46"/>
        <v>04</v>
      </c>
      <c r="Y992" s="106" t="str" cm="1">
        <f t="array" ref="Y992">IFERROR(INDEX(Kamus!$N$3:$N$111,MATCH(TRUE,ISNUMBER(SEARCH(Kamus!$M$3:$M$111,$I992)),0)),"")</f>
        <v/>
      </c>
      <c r="Z992" s="106" t="str">
        <f>IF(AND(OR($X992="02",$X992="03",$X992="04"),OR($T992="Parsel/Bingkisan (tidak dirinci)",$T992="Makanan &amp; Minuman",$T992="Peralatan Rumah Tangga / Pecah Belah",$T992="Pakaian &amp; Kain")),"Momen Hari Raya (dugaan musiman)",IFERROR(VLOOKUP($W992,Kamus!$P$3:$Q$14,2,FALSE),"Tidak Teridentifikasi"))</f>
        <v>Momen Hari Raya (dugaan musiman)</v>
      </c>
      <c r="AA992" s="106" t="str">
        <f t="shared" si="47"/>
        <v>Momen Hari Raya (dugaan musiman)</v>
      </c>
    </row>
    <row r="993" spans="1:27">
      <c r="A993" s="106">
        <v>992</v>
      </c>
      <c r="B993" s="106" t="s">
        <v>1900</v>
      </c>
      <c r="C993" s="107" t="s">
        <v>1901</v>
      </c>
      <c r="D993" s="106" t="s">
        <v>1902</v>
      </c>
      <c r="E993" s="106" t="s">
        <v>1903</v>
      </c>
      <c r="F993" s="106" t="s">
        <v>5594</v>
      </c>
      <c r="G993" s="106" t="s">
        <v>1006</v>
      </c>
      <c r="H993" s="106" t="s">
        <v>5357</v>
      </c>
      <c r="I993" s="106" t="s">
        <v>5598</v>
      </c>
      <c r="J993" s="106">
        <v>70000</v>
      </c>
      <c r="K993" s="106" t="s">
        <v>5596</v>
      </c>
      <c r="L993" s="106" t="s">
        <v>5597</v>
      </c>
      <c r="M993" s="106" t="s">
        <v>1039</v>
      </c>
      <c r="O993" s="106" t="s">
        <v>274</v>
      </c>
      <c r="P993" s="106" t="s">
        <v>1907</v>
      </c>
      <c r="Q993" s="106" t="s">
        <v>404</v>
      </c>
      <c r="S993" s="106" t="str" cm="1">
        <f t="array" ref="S993">IF(TRIM($D993)="","(tidak diisi)",IFERROR(INDEX(Kamus!$B$3:$B$28,MATCH(TRUE,ISNUMBER(SEARCH(Kamus!$A$3:$A$28,$D993)),0)),"Jabatan Lainnya"))</f>
        <v>Ketua Pengadilan</v>
      </c>
      <c r="T993" s="106" t="str" cm="1">
        <f t="array" ref="T993">IF(TRIM($I993)="","(tidak diisi)",IFERROR(INDEX(Kamus!$E$3:$E$162,MATCH(TRUE,ISNUMBER(SEARCH(Kamus!$D$3:$D$162,$I993)),0)),"Barang Lain / Tidak Terinci"))</f>
        <v>Peralatan Rumah Tangga / Pecah Belah</v>
      </c>
      <c r="U993" s="106" t="str" cm="1">
        <f t="array" ref="U993">IF(TRIM($I993)="","(tidak diisi)",IFERROR(INDEX(Kamus!$H$3:$H$75,MATCH(TRUE,ISNUMBER(SEARCH(Kamus!$G$3:$G$75,$I993)),0)),"Pemberian Umum / Tanpa Konteks"))</f>
        <v>Pemberian Umum / Tanpa Konteks</v>
      </c>
      <c r="V993" s="106" t="str">
        <f t="shared" si="45"/>
        <v>2026</v>
      </c>
      <c r="W993" s="106" t="str" cm="1">
        <f t="array" ref="W993">IF(TRIM($K993)="","(tidak diisi)",IFERROR(INDEX(Kamus!$K$3:$K$118,MATCH(TRUE,ISNUMBER(SEARCH(Kamus!$J$3:$J$118,$K993)),0)),"Individu / Perorangan"))</f>
        <v>Individu / Perorangan</v>
      </c>
      <c r="X993" s="106" t="str">
        <f t="shared" si="46"/>
        <v>04</v>
      </c>
      <c r="Y993" s="106" t="str" cm="1">
        <f t="array" ref="Y993">IFERROR(INDEX(Kamus!$N$3:$N$111,MATCH(TRUE,ISNUMBER(SEARCH(Kamus!$M$3:$M$111,$I993)),0)),"")</f>
        <v/>
      </c>
      <c r="Z993" s="106" t="str">
        <f>IF(AND(OR($X993="02",$X993="03",$X993="04"),OR($T993="Parsel/Bingkisan (tidak dirinci)",$T993="Makanan &amp; Minuman",$T993="Peralatan Rumah Tangga / Pecah Belah",$T993="Pakaian &amp; Kain")),"Momen Hari Raya (dugaan musiman)",IFERROR(VLOOKUP($W993,Kamus!$P$3:$Q$14,2,FALSE),"Tidak Teridentifikasi"))</f>
        <v>Momen Hari Raya (dugaan musiman)</v>
      </c>
      <c r="AA993" s="106" t="str">
        <f t="shared" si="47"/>
        <v>Momen Hari Raya (dugaan musiman)</v>
      </c>
    </row>
    <row r="994" spans="1:27">
      <c r="A994" s="106">
        <v>993</v>
      </c>
      <c r="B994" s="106" t="s">
        <v>1334</v>
      </c>
      <c r="C994" s="107" t="s">
        <v>1335</v>
      </c>
      <c r="D994" s="106" t="s">
        <v>1336</v>
      </c>
      <c r="E994" s="106" t="s">
        <v>1005</v>
      </c>
      <c r="F994" s="106" t="s">
        <v>5599</v>
      </c>
      <c r="G994" s="106" t="s">
        <v>1006</v>
      </c>
      <c r="H994" s="106" t="s">
        <v>5600</v>
      </c>
      <c r="I994" s="106" t="s">
        <v>1693</v>
      </c>
      <c r="J994" s="106">
        <v>100000</v>
      </c>
      <c r="K994" s="106" t="s">
        <v>5601</v>
      </c>
      <c r="L994" s="106" t="s">
        <v>5602</v>
      </c>
      <c r="M994" s="106" t="s">
        <v>1039</v>
      </c>
      <c r="O994" s="106" t="s">
        <v>274</v>
      </c>
      <c r="S994" s="106" t="str" cm="1">
        <f t="array" ref="S994">IF(TRIM($D994)="","(tidak diisi)",IFERROR(INDEX(Kamus!$B$3:$B$28,MATCH(TRUE,ISNUMBER(SEARCH(Kamus!$A$3:$A$28,$D994)),0)),"Jabatan Lainnya"))</f>
        <v>Panitera</v>
      </c>
      <c r="T994" s="106" t="str" cm="1">
        <f t="array" ref="T994">IF(TRIM($I994)="","(tidak diisi)",IFERROR(INDEX(Kamus!$E$3:$E$162,MATCH(TRUE,ISNUMBER(SEARCH(Kamus!$D$3:$D$162,$I994)),0)),"Barang Lain / Tidak Terinci"))</f>
        <v>Suvenir &amp; Merchandise</v>
      </c>
      <c r="U994" s="106" t="str" cm="1">
        <f t="array" ref="U994">IF(TRIM($I994)="","(tidak diisi)",IFERROR(INDEX(Kamus!$H$3:$H$75,MATCH(TRUE,ISNUMBER(SEARCH(Kamus!$G$3:$G$75,$I994)),0)),"Pemberian Umum / Tanpa Konteks"))</f>
        <v>Pemberian Umum / Tanpa Konteks</v>
      </c>
      <c r="V994" s="106" t="str">
        <f t="shared" si="45"/>
        <v>2026</v>
      </c>
      <c r="W994" s="106" t="str" cm="1">
        <f t="array" ref="W994">IF(TRIM($K994)="","(tidak diisi)",IFERROR(INDEX(Kamus!$K$3:$K$118,MATCH(TRUE,ISNUMBER(SEARCH(Kamus!$J$3:$J$118,$K994)),0)),"Individu / Perorangan"))</f>
        <v>Kampus &amp; Sekolah</v>
      </c>
      <c r="X994" s="106" t="str">
        <f t="shared" si="46"/>
        <v>04</v>
      </c>
      <c r="Y994" s="106" t="str" cm="1">
        <f t="array" ref="Y994">IFERROR(INDEX(Kamus!$N$3:$N$111,MATCH(TRUE,ISNUMBER(SEARCH(Kamus!$M$3:$M$111,$I994)),0)),"")</f>
        <v/>
      </c>
      <c r="Z994" s="106" t="str">
        <f>IF(AND(OR($X994="02",$X994="03",$X994="04"),OR($T994="Parsel/Bingkisan (tidak dirinci)",$T994="Makanan &amp; Minuman",$T994="Peralatan Rumah Tangga / Pecah Belah",$T994="Pakaian &amp; Kain")),"Momen Hari Raya (dugaan musiman)",IFERROR(VLOOKUP($W994,Kamus!$P$3:$Q$14,2,FALSE),"Tidak Teridentifikasi"))</f>
        <v>Kerja Sama Pendidikan/PKL (dugaan)</v>
      </c>
      <c r="AA994" s="106" t="str">
        <f t="shared" si="47"/>
        <v>Kerja Sama Pendidikan/PKL (dugaan)</v>
      </c>
    </row>
    <row r="995" spans="1:27">
      <c r="A995" s="106">
        <v>994</v>
      </c>
      <c r="B995" s="106" t="s">
        <v>5603</v>
      </c>
      <c r="C995" s="107" t="s">
        <v>5604</v>
      </c>
      <c r="D995" s="106" t="s">
        <v>5605</v>
      </c>
      <c r="E995" s="106" t="s">
        <v>5606</v>
      </c>
      <c r="G995" s="106" t="s">
        <v>1074</v>
      </c>
      <c r="H995" s="106" t="s">
        <v>5357</v>
      </c>
      <c r="I995" s="106" t="s">
        <v>5607</v>
      </c>
      <c r="K995" s="106" t="s">
        <v>5608</v>
      </c>
      <c r="L995" s="106" t="s">
        <v>5609</v>
      </c>
      <c r="O995" s="106" t="s">
        <v>274</v>
      </c>
      <c r="P995" s="106" t="s">
        <v>5610</v>
      </c>
      <c r="Q995" s="106" t="s">
        <v>326</v>
      </c>
      <c r="S995" s="106" t="str" cm="1">
        <f t="array" ref="S995">IF(TRIM($D995)="","(tidak diisi)",IFERROR(INDEX(Kamus!$B$3:$B$28,MATCH(TRUE,ISNUMBER(SEARCH(Kamus!$A$3:$A$28,$D995)),0)),"Jabatan Lainnya"))</f>
        <v>Staf/Pegawai Pelaksana</v>
      </c>
      <c r="T995" s="106" t="str" cm="1">
        <f t="array" ref="T995">IF(TRIM($I995)="","(tidak diisi)",IFERROR(INDEX(Kamus!$E$3:$E$162,MATCH(TRUE,ISNUMBER(SEARCH(Kamus!$D$3:$D$162,$I995)),0)),"Barang Lain / Tidak Terinci"))</f>
        <v>Elektronik &amp; Gadget</v>
      </c>
      <c r="U995" s="106" t="str" cm="1">
        <f t="array" ref="U995">IF(TRIM($I995)="","(tidak diisi)",IFERROR(INDEX(Kamus!$H$3:$H$75,MATCH(TRUE,ISNUMBER(SEARCH(Kamus!$G$3:$G$75,$I995)),0)),"Pemberian Umum / Tanpa Konteks"))</f>
        <v>Pemberian Umum / Tanpa Konteks</v>
      </c>
      <c r="V995" s="106" t="str">
        <f t="shared" si="45"/>
        <v>2026</v>
      </c>
      <c r="W995" s="106" t="str" cm="1">
        <f t="array" ref="W995">IF(TRIM($K995)="","(tidak diisi)",IFERROR(INDEX(Kamus!$K$3:$K$118,MATCH(TRUE,ISNUMBER(SEARCH(Kamus!$J$3:$J$118,$K995)),0)),"Individu / Perorangan"))</f>
        <v>Individu / Perorangan</v>
      </c>
      <c r="X995" s="106" t="str">
        <f t="shared" si="46"/>
        <v>04</v>
      </c>
      <c r="Y995" s="106" t="str" cm="1">
        <f t="array" ref="Y995">IFERROR(INDEX(Kamus!$N$3:$N$111,MATCH(TRUE,ISNUMBER(SEARCH(Kamus!$M$3:$M$111,$I995)),0)),"")</f>
        <v/>
      </c>
      <c r="Z995" s="106" t="str">
        <f>IF(AND(OR($X995="02",$X995="03",$X995="04"),OR($T995="Parsel/Bingkisan (tidak dirinci)",$T995="Makanan &amp; Minuman",$T995="Peralatan Rumah Tangga / Pecah Belah",$T995="Pakaian &amp; Kain")),"Momen Hari Raya (dugaan musiman)",IFERROR(VLOOKUP($W995,Kamus!$P$3:$Q$14,2,FALSE),"Tidak Teridentifikasi"))</f>
        <v>Relasi Personal / Tidak Teridentifikasi</v>
      </c>
      <c r="AA995" s="106" t="str">
        <f t="shared" si="47"/>
        <v>Relasi Personal / Tidak Teridentifikasi</v>
      </c>
    </row>
    <row r="996" spans="1:27">
      <c r="A996" s="106">
        <v>995</v>
      </c>
      <c r="B996" s="106" t="s">
        <v>5611</v>
      </c>
      <c r="C996" s="107" t="s">
        <v>5612</v>
      </c>
      <c r="D996" s="106" t="s">
        <v>1160</v>
      </c>
      <c r="E996" s="106" t="s">
        <v>2998</v>
      </c>
      <c r="F996" s="106" t="s">
        <v>5613</v>
      </c>
      <c r="G996" s="106" t="s">
        <v>1006</v>
      </c>
      <c r="H996" s="106" t="s">
        <v>5614</v>
      </c>
      <c r="I996" s="106" t="s">
        <v>1017</v>
      </c>
      <c r="J996" s="106">
        <v>1000000</v>
      </c>
      <c r="K996" s="106" t="s">
        <v>1045</v>
      </c>
      <c r="L996" s="106" t="s">
        <v>5615</v>
      </c>
      <c r="M996" s="106" t="s">
        <v>1171</v>
      </c>
      <c r="N996" s="106" t="s">
        <v>5616</v>
      </c>
      <c r="O996" s="106" t="s">
        <v>274</v>
      </c>
      <c r="P996" s="106" t="s">
        <v>3003</v>
      </c>
      <c r="Q996" s="106" t="s">
        <v>430</v>
      </c>
      <c r="S996" s="106" t="str" cm="1">
        <f t="array" ref="S996">IF(TRIM($D996)="","(tidak diisi)",IFERROR(INDEX(Kamus!$B$3:$B$28,MATCH(TRUE,ISNUMBER(SEARCH(Kamus!$A$3:$A$28,$D996)),0)),"Jabatan Lainnya"))</f>
        <v>Panitera</v>
      </c>
      <c r="T996" s="106" t="str" cm="1">
        <f t="array" ref="T996">IF(TRIM($I996)="","(tidak diisi)",IFERROR(INDEX(Kamus!$E$3:$E$162,MATCH(TRUE,ISNUMBER(SEARCH(Kamus!$D$3:$D$162,$I996)),0)),"Barang Lain / Tidak Terinci"))</f>
        <v>Uang &amp; Setara Uang</v>
      </c>
      <c r="U996" s="106" t="str" cm="1">
        <f t="array" ref="U996">IF(TRIM($I996)="","(tidak diisi)",IFERROR(INDEX(Kamus!$H$3:$H$75,MATCH(TRUE,ISNUMBER(SEARCH(Kamus!$G$3:$G$75,$I996)),0)),"Pemberian Umum / Tanpa Konteks"))</f>
        <v>Pemberian Uang Langsung</v>
      </c>
      <c r="V996" s="106" t="str">
        <f t="shared" si="45"/>
        <v>2026</v>
      </c>
      <c r="W996" s="106" t="str" cm="1">
        <f t="array" ref="W996">IF(TRIM($K996)="","(tidak diisi)",IFERROR(INDEX(Kamus!$K$3:$K$118,MATCH(TRUE,ISNUMBER(SEARCH(Kamus!$J$3:$J$118,$K996)),0)),"Individu / Perorangan"))</f>
        <v>Tidak Diketahui</v>
      </c>
      <c r="X996" s="106" t="str">
        <f t="shared" si="46"/>
        <v>04</v>
      </c>
      <c r="Y996" s="106" t="str" cm="1">
        <f t="array" ref="Y996">IFERROR(INDEX(Kamus!$N$3:$N$111,MATCH(TRUE,ISNUMBER(SEARCH(Kamus!$M$3:$M$111,$I996)),0)),"")</f>
        <v/>
      </c>
      <c r="Z996" s="106" t="str">
        <f>IF(AND(OR($X996="02",$X996="03",$X996="04"),OR($T996="Parsel/Bingkisan (tidak dirinci)",$T996="Makanan &amp; Minuman",$T996="Peralatan Rumah Tangga / Pecah Belah",$T996="Pakaian &amp; Kain")),"Momen Hari Raya (dugaan musiman)",IFERROR(VLOOKUP($W996,Kamus!$P$3:$Q$14,2,FALSE),"Tidak Teridentifikasi"))</f>
        <v>Pemberi Tidak Diketahui</v>
      </c>
      <c r="AA996" s="106" t="str">
        <f t="shared" si="47"/>
        <v>Pemberi Tidak Diketahui</v>
      </c>
    </row>
    <row r="997" spans="1:27">
      <c r="A997" s="106">
        <v>996</v>
      </c>
      <c r="B997" s="106" t="s">
        <v>1040</v>
      </c>
      <c r="C997" s="107" t="s">
        <v>1041</v>
      </c>
      <c r="D997" s="106" t="s">
        <v>1042</v>
      </c>
      <c r="E997" s="106" t="s">
        <v>1043</v>
      </c>
      <c r="F997" s="106" t="s">
        <v>5617</v>
      </c>
      <c r="G997" s="106" t="s">
        <v>1006</v>
      </c>
      <c r="H997" s="106" t="s">
        <v>5618</v>
      </c>
      <c r="I997" s="106" t="s">
        <v>2302</v>
      </c>
      <c r="J997" s="106">
        <v>665000</v>
      </c>
      <c r="K997" s="106" t="s">
        <v>1045</v>
      </c>
      <c r="L997" s="106" t="s">
        <v>5619</v>
      </c>
      <c r="M997" s="106" t="s">
        <v>1020</v>
      </c>
      <c r="O997" s="106" t="s">
        <v>274</v>
      </c>
      <c r="P997" s="106" t="s">
        <v>1047</v>
      </c>
      <c r="Q997" s="106" t="s">
        <v>420</v>
      </c>
      <c r="S997" s="106" t="str" cm="1">
        <f t="array" ref="S997">IF(TRIM($D997)="","(tidak diisi)",IFERROR(INDEX(Kamus!$B$3:$B$28,MATCH(TRUE,ISNUMBER(SEARCH(Kamus!$A$3:$A$28,$D997)),0)),"Jabatan Lainnya"))</f>
        <v>Ketua Pengadilan</v>
      </c>
      <c r="T997" s="106" t="str" cm="1">
        <f t="array" ref="T997">IF(TRIM($I997)="","(tidak diisi)",IFERROR(INDEX(Kamus!$E$3:$E$162,MATCH(TRUE,ISNUMBER(SEARCH(Kamus!$D$3:$D$162,$I997)),0)),"Barang Lain / Tidak Terinci"))</f>
        <v>Uang &amp; Setara Uang</v>
      </c>
      <c r="U997" s="106" t="str" cm="1">
        <f t="array" ref="U997">IF(TRIM($I997)="","(tidak diisi)",IFERROR(INDEX(Kamus!$H$3:$H$75,MATCH(TRUE,ISNUMBER(SEARCH(Kamus!$G$3:$G$75,$I997)),0)),"Pemberian Umum / Tanpa Konteks"))</f>
        <v>Pemberian Uang Langsung</v>
      </c>
      <c r="V997" s="106" t="str">
        <f t="shared" si="45"/>
        <v>2026</v>
      </c>
      <c r="W997" s="106" t="str" cm="1">
        <f t="array" ref="W997">IF(TRIM($K997)="","(tidak diisi)",IFERROR(INDEX(Kamus!$K$3:$K$118,MATCH(TRUE,ISNUMBER(SEARCH(Kamus!$J$3:$J$118,$K997)),0)),"Individu / Perorangan"))</f>
        <v>Tidak Diketahui</v>
      </c>
      <c r="X997" s="106" t="str">
        <f t="shared" si="46"/>
        <v>04</v>
      </c>
      <c r="Y997" s="106" t="str" cm="1">
        <f t="array" ref="Y997">IFERROR(INDEX(Kamus!$N$3:$N$111,MATCH(TRUE,ISNUMBER(SEARCH(Kamus!$M$3:$M$111,$I997)),0)),"")</f>
        <v/>
      </c>
      <c r="Z997" s="106" t="str">
        <f>IF(AND(OR($X997="02",$X997="03",$X997="04"),OR($T997="Parsel/Bingkisan (tidak dirinci)",$T997="Makanan &amp; Minuman",$T997="Peralatan Rumah Tangga / Pecah Belah",$T997="Pakaian &amp; Kain")),"Momen Hari Raya (dugaan musiman)",IFERROR(VLOOKUP($W997,Kamus!$P$3:$Q$14,2,FALSE),"Tidak Teridentifikasi"))</f>
        <v>Pemberi Tidak Diketahui</v>
      </c>
      <c r="AA997" s="106" t="str">
        <f t="shared" si="47"/>
        <v>Pemberi Tidak Diketahui</v>
      </c>
    </row>
    <row r="998" spans="1:27">
      <c r="A998" s="106">
        <v>997</v>
      </c>
      <c r="B998" s="106" t="s">
        <v>1088</v>
      </c>
      <c r="C998" s="107" t="s">
        <v>1089</v>
      </c>
      <c r="D998" s="106" t="s">
        <v>1033</v>
      </c>
      <c r="E998" s="106" t="s">
        <v>1090</v>
      </c>
      <c r="F998" s="106" t="s">
        <v>5620</v>
      </c>
      <c r="G998" s="106" t="s">
        <v>1006</v>
      </c>
      <c r="H998" s="106" t="s">
        <v>5621</v>
      </c>
      <c r="I998" s="106" t="s">
        <v>1017</v>
      </c>
      <c r="J998" s="106">
        <v>170000</v>
      </c>
      <c r="K998" s="106" t="s">
        <v>5622</v>
      </c>
      <c r="L998" s="106" t="s">
        <v>5623</v>
      </c>
      <c r="M998" s="106" t="s">
        <v>1020</v>
      </c>
      <c r="O998" s="106" t="s">
        <v>274</v>
      </c>
      <c r="P998" s="106" t="s">
        <v>1095</v>
      </c>
      <c r="Q998" s="106" t="s">
        <v>348</v>
      </c>
      <c r="S998" s="106" t="str" cm="1">
        <f t="array" ref="S998">IF(TRIM($D998)="","(tidak diisi)",IFERROR(INDEX(Kamus!$B$3:$B$28,MATCH(TRUE,ISNUMBER(SEARCH(Kamus!$A$3:$A$28,$D998)),0)),"Jabatan Lainnya"))</f>
        <v>Hakim</v>
      </c>
      <c r="T998" s="106" t="str" cm="1">
        <f t="array" ref="T998">IF(TRIM($I998)="","(tidak diisi)",IFERROR(INDEX(Kamus!$E$3:$E$162,MATCH(TRUE,ISNUMBER(SEARCH(Kamus!$D$3:$D$162,$I998)),0)),"Barang Lain / Tidak Terinci"))</f>
        <v>Uang &amp; Setara Uang</v>
      </c>
      <c r="U998" s="106" t="str" cm="1">
        <f t="array" ref="U998">IF(TRIM($I998)="","(tidak diisi)",IFERROR(INDEX(Kamus!$H$3:$H$75,MATCH(TRUE,ISNUMBER(SEARCH(Kamus!$G$3:$G$75,$I998)),0)),"Pemberian Umum / Tanpa Konteks"))</f>
        <v>Pemberian Uang Langsung</v>
      </c>
      <c r="V998" s="106" t="str">
        <f t="shared" si="45"/>
        <v>2026</v>
      </c>
      <c r="W998" s="106" t="str" cm="1">
        <f t="array" ref="W998">IF(TRIM($K998)="","(tidak diisi)",IFERROR(INDEX(Kamus!$K$3:$K$118,MATCH(TRUE,ISNUMBER(SEARCH(Kamus!$J$3:$J$118,$K998)),0)),"Individu / Perorangan"))</f>
        <v>Organisasi / Panitia Kegiatan</v>
      </c>
      <c r="X998" s="106" t="str">
        <f t="shared" si="46"/>
        <v>04</v>
      </c>
      <c r="Y998" s="106" t="str" cm="1">
        <f t="array" ref="Y998">IFERROR(INDEX(Kamus!$N$3:$N$111,MATCH(TRUE,ISNUMBER(SEARCH(Kamus!$M$3:$M$111,$I998)),0)),"")</f>
        <v/>
      </c>
      <c r="Z998" s="106" t="str">
        <f>IF(AND(OR($X998="02",$X998="03",$X998="04"),OR($T998="Parsel/Bingkisan (tidak dirinci)",$T998="Makanan &amp; Minuman",$T998="Peralatan Rumah Tangga / Pecah Belah",$T998="Pakaian &amp; Kain")),"Momen Hari Raya (dugaan musiman)",IFERROR(VLOOKUP($W998,Kamus!$P$3:$Q$14,2,FALSE),"Tidak Teridentifikasi"))</f>
        <v>Kegiatan Organisasi/Panitia (dugaan)</v>
      </c>
      <c r="AA998" s="106" t="str">
        <f t="shared" si="47"/>
        <v>Kegiatan Organisasi/Panitia (dugaan)</v>
      </c>
    </row>
    <row r="999" spans="1:27">
      <c r="A999" s="106">
        <v>998</v>
      </c>
      <c r="B999" s="106" t="s">
        <v>1088</v>
      </c>
      <c r="C999" s="107" t="s">
        <v>1089</v>
      </c>
      <c r="D999" s="106" t="s">
        <v>1033</v>
      </c>
      <c r="E999" s="106" t="s">
        <v>1090</v>
      </c>
      <c r="F999" s="106" t="s">
        <v>5620</v>
      </c>
      <c r="G999" s="106" t="s">
        <v>1006</v>
      </c>
      <c r="H999" s="106" t="s">
        <v>5621</v>
      </c>
      <c r="I999" s="106" t="s">
        <v>5624</v>
      </c>
      <c r="J999" s="106">
        <v>15000</v>
      </c>
      <c r="K999" s="106" t="s">
        <v>5622</v>
      </c>
      <c r="L999" s="106" t="s">
        <v>5623</v>
      </c>
      <c r="M999" s="106" t="s">
        <v>1020</v>
      </c>
      <c r="O999" s="106" t="s">
        <v>274</v>
      </c>
      <c r="P999" s="106" t="s">
        <v>1095</v>
      </c>
      <c r="Q999" s="106" t="s">
        <v>348</v>
      </c>
      <c r="S999" s="106" t="str" cm="1">
        <f t="array" ref="S999">IF(TRIM($D999)="","(tidak diisi)",IFERROR(INDEX(Kamus!$B$3:$B$28,MATCH(TRUE,ISNUMBER(SEARCH(Kamus!$A$3:$A$28,$D999)),0)),"Jabatan Lainnya"))</f>
        <v>Hakim</v>
      </c>
      <c r="T999" s="106" t="str" cm="1">
        <f t="array" ref="T999">IF(TRIM($I999)="","(tidak diisi)",IFERROR(INDEX(Kamus!$E$3:$E$162,MATCH(TRUE,ISNUMBER(SEARCH(Kamus!$D$3:$D$162,$I999)),0)),"Barang Lain / Tidak Terinci"))</f>
        <v>Peralatan Rumah Tangga / Pecah Belah</v>
      </c>
      <c r="U999" s="106" t="str" cm="1">
        <f t="array" ref="U999">IF(TRIM($I999)="","(tidak diisi)",IFERROR(INDEX(Kamus!$H$3:$H$75,MATCH(TRUE,ISNUMBER(SEARCH(Kamus!$G$3:$G$75,$I999)),0)),"Pemberian Umum / Tanpa Konteks"))</f>
        <v>Suvenir / Merchandise Kegiatan &amp; Kunjungan</v>
      </c>
      <c r="V999" s="106" t="str">
        <f t="shared" si="45"/>
        <v>2026</v>
      </c>
      <c r="W999" s="106" t="str" cm="1">
        <f t="array" ref="W999">IF(TRIM($K999)="","(tidak diisi)",IFERROR(INDEX(Kamus!$K$3:$K$118,MATCH(TRUE,ISNUMBER(SEARCH(Kamus!$J$3:$J$118,$K999)),0)),"Individu / Perorangan"))</f>
        <v>Organisasi / Panitia Kegiatan</v>
      </c>
      <c r="X999" s="106" t="str">
        <f t="shared" si="46"/>
        <v>04</v>
      </c>
      <c r="Y999" s="106" t="str" cm="1">
        <f t="array" ref="Y999">IFERROR(INDEX(Kamus!$N$3:$N$111,MATCH(TRUE,ISNUMBER(SEARCH(Kamus!$M$3:$M$111,$I999)),0)),"")</f>
        <v/>
      </c>
      <c r="Z999" s="106" t="str">
        <f>IF(AND(OR($X999="02",$X999="03",$X999="04"),OR($T999="Parsel/Bingkisan (tidak dirinci)",$T999="Makanan &amp; Minuman",$T999="Peralatan Rumah Tangga / Pecah Belah",$T999="Pakaian &amp; Kain")),"Momen Hari Raya (dugaan musiman)",IFERROR(VLOOKUP($W999,Kamus!$P$3:$Q$14,2,FALSE),"Tidak Teridentifikasi"))</f>
        <v>Momen Hari Raya (dugaan musiman)</v>
      </c>
      <c r="AA999" s="106" t="str">
        <f t="shared" si="47"/>
        <v>Momen Hari Raya (dugaan musiman)</v>
      </c>
    </row>
    <row r="1000" spans="1:27">
      <c r="A1000" s="106">
        <v>999</v>
      </c>
      <c r="B1000" s="106" t="s">
        <v>1088</v>
      </c>
      <c r="C1000" s="107" t="s">
        <v>1089</v>
      </c>
      <c r="D1000" s="106" t="s">
        <v>1033</v>
      </c>
      <c r="E1000" s="106" t="s">
        <v>1090</v>
      </c>
      <c r="F1000" s="106" t="s">
        <v>5620</v>
      </c>
      <c r="G1000" s="106" t="s">
        <v>1006</v>
      </c>
      <c r="H1000" s="106" t="s">
        <v>5621</v>
      </c>
      <c r="I1000" s="106" t="s">
        <v>5625</v>
      </c>
      <c r="J1000" s="106">
        <v>50000</v>
      </c>
      <c r="K1000" s="106" t="s">
        <v>5622</v>
      </c>
      <c r="L1000" s="106" t="s">
        <v>5623</v>
      </c>
      <c r="M1000" s="106" t="s">
        <v>1020</v>
      </c>
      <c r="O1000" s="106" t="s">
        <v>274</v>
      </c>
      <c r="P1000" s="106" t="s">
        <v>1095</v>
      </c>
      <c r="Q1000" s="106" t="s">
        <v>348</v>
      </c>
      <c r="S1000" s="106" t="str" cm="1">
        <f t="array" ref="S1000">IF(TRIM($D1000)="","(tidak diisi)",IFERROR(INDEX(Kamus!$B$3:$B$28,MATCH(TRUE,ISNUMBER(SEARCH(Kamus!$A$3:$A$28,$D1000)),0)),"Jabatan Lainnya"))</f>
        <v>Hakim</v>
      </c>
      <c r="T1000" s="106" t="str" cm="1">
        <f t="array" ref="T1000">IF(TRIM($I1000)="","(tidak diisi)",IFERROR(INDEX(Kamus!$E$3:$E$162,MATCH(TRUE,ISNUMBER(SEARCH(Kamus!$D$3:$D$162,$I1000)),0)),"Barang Lain / Tidak Terinci"))</f>
        <v>Makanan &amp; Minuman</v>
      </c>
      <c r="U1000" s="106" t="str" cm="1">
        <f t="array" ref="U1000">IF(TRIM($I1000)="","(tidak diisi)",IFERROR(INDEX(Kamus!$H$3:$H$75,MATCH(TRUE,ISNUMBER(SEARCH(Kamus!$G$3:$G$75,$I1000)),0)),"Pemberian Umum / Tanpa Konteks"))</f>
        <v>Jamuan / Konsumsi Rapat &amp; Kegiatan</v>
      </c>
      <c r="V1000" s="106" t="str">
        <f t="shared" si="45"/>
        <v>2026</v>
      </c>
      <c r="W1000" s="106" t="str" cm="1">
        <f t="array" ref="W1000">IF(TRIM($K1000)="","(tidak diisi)",IFERROR(INDEX(Kamus!$K$3:$K$118,MATCH(TRUE,ISNUMBER(SEARCH(Kamus!$J$3:$J$118,$K1000)),0)),"Individu / Perorangan"))</f>
        <v>Organisasi / Panitia Kegiatan</v>
      </c>
      <c r="X1000" s="106" t="str">
        <f t="shared" si="46"/>
        <v>04</v>
      </c>
      <c r="Y1000" s="106" t="str" cm="1">
        <f t="array" ref="Y1000">IFERROR(INDEX(Kamus!$N$3:$N$111,MATCH(TRUE,ISNUMBER(SEARCH(Kamus!$M$3:$M$111,$I1000)),0)),"")</f>
        <v>Rapat / Jamuan Dinas</v>
      </c>
      <c r="Z1000" s="106" t="str">
        <f>IF(AND(OR($X1000="02",$X1000="03",$X1000="04"),OR($T1000="Parsel/Bingkisan (tidak dirinci)",$T1000="Makanan &amp; Minuman",$T1000="Peralatan Rumah Tangga / Pecah Belah",$T1000="Pakaian &amp; Kain")),"Momen Hari Raya (dugaan musiman)",IFERROR(VLOOKUP($W1000,Kamus!$P$3:$Q$14,2,FALSE),"Tidak Teridentifikasi"))</f>
        <v>Momen Hari Raya (dugaan musiman)</v>
      </c>
      <c r="AA1000" s="106" t="str">
        <f t="shared" si="47"/>
        <v>Rapat / Jamuan Dinas</v>
      </c>
    </row>
    <row r="1001" spans="1:27">
      <c r="A1001" s="106">
        <v>1000</v>
      </c>
      <c r="B1001" s="106" t="s">
        <v>3997</v>
      </c>
      <c r="C1001" s="107" t="s">
        <v>3998</v>
      </c>
      <c r="D1001" s="106" t="s">
        <v>3999</v>
      </c>
      <c r="E1001" s="106" t="s">
        <v>4000</v>
      </c>
      <c r="F1001" s="106" t="s">
        <v>5626</v>
      </c>
      <c r="G1001" s="106" t="s">
        <v>1074</v>
      </c>
      <c r="H1001" s="106" t="s">
        <v>5627</v>
      </c>
      <c r="I1001" s="106" t="s">
        <v>5628</v>
      </c>
      <c r="K1001" s="106" t="s">
        <v>5629</v>
      </c>
      <c r="L1001" s="106" t="s">
        <v>5630</v>
      </c>
      <c r="O1001" s="106" t="s">
        <v>274</v>
      </c>
      <c r="P1001" s="106" t="s">
        <v>479</v>
      </c>
      <c r="Q1001" s="106" t="s">
        <v>403</v>
      </c>
      <c r="S1001" s="106" t="str" cm="1">
        <f t="array" ref="S1001">IF(TRIM($D1001)="","(tidak diisi)",IFERROR(INDEX(Kamus!$B$3:$B$28,MATCH(TRUE,ISNUMBER(SEARCH(Kamus!$A$3:$A$28,$D1001)),0)),"Jabatan Lainnya"))</f>
        <v>Wakil Ketua Pengadilan</v>
      </c>
      <c r="T1001" s="106" t="str" cm="1">
        <f t="array" ref="T1001">IF(TRIM($I1001)="","(tidak diisi)",IFERROR(INDEX(Kamus!$E$3:$E$162,MATCH(TRUE,ISNUMBER(SEARCH(Kamus!$D$3:$D$162,$I1001)),0)),"Barang Lain / Tidak Terinci"))</f>
        <v>Makanan &amp; Minuman</v>
      </c>
      <c r="U1001" s="106" t="str" cm="1">
        <f t="array" ref="U1001">IF(TRIM($I1001)="","(tidak diisi)",IFERROR(INDEX(Kamus!$H$3:$H$75,MATCH(TRUE,ISNUMBER(SEARCH(Kamus!$G$3:$G$75,$I1001)),0)),"Pemberian Umum / Tanpa Konteks"))</f>
        <v>Oleh-oleh / Buah Tangan Perjalanan</v>
      </c>
      <c r="V1001" s="106" t="str">
        <f t="shared" si="45"/>
        <v>2026</v>
      </c>
      <c r="W1001" s="106" t="str" cm="1">
        <f t="array" ref="W1001">IF(TRIM($K1001)="","(tidak diisi)",IFERROR(INDEX(Kamus!$K$3:$K$118,MATCH(TRUE,ISNUMBER(SEARCH(Kamus!$J$3:$J$118,$K1001)),0)),"Individu / Perorangan"))</f>
        <v>Individu / Perorangan</v>
      </c>
      <c r="X1001" s="106" t="str">
        <f t="shared" si="46"/>
        <v>04</v>
      </c>
      <c r="Y1001" s="106" t="str" cm="1">
        <f t="array" ref="Y1001">IFERROR(INDEX(Kamus!$N$3:$N$111,MATCH(TRUE,ISNUMBER(SEARCH(Kamus!$M$3:$M$111,$I1001)),0)),"")</f>
        <v/>
      </c>
      <c r="Z1001" s="106" t="str">
        <f>IF(AND(OR($X1001="02",$X1001="03",$X1001="04"),OR($T1001="Parsel/Bingkisan (tidak dirinci)",$T1001="Makanan &amp; Minuman",$T1001="Peralatan Rumah Tangga / Pecah Belah",$T1001="Pakaian &amp; Kain")),"Momen Hari Raya (dugaan musiman)",IFERROR(VLOOKUP($W1001,Kamus!$P$3:$Q$14,2,FALSE),"Tidak Teridentifikasi"))</f>
        <v>Momen Hari Raya (dugaan musiman)</v>
      </c>
      <c r="AA1001" s="106" t="str">
        <f t="shared" si="47"/>
        <v>Momen Hari Raya (dugaan musiman)</v>
      </c>
    </row>
    <row r="1002" spans="1:27">
      <c r="A1002" s="106">
        <v>1001</v>
      </c>
      <c r="B1002" s="106" t="s">
        <v>3478</v>
      </c>
      <c r="C1002" s="107" t="s">
        <v>3479</v>
      </c>
      <c r="D1002" s="106" t="s">
        <v>1843</v>
      </c>
      <c r="E1002" s="106" t="s">
        <v>1005</v>
      </c>
      <c r="F1002" s="106" t="s">
        <v>5631</v>
      </c>
      <c r="G1002" s="106" t="s">
        <v>1006</v>
      </c>
      <c r="H1002" s="106" t="s">
        <v>5632</v>
      </c>
      <c r="I1002" s="106" t="s">
        <v>5633</v>
      </c>
      <c r="J1002" s="106">
        <v>1000000</v>
      </c>
      <c r="K1002" s="106" t="s">
        <v>5634</v>
      </c>
      <c r="L1002" s="106" t="s">
        <v>5635</v>
      </c>
      <c r="M1002" s="106" t="s">
        <v>1171</v>
      </c>
      <c r="N1002" s="106" t="s">
        <v>5636</v>
      </c>
      <c r="O1002" s="106" t="s">
        <v>274</v>
      </c>
      <c r="S1002" s="106" t="str" cm="1">
        <f t="array" ref="S1002">IF(TRIM($D1002)="","(tidak diisi)",IFERROR(INDEX(Kamus!$B$3:$B$28,MATCH(TRUE,ISNUMBER(SEARCH(Kamus!$A$3:$A$28,$D1002)),0)),"Jabatan Lainnya"))</f>
        <v>Ketua Pengadilan</v>
      </c>
      <c r="T1002" s="106" t="str" cm="1">
        <f t="array" ref="T1002">IF(TRIM($I1002)="","(tidak diisi)",IFERROR(INDEX(Kamus!$E$3:$E$162,MATCH(TRUE,ISNUMBER(SEARCH(Kamus!$D$3:$D$162,$I1002)),0)),"Barang Lain / Tidak Terinci"))</f>
        <v>Pakaian &amp; Kain</v>
      </c>
      <c r="U1002" s="106" t="str" cm="1">
        <f t="array" ref="U1002">IF(TRIM($I1002)="","(tidak diisi)",IFERROR(INDEX(Kamus!$H$3:$H$75,MATCH(TRUE,ISNUMBER(SEARCH(Kamus!$G$3:$G$75,$I1002)),0)),"Pemberian Umum / Tanpa Konteks"))</f>
        <v>Pemberian Umum / Tanpa Konteks</v>
      </c>
      <c r="V1002" s="106" t="str">
        <f t="shared" si="45"/>
        <v>2026</v>
      </c>
      <c r="W1002" s="106" t="str" cm="1">
        <f t="array" ref="W1002">IF(TRIM($K1002)="","(tidak diisi)",IFERROR(INDEX(Kamus!$K$3:$K$118,MATCH(TRUE,ISNUMBER(SEARCH(Kamus!$J$3:$J$118,$K1002)),0)),"Individu / Perorangan"))</f>
        <v>Individu / Perorangan</v>
      </c>
      <c r="X1002" s="106" t="str">
        <f t="shared" si="46"/>
        <v>04</v>
      </c>
      <c r="Y1002" s="106" t="str" cm="1">
        <f t="array" ref="Y1002">IFERROR(INDEX(Kamus!$N$3:$N$111,MATCH(TRUE,ISNUMBER(SEARCH(Kamus!$M$3:$M$111,$I1002)),0)),"")</f>
        <v/>
      </c>
      <c r="Z1002" s="106" t="str">
        <f>IF(AND(OR($X1002="02",$X1002="03",$X1002="04"),OR($T1002="Parsel/Bingkisan (tidak dirinci)",$T1002="Makanan &amp; Minuman",$T1002="Peralatan Rumah Tangga / Pecah Belah",$T1002="Pakaian &amp; Kain")),"Momen Hari Raya (dugaan musiman)",IFERROR(VLOOKUP($W1002,Kamus!$P$3:$Q$14,2,FALSE),"Tidak Teridentifikasi"))</f>
        <v>Momen Hari Raya (dugaan musiman)</v>
      </c>
      <c r="AA1002" s="106" t="str">
        <f t="shared" si="47"/>
        <v>Momen Hari Raya (dugaan musiman)</v>
      </c>
    </row>
    <row r="1003" spans="1:27">
      <c r="A1003" s="106">
        <v>1002</v>
      </c>
      <c r="B1003" s="106" t="s">
        <v>5637</v>
      </c>
      <c r="C1003" s="107" t="s">
        <v>5638</v>
      </c>
      <c r="D1003" s="106" t="s">
        <v>1033</v>
      </c>
      <c r="E1003" s="106" t="s">
        <v>2150</v>
      </c>
      <c r="F1003" s="106" t="s">
        <v>5639</v>
      </c>
      <c r="G1003" s="106" t="s">
        <v>1006</v>
      </c>
      <c r="H1003" s="106" t="s">
        <v>5640</v>
      </c>
      <c r="I1003" s="106" t="s">
        <v>5641</v>
      </c>
      <c r="K1003" s="106" t="s">
        <v>5642</v>
      </c>
      <c r="L1003" s="106" t="s">
        <v>5643</v>
      </c>
      <c r="O1003" s="106" t="s">
        <v>274</v>
      </c>
      <c r="P1003" s="106" t="s">
        <v>604</v>
      </c>
      <c r="Q1003" s="106" t="s">
        <v>429</v>
      </c>
      <c r="S1003" s="106" t="str" cm="1">
        <f t="array" ref="S1003">IF(TRIM($D1003)="","(tidak diisi)",IFERROR(INDEX(Kamus!$B$3:$B$28,MATCH(TRUE,ISNUMBER(SEARCH(Kamus!$A$3:$A$28,$D1003)),0)),"Jabatan Lainnya"))</f>
        <v>Hakim</v>
      </c>
      <c r="T1003" s="106" t="str" cm="1">
        <f t="array" ref="T1003">IF(TRIM($I1003)="","(tidak diisi)",IFERROR(INDEX(Kamus!$E$3:$E$162,MATCH(TRUE,ISNUMBER(SEARCH(Kamus!$D$3:$D$162,$I1003)),0)),"Barang Lain / Tidak Terinci"))</f>
        <v>Suvenir &amp; Merchandise</v>
      </c>
      <c r="U1003" s="106" t="str" cm="1">
        <f t="array" ref="U1003">IF(TRIM($I1003)="","(tidak diisi)",IFERROR(INDEX(Kamus!$H$3:$H$75,MATCH(TRUE,ISNUMBER(SEARCH(Kamus!$G$3:$G$75,$I1003)),0)),"Pemberian Umum / Tanpa Konteks"))</f>
        <v>Suvenir / Merchandise Kegiatan &amp; Kunjungan</v>
      </c>
      <c r="V1003" s="106" t="str">
        <f t="shared" si="45"/>
        <v>2026</v>
      </c>
      <c r="W1003" s="106" t="str" cm="1">
        <f t="array" ref="W1003">IF(TRIM($K1003)="","(tidak diisi)",IFERROR(INDEX(Kamus!$K$3:$K$118,MATCH(TRUE,ISNUMBER(SEARCH(Kamus!$J$3:$J$118,$K1003)),0)),"Individu / Perorangan"))</f>
        <v>Bank &amp; Lembaga Keuangan</v>
      </c>
      <c r="X1003" s="106" t="str">
        <f t="shared" si="46"/>
        <v>04</v>
      </c>
      <c r="Y1003" s="106" t="str" cm="1">
        <f t="array" ref="Y1003">IFERROR(INDEX(Kamus!$N$3:$N$111,MATCH(TRUE,ISNUMBER(SEARCH(Kamus!$M$3:$M$111,$I1003)),0)),"")</f>
        <v/>
      </c>
      <c r="Z1003" s="106" t="str">
        <f>IF(AND(OR($X1003="02",$X1003="03",$X1003="04"),OR($T1003="Parsel/Bingkisan (tidak dirinci)",$T1003="Makanan &amp; Minuman",$T1003="Peralatan Rumah Tangga / Pecah Belah",$T1003="Pakaian &amp; Kain")),"Momen Hari Raya (dugaan musiman)",IFERROR(VLOOKUP($W1003,Kamus!$P$3:$Q$14,2,FALSE),"Tidak Teridentifikasi"))</f>
        <v>Relasi Layanan/Kerja Sama Perbankan (dugaan)</v>
      </c>
      <c r="AA1003" s="106" t="str">
        <f t="shared" si="47"/>
        <v>Relasi Layanan/Kerja Sama Perbankan (dugaan)</v>
      </c>
    </row>
    <row r="1004" spans="1:27">
      <c r="A1004" s="106">
        <v>1003</v>
      </c>
      <c r="B1004" s="106" t="s">
        <v>5644</v>
      </c>
      <c r="C1004" s="107" t="s">
        <v>5645</v>
      </c>
      <c r="D1004" s="106" t="s">
        <v>1033</v>
      </c>
      <c r="E1004" s="106" t="s">
        <v>2150</v>
      </c>
      <c r="F1004" s="106" t="s">
        <v>5646</v>
      </c>
      <c r="G1004" s="106" t="s">
        <v>1006</v>
      </c>
      <c r="H1004" s="106" t="s">
        <v>5640</v>
      </c>
      <c r="I1004" s="106" t="s">
        <v>5641</v>
      </c>
      <c r="K1004" s="106" t="s">
        <v>5647</v>
      </c>
      <c r="L1004" s="106" t="s">
        <v>5648</v>
      </c>
      <c r="O1004" s="106" t="s">
        <v>274</v>
      </c>
      <c r="P1004" s="106" t="s">
        <v>604</v>
      </c>
      <c r="Q1004" s="106" t="s">
        <v>429</v>
      </c>
      <c r="S1004" s="106" t="str" cm="1">
        <f t="array" ref="S1004">IF(TRIM($D1004)="","(tidak diisi)",IFERROR(INDEX(Kamus!$B$3:$B$28,MATCH(TRUE,ISNUMBER(SEARCH(Kamus!$A$3:$A$28,$D1004)),0)),"Jabatan Lainnya"))</f>
        <v>Hakim</v>
      </c>
      <c r="T1004" s="106" t="str" cm="1">
        <f t="array" ref="T1004">IF(TRIM($I1004)="","(tidak diisi)",IFERROR(INDEX(Kamus!$E$3:$E$162,MATCH(TRUE,ISNUMBER(SEARCH(Kamus!$D$3:$D$162,$I1004)),0)),"Barang Lain / Tidak Terinci"))</f>
        <v>Suvenir &amp; Merchandise</v>
      </c>
      <c r="U1004" s="106" t="str" cm="1">
        <f t="array" ref="U1004">IF(TRIM($I1004)="","(tidak diisi)",IFERROR(INDEX(Kamus!$H$3:$H$75,MATCH(TRUE,ISNUMBER(SEARCH(Kamus!$G$3:$G$75,$I1004)),0)),"Pemberian Umum / Tanpa Konteks"))</f>
        <v>Suvenir / Merchandise Kegiatan &amp; Kunjungan</v>
      </c>
      <c r="V1004" s="106" t="str">
        <f t="shared" si="45"/>
        <v>2026</v>
      </c>
      <c r="W1004" s="106" t="str" cm="1">
        <f t="array" ref="W1004">IF(TRIM($K1004)="","(tidak diisi)",IFERROR(INDEX(Kamus!$K$3:$K$118,MATCH(TRUE,ISNUMBER(SEARCH(Kamus!$J$3:$J$118,$K1004)),0)),"Individu / Perorangan"))</f>
        <v>Bank &amp; Lembaga Keuangan</v>
      </c>
      <c r="X1004" s="106" t="str">
        <f t="shared" si="46"/>
        <v>04</v>
      </c>
      <c r="Y1004" s="106" t="str" cm="1">
        <f t="array" ref="Y1004">IFERROR(INDEX(Kamus!$N$3:$N$111,MATCH(TRUE,ISNUMBER(SEARCH(Kamus!$M$3:$M$111,$I1004)),0)),"")</f>
        <v/>
      </c>
      <c r="Z1004" s="106" t="str">
        <f>IF(AND(OR($X1004="02",$X1004="03",$X1004="04"),OR($T1004="Parsel/Bingkisan (tidak dirinci)",$T1004="Makanan &amp; Minuman",$T1004="Peralatan Rumah Tangga / Pecah Belah",$T1004="Pakaian &amp; Kain")),"Momen Hari Raya (dugaan musiman)",IFERROR(VLOOKUP($W1004,Kamus!$P$3:$Q$14,2,FALSE),"Tidak Teridentifikasi"))</f>
        <v>Relasi Layanan/Kerja Sama Perbankan (dugaan)</v>
      </c>
      <c r="AA1004" s="106" t="str">
        <f t="shared" si="47"/>
        <v>Relasi Layanan/Kerja Sama Perbankan (dugaan)</v>
      </c>
    </row>
    <row r="1005" spans="1:27">
      <c r="A1005" s="106">
        <v>1004</v>
      </c>
      <c r="B1005" s="106" t="s">
        <v>5649</v>
      </c>
      <c r="C1005" s="107" t="s">
        <v>5650</v>
      </c>
      <c r="D1005" s="106" t="s">
        <v>1042</v>
      </c>
      <c r="E1005" s="106" t="s">
        <v>5651</v>
      </c>
      <c r="F1005" s="106" t="s">
        <v>5652</v>
      </c>
      <c r="G1005" s="106" t="s">
        <v>1006</v>
      </c>
      <c r="H1005" s="106" t="s">
        <v>5441</v>
      </c>
      <c r="I1005" s="106" t="s">
        <v>1251</v>
      </c>
      <c r="J1005" s="106">
        <v>200000</v>
      </c>
      <c r="K1005" s="106" t="s">
        <v>468</v>
      </c>
      <c r="L1005" s="106" t="s">
        <v>5653</v>
      </c>
      <c r="M1005" s="106" t="s">
        <v>1039</v>
      </c>
      <c r="O1005" s="106" t="s">
        <v>274</v>
      </c>
      <c r="P1005" s="106" t="s">
        <v>5654</v>
      </c>
      <c r="Q1005" s="106" t="s">
        <v>431</v>
      </c>
      <c r="S1005" s="106" t="str" cm="1">
        <f t="array" ref="S1005">IF(TRIM($D1005)="","(tidak diisi)",IFERROR(INDEX(Kamus!$B$3:$B$28,MATCH(TRUE,ISNUMBER(SEARCH(Kamus!$A$3:$A$28,$D1005)),0)),"Jabatan Lainnya"))</f>
        <v>Ketua Pengadilan</v>
      </c>
      <c r="T1005" s="106" t="str" cm="1">
        <f t="array" ref="T1005">IF(TRIM($I1005)="","(tidak diisi)",IFERROR(INDEX(Kamus!$E$3:$E$162,MATCH(TRUE,ISNUMBER(SEARCH(Kamus!$D$3:$D$162,$I1005)),0)),"Barang Lain / Tidak Terinci"))</f>
        <v>Peralatan Rumah Tangga / Pecah Belah</v>
      </c>
      <c r="U1005" s="106" t="str" cm="1">
        <f t="array" ref="U1005">IF(TRIM($I1005)="","(tidak diisi)",IFERROR(INDEX(Kamus!$H$3:$H$75,MATCH(TRUE,ISNUMBER(SEARCH(Kamus!$G$3:$G$75,$I1005)),0)),"Pemberian Umum / Tanpa Konteks"))</f>
        <v>Parsel/Bingkisan Umum (non-hari raya)</v>
      </c>
      <c r="V1005" s="106" t="str">
        <f t="shared" si="45"/>
        <v>2026</v>
      </c>
      <c r="W1005" s="106" t="str" cm="1">
        <f t="array" ref="W1005">IF(TRIM($K1005)="","(tidak diisi)",IFERROR(INDEX(Kamus!$K$3:$K$118,MATCH(TRUE,ISNUMBER(SEARCH(Kamus!$J$3:$J$118,$K1005)),0)),"Individu / Perorangan"))</f>
        <v>Individu / Perorangan</v>
      </c>
      <c r="X1005" s="106" t="str">
        <f t="shared" si="46"/>
        <v>03</v>
      </c>
      <c r="Y1005" s="106" t="str" cm="1">
        <f t="array" ref="Y1005">IFERROR(INDEX(Kamus!$N$3:$N$111,MATCH(TRUE,ISNUMBER(SEARCH(Kamus!$M$3:$M$111,$I1005)),0)),"")</f>
        <v/>
      </c>
      <c r="Z1005" s="106" t="str">
        <f>IF(AND(OR($X1005="02",$X1005="03",$X1005="04"),OR($T1005="Parsel/Bingkisan (tidak dirinci)",$T1005="Makanan &amp; Minuman",$T1005="Peralatan Rumah Tangga / Pecah Belah",$T1005="Pakaian &amp; Kain")),"Momen Hari Raya (dugaan musiman)",IFERROR(VLOOKUP($W1005,Kamus!$P$3:$Q$14,2,FALSE),"Tidak Teridentifikasi"))</f>
        <v>Momen Hari Raya (dugaan musiman)</v>
      </c>
      <c r="AA1005" s="106" t="str">
        <f t="shared" si="47"/>
        <v>Momen Hari Raya (dugaan musiman)</v>
      </c>
    </row>
    <row r="1006" spans="1:27">
      <c r="A1006" s="106">
        <v>1005</v>
      </c>
      <c r="B1006" s="106" t="s">
        <v>5655</v>
      </c>
      <c r="C1006" s="107" t="s">
        <v>5656</v>
      </c>
      <c r="D1006" s="106" t="s">
        <v>1033</v>
      </c>
      <c r="E1006" s="106" t="s">
        <v>2150</v>
      </c>
      <c r="F1006" s="106" t="s">
        <v>5657</v>
      </c>
      <c r="G1006" s="106" t="s">
        <v>1006</v>
      </c>
      <c r="H1006" s="106" t="s">
        <v>5640</v>
      </c>
      <c r="I1006" s="106" t="s">
        <v>5641</v>
      </c>
      <c r="K1006" s="106" t="s">
        <v>5647</v>
      </c>
      <c r="L1006" s="106" t="s">
        <v>5658</v>
      </c>
      <c r="O1006" s="106" t="s">
        <v>274</v>
      </c>
      <c r="P1006" s="106" t="s">
        <v>604</v>
      </c>
      <c r="Q1006" s="106" t="s">
        <v>429</v>
      </c>
      <c r="S1006" s="106" t="str" cm="1">
        <f t="array" ref="S1006">IF(TRIM($D1006)="","(tidak diisi)",IFERROR(INDEX(Kamus!$B$3:$B$28,MATCH(TRUE,ISNUMBER(SEARCH(Kamus!$A$3:$A$28,$D1006)),0)),"Jabatan Lainnya"))</f>
        <v>Hakim</v>
      </c>
      <c r="T1006" s="106" t="str" cm="1">
        <f t="array" ref="T1006">IF(TRIM($I1006)="","(tidak diisi)",IFERROR(INDEX(Kamus!$E$3:$E$162,MATCH(TRUE,ISNUMBER(SEARCH(Kamus!$D$3:$D$162,$I1006)),0)),"Barang Lain / Tidak Terinci"))</f>
        <v>Suvenir &amp; Merchandise</v>
      </c>
      <c r="U1006" s="106" t="str" cm="1">
        <f t="array" ref="U1006">IF(TRIM($I1006)="","(tidak diisi)",IFERROR(INDEX(Kamus!$H$3:$H$75,MATCH(TRUE,ISNUMBER(SEARCH(Kamus!$G$3:$G$75,$I1006)),0)),"Pemberian Umum / Tanpa Konteks"))</f>
        <v>Suvenir / Merchandise Kegiatan &amp; Kunjungan</v>
      </c>
      <c r="V1006" s="106" t="str">
        <f t="shared" si="45"/>
        <v>2026</v>
      </c>
      <c r="W1006" s="106" t="str" cm="1">
        <f t="array" ref="W1006">IF(TRIM($K1006)="","(tidak diisi)",IFERROR(INDEX(Kamus!$K$3:$K$118,MATCH(TRUE,ISNUMBER(SEARCH(Kamus!$J$3:$J$118,$K1006)),0)),"Individu / Perorangan"))</f>
        <v>Bank &amp; Lembaga Keuangan</v>
      </c>
      <c r="X1006" s="106" t="str">
        <f t="shared" si="46"/>
        <v>04</v>
      </c>
      <c r="Y1006" s="106" t="str" cm="1">
        <f t="array" ref="Y1006">IFERROR(INDEX(Kamus!$N$3:$N$111,MATCH(TRUE,ISNUMBER(SEARCH(Kamus!$M$3:$M$111,$I1006)),0)),"")</f>
        <v/>
      </c>
      <c r="Z1006" s="106" t="str">
        <f>IF(AND(OR($X1006="02",$X1006="03",$X1006="04"),OR($T1006="Parsel/Bingkisan (tidak dirinci)",$T1006="Makanan &amp; Minuman",$T1006="Peralatan Rumah Tangga / Pecah Belah",$T1006="Pakaian &amp; Kain")),"Momen Hari Raya (dugaan musiman)",IFERROR(VLOOKUP($W1006,Kamus!$P$3:$Q$14,2,FALSE),"Tidak Teridentifikasi"))</f>
        <v>Relasi Layanan/Kerja Sama Perbankan (dugaan)</v>
      </c>
      <c r="AA1006" s="106" t="str">
        <f t="shared" si="47"/>
        <v>Relasi Layanan/Kerja Sama Perbankan (dugaan)</v>
      </c>
    </row>
    <row r="1007" spans="1:27">
      <c r="A1007" s="106">
        <v>1006</v>
      </c>
      <c r="B1007" s="106" t="s">
        <v>5659</v>
      </c>
      <c r="C1007" s="107" t="s">
        <v>5660</v>
      </c>
      <c r="D1007" s="106" t="s">
        <v>1379</v>
      </c>
      <c r="E1007" s="106" t="s">
        <v>3642</v>
      </c>
      <c r="F1007" s="106" t="s">
        <v>5661</v>
      </c>
      <c r="G1007" s="106" t="s">
        <v>1074</v>
      </c>
      <c r="H1007" s="106" t="s">
        <v>5441</v>
      </c>
      <c r="I1007" s="106" t="s">
        <v>5662</v>
      </c>
      <c r="K1007" s="106" t="s">
        <v>5663</v>
      </c>
      <c r="L1007" s="106" t="s">
        <v>5664</v>
      </c>
      <c r="O1007" s="106" t="s">
        <v>274</v>
      </c>
      <c r="Q1007" s="106" t="s">
        <v>332</v>
      </c>
      <c r="S1007" s="106" t="str" cm="1">
        <f t="array" ref="S1007">IF(TRIM($D1007)="","(tidak diisi)",IFERROR(INDEX(Kamus!$B$3:$B$28,MATCH(TRUE,ISNUMBER(SEARCH(Kamus!$A$3:$A$28,$D1007)),0)),"Jabatan Lainnya"))</f>
        <v>Ketua Pengadilan</v>
      </c>
      <c r="T1007" s="106" t="str" cm="1">
        <f t="array" ref="T1007">IF(TRIM($I1007)="","(tidak diisi)",IFERROR(INDEX(Kamus!$E$3:$E$162,MATCH(TRUE,ISNUMBER(SEARCH(Kamus!$D$3:$D$162,$I1007)),0)),"Barang Lain / Tidak Terinci"))</f>
        <v>Makanan &amp; Minuman</v>
      </c>
      <c r="U1007" s="106" t="str" cm="1">
        <f t="array" ref="U1007">IF(TRIM($I1007)="","(tidak diisi)",IFERROR(INDEX(Kamus!$H$3:$H$75,MATCH(TRUE,ISNUMBER(SEARCH(Kamus!$G$3:$G$75,$I1007)),0)),"Pemberian Umum / Tanpa Konteks"))</f>
        <v>Pemberian Umum / Tanpa Konteks</v>
      </c>
      <c r="V1007" s="106" t="str">
        <f t="shared" si="45"/>
        <v>2026</v>
      </c>
      <c r="W1007" s="106" t="str" cm="1">
        <f t="array" ref="W1007">IF(TRIM($K1007)="","(tidak diisi)",IFERROR(INDEX(Kamus!$K$3:$K$118,MATCH(TRUE,ISNUMBER(SEARCH(Kamus!$J$3:$J$118,$K1007)),0)),"Individu / Perorangan"))</f>
        <v>Individu / Perorangan</v>
      </c>
      <c r="X1007" s="106" t="str">
        <f t="shared" si="46"/>
        <v>03</v>
      </c>
      <c r="Y1007" s="106" t="str" cm="1">
        <f t="array" ref="Y1007">IFERROR(INDEX(Kamus!$N$3:$N$111,MATCH(TRUE,ISNUMBER(SEARCH(Kamus!$M$3:$M$111,$I1007)),0)),"")</f>
        <v/>
      </c>
      <c r="Z1007" s="106" t="str">
        <f>IF(AND(OR($X1007="02",$X1007="03",$X1007="04"),OR($T1007="Parsel/Bingkisan (tidak dirinci)",$T1007="Makanan &amp; Minuman",$T1007="Peralatan Rumah Tangga / Pecah Belah",$T1007="Pakaian &amp; Kain")),"Momen Hari Raya (dugaan musiman)",IFERROR(VLOOKUP($W1007,Kamus!$P$3:$Q$14,2,FALSE),"Tidak Teridentifikasi"))</f>
        <v>Momen Hari Raya (dugaan musiman)</v>
      </c>
      <c r="AA1007" s="106" t="str">
        <f t="shared" si="47"/>
        <v>Momen Hari Raya (dugaan musiman)</v>
      </c>
    </row>
    <row r="1008" spans="1:27">
      <c r="A1008" s="106">
        <v>1007</v>
      </c>
      <c r="B1008" s="106" t="s">
        <v>5665</v>
      </c>
      <c r="C1008" s="107" t="s">
        <v>5666</v>
      </c>
      <c r="D1008" s="106" t="s">
        <v>1042</v>
      </c>
      <c r="E1008" s="106" t="s">
        <v>2998</v>
      </c>
      <c r="F1008" s="106" t="s">
        <v>5667</v>
      </c>
      <c r="G1008" s="106" t="s">
        <v>1074</v>
      </c>
      <c r="H1008" s="106" t="s">
        <v>5023</v>
      </c>
      <c r="I1008" s="106" t="s">
        <v>1017</v>
      </c>
      <c r="J1008" s="106">
        <v>30000000</v>
      </c>
      <c r="K1008" s="106" t="s">
        <v>5668</v>
      </c>
      <c r="L1008" s="106" t="s">
        <v>5669</v>
      </c>
      <c r="M1008" s="106" t="s">
        <v>2247</v>
      </c>
      <c r="O1008" s="106" t="s">
        <v>274</v>
      </c>
      <c r="P1008" s="106" t="s">
        <v>3003</v>
      </c>
      <c r="Q1008" s="106" t="s">
        <v>430</v>
      </c>
      <c r="S1008" s="106" t="str" cm="1">
        <f t="array" ref="S1008">IF(TRIM($D1008)="","(tidak diisi)",IFERROR(INDEX(Kamus!$B$3:$B$28,MATCH(TRUE,ISNUMBER(SEARCH(Kamus!$A$3:$A$28,$D1008)),0)),"Jabatan Lainnya"))</f>
        <v>Ketua Pengadilan</v>
      </c>
      <c r="T1008" s="106" t="str" cm="1">
        <f t="array" ref="T1008">IF(TRIM($I1008)="","(tidak diisi)",IFERROR(INDEX(Kamus!$E$3:$E$162,MATCH(TRUE,ISNUMBER(SEARCH(Kamus!$D$3:$D$162,$I1008)),0)),"Barang Lain / Tidak Terinci"))</f>
        <v>Uang &amp; Setara Uang</v>
      </c>
      <c r="U1008" s="106" t="str" cm="1">
        <f t="array" ref="U1008">IF(TRIM($I1008)="","(tidak diisi)",IFERROR(INDEX(Kamus!$H$3:$H$75,MATCH(TRUE,ISNUMBER(SEARCH(Kamus!$G$3:$G$75,$I1008)),0)),"Pemberian Umum / Tanpa Konteks"))</f>
        <v>Pemberian Uang Langsung</v>
      </c>
      <c r="V1008" s="106" t="str">
        <f t="shared" si="45"/>
        <v>2026</v>
      </c>
      <c r="W1008" s="106" t="str" cm="1">
        <f t="array" ref="W1008">IF(TRIM($K1008)="","(tidak diisi)",IFERROR(INDEX(Kamus!$K$3:$K$118,MATCH(TRUE,ISNUMBER(SEARCH(Kamus!$J$3:$J$118,$K1008)),0)),"Individu / Perorangan"))</f>
        <v>Bank &amp; Lembaga Keuangan</v>
      </c>
      <c r="X1008" s="106" t="str">
        <f t="shared" si="46"/>
        <v>03</v>
      </c>
      <c r="Y1008" s="106" t="str" cm="1">
        <f t="array" ref="Y1008">IFERROR(INDEX(Kamus!$N$3:$N$111,MATCH(TRUE,ISNUMBER(SEARCH(Kamus!$M$3:$M$111,$I1008)),0)),"")</f>
        <v/>
      </c>
      <c r="Z1008" s="106" t="str">
        <f>IF(AND(OR($X1008="02",$X1008="03",$X1008="04"),OR($T1008="Parsel/Bingkisan (tidak dirinci)",$T1008="Makanan &amp; Minuman",$T1008="Peralatan Rumah Tangga / Pecah Belah",$T1008="Pakaian &amp; Kain")),"Momen Hari Raya (dugaan musiman)",IFERROR(VLOOKUP($W1008,Kamus!$P$3:$Q$14,2,FALSE),"Tidak Teridentifikasi"))</f>
        <v>Relasi Layanan/Kerja Sama Perbankan (dugaan)</v>
      </c>
      <c r="AA1008" s="106" t="str">
        <f t="shared" si="47"/>
        <v>Relasi Layanan/Kerja Sama Perbankan (dugaan)</v>
      </c>
    </row>
    <row r="1009" spans="1:27">
      <c r="A1009" s="106">
        <v>1008</v>
      </c>
      <c r="B1009" s="106" t="s">
        <v>2996</v>
      </c>
      <c r="C1009" s="107" t="s">
        <v>2997</v>
      </c>
      <c r="D1009" s="106" t="s">
        <v>1319</v>
      </c>
      <c r="E1009" s="106" t="s">
        <v>2998</v>
      </c>
      <c r="F1009" s="106" t="s">
        <v>5670</v>
      </c>
      <c r="G1009" s="106" t="s">
        <v>1006</v>
      </c>
      <c r="H1009" s="106" t="s">
        <v>5671</v>
      </c>
      <c r="I1009" s="106" t="s">
        <v>5672</v>
      </c>
      <c r="K1009" s="106" t="s">
        <v>5673</v>
      </c>
      <c r="L1009" s="106" t="s">
        <v>5674</v>
      </c>
      <c r="O1009" s="106" t="s">
        <v>274</v>
      </c>
      <c r="P1009" s="106" t="s">
        <v>3003</v>
      </c>
      <c r="Q1009" s="106" t="s">
        <v>430</v>
      </c>
      <c r="S1009" s="106" t="str" cm="1">
        <f t="array" ref="S1009">IF(TRIM($D1009)="","(tidak diisi)",IFERROR(INDEX(Kamus!$B$3:$B$28,MATCH(TRUE,ISNUMBER(SEARCH(Kamus!$A$3:$A$28,$D1009)),0)),"Jabatan Lainnya"))</f>
        <v>Wakil Ketua Pengadilan</v>
      </c>
      <c r="T1009" s="106" t="str" cm="1">
        <f t="array" ref="T1009">IF(TRIM($I1009)="","(tidak diisi)",IFERROR(INDEX(Kamus!$E$3:$E$162,MATCH(TRUE,ISNUMBER(SEARCH(Kamus!$D$3:$D$162,$I1009)),0)),"Barang Lain / Tidak Terinci"))</f>
        <v>Peralatan Rumah Tangga / Pecah Belah</v>
      </c>
      <c r="U1009" s="106" t="str" cm="1">
        <f t="array" ref="U1009">IF(TRIM($I1009)="","(tidak diisi)",IFERROR(INDEX(Kamus!$H$3:$H$75,MATCH(TRUE,ISNUMBER(SEARCH(Kamus!$G$3:$G$75,$I1009)),0)),"Pemberian Umum / Tanpa Konteks"))</f>
        <v>Pemberian Umum / Tanpa Konteks</v>
      </c>
      <c r="V1009" s="106" t="str">
        <f t="shared" si="45"/>
        <v>2026</v>
      </c>
      <c r="W1009" s="106" t="str" cm="1">
        <f t="array" ref="W1009">IF(TRIM($K1009)="","(tidak diisi)",IFERROR(INDEX(Kamus!$K$3:$K$118,MATCH(TRUE,ISNUMBER(SEARCH(Kamus!$J$3:$J$118,$K1009)),0)),"Individu / Perorangan"))</f>
        <v>Individu / Perorangan</v>
      </c>
      <c r="X1009" s="106" t="str">
        <f t="shared" si="46"/>
        <v>04</v>
      </c>
      <c r="Y1009" s="106" t="str" cm="1">
        <f t="array" ref="Y1009">IFERROR(INDEX(Kamus!$N$3:$N$111,MATCH(TRUE,ISNUMBER(SEARCH(Kamus!$M$3:$M$111,$I1009)),0)),"")</f>
        <v/>
      </c>
      <c r="Z1009" s="106" t="str">
        <f>IF(AND(OR($X1009="02",$X1009="03",$X1009="04"),OR($T1009="Parsel/Bingkisan (tidak dirinci)",$T1009="Makanan &amp; Minuman",$T1009="Peralatan Rumah Tangga / Pecah Belah",$T1009="Pakaian &amp; Kain")),"Momen Hari Raya (dugaan musiman)",IFERROR(VLOOKUP($W1009,Kamus!$P$3:$Q$14,2,FALSE),"Tidak Teridentifikasi"))</f>
        <v>Momen Hari Raya (dugaan musiman)</v>
      </c>
      <c r="AA1009" s="106" t="str">
        <f t="shared" si="47"/>
        <v>Momen Hari Raya (dugaan musiman)</v>
      </c>
    </row>
    <row r="1010" spans="1:27">
      <c r="A1010" s="106">
        <v>1009</v>
      </c>
      <c r="B1010" s="106" t="s">
        <v>5649</v>
      </c>
      <c r="C1010" s="107" t="s">
        <v>5650</v>
      </c>
      <c r="D1010" s="106" t="s">
        <v>1042</v>
      </c>
      <c r="E1010" s="106" t="s">
        <v>5651</v>
      </c>
      <c r="F1010" s="106" t="s">
        <v>5675</v>
      </c>
      <c r="G1010" s="106" t="s">
        <v>1006</v>
      </c>
      <c r="H1010" s="106" t="s">
        <v>5441</v>
      </c>
      <c r="I1010" s="106" t="s">
        <v>1251</v>
      </c>
      <c r="J1010" s="106">
        <v>150000</v>
      </c>
      <c r="K1010" s="106" t="s">
        <v>468</v>
      </c>
      <c r="L1010" s="106" t="s">
        <v>5676</v>
      </c>
      <c r="M1010" s="106" t="s">
        <v>1039</v>
      </c>
      <c r="O1010" s="106" t="s">
        <v>274</v>
      </c>
      <c r="P1010" s="106" t="s">
        <v>5654</v>
      </c>
      <c r="Q1010" s="106" t="s">
        <v>431</v>
      </c>
      <c r="S1010" s="106" t="str" cm="1">
        <f t="array" ref="S1010">IF(TRIM($D1010)="","(tidak diisi)",IFERROR(INDEX(Kamus!$B$3:$B$28,MATCH(TRUE,ISNUMBER(SEARCH(Kamus!$A$3:$A$28,$D1010)),0)),"Jabatan Lainnya"))</f>
        <v>Ketua Pengadilan</v>
      </c>
      <c r="T1010" s="106" t="str" cm="1">
        <f t="array" ref="T1010">IF(TRIM($I1010)="","(tidak diisi)",IFERROR(INDEX(Kamus!$E$3:$E$162,MATCH(TRUE,ISNUMBER(SEARCH(Kamus!$D$3:$D$162,$I1010)),0)),"Barang Lain / Tidak Terinci"))</f>
        <v>Peralatan Rumah Tangga / Pecah Belah</v>
      </c>
      <c r="U1010" s="106" t="str" cm="1">
        <f t="array" ref="U1010">IF(TRIM($I1010)="","(tidak diisi)",IFERROR(INDEX(Kamus!$H$3:$H$75,MATCH(TRUE,ISNUMBER(SEARCH(Kamus!$G$3:$G$75,$I1010)),0)),"Pemberian Umum / Tanpa Konteks"))</f>
        <v>Parsel/Bingkisan Umum (non-hari raya)</v>
      </c>
      <c r="V1010" s="106" t="str">
        <f t="shared" si="45"/>
        <v>2026</v>
      </c>
      <c r="W1010" s="106" t="str" cm="1">
        <f t="array" ref="W1010">IF(TRIM($K1010)="","(tidak diisi)",IFERROR(INDEX(Kamus!$K$3:$K$118,MATCH(TRUE,ISNUMBER(SEARCH(Kamus!$J$3:$J$118,$K1010)),0)),"Individu / Perorangan"))</f>
        <v>Individu / Perorangan</v>
      </c>
      <c r="X1010" s="106" t="str">
        <f t="shared" si="46"/>
        <v>03</v>
      </c>
      <c r="Y1010" s="106" t="str" cm="1">
        <f t="array" ref="Y1010">IFERROR(INDEX(Kamus!$N$3:$N$111,MATCH(TRUE,ISNUMBER(SEARCH(Kamus!$M$3:$M$111,$I1010)),0)),"")</f>
        <v/>
      </c>
      <c r="Z1010" s="106" t="str">
        <f>IF(AND(OR($X1010="02",$X1010="03",$X1010="04"),OR($T1010="Parsel/Bingkisan (tidak dirinci)",$T1010="Makanan &amp; Minuman",$T1010="Peralatan Rumah Tangga / Pecah Belah",$T1010="Pakaian &amp; Kain")),"Momen Hari Raya (dugaan musiman)",IFERROR(VLOOKUP($W1010,Kamus!$P$3:$Q$14,2,FALSE),"Tidak Teridentifikasi"))</f>
        <v>Momen Hari Raya (dugaan musiman)</v>
      </c>
      <c r="AA1010" s="106" t="str">
        <f t="shared" si="47"/>
        <v>Momen Hari Raya (dugaan musiman)</v>
      </c>
    </row>
    <row r="1011" spans="1:27">
      <c r="A1011" s="106">
        <v>1010</v>
      </c>
      <c r="B1011" s="106" t="s">
        <v>2304</v>
      </c>
      <c r="C1011" s="107" t="s">
        <v>2305</v>
      </c>
      <c r="D1011" s="106" t="s">
        <v>1024</v>
      </c>
      <c r="E1011" s="106" t="s">
        <v>5677</v>
      </c>
      <c r="G1011" s="106" t="s">
        <v>1006</v>
      </c>
      <c r="L1011" s="106" t="s">
        <v>5678</v>
      </c>
      <c r="O1011" s="106" t="s">
        <v>274</v>
      </c>
      <c r="P1011" s="106" t="s">
        <v>5679</v>
      </c>
      <c r="Q1011" s="106" t="s">
        <v>427</v>
      </c>
      <c r="S1011" s="106" t="str" cm="1">
        <f t="array" ref="S1011">IF(TRIM($D1011)="","(tidak diisi)",IFERROR(INDEX(Kamus!$B$3:$B$28,MATCH(TRUE,ISNUMBER(SEARCH(Kamus!$A$3:$A$28,$D1011)),0)),"Jabatan Lainnya"))</f>
        <v>Sekretaris</v>
      </c>
      <c r="T1011" s="106" t="str" cm="1">
        <f t="array" ref="T1011">IF(TRIM($I1011)="","(tidak diisi)",IFERROR(INDEX(Kamus!$E$3:$E$162,MATCH(TRUE,ISNUMBER(SEARCH(Kamus!$D$3:$D$162,$I1011)),0)),"Barang Lain / Tidak Terinci"))</f>
        <v>(tidak diisi)</v>
      </c>
      <c r="U1011" s="106" t="str" cm="1">
        <f t="array" ref="U1011">IF(TRIM($I1011)="","(tidak diisi)",IFERROR(INDEX(Kamus!$H$3:$H$75,MATCH(TRUE,ISNUMBER(SEARCH(Kamus!$G$3:$G$75,$I1011)),0)),"Pemberian Umum / Tanpa Konteks"))</f>
        <v>(tidak diisi)</v>
      </c>
      <c r="V1011" s="106" t="str">
        <f t="shared" si="45"/>
        <v>(tidak diisi)</v>
      </c>
      <c r="W1011" s="106" t="str" cm="1">
        <f t="array" ref="W1011">IF(TRIM($K1011)="","(tidak diisi)",IFERROR(INDEX(Kamus!$K$3:$K$118,MATCH(TRUE,ISNUMBER(SEARCH(Kamus!$J$3:$J$118,$K1011)),0)),"Individu / Perorangan"))</f>
        <v>(tidak diisi)</v>
      </c>
      <c r="X1011" s="106" t="str">
        <f t="shared" si="46"/>
        <v>(tidak diisi)</v>
      </c>
      <c r="Y1011" s="106" t="str" cm="1">
        <f t="array" ref="Y1011">IFERROR(INDEX(Kamus!$N$3:$N$111,MATCH(TRUE,ISNUMBER(SEARCH(Kamus!$M$3:$M$111,$I1011)),0)),"")</f>
        <v/>
      </c>
      <c r="Z1011" s="106" t="str">
        <f>IF(AND(OR($X1011="02",$X1011="03",$X1011="04"),OR($T1011="Parsel/Bingkisan (tidak dirinci)",$T1011="Makanan &amp; Minuman",$T1011="Peralatan Rumah Tangga / Pecah Belah",$T1011="Pakaian &amp; Kain")),"Momen Hari Raya (dugaan musiman)",IFERROR(VLOOKUP($W1011,Kamus!$P$3:$Q$14,2,FALSE),"Tidak Teridentifikasi"))</f>
        <v>Tidak Teridentifikasi</v>
      </c>
      <c r="AA1011" s="106" t="str">
        <f t="shared" si="47"/>
        <v>Tidak Teridentifikasi</v>
      </c>
    </row>
    <row r="1012" spans="1:27">
      <c r="A1012" s="106">
        <v>1011</v>
      </c>
      <c r="B1012" s="106" t="s">
        <v>1105</v>
      </c>
      <c r="C1012" s="107" t="s">
        <v>1106</v>
      </c>
      <c r="D1012" s="106" t="s">
        <v>1042</v>
      </c>
      <c r="E1012" s="106" t="s">
        <v>1014</v>
      </c>
      <c r="F1012" s="106" t="s">
        <v>5680</v>
      </c>
      <c r="G1012" s="106" t="s">
        <v>1006</v>
      </c>
      <c r="H1012" s="106" t="s">
        <v>5681</v>
      </c>
      <c r="I1012" s="106" t="s">
        <v>5682</v>
      </c>
      <c r="K1012" s="106" t="s">
        <v>5683</v>
      </c>
      <c r="L1012" s="106" t="s">
        <v>5684</v>
      </c>
      <c r="O1012" s="106" t="s">
        <v>274</v>
      </c>
      <c r="P1012" s="106" t="s">
        <v>1021</v>
      </c>
      <c r="Q1012" s="106" t="s">
        <v>428</v>
      </c>
      <c r="S1012" s="106" t="str" cm="1">
        <f t="array" ref="S1012">IF(TRIM($D1012)="","(tidak diisi)",IFERROR(INDEX(Kamus!$B$3:$B$28,MATCH(TRUE,ISNUMBER(SEARCH(Kamus!$A$3:$A$28,$D1012)),0)),"Jabatan Lainnya"))</f>
        <v>Ketua Pengadilan</v>
      </c>
      <c r="T1012" s="106" t="str" cm="1">
        <f t="array" ref="T1012">IF(TRIM($I1012)="","(tidak diisi)",IFERROR(INDEX(Kamus!$E$3:$E$162,MATCH(TRUE,ISNUMBER(SEARCH(Kamus!$D$3:$D$162,$I1012)),0)),"Barang Lain / Tidak Terinci"))</f>
        <v>Pakaian &amp; Kain</v>
      </c>
      <c r="U1012" s="106" t="str" cm="1">
        <f t="array" ref="U1012">IF(TRIM($I1012)="","(tidak diisi)",IFERROR(INDEX(Kamus!$H$3:$H$75,MATCH(TRUE,ISNUMBER(SEARCH(Kamus!$G$3:$G$75,$I1012)),0)),"Pemberian Umum / Tanpa Konteks"))</f>
        <v>Pemberian Umum / Tanpa Konteks</v>
      </c>
      <c r="V1012" s="106" t="str">
        <f t="shared" si="45"/>
        <v>2026</v>
      </c>
      <c r="W1012" s="106" t="str" cm="1">
        <f t="array" ref="W1012">IF(TRIM($K1012)="","(tidak diisi)",IFERROR(INDEX(Kamus!$K$3:$K$118,MATCH(TRUE,ISNUMBER(SEARCH(Kamus!$J$3:$J$118,$K1012)),0)),"Individu / Perorangan"))</f>
        <v>Individu / Perorangan</v>
      </c>
      <c r="X1012" s="106" t="str">
        <f t="shared" si="46"/>
        <v>04</v>
      </c>
      <c r="Y1012" s="106" t="str" cm="1">
        <f t="array" ref="Y1012">IFERROR(INDEX(Kamus!$N$3:$N$111,MATCH(TRUE,ISNUMBER(SEARCH(Kamus!$M$3:$M$111,$I1012)),0)),"")</f>
        <v/>
      </c>
      <c r="Z1012" s="106" t="str">
        <f>IF(AND(OR($X1012="02",$X1012="03",$X1012="04"),OR($T1012="Parsel/Bingkisan (tidak dirinci)",$T1012="Makanan &amp; Minuman",$T1012="Peralatan Rumah Tangga / Pecah Belah",$T1012="Pakaian &amp; Kain")),"Momen Hari Raya (dugaan musiman)",IFERROR(VLOOKUP($W1012,Kamus!$P$3:$Q$14,2,FALSE),"Tidak Teridentifikasi"))</f>
        <v>Momen Hari Raya (dugaan musiman)</v>
      </c>
      <c r="AA1012" s="106" t="str">
        <f t="shared" si="47"/>
        <v>Momen Hari Raya (dugaan musiman)</v>
      </c>
    </row>
    <row r="1013" spans="1:27">
      <c r="A1013" s="106">
        <v>1012</v>
      </c>
      <c r="B1013" s="106" t="s">
        <v>1040</v>
      </c>
      <c r="C1013" s="107" t="s">
        <v>1041</v>
      </c>
      <c r="D1013" s="106" t="s">
        <v>1042</v>
      </c>
      <c r="E1013" s="106" t="s">
        <v>1043</v>
      </c>
      <c r="F1013" s="106" t="s">
        <v>5685</v>
      </c>
      <c r="G1013" s="106" t="s">
        <v>1006</v>
      </c>
      <c r="H1013" s="106" t="s">
        <v>5681</v>
      </c>
      <c r="I1013" s="106" t="s">
        <v>1017</v>
      </c>
      <c r="J1013" s="106">
        <v>510000</v>
      </c>
      <c r="K1013" s="106" t="s">
        <v>2701</v>
      </c>
      <c r="L1013" s="106" t="s">
        <v>5686</v>
      </c>
      <c r="M1013" s="106" t="s">
        <v>1020</v>
      </c>
      <c r="O1013" s="106" t="s">
        <v>274</v>
      </c>
      <c r="P1013" s="106" t="s">
        <v>1047</v>
      </c>
      <c r="Q1013" s="106" t="s">
        <v>420</v>
      </c>
      <c r="S1013" s="106" t="str" cm="1">
        <f t="array" ref="S1013">IF(TRIM($D1013)="","(tidak diisi)",IFERROR(INDEX(Kamus!$B$3:$B$28,MATCH(TRUE,ISNUMBER(SEARCH(Kamus!$A$3:$A$28,$D1013)),0)),"Jabatan Lainnya"))</f>
        <v>Ketua Pengadilan</v>
      </c>
      <c r="T1013" s="106" t="str" cm="1">
        <f t="array" ref="T1013">IF(TRIM($I1013)="","(tidak diisi)",IFERROR(INDEX(Kamus!$E$3:$E$162,MATCH(TRUE,ISNUMBER(SEARCH(Kamus!$D$3:$D$162,$I1013)),0)),"Barang Lain / Tidak Terinci"))</f>
        <v>Uang &amp; Setara Uang</v>
      </c>
      <c r="U1013" s="106" t="str" cm="1">
        <f t="array" ref="U1013">IF(TRIM($I1013)="","(tidak diisi)",IFERROR(INDEX(Kamus!$H$3:$H$75,MATCH(TRUE,ISNUMBER(SEARCH(Kamus!$G$3:$G$75,$I1013)),0)),"Pemberian Umum / Tanpa Konteks"))</f>
        <v>Pemberian Uang Langsung</v>
      </c>
      <c r="V1013" s="106" t="str">
        <f t="shared" si="45"/>
        <v>2026</v>
      </c>
      <c r="W1013" s="106" t="str" cm="1">
        <f t="array" ref="W1013">IF(TRIM($K1013)="","(tidak diisi)",IFERROR(INDEX(Kamus!$K$3:$K$118,MATCH(TRUE,ISNUMBER(SEARCH(Kamus!$J$3:$J$118,$K1013)),0)),"Individu / Perorangan"))</f>
        <v>Tidak Diketahui</v>
      </c>
      <c r="X1013" s="106" t="str">
        <f t="shared" si="46"/>
        <v>04</v>
      </c>
      <c r="Y1013" s="106" t="str" cm="1">
        <f t="array" ref="Y1013">IFERROR(INDEX(Kamus!$N$3:$N$111,MATCH(TRUE,ISNUMBER(SEARCH(Kamus!$M$3:$M$111,$I1013)),0)),"")</f>
        <v/>
      </c>
      <c r="Z1013" s="106" t="str">
        <f>IF(AND(OR($X1013="02",$X1013="03",$X1013="04"),OR($T1013="Parsel/Bingkisan (tidak dirinci)",$T1013="Makanan &amp; Minuman",$T1013="Peralatan Rumah Tangga / Pecah Belah",$T1013="Pakaian &amp; Kain")),"Momen Hari Raya (dugaan musiman)",IFERROR(VLOOKUP($W1013,Kamus!$P$3:$Q$14,2,FALSE),"Tidak Teridentifikasi"))</f>
        <v>Pemberi Tidak Diketahui</v>
      </c>
      <c r="AA1013" s="106" t="str">
        <f t="shared" si="47"/>
        <v>Pemberi Tidak Diketahui</v>
      </c>
    </row>
    <row r="1014" spans="1:27">
      <c r="A1014" s="106">
        <v>1013</v>
      </c>
      <c r="B1014" s="106" t="s">
        <v>1096</v>
      </c>
      <c r="C1014" s="107" t="s">
        <v>1097</v>
      </c>
      <c r="D1014" s="106" t="s">
        <v>5687</v>
      </c>
      <c r="E1014" s="106" t="s">
        <v>5688</v>
      </c>
      <c r="F1014" s="106" t="s">
        <v>5689</v>
      </c>
      <c r="G1014" s="106" t="s">
        <v>1006</v>
      </c>
      <c r="H1014" s="106" t="s">
        <v>5627</v>
      </c>
      <c r="I1014" s="106" t="s">
        <v>1017</v>
      </c>
      <c r="J1014" s="106">
        <v>1700000</v>
      </c>
      <c r="K1014" s="106" t="s">
        <v>5690</v>
      </c>
      <c r="L1014" s="106" t="s">
        <v>5691</v>
      </c>
      <c r="M1014" s="106" t="s">
        <v>1020</v>
      </c>
      <c r="O1014" s="106" t="s">
        <v>274</v>
      </c>
      <c r="P1014" s="106" t="s">
        <v>3063</v>
      </c>
      <c r="Q1014" s="106" t="s">
        <v>340</v>
      </c>
      <c r="S1014" s="106" t="str" cm="1">
        <f t="array" ref="S1014">IF(TRIM($D1014)="","(tidak diisi)",IFERROR(INDEX(Kamus!$B$3:$B$28,MATCH(TRUE,ISNUMBER(SEARCH(Kamus!$A$3:$A$28,$D1014)),0)),"Jabatan Lainnya"))</f>
        <v>Hakim</v>
      </c>
      <c r="T1014" s="106" t="str" cm="1">
        <f t="array" ref="T1014">IF(TRIM($I1014)="","(tidak diisi)",IFERROR(INDEX(Kamus!$E$3:$E$162,MATCH(TRUE,ISNUMBER(SEARCH(Kamus!$D$3:$D$162,$I1014)),0)),"Barang Lain / Tidak Terinci"))</f>
        <v>Uang &amp; Setara Uang</v>
      </c>
      <c r="U1014" s="106" t="str" cm="1">
        <f t="array" ref="U1014">IF(TRIM($I1014)="","(tidak diisi)",IFERROR(INDEX(Kamus!$H$3:$H$75,MATCH(TRUE,ISNUMBER(SEARCH(Kamus!$G$3:$G$75,$I1014)),0)),"Pemberian Umum / Tanpa Konteks"))</f>
        <v>Pemberian Uang Langsung</v>
      </c>
      <c r="V1014" s="106" t="str">
        <f t="shared" si="45"/>
        <v>2026</v>
      </c>
      <c r="W1014" s="106" t="str" cm="1">
        <f t="array" ref="W1014">IF(TRIM($K1014)="","(tidak diisi)",IFERROR(INDEX(Kamus!$K$3:$K$118,MATCH(TRUE,ISNUMBER(SEARCH(Kamus!$J$3:$J$118,$K1014)),0)),"Individu / Perorangan"))</f>
        <v>Aparat/Instansi Penegak Hukum &amp; Vertikal</v>
      </c>
      <c r="X1014" s="106" t="str">
        <f t="shared" si="46"/>
        <v>04</v>
      </c>
      <c r="Y1014" s="106" t="str" cm="1">
        <f t="array" ref="Y1014">IFERROR(INDEX(Kamus!$N$3:$N$111,MATCH(TRUE,ISNUMBER(SEARCH(Kamus!$M$3:$M$111,$I1014)),0)),"")</f>
        <v/>
      </c>
      <c r="Z1014" s="106" t="str">
        <f>IF(AND(OR($X1014="02",$X1014="03",$X1014="04"),OR($T1014="Parsel/Bingkisan (tidak dirinci)",$T1014="Makanan &amp; Minuman",$T1014="Peralatan Rumah Tangga / Pecah Belah",$T1014="Pakaian &amp; Kain")),"Momen Hari Raya (dugaan musiman)",IFERROR(VLOOKUP($W1014,Kamus!$P$3:$Q$14,2,FALSE),"Tidak Teridentifikasi"))</f>
        <v>Koordinasi Antarinstansi (dugaan)</v>
      </c>
      <c r="AA1014" s="106" t="str">
        <f t="shared" si="47"/>
        <v>Koordinasi Antarinstansi (dugaan)</v>
      </c>
    </row>
    <row r="1015" spans="1:27">
      <c r="A1015" s="106">
        <v>1014</v>
      </c>
      <c r="B1015" s="106" t="s">
        <v>1088</v>
      </c>
      <c r="C1015" s="107" t="s">
        <v>1089</v>
      </c>
      <c r="D1015" s="106" t="s">
        <v>1033</v>
      </c>
      <c r="E1015" s="106" t="s">
        <v>1090</v>
      </c>
      <c r="F1015" s="106" t="s">
        <v>5692</v>
      </c>
      <c r="G1015" s="106" t="s">
        <v>1074</v>
      </c>
      <c r="H1015" s="106" t="s">
        <v>5693</v>
      </c>
      <c r="I1015" s="106" t="s">
        <v>5694</v>
      </c>
      <c r="K1015" s="106" t="s">
        <v>5695</v>
      </c>
      <c r="L1015" s="106" t="s">
        <v>5696</v>
      </c>
      <c r="O1015" s="106" t="s">
        <v>274</v>
      </c>
      <c r="P1015" s="106" t="s">
        <v>1095</v>
      </c>
      <c r="Q1015" s="106" t="s">
        <v>348</v>
      </c>
      <c r="S1015" s="106" t="str" cm="1">
        <f t="array" ref="S1015">IF(TRIM($D1015)="","(tidak diisi)",IFERROR(INDEX(Kamus!$B$3:$B$28,MATCH(TRUE,ISNUMBER(SEARCH(Kamus!$A$3:$A$28,$D1015)),0)),"Jabatan Lainnya"))</f>
        <v>Hakim</v>
      </c>
      <c r="T1015" s="106" t="str" cm="1">
        <f t="array" ref="T1015">IF(TRIM($I1015)="","(tidak diisi)",IFERROR(INDEX(Kamus!$E$3:$E$162,MATCH(TRUE,ISNUMBER(SEARCH(Kamus!$D$3:$D$162,$I1015)),0)),"Barang Lain / Tidak Terinci"))</f>
        <v>Barang Lain / Tidak Terinci</v>
      </c>
      <c r="U1015" s="106" t="str" cm="1">
        <f t="array" ref="U1015">IF(TRIM($I1015)="","(tidak diisi)",IFERROR(INDEX(Kamus!$H$3:$H$75,MATCH(TRUE,ISNUMBER(SEARCH(Kamus!$G$3:$G$75,$I1015)),0)),"Pemberian Umum / Tanpa Konteks"))</f>
        <v>Pemberian Umum / Tanpa Konteks</v>
      </c>
      <c r="V1015" s="106" t="str">
        <f t="shared" si="45"/>
        <v>2026</v>
      </c>
      <c r="W1015" s="106" t="str" cm="1">
        <f t="array" ref="W1015">IF(TRIM($K1015)="","(tidak diisi)",IFERROR(INDEX(Kamus!$K$3:$K$118,MATCH(TRUE,ISNUMBER(SEARCH(Kamus!$J$3:$J$118,$K1015)),0)),"Individu / Perorangan"))</f>
        <v>Individu / Perorangan</v>
      </c>
      <c r="X1015" s="106" t="str">
        <f t="shared" si="46"/>
        <v>05</v>
      </c>
      <c r="Y1015" s="106" t="str" cm="1">
        <f t="array" ref="Y1015">IFERROR(INDEX(Kamus!$N$3:$N$111,MATCH(TRUE,ISNUMBER(SEARCH(Kamus!$M$3:$M$111,$I1015)),0)),"")</f>
        <v/>
      </c>
      <c r="Z1015" s="106" t="str">
        <f>IF(AND(OR($X1015="02",$X1015="03",$X1015="04"),OR($T1015="Parsel/Bingkisan (tidak dirinci)",$T1015="Makanan &amp; Minuman",$T1015="Peralatan Rumah Tangga / Pecah Belah",$T1015="Pakaian &amp; Kain")),"Momen Hari Raya (dugaan musiman)",IFERROR(VLOOKUP($W1015,Kamus!$P$3:$Q$14,2,FALSE),"Tidak Teridentifikasi"))</f>
        <v>Relasi Personal / Tidak Teridentifikasi</v>
      </c>
      <c r="AA1015" s="106" t="str">
        <f t="shared" si="47"/>
        <v>Relasi Personal / Tidak Teridentifikasi</v>
      </c>
    </row>
    <row r="1016" spans="1:27">
      <c r="A1016" s="106">
        <v>1015</v>
      </c>
      <c r="B1016" s="106" t="s">
        <v>3917</v>
      </c>
      <c r="C1016" s="107" t="s">
        <v>3918</v>
      </c>
      <c r="D1016" s="106" t="s">
        <v>3919</v>
      </c>
      <c r="E1016" s="106" t="s">
        <v>2550</v>
      </c>
      <c r="G1016" s="106" t="s">
        <v>1006</v>
      </c>
      <c r="L1016" s="106" t="s">
        <v>5697</v>
      </c>
      <c r="O1016" s="106" t="s">
        <v>274</v>
      </c>
      <c r="P1016" s="106" t="s">
        <v>2554</v>
      </c>
      <c r="Q1016" s="106" t="s">
        <v>372</v>
      </c>
      <c r="S1016" s="106" t="str" cm="1">
        <f t="array" ref="S1016">IF(TRIM($D1016)="","(tidak diisi)",IFERROR(INDEX(Kamus!$B$3:$B$28,MATCH(TRUE,ISNUMBER(SEARCH(Kamus!$A$3:$A$28,$D1016)),0)),"Jabatan Lainnya"))</f>
        <v>Staf/Pegawai Pelaksana</v>
      </c>
      <c r="T1016" s="106" t="str" cm="1">
        <f t="array" ref="T1016">IF(TRIM($I1016)="","(tidak diisi)",IFERROR(INDEX(Kamus!$E$3:$E$162,MATCH(TRUE,ISNUMBER(SEARCH(Kamus!$D$3:$D$162,$I1016)),0)),"Barang Lain / Tidak Terinci"))</f>
        <v>(tidak diisi)</v>
      </c>
      <c r="U1016" s="106" t="str" cm="1">
        <f t="array" ref="U1016">IF(TRIM($I1016)="","(tidak diisi)",IFERROR(INDEX(Kamus!$H$3:$H$75,MATCH(TRUE,ISNUMBER(SEARCH(Kamus!$G$3:$G$75,$I1016)),0)),"Pemberian Umum / Tanpa Konteks"))</f>
        <v>(tidak diisi)</v>
      </c>
      <c r="V1016" s="106" t="str">
        <f t="shared" si="45"/>
        <v>(tidak diisi)</v>
      </c>
      <c r="W1016" s="106" t="str" cm="1">
        <f t="array" ref="W1016">IF(TRIM($K1016)="","(tidak diisi)",IFERROR(INDEX(Kamus!$K$3:$K$118,MATCH(TRUE,ISNUMBER(SEARCH(Kamus!$J$3:$J$118,$K1016)),0)),"Individu / Perorangan"))</f>
        <v>(tidak diisi)</v>
      </c>
      <c r="X1016" s="106" t="str">
        <f t="shared" si="46"/>
        <v>(tidak diisi)</v>
      </c>
      <c r="Y1016" s="106" t="str" cm="1">
        <f t="array" ref="Y1016">IFERROR(INDEX(Kamus!$N$3:$N$111,MATCH(TRUE,ISNUMBER(SEARCH(Kamus!$M$3:$M$111,$I1016)),0)),"")</f>
        <v/>
      </c>
      <c r="Z1016" s="106" t="str">
        <f>IF(AND(OR($X1016="02",$X1016="03",$X1016="04"),OR($T1016="Parsel/Bingkisan (tidak dirinci)",$T1016="Makanan &amp; Minuman",$T1016="Peralatan Rumah Tangga / Pecah Belah",$T1016="Pakaian &amp; Kain")),"Momen Hari Raya (dugaan musiman)",IFERROR(VLOOKUP($W1016,Kamus!$P$3:$Q$14,2,FALSE),"Tidak Teridentifikasi"))</f>
        <v>Tidak Teridentifikasi</v>
      </c>
      <c r="AA1016" s="106" t="str">
        <f t="shared" si="47"/>
        <v>Tidak Teridentifikasi</v>
      </c>
    </row>
    <row r="1017" spans="1:27">
      <c r="A1017" s="106">
        <v>1016</v>
      </c>
      <c r="B1017" s="106" t="s">
        <v>2996</v>
      </c>
      <c r="C1017" s="107" t="s">
        <v>2997</v>
      </c>
      <c r="D1017" s="106" t="s">
        <v>1319</v>
      </c>
      <c r="E1017" s="106" t="s">
        <v>2998</v>
      </c>
      <c r="F1017" s="106" t="s">
        <v>5698</v>
      </c>
      <c r="G1017" s="106" t="s">
        <v>1006</v>
      </c>
      <c r="H1017" s="106" t="s">
        <v>5681</v>
      </c>
      <c r="I1017" s="106" t="s">
        <v>2302</v>
      </c>
      <c r="J1017" s="106">
        <v>300000</v>
      </c>
      <c r="K1017" s="106" t="s">
        <v>5699</v>
      </c>
      <c r="L1017" s="106" t="s">
        <v>5700</v>
      </c>
      <c r="M1017" s="106" t="s">
        <v>1020</v>
      </c>
      <c r="O1017" s="106" t="s">
        <v>274</v>
      </c>
      <c r="P1017" s="106" t="s">
        <v>3003</v>
      </c>
      <c r="Q1017" s="106" t="s">
        <v>430</v>
      </c>
      <c r="S1017" s="106" t="str" cm="1">
        <f t="array" ref="S1017">IF(TRIM($D1017)="","(tidak diisi)",IFERROR(INDEX(Kamus!$B$3:$B$28,MATCH(TRUE,ISNUMBER(SEARCH(Kamus!$A$3:$A$28,$D1017)),0)),"Jabatan Lainnya"))</f>
        <v>Wakil Ketua Pengadilan</v>
      </c>
      <c r="T1017" s="106" t="str" cm="1">
        <f t="array" ref="T1017">IF(TRIM($I1017)="","(tidak diisi)",IFERROR(INDEX(Kamus!$E$3:$E$162,MATCH(TRUE,ISNUMBER(SEARCH(Kamus!$D$3:$D$162,$I1017)),0)),"Barang Lain / Tidak Terinci"))</f>
        <v>Uang &amp; Setara Uang</v>
      </c>
      <c r="U1017" s="106" t="str" cm="1">
        <f t="array" ref="U1017">IF(TRIM($I1017)="","(tidak diisi)",IFERROR(INDEX(Kamus!$H$3:$H$75,MATCH(TRUE,ISNUMBER(SEARCH(Kamus!$G$3:$G$75,$I1017)),0)),"Pemberian Umum / Tanpa Konteks"))</f>
        <v>Pemberian Uang Langsung</v>
      </c>
      <c r="V1017" s="106" t="str">
        <f t="shared" si="45"/>
        <v>2026</v>
      </c>
      <c r="W1017" s="106" t="str" cm="1">
        <f t="array" ref="W1017">IF(TRIM($K1017)="","(tidak diisi)",IFERROR(INDEX(Kamus!$K$3:$K$118,MATCH(TRUE,ISNUMBER(SEARCH(Kamus!$J$3:$J$118,$K1017)),0)),"Individu / Perorangan"))</f>
        <v>Individu / Perorangan</v>
      </c>
      <c r="X1017" s="106" t="str">
        <f t="shared" si="46"/>
        <v>04</v>
      </c>
      <c r="Y1017" s="106" t="str" cm="1">
        <f t="array" ref="Y1017">IFERROR(INDEX(Kamus!$N$3:$N$111,MATCH(TRUE,ISNUMBER(SEARCH(Kamus!$M$3:$M$111,$I1017)),0)),"")</f>
        <v/>
      </c>
      <c r="Z1017" s="106" t="str">
        <f>IF(AND(OR($X1017="02",$X1017="03",$X1017="04"),OR($T1017="Parsel/Bingkisan (tidak dirinci)",$T1017="Makanan &amp; Minuman",$T1017="Peralatan Rumah Tangga / Pecah Belah",$T1017="Pakaian &amp; Kain")),"Momen Hari Raya (dugaan musiman)",IFERROR(VLOOKUP($W1017,Kamus!$P$3:$Q$14,2,FALSE),"Tidak Teridentifikasi"))</f>
        <v>Relasi Personal / Tidak Teridentifikasi</v>
      </c>
      <c r="AA1017" s="106" t="str">
        <f t="shared" si="47"/>
        <v>Relasi Personal / Tidak Teridentifikasi</v>
      </c>
    </row>
    <row r="1018" spans="1:27">
      <c r="A1018" s="106">
        <v>1017</v>
      </c>
      <c r="B1018" s="106" t="s">
        <v>1317</v>
      </c>
      <c r="C1018" s="107" t="s">
        <v>1318</v>
      </c>
      <c r="D1018" s="106" t="s">
        <v>1319</v>
      </c>
      <c r="E1018" s="106" t="s">
        <v>1320</v>
      </c>
      <c r="F1018" s="106" t="s">
        <v>5701</v>
      </c>
      <c r="G1018" s="106" t="s">
        <v>1006</v>
      </c>
      <c r="H1018" s="106" t="s">
        <v>5702</v>
      </c>
      <c r="I1018" s="106" t="s">
        <v>1017</v>
      </c>
      <c r="J1018" s="106">
        <v>550000</v>
      </c>
      <c r="K1018" s="106" t="s">
        <v>5703</v>
      </c>
      <c r="L1018" s="106" t="s">
        <v>5704</v>
      </c>
      <c r="M1018" s="106" t="s">
        <v>1110</v>
      </c>
      <c r="N1018" s="106" t="s">
        <v>5705</v>
      </c>
      <c r="O1018" s="106" t="s">
        <v>274</v>
      </c>
      <c r="P1018" s="106" t="s">
        <v>1325</v>
      </c>
      <c r="Q1018" s="106" t="s">
        <v>427</v>
      </c>
      <c r="S1018" s="106" t="str" cm="1">
        <f t="array" ref="S1018">IF(TRIM($D1018)="","(tidak diisi)",IFERROR(INDEX(Kamus!$B$3:$B$28,MATCH(TRUE,ISNUMBER(SEARCH(Kamus!$A$3:$A$28,$D1018)),0)),"Jabatan Lainnya"))</f>
        <v>Wakil Ketua Pengadilan</v>
      </c>
      <c r="T1018" s="106" t="str" cm="1">
        <f t="array" ref="T1018">IF(TRIM($I1018)="","(tidak diisi)",IFERROR(INDEX(Kamus!$E$3:$E$162,MATCH(TRUE,ISNUMBER(SEARCH(Kamus!$D$3:$D$162,$I1018)),0)),"Barang Lain / Tidak Terinci"))</f>
        <v>Uang &amp; Setara Uang</v>
      </c>
      <c r="U1018" s="106" t="str" cm="1">
        <f t="array" ref="U1018">IF(TRIM($I1018)="","(tidak diisi)",IFERROR(INDEX(Kamus!$H$3:$H$75,MATCH(TRUE,ISNUMBER(SEARCH(Kamus!$G$3:$G$75,$I1018)),0)),"Pemberian Umum / Tanpa Konteks"))</f>
        <v>Pemberian Uang Langsung</v>
      </c>
      <c r="V1018" s="106" t="str">
        <f t="shared" si="45"/>
        <v>2026</v>
      </c>
      <c r="W1018" s="106" t="str" cm="1">
        <f t="array" ref="W1018">IF(TRIM($K1018)="","(tidak diisi)",IFERROR(INDEX(Kamus!$K$3:$K$118,MATCH(TRUE,ISNUMBER(SEARCH(Kamus!$J$3:$J$118,$K1018)),0)),"Individu / Perorangan"))</f>
        <v>Pemerintah Daerah</v>
      </c>
      <c r="X1018" s="106" t="str">
        <f t="shared" si="46"/>
        <v>04</v>
      </c>
      <c r="Y1018" s="106" t="str" cm="1">
        <f t="array" ref="Y1018">IFERROR(INDEX(Kamus!$N$3:$N$111,MATCH(TRUE,ISNUMBER(SEARCH(Kamus!$M$3:$M$111,$I1018)),0)),"")</f>
        <v/>
      </c>
      <c r="Z1018" s="106" t="str">
        <f>IF(AND(OR($X1018="02",$X1018="03",$X1018="04"),OR($T1018="Parsel/Bingkisan (tidak dirinci)",$T1018="Makanan &amp; Minuman",$T1018="Peralatan Rumah Tangga / Pecah Belah",$T1018="Pakaian &amp; Kain")),"Momen Hari Raya (dugaan musiman)",IFERROR(VLOOKUP($W1018,Kamus!$P$3:$Q$14,2,FALSE),"Tidak Teridentifikasi"))</f>
        <v>Koordinasi Antarinstansi (dugaan)</v>
      </c>
      <c r="AA1018" s="106" t="str">
        <f t="shared" si="47"/>
        <v>Koordinasi Antarinstansi (dugaan)</v>
      </c>
    </row>
    <row r="1019" spans="1:27">
      <c r="A1019" s="106">
        <v>1018</v>
      </c>
      <c r="B1019" s="106" t="s">
        <v>4023</v>
      </c>
      <c r="C1019" s="107" t="s">
        <v>4024</v>
      </c>
      <c r="D1019" s="106" t="s">
        <v>3375</v>
      </c>
      <c r="E1019" s="106" t="s">
        <v>3882</v>
      </c>
      <c r="F1019" s="106" t="s">
        <v>5706</v>
      </c>
      <c r="G1019" s="106" t="s">
        <v>1006</v>
      </c>
      <c r="H1019" s="106" t="s">
        <v>5707</v>
      </c>
      <c r="I1019" s="106" t="s">
        <v>5708</v>
      </c>
      <c r="K1019" s="106" t="s">
        <v>5709</v>
      </c>
      <c r="L1019" s="106" t="s">
        <v>5710</v>
      </c>
      <c r="O1019" s="106" t="s">
        <v>274</v>
      </c>
      <c r="P1019" s="106" t="s">
        <v>3887</v>
      </c>
      <c r="Q1019" s="106" t="s">
        <v>409</v>
      </c>
      <c r="S1019" s="106" t="str" cm="1">
        <f t="array" ref="S1019">IF(TRIM($D1019)="","(tidak diisi)",IFERROR(INDEX(Kamus!$B$3:$B$28,MATCH(TRUE,ISNUMBER(SEARCH(Kamus!$A$3:$A$28,$D1019)),0)),"Jabatan Lainnya"))</f>
        <v>Staf/Pegawai Pelaksana</v>
      </c>
      <c r="T1019" s="106" t="str" cm="1">
        <f t="array" ref="T1019">IF(TRIM($I1019)="","(tidak diisi)",IFERROR(INDEX(Kamus!$E$3:$E$162,MATCH(TRUE,ISNUMBER(SEARCH(Kamus!$D$3:$D$162,$I1019)),0)),"Barang Lain / Tidak Terinci"))</f>
        <v>Makanan &amp; Minuman</v>
      </c>
      <c r="U1019" s="106" t="str" cm="1">
        <f t="array" ref="U1019">IF(TRIM($I1019)="","(tidak diisi)",IFERROR(INDEX(Kamus!$H$3:$H$75,MATCH(TRUE,ISNUMBER(SEARCH(Kamus!$G$3:$G$75,$I1019)),0)),"Pemberian Umum / Tanpa Konteks"))</f>
        <v>Pemberian Umum / Tanpa Konteks</v>
      </c>
      <c r="V1019" s="106" t="str">
        <f t="shared" si="45"/>
        <v>2026</v>
      </c>
      <c r="W1019" s="106" t="str" cm="1">
        <f t="array" ref="W1019">IF(TRIM($K1019)="","(tidak diisi)",IFERROR(INDEX(Kamus!$K$3:$K$118,MATCH(TRUE,ISNUMBER(SEARCH(Kamus!$J$3:$J$118,$K1019)),0)),"Individu / Perorangan"))</f>
        <v>Individu / Perorangan</v>
      </c>
      <c r="X1019" s="106" t="str">
        <f t="shared" si="46"/>
        <v>05</v>
      </c>
      <c r="Y1019" s="106" t="str" cm="1">
        <f t="array" ref="Y1019">IFERROR(INDEX(Kamus!$N$3:$N$111,MATCH(TRUE,ISNUMBER(SEARCH(Kamus!$M$3:$M$111,$I1019)),0)),"")</f>
        <v/>
      </c>
      <c r="Z1019" s="106" t="str">
        <f>IF(AND(OR($X1019="02",$X1019="03",$X1019="04"),OR($T1019="Parsel/Bingkisan (tidak dirinci)",$T1019="Makanan &amp; Minuman",$T1019="Peralatan Rumah Tangga / Pecah Belah",$T1019="Pakaian &amp; Kain")),"Momen Hari Raya (dugaan musiman)",IFERROR(VLOOKUP($W1019,Kamus!$P$3:$Q$14,2,FALSE),"Tidak Teridentifikasi"))</f>
        <v>Relasi Personal / Tidak Teridentifikasi</v>
      </c>
      <c r="AA1019" s="106" t="str">
        <f t="shared" si="47"/>
        <v>Relasi Personal / Tidak Teridentifikasi</v>
      </c>
    </row>
    <row r="1020" spans="1:27">
      <c r="A1020" s="106">
        <v>1019</v>
      </c>
      <c r="B1020" s="106" t="s">
        <v>3727</v>
      </c>
      <c r="C1020" s="107" t="s">
        <v>3728</v>
      </c>
      <c r="D1020" s="106" t="s">
        <v>1042</v>
      </c>
      <c r="E1020" s="106" t="s">
        <v>2150</v>
      </c>
      <c r="F1020" s="106" t="s">
        <v>5711</v>
      </c>
      <c r="G1020" s="106" t="s">
        <v>1006</v>
      </c>
      <c r="H1020" s="106" t="s">
        <v>5712</v>
      </c>
      <c r="I1020" s="106" t="s">
        <v>5713</v>
      </c>
      <c r="J1020" s="106">
        <v>150000</v>
      </c>
      <c r="K1020" s="106" t="s">
        <v>4946</v>
      </c>
      <c r="L1020" s="106" t="s">
        <v>5714</v>
      </c>
      <c r="M1020" s="106" t="s">
        <v>1171</v>
      </c>
      <c r="N1020" s="106" t="s">
        <v>5715</v>
      </c>
      <c r="O1020" s="106" t="s">
        <v>274</v>
      </c>
      <c r="P1020" s="106" t="s">
        <v>604</v>
      </c>
      <c r="Q1020" s="106" t="s">
        <v>429</v>
      </c>
      <c r="S1020" s="106" t="str" cm="1">
        <f t="array" ref="S1020">IF(TRIM($D1020)="","(tidak diisi)",IFERROR(INDEX(Kamus!$B$3:$B$28,MATCH(TRUE,ISNUMBER(SEARCH(Kamus!$A$3:$A$28,$D1020)),0)),"Jabatan Lainnya"))</f>
        <v>Ketua Pengadilan</v>
      </c>
      <c r="T1020" s="106" t="str" cm="1">
        <f t="array" ref="T1020">IF(TRIM($I1020)="","(tidak diisi)",IFERROR(INDEX(Kamus!$E$3:$E$162,MATCH(TRUE,ISNUMBER(SEARCH(Kamus!$D$3:$D$162,$I1020)),0)),"Barang Lain / Tidak Terinci"))</f>
        <v>Pakaian &amp; Kain</v>
      </c>
      <c r="U1020" s="106" t="str" cm="1">
        <f t="array" ref="U1020">IF(TRIM($I1020)="","(tidak diisi)",IFERROR(INDEX(Kamus!$H$3:$H$75,MATCH(TRUE,ISNUMBER(SEARCH(Kamus!$G$3:$G$75,$I1020)),0)),"Pemberian Umum / Tanpa Konteks"))</f>
        <v>Pemberian Umum / Tanpa Konteks</v>
      </c>
      <c r="V1020" s="106" t="str">
        <f t="shared" si="45"/>
        <v>2026</v>
      </c>
      <c r="W1020" s="106" t="str" cm="1">
        <f t="array" ref="W1020">IF(TRIM($K1020)="","(tidak diisi)",IFERROR(INDEX(Kamus!$K$3:$K$118,MATCH(TRUE,ISNUMBER(SEARCH(Kamus!$J$3:$J$118,$K1020)),0)),"Individu / Perorangan"))</f>
        <v>Kampus &amp; Sekolah</v>
      </c>
      <c r="X1020" s="106" t="str">
        <f t="shared" si="46"/>
        <v>04</v>
      </c>
      <c r="Y1020" s="106" t="str" cm="1">
        <f t="array" ref="Y1020">IFERROR(INDEX(Kamus!$N$3:$N$111,MATCH(TRUE,ISNUMBER(SEARCH(Kamus!$M$3:$M$111,$I1020)),0)),"")</f>
        <v/>
      </c>
      <c r="Z1020" s="106" t="str">
        <f>IF(AND(OR($X1020="02",$X1020="03",$X1020="04"),OR($T1020="Parsel/Bingkisan (tidak dirinci)",$T1020="Makanan &amp; Minuman",$T1020="Peralatan Rumah Tangga / Pecah Belah",$T1020="Pakaian &amp; Kain")),"Momen Hari Raya (dugaan musiman)",IFERROR(VLOOKUP($W1020,Kamus!$P$3:$Q$14,2,FALSE),"Tidak Teridentifikasi"))</f>
        <v>Momen Hari Raya (dugaan musiman)</v>
      </c>
      <c r="AA1020" s="106" t="str">
        <f t="shared" si="47"/>
        <v>Momen Hari Raya (dugaan musiman)</v>
      </c>
    </row>
    <row r="1021" spans="1:27">
      <c r="A1021" s="106">
        <v>1020</v>
      </c>
      <c r="B1021" s="106" t="s">
        <v>3727</v>
      </c>
      <c r="C1021" s="107" t="s">
        <v>3728</v>
      </c>
      <c r="D1021" s="106" t="s">
        <v>1042</v>
      </c>
      <c r="E1021" s="106" t="s">
        <v>2150</v>
      </c>
      <c r="F1021" s="106" t="s">
        <v>5711</v>
      </c>
      <c r="G1021" s="106" t="s">
        <v>1006</v>
      </c>
      <c r="H1021" s="106" t="s">
        <v>5712</v>
      </c>
      <c r="I1021" s="106" t="s">
        <v>4069</v>
      </c>
      <c r="J1021" s="106">
        <v>39900</v>
      </c>
      <c r="K1021" s="106" t="s">
        <v>4946</v>
      </c>
      <c r="L1021" s="106" t="s">
        <v>5714</v>
      </c>
      <c r="M1021" s="106" t="s">
        <v>1039</v>
      </c>
      <c r="N1021" s="106" t="s">
        <v>5715</v>
      </c>
      <c r="O1021" s="106" t="s">
        <v>274</v>
      </c>
      <c r="P1021" s="106" t="s">
        <v>604</v>
      </c>
      <c r="Q1021" s="106" t="s">
        <v>429</v>
      </c>
      <c r="S1021" s="106" t="str" cm="1">
        <f t="array" ref="S1021">IF(TRIM($D1021)="","(tidak diisi)",IFERROR(INDEX(Kamus!$B$3:$B$28,MATCH(TRUE,ISNUMBER(SEARCH(Kamus!$A$3:$A$28,$D1021)),0)),"Jabatan Lainnya"))</f>
        <v>Ketua Pengadilan</v>
      </c>
      <c r="T1021" s="106" t="str" cm="1">
        <f t="array" ref="T1021">IF(TRIM($I1021)="","(tidak diisi)",IFERROR(INDEX(Kamus!$E$3:$E$162,MATCH(TRUE,ISNUMBER(SEARCH(Kamus!$D$3:$D$162,$I1021)),0)),"Barang Lain / Tidak Terinci"))</f>
        <v>Peralatan Rumah Tangga / Pecah Belah</v>
      </c>
      <c r="U1021" s="106" t="str" cm="1">
        <f t="array" ref="U1021">IF(TRIM($I1021)="","(tidak diisi)",IFERROR(INDEX(Kamus!$H$3:$H$75,MATCH(TRUE,ISNUMBER(SEARCH(Kamus!$G$3:$G$75,$I1021)),0)),"Pemberian Umum / Tanpa Konteks"))</f>
        <v>Pemberian Umum / Tanpa Konteks</v>
      </c>
      <c r="V1021" s="106" t="str">
        <f t="shared" si="45"/>
        <v>2026</v>
      </c>
      <c r="W1021" s="106" t="str" cm="1">
        <f t="array" ref="W1021">IF(TRIM($K1021)="","(tidak diisi)",IFERROR(INDEX(Kamus!$K$3:$K$118,MATCH(TRUE,ISNUMBER(SEARCH(Kamus!$J$3:$J$118,$K1021)),0)),"Individu / Perorangan"))</f>
        <v>Kampus &amp; Sekolah</v>
      </c>
      <c r="X1021" s="106" t="str">
        <f t="shared" si="46"/>
        <v>04</v>
      </c>
      <c r="Y1021" s="106" t="str" cm="1">
        <f t="array" ref="Y1021">IFERROR(INDEX(Kamus!$N$3:$N$111,MATCH(TRUE,ISNUMBER(SEARCH(Kamus!$M$3:$M$111,$I1021)),0)),"")</f>
        <v/>
      </c>
      <c r="Z1021" s="106" t="str">
        <f>IF(AND(OR($X1021="02",$X1021="03",$X1021="04"),OR($T1021="Parsel/Bingkisan (tidak dirinci)",$T1021="Makanan &amp; Minuman",$T1021="Peralatan Rumah Tangga / Pecah Belah",$T1021="Pakaian &amp; Kain")),"Momen Hari Raya (dugaan musiman)",IFERROR(VLOOKUP($W1021,Kamus!$P$3:$Q$14,2,FALSE),"Tidak Teridentifikasi"))</f>
        <v>Momen Hari Raya (dugaan musiman)</v>
      </c>
      <c r="AA1021" s="106" t="str">
        <f t="shared" si="47"/>
        <v>Momen Hari Raya (dugaan musiman)</v>
      </c>
    </row>
    <row r="1022" spans="1:27">
      <c r="A1022" s="106">
        <v>1021</v>
      </c>
      <c r="B1022" s="106" t="s">
        <v>3727</v>
      </c>
      <c r="C1022" s="107" t="s">
        <v>3728</v>
      </c>
      <c r="D1022" s="106" t="s">
        <v>1042</v>
      </c>
      <c r="E1022" s="106" t="s">
        <v>2150</v>
      </c>
      <c r="F1022" s="106" t="s">
        <v>5716</v>
      </c>
      <c r="G1022" s="106" t="s">
        <v>1006</v>
      </c>
      <c r="H1022" s="106" t="s">
        <v>5712</v>
      </c>
      <c r="I1022" s="106" t="s">
        <v>5717</v>
      </c>
      <c r="K1022" s="106" t="s">
        <v>1576</v>
      </c>
      <c r="L1022" s="106" t="s">
        <v>5718</v>
      </c>
      <c r="O1022" s="106" t="s">
        <v>274</v>
      </c>
      <c r="P1022" s="106" t="s">
        <v>604</v>
      </c>
      <c r="Q1022" s="106" t="s">
        <v>429</v>
      </c>
      <c r="S1022" s="106" t="str" cm="1">
        <f t="array" ref="S1022">IF(TRIM($D1022)="","(tidak diisi)",IFERROR(INDEX(Kamus!$B$3:$B$28,MATCH(TRUE,ISNUMBER(SEARCH(Kamus!$A$3:$A$28,$D1022)),0)),"Jabatan Lainnya"))</f>
        <v>Ketua Pengadilan</v>
      </c>
      <c r="T1022" s="106" t="str" cm="1">
        <f t="array" ref="T1022">IF(TRIM($I1022)="","(tidak diisi)",IFERROR(INDEX(Kamus!$E$3:$E$162,MATCH(TRUE,ISNUMBER(SEARCH(Kamus!$D$3:$D$162,$I1022)),0)),"Barang Lain / Tidak Terinci"))</f>
        <v>Peralatan Rumah Tangga / Pecah Belah</v>
      </c>
      <c r="U1022" s="106" t="str" cm="1">
        <f t="array" ref="U1022">IF(TRIM($I1022)="","(tidak diisi)",IFERROR(INDEX(Kamus!$H$3:$H$75,MATCH(TRUE,ISNUMBER(SEARCH(Kamus!$G$3:$G$75,$I1022)),0)),"Pemberian Umum / Tanpa Konteks"))</f>
        <v>Pemberian Umum / Tanpa Konteks</v>
      </c>
      <c r="V1022" s="106" t="str">
        <f t="shared" si="45"/>
        <v>2026</v>
      </c>
      <c r="W1022" s="106" t="str" cm="1">
        <f t="array" ref="W1022">IF(TRIM($K1022)="","(tidak diisi)",IFERROR(INDEX(Kamus!$K$3:$K$118,MATCH(TRUE,ISNUMBER(SEARCH(Kamus!$J$3:$J$118,$K1022)),0)),"Individu / Perorangan"))</f>
        <v>Kampus &amp; Sekolah</v>
      </c>
      <c r="X1022" s="106" t="str">
        <f t="shared" si="46"/>
        <v>04</v>
      </c>
      <c r="Y1022" s="106" t="str" cm="1">
        <f t="array" ref="Y1022">IFERROR(INDEX(Kamus!$N$3:$N$111,MATCH(TRUE,ISNUMBER(SEARCH(Kamus!$M$3:$M$111,$I1022)),0)),"")</f>
        <v/>
      </c>
      <c r="Z1022" s="106" t="str">
        <f>IF(AND(OR($X1022="02",$X1022="03",$X1022="04"),OR($T1022="Parsel/Bingkisan (tidak dirinci)",$T1022="Makanan &amp; Minuman",$T1022="Peralatan Rumah Tangga / Pecah Belah",$T1022="Pakaian &amp; Kain")),"Momen Hari Raya (dugaan musiman)",IFERROR(VLOOKUP($W1022,Kamus!$P$3:$Q$14,2,FALSE),"Tidak Teridentifikasi"))</f>
        <v>Momen Hari Raya (dugaan musiman)</v>
      </c>
      <c r="AA1022" s="106" t="str">
        <f t="shared" si="47"/>
        <v>Momen Hari Raya (dugaan musiman)</v>
      </c>
    </row>
    <row r="1023" spans="1:27">
      <c r="A1023" s="106">
        <v>1022</v>
      </c>
      <c r="B1023" s="106" t="s">
        <v>2661</v>
      </c>
      <c r="C1023" s="107" t="s">
        <v>2662</v>
      </c>
      <c r="D1023" s="106" t="s">
        <v>1033</v>
      </c>
      <c r="E1023" s="106" t="s">
        <v>2663</v>
      </c>
      <c r="F1023" s="106" t="s">
        <v>5719</v>
      </c>
      <c r="G1023" s="106" t="s">
        <v>1006</v>
      </c>
      <c r="H1023" s="106" t="s">
        <v>5720</v>
      </c>
      <c r="I1023" s="106" t="s">
        <v>3100</v>
      </c>
      <c r="J1023" s="106">
        <v>60000</v>
      </c>
      <c r="K1023" s="106" t="s">
        <v>5721</v>
      </c>
      <c r="L1023" s="106" t="s">
        <v>5722</v>
      </c>
      <c r="M1023" s="106" t="s">
        <v>1171</v>
      </c>
      <c r="N1023" s="106" t="s">
        <v>5723</v>
      </c>
      <c r="O1023" s="106" t="s">
        <v>274</v>
      </c>
      <c r="P1023" s="106" t="s">
        <v>2668</v>
      </c>
      <c r="Q1023" s="106" t="s">
        <v>395</v>
      </c>
      <c r="S1023" s="106" t="str" cm="1">
        <f t="array" ref="S1023">IF(TRIM($D1023)="","(tidak diisi)",IFERROR(INDEX(Kamus!$B$3:$B$28,MATCH(TRUE,ISNUMBER(SEARCH(Kamus!$A$3:$A$28,$D1023)),0)),"Jabatan Lainnya"))</f>
        <v>Hakim</v>
      </c>
      <c r="T1023" s="106" t="str" cm="1">
        <f t="array" ref="T1023">IF(TRIM($I1023)="","(tidak diisi)",IFERROR(INDEX(Kamus!$E$3:$E$162,MATCH(TRUE,ISNUMBER(SEARCH(Kamus!$D$3:$D$162,$I1023)),0)),"Barang Lain / Tidak Terinci"))</f>
        <v>Makanan &amp; Minuman</v>
      </c>
      <c r="U1023" s="106" t="str" cm="1">
        <f t="array" ref="U1023">IF(TRIM($I1023)="","(tidak diisi)",IFERROR(INDEX(Kamus!$H$3:$H$75,MATCH(TRUE,ISNUMBER(SEARCH(Kamus!$G$3:$G$75,$I1023)),0)),"Pemberian Umum / Tanpa Konteks"))</f>
        <v>Jamuan / Konsumsi Rapat &amp; Kegiatan</v>
      </c>
      <c r="V1023" s="106" t="str">
        <f t="shared" si="45"/>
        <v>2026</v>
      </c>
      <c r="W1023" s="106" t="str" cm="1">
        <f t="array" ref="W1023">IF(TRIM($K1023)="","(tidak diisi)",IFERROR(INDEX(Kamus!$K$3:$K$118,MATCH(TRUE,ISNUMBER(SEARCH(Kamus!$J$3:$J$118,$K1023)),0)),"Individu / Perorangan"))</f>
        <v>Individu / Perorangan</v>
      </c>
      <c r="X1023" s="106" t="str">
        <f t="shared" si="46"/>
        <v>04</v>
      </c>
      <c r="Y1023" s="106" t="str" cm="1">
        <f t="array" ref="Y1023">IFERROR(INDEX(Kamus!$N$3:$N$111,MATCH(TRUE,ISNUMBER(SEARCH(Kamus!$M$3:$M$111,$I1023)),0)),"")</f>
        <v>Rapat / Jamuan Dinas</v>
      </c>
      <c r="Z1023" s="106" t="str">
        <f>IF(AND(OR($X1023="02",$X1023="03",$X1023="04"),OR($T1023="Parsel/Bingkisan (tidak dirinci)",$T1023="Makanan &amp; Minuman",$T1023="Peralatan Rumah Tangga / Pecah Belah",$T1023="Pakaian &amp; Kain")),"Momen Hari Raya (dugaan musiman)",IFERROR(VLOOKUP($W1023,Kamus!$P$3:$Q$14,2,FALSE),"Tidak Teridentifikasi"))</f>
        <v>Momen Hari Raya (dugaan musiman)</v>
      </c>
      <c r="AA1023" s="106" t="str">
        <f t="shared" si="47"/>
        <v>Rapat / Jamuan Dinas</v>
      </c>
    </row>
    <row r="1024" spans="1:27">
      <c r="A1024" s="106">
        <v>1023</v>
      </c>
      <c r="B1024" s="106" t="s">
        <v>4420</v>
      </c>
      <c r="C1024" s="107" t="s">
        <v>4421</v>
      </c>
      <c r="D1024" s="106" t="s">
        <v>4422</v>
      </c>
      <c r="E1024" s="106" t="s">
        <v>3720</v>
      </c>
      <c r="F1024" s="106" t="s">
        <v>5724</v>
      </c>
      <c r="G1024" s="106" t="s">
        <v>1006</v>
      </c>
      <c r="H1024" s="106" t="s">
        <v>5681</v>
      </c>
      <c r="I1024" s="106" t="s">
        <v>2374</v>
      </c>
      <c r="K1024" s="106" t="s">
        <v>5725</v>
      </c>
      <c r="L1024" s="106" t="s">
        <v>5726</v>
      </c>
      <c r="O1024" s="106" t="s">
        <v>274</v>
      </c>
      <c r="P1024" s="106" t="s">
        <v>3726</v>
      </c>
      <c r="Q1024" s="106" t="s">
        <v>427</v>
      </c>
      <c r="S1024" s="106" t="str" cm="1">
        <f t="array" ref="S1024">IF(TRIM($D1024)="","(tidak diisi)",IFERROR(INDEX(Kamus!$B$3:$B$28,MATCH(TRUE,ISNUMBER(SEARCH(Kamus!$A$3:$A$28,$D1024)),0)),"Jabatan Lainnya"))</f>
        <v>Pejabat Struktural (Kasubbag/Kabag)</v>
      </c>
      <c r="T1024" s="106" t="str" cm="1">
        <f t="array" ref="T1024">IF(TRIM($I1024)="","(tidak diisi)",IFERROR(INDEX(Kamus!$E$3:$E$162,MATCH(TRUE,ISNUMBER(SEARCH(Kamus!$D$3:$D$162,$I1024)),0)),"Barang Lain / Tidak Terinci"))</f>
        <v>Makanan &amp; Minuman</v>
      </c>
      <c r="U1024" s="106" t="str" cm="1">
        <f t="array" ref="U1024">IF(TRIM($I1024)="","(tidak diisi)",IFERROR(INDEX(Kamus!$H$3:$H$75,MATCH(TRUE,ISNUMBER(SEARCH(Kamus!$G$3:$G$75,$I1024)),0)),"Pemberian Umum / Tanpa Konteks"))</f>
        <v>Parsel/Bingkisan Umum (non-hari raya)</v>
      </c>
      <c r="V1024" s="106" t="str">
        <f t="shared" si="45"/>
        <v>2026</v>
      </c>
      <c r="W1024" s="106" t="str" cm="1">
        <f t="array" ref="W1024">IF(TRIM($K1024)="","(tidak diisi)",IFERROR(INDEX(Kamus!$K$3:$K$118,MATCH(TRUE,ISNUMBER(SEARCH(Kamus!$J$3:$J$118,$K1024)),0)),"Individu / Perorangan"))</f>
        <v>Individu / Perorangan</v>
      </c>
      <c r="X1024" s="106" t="str">
        <f t="shared" si="46"/>
        <v>04</v>
      </c>
      <c r="Y1024" s="106" t="str" cm="1">
        <f t="array" ref="Y1024">IFERROR(INDEX(Kamus!$N$3:$N$111,MATCH(TRUE,ISNUMBER(SEARCH(Kamus!$M$3:$M$111,$I1024)),0)),"")</f>
        <v/>
      </c>
      <c r="Z1024" s="106" t="str">
        <f>IF(AND(OR($X1024="02",$X1024="03",$X1024="04"),OR($T1024="Parsel/Bingkisan (tidak dirinci)",$T1024="Makanan &amp; Minuman",$T1024="Peralatan Rumah Tangga / Pecah Belah",$T1024="Pakaian &amp; Kain")),"Momen Hari Raya (dugaan musiman)",IFERROR(VLOOKUP($W1024,Kamus!$P$3:$Q$14,2,FALSE),"Tidak Teridentifikasi"))</f>
        <v>Momen Hari Raya (dugaan musiman)</v>
      </c>
      <c r="AA1024" s="106" t="str">
        <f t="shared" si="47"/>
        <v>Momen Hari Raya (dugaan musiman)</v>
      </c>
    </row>
    <row r="1025" spans="1:27">
      <c r="A1025" s="106">
        <v>1024</v>
      </c>
      <c r="B1025" s="106" t="s">
        <v>4420</v>
      </c>
      <c r="C1025" s="107" t="s">
        <v>4421</v>
      </c>
      <c r="D1025" s="106" t="s">
        <v>4422</v>
      </c>
      <c r="E1025" s="106" t="s">
        <v>3720</v>
      </c>
      <c r="F1025" s="106" t="s">
        <v>5727</v>
      </c>
      <c r="G1025" s="106" t="s">
        <v>1006</v>
      </c>
      <c r="H1025" s="106" t="s">
        <v>5720</v>
      </c>
      <c r="I1025" s="106" t="s">
        <v>5728</v>
      </c>
      <c r="J1025" s="106">
        <v>77100</v>
      </c>
      <c r="K1025" s="106" t="s">
        <v>5333</v>
      </c>
      <c r="L1025" s="106" t="s">
        <v>5729</v>
      </c>
      <c r="M1025" s="106" t="s">
        <v>1171</v>
      </c>
      <c r="N1025" s="106" t="s">
        <v>5730</v>
      </c>
      <c r="O1025" s="106" t="s">
        <v>274</v>
      </c>
      <c r="P1025" s="106" t="s">
        <v>3726</v>
      </c>
      <c r="Q1025" s="106" t="s">
        <v>427</v>
      </c>
      <c r="S1025" s="106" t="str" cm="1">
        <f t="array" ref="S1025">IF(TRIM($D1025)="","(tidak diisi)",IFERROR(INDEX(Kamus!$B$3:$B$28,MATCH(TRUE,ISNUMBER(SEARCH(Kamus!$A$3:$A$28,$D1025)),0)),"Jabatan Lainnya"))</f>
        <v>Pejabat Struktural (Kasubbag/Kabag)</v>
      </c>
      <c r="T1025" s="106" t="str" cm="1">
        <f t="array" ref="T1025">IF(TRIM($I1025)="","(tidak diisi)",IFERROR(INDEX(Kamus!$E$3:$E$162,MATCH(TRUE,ISNUMBER(SEARCH(Kamus!$D$3:$D$162,$I1025)),0)),"Barang Lain / Tidak Terinci"))</f>
        <v>Peralatan Rumah Tangga / Pecah Belah</v>
      </c>
      <c r="U1025" s="106" t="str" cm="1">
        <f t="array" ref="U1025">IF(TRIM($I1025)="","(tidak diisi)",IFERROR(INDEX(Kamus!$H$3:$H$75,MATCH(TRUE,ISNUMBER(SEARCH(Kamus!$G$3:$G$75,$I1025)),0)),"Pemberian Umum / Tanpa Konteks"))</f>
        <v>Pemberian Umum / Tanpa Konteks</v>
      </c>
      <c r="V1025" s="106" t="str">
        <f t="shared" si="45"/>
        <v>2026</v>
      </c>
      <c r="W1025" s="106" t="str" cm="1">
        <f t="array" ref="W1025">IF(TRIM($K1025)="","(tidak diisi)",IFERROR(INDEX(Kamus!$K$3:$K$118,MATCH(TRUE,ISNUMBER(SEARCH(Kamus!$J$3:$J$118,$K1025)),0)),"Individu / Perorangan"))</f>
        <v>Individu / Perorangan</v>
      </c>
      <c r="X1025" s="106" t="str">
        <f t="shared" si="46"/>
        <v>04</v>
      </c>
      <c r="Y1025" s="106" t="str" cm="1">
        <f t="array" ref="Y1025">IFERROR(INDEX(Kamus!$N$3:$N$111,MATCH(TRUE,ISNUMBER(SEARCH(Kamus!$M$3:$M$111,$I1025)),0)),"")</f>
        <v/>
      </c>
      <c r="Z1025" s="106" t="str">
        <f>IF(AND(OR($X1025="02",$X1025="03",$X1025="04"),OR($T1025="Parsel/Bingkisan (tidak dirinci)",$T1025="Makanan &amp; Minuman",$T1025="Peralatan Rumah Tangga / Pecah Belah",$T1025="Pakaian &amp; Kain")),"Momen Hari Raya (dugaan musiman)",IFERROR(VLOOKUP($W1025,Kamus!$P$3:$Q$14,2,FALSE),"Tidak Teridentifikasi"))</f>
        <v>Momen Hari Raya (dugaan musiman)</v>
      </c>
      <c r="AA1025" s="106" t="str">
        <f t="shared" si="47"/>
        <v>Momen Hari Raya (dugaan musiman)</v>
      </c>
    </row>
    <row r="1026" spans="1:27">
      <c r="A1026" s="106">
        <v>1025</v>
      </c>
      <c r="B1026" s="106" t="s">
        <v>4420</v>
      </c>
      <c r="C1026" s="107" t="s">
        <v>4421</v>
      </c>
      <c r="D1026" s="106" t="s">
        <v>4422</v>
      </c>
      <c r="E1026" s="106" t="s">
        <v>3720</v>
      </c>
      <c r="F1026" s="106" t="s">
        <v>5731</v>
      </c>
      <c r="G1026" s="106" t="s">
        <v>1006</v>
      </c>
      <c r="H1026" s="106" t="s">
        <v>5702</v>
      </c>
      <c r="I1026" s="106" t="s">
        <v>5732</v>
      </c>
      <c r="J1026" s="106">
        <v>32000</v>
      </c>
      <c r="K1026" s="106" t="s">
        <v>5733</v>
      </c>
      <c r="L1026" s="106" t="s">
        <v>5734</v>
      </c>
      <c r="M1026" s="106" t="s">
        <v>1171</v>
      </c>
      <c r="N1026" s="106" t="s">
        <v>5735</v>
      </c>
      <c r="O1026" s="106" t="s">
        <v>274</v>
      </c>
      <c r="P1026" s="106" t="s">
        <v>3726</v>
      </c>
      <c r="Q1026" s="106" t="s">
        <v>427</v>
      </c>
      <c r="S1026" s="106" t="str" cm="1">
        <f t="array" ref="S1026">IF(TRIM($D1026)="","(tidak diisi)",IFERROR(INDEX(Kamus!$B$3:$B$28,MATCH(TRUE,ISNUMBER(SEARCH(Kamus!$A$3:$A$28,$D1026)),0)),"Jabatan Lainnya"))</f>
        <v>Pejabat Struktural (Kasubbag/Kabag)</v>
      </c>
      <c r="T1026" s="106" t="str" cm="1">
        <f t="array" ref="T1026">IF(TRIM($I1026)="","(tidak diisi)",IFERROR(INDEX(Kamus!$E$3:$E$162,MATCH(TRUE,ISNUMBER(SEARCH(Kamus!$D$3:$D$162,$I1026)),0)),"Barang Lain / Tidak Terinci"))</f>
        <v>Peralatan Rumah Tangga / Pecah Belah</v>
      </c>
      <c r="U1026" s="106" t="str" cm="1">
        <f t="array" ref="U1026">IF(TRIM($I1026)="","(tidak diisi)",IFERROR(INDEX(Kamus!$H$3:$H$75,MATCH(TRUE,ISNUMBER(SEARCH(Kamus!$G$3:$G$75,$I1026)),0)),"Pemberian Umum / Tanpa Konteks"))</f>
        <v>Pemberian Umum / Tanpa Konteks</v>
      </c>
      <c r="V1026" s="106" t="str">
        <f t="shared" si="45"/>
        <v>2026</v>
      </c>
      <c r="W1026" s="106" t="str" cm="1">
        <f t="array" ref="W1026">IF(TRIM($K1026)="","(tidak diisi)",IFERROR(INDEX(Kamus!$K$3:$K$118,MATCH(TRUE,ISNUMBER(SEARCH(Kamus!$J$3:$J$118,$K1026)),0)),"Individu / Perorangan"))</f>
        <v>Individu / Perorangan</v>
      </c>
      <c r="X1026" s="106" t="str">
        <f t="shared" si="46"/>
        <v>04</v>
      </c>
      <c r="Y1026" s="106" t="str" cm="1">
        <f t="array" ref="Y1026">IFERROR(INDEX(Kamus!$N$3:$N$111,MATCH(TRUE,ISNUMBER(SEARCH(Kamus!$M$3:$M$111,$I1026)),0)),"")</f>
        <v/>
      </c>
      <c r="Z1026" s="106" t="str">
        <f>IF(AND(OR($X1026="02",$X1026="03",$X1026="04"),OR($T1026="Parsel/Bingkisan (tidak dirinci)",$T1026="Makanan &amp; Minuman",$T1026="Peralatan Rumah Tangga / Pecah Belah",$T1026="Pakaian &amp; Kain")),"Momen Hari Raya (dugaan musiman)",IFERROR(VLOOKUP($W1026,Kamus!$P$3:$Q$14,2,FALSE),"Tidak Teridentifikasi"))</f>
        <v>Momen Hari Raya (dugaan musiman)</v>
      </c>
      <c r="AA1026" s="106" t="str">
        <f t="shared" si="47"/>
        <v>Momen Hari Raya (dugaan musiman)</v>
      </c>
    </row>
    <row r="1027" spans="1:27">
      <c r="A1027" s="106">
        <v>1026</v>
      </c>
      <c r="B1027" s="106" t="s">
        <v>4420</v>
      </c>
      <c r="C1027" s="107" t="s">
        <v>4421</v>
      </c>
      <c r="D1027" s="106" t="s">
        <v>4422</v>
      </c>
      <c r="E1027" s="106" t="s">
        <v>3720</v>
      </c>
      <c r="F1027" s="106" t="s">
        <v>5731</v>
      </c>
      <c r="G1027" s="106" t="s">
        <v>1006</v>
      </c>
      <c r="H1027" s="106" t="s">
        <v>5702</v>
      </c>
      <c r="I1027" s="106" t="s">
        <v>1255</v>
      </c>
      <c r="J1027" s="106">
        <v>168000</v>
      </c>
      <c r="K1027" s="106" t="s">
        <v>5733</v>
      </c>
      <c r="L1027" s="106" t="s">
        <v>5734</v>
      </c>
      <c r="M1027" s="106" t="s">
        <v>1171</v>
      </c>
      <c r="N1027" s="106" t="s">
        <v>5735</v>
      </c>
      <c r="O1027" s="106" t="s">
        <v>274</v>
      </c>
      <c r="P1027" s="106" t="s">
        <v>3726</v>
      </c>
      <c r="Q1027" s="106" t="s">
        <v>427</v>
      </c>
      <c r="S1027" s="106" t="str" cm="1">
        <f t="array" ref="S1027">IF(TRIM($D1027)="","(tidak diisi)",IFERROR(INDEX(Kamus!$B$3:$B$28,MATCH(TRUE,ISNUMBER(SEARCH(Kamus!$A$3:$A$28,$D1027)),0)),"Jabatan Lainnya"))</f>
        <v>Pejabat Struktural (Kasubbag/Kabag)</v>
      </c>
      <c r="T1027" s="106" t="str" cm="1">
        <f t="array" ref="T1027">IF(TRIM($I1027)="","(tidak diisi)",IFERROR(INDEX(Kamus!$E$3:$E$162,MATCH(TRUE,ISNUMBER(SEARCH(Kamus!$D$3:$D$162,$I1027)),0)),"Barang Lain / Tidak Terinci"))</f>
        <v>Makanan &amp; Minuman</v>
      </c>
      <c r="U1027" s="106" t="str" cm="1">
        <f t="array" ref="U1027">IF(TRIM($I1027)="","(tidak diisi)",IFERROR(INDEX(Kamus!$H$3:$H$75,MATCH(TRUE,ISNUMBER(SEARCH(Kamus!$G$3:$G$75,$I1027)),0)),"Pemberian Umum / Tanpa Konteks"))</f>
        <v>Parsel/Bingkisan Umum (non-hari raya)</v>
      </c>
      <c r="V1027" s="106" t="str">
        <f t="shared" ref="V1027:V1080" si="48">IF($H1027="","(tidak diisi)",IF(ISNUMBER($H1027),TEXT(YEAR($H1027),"0"),LEFT($H1027,4)))</f>
        <v>2026</v>
      </c>
      <c r="W1027" s="106" t="str" cm="1">
        <f t="array" ref="W1027">IF(TRIM($K1027)="","(tidak diisi)",IFERROR(INDEX(Kamus!$K$3:$K$118,MATCH(TRUE,ISNUMBER(SEARCH(Kamus!$J$3:$J$118,$K1027)),0)),"Individu / Perorangan"))</f>
        <v>Individu / Perorangan</v>
      </c>
      <c r="X1027" s="106" t="str">
        <f t="shared" ref="X1027:X1080" si="49">IF($H1027="","(tidak diisi)",IF(ISNUMBER($H1027),TEXT(MONTH($H1027),"00"),MID($H1027,6,2)))</f>
        <v>04</v>
      </c>
      <c r="Y1027" s="106" t="str" cm="1">
        <f t="array" ref="Y1027">IFERROR(INDEX(Kamus!$N$3:$N$111,MATCH(TRUE,ISNUMBER(SEARCH(Kamus!$M$3:$M$111,$I1027)),0)),"")</f>
        <v/>
      </c>
      <c r="Z1027" s="106" t="str">
        <f>IF(AND(OR($X1027="02",$X1027="03",$X1027="04"),OR($T1027="Parsel/Bingkisan (tidak dirinci)",$T1027="Makanan &amp; Minuman",$T1027="Peralatan Rumah Tangga / Pecah Belah",$T1027="Pakaian &amp; Kain")),"Momen Hari Raya (dugaan musiman)",IFERROR(VLOOKUP($W1027,Kamus!$P$3:$Q$14,2,FALSE),"Tidak Teridentifikasi"))</f>
        <v>Momen Hari Raya (dugaan musiman)</v>
      </c>
      <c r="AA1027" s="106" t="str">
        <f t="shared" ref="AA1027:AA1080" si="50">IF($Y1027="",$Z1027,$Y1027)</f>
        <v>Momen Hari Raya (dugaan musiman)</v>
      </c>
    </row>
    <row r="1028" spans="1:27">
      <c r="A1028" s="106">
        <v>1027</v>
      </c>
      <c r="B1028" s="106" t="s">
        <v>5736</v>
      </c>
      <c r="C1028" s="107" t="s">
        <v>5737</v>
      </c>
      <c r="D1028" s="106" t="s">
        <v>1042</v>
      </c>
      <c r="E1028" s="106" t="s">
        <v>5738</v>
      </c>
      <c r="F1028" s="106" t="s">
        <v>5739</v>
      </c>
      <c r="G1028" s="106" t="s">
        <v>1006</v>
      </c>
      <c r="H1028" s="106" t="s">
        <v>5740</v>
      </c>
      <c r="I1028" s="106" t="s">
        <v>5741</v>
      </c>
      <c r="K1028" s="106" t="s">
        <v>5742</v>
      </c>
      <c r="L1028" s="106" t="s">
        <v>5743</v>
      </c>
      <c r="O1028" s="106" t="s">
        <v>274</v>
      </c>
      <c r="P1028" s="106" t="s">
        <v>5744</v>
      </c>
      <c r="Q1028" s="106" t="s">
        <v>308</v>
      </c>
      <c r="S1028" s="106" t="str" cm="1">
        <f t="array" ref="S1028">IF(TRIM($D1028)="","(tidak diisi)",IFERROR(INDEX(Kamus!$B$3:$B$28,MATCH(TRUE,ISNUMBER(SEARCH(Kamus!$A$3:$A$28,$D1028)),0)),"Jabatan Lainnya"))</f>
        <v>Ketua Pengadilan</v>
      </c>
      <c r="T1028" s="106" t="str" cm="1">
        <f t="array" ref="T1028">IF(TRIM($I1028)="","(tidak diisi)",IFERROR(INDEX(Kamus!$E$3:$E$162,MATCH(TRUE,ISNUMBER(SEARCH(Kamus!$D$3:$D$162,$I1028)),0)),"Barang Lain / Tidak Terinci"))</f>
        <v>Makanan &amp; Minuman</v>
      </c>
      <c r="U1028" s="106" t="str" cm="1">
        <f t="array" ref="U1028">IF(TRIM($I1028)="","(tidak diisi)",IFERROR(INDEX(Kamus!$H$3:$H$75,MATCH(TRUE,ISNUMBER(SEARCH(Kamus!$G$3:$G$75,$I1028)),0)),"Pemberian Umum / Tanpa Konteks"))</f>
        <v>Parsel/Bingkisan Umum (non-hari raya)</v>
      </c>
      <c r="V1028" s="106" t="str">
        <f t="shared" si="48"/>
        <v>2026</v>
      </c>
      <c r="W1028" s="106" t="str" cm="1">
        <f t="array" ref="W1028">IF(TRIM($K1028)="","(tidak diisi)",IFERROR(INDEX(Kamus!$K$3:$K$118,MATCH(TRUE,ISNUMBER(SEARCH(Kamus!$J$3:$J$118,$K1028)),0)),"Individu / Perorangan"))</f>
        <v>Individu / Perorangan</v>
      </c>
      <c r="X1028" s="106" t="str">
        <f t="shared" si="49"/>
        <v>04</v>
      </c>
      <c r="Y1028" s="106" t="str" cm="1">
        <f t="array" ref="Y1028">IFERROR(INDEX(Kamus!$N$3:$N$111,MATCH(TRUE,ISNUMBER(SEARCH(Kamus!$M$3:$M$111,$I1028)),0)),"")</f>
        <v/>
      </c>
      <c r="Z1028" s="106" t="str">
        <f>IF(AND(OR($X1028="02",$X1028="03",$X1028="04"),OR($T1028="Parsel/Bingkisan (tidak dirinci)",$T1028="Makanan &amp; Minuman",$T1028="Peralatan Rumah Tangga / Pecah Belah",$T1028="Pakaian &amp; Kain")),"Momen Hari Raya (dugaan musiman)",IFERROR(VLOOKUP($W1028,Kamus!$P$3:$Q$14,2,FALSE),"Tidak Teridentifikasi"))</f>
        <v>Momen Hari Raya (dugaan musiman)</v>
      </c>
      <c r="AA1028" s="106" t="str">
        <f t="shared" si="50"/>
        <v>Momen Hari Raya (dugaan musiman)</v>
      </c>
    </row>
    <row r="1029" spans="1:27">
      <c r="A1029" s="106">
        <v>1028</v>
      </c>
      <c r="B1029" s="106" t="s">
        <v>4874</v>
      </c>
      <c r="C1029" s="107" t="s">
        <v>4875</v>
      </c>
      <c r="D1029" s="106" t="s">
        <v>1843</v>
      </c>
      <c r="E1029" s="106" t="s">
        <v>1005</v>
      </c>
      <c r="F1029" s="106" t="s">
        <v>5745</v>
      </c>
      <c r="G1029" s="106" t="s">
        <v>1006</v>
      </c>
      <c r="H1029" s="106" t="s">
        <v>5746</v>
      </c>
      <c r="I1029" s="106" t="s">
        <v>5747</v>
      </c>
      <c r="K1029" s="106" t="s">
        <v>5748</v>
      </c>
      <c r="L1029" s="106" t="s">
        <v>5749</v>
      </c>
      <c r="O1029" s="106" t="s">
        <v>274</v>
      </c>
      <c r="S1029" s="106" t="str" cm="1">
        <f t="array" ref="S1029">IF(TRIM($D1029)="","(tidak diisi)",IFERROR(INDEX(Kamus!$B$3:$B$28,MATCH(TRUE,ISNUMBER(SEARCH(Kamus!$A$3:$A$28,$D1029)),0)),"Jabatan Lainnya"))</f>
        <v>Ketua Pengadilan</v>
      </c>
      <c r="T1029" s="106" t="str" cm="1">
        <f t="array" ref="T1029">IF(TRIM($I1029)="","(tidak diisi)",IFERROR(INDEX(Kamus!$E$3:$E$162,MATCH(TRUE,ISNUMBER(SEARCH(Kamus!$D$3:$D$162,$I1029)),0)),"Barang Lain / Tidak Terinci"))</f>
        <v>Makanan &amp; Minuman</v>
      </c>
      <c r="U1029" s="106" t="str" cm="1">
        <f t="array" ref="U1029">IF(TRIM($I1029)="","(tidak diisi)",IFERROR(INDEX(Kamus!$H$3:$H$75,MATCH(TRUE,ISNUMBER(SEARCH(Kamus!$G$3:$G$75,$I1029)),0)),"Pemberian Umum / Tanpa Konteks"))</f>
        <v>Jamuan / Konsumsi Rapat &amp; Kegiatan</v>
      </c>
      <c r="V1029" s="106" t="str">
        <f t="shared" si="48"/>
        <v>2026</v>
      </c>
      <c r="W1029" s="106" t="str" cm="1">
        <f t="array" ref="W1029">IF(TRIM($K1029)="","(tidak diisi)",IFERROR(INDEX(Kamus!$K$3:$K$118,MATCH(TRUE,ISNUMBER(SEARCH(Kamus!$J$3:$J$118,$K1029)),0)),"Individu / Perorangan"))</f>
        <v>Individu / Perorangan</v>
      </c>
      <c r="X1029" s="106" t="str">
        <f t="shared" si="49"/>
        <v>05</v>
      </c>
      <c r="Y1029" s="106" t="str" cm="1">
        <f t="array" ref="Y1029">IFERROR(INDEX(Kamus!$N$3:$N$111,MATCH(TRUE,ISNUMBER(SEARCH(Kamus!$M$3:$M$111,$I1029)),0)),"")</f>
        <v>Diklat / Bimtek / Seminar &amp; Narasumber</v>
      </c>
      <c r="Z1029" s="106" t="str">
        <f>IF(AND(OR($X1029="02",$X1029="03",$X1029="04"),OR($T1029="Parsel/Bingkisan (tidak dirinci)",$T1029="Makanan &amp; Minuman",$T1029="Peralatan Rumah Tangga / Pecah Belah",$T1029="Pakaian &amp; Kain")),"Momen Hari Raya (dugaan musiman)",IFERROR(VLOOKUP($W1029,Kamus!$P$3:$Q$14,2,FALSE),"Tidak Teridentifikasi"))</f>
        <v>Relasi Personal / Tidak Teridentifikasi</v>
      </c>
      <c r="AA1029" s="106" t="str">
        <f t="shared" si="50"/>
        <v>Diklat / Bimtek / Seminar &amp; Narasumber</v>
      </c>
    </row>
    <row r="1030" spans="1:27">
      <c r="A1030" s="106">
        <v>1029</v>
      </c>
      <c r="B1030" s="106" t="s">
        <v>3275</v>
      </c>
      <c r="C1030" s="107" t="s">
        <v>3276</v>
      </c>
      <c r="D1030" s="106" t="s">
        <v>1042</v>
      </c>
      <c r="E1030" s="106" t="s">
        <v>1005</v>
      </c>
      <c r="F1030" s="106" t="s">
        <v>5750</v>
      </c>
      <c r="G1030" s="106" t="s">
        <v>1006</v>
      </c>
      <c r="H1030" s="106" t="s">
        <v>5746</v>
      </c>
      <c r="I1030" s="106" t="s">
        <v>5751</v>
      </c>
      <c r="K1030" s="106" t="s">
        <v>5752</v>
      </c>
      <c r="L1030" s="106" t="s">
        <v>5753</v>
      </c>
      <c r="O1030" s="106" t="s">
        <v>274</v>
      </c>
      <c r="S1030" s="106" t="str" cm="1">
        <f t="array" ref="S1030">IF(TRIM($D1030)="","(tidak diisi)",IFERROR(INDEX(Kamus!$B$3:$B$28,MATCH(TRUE,ISNUMBER(SEARCH(Kamus!$A$3:$A$28,$D1030)),0)),"Jabatan Lainnya"))</f>
        <v>Ketua Pengadilan</v>
      </c>
      <c r="T1030" s="106" t="str" cm="1">
        <f t="array" ref="T1030">IF(TRIM($I1030)="","(tidak diisi)",IFERROR(INDEX(Kamus!$E$3:$E$162,MATCH(TRUE,ISNUMBER(SEARCH(Kamus!$D$3:$D$162,$I1030)),0)),"Barang Lain / Tidak Terinci"))</f>
        <v>Makanan &amp; Minuman</v>
      </c>
      <c r="U1030" s="106" t="str" cm="1">
        <f t="array" ref="U1030">IF(TRIM($I1030)="","(tidak diisi)",IFERROR(INDEX(Kamus!$H$3:$H$75,MATCH(TRUE,ISNUMBER(SEARCH(Kamus!$G$3:$G$75,$I1030)),0)),"Pemberian Umum / Tanpa Konteks"))</f>
        <v>Pemberian Umum / Tanpa Konteks</v>
      </c>
      <c r="V1030" s="106" t="str">
        <f t="shared" si="48"/>
        <v>2026</v>
      </c>
      <c r="W1030" s="106" t="str" cm="1">
        <f t="array" ref="W1030">IF(TRIM($K1030)="","(tidak diisi)",IFERROR(INDEX(Kamus!$K$3:$K$118,MATCH(TRUE,ISNUMBER(SEARCH(Kamus!$J$3:$J$118,$K1030)),0)),"Individu / Perorangan"))</f>
        <v>Individu / Perorangan</v>
      </c>
      <c r="X1030" s="106" t="str">
        <f t="shared" si="49"/>
        <v>05</v>
      </c>
      <c r="Y1030" s="106" t="str" cm="1">
        <f t="array" ref="Y1030">IFERROR(INDEX(Kamus!$N$3:$N$111,MATCH(TRUE,ISNUMBER(SEARCH(Kamus!$M$3:$M$111,$I1030)),0)),"")</f>
        <v/>
      </c>
      <c r="Z1030" s="106" t="str">
        <f>IF(AND(OR($X1030="02",$X1030="03",$X1030="04"),OR($T1030="Parsel/Bingkisan (tidak dirinci)",$T1030="Makanan &amp; Minuman",$T1030="Peralatan Rumah Tangga / Pecah Belah",$T1030="Pakaian &amp; Kain")),"Momen Hari Raya (dugaan musiman)",IFERROR(VLOOKUP($W1030,Kamus!$P$3:$Q$14,2,FALSE),"Tidak Teridentifikasi"))</f>
        <v>Relasi Personal / Tidak Teridentifikasi</v>
      </c>
      <c r="AA1030" s="106" t="str">
        <f t="shared" si="50"/>
        <v>Relasi Personal / Tidak Teridentifikasi</v>
      </c>
    </row>
    <row r="1031" spans="1:27">
      <c r="A1031" s="106">
        <v>1030</v>
      </c>
      <c r="B1031" s="106" t="s">
        <v>2661</v>
      </c>
      <c r="C1031" s="107" t="s">
        <v>2662</v>
      </c>
      <c r="D1031" s="106" t="s">
        <v>1033</v>
      </c>
      <c r="E1031" s="106" t="s">
        <v>2663</v>
      </c>
      <c r="F1031" s="106" t="s">
        <v>5754</v>
      </c>
      <c r="G1031" s="106" t="s">
        <v>1074</v>
      </c>
      <c r="H1031" s="106" t="s">
        <v>5746</v>
      </c>
      <c r="I1031" s="106" t="s">
        <v>5755</v>
      </c>
      <c r="K1031" s="106" t="s">
        <v>5756</v>
      </c>
      <c r="L1031" s="106" t="s">
        <v>5757</v>
      </c>
      <c r="O1031" s="106" t="s">
        <v>274</v>
      </c>
      <c r="P1031" s="106" t="s">
        <v>2668</v>
      </c>
      <c r="Q1031" s="106" t="s">
        <v>395</v>
      </c>
      <c r="S1031" s="106" t="str" cm="1">
        <f t="array" ref="S1031">IF(TRIM($D1031)="","(tidak diisi)",IFERROR(INDEX(Kamus!$B$3:$B$28,MATCH(TRUE,ISNUMBER(SEARCH(Kamus!$A$3:$A$28,$D1031)),0)),"Jabatan Lainnya"))</f>
        <v>Hakim</v>
      </c>
      <c r="T1031" s="106" t="str" cm="1">
        <f t="array" ref="T1031">IF(TRIM($I1031)="","(tidak diisi)",IFERROR(INDEX(Kamus!$E$3:$E$162,MATCH(TRUE,ISNUMBER(SEARCH(Kamus!$D$3:$D$162,$I1031)),0)),"Barang Lain / Tidak Terinci"))</f>
        <v>Makanan &amp; Minuman</v>
      </c>
      <c r="U1031" s="106" t="str" cm="1">
        <f t="array" ref="U1031">IF(TRIM($I1031)="","(tidak diisi)",IFERROR(INDEX(Kamus!$H$3:$H$75,MATCH(TRUE,ISNUMBER(SEARCH(Kamus!$G$3:$G$75,$I1031)),0)),"Pemberian Umum / Tanpa Konteks"))</f>
        <v>Pemberian Umum / Tanpa Konteks</v>
      </c>
      <c r="V1031" s="106" t="str">
        <f t="shared" si="48"/>
        <v>2026</v>
      </c>
      <c r="W1031" s="106" t="str" cm="1">
        <f t="array" ref="W1031">IF(TRIM($K1031)="","(tidak diisi)",IFERROR(INDEX(Kamus!$K$3:$K$118,MATCH(TRUE,ISNUMBER(SEARCH(Kamus!$J$3:$J$118,$K1031)),0)),"Individu / Perorangan"))</f>
        <v>Aparat/Instansi Penegak Hukum &amp; Vertikal</v>
      </c>
      <c r="X1031" s="106" t="str">
        <f t="shared" si="49"/>
        <v>05</v>
      </c>
      <c r="Y1031" s="106" t="str" cm="1">
        <f t="array" ref="Y1031">IFERROR(INDEX(Kamus!$N$3:$N$111,MATCH(TRUE,ISNUMBER(SEARCH(Kamus!$M$3:$M$111,$I1031)),0)),"")</f>
        <v/>
      </c>
      <c r="Z1031" s="106" t="str">
        <f>IF(AND(OR($X1031="02",$X1031="03",$X1031="04"),OR($T1031="Parsel/Bingkisan (tidak dirinci)",$T1031="Makanan &amp; Minuman",$T1031="Peralatan Rumah Tangga / Pecah Belah",$T1031="Pakaian &amp; Kain")),"Momen Hari Raya (dugaan musiman)",IFERROR(VLOOKUP($W1031,Kamus!$P$3:$Q$14,2,FALSE),"Tidak Teridentifikasi"))</f>
        <v>Koordinasi Antarinstansi (dugaan)</v>
      </c>
      <c r="AA1031" s="106" t="str">
        <f t="shared" si="50"/>
        <v>Koordinasi Antarinstansi (dugaan)</v>
      </c>
    </row>
    <row r="1032" spans="1:27">
      <c r="A1032" s="106">
        <v>1031</v>
      </c>
      <c r="B1032" s="106" t="s">
        <v>5758</v>
      </c>
      <c r="C1032" s="107" t="s">
        <v>5759</v>
      </c>
      <c r="D1032" s="106" t="s">
        <v>1160</v>
      </c>
      <c r="E1032" s="106" t="s">
        <v>5760</v>
      </c>
      <c r="F1032" s="106" t="s">
        <v>5761</v>
      </c>
      <c r="G1032" s="106" t="s">
        <v>1006</v>
      </c>
      <c r="H1032" s="106" t="s">
        <v>5746</v>
      </c>
      <c r="I1032" s="106" t="s">
        <v>1017</v>
      </c>
      <c r="J1032" s="106">
        <v>150000</v>
      </c>
      <c r="K1032" s="106" t="s">
        <v>5762</v>
      </c>
      <c r="L1032" s="106" t="s">
        <v>5763</v>
      </c>
      <c r="M1032" s="106" t="s">
        <v>1171</v>
      </c>
      <c r="N1032" s="106" t="s">
        <v>5764</v>
      </c>
      <c r="O1032" s="106" t="s">
        <v>274</v>
      </c>
      <c r="P1032" s="106" t="s">
        <v>5765</v>
      </c>
      <c r="Q1032" s="106" t="s">
        <v>394</v>
      </c>
      <c r="S1032" s="106" t="str" cm="1">
        <f t="array" ref="S1032">IF(TRIM($D1032)="","(tidak diisi)",IFERROR(INDEX(Kamus!$B$3:$B$28,MATCH(TRUE,ISNUMBER(SEARCH(Kamus!$A$3:$A$28,$D1032)),0)),"Jabatan Lainnya"))</f>
        <v>Panitera</v>
      </c>
      <c r="T1032" s="106" t="str" cm="1">
        <f t="array" ref="T1032">IF(TRIM($I1032)="","(tidak diisi)",IFERROR(INDEX(Kamus!$E$3:$E$162,MATCH(TRUE,ISNUMBER(SEARCH(Kamus!$D$3:$D$162,$I1032)),0)),"Barang Lain / Tidak Terinci"))</f>
        <v>Uang &amp; Setara Uang</v>
      </c>
      <c r="U1032" s="106" t="str" cm="1">
        <f t="array" ref="U1032">IF(TRIM($I1032)="","(tidak diisi)",IFERROR(INDEX(Kamus!$H$3:$H$75,MATCH(TRUE,ISNUMBER(SEARCH(Kamus!$G$3:$G$75,$I1032)),0)),"Pemberian Umum / Tanpa Konteks"))</f>
        <v>Pemberian Uang Langsung</v>
      </c>
      <c r="V1032" s="106" t="str">
        <f t="shared" si="48"/>
        <v>2026</v>
      </c>
      <c r="W1032" s="106" t="str" cm="1">
        <f t="array" ref="W1032">IF(TRIM($K1032)="","(tidak diisi)",IFERROR(INDEX(Kamus!$K$3:$K$118,MATCH(TRUE,ISNUMBER(SEARCH(Kamus!$J$3:$J$118,$K1032)),0)),"Individu / Perorangan"))</f>
        <v>Aparat/Instansi Penegak Hukum &amp; Vertikal</v>
      </c>
      <c r="X1032" s="106" t="str">
        <f t="shared" si="49"/>
        <v>05</v>
      </c>
      <c r="Y1032" s="106" t="str" cm="1">
        <f t="array" ref="Y1032">IFERROR(INDEX(Kamus!$N$3:$N$111,MATCH(TRUE,ISNUMBER(SEARCH(Kamus!$M$3:$M$111,$I1032)),0)),"")</f>
        <v/>
      </c>
      <c r="Z1032" s="106" t="str">
        <f>IF(AND(OR($X1032="02",$X1032="03",$X1032="04"),OR($T1032="Parsel/Bingkisan (tidak dirinci)",$T1032="Makanan &amp; Minuman",$T1032="Peralatan Rumah Tangga / Pecah Belah",$T1032="Pakaian &amp; Kain")),"Momen Hari Raya (dugaan musiman)",IFERROR(VLOOKUP($W1032,Kamus!$P$3:$Q$14,2,FALSE),"Tidak Teridentifikasi"))</f>
        <v>Koordinasi Antarinstansi (dugaan)</v>
      </c>
      <c r="AA1032" s="106" t="str">
        <f t="shared" si="50"/>
        <v>Koordinasi Antarinstansi (dugaan)</v>
      </c>
    </row>
    <row r="1033" spans="1:27">
      <c r="A1033" s="106">
        <v>1032</v>
      </c>
      <c r="B1033" s="106" t="s">
        <v>4874</v>
      </c>
      <c r="C1033" s="107" t="s">
        <v>4875</v>
      </c>
      <c r="D1033" s="106" t="s">
        <v>1843</v>
      </c>
      <c r="E1033" s="106" t="s">
        <v>1005</v>
      </c>
      <c r="F1033" s="106" t="s">
        <v>5766</v>
      </c>
      <c r="G1033" s="106" t="s">
        <v>1006</v>
      </c>
      <c r="H1033" s="106" t="s">
        <v>5746</v>
      </c>
      <c r="I1033" s="106" t="s">
        <v>5767</v>
      </c>
      <c r="K1033" s="106" t="s">
        <v>5768</v>
      </c>
      <c r="L1033" s="106" t="s">
        <v>5769</v>
      </c>
      <c r="O1033" s="106" t="s">
        <v>274</v>
      </c>
      <c r="S1033" s="106" t="str" cm="1">
        <f t="array" ref="S1033">IF(TRIM($D1033)="","(tidak diisi)",IFERROR(INDEX(Kamus!$B$3:$B$28,MATCH(TRUE,ISNUMBER(SEARCH(Kamus!$A$3:$A$28,$D1033)),0)),"Jabatan Lainnya"))</f>
        <v>Ketua Pengadilan</v>
      </c>
      <c r="T1033" s="106" t="str" cm="1">
        <f t="array" ref="T1033">IF(TRIM($I1033)="","(tidak diisi)",IFERROR(INDEX(Kamus!$E$3:$E$162,MATCH(TRUE,ISNUMBER(SEARCH(Kamus!$D$3:$D$162,$I1033)),0)),"Barang Lain / Tidak Terinci"))</f>
        <v>Makanan &amp; Minuman</v>
      </c>
      <c r="U1033" s="106" t="str" cm="1">
        <f t="array" ref="U1033">IF(TRIM($I1033)="","(tidak diisi)",IFERROR(INDEX(Kamus!$H$3:$H$75,MATCH(TRUE,ISNUMBER(SEARCH(Kamus!$G$3:$G$75,$I1033)),0)),"Pemberian Umum / Tanpa Konteks"))</f>
        <v>Pemberian Umum / Tanpa Konteks</v>
      </c>
      <c r="V1033" s="106" t="str">
        <f t="shared" si="48"/>
        <v>2026</v>
      </c>
      <c r="W1033" s="106" t="str" cm="1">
        <f t="array" ref="W1033">IF(TRIM($K1033)="","(tidak diisi)",IFERROR(INDEX(Kamus!$K$3:$K$118,MATCH(TRUE,ISNUMBER(SEARCH(Kamus!$J$3:$J$118,$K1033)),0)),"Individu / Perorangan"))</f>
        <v>Individu / Perorangan</v>
      </c>
      <c r="X1033" s="106" t="str">
        <f t="shared" si="49"/>
        <v>05</v>
      </c>
      <c r="Y1033" s="106" t="str" cm="1">
        <f t="array" ref="Y1033">IFERROR(INDEX(Kamus!$N$3:$N$111,MATCH(TRUE,ISNUMBER(SEARCH(Kamus!$M$3:$M$111,$I1033)),0)),"")</f>
        <v/>
      </c>
      <c r="Z1033" s="106" t="str">
        <f>IF(AND(OR($X1033="02",$X1033="03",$X1033="04"),OR($T1033="Parsel/Bingkisan (tidak dirinci)",$T1033="Makanan &amp; Minuman",$T1033="Peralatan Rumah Tangga / Pecah Belah",$T1033="Pakaian &amp; Kain")),"Momen Hari Raya (dugaan musiman)",IFERROR(VLOOKUP($W1033,Kamus!$P$3:$Q$14,2,FALSE),"Tidak Teridentifikasi"))</f>
        <v>Relasi Personal / Tidak Teridentifikasi</v>
      </c>
      <c r="AA1033" s="106" t="str">
        <f t="shared" si="50"/>
        <v>Relasi Personal / Tidak Teridentifikasi</v>
      </c>
    </row>
    <row r="1034" spans="1:27">
      <c r="A1034" s="106">
        <v>1033</v>
      </c>
      <c r="B1034" s="106" t="s">
        <v>4874</v>
      </c>
      <c r="C1034" s="107" t="s">
        <v>4875</v>
      </c>
      <c r="D1034" s="106" t="s">
        <v>1843</v>
      </c>
      <c r="E1034" s="106" t="s">
        <v>1005</v>
      </c>
      <c r="F1034" s="106" t="s">
        <v>5770</v>
      </c>
      <c r="G1034" s="106" t="s">
        <v>1006</v>
      </c>
      <c r="H1034" s="106" t="s">
        <v>5771</v>
      </c>
      <c r="I1034" s="106" t="s">
        <v>5772</v>
      </c>
      <c r="J1034" s="106">
        <v>500000</v>
      </c>
      <c r="K1034" s="106" t="s">
        <v>5773</v>
      </c>
      <c r="L1034" s="106" t="s">
        <v>5774</v>
      </c>
      <c r="M1034" s="106" t="s">
        <v>1020</v>
      </c>
      <c r="O1034" s="106" t="s">
        <v>274</v>
      </c>
      <c r="S1034" s="106" t="str" cm="1">
        <f t="array" ref="S1034">IF(TRIM($D1034)="","(tidak diisi)",IFERROR(INDEX(Kamus!$B$3:$B$28,MATCH(TRUE,ISNUMBER(SEARCH(Kamus!$A$3:$A$28,$D1034)),0)),"Jabatan Lainnya"))</f>
        <v>Ketua Pengadilan</v>
      </c>
      <c r="T1034" s="106" t="str" cm="1">
        <f t="array" ref="T1034">IF(TRIM($I1034)="","(tidak diisi)",IFERROR(INDEX(Kamus!$E$3:$E$162,MATCH(TRUE,ISNUMBER(SEARCH(Kamus!$D$3:$D$162,$I1034)),0)),"Barang Lain / Tidak Terinci"))</f>
        <v>Pakaian &amp; Kain</v>
      </c>
      <c r="U1034" s="106" t="str" cm="1">
        <f t="array" ref="U1034">IF(TRIM($I1034)="","(tidak diisi)",IFERROR(INDEX(Kamus!$H$3:$H$75,MATCH(TRUE,ISNUMBER(SEARCH(Kamus!$G$3:$G$75,$I1034)),0)),"Pemberian Umum / Tanpa Konteks"))</f>
        <v>Pemberian Umum / Tanpa Konteks</v>
      </c>
      <c r="V1034" s="106" t="str">
        <f t="shared" si="48"/>
        <v>2026</v>
      </c>
      <c r="W1034" s="106" t="str" cm="1">
        <f t="array" ref="W1034">IF(TRIM($K1034)="","(tidak diisi)",IFERROR(INDEX(Kamus!$K$3:$K$118,MATCH(TRUE,ISNUMBER(SEARCH(Kamus!$J$3:$J$118,$K1034)),0)),"Individu / Perorangan"))</f>
        <v>Individu / Perorangan</v>
      </c>
      <c r="X1034" s="106" t="str">
        <f t="shared" si="49"/>
        <v>05</v>
      </c>
      <c r="Y1034" s="106" t="str" cm="1">
        <f t="array" ref="Y1034">IFERROR(INDEX(Kamus!$N$3:$N$111,MATCH(TRUE,ISNUMBER(SEARCH(Kamus!$M$3:$M$111,$I1034)),0)),"")</f>
        <v/>
      </c>
      <c r="Z1034" s="106" t="str">
        <f>IF(AND(OR($X1034="02",$X1034="03",$X1034="04"),OR($T1034="Parsel/Bingkisan (tidak dirinci)",$T1034="Makanan &amp; Minuman",$T1034="Peralatan Rumah Tangga / Pecah Belah",$T1034="Pakaian &amp; Kain")),"Momen Hari Raya (dugaan musiman)",IFERROR(VLOOKUP($W1034,Kamus!$P$3:$Q$14,2,FALSE),"Tidak Teridentifikasi"))</f>
        <v>Relasi Personal / Tidak Teridentifikasi</v>
      </c>
      <c r="AA1034" s="106" t="str">
        <f t="shared" si="50"/>
        <v>Relasi Personal / Tidak Teridentifikasi</v>
      </c>
    </row>
    <row r="1035" spans="1:27">
      <c r="A1035" s="106">
        <v>1034</v>
      </c>
      <c r="B1035" s="106" t="s">
        <v>3246</v>
      </c>
      <c r="C1035" s="107" t="s">
        <v>3247</v>
      </c>
      <c r="D1035" s="106" t="s">
        <v>1336</v>
      </c>
      <c r="E1035" s="106" t="s">
        <v>3248</v>
      </c>
      <c r="F1035" s="106" t="s">
        <v>5775</v>
      </c>
      <c r="G1035" s="106" t="s">
        <v>1006</v>
      </c>
      <c r="H1035" s="106" t="s">
        <v>5776</v>
      </c>
      <c r="I1035" s="106" t="s">
        <v>1846</v>
      </c>
      <c r="K1035" s="106" t="s">
        <v>5777</v>
      </c>
      <c r="L1035" s="106" t="s">
        <v>5778</v>
      </c>
      <c r="O1035" s="106" t="s">
        <v>274</v>
      </c>
      <c r="P1035" s="106" t="s">
        <v>3252</v>
      </c>
      <c r="Q1035" s="106" t="s">
        <v>435</v>
      </c>
      <c r="S1035" s="106" t="str" cm="1">
        <f t="array" ref="S1035">IF(TRIM($D1035)="","(tidak diisi)",IFERROR(INDEX(Kamus!$B$3:$B$28,MATCH(TRUE,ISNUMBER(SEARCH(Kamus!$A$3:$A$28,$D1035)),0)),"Jabatan Lainnya"))</f>
        <v>Panitera</v>
      </c>
      <c r="T1035" s="106" t="str" cm="1">
        <f t="array" ref="T1035">IF(TRIM($I1035)="","(tidak diisi)",IFERROR(INDEX(Kamus!$E$3:$E$162,MATCH(TRUE,ISNUMBER(SEARCH(Kamus!$D$3:$D$162,$I1035)),0)),"Barang Lain / Tidak Terinci"))</f>
        <v>Parsel/Bingkisan (tidak dirinci)</v>
      </c>
      <c r="U1035" s="106" t="str" cm="1">
        <f t="array" ref="U1035">IF(TRIM($I1035)="","(tidak diisi)",IFERROR(INDEX(Kamus!$H$3:$H$75,MATCH(TRUE,ISNUMBER(SEARCH(Kamus!$G$3:$G$75,$I1035)),0)),"Pemberian Umum / Tanpa Konteks"))</f>
        <v>Parsel/Bingkisan Umum (non-hari raya)</v>
      </c>
      <c r="V1035" s="106" t="str">
        <f t="shared" si="48"/>
        <v>2026</v>
      </c>
      <c r="W1035" s="106" t="str" cm="1">
        <f t="array" ref="W1035">IF(TRIM($K1035)="","(tidak diisi)",IFERROR(INDEX(Kamus!$K$3:$K$118,MATCH(TRUE,ISNUMBER(SEARCH(Kamus!$J$3:$J$118,$K1035)),0)),"Individu / Perorangan"))</f>
        <v>Bank &amp; Lembaga Keuangan</v>
      </c>
      <c r="X1035" s="106" t="str">
        <f t="shared" si="49"/>
        <v>05</v>
      </c>
      <c r="Y1035" s="106" t="str" cm="1">
        <f t="array" ref="Y1035">IFERROR(INDEX(Kamus!$N$3:$N$111,MATCH(TRUE,ISNUMBER(SEARCH(Kamus!$M$3:$M$111,$I1035)),0)),"")</f>
        <v/>
      </c>
      <c r="Z1035" s="106" t="str">
        <f>IF(AND(OR($X1035="02",$X1035="03",$X1035="04"),OR($T1035="Parsel/Bingkisan (tidak dirinci)",$T1035="Makanan &amp; Minuman",$T1035="Peralatan Rumah Tangga / Pecah Belah",$T1035="Pakaian &amp; Kain")),"Momen Hari Raya (dugaan musiman)",IFERROR(VLOOKUP($W1035,Kamus!$P$3:$Q$14,2,FALSE),"Tidak Teridentifikasi"))</f>
        <v>Relasi Layanan/Kerja Sama Perbankan (dugaan)</v>
      </c>
      <c r="AA1035" s="106" t="str">
        <f t="shared" si="50"/>
        <v>Relasi Layanan/Kerja Sama Perbankan (dugaan)</v>
      </c>
    </row>
    <row r="1036" spans="1:27">
      <c r="A1036" s="106">
        <v>1035</v>
      </c>
      <c r="B1036" s="106" t="s">
        <v>5779</v>
      </c>
      <c r="C1036" s="107" t="s">
        <v>5780</v>
      </c>
      <c r="D1036" s="106" t="s">
        <v>1033</v>
      </c>
      <c r="E1036" s="106" t="s">
        <v>1014</v>
      </c>
      <c r="F1036" s="106" t="s">
        <v>5781</v>
      </c>
      <c r="G1036" s="106" t="s">
        <v>1006</v>
      </c>
      <c r="H1036" s="106" t="s">
        <v>5782</v>
      </c>
      <c r="I1036" s="106" t="s">
        <v>5783</v>
      </c>
      <c r="K1036" s="106" t="s">
        <v>5784</v>
      </c>
      <c r="L1036" s="106" t="s">
        <v>5785</v>
      </c>
      <c r="O1036" s="106" t="s">
        <v>274</v>
      </c>
      <c r="P1036" s="106" t="s">
        <v>1021</v>
      </c>
      <c r="Q1036" s="106" t="s">
        <v>428</v>
      </c>
      <c r="S1036" s="106" t="str" cm="1">
        <f t="array" ref="S1036">IF(TRIM($D1036)="","(tidak diisi)",IFERROR(INDEX(Kamus!$B$3:$B$28,MATCH(TRUE,ISNUMBER(SEARCH(Kamus!$A$3:$A$28,$D1036)),0)),"Jabatan Lainnya"))</f>
        <v>Hakim</v>
      </c>
      <c r="T1036" s="106" t="str" cm="1">
        <f t="array" ref="T1036">IF(TRIM($I1036)="","(tidak diisi)",IFERROR(INDEX(Kamus!$E$3:$E$162,MATCH(TRUE,ISNUMBER(SEARCH(Kamus!$D$3:$D$162,$I1036)),0)),"Barang Lain / Tidak Terinci"))</f>
        <v>Karangan Bunga / Ucapan</v>
      </c>
      <c r="U1036" s="106" t="str" cm="1">
        <f t="array" ref="U1036">IF(TRIM($I1036)="","(tidak diisi)",IFERROR(INDEX(Kamus!$H$3:$H$75,MATCH(TRUE,ISNUMBER(SEARCH(Kamus!$G$3:$G$75,$I1036)),0)),"Pemberian Umum / Tanpa Konteks"))</f>
        <v>Ucapan Duka/Selamat (Karangan Bunga)</v>
      </c>
      <c r="V1036" s="106" t="str">
        <f t="shared" si="48"/>
        <v>2026</v>
      </c>
      <c r="W1036" s="106" t="str" cm="1">
        <f t="array" ref="W1036">IF(TRIM($K1036)="","(tidak diisi)",IFERROR(INDEX(Kamus!$K$3:$K$118,MATCH(TRUE,ISNUMBER(SEARCH(Kamus!$J$3:$J$118,$K1036)),0)),"Individu / Perorangan"))</f>
        <v>Tidak Diketahui</v>
      </c>
      <c r="X1036" s="106" t="str">
        <f t="shared" si="49"/>
        <v>05</v>
      </c>
      <c r="Y1036" s="106" t="str" cm="1">
        <f t="array" ref="Y1036">IFERROR(INDEX(Kamus!$N$3:$N$111,MATCH(TRUE,ISNUMBER(SEARCH(Kamus!$M$3:$M$111,$I1036)),0)),"")</f>
        <v>Ucapan Selamat/Duka atas Acara Instansi</v>
      </c>
      <c r="Z1036" s="106" t="str">
        <f>IF(AND(OR($X1036="02",$X1036="03",$X1036="04"),OR($T1036="Parsel/Bingkisan (tidak dirinci)",$T1036="Makanan &amp; Minuman",$T1036="Peralatan Rumah Tangga / Pecah Belah",$T1036="Pakaian &amp; Kain")),"Momen Hari Raya (dugaan musiman)",IFERROR(VLOOKUP($W1036,Kamus!$P$3:$Q$14,2,FALSE),"Tidak Teridentifikasi"))</f>
        <v>Pemberi Tidak Diketahui</v>
      </c>
      <c r="AA1036" s="106" t="str">
        <f t="shared" si="50"/>
        <v>Ucapan Selamat/Duka atas Acara Instansi</v>
      </c>
    </row>
    <row r="1037" spans="1:27">
      <c r="A1037" s="106">
        <v>1036</v>
      </c>
      <c r="B1037" s="106" t="s">
        <v>5786</v>
      </c>
      <c r="C1037" s="107" t="s">
        <v>5787</v>
      </c>
      <c r="D1037" s="106" t="s">
        <v>5788</v>
      </c>
      <c r="E1037" s="106" t="s">
        <v>2150</v>
      </c>
      <c r="F1037" s="106" t="s">
        <v>5789</v>
      </c>
      <c r="G1037" s="106" t="s">
        <v>1006</v>
      </c>
      <c r="H1037" s="106" t="s">
        <v>5790</v>
      </c>
      <c r="I1037" s="106" t="s">
        <v>1017</v>
      </c>
      <c r="J1037" s="106">
        <v>200000</v>
      </c>
      <c r="K1037" s="106" t="s">
        <v>5791</v>
      </c>
      <c r="L1037" s="106" t="s">
        <v>5792</v>
      </c>
      <c r="M1037" s="106" t="s">
        <v>1171</v>
      </c>
      <c r="N1037" s="106" t="s">
        <v>5793</v>
      </c>
      <c r="O1037" s="106" t="s">
        <v>274</v>
      </c>
      <c r="P1037" s="106" t="s">
        <v>604</v>
      </c>
      <c r="Q1037" s="106" t="s">
        <v>429</v>
      </c>
      <c r="S1037" s="106" t="str" cm="1">
        <f t="array" ref="S1037">IF(TRIM($D1037)="","(tidak diisi)",IFERROR(INDEX(Kamus!$B$3:$B$28,MATCH(TRUE,ISNUMBER(SEARCH(Kamus!$A$3:$A$28,$D1037)),0)),"Jabatan Lainnya"))</f>
        <v>Staf/Pegawai Pelaksana</v>
      </c>
      <c r="T1037" s="106" t="str" cm="1">
        <f t="array" ref="T1037">IF(TRIM($I1037)="","(tidak diisi)",IFERROR(INDEX(Kamus!$E$3:$E$162,MATCH(TRUE,ISNUMBER(SEARCH(Kamus!$D$3:$D$162,$I1037)),0)),"Barang Lain / Tidak Terinci"))</f>
        <v>Uang &amp; Setara Uang</v>
      </c>
      <c r="U1037" s="106" t="str" cm="1">
        <f t="array" ref="U1037">IF(TRIM($I1037)="","(tidak diisi)",IFERROR(INDEX(Kamus!$H$3:$H$75,MATCH(TRUE,ISNUMBER(SEARCH(Kamus!$G$3:$G$75,$I1037)),0)),"Pemberian Umum / Tanpa Konteks"))</f>
        <v>Pemberian Uang Langsung</v>
      </c>
      <c r="V1037" s="106" t="str">
        <f t="shared" si="48"/>
        <v>2026</v>
      </c>
      <c r="W1037" s="106" t="str" cm="1">
        <f t="array" ref="W1037">IF(TRIM($K1037)="","(tidak diisi)",IFERROR(INDEX(Kamus!$K$3:$K$118,MATCH(TRUE,ISNUMBER(SEARCH(Kamus!$J$3:$J$118,$K1037)),0)),"Individu / Perorangan"))</f>
        <v>Individu / Perorangan</v>
      </c>
      <c r="X1037" s="106" t="str">
        <f t="shared" si="49"/>
        <v>05</v>
      </c>
      <c r="Y1037" s="106" t="str" cm="1">
        <f t="array" ref="Y1037">IFERROR(INDEX(Kamus!$N$3:$N$111,MATCH(TRUE,ISNUMBER(SEARCH(Kamus!$M$3:$M$111,$I1037)),0)),"")</f>
        <v/>
      </c>
      <c r="Z1037" s="106" t="str">
        <f>IF(AND(OR($X1037="02",$X1037="03",$X1037="04"),OR($T1037="Parsel/Bingkisan (tidak dirinci)",$T1037="Makanan &amp; Minuman",$T1037="Peralatan Rumah Tangga / Pecah Belah",$T1037="Pakaian &amp; Kain")),"Momen Hari Raya (dugaan musiman)",IFERROR(VLOOKUP($W1037,Kamus!$P$3:$Q$14,2,FALSE),"Tidak Teridentifikasi"))</f>
        <v>Relasi Personal / Tidak Teridentifikasi</v>
      </c>
      <c r="AA1037" s="106" t="str">
        <f t="shared" si="50"/>
        <v>Relasi Personal / Tidak Teridentifikasi</v>
      </c>
    </row>
    <row r="1038" spans="1:27">
      <c r="A1038" s="106">
        <v>1037</v>
      </c>
      <c r="B1038" s="106" t="s">
        <v>1105</v>
      </c>
      <c r="C1038" s="107" t="s">
        <v>1106</v>
      </c>
      <c r="D1038" s="106" t="s">
        <v>1042</v>
      </c>
      <c r="E1038" s="106" t="s">
        <v>1014</v>
      </c>
      <c r="F1038" s="106" t="s">
        <v>5794</v>
      </c>
      <c r="G1038" s="106" t="s">
        <v>1006</v>
      </c>
      <c r="H1038" s="106" t="s">
        <v>5795</v>
      </c>
      <c r="I1038" s="106" t="s">
        <v>5796</v>
      </c>
      <c r="K1038" s="106" t="s">
        <v>5797</v>
      </c>
      <c r="L1038" s="106" t="s">
        <v>5798</v>
      </c>
      <c r="O1038" s="106" t="s">
        <v>274</v>
      </c>
      <c r="P1038" s="106" t="s">
        <v>1021</v>
      </c>
      <c r="Q1038" s="106" t="s">
        <v>428</v>
      </c>
      <c r="S1038" s="106" t="str" cm="1">
        <f t="array" ref="S1038">IF(TRIM($D1038)="","(tidak diisi)",IFERROR(INDEX(Kamus!$B$3:$B$28,MATCH(TRUE,ISNUMBER(SEARCH(Kamus!$A$3:$A$28,$D1038)),0)),"Jabatan Lainnya"))</f>
        <v>Ketua Pengadilan</v>
      </c>
      <c r="T1038" s="106" t="str" cm="1">
        <f t="array" ref="T1038">IF(TRIM($I1038)="","(tidak diisi)",IFERROR(INDEX(Kamus!$E$3:$E$162,MATCH(TRUE,ISNUMBER(SEARCH(Kamus!$D$3:$D$162,$I1038)),0)),"Barang Lain / Tidak Terinci"))</f>
        <v>Pakaian &amp; Kain</v>
      </c>
      <c r="U1038" s="106" t="str" cm="1">
        <f t="array" ref="U1038">IF(TRIM($I1038)="","(tidak diisi)",IFERROR(INDEX(Kamus!$H$3:$H$75,MATCH(TRUE,ISNUMBER(SEARCH(Kamus!$G$3:$G$75,$I1038)),0)),"Pemberian Umum / Tanpa Konteks"))</f>
        <v>Pemberian Umum / Tanpa Konteks</v>
      </c>
      <c r="V1038" s="106" t="str">
        <f t="shared" si="48"/>
        <v>2026</v>
      </c>
      <c r="W1038" s="106" t="str" cm="1">
        <f t="array" ref="W1038">IF(TRIM($K1038)="","(tidak diisi)",IFERROR(INDEX(Kamus!$K$3:$K$118,MATCH(TRUE,ISNUMBER(SEARCH(Kamus!$J$3:$J$118,$K1038)),0)),"Individu / Perorangan"))</f>
        <v>Individu / Perorangan</v>
      </c>
      <c r="X1038" s="106" t="str">
        <f t="shared" si="49"/>
        <v>05</v>
      </c>
      <c r="Y1038" s="106" t="str" cm="1">
        <f t="array" ref="Y1038">IFERROR(INDEX(Kamus!$N$3:$N$111,MATCH(TRUE,ISNUMBER(SEARCH(Kamus!$M$3:$M$111,$I1038)),0)),"")</f>
        <v/>
      </c>
      <c r="Z1038" s="106" t="str">
        <f>IF(AND(OR($X1038="02",$X1038="03",$X1038="04"),OR($T1038="Parsel/Bingkisan (tidak dirinci)",$T1038="Makanan &amp; Minuman",$T1038="Peralatan Rumah Tangga / Pecah Belah",$T1038="Pakaian &amp; Kain")),"Momen Hari Raya (dugaan musiman)",IFERROR(VLOOKUP($W1038,Kamus!$P$3:$Q$14,2,FALSE),"Tidak Teridentifikasi"))</f>
        <v>Relasi Personal / Tidak Teridentifikasi</v>
      </c>
      <c r="AA1038" s="106" t="str">
        <f t="shared" si="50"/>
        <v>Relasi Personal / Tidak Teridentifikasi</v>
      </c>
    </row>
    <row r="1039" spans="1:27">
      <c r="A1039" s="106">
        <v>1038</v>
      </c>
      <c r="B1039" s="106" t="s">
        <v>5799</v>
      </c>
      <c r="C1039" s="107" t="s">
        <v>5800</v>
      </c>
      <c r="D1039" s="106" t="s">
        <v>1033</v>
      </c>
      <c r="E1039" s="106" t="s">
        <v>1005</v>
      </c>
      <c r="F1039" s="106" t="s">
        <v>5801</v>
      </c>
      <c r="G1039" s="106" t="s">
        <v>1006</v>
      </c>
      <c r="H1039" s="106" t="s">
        <v>5802</v>
      </c>
      <c r="I1039" s="106" t="s">
        <v>5803</v>
      </c>
      <c r="K1039" s="106" t="s">
        <v>5804</v>
      </c>
      <c r="L1039" s="106" t="s">
        <v>5805</v>
      </c>
      <c r="O1039" s="106" t="s">
        <v>274</v>
      </c>
      <c r="S1039" s="106" t="str" cm="1">
        <f t="array" ref="S1039">IF(TRIM($D1039)="","(tidak diisi)",IFERROR(INDEX(Kamus!$B$3:$B$28,MATCH(TRUE,ISNUMBER(SEARCH(Kamus!$A$3:$A$28,$D1039)),0)),"Jabatan Lainnya"))</f>
        <v>Hakim</v>
      </c>
      <c r="T1039" s="106" t="str" cm="1">
        <f t="array" ref="T1039">IF(TRIM($I1039)="","(tidak diisi)",IFERROR(INDEX(Kamus!$E$3:$E$162,MATCH(TRUE,ISNUMBER(SEARCH(Kamus!$D$3:$D$162,$I1039)),0)),"Barang Lain / Tidak Terinci"))</f>
        <v>Makanan &amp; Minuman</v>
      </c>
      <c r="U1039" s="106" t="str" cm="1">
        <f t="array" ref="U1039">IF(TRIM($I1039)="","(tidak diisi)",IFERROR(INDEX(Kamus!$H$3:$H$75,MATCH(TRUE,ISNUMBER(SEARCH(Kamus!$G$3:$G$75,$I1039)),0)),"Pemberian Umum / Tanpa Konteks"))</f>
        <v>Pemberian Umum / Tanpa Konteks</v>
      </c>
      <c r="V1039" s="106" t="str">
        <f t="shared" si="48"/>
        <v>2026</v>
      </c>
      <c r="W1039" s="106" t="str" cm="1">
        <f t="array" ref="W1039">IF(TRIM($K1039)="","(tidak diisi)",IFERROR(INDEX(Kamus!$K$3:$K$118,MATCH(TRUE,ISNUMBER(SEARCH(Kamus!$J$3:$J$118,$K1039)),0)),"Individu / Perorangan"))</f>
        <v>Individu / Perorangan</v>
      </c>
      <c r="X1039" s="106" t="str">
        <f t="shared" si="49"/>
        <v>05</v>
      </c>
      <c r="Y1039" s="106" t="str" cm="1">
        <f t="array" ref="Y1039">IFERROR(INDEX(Kamus!$N$3:$N$111,MATCH(TRUE,ISNUMBER(SEARCH(Kamus!$M$3:$M$111,$I1039)),0)),"")</f>
        <v/>
      </c>
      <c r="Z1039" s="106" t="str">
        <f>IF(AND(OR($X1039="02",$X1039="03",$X1039="04"),OR($T1039="Parsel/Bingkisan (tidak dirinci)",$T1039="Makanan &amp; Minuman",$T1039="Peralatan Rumah Tangga / Pecah Belah",$T1039="Pakaian &amp; Kain")),"Momen Hari Raya (dugaan musiman)",IFERROR(VLOOKUP($W1039,Kamus!$P$3:$Q$14,2,FALSE),"Tidak Teridentifikasi"))</f>
        <v>Relasi Personal / Tidak Teridentifikasi</v>
      </c>
      <c r="AA1039" s="106" t="str">
        <f t="shared" si="50"/>
        <v>Relasi Personal / Tidak Teridentifikasi</v>
      </c>
    </row>
    <row r="1040" spans="1:27">
      <c r="A1040" s="106">
        <v>1039</v>
      </c>
      <c r="B1040" s="106" t="s">
        <v>5806</v>
      </c>
      <c r="C1040" s="107" t="s">
        <v>5807</v>
      </c>
      <c r="D1040" s="106" t="s">
        <v>1042</v>
      </c>
      <c r="E1040" s="106" t="s">
        <v>5808</v>
      </c>
      <c r="F1040" s="106" t="s">
        <v>5809</v>
      </c>
      <c r="G1040" s="106" t="s">
        <v>1006</v>
      </c>
      <c r="H1040" s="106" t="s">
        <v>5023</v>
      </c>
      <c r="I1040" s="106" t="s">
        <v>5810</v>
      </c>
      <c r="J1040" s="106">
        <v>250000</v>
      </c>
      <c r="K1040" s="106" t="s">
        <v>5811</v>
      </c>
      <c r="L1040" s="106" t="s">
        <v>5812</v>
      </c>
      <c r="M1040" s="106" t="s">
        <v>1171</v>
      </c>
      <c r="N1040" s="106" t="s">
        <v>5813</v>
      </c>
      <c r="O1040" s="106" t="s">
        <v>274</v>
      </c>
      <c r="P1040" s="106" t="s">
        <v>5814</v>
      </c>
      <c r="Q1040" s="106" t="s">
        <v>402</v>
      </c>
      <c r="S1040" s="106" t="str" cm="1">
        <f t="array" ref="S1040">IF(TRIM($D1040)="","(tidak diisi)",IFERROR(INDEX(Kamus!$B$3:$B$28,MATCH(TRUE,ISNUMBER(SEARCH(Kamus!$A$3:$A$28,$D1040)),0)),"Jabatan Lainnya"))</f>
        <v>Ketua Pengadilan</v>
      </c>
      <c r="T1040" s="106" t="str" cm="1">
        <f t="array" ref="T1040">IF(TRIM($I1040)="","(tidak diisi)",IFERROR(INDEX(Kamus!$E$3:$E$162,MATCH(TRUE,ISNUMBER(SEARCH(Kamus!$D$3:$D$162,$I1040)),0)),"Barang Lain / Tidak Terinci"))</f>
        <v>Pakaian &amp; Kain</v>
      </c>
      <c r="U1040" s="106" t="str" cm="1">
        <f t="array" ref="U1040">IF(TRIM($I1040)="","(tidak diisi)",IFERROR(INDEX(Kamus!$H$3:$H$75,MATCH(TRUE,ISNUMBER(SEARCH(Kamus!$G$3:$G$75,$I1040)),0)),"Pemberian Umum / Tanpa Konteks"))</f>
        <v>Pemberian Umum / Tanpa Konteks</v>
      </c>
      <c r="V1040" s="106" t="str">
        <f t="shared" si="48"/>
        <v>2026</v>
      </c>
      <c r="W1040" s="106" t="str" cm="1">
        <f t="array" ref="W1040">IF(TRIM($K1040)="","(tidak diisi)",IFERROR(INDEX(Kamus!$K$3:$K$118,MATCH(TRUE,ISNUMBER(SEARCH(Kamus!$J$3:$J$118,$K1040)),0)),"Individu / Perorangan"))</f>
        <v>Pemerintah Daerah</v>
      </c>
      <c r="X1040" s="106" t="str">
        <f t="shared" si="49"/>
        <v>03</v>
      </c>
      <c r="Y1040" s="106" t="str" cm="1">
        <f t="array" ref="Y1040">IFERROR(INDEX(Kamus!$N$3:$N$111,MATCH(TRUE,ISNUMBER(SEARCH(Kamus!$M$3:$M$111,$I1040)),0)),"")</f>
        <v/>
      </c>
      <c r="Z1040" s="106" t="str">
        <f>IF(AND(OR($X1040="02",$X1040="03",$X1040="04"),OR($T1040="Parsel/Bingkisan (tidak dirinci)",$T1040="Makanan &amp; Minuman",$T1040="Peralatan Rumah Tangga / Pecah Belah",$T1040="Pakaian &amp; Kain")),"Momen Hari Raya (dugaan musiman)",IFERROR(VLOOKUP($W1040,Kamus!$P$3:$Q$14,2,FALSE),"Tidak Teridentifikasi"))</f>
        <v>Momen Hari Raya (dugaan musiman)</v>
      </c>
      <c r="AA1040" s="106" t="str">
        <f t="shared" si="50"/>
        <v>Momen Hari Raya (dugaan musiman)</v>
      </c>
    </row>
    <row r="1041" spans="1:27">
      <c r="A1041" s="106">
        <v>1040</v>
      </c>
      <c r="B1041" s="106" t="s">
        <v>5815</v>
      </c>
      <c r="C1041" s="107" t="s">
        <v>5816</v>
      </c>
      <c r="D1041" s="106" t="s">
        <v>1033</v>
      </c>
      <c r="E1041" s="106" t="s">
        <v>1005</v>
      </c>
      <c r="G1041" s="106" t="s">
        <v>1006</v>
      </c>
      <c r="L1041" s="106" t="s">
        <v>5817</v>
      </c>
      <c r="O1041" s="106" t="s">
        <v>274</v>
      </c>
      <c r="S1041" s="106" t="str" cm="1">
        <f t="array" ref="S1041">IF(TRIM($D1041)="","(tidak diisi)",IFERROR(INDEX(Kamus!$B$3:$B$28,MATCH(TRUE,ISNUMBER(SEARCH(Kamus!$A$3:$A$28,$D1041)),0)),"Jabatan Lainnya"))</f>
        <v>Hakim</v>
      </c>
      <c r="T1041" s="106" t="str" cm="1">
        <f t="array" ref="T1041">IF(TRIM($I1041)="","(tidak diisi)",IFERROR(INDEX(Kamus!$E$3:$E$162,MATCH(TRUE,ISNUMBER(SEARCH(Kamus!$D$3:$D$162,$I1041)),0)),"Barang Lain / Tidak Terinci"))</f>
        <v>(tidak diisi)</v>
      </c>
      <c r="U1041" s="106" t="str" cm="1">
        <f t="array" ref="U1041">IF(TRIM($I1041)="","(tidak diisi)",IFERROR(INDEX(Kamus!$H$3:$H$75,MATCH(TRUE,ISNUMBER(SEARCH(Kamus!$G$3:$G$75,$I1041)),0)),"Pemberian Umum / Tanpa Konteks"))</f>
        <v>(tidak diisi)</v>
      </c>
      <c r="V1041" s="106" t="str">
        <f t="shared" si="48"/>
        <v>(tidak diisi)</v>
      </c>
      <c r="W1041" s="106" t="str" cm="1">
        <f t="array" ref="W1041">IF(TRIM($K1041)="","(tidak diisi)",IFERROR(INDEX(Kamus!$K$3:$K$118,MATCH(TRUE,ISNUMBER(SEARCH(Kamus!$J$3:$J$118,$K1041)),0)),"Individu / Perorangan"))</f>
        <v>(tidak diisi)</v>
      </c>
      <c r="X1041" s="106" t="str">
        <f t="shared" si="49"/>
        <v>(tidak diisi)</v>
      </c>
      <c r="Y1041" s="106" t="str" cm="1">
        <f t="array" ref="Y1041">IFERROR(INDEX(Kamus!$N$3:$N$111,MATCH(TRUE,ISNUMBER(SEARCH(Kamus!$M$3:$M$111,$I1041)),0)),"")</f>
        <v/>
      </c>
      <c r="Z1041" s="106" t="str">
        <f>IF(AND(OR($X1041="02",$X1041="03",$X1041="04"),OR($T1041="Parsel/Bingkisan (tidak dirinci)",$T1041="Makanan &amp; Minuman",$T1041="Peralatan Rumah Tangga / Pecah Belah",$T1041="Pakaian &amp; Kain")),"Momen Hari Raya (dugaan musiman)",IFERROR(VLOOKUP($W1041,Kamus!$P$3:$Q$14,2,FALSE),"Tidak Teridentifikasi"))</f>
        <v>Tidak Teridentifikasi</v>
      </c>
      <c r="AA1041" s="106" t="str">
        <f t="shared" si="50"/>
        <v>Tidak Teridentifikasi</v>
      </c>
    </row>
    <row r="1042" spans="1:27">
      <c r="A1042" s="106">
        <v>1041</v>
      </c>
      <c r="B1042" s="106" t="s">
        <v>5818</v>
      </c>
      <c r="C1042" s="107" t="s">
        <v>5819</v>
      </c>
      <c r="D1042" s="106" t="s">
        <v>5820</v>
      </c>
      <c r="E1042" s="106" t="s">
        <v>5821</v>
      </c>
      <c r="F1042" s="106" t="s">
        <v>5822</v>
      </c>
      <c r="G1042" s="106" t="s">
        <v>1006</v>
      </c>
      <c r="H1042" s="106" t="s">
        <v>5640</v>
      </c>
      <c r="I1042" s="106" t="s">
        <v>5823</v>
      </c>
      <c r="J1042" s="106">
        <v>1700000</v>
      </c>
      <c r="K1042" s="106" t="s">
        <v>5824</v>
      </c>
      <c r="L1042" s="106" t="s">
        <v>5825</v>
      </c>
      <c r="M1042" s="106" t="s">
        <v>1020</v>
      </c>
      <c r="O1042" s="106" t="s">
        <v>274</v>
      </c>
      <c r="P1042" s="106" t="s">
        <v>5826</v>
      </c>
      <c r="Q1042" s="106" t="s">
        <v>402</v>
      </c>
      <c r="S1042" s="106" t="str" cm="1">
        <f t="array" ref="S1042">IF(TRIM($D1042)="","(tidak diisi)",IFERROR(INDEX(Kamus!$B$3:$B$28,MATCH(TRUE,ISNUMBER(SEARCH(Kamus!$A$3:$A$28,$D1042)),0)),"Jabatan Lainnya"))</f>
        <v>Wakil Ketua Pengadilan</v>
      </c>
      <c r="T1042" s="106" t="str" cm="1">
        <f t="array" ref="T1042">IF(TRIM($I1042)="","(tidak diisi)",IFERROR(INDEX(Kamus!$E$3:$E$162,MATCH(TRUE,ISNUMBER(SEARCH(Kamus!$D$3:$D$162,$I1042)),0)),"Barang Lain / Tidak Terinci"))</f>
        <v>Uang &amp; Setara Uang</v>
      </c>
      <c r="U1042" s="106" t="str" cm="1">
        <f t="array" ref="U1042">IF(TRIM($I1042)="","(tidak diisi)",IFERROR(INDEX(Kamus!$H$3:$H$75,MATCH(TRUE,ISNUMBER(SEARCH(Kamus!$G$3:$G$75,$I1042)),0)),"Pemberian Umum / Tanpa Konteks"))</f>
        <v>Honor / Uang Kegiatan</v>
      </c>
      <c r="V1042" s="106" t="str">
        <f t="shared" si="48"/>
        <v>2026</v>
      </c>
      <c r="W1042" s="106" t="str" cm="1">
        <f t="array" ref="W1042">IF(TRIM($K1042)="","(tidak diisi)",IFERROR(INDEX(Kamus!$K$3:$K$118,MATCH(TRUE,ISNUMBER(SEARCH(Kamus!$J$3:$J$118,$K1042)),0)),"Individu / Perorangan"))</f>
        <v>Kampus &amp; Sekolah</v>
      </c>
      <c r="X1042" s="106" t="str">
        <f t="shared" si="49"/>
        <v>04</v>
      </c>
      <c r="Y1042" s="106" t="str" cm="1">
        <f t="array" ref="Y1042">IFERROR(INDEX(Kamus!$N$3:$N$111,MATCH(TRUE,ISNUMBER(SEARCH(Kamus!$M$3:$M$111,$I1042)),0)),"")</f>
        <v/>
      </c>
      <c r="Z1042" s="106" t="str">
        <f>IF(AND(OR($X1042="02",$X1042="03",$X1042="04"),OR($T1042="Parsel/Bingkisan (tidak dirinci)",$T1042="Makanan &amp; Minuman",$T1042="Peralatan Rumah Tangga / Pecah Belah",$T1042="Pakaian &amp; Kain")),"Momen Hari Raya (dugaan musiman)",IFERROR(VLOOKUP($W1042,Kamus!$P$3:$Q$14,2,FALSE),"Tidak Teridentifikasi"))</f>
        <v>Kerja Sama Pendidikan/PKL (dugaan)</v>
      </c>
      <c r="AA1042" s="106" t="str">
        <f t="shared" si="50"/>
        <v>Kerja Sama Pendidikan/PKL (dugaan)</v>
      </c>
    </row>
    <row r="1043" spans="1:27">
      <c r="A1043" s="106">
        <v>1042</v>
      </c>
      <c r="B1043" s="106" t="s">
        <v>5827</v>
      </c>
      <c r="C1043" s="107" t="s">
        <v>5828</v>
      </c>
      <c r="D1043" s="106" t="s">
        <v>1024</v>
      </c>
      <c r="E1043" s="106" t="s">
        <v>1729</v>
      </c>
      <c r="F1043" s="106" t="s">
        <v>5829</v>
      </c>
      <c r="G1043" s="106" t="s">
        <v>1006</v>
      </c>
      <c r="H1043" s="106" t="s">
        <v>5830</v>
      </c>
      <c r="I1043" s="106" t="s">
        <v>5831</v>
      </c>
      <c r="J1043" s="106">
        <v>3000000</v>
      </c>
      <c r="K1043" s="106" t="s">
        <v>5832</v>
      </c>
      <c r="L1043" s="106" t="s">
        <v>5833</v>
      </c>
      <c r="M1043" s="106" t="s">
        <v>1039</v>
      </c>
      <c r="O1043" s="106" t="s">
        <v>274</v>
      </c>
      <c r="Q1043" s="106" t="s">
        <v>329</v>
      </c>
      <c r="S1043" s="106" t="str" cm="1">
        <f t="array" ref="S1043">IF(TRIM($D1043)="","(tidak diisi)",IFERROR(INDEX(Kamus!$B$3:$B$28,MATCH(TRUE,ISNUMBER(SEARCH(Kamus!$A$3:$A$28,$D1043)),0)),"Jabatan Lainnya"))</f>
        <v>Sekretaris</v>
      </c>
      <c r="T1043" s="106" t="str" cm="1">
        <f t="array" ref="T1043">IF(TRIM($I1043)="","(tidak diisi)",IFERROR(INDEX(Kamus!$E$3:$E$162,MATCH(TRUE,ISNUMBER(SEARCH(Kamus!$D$3:$D$162,$I1043)),0)),"Barang Lain / Tidak Terinci"))</f>
        <v>Barang Lain / Tidak Terinci</v>
      </c>
      <c r="U1043" s="106" t="str" cm="1">
        <f t="array" ref="U1043">IF(TRIM($I1043)="","(tidak diisi)",IFERROR(INDEX(Kamus!$H$3:$H$75,MATCH(TRUE,ISNUMBER(SEARCH(Kamus!$G$3:$G$75,$I1043)),0)),"Pemberian Umum / Tanpa Konteks"))</f>
        <v>Bingkisan Hari Raya / Keagamaan</v>
      </c>
      <c r="V1043" s="106" t="str">
        <f t="shared" si="48"/>
        <v>2026</v>
      </c>
      <c r="W1043" s="106" t="str" cm="1">
        <f t="array" ref="W1043">IF(TRIM($K1043)="","(tidak diisi)",IFERROR(INDEX(Kamus!$K$3:$K$118,MATCH(TRUE,ISNUMBER(SEARCH(Kamus!$J$3:$J$118,$K1043)),0)),"Individu / Perorangan"))</f>
        <v>Individu / Perorangan</v>
      </c>
      <c r="X1043" s="106" t="str">
        <f t="shared" si="49"/>
        <v>05</v>
      </c>
      <c r="Y1043" s="106" t="str" cm="1">
        <f t="array" ref="Y1043">IFERROR(INDEX(Kamus!$N$3:$N$111,MATCH(TRUE,ISNUMBER(SEARCH(Kamus!$M$3:$M$111,$I1043)),0)),"")</f>
        <v>Momen Hari Raya (Ramadan/Idulfitri)</v>
      </c>
      <c r="Z1043" s="106" t="str">
        <f>IF(AND(OR($X1043="02",$X1043="03",$X1043="04"),OR($T1043="Parsel/Bingkisan (tidak dirinci)",$T1043="Makanan &amp; Minuman",$T1043="Peralatan Rumah Tangga / Pecah Belah",$T1043="Pakaian &amp; Kain")),"Momen Hari Raya (dugaan musiman)",IFERROR(VLOOKUP($W1043,Kamus!$P$3:$Q$14,2,FALSE),"Tidak Teridentifikasi"))</f>
        <v>Relasi Personal / Tidak Teridentifikasi</v>
      </c>
      <c r="AA1043" s="106" t="str">
        <f t="shared" si="50"/>
        <v>Momen Hari Raya (Ramadan/Idulfitri)</v>
      </c>
    </row>
    <row r="1044" spans="1:27">
      <c r="A1044" s="106">
        <v>1043</v>
      </c>
      <c r="B1044" s="106" t="s">
        <v>4491</v>
      </c>
      <c r="C1044" s="107" t="s">
        <v>4492</v>
      </c>
      <c r="D1044" s="106" t="s">
        <v>1336</v>
      </c>
      <c r="E1044" s="106" t="s">
        <v>4493</v>
      </c>
      <c r="F1044" s="106" t="s">
        <v>5834</v>
      </c>
      <c r="G1044" s="106" t="s">
        <v>1074</v>
      </c>
      <c r="H1044" s="106" t="s">
        <v>5702</v>
      </c>
      <c r="I1044" s="106" t="s">
        <v>1017</v>
      </c>
      <c r="K1044" s="106" t="s">
        <v>5835</v>
      </c>
      <c r="L1044" s="106" t="s">
        <v>5836</v>
      </c>
      <c r="O1044" s="106" t="s">
        <v>274</v>
      </c>
      <c r="P1044" s="106" t="s">
        <v>4498</v>
      </c>
      <c r="Q1044" s="106" t="s">
        <v>420</v>
      </c>
      <c r="S1044" s="106" t="str" cm="1">
        <f t="array" ref="S1044">IF(TRIM($D1044)="","(tidak diisi)",IFERROR(INDEX(Kamus!$B$3:$B$28,MATCH(TRUE,ISNUMBER(SEARCH(Kamus!$A$3:$A$28,$D1044)),0)),"Jabatan Lainnya"))</f>
        <v>Panitera</v>
      </c>
      <c r="T1044" s="106" t="str" cm="1">
        <f t="array" ref="T1044">IF(TRIM($I1044)="","(tidak diisi)",IFERROR(INDEX(Kamus!$E$3:$E$162,MATCH(TRUE,ISNUMBER(SEARCH(Kamus!$D$3:$D$162,$I1044)),0)),"Barang Lain / Tidak Terinci"))</f>
        <v>Uang &amp; Setara Uang</v>
      </c>
      <c r="U1044" s="106" t="str" cm="1">
        <f t="array" ref="U1044">IF(TRIM($I1044)="","(tidak diisi)",IFERROR(INDEX(Kamus!$H$3:$H$75,MATCH(TRUE,ISNUMBER(SEARCH(Kamus!$G$3:$G$75,$I1044)),0)),"Pemberian Umum / Tanpa Konteks"))</f>
        <v>Pemberian Uang Langsung</v>
      </c>
      <c r="V1044" s="106" t="str">
        <f t="shared" si="48"/>
        <v>2026</v>
      </c>
      <c r="W1044" s="106" t="str" cm="1">
        <f t="array" ref="W1044">IF(TRIM($K1044)="","(tidak diisi)",IFERROR(INDEX(Kamus!$K$3:$K$118,MATCH(TRUE,ISNUMBER(SEARCH(Kamus!$J$3:$J$118,$K1044)),0)),"Individu / Perorangan"))</f>
        <v>Individu / Perorangan</v>
      </c>
      <c r="X1044" s="106" t="str">
        <f t="shared" si="49"/>
        <v>04</v>
      </c>
      <c r="Y1044" s="106" t="str" cm="1">
        <f t="array" ref="Y1044">IFERROR(INDEX(Kamus!$N$3:$N$111,MATCH(TRUE,ISNUMBER(SEARCH(Kamus!$M$3:$M$111,$I1044)),0)),"")</f>
        <v/>
      </c>
      <c r="Z1044" s="106" t="str">
        <f>IF(AND(OR($X1044="02",$X1044="03",$X1044="04"),OR($T1044="Parsel/Bingkisan (tidak dirinci)",$T1044="Makanan &amp; Minuman",$T1044="Peralatan Rumah Tangga / Pecah Belah",$T1044="Pakaian &amp; Kain")),"Momen Hari Raya (dugaan musiman)",IFERROR(VLOOKUP($W1044,Kamus!$P$3:$Q$14,2,FALSE),"Tidak Teridentifikasi"))</f>
        <v>Relasi Personal / Tidak Teridentifikasi</v>
      </c>
      <c r="AA1044" s="106" t="str">
        <f t="shared" si="50"/>
        <v>Relasi Personal / Tidak Teridentifikasi</v>
      </c>
    </row>
    <row r="1045" spans="1:27">
      <c r="A1045" s="106">
        <v>1044</v>
      </c>
      <c r="B1045" s="106" t="s">
        <v>5014</v>
      </c>
      <c r="C1045" s="107" t="s">
        <v>5015</v>
      </c>
      <c r="D1045" s="106" t="s">
        <v>1042</v>
      </c>
      <c r="E1045" s="106" t="s">
        <v>3959</v>
      </c>
      <c r="F1045" s="106" t="s">
        <v>5837</v>
      </c>
      <c r="G1045" s="106" t="s">
        <v>1006</v>
      </c>
      <c r="H1045" s="106" t="s">
        <v>5838</v>
      </c>
      <c r="I1045" s="106" t="s">
        <v>5839</v>
      </c>
      <c r="J1045" s="106">
        <v>150000</v>
      </c>
      <c r="K1045" s="106" t="s">
        <v>5840</v>
      </c>
      <c r="L1045" s="106" t="s">
        <v>5841</v>
      </c>
      <c r="M1045" s="106" t="s">
        <v>1039</v>
      </c>
      <c r="O1045" s="106" t="s">
        <v>274</v>
      </c>
      <c r="P1045" s="106" t="s">
        <v>3964</v>
      </c>
      <c r="Q1045" s="106" t="s">
        <v>428</v>
      </c>
      <c r="S1045" s="106" t="str" cm="1">
        <f t="array" ref="S1045">IF(TRIM($D1045)="","(tidak diisi)",IFERROR(INDEX(Kamus!$B$3:$B$28,MATCH(TRUE,ISNUMBER(SEARCH(Kamus!$A$3:$A$28,$D1045)),0)),"Jabatan Lainnya"))</f>
        <v>Ketua Pengadilan</v>
      </c>
      <c r="T1045" s="106" t="str" cm="1">
        <f t="array" ref="T1045">IF(TRIM($I1045)="","(tidak diisi)",IFERROR(INDEX(Kamus!$E$3:$E$162,MATCH(TRUE,ISNUMBER(SEARCH(Kamus!$D$3:$D$162,$I1045)),0)),"Barang Lain / Tidak Terinci"))</f>
        <v>Suvenir &amp; Merchandise</v>
      </c>
      <c r="U1045" s="106" t="str" cm="1">
        <f t="array" ref="U1045">IF(TRIM($I1045)="","(tidak diisi)",IFERROR(INDEX(Kamus!$H$3:$H$75,MATCH(TRUE,ISNUMBER(SEARCH(Kamus!$G$3:$G$75,$I1045)),0)),"Pemberian Umum / Tanpa Konteks"))</f>
        <v>Ucapan Duka/Selamat (Karangan Bunga)</v>
      </c>
      <c r="V1045" s="106" t="str">
        <f t="shared" si="48"/>
        <v>2026</v>
      </c>
      <c r="W1045" s="106" t="str" cm="1">
        <f t="array" ref="W1045">IF(TRIM($K1045)="","(tidak diisi)",IFERROR(INDEX(Kamus!$K$3:$K$118,MATCH(TRUE,ISNUMBER(SEARCH(Kamus!$J$3:$J$118,$K1045)),0)),"Individu / Perorangan"))</f>
        <v>Bank &amp; Lembaga Keuangan</v>
      </c>
      <c r="X1045" s="106" t="str">
        <f t="shared" si="49"/>
        <v>05</v>
      </c>
      <c r="Y1045" s="106" t="str" cm="1">
        <f t="array" ref="Y1045">IFERROR(INDEX(Kamus!$N$3:$N$111,MATCH(TRUE,ISNUMBER(SEARCH(Kamus!$M$3:$M$111,$I1045)),0)),"")</f>
        <v/>
      </c>
      <c r="Z1045" s="106" t="str">
        <f>IF(AND(OR($X1045="02",$X1045="03",$X1045="04"),OR($T1045="Parsel/Bingkisan (tidak dirinci)",$T1045="Makanan &amp; Minuman",$T1045="Peralatan Rumah Tangga / Pecah Belah",$T1045="Pakaian &amp; Kain")),"Momen Hari Raya (dugaan musiman)",IFERROR(VLOOKUP($W1045,Kamus!$P$3:$Q$14,2,FALSE),"Tidak Teridentifikasi"))</f>
        <v>Relasi Layanan/Kerja Sama Perbankan (dugaan)</v>
      </c>
      <c r="AA1045" s="106" t="str">
        <f t="shared" si="50"/>
        <v>Relasi Layanan/Kerja Sama Perbankan (dugaan)</v>
      </c>
    </row>
    <row r="1046" spans="1:27">
      <c r="A1046" s="106">
        <v>1045</v>
      </c>
      <c r="B1046" s="106" t="s">
        <v>3373</v>
      </c>
      <c r="C1046" s="107" t="s">
        <v>3374</v>
      </c>
      <c r="D1046" s="106" t="s">
        <v>3375</v>
      </c>
      <c r="E1046" s="106" t="s">
        <v>2150</v>
      </c>
      <c r="F1046" s="106" t="s">
        <v>5842</v>
      </c>
      <c r="G1046" s="106" t="s">
        <v>1074</v>
      </c>
      <c r="H1046" s="106" t="s">
        <v>5843</v>
      </c>
      <c r="I1046" s="106" t="s">
        <v>1017</v>
      </c>
      <c r="K1046" s="106" t="s">
        <v>5844</v>
      </c>
      <c r="L1046" s="106" t="s">
        <v>5845</v>
      </c>
      <c r="O1046" s="106" t="s">
        <v>274</v>
      </c>
      <c r="P1046" s="106" t="s">
        <v>604</v>
      </c>
      <c r="Q1046" s="106" t="s">
        <v>429</v>
      </c>
      <c r="S1046" s="106" t="str" cm="1">
        <f t="array" ref="S1046">IF(TRIM($D1046)="","(tidak diisi)",IFERROR(INDEX(Kamus!$B$3:$B$28,MATCH(TRUE,ISNUMBER(SEARCH(Kamus!$A$3:$A$28,$D1046)),0)),"Jabatan Lainnya"))</f>
        <v>Staf/Pegawai Pelaksana</v>
      </c>
      <c r="T1046" s="106" t="str" cm="1">
        <f t="array" ref="T1046">IF(TRIM($I1046)="","(tidak diisi)",IFERROR(INDEX(Kamus!$E$3:$E$162,MATCH(TRUE,ISNUMBER(SEARCH(Kamus!$D$3:$D$162,$I1046)),0)),"Barang Lain / Tidak Terinci"))</f>
        <v>Uang &amp; Setara Uang</v>
      </c>
      <c r="U1046" s="106" t="str" cm="1">
        <f t="array" ref="U1046">IF(TRIM($I1046)="","(tidak diisi)",IFERROR(INDEX(Kamus!$H$3:$H$75,MATCH(TRUE,ISNUMBER(SEARCH(Kamus!$G$3:$G$75,$I1046)),0)),"Pemberian Umum / Tanpa Konteks"))</f>
        <v>Pemberian Uang Langsung</v>
      </c>
      <c r="V1046" s="106" t="str">
        <f t="shared" si="48"/>
        <v>2026</v>
      </c>
      <c r="W1046" s="106" t="str" cm="1">
        <f t="array" ref="W1046">IF(TRIM($K1046)="","(tidak diisi)",IFERROR(INDEX(Kamus!$K$3:$K$118,MATCH(TRUE,ISNUMBER(SEARCH(Kamus!$J$3:$J$118,$K1046)),0)),"Individu / Perorangan"))</f>
        <v>Individu / Perorangan</v>
      </c>
      <c r="X1046" s="106" t="str">
        <f t="shared" si="49"/>
        <v>06</v>
      </c>
      <c r="Y1046" s="106" t="str" cm="1">
        <f t="array" ref="Y1046">IFERROR(INDEX(Kamus!$N$3:$N$111,MATCH(TRUE,ISNUMBER(SEARCH(Kamus!$M$3:$M$111,$I1046)),0)),"")</f>
        <v/>
      </c>
      <c r="Z1046" s="106" t="str">
        <f>IF(AND(OR($X1046="02",$X1046="03",$X1046="04"),OR($T1046="Parsel/Bingkisan (tidak dirinci)",$T1046="Makanan &amp; Minuman",$T1046="Peralatan Rumah Tangga / Pecah Belah",$T1046="Pakaian &amp; Kain")),"Momen Hari Raya (dugaan musiman)",IFERROR(VLOOKUP($W1046,Kamus!$P$3:$Q$14,2,FALSE),"Tidak Teridentifikasi"))</f>
        <v>Relasi Personal / Tidak Teridentifikasi</v>
      </c>
      <c r="AA1046" s="106" t="str">
        <f t="shared" si="50"/>
        <v>Relasi Personal / Tidak Teridentifikasi</v>
      </c>
    </row>
    <row r="1047" spans="1:27">
      <c r="A1047" s="106">
        <v>1046</v>
      </c>
      <c r="B1047" s="106" t="s">
        <v>2318</v>
      </c>
      <c r="C1047" s="107" t="s">
        <v>2319</v>
      </c>
      <c r="D1047" s="106" t="s">
        <v>1042</v>
      </c>
      <c r="E1047" s="106" t="s">
        <v>1025</v>
      </c>
      <c r="G1047" s="106" t="s">
        <v>1006</v>
      </c>
      <c r="H1047" s="106" t="s">
        <v>5790</v>
      </c>
      <c r="I1047" s="106" t="s">
        <v>3257</v>
      </c>
      <c r="K1047" s="106" t="s">
        <v>5846</v>
      </c>
      <c r="L1047" s="106" t="s">
        <v>5847</v>
      </c>
      <c r="O1047" s="106" t="s">
        <v>274</v>
      </c>
      <c r="P1047" s="106" t="s">
        <v>561</v>
      </c>
      <c r="Q1047" s="106" t="s">
        <v>428</v>
      </c>
      <c r="S1047" s="106" t="str" cm="1">
        <f t="array" ref="S1047">IF(TRIM($D1047)="","(tidak diisi)",IFERROR(INDEX(Kamus!$B$3:$B$28,MATCH(TRUE,ISNUMBER(SEARCH(Kamus!$A$3:$A$28,$D1047)),0)),"Jabatan Lainnya"))</f>
        <v>Ketua Pengadilan</v>
      </c>
      <c r="T1047" s="106" t="str" cm="1">
        <f t="array" ref="T1047">IF(TRIM($I1047)="","(tidak diisi)",IFERROR(INDEX(Kamus!$E$3:$E$162,MATCH(TRUE,ISNUMBER(SEARCH(Kamus!$D$3:$D$162,$I1047)),0)),"Barang Lain / Tidak Terinci"))</f>
        <v>Karangan Bunga / Ucapan</v>
      </c>
      <c r="U1047" s="106" t="str" cm="1">
        <f t="array" ref="U1047">IF(TRIM($I1047)="","(tidak diisi)",IFERROR(INDEX(Kamus!$H$3:$H$75,MATCH(TRUE,ISNUMBER(SEARCH(Kamus!$G$3:$G$75,$I1047)),0)),"Pemberian Umum / Tanpa Konteks"))</f>
        <v>Ucapan Duka/Selamat (Karangan Bunga)</v>
      </c>
      <c r="V1047" s="106" t="str">
        <f t="shared" si="48"/>
        <v>2026</v>
      </c>
      <c r="W1047" s="106" t="str" cm="1">
        <f t="array" ref="W1047">IF(TRIM($K1047)="","(tidak diisi)",IFERROR(INDEX(Kamus!$K$3:$K$118,MATCH(TRUE,ISNUMBER(SEARCH(Kamus!$J$3:$J$118,$K1047)),0)),"Individu / Perorangan"))</f>
        <v>Individu / Perorangan</v>
      </c>
      <c r="X1047" s="106" t="str">
        <f t="shared" si="49"/>
        <v>05</v>
      </c>
      <c r="Y1047" s="106" t="str" cm="1">
        <f t="array" ref="Y1047">IFERROR(INDEX(Kamus!$N$3:$N$111,MATCH(TRUE,ISNUMBER(SEARCH(Kamus!$M$3:$M$111,$I1047)),0)),"")</f>
        <v>Ucapan Selamat/Duka atas Acara Instansi</v>
      </c>
      <c r="Z1047" s="106" t="str">
        <f>IF(AND(OR($X1047="02",$X1047="03",$X1047="04"),OR($T1047="Parsel/Bingkisan (tidak dirinci)",$T1047="Makanan &amp; Minuman",$T1047="Peralatan Rumah Tangga / Pecah Belah",$T1047="Pakaian &amp; Kain")),"Momen Hari Raya (dugaan musiman)",IFERROR(VLOOKUP($W1047,Kamus!$P$3:$Q$14,2,FALSE),"Tidak Teridentifikasi"))</f>
        <v>Relasi Personal / Tidak Teridentifikasi</v>
      </c>
      <c r="AA1047" s="106" t="str">
        <f t="shared" si="50"/>
        <v>Ucapan Selamat/Duka atas Acara Instansi</v>
      </c>
    </row>
    <row r="1048" spans="1:27">
      <c r="A1048" s="106">
        <v>1047</v>
      </c>
      <c r="B1048" s="106" t="s">
        <v>1088</v>
      </c>
      <c r="C1048" s="107" t="s">
        <v>1089</v>
      </c>
      <c r="D1048" s="106" t="s">
        <v>1033</v>
      </c>
      <c r="E1048" s="106" t="s">
        <v>1090</v>
      </c>
      <c r="F1048" s="106" t="s">
        <v>5848</v>
      </c>
      <c r="G1048" s="106" t="s">
        <v>1006</v>
      </c>
      <c r="H1048" s="106" t="s">
        <v>5843</v>
      </c>
      <c r="I1048" s="106" t="s">
        <v>5849</v>
      </c>
      <c r="J1048" s="106">
        <v>20000</v>
      </c>
      <c r="K1048" s="106" t="s">
        <v>5850</v>
      </c>
      <c r="L1048" s="106" t="s">
        <v>5851</v>
      </c>
      <c r="M1048" s="106" t="s">
        <v>1020</v>
      </c>
      <c r="O1048" s="106" t="s">
        <v>274</v>
      </c>
      <c r="P1048" s="106" t="s">
        <v>1095</v>
      </c>
      <c r="Q1048" s="106" t="s">
        <v>348</v>
      </c>
      <c r="S1048" s="106" t="str" cm="1">
        <f t="array" ref="S1048">IF(TRIM($D1048)="","(tidak diisi)",IFERROR(INDEX(Kamus!$B$3:$B$28,MATCH(TRUE,ISNUMBER(SEARCH(Kamus!$A$3:$A$28,$D1048)),0)),"Jabatan Lainnya"))</f>
        <v>Hakim</v>
      </c>
      <c r="T1048" s="106" t="str" cm="1">
        <f t="array" ref="T1048">IF(TRIM($I1048)="","(tidak diisi)",IFERROR(INDEX(Kamus!$E$3:$E$162,MATCH(TRUE,ISNUMBER(SEARCH(Kamus!$D$3:$D$162,$I1048)),0)),"Barang Lain / Tidak Terinci"))</f>
        <v>Barang Lain / Tidak Terinci</v>
      </c>
      <c r="U1048" s="106" t="str" cm="1">
        <f t="array" ref="U1048">IF(TRIM($I1048)="","(tidak diisi)",IFERROR(INDEX(Kamus!$H$3:$H$75,MATCH(TRUE,ISNUMBER(SEARCH(Kamus!$G$3:$G$75,$I1048)),0)),"Pemberian Umum / Tanpa Konteks"))</f>
        <v>Pemberian Umum / Tanpa Konteks</v>
      </c>
      <c r="V1048" s="106" t="str">
        <f t="shared" si="48"/>
        <v>2026</v>
      </c>
      <c r="W1048" s="106" t="str" cm="1">
        <f t="array" ref="W1048">IF(TRIM($K1048)="","(tidak diisi)",IFERROR(INDEX(Kamus!$K$3:$K$118,MATCH(TRUE,ISNUMBER(SEARCH(Kamus!$J$3:$J$118,$K1048)),0)),"Individu / Perorangan"))</f>
        <v>Individu / Perorangan</v>
      </c>
      <c r="X1048" s="106" t="str">
        <f t="shared" si="49"/>
        <v>06</v>
      </c>
      <c r="Y1048" s="106" t="str" cm="1">
        <f t="array" ref="Y1048">IFERROR(INDEX(Kamus!$N$3:$N$111,MATCH(TRUE,ISNUMBER(SEARCH(Kamus!$M$3:$M$111,$I1048)),0)),"")</f>
        <v/>
      </c>
      <c r="Z1048" s="106" t="str">
        <f>IF(AND(OR($X1048="02",$X1048="03",$X1048="04"),OR($T1048="Parsel/Bingkisan (tidak dirinci)",$T1048="Makanan &amp; Minuman",$T1048="Peralatan Rumah Tangga / Pecah Belah",$T1048="Pakaian &amp; Kain")),"Momen Hari Raya (dugaan musiman)",IFERROR(VLOOKUP($W1048,Kamus!$P$3:$Q$14,2,FALSE),"Tidak Teridentifikasi"))</f>
        <v>Relasi Personal / Tidak Teridentifikasi</v>
      </c>
      <c r="AA1048" s="106" t="str">
        <f t="shared" si="50"/>
        <v>Relasi Personal / Tidak Teridentifikasi</v>
      </c>
    </row>
    <row r="1049" spans="1:27">
      <c r="A1049" s="106">
        <v>1048</v>
      </c>
      <c r="B1049" s="106" t="s">
        <v>2196</v>
      </c>
      <c r="C1049" s="107" t="s">
        <v>2197</v>
      </c>
      <c r="D1049" s="106" t="s">
        <v>2198</v>
      </c>
      <c r="E1049" s="106" t="s">
        <v>2199</v>
      </c>
      <c r="F1049" s="106" t="s">
        <v>5852</v>
      </c>
      <c r="G1049" s="106" t="s">
        <v>1006</v>
      </c>
      <c r="H1049" s="106" t="s">
        <v>5843</v>
      </c>
      <c r="I1049" s="106" t="s">
        <v>1017</v>
      </c>
      <c r="J1049" s="106">
        <v>85000</v>
      </c>
      <c r="K1049" s="106" t="s">
        <v>2701</v>
      </c>
      <c r="L1049" s="106" t="s">
        <v>5853</v>
      </c>
      <c r="M1049" s="106" t="s">
        <v>2300</v>
      </c>
      <c r="O1049" s="106" t="s">
        <v>274</v>
      </c>
      <c r="Q1049" s="106" t="s">
        <v>335</v>
      </c>
      <c r="S1049" s="106" t="str" cm="1">
        <f t="array" ref="S1049">IF(TRIM($D1049)="","(tidak diisi)",IFERROR(INDEX(Kamus!$B$3:$B$28,MATCH(TRUE,ISNUMBER(SEARCH(Kamus!$A$3:$A$28,$D1049)),0)),"Jabatan Lainnya"))</f>
        <v>Wakil Ketua Pengadilan</v>
      </c>
      <c r="T1049" s="106" t="str" cm="1">
        <f t="array" ref="T1049">IF(TRIM($I1049)="","(tidak diisi)",IFERROR(INDEX(Kamus!$E$3:$E$162,MATCH(TRUE,ISNUMBER(SEARCH(Kamus!$D$3:$D$162,$I1049)),0)),"Barang Lain / Tidak Terinci"))</f>
        <v>Uang &amp; Setara Uang</v>
      </c>
      <c r="U1049" s="106" t="str" cm="1">
        <f t="array" ref="U1049">IF(TRIM($I1049)="","(tidak diisi)",IFERROR(INDEX(Kamus!$H$3:$H$75,MATCH(TRUE,ISNUMBER(SEARCH(Kamus!$G$3:$G$75,$I1049)),0)),"Pemberian Umum / Tanpa Konteks"))</f>
        <v>Pemberian Uang Langsung</v>
      </c>
      <c r="V1049" s="106" t="str">
        <f t="shared" si="48"/>
        <v>2026</v>
      </c>
      <c r="W1049" s="106" t="str" cm="1">
        <f t="array" ref="W1049">IF(TRIM($K1049)="","(tidak diisi)",IFERROR(INDEX(Kamus!$K$3:$K$118,MATCH(TRUE,ISNUMBER(SEARCH(Kamus!$J$3:$J$118,$K1049)),0)),"Individu / Perorangan"))</f>
        <v>Tidak Diketahui</v>
      </c>
      <c r="X1049" s="106" t="str">
        <f t="shared" si="49"/>
        <v>06</v>
      </c>
      <c r="Y1049" s="106" t="str" cm="1">
        <f t="array" ref="Y1049">IFERROR(INDEX(Kamus!$N$3:$N$111,MATCH(TRUE,ISNUMBER(SEARCH(Kamus!$M$3:$M$111,$I1049)),0)),"")</f>
        <v/>
      </c>
      <c r="Z1049" s="106" t="str">
        <f>IF(AND(OR($X1049="02",$X1049="03",$X1049="04"),OR($T1049="Parsel/Bingkisan (tidak dirinci)",$T1049="Makanan &amp; Minuman",$T1049="Peralatan Rumah Tangga / Pecah Belah",$T1049="Pakaian &amp; Kain")),"Momen Hari Raya (dugaan musiman)",IFERROR(VLOOKUP($W1049,Kamus!$P$3:$Q$14,2,FALSE),"Tidak Teridentifikasi"))</f>
        <v>Pemberi Tidak Diketahui</v>
      </c>
      <c r="AA1049" s="106" t="str">
        <f t="shared" si="50"/>
        <v>Pemberi Tidak Diketahui</v>
      </c>
    </row>
    <row r="1050" spans="1:27">
      <c r="A1050" s="106">
        <v>1049</v>
      </c>
      <c r="B1050" s="106" t="s">
        <v>3865</v>
      </c>
      <c r="C1050" s="107" t="s">
        <v>3866</v>
      </c>
      <c r="D1050" s="106" t="s">
        <v>1042</v>
      </c>
      <c r="E1050" s="106" t="s">
        <v>1005</v>
      </c>
      <c r="F1050" s="106" t="s">
        <v>5854</v>
      </c>
      <c r="G1050" s="106" t="s">
        <v>1006</v>
      </c>
      <c r="H1050" s="106" t="s">
        <v>5855</v>
      </c>
      <c r="I1050" s="106" t="s">
        <v>5856</v>
      </c>
      <c r="K1050" s="106" t="s">
        <v>5857</v>
      </c>
      <c r="L1050" s="106" t="s">
        <v>5858</v>
      </c>
      <c r="O1050" s="106" t="s">
        <v>274</v>
      </c>
      <c r="S1050" s="106" t="str" cm="1">
        <f t="array" ref="S1050">IF(TRIM($D1050)="","(tidak diisi)",IFERROR(INDEX(Kamus!$B$3:$B$28,MATCH(TRUE,ISNUMBER(SEARCH(Kamus!$A$3:$A$28,$D1050)),0)),"Jabatan Lainnya"))</f>
        <v>Ketua Pengadilan</v>
      </c>
      <c r="T1050" s="106" t="str" cm="1">
        <f t="array" ref="T1050">IF(TRIM($I1050)="","(tidak diisi)",IFERROR(INDEX(Kamus!$E$3:$E$162,MATCH(TRUE,ISNUMBER(SEARCH(Kamus!$D$3:$D$162,$I1050)),0)),"Barang Lain / Tidak Terinci"))</f>
        <v>Suvenir &amp; Merchandise</v>
      </c>
      <c r="U1050" s="106" t="str" cm="1">
        <f t="array" ref="U1050">IF(TRIM($I1050)="","(tidak diisi)",IFERROR(INDEX(Kamus!$H$3:$H$75,MATCH(TRUE,ISNUMBER(SEARCH(Kamus!$G$3:$G$75,$I1050)),0)),"Pemberian Umum / Tanpa Konteks"))</f>
        <v>Suvenir / Merchandise Kegiatan &amp; Kunjungan</v>
      </c>
      <c r="V1050" s="106" t="str">
        <f t="shared" si="48"/>
        <v>2026</v>
      </c>
      <c r="W1050" s="106" t="str" cm="1">
        <f t="array" ref="W1050">IF(TRIM($K1050)="","(tidak diisi)",IFERROR(INDEX(Kamus!$K$3:$K$118,MATCH(TRUE,ISNUMBER(SEARCH(Kamus!$J$3:$J$118,$K1050)),0)),"Individu / Perorangan"))</f>
        <v>Individu / Perorangan</v>
      </c>
      <c r="X1050" s="106" t="str">
        <f t="shared" si="49"/>
        <v>06</v>
      </c>
      <c r="Y1050" s="106" t="str" cm="1">
        <f t="array" ref="Y1050">IFERROR(INDEX(Kamus!$N$3:$N$111,MATCH(TRUE,ISNUMBER(SEARCH(Kamus!$M$3:$M$111,$I1050)),0)),"")</f>
        <v/>
      </c>
      <c r="Z1050" s="106" t="str">
        <f>IF(AND(OR($X1050="02",$X1050="03",$X1050="04"),OR($T1050="Parsel/Bingkisan (tidak dirinci)",$T1050="Makanan &amp; Minuman",$T1050="Peralatan Rumah Tangga / Pecah Belah",$T1050="Pakaian &amp; Kain")),"Momen Hari Raya (dugaan musiman)",IFERROR(VLOOKUP($W1050,Kamus!$P$3:$Q$14,2,FALSE),"Tidak Teridentifikasi"))</f>
        <v>Relasi Personal / Tidak Teridentifikasi</v>
      </c>
      <c r="AA1050" s="106" t="str">
        <f t="shared" si="50"/>
        <v>Relasi Personal / Tidak Teridentifikasi</v>
      </c>
    </row>
    <row r="1051" spans="1:27">
      <c r="A1051" s="106">
        <v>1050</v>
      </c>
      <c r="B1051" s="106" t="s">
        <v>5859</v>
      </c>
      <c r="C1051" s="107" t="s">
        <v>5860</v>
      </c>
      <c r="D1051" s="106" t="s">
        <v>1306</v>
      </c>
      <c r="E1051" s="106" t="s">
        <v>1729</v>
      </c>
      <c r="F1051" s="106" t="s">
        <v>5861</v>
      </c>
      <c r="G1051" s="106" t="s">
        <v>1006</v>
      </c>
      <c r="H1051" s="106" t="s">
        <v>5862</v>
      </c>
      <c r="I1051" s="106" t="s">
        <v>5863</v>
      </c>
      <c r="K1051" s="106" t="s">
        <v>5832</v>
      </c>
      <c r="L1051" s="106" t="s">
        <v>5864</v>
      </c>
      <c r="O1051" s="106" t="s">
        <v>274</v>
      </c>
      <c r="Q1051" s="106" t="s">
        <v>329</v>
      </c>
      <c r="S1051" s="106" t="str" cm="1">
        <f t="array" ref="S1051">IF(TRIM($D1051)="","(tidak diisi)",IFERROR(INDEX(Kamus!$B$3:$B$28,MATCH(TRUE,ISNUMBER(SEARCH(Kamus!$A$3:$A$28,$D1051)),0)),"Jabatan Lainnya"))</f>
        <v>Pejabat Struktural (Kasubbag/Kabag)</v>
      </c>
      <c r="T1051" s="106" t="str" cm="1">
        <f t="array" ref="T1051">IF(TRIM($I1051)="","(tidak diisi)",IFERROR(INDEX(Kamus!$E$3:$E$162,MATCH(TRUE,ISNUMBER(SEARCH(Kamus!$D$3:$D$162,$I1051)),0)),"Barang Lain / Tidak Terinci"))</f>
        <v>Peralatan Rumah Tangga / Pecah Belah</v>
      </c>
      <c r="U1051" s="106" t="str" cm="1">
        <f t="array" ref="U1051">IF(TRIM($I1051)="","(tidak diisi)",IFERROR(INDEX(Kamus!$H$3:$H$75,MATCH(TRUE,ISNUMBER(SEARCH(Kamus!$G$3:$G$75,$I1051)),0)),"Pemberian Umum / Tanpa Konteks"))</f>
        <v>Pemberian Umum / Tanpa Konteks</v>
      </c>
      <c r="V1051" s="106" t="str">
        <f t="shared" si="48"/>
        <v>2026</v>
      </c>
      <c r="W1051" s="106" t="str" cm="1">
        <f t="array" ref="W1051">IF(TRIM($K1051)="","(tidak diisi)",IFERROR(INDEX(Kamus!$K$3:$K$118,MATCH(TRUE,ISNUMBER(SEARCH(Kamus!$J$3:$J$118,$K1051)),0)),"Individu / Perorangan"))</f>
        <v>Individu / Perorangan</v>
      </c>
      <c r="X1051" s="106" t="str">
        <f t="shared" si="49"/>
        <v>06</v>
      </c>
      <c r="Y1051" s="106" t="str" cm="1">
        <f t="array" ref="Y1051">IFERROR(INDEX(Kamus!$N$3:$N$111,MATCH(TRUE,ISNUMBER(SEARCH(Kamus!$M$3:$M$111,$I1051)),0)),"")</f>
        <v/>
      </c>
      <c r="Z1051" s="106" t="str">
        <f>IF(AND(OR($X1051="02",$X1051="03",$X1051="04"),OR($T1051="Parsel/Bingkisan (tidak dirinci)",$T1051="Makanan &amp; Minuman",$T1051="Peralatan Rumah Tangga / Pecah Belah",$T1051="Pakaian &amp; Kain")),"Momen Hari Raya (dugaan musiman)",IFERROR(VLOOKUP($W1051,Kamus!$P$3:$Q$14,2,FALSE),"Tidak Teridentifikasi"))</f>
        <v>Relasi Personal / Tidak Teridentifikasi</v>
      </c>
      <c r="AA1051" s="106" t="str">
        <f t="shared" si="50"/>
        <v>Relasi Personal / Tidak Teridentifikasi</v>
      </c>
    </row>
    <row r="1052" spans="1:27">
      <c r="A1052" s="106">
        <v>1051</v>
      </c>
      <c r="B1052" s="106" t="s">
        <v>5865</v>
      </c>
      <c r="C1052" s="107" t="s">
        <v>5866</v>
      </c>
      <c r="D1052" s="106" t="s">
        <v>5867</v>
      </c>
      <c r="E1052" s="106" t="s">
        <v>1043</v>
      </c>
      <c r="G1052" s="106" t="s">
        <v>1006</v>
      </c>
      <c r="L1052" s="106" t="s">
        <v>5868</v>
      </c>
      <c r="O1052" s="106" t="s">
        <v>274</v>
      </c>
      <c r="P1052" s="106" t="s">
        <v>1047</v>
      </c>
      <c r="Q1052" s="106" t="s">
        <v>420</v>
      </c>
      <c r="S1052" s="106" t="str" cm="1">
        <f t="array" ref="S1052">IF(TRIM($D1052)="","(tidak diisi)",IFERROR(INDEX(Kamus!$B$3:$B$28,MATCH(TRUE,ISNUMBER(SEARCH(Kamus!$A$3:$A$28,$D1052)),0)),"Jabatan Lainnya"))</f>
        <v>Staf/Pegawai Pelaksana</v>
      </c>
      <c r="T1052" s="106" t="str" cm="1">
        <f t="array" ref="T1052">IF(TRIM($I1052)="","(tidak diisi)",IFERROR(INDEX(Kamus!$E$3:$E$162,MATCH(TRUE,ISNUMBER(SEARCH(Kamus!$D$3:$D$162,$I1052)),0)),"Barang Lain / Tidak Terinci"))</f>
        <v>(tidak diisi)</v>
      </c>
      <c r="U1052" s="106" t="str" cm="1">
        <f t="array" ref="U1052">IF(TRIM($I1052)="","(tidak diisi)",IFERROR(INDEX(Kamus!$H$3:$H$75,MATCH(TRUE,ISNUMBER(SEARCH(Kamus!$G$3:$G$75,$I1052)),0)),"Pemberian Umum / Tanpa Konteks"))</f>
        <v>(tidak diisi)</v>
      </c>
      <c r="V1052" s="106" t="str">
        <f t="shared" si="48"/>
        <v>(tidak diisi)</v>
      </c>
      <c r="W1052" s="106" t="str" cm="1">
        <f t="array" ref="W1052">IF(TRIM($K1052)="","(tidak diisi)",IFERROR(INDEX(Kamus!$K$3:$K$118,MATCH(TRUE,ISNUMBER(SEARCH(Kamus!$J$3:$J$118,$K1052)),0)),"Individu / Perorangan"))</f>
        <v>(tidak diisi)</v>
      </c>
      <c r="X1052" s="106" t="str">
        <f t="shared" si="49"/>
        <v>(tidak diisi)</v>
      </c>
      <c r="Y1052" s="106" t="str" cm="1">
        <f t="array" ref="Y1052">IFERROR(INDEX(Kamus!$N$3:$N$111,MATCH(TRUE,ISNUMBER(SEARCH(Kamus!$M$3:$M$111,$I1052)),0)),"")</f>
        <v/>
      </c>
      <c r="Z1052" s="106" t="str">
        <f>IF(AND(OR($X1052="02",$X1052="03",$X1052="04"),OR($T1052="Parsel/Bingkisan (tidak dirinci)",$T1052="Makanan &amp; Minuman",$T1052="Peralatan Rumah Tangga / Pecah Belah",$T1052="Pakaian &amp; Kain")),"Momen Hari Raya (dugaan musiman)",IFERROR(VLOOKUP($W1052,Kamus!$P$3:$Q$14,2,FALSE),"Tidak Teridentifikasi"))</f>
        <v>Tidak Teridentifikasi</v>
      </c>
      <c r="AA1052" s="106" t="str">
        <f t="shared" si="50"/>
        <v>Tidak Teridentifikasi</v>
      </c>
    </row>
    <row r="1053" spans="1:27">
      <c r="A1053" s="106">
        <v>1052</v>
      </c>
      <c r="B1053" s="106" t="s">
        <v>3478</v>
      </c>
      <c r="C1053" s="107" t="s">
        <v>3479</v>
      </c>
      <c r="D1053" s="106" t="s">
        <v>1843</v>
      </c>
      <c r="E1053" s="106" t="s">
        <v>1005</v>
      </c>
      <c r="F1053" s="106" t="s">
        <v>5869</v>
      </c>
      <c r="G1053" s="106" t="s">
        <v>1006</v>
      </c>
      <c r="H1053" s="106" t="s">
        <v>5870</v>
      </c>
      <c r="I1053" s="106" t="s">
        <v>5871</v>
      </c>
      <c r="K1053" s="106" t="s">
        <v>5872</v>
      </c>
      <c r="L1053" s="106" t="s">
        <v>5873</v>
      </c>
      <c r="O1053" s="106" t="s">
        <v>274</v>
      </c>
      <c r="S1053" s="106" t="str" cm="1">
        <f t="array" ref="S1053">IF(TRIM($D1053)="","(tidak diisi)",IFERROR(INDEX(Kamus!$B$3:$B$28,MATCH(TRUE,ISNUMBER(SEARCH(Kamus!$A$3:$A$28,$D1053)),0)),"Jabatan Lainnya"))</f>
        <v>Ketua Pengadilan</v>
      </c>
      <c r="T1053" s="106" t="str" cm="1">
        <f t="array" ref="T1053">IF(TRIM($I1053)="","(tidak diisi)",IFERROR(INDEX(Kamus!$E$3:$E$162,MATCH(TRUE,ISNUMBER(SEARCH(Kamus!$D$3:$D$162,$I1053)),0)),"Barang Lain / Tidak Terinci"))</f>
        <v>Suvenir &amp; Merchandise</v>
      </c>
      <c r="U1053" s="106" t="str" cm="1">
        <f t="array" ref="U1053">IF(TRIM($I1053)="","(tidak diisi)",IFERROR(INDEX(Kamus!$H$3:$H$75,MATCH(TRUE,ISNUMBER(SEARCH(Kamus!$G$3:$G$75,$I1053)),0)),"Pemberian Umum / Tanpa Konteks"))</f>
        <v>Suvenir / Merchandise Kegiatan &amp; Kunjungan</v>
      </c>
      <c r="V1053" s="106" t="str">
        <f t="shared" si="48"/>
        <v>2026</v>
      </c>
      <c r="W1053" s="106" t="str" cm="1">
        <f t="array" ref="W1053">IF(TRIM($K1053)="","(tidak diisi)",IFERROR(INDEX(Kamus!$K$3:$K$118,MATCH(TRUE,ISNUMBER(SEARCH(Kamus!$J$3:$J$118,$K1053)),0)),"Individu / Perorangan"))</f>
        <v>Perusahaan / Vendor</v>
      </c>
      <c r="X1053" s="106" t="str">
        <f t="shared" si="49"/>
        <v>06</v>
      </c>
      <c r="Y1053" s="106" t="str" cm="1">
        <f t="array" ref="Y1053">IFERROR(INDEX(Kamus!$N$3:$N$111,MATCH(TRUE,ISNUMBER(SEARCH(Kamus!$M$3:$M$111,$I1053)),0)),"")</f>
        <v/>
      </c>
      <c r="Z1053" s="106" t="str">
        <f>IF(AND(OR($X1053="02",$X1053="03",$X1053="04"),OR($T1053="Parsel/Bingkisan (tidak dirinci)",$T1053="Makanan &amp; Minuman",$T1053="Peralatan Rumah Tangga / Pecah Belah",$T1053="Pakaian &amp; Kain")),"Momen Hari Raya (dugaan musiman)",IFERROR(VLOOKUP($W1053,Kamus!$P$3:$Q$14,2,FALSE),"Tidak Teridentifikasi"))</f>
        <v>Relasi Vendor/Pengadaan (dugaan)</v>
      </c>
      <c r="AA1053" s="106" t="str">
        <f t="shared" si="50"/>
        <v>Relasi Vendor/Pengadaan (dugaan)</v>
      </c>
    </row>
    <row r="1054" spans="1:27">
      <c r="A1054" s="106">
        <v>1053</v>
      </c>
      <c r="B1054" s="106" t="s">
        <v>5874</v>
      </c>
      <c r="C1054" s="107" t="s">
        <v>5875</v>
      </c>
      <c r="D1054" s="106" t="s">
        <v>5876</v>
      </c>
      <c r="E1054" s="106" t="s">
        <v>5877</v>
      </c>
      <c r="F1054" s="106" t="s">
        <v>5878</v>
      </c>
      <c r="G1054" s="106" t="s">
        <v>1006</v>
      </c>
      <c r="H1054" s="106" t="s">
        <v>5870</v>
      </c>
      <c r="I1054" s="106" t="s">
        <v>5879</v>
      </c>
      <c r="K1054" s="106" t="s">
        <v>5880</v>
      </c>
      <c r="L1054" s="106" t="s">
        <v>5881</v>
      </c>
      <c r="O1054" s="106" t="s">
        <v>274</v>
      </c>
      <c r="P1054" s="106" t="s">
        <v>5882</v>
      </c>
      <c r="Q1054" s="106" t="s">
        <v>398</v>
      </c>
      <c r="S1054" s="106" t="str" cm="1">
        <f t="array" ref="S1054">IF(TRIM($D1054)="","(tidak diisi)",IFERROR(INDEX(Kamus!$B$3:$B$28,MATCH(TRUE,ISNUMBER(SEARCH(Kamus!$A$3:$A$28,$D1054)),0)),"Jabatan Lainnya"))</f>
        <v>Wakil Ketua Pengadilan</v>
      </c>
      <c r="T1054" s="106" t="str" cm="1">
        <f t="array" ref="T1054">IF(TRIM($I1054)="","(tidak diisi)",IFERROR(INDEX(Kamus!$E$3:$E$162,MATCH(TRUE,ISNUMBER(SEARCH(Kamus!$D$3:$D$162,$I1054)),0)),"Barang Lain / Tidak Terinci"))</f>
        <v>Suvenir &amp; Merchandise</v>
      </c>
      <c r="U1054" s="106" t="str" cm="1">
        <f t="array" ref="U1054">IF(TRIM($I1054)="","(tidak diisi)",IFERROR(INDEX(Kamus!$H$3:$H$75,MATCH(TRUE,ISNUMBER(SEARCH(Kamus!$G$3:$G$75,$I1054)),0)),"Pemberian Umum / Tanpa Konteks"))</f>
        <v>Suvenir / Merchandise Kegiatan &amp; Kunjungan</v>
      </c>
      <c r="V1054" s="106" t="str">
        <f t="shared" si="48"/>
        <v>2026</v>
      </c>
      <c r="W1054" s="106" t="str" cm="1">
        <f t="array" ref="W1054">IF(TRIM($K1054)="","(tidak diisi)",IFERROR(INDEX(Kamus!$K$3:$K$118,MATCH(TRUE,ISNUMBER(SEARCH(Kamus!$J$3:$J$118,$K1054)),0)),"Individu / Perorangan"))</f>
        <v>Perusahaan / Vendor</v>
      </c>
      <c r="X1054" s="106" t="str">
        <f t="shared" si="49"/>
        <v>06</v>
      </c>
      <c r="Y1054" s="106" t="str" cm="1">
        <f t="array" ref="Y1054">IFERROR(INDEX(Kamus!$N$3:$N$111,MATCH(TRUE,ISNUMBER(SEARCH(Kamus!$M$3:$M$111,$I1054)),0)),"")</f>
        <v/>
      </c>
      <c r="Z1054" s="106" t="str">
        <f>IF(AND(OR($X1054="02",$X1054="03",$X1054="04"),OR($T1054="Parsel/Bingkisan (tidak dirinci)",$T1054="Makanan &amp; Minuman",$T1054="Peralatan Rumah Tangga / Pecah Belah",$T1054="Pakaian &amp; Kain")),"Momen Hari Raya (dugaan musiman)",IFERROR(VLOOKUP($W1054,Kamus!$P$3:$Q$14,2,FALSE),"Tidak Teridentifikasi"))</f>
        <v>Relasi Vendor/Pengadaan (dugaan)</v>
      </c>
      <c r="AA1054" s="106" t="str">
        <f t="shared" si="50"/>
        <v>Relasi Vendor/Pengadaan (dugaan)</v>
      </c>
    </row>
    <row r="1055" spans="1:27">
      <c r="A1055" s="106">
        <v>1054</v>
      </c>
      <c r="B1055" s="106" t="s">
        <v>5883</v>
      </c>
      <c r="C1055" s="107" t="s">
        <v>5884</v>
      </c>
      <c r="D1055" s="106" t="s">
        <v>3375</v>
      </c>
      <c r="E1055" s="106" t="s">
        <v>5885</v>
      </c>
      <c r="G1055" s="106" t="s">
        <v>1006</v>
      </c>
      <c r="L1055" s="106" t="s">
        <v>5886</v>
      </c>
      <c r="O1055" s="106" t="s">
        <v>274</v>
      </c>
      <c r="P1055" s="106" t="s">
        <v>488</v>
      </c>
      <c r="Q1055" s="106" t="s">
        <v>295</v>
      </c>
      <c r="S1055" s="106" t="str" cm="1">
        <f t="array" ref="S1055">IF(TRIM($D1055)="","(tidak diisi)",IFERROR(INDEX(Kamus!$B$3:$B$28,MATCH(TRUE,ISNUMBER(SEARCH(Kamus!$A$3:$A$28,$D1055)),0)),"Jabatan Lainnya"))</f>
        <v>Staf/Pegawai Pelaksana</v>
      </c>
      <c r="T1055" s="106" t="str" cm="1">
        <f t="array" ref="T1055">IF(TRIM($I1055)="","(tidak diisi)",IFERROR(INDEX(Kamus!$E$3:$E$162,MATCH(TRUE,ISNUMBER(SEARCH(Kamus!$D$3:$D$162,$I1055)),0)),"Barang Lain / Tidak Terinci"))</f>
        <v>(tidak diisi)</v>
      </c>
      <c r="U1055" s="106" t="str" cm="1">
        <f t="array" ref="U1055">IF(TRIM($I1055)="","(tidak diisi)",IFERROR(INDEX(Kamus!$H$3:$H$75,MATCH(TRUE,ISNUMBER(SEARCH(Kamus!$G$3:$G$75,$I1055)),0)),"Pemberian Umum / Tanpa Konteks"))</f>
        <v>(tidak diisi)</v>
      </c>
      <c r="V1055" s="106" t="str">
        <f t="shared" si="48"/>
        <v>(tidak diisi)</v>
      </c>
      <c r="W1055" s="106" t="str" cm="1">
        <f t="array" ref="W1055">IF(TRIM($K1055)="","(tidak diisi)",IFERROR(INDEX(Kamus!$K$3:$K$118,MATCH(TRUE,ISNUMBER(SEARCH(Kamus!$J$3:$J$118,$K1055)),0)),"Individu / Perorangan"))</f>
        <v>(tidak diisi)</v>
      </c>
      <c r="X1055" s="106" t="str">
        <f t="shared" si="49"/>
        <v>(tidak diisi)</v>
      </c>
      <c r="Y1055" s="106" t="str" cm="1">
        <f t="array" ref="Y1055">IFERROR(INDEX(Kamus!$N$3:$N$111,MATCH(TRUE,ISNUMBER(SEARCH(Kamus!$M$3:$M$111,$I1055)),0)),"")</f>
        <v/>
      </c>
      <c r="Z1055" s="106" t="str">
        <f>IF(AND(OR($X1055="02",$X1055="03",$X1055="04"),OR($T1055="Parsel/Bingkisan (tidak dirinci)",$T1055="Makanan &amp; Minuman",$T1055="Peralatan Rumah Tangga / Pecah Belah",$T1055="Pakaian &amp; Kain")),"Momen Hari Raya (dugaan musiman)",IFERROR(VLOOKUP($W1055,Kamus!$P$3:$Q$14,2,FALSE),"Tidak Teridentifikasi"))</f>
        <v>Tidak Teridentifikasi</v>
      </c>
      <c r="AA1055" s="106" t="str">
        <f t="shared" si="50"/>
        <v>Tidak Teridentifikasi</v>
      </c>
    </row>
    <row r="1056" spans="1:27">
      <c r="A1056" s="106">
        <v>1055</v>
      </c>
      <c r="B1056" s="106" t="s">
        <v>2249</v>
      </c>
      <c r="C1056" s="107" t="s">
        <v>2250</v>
      </c>
      <c r="D1056" s="106" t="s">
        <v>2251</v>
      </c>
      <c r="E1056" s="106" t="s">
        <v>1294</v>
      </c>
      <c r="F1056" s="106" t="s">
        <v>5887</v>
      </c>
      <c r="G1056" s="106" t="s">
        <v>1006</v>
      </c>
      <c r="H1056" s="106" t="s">
        <v>5776</v>
      </c>
      <c r="I1056" s="106" t="s">
        <v>5888</v>
      </c>
      <c r="K1056" s="106" t="s">
        <v>5889</v>
      </c>
      <c r="L1056" s="106" t="s">
        <v>5890</v>
      </c>
      <c r="O1056" s="106" t="s">
        <v>274</v>
      </c>
      <c r="P1056" s="106" t="s">
        <v>1298</v>
      </c>
      <c r="Q1056" s="106" t="s">
        <v>428</v>
      </c>
      <c r="S1056" s="106" t="str" cm="1">
        <f t="array" ref="S1056">IF(TRIM($D1056)="","(tidak diisi)",IFERROR(INDEX(Kamus!$B$3:$B$28,MATCH(TRUE,ISNUMBER(SEARCH(Kamus!$A$3:$A$28,$D1056)),0)),"Jabatan Lainnya"))</f>
        <v>Wakil Ketua Pengadilan</v>
      </c>
      <c r="T1056" s="106" t="str" cm="1">
        <f t="array" ref="T1056">IF(TRIM($I1056)="","(tidak diisi)",IFERROR(INDEX(Kamus!$E$3:$E$162,MATCH(TRUE,ISNUMBER(SEARCH(Kamus!$D$3:$D$162,$I1056)),0)),"Barang Lain / Tidak Terinci"))</f>
        <v>Suvenir &amp; Merchandise</v>
      </c>
      <c r="U1056" s="106" t="str" cm="1">
        <f t="array" ref="U1056">IF(TRIM($I1056)="","(tidak diisi)",IFERROR(INDEX(Kamus!$H$3:$H$75,MATCH(TRUE,ISNUMBER(SEARCH(Kamus!$G$3:$G$75,$I1056)),0)),"Pemberian Umum / Tanpa Konteks"))</f>
        <v>Suvenir / Merchandise Kegiatan &amp; Kunjungan</v>
      </c>
      <c r="V1056" s="106" t="str">
        <f t="shared" si="48"/>
        <v>2026</v>
      </c>
      <c r="W1056" s="106" t="str" cm="1">
        <f t="array" ref="W1056">IF(TRIM($K1056)="","(tidak diisi)",IFERROR(INDEX(Kamus!$K$3:$K$118,MATCH(TRUE,ISNUMBER(SEARCH(Kamus!$J$3:$J$118,$K1056)),0)),"Individu / Perorangan"))</f>
        <v>Individu / Perorangan</v>
      </c>
      <c r="X1056" s="106" t="str">
        <f t="shared" si="49"/>
        <v>05</v>
      </c>
      <c r="Y1056" s="106" t="str" cm="1">
        <f t="array" ref="Y1056">IFERROR(INDEX(Kamus!$N$3:$N$111,MATCH(TRUE,ISNUMBER(SEARCH(Kamus!$M$3:$M$111,$I1056)),0)),"")</f>
        <v/>
      </c>
      <c r="Z1056" s="106" t="str">
        <f>IF(AND(OR($X1056="02",$X1056="03",$X1056="04"),OR($T1056="Parsel/Bingkisan (tidak dirinci)",$T1056="Makanan &amp; Minuman",$T1056="Peralatan Rumah Tangga / Pecah Belah",$T1056="Pakaian &amp; Kain")),"Momen Hari Raya (dugaan musiman)",IFERROR(VLOOKUP($W1056,Kamus!$P$3:$Q$14,2,FALSE),"Tidak Teridentifikasi"))</f>
        <v>Relasi Personal / Tidak Teridentifikasi</v>
      </c>
      <c r="AA1056" s="106" t="str">
        <f t="shared" si="50"/>
        <v>Relasi Personal / Tidak Teridentifikasi</v>
      </c>
    </row>
    <row r="1057" spans="1:27">
      <c r="A1057" s="106">
        <v>1056</v>
      </c>
      <c r="B1057" s="106" t="s">
        <v>5891</v>
      </c>
      <c r="C1057" s="107" t="s">
        <v>5892</v>
      </c>
      <c r="D1057" s="106" t="s">
        <v>5893</v>
      </c>
      <c r="E1057" s="106" t="s">
        <v>5894</v>
      </c>
      <c r="G1057" s="106" t="s">
        <v>1006</v>
      </c>
      <c r="L1057" s="106" t="s">
        <v>5895</v>
      </c>
      <c r="O1057" s="106" t="s">
        <v>274</v>
      </c>
      <c r="P1057" s="106" t="s">
        <v>423</v>
      </c>
      <c r="Q1057" s="106" t="s">
        <v>423</v>
      </c>
      <c r="S1057" s="106" t="str" cm="1">
        <f t="array" ref="S1057">IF(TRIM($D1057)="","(tidak diisi)",IFERROR(INDEX(Kamus!$B$3:$B$28,MATCH(TRUE,ISNUMBER(SEARCH(Kamus!$A$3:$A$28,$D1057)),0)),"Jabatan Lainnya"))</f>
        <v>Staf/Pegawai Pelaksana</v>
      </c>
      <c r="T1057" s="106" t="str" cm="1">
        <f t="array" ref="T1057">IF(TRIM($I1057)="","(tidak diisi)",IFERROR(INDEX(Kamus!$E$3:$E$162,MATCH(TRUE,ISNUMBER(SEARCH(Kamus!$D$3:$D$162,$I1057)),0)),"Barang Lain / Tidak Terinci"))</f>
        <v>(tidak diisi)</v>
      </c>
      <c r="U1057" s="106" t="str" cm="1">
        <f t="array" ref="U1057">IF(TRIM($I1057)="","(tidak diisi)",IFERROR(INDEX(Kamus!$H$3:$H$75,MATCH(TRUE,ISNUMBER(SEARCH(Kamus!$G$3:$G$75,$I1057)),0)),"Pemberian Umum / Tanpa Konteks"))</f>
        <v>(tidak diisi)</v>
      </c>
      <c r="V1057" s="106" t="str">
        <f t="shared" si="48"/>
        <v>(tidak diisi)</v>
      </c>
      <c r="W1057" s="106" t="str" cm="1">
        <f t="array" ref="W1057">IF(TRIM($K1057)="","(tidak diisi)",IFERROR(INDEX(Kamus!$K$3:$K$118,MATCH(TRUE,ISNUMBER(SEARCH(Kamus!$J$3:$J$118,$K1057)),0)),"Individu / Perorangan"))</f>
        <v>(tidak diisi)</v>
      </c>
      <c r="X1057" s="106" t="str">
        <f t="shared" si="49"/>
        <v>(tidak diisi)</v>
      </c>
      <c r="Y1057" s="106" t="str" cm="1">
        <f t="array" ref="Y1057">IFERROR(INDEX(Kamus!$N$3:$N$111,MATCH(TRUE,ISNUMBER(SEARCH(Kamus!$M$3:$M$111,$I1057)),0)),"")</f>
        <v/>
      </c>
      <c r="Z1057" s="106" t="str">
        <f>IF(AND(OR($X1057="02",$X1057="03",$X1057="04"),OR($T1057="Parsel/Bingkisan (tidak dirinci)",$T1057="Makanan &amp; Minuman",$T1057="Peralatan Rumah Tangga / Pecah Belah",$T1057="Pakaian &amp; Kain")),"Momen Hari Raya (dugaan musiman)",IFERROR(VLOOKUP($W1057,Kamus!$P$3:$Q$14,2,FALSE),"Tidak Teridentifikasi"))</f>
        <v>Tidak Teridentifikasi</v>
      </c>
      <c r="AA1057" s="106" t="str">
        <f t="shared" si="50"/>
        <v>Tidak Teridentifikasi</v>
      </c>
    </row>
    <row r="1058" spans="1:27">
      <c r="A1058" s="106">
        <v>1057</v>
      </c>
      <c r="B1058" s="106" t="s">
        <v>2661</v>
      </c>
      <c r="C1058" s="107" t="s">
        <v>2662</v>
      </c>
      <c r="D1058" s="106" t="s">
        <v>1033</v>
      </c>
      <c r="E1058" s="106" t="s">
        <v>2663</v>
      </c>
      <c r="F1058" s="106" t="s">
        <v>5896</v>
      </c>
      <c r="G1058" s="106" t="s">
        <v>1006</v>
      </c>
      <c r="H1058" s="106" t="s">
        <v>5897</v>
      </c>
      <c r="I1058" s="106" t="s">
        <v>3100</v>
      </c>
      <c r="J1058" s="106">
        <v>60000</v>
      </c>
      <c r="K1058" s="106" t="s">
        <v>5898</v>
      </c>
      <c r="L1058" s="106" t="s">
        <v>5899</v>
      </c>
      <c r="M1058" s="106" t="s">
        <v>1171</v>
      </c>
      <c r="N1058" s="106" t="s">
        <v>5900</v>
      </c>
      <c r="O1058" s="106" t="s">
        <v>274</v>
      </c>
      <c r="P1058" s="106" t="s">
        <v>2668</v>
      </c>
      <c r="Q1058" s="106" t="s">
        <v>395</v>
      </c>
      <c r="S1058" s="106" t="str" cm="1">
        <f t="array" ref="S1058">IF(TRIM($D1058)="","(tidak diisi)",IFERROR(INDEX(Kamus!$B$3:$B$28,MATCH(TRUE,ISNUMBER(SEARCH(Kamus!$A$3:$A$28,$D1058)),0)),"Jabatan Lainnya"))</f>
        <v>Hakim</v>
      </c>
      <c r="T1058" s="106" t="str" cm="1">
        <f t="array" ref="T1058">IF(TRIM($I1058)="","(tidak diisi)",IFERROR(INDEX(Kamus!$E$3:$E$162,MATCH(TRUE,ISNUMBER(SEARCH(Kamus!$D$3:$D$162,$I1058)),0)),"Barang Lain / Tidak Terinci"))</f>
        <v>Makanan &amp; Minuman</v>
      </c>
      <c r="U1058" s="106" t="str" cm="1">
        <f t="array" ref="U1058">IF(TRIM($I1058)="","(tidak diisi)",IFERROR(INDEX(Kamus!$H$3:$H$75,MATCH(TRUE,ISNUMBER(SEARCH(Kamus!$G$3:$G$75,$I1058)),0)),"Pemberian Umum / Tanpa Konteks"))</f>
        <v>Jamuan / Konsumsi Rapat &amp; Kegiatan</v>
      </c>
      <c r="V1058" s="106" t="str">
        <f t="shared" si="48"/>
        <v>2026</v>
      </c>
      <c r="W1058" s="106" t="str" cm="1">
        <f t="array" ref="W1058">IF(TRIM($K1058)="","(tidak diisi)",IFERROR(INDEX(Kamus!$K$3:$K$118,MATCH(TRUE,ISNUMBER(SEARCH(Kamus!$J$3:$J$118,$K1058)),0)),"Individu / Perorangan"))</f>
        <v>Individu / Perorangan</v>
      </c>
      <c r="X1058" s="106" t="str">
        <f t="shared" si="49"/>
        <v>06</v>
      </c>
      <c r="Y1058" s="106" t="str" cm="1">
        <f t="array" ref="Y1058">IFERROR(INDEX(Kamus!$N$3:$N$111,MATCH(TRUE,ISNUMBER(SEARCH(Kamus!$M$3:$M$111,$I1058)),0)),"")</f>
        <v>Rapat / Jamuan Dinas</v>
      </c>
      <c r="Z1058" s="106" t="str">
        <f>IF(AND(OR($X1058="02",$X1058="03",$X1058="04"),OR($T1058="Parsel/Bingkisan (tidak dirinci)",$T1058="Makanan &amp; Minuman",$T1058="Peralatan Rumah Tangga / Pecah Belah",$T1058="Pakaian &amp; Kain")),"Momen Hari Raya (dugaan musiman)",IFERROR(VLOOKUP($W1058,Kamus!$P$3:$Q$14,2,FALSE),"Tidak Teridentifikasi"))</f>
        <v>Relasi Personal / Tidak Teridentifikasi</v>
      </c>
      <c r="AA1058" s="106" t="str">
        <f t="shared" si="50"/>
        <v>Rapat / Jamuan Dinas</v>
      </c>
    </row>
    <row r="1059" spans="1:27">
      <c r="A1059" s="106">
        <v>1058</v>
      </c>
      <c r="B1059" s="106" t="s">
        <v>2724</v>
      </c>
      <c r="C1059" s="107" t="s">
        <v>2725</v>
      </c>
      <c r="D1059" s="106" t="s">
        <v>1042</v>
      </c>
      <c r="E1059" s="106" t="s">
        <v>2726</v>
      </c>
      <c r="F1059" s="106" t="s">
        <v>5901</v>
      </c>
      <c r="G1059" s="106" t="s">
        <v>1006</v>
      </c>
      <c r="H1059" s="106" t="s">
        <v>5902</v>
      </c>
      <c r="I1059" s="106" t="s">
        <v>1017</v>
      </c>
      <c r="J1059" s="106">
        <v>6117100</v>
      </c>
      <c r="K1059" s="106" t="s">
        <v>5903</v>
      </c>
      <c r="L1059" s="106" t="s">
        <v>5904</v>
      </c>
      <c r="M1059" s="106" t="s">
        <v>1020</v>
      </c>
      <c r="O1059" s="106" t="s">
        <v>274</v>
      </c>
      <c r="P1059" s="106" t="s">
        <v>2732</v>
      </c>
      <c r="Q1059" s="106" t="s">
        <v>428</v>
      </c>
      <c r="S1059" s="106" t="str" cm="1">
        <f t="array" ref="S1059">IF(TRIM($D1059)="","(tidak diisi)",IFERROR(INDEX(Kamus!$B$3:$B$28,MATCH(TRUE,ISNUMBER(SEARCH(Kamus!$A$3:$A$28,$D1059)),0)),"Jabatan Lainnya"))</f>
        <v>Ketua Pengadilan</v>
      </c>
      <c r="T1059" s="106" t="str" cm="1">
        <f t="array" ref="T1059">IF(TRIM($I1059)="","(tidak diisi)",IFERROR(INDEX(Kamus!$E$3:$E$162,MATCH(TRUE,ISNUMBER(SEARCH(Kamus!$D$3:$D$162,$I1059)),0)),"Barang Lain / Tidak Terinci"))</f>
        <v>Uang &amp; Setara Uang</v>
      </c>
      <c r="U1059" s="106" t="str" cm="1">
        <f t="array" ref="U1059">IF(TRIM($I1059)="","(tidak diisi)",IFERROR(INDEX(Kamus!$H$3:$H$75,MATCH(TRUE,ISNUMBER(SEARCH(Kamus!$G$3:$G$75,$I1059)),0)),"Pemberian Umum / Tanpa Konteks"))</f>
        <v>Pemberian Uang Langsung</v>
      </c>
      <c r="V1059" s="106" t="str">
        <f t="shared" si="48"/>
        <v>2026</v>
      </c>
      <c r="W1059" s="106" t="str" cm="1">
        <f t="array" ref="W1059">IF(TRIM($K1059)="","(tidak diisi)",IFERROR(INDEX(Kamus!$K$3:$K$118,MATCH(TRUE,ISNUMBER(SEARCH(Kamus!$J$3:$J$118,$K1059)),0)),"Individu / Perorangan"))</f>
        <v>Pemerintah Daerah</v>
      </c>
      <c r="X1059" s="106" t="str">
        <f t="shared" si="49"/>
        <v>06</v>
      </c>
      <c r="Y1059" s="106" t="str" cm="1">
        <f t="array" ref="Y1059">IFERROR(INDEX(Kamus!$N$3:$N$111,MATCH(TRUE,ISNUMBER(SEARCH(Kamus!$M$3:$M$111,$I1059)),0)),"")</f>
        <v/>
      </c>
      <c r="Z1059" s="106" t="str">
        <f>IF(AND(OR($X1059="02",$X1059="03",$X1059="04"),OR($T1059="Parsel/Bingkisan (tidak dirinci)",$T1059="Makanan &amp; Minuman",$T1059="Peralatan Rumah Tangga / Pecah Belah",$T1059="Pakaian &amp; Kain")),"Momen Hari Raya (dugaan musiman)",IFERROR(VLOOKUP($W1059,Kamus!$P$3:$Q$14,2,FALSE),"Tidak Teridentifikasi"))</f>
        <v>Koordinasi Antarinstansi (dugaan)</v>
      </c>
      <c r="AA1059" s="106" t="str">
        <f t="shared" si="50"/>
        <v>Koordinasi Antarinstansi (dugaan)</v>
      </c>
    </row>
    <row r="1060" spans="1:27">
      <c r="A1060" s="106">
        <v>1059</v>
      </c>
      <c r="B1060" s="106" t="s">
        <v>3011</v>
      </c>
      <c r="C1060" s="107" t="s">
        <v>3012</v>
      </c>
      <c r="D1060" s="106" t="s">
        <v>3013</v>
      </c>
      <c r="E1060" s="106" t="s">
        <v>2998</v>
      </c>
      <c r="F1060" s="106" t="s">
        <v>5905</v>
      </c>
      <c r="G1060" s="106" t="s">
        <v>1006</v>
      </c>
      <c r="H1060" s="106" t="s">
        <v>5906</v>
      </c>
      <c r="I1060" s="106" t="s">
        <v>1017</v>
      </c>
      <c r="J1060" s="106">
        <v>150000</v>
      </c>
      <c r="K1060" s="106" t="s">
        <v>3001</v>
      </c>
      <c r="L1060" s="106" t="s">
        <v>5907</v>
      </c>
      <c r="M1060" s="106" t="s">
        <v>1171</v>
      </c>
      <c r="N1060" s="106" t="s">
        <v>5908</v>
      </c>
      <c r="O1060" s="106" t="s">
        <v>274</v>
      </c>
      <c r="P1060" s="106" t="s">
        <v>3003</v>
      </c>
      <c r="Q1060" s="106" t="s">
        <v>430</v>
      </c>
      <c r="S1060" s="106" t="str" cm="1">
        <f t="array" ref="S1060">IF(TRIM($D1060)="","(tidak diisi)",IFERROR(INDEX(Kamus!$B$3:$B$28,MATCH(TRUE,ISNUMBER(SEARCH(Kamus!$A$3:$A$28,$D1060)),0)),"Jabatan Lainnya"))</f>
        <v>Jabatan Lainnya</v>
      </c>
      <c r="T1060" s="106" t="str" cm="1">
        <f t="array" ref="T1060">IF(TRIM($I1060)="","(tidak diisi)",IFERROR(INDEX(Kamus!$E$3:$E$162,MATCH(TRUE,ISNUMBER(SEARCH(Kamus!$D$3:$D$162,$I1060)),0)),"Barang Lain / Tidak Terinci"))</f>
        <v>Uang &amp; Setara Uang</v>
      </c>
      <c r="U1060" s="106" t="str" cm="1">
        <f t="array" ref="U1060">IF(TRIM($I1060)="","(tidak diisi)",IFERROR(INDEX(Kamus!$H$3:$H$75,MATCH(TRUE,ISNUMBER(SEARCH(Kamus!$G$3:$G$75,$I1060)),0)),"Pemberian Umum / Tanpa Konteks"))</f>
        <v>Pemberian Uang Langsung</v>
      </c>
      <c r="V1060" s="106" t="str">
        <f t="shared" si="48"/>
        <v>2026</v>
      </c>
      <c r="W1060" s="106" t="str" cm="1">
        <f t="array" ref="W1060">IF(TRIM($K1060)="","(tidak diisi)",IFERROR(INDEX(Kamus!$K$3:$K$118,MATCH(TRUE,ISNUMBER(SEARCH(Kamus!$J$3:$J$118,$K1060)),0)),"Individu / Perorangan"))</f>
        <v>Tidak Diketahui</v>
      </c>
      <c r="X1060" s="106" t="str">
        <f t="shared" si="49"/>
        <v>06</v>
      </c>
      <c r="Y1060" s="106" t="str" cm="1">
        <f t="array" ref="Y1060">IFERROR(INDEX(Kamus!$N$3:$N$111,MATCH(TRUE,ISNUMBER(SEARCH(Kamus!$M$3:$M$111,$I1060)),0)),"")</f>
        <v/>
      </c>
      <c r="Z1060" s="106" t="str">
        <f>IF(AND(OR($X1060="02",$X1060="03",$X1060="04"),OR($T1060="Parsel/Bingkisan (tidak dirinci)",$T1060="Makanan &amp; Minuman",$T1060="Peralatan Rumah Tangga / Pecah Belah",$T1060="Pakaian &amp; Kain")),"Momen Hari Raya (dugaan musiman)",IFERROR(VLOOKUP($W1060,Kamus!$P$3:$Q$14,2,FALSE),"Tidak Teridentifikasi"))</f>
        <v>Pemberi Tidak Diketahui</v>
      </c>
      <c r="AA1060" s="106" t="str">
        <f t="shared" si="50"/>
        <v>Pemberi Tidak Diketahui</v>
      </c>
    </row>
    <row r="1061" spans="1:27">
      <c r="A1061" s="106">
        <v>1060</v>
      </c>
      <c r="B1061" s="106" t="s">
        <v>2168</v>
      </c>
      <c r="C1061" s="107" t="s">
        <v>2169</v>
      </c>
      <c r="D1061" s="106" t="s">
        <v>2170</v>
      </c>
      <c r="E1061" s="106" t="s">
        <v>1005</v>
      </c>
      <c r="F1061" s="106" t="s">
        <v>5909</v>
      </c>
      <c r="G1061" s="106" t="s">
        <v>1006</v>
      </c>
      <c r="H1061" s="106" t="s">
        <v>5776</v>
      </c>
      <c r="I1061" s="106" t="s">
        <v>5910</v>
      </c>
      <c r="J1061" s="106">
        <v>100000</v>
      </c>
      <c r="K1061" s="106" t="s">
        <v>3727</v>
      </c>
      <c r="L1061" s="106" t="s">
        <v>5911</v>
      </c>
      <c r="M1061" s="106" t="s">
        <v>1020</v>
      </c>
      <c r="O1061" s="106" t="s">
        <v>274</v>
      </c>
      <c r="S1061" s="106" t="str" cm="1">
        <f t="array" ref="S1061">IF(TRIM($D1061)="","(tidak diisi)",IFERROR(INDEX(Kamus!$B$3:$B$28,MATCH(TRUE,ISNUMBER(SEARCH(Kamus!$A$3:$A$28,$D1061)),0)),"Jabatan Lainnya"))</f>
        <v>Pejabat Struktural (Kasubbag/Kabag)</v>
      </c>
      <c r="T1061" s="106" t="str" cm="1">
        <f t="array" ref="T1061">IF(TRIM($I1061)="","(tidak diisi)",IFERROR(INDEX(Kamus!$E$3:$E$162,MATCH(TRUE,ISNUMBER(SEARCH(Kamus!$D$3:$D$162,$I1061)),0)),"Barang Lain / Tidak Terinci"))</f>
        <v>Suvenir &amp; Merchandise</v>
      </c>
      <c r="U1061" s="106" t="str" cm="1">
        <f t="array" ref="U1061">IF(TRIM($I1061)="","(tidak diisi)",IFERROR(INDEX(Kamus!$H$3:$H$75,MATCH(TRUE,ISNUMBER(SEARCH(Kamus!$G$3:$G$75,$I1061)),0)),"Pemberian Umum / Tanpa Konteks"))</f>
        <v>Pemberian Umum / Tanpa Konteks</v>
      </c>
      <c r="V1061" s="106" t="str">
        <f t="shared" si="48"/>
        <v>2026</v>
      </c>
      <c r="W1061" s="106" t="str" cm="1">
        <f t="array" ref="W1061">IF(TRIM($K1061)="","(tidak diisi)",IFERROR(INDEX(Kamus!$K$3:$K$118,MATCH(TRUE,ISNUMBER(SEARCH(Kamus!$J$3:$J$118,$K1061)),0)),"Individu / Perorangan"))</f>
        <v>Individu / Perorangan</v>
      </c>
      <c r="X1061" s="106" t="str">
        <f t="shared" si="49"/>
        <v>05</v>
      </c>
      <c r="Y1061" s="106" t="str" cm="1">
        <f t="array" ref="Y1061">IFERROR(INDEX(Kamus!$N$3:$N$111,MATCH(TRUE,ISNUMBER(SEARCH(Kamus!$M$3:$M$111,$I1061)),0)),"")</f>
        <v/>
      </c>
      <c r="Z1061" s="106" t="str">
        <f>IF(AND(OR($X1061="02",$X1061="03",$X1061="04"),OR($T1061="Parsel/Bingkisan (tidak dirinci)",$T1061="Makanan &amp; Minuman",$T1061="Peralatan Rumah Tangga / Pecah Belah",$T1061="Pakaian &amp; Kain")),"Momen Hari Raya (dugaan musiman)",IFERROR(VLOOKUP($W1061,Kamus!$P$3:$Q$14,2,FALSE),"Tidak Teridentifikasi"))</f>
        <v>Relasi Personal / Tidak Teridentifikasi</v>
      </c>
      <c r="AA1061" s="106" t="str">
        <f t="shared" si="50"/>
        <v>Relasi Personal / Tidak Teridentifikasi</v>
      </c>
    </row>
    <row r="1062" spans="1:27">
      <c r="A1062" s="106">
        <v>1061</v>
      </c>
      <c r="B1062" s="106" t="s">
        <v>1022</v>
      </c>
      <c r="C1062" s="107" t="s">
        <v>1023</v>
      </c>
      <c r="D1062" s="106" t="s">
        <v>1024</v>
      </c>
      <c r="E1062" s="106" t="s">
        <v>1025</v>
      </c>
      <c r="F1062" s="106" t="s">
        <v>5912</v>
      </c>
      <c r="G1062" s="106" t="s">
        <v>1006</v>
      </c>
      <c r="H1062" s="106" t="s">
        <v>5906</v>
      </c>
      <c r="I1062" s="106" t="s">
        <v>5913</v>
      </c>
      <c r="J1062" s="106">
        <v>150000</v>
      </c>
      <c r="K1062" s="106" t="s">
        <v>5914</v>
      </c>
      <c r="L1062" s="106" t="s">
        <v>5915</v>
      </c>
      <c r="M1062" s="106" t="s">
        <v>1039</v>
      </c>
      <c r="O1062" s="106" t="s">
        <v>274</v>
      </c>
      <c r="P1062" s="106" t="s">
        <v>561</v>
      </c>
      <c r="Q1062" s="106" t="s">
        <v>428</v>
      </c>
      <c r="S1062" s="106" t="str" cm="1">
        <f t="array" ref="S1062">IF(TRIM($D1062)="","(tidak diisi)",IFERROR(INDEX(Kamus!$B$3:$B$28,MATCH(TRUE,ISNUMBER(SEARCH(Kamus!$A$3:$A$28,$D1062)),0)),"Jabatan Lainnya"))</f>
        <v>Sekretaris</v>
      </c>
      <c r="T1062" s="106" t="str" cm="1">
        <f t="array" ref="T1062">IF(TRIM($I1062)="","(tidak diisi)",IFERROR(INDEX(Kamus!$E$3:$E$162,MATCH(TRUE,ISNUMBER(SEARCH(Kamus!$D$3:$D$162,$I1062)),0)),"Barang Lain / Tidak Terinci"))</f>
        <v>Suvenir &amp; Merchandise</v>
      </c>
      <c r="U1062" s="106" t="str" cm="1">
        <f t="array" ref="U1062">IF(TRIM($I1062)="","(tidak diisi)",IFERROR(INDEX(Kamus!$H$3:$H$75,MATCH(TRUE,ISNUMBER(SEARCH(Kamus!$G$3:$G$75,$I1062)),0)),"Pemberian Umum / Tanpa Konteks"))</f>
        <v>Suvenir / Merchandise Kegiatan &amp; Kunjungan</v>
      </c>
      <c r="V1062" s="106" t="str">
        <f t="shared" si="48"/>
        <v>2026</v>
      </c>
      <c r="W1062" s="106" t="str" cm="1">
        <f t="array" ref="W1062">IF(TRIM($K1062)="","(tidak diisi)",IFERROR(INDEX(Kamus!$K$3:$K$118,MATCH(TRUE,ISNUMBER(SEARCH(Kamus!$J$3:$J$118,$K1062)),0)),"Individu / Perorangan"))</f>
        <v>Individu / Perorangan</v>
      </c>
      <c r="X1062" s="106" t="str">
        <f t="shared" si="49"/>
        <v>06</v>
      </c>
      <c r="Y1062" s="106" t="str" cm="1">
        <f t="array" ref="Y1062">IFERROR(INDEX(Kamus!$N$3:$N$111,MATCH(TRUE,ISNUMBER(SEARCH(Kamus!$M$3:$M$111,$I1062)),0)),"")</f>
        <v/>
      </c>
      <c r="Z1062" s="106" t="str">
        <f>IF(AND(OR($X1062="02",$X1062="03",$X1062="04"),OR($T1062="Parsel/Bingkisan (tidak dirinci)",$T1062="Makanan &amp; Minuman",$T1062="Peralatan Rumah Tangga / Pecah Belah",$T1062="Pakaian &amp; Kain")),"Momen Hari Raya (dugaan musiman)",IFERROR(VLOOKUP($W1062,Kamus!$P$3:$Q$14,2,FALSE),"Tidak Teridentifikasi"))</f>
        <v>Relasi Personal / Tidak Teridentifikasi</v>
      </c>
      <c r="AA1062" s="106" t="str">
        <f t="shared" si="50"/>
        <v>Relasi Personal / Tidak Teridentifikasi</v>
      </c>
    </row>
    <row r="1063" spans="1:27">
      <c r="A1063" s="106">
        <v>1062</v>
      </c>
      <c r="B1063" s="106" t="s">
        <v>5916</v>
      </c>
      <c r="C1063" s="107" t="s">
        <v>5917</v>
      </c>
      <c r="D1063" s="106" t="s">
        <v>1033</v>
      </c>
      <c r="E1063" s="106" t="s">
        <v>5918</v>
      </c>
      <c r="G1063" s="106" t="s">
        <v>1074</v>
      </c>
      <c r="L1063" s="106" t="s">
        <v>5919</v>
      </c>
      <c r="O1063" s="106" t="s">
        <v>274</v>
      </c>
      <c r="P1063" s="106" t="s">
        <v>5920</v>
      </c>
      <c r="Q1063" s="106" t="s">
        <v>416</v>
      </c>
      <c r="S1063" s="106" t="str" cm="1">
        <f t="array" ref="S1063">IF(TRIM($D1063)="","(tidak diisi)",IFERROR(INDEX(Kamus!$B$3:$B$28,MATCH(TRUE,ISNUMBER(SEARCH(Kamus!$A$3:$A$28,$D1063)),0)),"Jabatan Lainnya"))</f>
        <v>Hakim</v>
      </c>
      <c r="T1063" s="106" t="str" cm="1">
        <f t="array" ref="T1063">IF(TRIM($I1063)="","(tidak diisi)",IFERROR(INDEX(Kamus!$E$3:$E$162,MATCH(TRUE,ISNUMBER(SEARCH(Kamus!$D$3:$D$162,$I1063)),0)),"Barang Lain / Tidak Terinci"))</f>
        <v>(tidak diisi)</v>
      </c>
      <c r="U1063" s="106" t="str" cm="1">
        <f t="array" ref="U1063">IF(TRIM($I1063)="","(tidak diisi)",IFERROR(INDEX(Kamus!$H$3:$H$75,MATCH(TRUE,ISNUMBER(SEARCH(Kamus!$G$3:$G$75,$I1063)),0)),"Pemberian Umum / Tanpa Konteks"))</f>
        <v>(tidak diisi)</v>
      </c>
      <c r="V1063" s="106" t="str">
        <f t="shared" si="48"/>
        <v>(tidak diisi)</v>
      </c>
      <c r="W1063" s="106" t="str" cm="1">
        <f t="array" ref="W1063">IF(TRIM($K1063)="","(tidak diisi)",IFERROR(INDEX(Kamus!$K$3:$K$118,MATCH(TRUE,ISNUMBER(SEARCH(Kamus!$J$3:$J$118,$K1063)),0)),"Individu / Perorangan"))</f>
        <v>(tidak diisi)</v>
      </c>
      <c r="X1063" s="106" t="str">
        <f t="shared" si="49"/>
        <v>(tidak diisi)</v>
      </c>
      <c r="Y1063" s="106" t="str" cm="1">
        <f t="array" ref="Y1063">IFERROR(INDEX(Kamus!$N$3:$N$111,MATCH(TRUE,ISNUMBER(SEARCH(Kamus!$M$3:$M$111,$I1063)),0)),"")</f>
        <v/>
      </c>
      <c r="Z1063" s="106" t="str">
        <f>IF(AND(OR($X1063="02",$X1063="03",$X1063="04"),OR($T1063="Parsel/Bingkisan (tidak dirinci)",$T1063="Makanan &amp; Minuman",$T1063="Peralatan Rumah Tangga / Pecah Belah",$T1063="Pakaian &amp; Kain")),"Momen Hari Raya (dugaan musiman)",IFERROR(VLOOKUP($W1063,Kamus!$P$3:$Q$14,2,FALSE),"Tidak Teridentifikasi"))</f>
        <v>Tidak Teridentifikasi</v>
      </c>
      <c r="AA1063" s="106" t="str">
        <f t="shared" si="50"/>
        <v>Tidak Teridentifikasi</v>
      </c>
    </row>
    <row r="1064" spans="1:27">
      <c r="A1064" s="106">
        <v>1063</v>
      </c>
      <c r="B1064" s="106" t="s">
        <v>1292</v>
      </c>
      <c r="C1064" s="107" t="s">
        <v>1293</v>
      </c>
      <c r="D1064" s="106" t="s">
        <v>1024</v>
      </c>
      <c r="E1064" s="106" t="s">
        <v>1294</v>
      </c>
      <c r="F1064" s="106" t="s">
        <v>5921</v>
      </c>
      <c r="G1064" s="106" t="s">
        <v>1006</v>
      </c>
      <c r="H1064" s="106" t="s">
        <v>5922</v>
      </c>
      <c r="I1064" s="106" t="s">
        <v>5923</v>
      </c>
      <c r="J1064" s="106">
        <v>80000</v>
      </c>
      <c r="K1064" s="106" t="s">
        <v>4729</v>
      </c>
      <c r="L1064" s="106" t="s">
        <v>5924</v>
      </c>
      <c r="M1064" s="106" t="s">
        <v>1039</v>
      </c>
      <c r="O1064" s="106" t="s">
        <v>274</v>
      </c>
      <c r="P1064" s="106" t="s">
        <v>1298</v>
      </c>
      <c r="Q1064" s="106" t="s">
        <v>428</v>
      </c>
      <c r="S1064" s="106" t="str" cm="1">
        <f t="array" ref="S1064">IF(TRIM($D1064)="","(tidak diisi)",IFERROR(INDEX(Kamus!$B$3:$B$28,MATCH(TRUE,ISNUMBER(SEARCH(Kamus!$A$3:$A$28,$D1064)),0)),"Jabatan Lainnya"))</f>
        <v>Sekretaris</v>
      </c>
      <c r="T1064" s="106" t="str" cm="1">
        <f t="array" ref="T1064">IF(TRIM($I1064)="","(tidak diisi)",IFERROR(INDEX(Kamus!$E$3:$E$162,MATCH(TRUE,ISNUMBER(SEARCH(Kamus!$D$3:$D$162,$I1064)),0)),"Barang Lain / Tidak Terinci"))</f>
        <v>Buku &amp; Publikasi</v>
      </c>
      <c r="U1064" s="106" t="str" cm="1">
        <f t="array" ref="U1064">IF(TRIM($I1064)="","(tidak diisi)",IFERROR(INDEX(Kamus!$H$3:$H$75,MATCH(TRUE,ISNUMBER(SEARCH(Kamus!$G$3:$G$75,$I1064)),0)),"Pemberian Umum / Tanpa Konteks"))</f>
        <v>Pemberian Umum / Tanpa Konteks</v>
      </c>
      <c r="V1064" s="106" t="str">
        <f t="shared" si="48"/>
        <v>2026</v>
      </c>
      <c r="W1064" s="106" t="str" cm="1">
        <f t="array" ref="W1064">IF(TRIM($K1064)="","(tidak diisi)",IFERROR(INDEX(Kamus!$K$3:$K$118,MATCH(TRUE,ISNUMBER(SEARCH(Kamus!$J$3:$J$118,$K1064)),0)),"Individu / Perorangan"))</f>
        <v>Individu / Perorangan</v>
      </c>
      <c r="X1064" s="106" t="str">
        <f t="shared" si="49"/>
        <v>06</v>
      </c>
      <c r="Y1064" s="106" t="str" cm="1">
        <f t="array" ref="Y1064">IFERROR(INDEX(Kamus!$N$3:$N$111,MATCH(TRUE,ISNUMBER(SEARCH(Kamus!$M$3:$M$111,$I1064)),0)),"")</f>
        <v/>
      </c>
      <c r="Z1064" s="106" t="str">
        <f>IF(AND(OR($X1064="02",$X1064="03",$X1064="04"),OR($T1064="Parsel/Bingkisan (tidak dirinci)",$T1064="Makanan &amp; Minuman",$T1064="Peralatan Rumah Tangga / Pecah Belah",$T1064="Pakaian &amp; Kain")),"Momen Hari Raya (dugaan musiman)",IFERROR(VLOOKUP($W1064,Kamus!$P$3:$Q$14,2,FALSE),"Tidak Teridentifikasi"))</f>
        <v>Relasi Personal / Tidak Teridentifikasi</v>
      </c>
      <c r="AA1064" s="106" t="str">
        <f t="shared" si="50"/>
        <v>Relasi Personal / Tidak Teridentifikasi</v>
      </c>
    </row>
    <row r="1065" spans="1:27">
      <c r="A1065" s="106">
        <v>1064</v>
      </c>
      <c r="B1065" s="106" t="s">
        <v>1278</v>
      </c>
      <c r="C1065" s="107" t="s">
        <v>1279</v>
      </c>
      <c r="D1065" s="106" t="s">
        <v>1024</v>
      </c>
      <c r="E1065" s="106" t="s">
        <v>1280</v>
      </c>
      <c r="F1065" s="106" t="s">
        <v>5925</v>
      </c>
      <c r="G1065" s="106" t="s">
        <v>1006</v>
      </c>
      <c r="H1065" s="106" t="s">
        <v>5906</v>
      </c>
      <c r="I1065" s="106" t="s">
        <v>5926</v>
      </c>
      <c r="J1065" s="106">
        <v>100000</v>
      </c>
      <c r="K1065" s="106" t="s">
        <v>468</v>
      </c>
      <c r="L1065" s="106" t="s">
        <v>5927</v>
      </c>
      <c r="M1065" s="106" t="s">
        <v>1039</v>
      </c>
      <c r="O1065" s="106" t="s">
        <v>274</v>
      </c>
      <c r="P1065" s="106" t="s">
        <v>1284</v>
      </c>
      <c r="Q1065" s="106" t="s">
        <v>428</v>
      </c>
      <c r="S1065" s="106" t="str" cm="1">
        <f t="array" ref="S1065">IF(TRIM($D1065)="","(tidak diisi)",IFERROR(INDEX(Kamus!$B$3:$B$28,MATCH(TRUE,ISNUMBER(SEARCH(Kamus!$A$3:$A$28,$D1065)),0)),"Jabatan Lainnya"))</f>
        <v>Sekretaris</v>
      </c>
      <c r="T1065" s="106" t="str" cm="1">
        <f t="array" ref="T1065">IF(TRIM($I1065)="","(tidak diisi)",IFERROR(INDEX(Kamus!$E$3:$E$162,MATCH(TRUE,ISNUMBER(SEARCH(Kamus!$D$3:$D$162,$I1065)),0)),"Barang Lain / Tidak Terinci"))</f>
        <v>Suvenir &amp; Merchandise</v>
      </c>
      <c r="U1065" s="106" t="str" cm="1">
        <f t="array" ref="U1065">IF(TRIM($I1065)="","(tidak diisi)",IFERROR(INDEX(Kamus!$H$3:$H$75,MATCH(TRUE,ISNUMBER(SEARCH(Kamus!$G$3:$G$75,$I1065)),0)),"Pemberian Umum / Tanpa Konteks"))</f>
        <v>Pemberian Umum / Tanpa Konteks</v>
      </c>
      <c r="V1065" s="106" t="str">
        <f t="shared" si="48"/>
        <v>2026</v>
      </c>
      <c r="W1065" s="106" t="str" cm="1">
        <f t="array" ref="W1065">IF(TRIM($K1065)="","(tidak diisi)",IFERROR(INDEX(Kamus!$K$3:$K$118,MATCH(TRUE,ISNUMBER(SEARCH(Kamus!$J$3:$J$118,$K1065)),0)),"Individu / Perorangan"))</f>
        <v>Individu / Perorangan</v>
      </c>
      <c r="X1065" s="106" t="str">
        <f t="shared" si="49"/>
        <v>06</v>
      </c>
      <c r="Y1065" s="106" t="str" cm="1">
        <f t="array" ref="Y1065">IFERROR(INDEX(Kamus!$N$3:$N$111,MATCH(TRUE,ISNUMBER(SEARCH(Kamus!$M$3:$M$111,$I1065)),0)),"")</f>
        <v/>
      </c>
      <c r="Z1065" s="106" t="str">
        <f>IF(AND(OR($X1065="02",$X1065="03",$X1065="04"),OR($T1065="Parsel/Bingkisan (tidak dirinci)",$T1065="Makanan &amp; Minuman",$T1065="Peralatan Rumah Tangga / Pecah Belah",$T1065="Pakaian &amp; Kain")),"Momen Hari Raya (dugaan musiman)",IFERROR(VLOOKUP($W1065,Kamus!$P$3:$Q$14,2,FALSE),"Tidak Teridentifikasi"))</f>
        <v>Relasi Personal / Tidak Teridentifikasi</v>
      </c>
      <c r="AA1065" s="106" t="str">
        <f t="shared" si="50"/>
        <v>Relasi Personal / Tidak Teridentifikasi</v>
      </c>
    </row>
    <row r="1066" spans="1:27">
      <c r="A1066" s="106">
        <v>1065</v>
      </c>
      <c r="B1066" s="106" t="s">
        <v>5928</v>
      </c>
      <c r="C1066" s="107" t="s">
        <v>5929</v>
      </c>
      <c r="D1066" s="106" t="s">
        <v>1042</v>
      </c>
      <c r="E1066" s="106" t="s">
        <v>5930</v>
      </c>
      <c r="F1066" s="106" t="s">
        <v>5931</v>
      </c>
      <c r="G1066" s="106" t="s">
        <v>1006</v>
      </c>
      <c r="H1066" s="106" t="s">
        <v>5932</v>
      </c>
      <c r="I1066" s="106" t="s">
        <v>5933</v>
      </c>
      <c r="J1066" s="106">
        <v>1185000</v>
      </c>
      <c r="K1066" s="106" t="s">
        <v>3001</v>
      </c>
      <c r="L1066" s="106" t="s">
        <v>5934</v>
      </c>
      <c r="M1066" s="106" t="s">
        <v>1171</v>
      </c>
      <c r="N1066" s="106" t="s">
        <v>5935</v>
      </c>
      <c r="O1066" s="106" t="s">
        <v>274</v>
      </c>
      <c r="P1066" s="106" t="s">
        <v>2872</v>
      </c>
      <c r="Q1066" s="106" t="s">
        <v>431</v>
      </c>
      <c r="S1066" s="106" t="str" cm="1">
        <f t="array" ref="S1066">IF(TRIM($D1066)="","(tidak diisi)",IFERROR(INDEX(Kamus!$B$3:$B$28,MATCH(TRUE,ISNUMBER(SEARCH(Kamus!$A$3:$A$28,$D1066)),0)),"Jabatan Lainnya"))</f>
        <v>Ketua Pengadilan</v>
      </c>
      <c r="T1066" s="106" t="str" cm="1">
        <f t="array" ref="T1066">IF(TRIM($I1066)="","(tidak diisi)",IFERROR(INDEX(Kamus!$E$3:$E$162,MATCH(TRUE,ISNUMBER(SEARCH(Kamus!$D$3:$D$162,$I1066)),0)),"Barang Lain / Tidak Terinci"))</f>
        <v>Pakaian &amp; Kain</v>
      </c>
      <c r="U1066" s="106" t="str" cm="1">
        <f t="array" ref="U1066">IF(TRIM($I1066)="","(tidak diisi)",IFERROR(INDEX(Kamus!$H$3:$H$75,MATCH(TRUE,ISNUMBER(SEARCH(Kamus!$G$3:$G$75,$I1066)),0)),"Pemberian Umum / Tanpa Konteks"))</f>
        <v>Pemberian Umum / Tanpa Konteks</v>
      </c>
      <c r="V1066" s="106" t="str">
        <f t="shared" si="48"/>
        <v>2026</v>
      </c>
      <c r="W1066" s="106" t="str" cm="1">
        <f t="array" ref="W1066">IF(TRIM($K1066)="","(tidak diisi)",IFERROR(INDEX(Kamus!$K$3:$K$118,MATCH(TRUE,ISNUMBER(SEARCH(Kamus!$J$3:$J$118,$K1066)),0)),"Individu / Perorangan"))</f>
        <v>Tidak Diketahui</v>
      </c>
      <c r="X1066" s="106" t="str">
        <f t="shared" si="49"/>
        <v>06</v>
      </c>
      <c r="Y1066" s="106" t="str" cm="1">
        <f t="array" ref="Y1066">IFERROR(INDEX(Kamus!$N$3:$N$111,MATCH(TRUE,ISNUMBER(SEARCH(Kamus!$M$3:$M$111,$I1066)),0)),"")</f>
        <v/>
      </c>
      <c r="Z1066" s="106" t="str">
        <f>IF(AND(OR($X1066="02",$X1066="03",$X1066="04"),OR($T1066="Parsel/Bingkisan (tidak dirinci)",$T1066="Makanan &amp; Minuman",$T1066="Peralatan Rumah Tangga / Pecah Belah",$T1066="Pakaian &amp; Kain")),"Momen Hari Raya (dugaan musiman)",IFERROR(VLOOKUP($W1066,Kamus!$P$3:$Q$14,2,FALSE),"Tidak Teridentifikasi"))</f>
        <v>Pemberi Tidak Diketahui</v>
      </c>
      <c r="AA1066" s="106" t="str">
        <f t="shared" si="50"/>
        <v>Pemberi Tidak Diketahui</v>
      </c>
    </row>
    <row r="1067" spans="1:27">
      <c r="A1067" s="106">
        <v>1066</v>
      </c>
      <c r="B1067" s="106" t="s">
        <v>5928</v>
      </c>
      <c r="C1067" s="107" t="s">
        <v>5929</v>
      </c>
      <c r="D1067" s="106" t="s">
        <v>1042</v>
      </c>
      <c r="E1067" s="106" t="s">
        <v>5930</v>
      </c>
      <c r="F1067" s="106" t="s">
        <v>5931</v>
      </c>
      <c r="G1067" s="106" t="s">
        <v>1006</v>
      </c>
      <c r="H1067" s="106" t="s">
        <v>5932</v>
      </c>
      <c r="I1067" s="106" t="s">
        <v>5936</v>
      </c>
      <c r="J1067" s="106">
        <v>10000</v>
      </c>
      <c r="K1067" s="106" t="s">
        <v>3001</v>
      </c>
      <c r="L1067" s="106" t="s">
        <v>5934</v>
      </c>
      <c r="M1067" s="106" t="s">
        <v>2529</v>
      </c>
      <c r="N1067" s="106" t="s">
        <v>5935</v>
      </c>
      <c r="O1067" s="106" t="s">
        <v>274</v>
      </c>
      <c r="P1067" s="106" t="s">
        <v>2872</v>
      </c>
      <c r="Q1067" s="106" t="s">
        <v>431</v>
      </c>
      <c r="S1067" s="106" t="str" cm="1">
        <f t="array" ref="S1067">IF(TRIM($D1067)="","(tidak diisi)",IFERROR(INDEX(Kamus!$B$3:$B$28,MATCH(TRUE,ISNUMBER(SEARCH(Kamus!$A$3:$A$28,$D1067)),0)),"Jabatan Lainnya"))</f>
        <v>Ketua Pengadilan</v>
      </c>
      <c r="T1067" s="106" t="str" cm="1">
        <f t="array" ref="T1067">IF(TRIM($I1067)="","(tidak diisi)",IFERROR(INDEX(Kamus!$E$3:$E$162,MATCH(TRUE,ISNUMBER(SEARCH(Kamus!$D$3:$D$162,$I1067)),0)),"Barang Lain / Tidak Terinci"))</f>
        <v>Makanan &amp; Minuman</v>
      </c>
      <c r="U1067" s="106" t="str" cm="1">
        <f t="array" ref="U1067">IF(TRIM($I1067)="","(tidak diisi)",IFERROR(INDEX(Kamus!$H$3:$H$75,MATCH(TRUE,ISNUMBER(SEARCH(Kamus!$G$3:$G$75,$I1067)),0)),"Pemberian Umum / Tanpa Konteks"))</f>
        <v>Pemberian Umum / Tanpa Konteks</v>
      </c>
      <c r="V1067" s="106" t="str">
        <f t="shared" si="48"/>
        <v>2026</v>
      </c>
      <c r="W1067" s="106" t="str" cm="1">
        <f t="array" ref="W1067">IF(TRIM($K1067)="","(tidak diisi)",IFERROR(INDEX(Kamus!$K$3:$K$118,MATCH(TRUE,ISNUMBER(SEARCH(Kamus!$J$3:$J$118,$K1067)),0)),"Individu / Perorangan"))</f>
        <v>Tidak Diketahui</v>
      </c>
      <c r="X1067" s="106" t="str">
        <f t="shared" si="49"/>
        <v>06</v>
      </c>
      <c r="Y1067" s="106" t="str" cm="1">
        <f t="array" ref="Y1067">IFERROR(INDEX(Kamus!$N$3:$N$111,MATCH(TRUE,ISNUMBER(SEARCH(Kamus!$M$3:$M$111,$I1067)),0)),"")</f>
        <v/>
      </c>
      <c r="Z1067" s="106" t="str">
        <f>IF(AND(OR($X1067="02",$X1067="03",$X1067="04"),OR($T1067="Parsel/Bingkisan (tidak dirinci)",$T1067="Makanan &amp; Minuman",$T1067="Peralatan Rumah Tangga / Pecah Belah",$T1067="Pakaian &amp; Kain")),"Momen Hari Raya (dugaan musiman)",IFERROR(VLOOKUP($W1067,Kamus!$P$3:$Q$14,2,FALSE),"Tidak Teridentifikasi"))</f>
        <v>Pemberi Tidak Diketahui</v>
      </c>
      <c r="AA1067" s="106" t="str">
        <f t="shared" si="50"/>
        <v>Pemberi Tidak Diketahui</v>
      </c>
    </row>
    <row r="1068" spans="1:27">
      <c r="A1068" s="106">
        <v>1067</v>
      </c>
      <c r="B1068" s="106" t="s">
        <v>5937</v>
      </c>
      <c r="C1068" s="107" t="s">
        <v>5938</v>
      </c>
      <c r="D1068" s="106" t="s">
        <v>1160</v>
      </c>
      <c r="E1068" s="106" t="s">
        <v>5939</v>
      </c>
      <c r="G1068" s="106" t="s">
        <v>1074</v>
      </c>
      <c r="L1068" s="106" t="s">
        <v>5940</v>
      </c>
      <c r="O1068" s="106" t="s">
        <v>274</v>
      </c>
      <c r="P1068" s="106" t="s">
        <v>5941</v>
      </c>
      <c r="Q1068" s="106" t="s">
        <v>415</v>
      </c>
      <c r="S1068" s="106" t="str" cm="1">
        <f t="array" ref="S1068">IF(TRIM($D1068)="","(tidak diisi)",IFERROR(INDEX(Kamus!$B$3:$B$28,MATCH(TRUE,ISNUMBER(SEARCH(Kamus!$A$3:$A$28,$D1068)),0)),"Jabatan Lainnya"))</f>
        <v>Panitera</v>
      </c>
      <c r="T1068" s="106" t="str" cm="1">
        <f t="array" ref="T1068">IF(TRIM($I1068)="","(tidak diisi)",IFERROR(INDEX(Kamus!$E$3:$E$162,MATCH(TRUE,ISNUMBER(SEARCH(Kamus!$D$3:$D$162,$I1068)),0)),"Barang Lain / Tidak Terinci"))</f>
        <v>(tidak diisi)</v>
      </c>
      <c r="U1068" s="106" t="str" cm="1">
        <f t="array" ref="U1068">IF(TRIM($I1068)="","(tidak diisi)",IFERROR(INDEX(Kamus!$H$3:$H$75,MATCH(TRUE,ISNUMBER(SEARCH(Kamus!$G$3:$G$75,$I1068)),0)),"Pemberian Umum / Tanpa Konteks"))</f>
        <v>(tidak diisi)</v>
      </c>
      <c r="V1068" s="106" t="str">
        <f t="shared" si="48"/>
        <v>(tidak diisi)</v>
      </c>
      <c r="W1068" s="106" t="str" cm="1">
        <f t="array" ref="W1068">IF(TRIM($K1068)="","(tidak diisi)",IFERROR(INDEX(Kamus!$K$3:$K$118,MATCH(TRUE,ISNUMBER(SEARCH(Kamus!$J$3:$J$118,$K1068)),0)),"Individu / Perorangan"))</f>
        <v>(tidak diisi)</v>
      </c>
      <c r="X1068" s="106" t="str">
        <f t="shared" si="49"/>
        <v>(tidak diisi)</v>
      </c>
      <c r="Y1068" s="106" t="str" cm="1">
        <f t="array" ref="Y1068">IFERROR(INDEX(Kamus!$N$3:$N$111,MATCH(TRUE,ISNUMBER(SEARCH(Kamus!$M$3:$M$111,$I1068)),0)),"")</f>
        <v/>
      </c>
      <c r="Z1068" s="106" t="str">
        <f>IF(AND(OR($X1068="02",$X1068="03",$X1068="04"),OR($T1068="Parsel/Bingkisan (tidak dirinci)",$T1068="Makanan &amp; Minuman",$T1068="Peralatan Rumah Tangga / Pecah Belah",$T1068="Pakaian &amp; Kain")),"Momen Hari Raya (dugaan musiman)",IFERROR(VLOOKUP($W1068,Kamus!$P$3:$Q$14,2,FALSE),"Tidak Teridentifikasi"))</f>
        <v>Tidak Teridentifikasi</v>
      </c>
      <c r="AA1068" s="106" t="str">
        <f t="shared" si="50"/>
        <v>Tidak Teridentifikasi</v>
      </c>
    </row>
    <row r="1069" spans="1:27">
      <c r="A1069" s="106">
        <v>1068</v>
      </c>
      <c r="B1069" s="106" t="s">
        <v>5942</v>
      </c>
      <c r="C1069" s="107" t="s">
        <v>5943</v>
      </c>
      <c r="D1069" s="106" t="s">
        <v>1024</v>
      </c>
      <c r="E1069" s="106" t="s">
        <v>1005</v>
      </c>
      <c r="F1069" s="106" t="s">
        <v>5944</v>
      </c>
      <c r="G1069" s="106" t="s">
        <v>1006</v>
      </c>
      <c r="H1069" s="106" t="s">
        <v>5906</v>
      </c>
      <c r="I1069" s="106" t="s">
        <v>5945</v>
      </c>
      <c r="K1069" s="106" t="s">
        <v>4729</v>
      </c>
      <c r="L1069" s="106" t="s">
        <v>5946</v>
      </c>
      <c r="O1069" s="106" t="s">
        <v>274</v>
      </c>
      <c r="S1069" s="106" t="str" cm="1">
        <f t="array" ref="S1069">IF(TRIM($D1069)="","(tidak diisi)",IFERROR(INDEX(Kamus!$B$3:$B$28,MATCH(TRUE,ISNUMBER(SEARCH(Kamus!$A$3:$A$28,$D1069)),0)),"Jabatan Lainnya"))</f>
        <v>Sekretaris</v>
      </c>
      <c r="T1069" s="106" t="str" cm="1">
        <f t="array" ref="T1069">IF(TRIM($I1069)="","(tidak diisi)",IFERROR(INDEX(Kamus!$E$3:$E$162,MATCH(TRUE,ISNUMBER(SEARCH(Kamus!$D$3:$D$162,$I1069)),0)),"Barang Lain / Tidak Terinci"))</f>
        <v>Buku &amp; Publikasi</v>
      </c>
      <c r="U1069" s="106" t="str" cm="1">
        <f t="array" ref="U1069">IF(TRIM($I1069)="","(tidak diisi)",IFERROR(INDEX(Kamus!$H$3:$H$75,MATCH(TRUE,ISNUMBER(SEARCH(Kamus!$G$3:$G$75,$I1069)),0)),"Pemberian Umum / Tanpa Konteks"))</f>
        <v>Pemberian Umum / Tanpa Konteks</v>
      </c>
      <c r="V1069" s="106" t="str">
        <f t="shared" si="48"/>
        <v>2026</v>
      </c>
      <c r="W1069" s="106" t="str" cm="1">
        <f t="array" ref="W1069">IF(TRIM($K1069)="","(tidak diisi)",IFERROR(INDEX(Kamus!$K$3:$K$118,MATCH(TRUE,ISNUMBER(SEARCH(Kamus!$J$3:$J$118,$K1069)),0)),"Individu / Perorangan"))</f>
        <v>Individu / Perorangan</v>
      </c>
      <c r="X1069" s="106" t="str">
        <f t="shared" si="49"/>
        <v>06</v>
      </c>
      <c r="Y1069" s="106" t="str" cm="1">
        <f t="array" ref="Y1069">IFERROR(INDEX(Kamus!$N$3:$N$111,MATCH(TRUE,ISNUMBER(SEARCH(Kamus!$M$3:$M$111,$I1069)),0)),"")</f>
        <v/>
      </c>
      <c r="Z1069" s="106" t="str">
        <f>IF(AND(OR($X1069="02",$X1069="03",$X1069="04"),OR($T1069="Parsel/Bingkisan (tidak dirinci)",$T1069="Makanan &amp; Minuman",$T1069="Peralatan Rumah Tangga / Pecah Belah",$T1069="Pakaian &amp; Kain")),"Momen Hari Raya (dugaan musiman)",IFERROR(VLOOKUP($W1069,Kamus!$P$3:$Q$14,2,FALSE),"Tidak Teridentifikasi"))</f>
        <v>Relasi Personal / Tidak Teridentifikasi</v>
      </c>
      <c r="AA1069" s="106" t="str">
        <f t="shared" si="50"/>
        <v>Relasi Personal / Tidak Teridentifikasi</v>
      </c>
    </row>
    <row r="1070" spans="1:27">
      <c r="A1070" s="106">
        <v>1069</v>
      </c>
      <c r="B1070" s="106" t="s">
        <v>5942</v>
      </c>
      <c r="C1070" s="107" t="s">
        <v>5943</v>
      </c>
      <c r="D1070" s="106" t="s">
        <v>1024</v>
      </c>
      <c r="E1070" s="106" t="s">
        <v>1005</v>
      </c>
      <c r="F1070" s="106" t="s">
        <v>5947</v>
      </c>
      <c r="G1070" s="106" t="s">
        <v>1006</v>
      </c>
      <c r="H1070" s="106" t="s">
        <v>5948</v>
      </c>
      <c r="I1070" s="106" t="s">
        <v>5949</v>
      </c>
      <c r="K1070" s="106" t="s">
        <v>5950</v>
      </c>
      <c r="L1070" s="106" t="s">
        <v>5951</v>
      </c>
      <c r="O1070" s="106" t="s">
        <v>274</v>
      </c>
      <c r="S1070" s="106" t="str" cm="1">
        <f t="array" ref="S1070">IF(TRIM($D1070)="","(tidak diisi)",IFERROR(INDEX(Kamus!$B$3:$B$28,MATCH(TRUE,ISNUMBER(SEARCH(Kamus!$A$3:$A$28,$D1070)),0)),"Jabatan Lainnya"))</f>
        <v>Sekretaris</v>
      </c>
      <c r="T1070" s="106" t="str" cm="1">
        <f t="array" ref="T1070">IF(TRIM($I1070)="","(tidak diisi)",IFERROR(INDEX(Kamus!$E$3:$E$162,MATCH(TRUE,ISNUMBER(SEARCH(Kamus!$D$3:$D$162,$I1070)),0)),"Barang Lain / Tidak Terinci"))</f>
        <v>Peralatan Rumah Tangga / Pecah Belah</v>
      </c>
      <c r="U1070" s="106" t="str" cm="1">
        <f t="array" ref="U1070">IF(TRIM($I1070)="","(tidak diisi)",IFERROR(INDEX(Kamus!$H$3:$H$75,MATCH(TRUE,ISNUMBER(SEARCH(Kamus!$G$3:$G$75,$I1070)),0)),"Pemberian Umum / Tanpa Konteks"))</f>
        <v>Pemberian Umum / Tanpa Konteks</v>
      </c>
      <c r="V1070" s="106" t="str">
        <f t="shared" si="48"/>
        <v>2026</v>
      </c>
      <c r="W1070" s="106" t="str" cm="1">
        <f t="array" ref="W1070">IF(TRIM($K1070)="","(tidak diisi)",IFERROR(INDEX(Kamus!$K$3:$K$118,MATCH(TRUE,ISNUMBER(SEARCH(Kamus!$J$3:$J$118,$K1070)),0)),"Individu / Perorangan"))</f>
        <v>Individu / Perorangan</v>
      </c>
      <c r="X1070" s="106" t="str">
        <f t="shared" si="49"/>
        <v>06</v>
      </c>
      <c r="Y1070" s="106" t="str" cm="1">
        <f t="array" ref="Y1070">IFERROR(INDEX(Kamus!$N$3:$N$111,MATCH(TRUE,ISNUMBER(SEARCH(Kamus!$M$3:$M$111,$I1070)),0)),"")</f>
        <v/>
      </c>
      <c r="Z1070" s="106" t="str">
        <f>IF(AND(OR($X1070="02",$X1070="03",$X1070="04"),OR($T1070="Parsel/Bingkisan (tidak dirinci)",$T1070="Makanan &amp; Minuman",$T1070="Peralatan Rumah Tangga / Pecah Belah",$T1070="Pakaian &amp; Kain")),"Momen Hari Raya (dugaan musiman)",IFERROR(VLOOKUP($W1070,Kamus!$P$3:$Q$14,2,FALSE),"Tidak Teridentifikasi"))</f>
        <v>Relasi Personal / Tidak Teridentifikasi</v>
      </c>
      <c r="AA1070" s="106" t="str">
        <f t="shared" si="50"/>
        <v>Relasi Personal / Tidak Teridentifikasi</v>
      </c>
    </row>
    <row r="1071" spans="1:27">
      <c r="A1071" s="106">
        <v>1070</v>
      </c>
      <c r="B1071" s="106" t="s">
        <v>5952</v>
      </c>
      <c r="C1071" s="107" t="s">
        <v>5953</v>
      </c>
      <c r="D1071" s="106" t="s">
        <v>5954</v>
      </c>
      <c r="E1071" s="106" t="s">
        <v>5955</v>
      </c>
      <c r="F1071" s="106" t="s">
        <v>5956</v>
      </c>
      <c r="G1071" s="106" t="s">
        <v>1006</v>
      </c>
      <c r="H1071" s="106" t="s">
        <v>5957</v>
      </c>
      <c r="I1071" s="106" t="s">
        <v>3171</v>
      </c>
      <c r="K1071" s="106" t="s">
        <v>5958</v>
      </c>
      <c r="L1071" s="106" t="s">
        <v>5959</v>
      </c>
      <c r="O1071" s="106" t="s">
        <v>274</v>
      </c>
      <c r="P1071" s="106" t="s">
        <v>449</v>
      </c>
      <c r="Q1071" s="106" t="s">
        <v>439</v>
      </c>
      <c r="S1071" s="106" t="str" cm="1">
        <f t="array" ref="S1071">IF(TRIM($D1071)="","(tidak diisi)",IFERROR(INDEX(Kamus!$B$3:$B$28,MATCH(TRUE,ISNUMBER(SEARCH(Kamus!$A$3:$A$28,$D1071)),0)),"Jabatan Lainnya"))</f>
        <v>Ketua Pengadilan</v>
      </c>
      <c r="T1071" s="106" t="str" cm="1">
        <f t="array" ref="T1071">IF(TRIM($I1071)="","(tidak diisi)",IFERROR(INDEX(Kamus!$E$3:$E$162,MATCH(TRUE,ISNUMBER(SEARCH(Kamus!$D$3:$D$162,$I1071)),0)),"Barang Lain / Tidak Terinci"))</f>
        <v>Karangan Bunga / Ucapan</v>
      </c>
      <c r="U1071" s="106" t="str" cm="1">
        <f t="array" ref="U1071">IF(TRIM($I1071)="","(tidak diisi)",IFERROR(INDEX(Kamus!$H$3:$H$75,MATCH(TRUE,ISNUMBER(SEARCH(Kamus!$G$3:$G$75,$I1071)),0)),"Pemberian Umum / Tanpa Konteks"))</f>
        <v>Ucapan Duka/Selamat (Karangan Bunga)</v>
      </c>
      <c r="V1071" s="106" t="str">
        <f t="shared" si="48"/>
        <v>2026</v>
      </c>
      <c r="W1071" s="106" t="str" cm="1">
        <f t="array" ref="W1071">IF(TRIM($K1071)="","(tidak diisi)",IFERROR(INDEX(Kamus!$K$3:$K$118,MATCH(TRUE,ISNUMBER(SEARCH(Kamus!$J$3:$J$118,$K1071)),0)),"Individu / Perorangan"))</f>
        <v>Individu / Perorangan</v>
      </c>
      <c r="X1071" s="106" t="str">
        <f t="shared" si="49"/>
        <v>05</v>
      </c>
      <c r="Y1071" s="106" t="str" cm="1">
        <f t="array" ref="Y1071">IFERROR(INDEX(Kamus!$N$3:$N$111,MATCH(TRUE,ISNUMBER(SEARCH(Kamus!$M$3:$M$111,$I1071)),0)),"")</f>
        <v>Ucapan Selamat/Duka atas Acara Instansi</v>
      </c>
      <c r="Z1071" s="106" t="str">
        <f>IF(AND(OR($X1071="02",$X1071="03",$X1071="04"),OR($T1071="Parsel/Bingkisan (tidak dirinci)",$T1071="Makanan &amp; Minuman",$T1071="Peralatan Rumah Tangga / Pecah Belah",$T1071="Pakaian &amp; Kain")),"Momen Hari Raya (dugaan musiman)",IFERROR(VLOOKUP($W1071,Kamus!$P$3:$Q$14,2,FALSE),"Tidak Teridentifikasi"))</f>
        <v>Relasi Personal / Tidak Teridentifikasi</v>
      </c>
      <c r="AA1071" s="106" t="str">
        <f t="shared" si="50"/>
        <v>Ucapan Selamat/Duka atas Acara Instansi</v>
      </c>
    </row>
    <row r="1072" spans="1:27">
      <c r="A1072" s="106">
        <v>1071</v>
      </c>
      <c r="B1072" s="106" t="s">
        <v>1292</v>
      </c>
      <c r="C1072" s="107" t="s">
        <v>1293</v>
      </c>
      <c r="D1072" s="106" t="s">
        <v>1024</v>
      </c>
      <c r="E1072" s="106" t="s">
        <v>1294</v>
      </c>
      <c r="F1072" s="106" t="s">
        <v>5960</v>
      </c>
      <c r="G1072" s="106" t="s">
        <v>1006</v>
      </c>
      <c r="H1072" s="106" t="s">
        <v>5961</v>
      </c>
      <c r="I1072" s="106" t="s">
        <v>5962</v>
      </c>
      <c r="K1072" s="106" t="s">
        <v>468</v>
      </c>
      <c r="L1072" s="106" t="s">
        <v>5963</v>
      </c>
      <c r="O1072" s="106" t="s">
        <v>274</v>
      </c>
      <c r="P1072" s="106" t="s">
        <v>1298</v>
      </c>
      <c r="Q1072" s="106" t="s">
        <v>428</v>
      </c>
      <c r="S1072" s="106" t="str" cm="1">
        <f t="array" ref="S1072">IF(TRIM($D1072)="","(tidak diisi)",IFERROR(INDEX(Kamus!$B$3:$B$28,MATCH(TRUE,ISNUMBER(SEARCH(Kamus!$A$3:$A$28,$D1072)),0)),"Jabatan Lainnya"))</f>
        <v>Sekretaris</v>
      </c>
      <c r="T1072" s="106" t="str" cm="1">
        <f t="array" ref="T1072">IF(TRIM($I1072)="","(tidak diisi)",IFERROR(INDEX(Kamus!$E$3:$E$162,MATCH(TRUE,ISNUMBER(SEARCH(Kamus!$D$3:$D$162,$I1072)),0)),"Barang Lain / Tidak Terinci"))</f>
        <v>Peralatan Rumah Tangga / Pecah Belah</v>
      </c>
      <c r="U1072" s="106" t="str" cm="1">
        <f t="array" ref="U1072">IF(TRIM($I1072)="","(tidak diisi)",IFERROR(INDEX(Kamus!$H$3:$H$75,MATCH(TRUE,ISNUMBER(SEARCH(Kamus!$G$3:$G$75,$I1072)),0)),"Pemberian Umum / Tanpa Konteks"))</f>
        <v>Pemberian Umum / Tanpa Konteks</v>
      </c>
      <c r="V1072" s="106" t="str">
        <f t="shared" si="48"/>
        <v>2026</v>
      </c>
      <c r="W1072" s="106" t="str" cm="1">
        <f t="array" ref="W1072">IF(TRIM($K1072)="","(tidak diisi)",IFERROR(INDEX(Kamus!$K$3:$K$118,MATCH(TRUE,ISNUMBER(SEARCH(Kamus!$J$3:$J$118,$K1072)),0)),"Individu / Perorangan"))</f>
        <v>Individu / Perorangan</v>
      </c>
      <c r="X1072" s="106" t="str">
        <f t="shared" si="49"/>
        <v>06</v>
      </c>
      <c r="Y1072" s="106" t="str" cm="1">
        <f t="array" ref="Y1072">IFERROR(INDEX(Kamus!$N$3:$N$111,MATCH(TRUE,ISNUMBER(SEARCH(Kamus!$M$3:$M$111,$I1072)),0)),"")</f>
        <v/>
      </c>
      <c r="Z1072" s="106" t="str">
        <f>IF(AND(OR($X1072="02",$X1072="03",$X1072="04"),OR($T1072="Parsel/Bingkisan (tidak dirinci)",$T1072="Makanan &amp; Minuman",$T1072="Peralatan Rumah Tangga / Pecah Belah",$T1072="Pakaian &amp; Kain")),"Momen Hari Raya (dugaan musiman)",IFERROR(VLOOKUP($W1072,Kamus!$P$3:$Q$14,2,FALSE),"Tidak Teridentifikasi"))</f>
        <v>Relasi Personal / Tidak Teridentifikasi</v>
      </c>
      <c r="AA1072" s="106" t="str">
        <f t="shared" si="50"/>
        <v>Relasi Personal / Tidak Teridentifikasi</v>
      </c>
    </row>
    <row r="1073" spans="1:27">
      <c r="A1073" s="106">
        <v>1072</v>
      </c>
      <c r="B1073" s="106" t="s">
        <v>2249</v>
      </c>
      <c r="C1073" s="107" t="s">
        <v>2250</v>
      </c>
      <c r="D1073" s="106" t="s">
        <v>2251</v>
      </c>
      <c r="E1073" s="106" t="s">
        <v>1294</v>
      </c>
      <c r="F1073" s="106" t="s">
        <v>5964</v>
      </c>
      <c r="G1073" s="106" t="s">
        <v>1006</v>
      </c>
      <c r="H1073" s="106" t="s">
        <v>5961</v>
      </c>
      <c r="I1073" s="106" t="s">
        <v>5965</v>
      </c>
      <c r="K1073" s="106" t="s">
        <v>5966</v>
      </c>
      <c r="L1073" s="106" t="s">
        <v>5967</v>
      </c>
      <c r="O1073" s="106" t="s">
        <v>274</v>
      </c>
      <c r="P1073" s="106" t="s">
        <v>1298</v>
      </c>
      <c r="Q1073" s="106" t="s">
        <v>428</v>
      </c>
      <c r="S1073" s="106" t="str" cm="1">
        <f t="array" ref="S1073">IF(TRIM($D1073)="","(tidak diisi)",IFERROR(INDEX(Kamus!$B$3:$B$28,MATCH(TRUE,ISNUMBER(SEARCH(Kamus!$A$3:$A$28,$D1073)),0)),"Jabatan Lainnya"))</f>
        <v>Wakil Ketua Pengadilan</v>
      </c>
      <c r="T1073" s="106" t="str" cm="1">
        <f t="array" ref="T1073">IF(TRIM($I1073)="","(tidak diisi)",IFERROR(INDEX(Kamus!$E$3:$E$162,MATCH(TRUE,ISNUMBER(SEARCH(Kamus!$D$3:$D$162,$I1073)),0)),"Barang Lain / Tidak Terinci"))</f>
        <v>Peralatan Rumah Tangga / Pecah Belah</v>
      </c>
      <c r="U1073" s="106" t="str" cm="1">
        <f t="array" ref="U1073">IF(TRIM($I1073)="","(tidak diisi)",IFERROR(INDEX(Kamus!$H$3:$H$75,MATCH(TRUE,ISNUMBER(SEARCH(Kamus!$G$3:$G$75,$I1073)),0)),"Pemberian Umum / Tanpa Konteks"))</f>
        <v>Suvenir / Merchandise Kegiatan &amp; Kunjungan</v>
      </c>
      <c r="V1073" s="106" t="str">
        <f t="shared" si="48"/>
        <v>2026</v>
      </c>
      <c r="W1073" s="106" t="str" cm="1">
        <f t="array" ref="W1073">IF(TRIM($K1073)="","(tidak diisi)",IFERROR(INDEX(Kamus!$K$3:$K$118,MATCH(TRUE,ISNUMBER(SEARCH(Kamus!$J$3:$J$118,$K1073)),0)),"Individu / Perorangan"))</f>
        <v>Individu / Perorangan</v>
      </c>
      <c r="X1073" s="106" t="str">
        <f t="shared" si="49"/>
        <v>06</v>
      </c>
      <c r="Y1073" s="106" t="str" cm="1">
        <f t="array" ref="Y1073">IFERROR(INDEX(Kamus!$N$3:$N$111,MATCH(TRUE,ISNUMBER(SEARCH(Kamus!$M$3:$M$111,$I1073)),0)),"")</f>
        <v/>
      </c>
      <c r="Z1073" s="106" t="str">
        <f>IF(AND(OR($X1073="02",$X1073="03",$X1073="04"),OR($T1073="Parsel/Bingkisan (tidak dirinci)",$T1073="Makanan &amp; Minuman",$T1073="Peralatan Rumah Tangga / Pecah Belah",$T1073="Pakaian &amp; Kain")),"Momen Hari Raya (dugaan musiman)",IFERROR(VLOOKUP($W1073,Kamus!$P$3:$Q$14,2,FALSE),"Tidak Teridentifikasi"))</f>
        <v>Relasi Personal / Tidak Teridentifikasi</v>
      </c>
      <c r="AA1073" s="106" t="str">
        <f t="shared" si="50"/>
        <v>Relasi Personal / Tidak Teridentifikasi</v>
      </c>
    </row>
    <row r="1074" spans="1:27">
      <c r="A1074" s="106">
        <v>1073</v>
      </c>
      <c r="B1074" s="106" t="s">
        <v>5968</v>
      </c>
      <c r="C1074" s="107" t="s">
        <v>5969</v>
      </c>
      <c r="D1074" s="106" t="s">
        <v>3146</v>
      </c>
      <c r="E1074" s="106" t="s">
        <v>1005</v>
      </c>
      <c r="G1074" s="106" t="s">
        <v>1006</v>
      </c>
      <c r="L1074" s="106" t="s">
        <v>5970</v>
      </c>
      <c r="O1074" s="106" t="s">
        <v>274</v>
      </c>
      <c r="S1074" s="106" t="str" cm="1">
        <f t="array" ref="S1074">IF(TRIM($D1074)="","(tidak diisi)",IFERROR(INDEX(Kamus!$B$3:$B$28,MATCH(TRUE,ISNUMBER(SEARCH(Kamus!$A$3:$A$28,$D1074)),0)),"Jabatan Lainnya"))</f>
        <v>Hakim</v>
      </c>
      <c r="T1074" s="106" t="str" cm="1">
        <f t="array" ref="T1074">IF(TRIM($I1074)="","(tidak diisi)",IFERROR(INDEX(Kamus!$E$3:$E$162,MATCH(TRUE,ISNUMBER(SEARCH(Kamus!$D$3:$D$162,$I1074)),0)),"Barang Lain / Tidak Terinci"))</f>
        <v>(tidak diisi)</v>
      </c>
      <c r="U1074" s="106" t="str" cm="1">
        <f t="array" ref="U1074">IF(TRIM($I1074)="","(tidak diisi)",IFERROR(INDEX(Kamus!$H$3:$H$75,MATCH(TRUE,ISNUMBER(SEARCH(Kamus!$G$3:$G$75,$I1074)),0)),"Pemberian Umum / Tanpa Konteks"))</f>
        <v>(tidak diisi)</v>
      </c>
      <c r="V1074" s="106" t="str">
        <f t="shared" si="48"/>
        <v>(tidak diisi)</v>
      </c>
      <c r="W1074" s="106" t="str" cm="1">
        <f t="array" ref="W1074">IF(TRIM($K1074)="","(tidak diisi)",IFERROR(INDEX(Kamus!$K$3:$K$118,MATCH(TRUE,ISNUMBER(SEARCH(Kamus!$J$3:$J$118,$K1074)),0)),"Individu / Perorangan"))</f>
        <v>(tidak diisi)</v>
      </c>
      <c r="X1074" s="106" t="str">
        <f t="shared" si="49"/>
        <v>(tidak diisi)</v>
      </c>
      <c r="Y1074" s="106" t="str" cm="1">
        <f t="array" ref="Y1074">IFERROR(INDEX(Kamus!$N$3:$N$111,MATCH(TRUE,ISNUMBER(SEARCH(Kamus!$M$3:$M$111,$I1074)),0)),"")</f>
        <v/>
      </c>
      <c r="Z1074" s="106" t="str">
        <f>IF(AND(OR($X1074="02",$X1074="03",$X1074="04"),OR($T1074="Parsel/Bingkisan (tidak dirinci)",$T1074="Makanan &amp; Minuman",$T1074="Peralatan Rumah Tangga / Pecah Belah",$T1074="Pakaian &amp; Kain")),"Momen Hari Raya (dugaan musiman)",IFERROR(VLOOKUP($W1074,Kamus!$P$3:$Q$14,2,FALSE),"Tidak Teridentifikasi"))</f>
        <v>Tidak Teridentifikasi</v>
      </c>
      <c r="AA1074" s="106" t="str">
        <f t="shared" si="50"/>
        <v>Tidak Teridentifikasi</v>
      </c>
    </row>
    <row r="1075" spans="1:27">
      <c r="A1075" s="106">
        <v>1074</v>
      </c>
      <c r="B1075" s="106" t="s">
        <v>5971</v>
      </c>
      <c r="C1075" s="107" t="s">
        <v>5972</v>
      </c>
      <c r="D1075" s="106" t="s">
        <v>1144</v>
      </c>
      <c r="E1075" s="106" t="s">
        <v>2550</v>
      </c>
      <c r="G1075" s="106" t="s">
        <v>1006</v>
      </c>
      <c r="L1075" s="106" t="s">
        <v>5970</v>
      </c>
      <c r="O1075" s="106" t="s">
        <v>274</v>
      </c>
      <c r="P1075" s="106" t="s">
        <v>2554</v>
      </c>
      <c r="Q1075" s="106" t="s">
        <v>372</v>
      </c>
      <c r="S1075" s="106" t="str" cm="1">
        <f t="array" ref="S1075">IF(TRIM($D1075)="","(tidak diisi)",IFERROR(INDEX(Kamus!$B$3:$B$28,MATCH(TRUE,ISNUMBER(SEARCH(Kamus!$A$3:$A$28,$D1075)),0)),"Jabatan Lainnya"))</f>
        <v>Ketua Pengadilan</v>
      </c>
      <c r="T1075" s="106" t="str" cm="1">
        <f t="array" ref="T1075">IF(TRIM($I1075)="","(tidak diisi)",IFERROR(INDEX(Kamus!$E$3:$E$162,MATCH(TRUE,ISNUMBER(SEARCH(Kamus!$D$3:$D$162,$I1075)),0)),"Barang Lain / Tidak Terinci"))</f>
        <v>(tidak diisi)</v>
      </c>
      <c r="U1075" s="106" t="str" cm="1">
        <f t="array" ref="U1075">IF(TRIM($I1075)="","(tidak diisi)",IFERROR(INDEX(Kamus!$H$3:$H$75,MATCH(TRUE,ISNUMBER(SEARCH(Kamus!$G$3:$G$75,$I1075)),0)),"Pemberian Umum / Tanpa Konteks"))</f>
        <v>(tidak diisi)</v>
      </c>
      <c r="V1075" s="106" t="str">
        <f t="shared" si="48"/>
        <v>(tidak diisi)</v>
      </c>
      <c r="W1075" s="106" t="str" cm="1">
        <f t="array" ref="W1075">IF(TRIM($K1075)="","(tidak diisi)",IFERROR(INDEX(Kamus!$K$3:$K$118,MATCH(TRUE,ISNUMBER(SEARCH(Kamus!$J$3:$J$118,$K1075)),0)),"Individu / Perorangan"))</f>
        <v>(tidak diisi)</v>
      </c>
      <c r="X1075" s="106" t="str">
        <f t="shared" si="49"/>
        <v>(tidak diisi)</v>
      </c>
      <c r="Y1075" s="106" t="str" cm="1">
        <f t="array" ref="Y1075">IFERROR(INDEX(Kamus!$N$3:$N$111,MATCH(TRUE,ISNUMBER(SEARCH(Kamus!$M$3:$M$111,$I1075)),0)),"")</f>
        <v/>
      </c>
      <c r="Z1075" s="106" t="str">
        <f>IF(AND(OR($X1075="02",$X1075="03",$X1075="04"),OR($T1075="Parsel/Bingkisan (tidak dirinci)",$T1075="Makanan &amp; Minuman",$T1075="Peralatan Rumah Tangga / Pecah Belah",$T1075="Pakaian &amp; Kain")),"Momen Hari Raya (dugaan musiman)",IFERROR(VLOOKUP($W1075,Kamus!$P$3:$Q$14,2,FALSE),"Tidak Teridentifikasi"))</f>
        <v>Tidak Teridentifikasi</v>
      </c>
      <c r="AA1075" s="106" t="str">
        <f t="shared" si="50"/>
        <v>Tidak Teridentifikasi</v>
      </c>
    </row>
    <row r="1076" spans="1:27">
      <c r="A1076" s="106">
        <v>1075</v>
      </c>
      <c r="B1076" s="106" t="s">
        <v>5952</v>
      </c>
      <c r="C1076" s="107" t="s">
        <v>5953</v>
      </c>
      <c r="D1076" s="106" t="s">
        <v>5954</v>
      </c>
      <c r="E1076" s="106" t="s">
        <v>5955</v>
      </c>
      <c r="F1076" s="106" t="s">
        <v>5973</v>
      </c>
      <c r="G1076" s="106" t="s">
        <v>1006</v>
      </c>
      <c r="H1076" s="106" t="s">
        <v>5957</v>
      </c>
      <c r="I1076" s="106" t="s">
        <v>5974</v>
      </c>
      <c r="K1076" s="106" t="s">
        <v>5975</v>
      </c>
      <c r="L1076" s="106" t="s">
        <v>5976</v>
      </c>
      <c r="O1076" s="106" t="s">
        <v>274</v>
      </c>
      <c r="P1076" s="106" t="s">
        <v>449</v>
      </c>
      <c r="Q1076" s="106" t="s">
        <v>439</v>
      </c>
      <c r="S1076" s="106" t="str" cm="1">
        <f t="array" ref="S1076">IF(TRIM($D1076)="","(tidak diisi)",IFERROR(INDEX(Kamus!$B$3:$B$28,MATCH(TRUE,ISNUMBER(SEARCH(Kamus!$A$3:$A$28,$D1076)),0)),"Jabatan Lainnya"))</f>
        <v>Ketua Pengadilan</v>
      </c>
      <c r="T1076" s="106" t="str" cm="1">
        <f t="array" ref="T1076">IF(TRIM($I1076)="","(tidak diisi)",IFERROR(INDEX(Kamus!$E$3:$E$162,MATCH(TRUE,ISNUMBER(SEARCH(Kamus!$D$3:$D$162,$I1076)),0)),"Barang Lain / Tidak Terinci"))</f>
        <v>Suvenir &amp; Merchandise</v>
      </c>
      <c r="U1076" s="106" t="str" cm="1">
        <f t="array" ref="U1076">IF(TRIM($I1076)="","(tidak diisi)",IFERROR(INDEX(Kamus!$H$3:$H$75,MATCH(TRUE,ISNUMBER(SEARCH(Kamus!$G$3:$G$75,$I1076)),0)),"Pemberian Umum / Tanpa Konteks"))</f>
        <v>Ucapan Duka/Selamat (Karangan Bunga)</v>
      </c>
      <c r="V1076" s="106" t="str">
        <f t="shared" si="48"/>
        <v>2026</v>
      </c>
      <c r="W1076" s="106" t="str" cm="1">
        <f t="array" ref="W1076">IF(TRIM($K1076)="","(tidak diisi)",IFERROR(INDEX(Kamus!$K$3:$K$118,MATCH(TRUE,ISNUMBER(SEARCH(Kamus!$J$3:$J$118,$K1076)),0)),"Individu / Perorangan"))</f>
        <v>Individu / Perorangan</v>
      </c>
      <c r="X1076" s="106" t="str">
        <f t="shared" si="49"/>
        <v>05</v>
      </c>
      <c r="Y1076" s="106" t="str" cm="1">
        <f t="array" ref="Y1076">IFERROR(INDEX(Kamus!$N$3:$N$111,MATCH(TRUE,ISNUMBER(SEARCH(Kamus!$M$3:$M$111,$I1076)),0)),"")</f>
        <v>Pelantikan / Pisah Sambut / Mutasi</v>
      </c>
      <c r="Z1076" s="106" t="str">
        <f>IF(AND(OR($X1076="02",$X1076="03",$X1076="04"),OR($T1076="Parsel/Bingkisan (tidak dirinci)",$T1076="Makanan &amp; Minuman",$T1076="Peralatan Rumah Tangga / Pecah Belah",$T1076="Pakaian &amp; Kain")),"Momen Hari Raya (dugaan musiman)",IFERROR(VLOOKUP($W1076,Kamus!$P$3:$Q$14,2,FALSE),"Tidak Teridentifikasi"))</f>
        <v>Relasi Personal / Tidak Teridentifikasi</v>
      </c>
      <c r="AA1076" s="106" t="str">
        <f t="shared" si="50"/>
        <v>Pelantikan / Pisah Sambut / Mutasi</v>
      </c>
    </row>
    <row r="1077" spans="1:27">
      <c r="A1077" s="106">
        <v>1076</v>
      </c>
      <c r="B1077" s="106" t="s">
        <v>5977</v>
      </c>
      <c r="C1077" s="107" t="s">
        <v>5978</v>
      </c>
      <c r="D1077" s="106" t="s">
        <v>1379</v>
      </c>
      <c r="E1077" s="106" t="s">
        <v>1005</v>
      </c>
      <c r="F1077" s="106" t="s">
        <v>5979</v>
      </c>
      <c r="G1077" s="106" t="s">
        <v>1006</v>
      </c>
      <c r="H1077" s="106" t="s">
        <v>5906</v>
      </c>
      <c r="I1077" s="106" t="s">
        <v>5980</v>
      </c>
      <c r="J1077" s="106">
        <v>50000</v>
      </c>
      <c r="K1077" s="106" t="s">
        <v>5981</v>
      </c>
      <c r="L1077" s="106" t="s">
        <v>5982</v>
      </c>
      <c r="M1077" s="106" t="s">
        <v>1039</v>
      </c>
      <c r="O1077" s="106" t="s">
        <v>274</v>
      </c>
      <c r="S1077" s="106" t="str" cm="1">
        <f t="array" ref="S1077">IF(TRIM($D1077)="","(tidak diisi)",IFERROR(INDEX(Kamus!$B$3:$B$28,MATCH(TRUE,ISNUMBER(SEARCH(Kamus!$A$3:$A$28,$D1077)),0)),"Jabatan Lainnya"))</f>
        <v>Ketua Pengadilan</v>
      </c>
      <c r="T1077" s="106" t="str" cm="1">
        <f t="array" ref="T1077">IF(TRIM($I1077)="","(tidak diisi)",IFERROR(INDEX(Kamus!$E$3:$E$162,MATCH(TRUE,ISNUMBER(SEARCH(Kamus!$D$3:$D$162,$I1077)),0)),"Barang Lain / Tidak Terinci"))</f>
        <v>Elektronik &amp; Gadget</v>
      </c>
      <c r="U1077" s="106" t="str" cm="1">
        <f t="array" ref="U1077">IF(TRIM($I1077)="","(tidak diisi)",IFERROR(INDEX(Kamus!$H$3:$H$75,MATCH(TRUE,ISNUMBER(SEARCH(Kamus!$G$3:$G$75,$I1077)),0)),"Pemberian Umum / Tanpa Konteks"))</f>
        <v>Pemberian Umum / Tanpa Konteks</v>
      </c>
      <c r="V1077" s="106" t="str">
        <f t="shared" si="48"/>
        <v>2026</v>
      </c>
      <c r="W1077" s="106" t="str" cm="1">
        <f t="array" ref="W1077">IF(TRIM($K1077)="","(tidak diisi)",IFERROR(INDEX(Kamus!$K$3:$K$118,MATCH(TRUE,ISNUMBER(SEARCH(Kamus!$J$3:$J$118,$K1077)),0)),"Individu / Perorangan"))</f>
        <v>Individu / Perorangan</v>
      </c>
      <c r="X1077" s="106" t="str">
        <f t="shared" si="49"/>
        <v>06</v>
      </c>
      <c r="Y1077" s="106" t="str" cm="1">
        <f t="array" ref="Y1077">IFERROR(INDEX(Kamus!$N$3:$N$111,MATCH(TRUE,ISNUMBER(SEARCH(Kamus!$M$3:$M$111,$I1077)),0)),"")</f>
        <v/>
      </c>
      <c r="Z1077" s="106" t="str">
        <f>IF(AND(OR($X1077="02",$X1077="03",$X1077="04"),OR($T1077="Parsel/Bingkisan (tidak dirinci)",$T1077="Makanan &amp; Minuman",$T1077="Peralatan Rumah Tangga / Pecah Belah",$T1077="Pakaian &amp; Kain")),"Momen Hari Raya (dugaan musiman)",IFERROR(VLOOKUP($W1077,Kamus!$P$3:$Q$14,2,FALSE),"Tidak Teridentifikasi"))</f>
        <v>Relasi Personal / Tidak Teridentifikasi</v>
      </c>
      <c r="AA1077" s="106" t="str">
        <f t="shared" si="50"/>
        <v>Relasi Personal / Tidak Teridentifikasi</v>
      </c>
    </row>
    <row r="1078" spans="1:27">
      <c r="A1078" s="106">
        <v>1077</v>
      </c>
      <c r="B1078" s="106" t="s">
        <v>5971</v>
      </c>
      <c r="C1078" s="107" t="s">
        <v>5972</v>
      </c>
      <c r="D1078" s="106" t="s">
        <v>1144</v>
      </c>
      <c r="E1078" s="106" t="s">
        <v>2550</v>
      </c>
      <c r="F1078" s="106" t="s">
        <v>5983</v>
      </c>
      <c r="G1078" s="106" t="s">
        <v>1006</v>
      </c>
      <c r="H1078" s="106" t="s">
        <v>5961</v>
      </c>
      <c r="I1078" s="106" t="s">
        <v>5984</v>
      </c>
      <c r="J1078" s="106">
        <v>500000</v>
      </c>
      <c r="K1078" s="106" t="s">
        <v>5985</v>
      </c>
      <c r="L1078" s="106" t="s">
        <v>5986</v>
      </c>
      <c r="M1078" s="106" t="s">
        <v>1039</v>
      </c>
      <c r="O1078" s="106" t="s">
        <v>274</v>
      </c>
      <c r="P1078" s="106" t="s">
        <v>2554</v>
      </c>
      <c r="Q1078" s="106" t="s">
        <v>372</v>
      </c>
      <c r="S1078" s="106" t="str" cm="1">
        <f t="array" ref="S1078">IF(TRIM($D1078)="","(tidak diisi)",IFERROR(INDEX(Kamus!$B$3:$B$28,MATCH(TRUE,ISNUMBER(SEARCH(Kamus!$A$3:$A$28,$D1078)),0)),"Jabatan Lainnya"))</f>
        <v>Ketua Pengadilan</v>
      </c>
      <c r="T1078" s="106" t="str" cm="1">
        <f t="array" ref="T1078">IF(TRIM($I1078)="","(tidak diisi)",IFERROR(INDEX(Kamus!$E$3:$E$162,MATCH(TRUE,ISNUMBER(SEARCH(Kamus!$D$3:$D$162,$I1078)),0)),"Barang Lain / Tidak Terinci"))</f>
        <v>Suvenir &amp; Merchandise</v>
      </c>
      <c r="U1078" s="106" t="str" cm="1">
        <f t="array" ref="U1078">IF(TRIM($I1078)="","(tidak diisi)",IFERROR(INDEX(Kamus!$H$3:$H$75,MATCH(TRUE,ISNUMBER(SEARCH(Kamus!$G$3:$G$75,$I1078)),0)),"Pemberian Umum / Tanpa Konteks"))</f>
        <v>Suvenir / Merchandise Kegiatan &amp; Kunjungan</v>
      </c>
      <c r="V1078" s="106" t="str">
        <f t="shared" si="48"/>
        <v>2026</v>
      </c>
      <c r="W1078" s="106" t="str" cm="1">
        <f t="array" ref="W1078">IF(TRIM($K1078)="","(tidak diisi)",IFERROR(INDEX(Kamus!$K$3:$K$118,MATCH(TRUE,ISNUMBER(SEARCH(Kamus!$J$3:$J$118,$K1078)),0)),"Individu / Perorangan"))</f>
        <v>Individu / Perorangan</v>
      </c>
      <c r="X1078" s="106" t="str">
        <f t="shared" si="49"/>
        <v>06</v>
      </c>
      <c r="Y1078" s="106" t="str" cm="1">
        <f t="array" ref="Y1078">IFERROR(INDEX(Kamus!$N$3:$N$111,MATCH(TRUE,ISNUMBER(SEARCH(Kamus!$M$3:$M$111,$I1078)),0)),"")</f>
        <v/>
      </c>
      <c r="Z1078" s="106" t="str">
        <f>IF(AND(OR($X1078="02",$X1078="03",$X1078="04"),OR($T1078="Parsel/Bingkisan (tidak dirinci)",$T1078="Makanan &amp; Minuman",$T1078="Peralatan Rumah Tangga / Pecah Belah",$T1078="Pakaian &amp; Kain")),"Momen Hari Raya (dugaan musiman)",IFERROR(VLOOKUP($W1078,Kamus!$P$3:$Q$14,2,FALSE),"Tidak Teridentifikasi"))</f>
        <v>Relasi Personal / Tidak Teridentifikasi</v>
      </c>
      <c r="AA1078" s="106" t="str">
        <f t="shared" si="50"/>
        <v>Relasi Personal / Tidak Teridentifikasi</v>
      </c>
    </row>
    <row r="1079" spans="1:27">
      <c r="A1079" s="106">
        <v>1078</v>
      </c>
      <c r="B1079" s="106" t="s">
        <v>1174</v>
      </c>
      <c r="C1079" s="107" t="s">
        <v>1175</v>
      </c>
      <c r="D1079" s="106" t="s">
        <v>1042</v>
      </c>
      <c r="E1079" s="106" t="s">
        <v>1176</v>
      </c>
      <c r="F1079" s="106" t="s">
        <v>5987</v>
      </c>
      <c r="G1079" s="106" t="s">
        <v>1006</v>
      </c>
      <c r="H1079" s="106" t="s">
        <v>5988</v>
      </c>
      <c r="I1079" s="106" t="s">
        <v>2697</v>
      </c>
      <c r="K1079" s="106" t="s">
        <v>5989</v>
      </c>
      <c r="L1079" s="106" t="s">
        <v>5990</v>
      </c>
      <c r="O1079" s="106" t="s">
        <v>274</v>
      </c>
      <c r="P1079" s="106" t="s">
        <v>1181</v>
      </c>
      <c r="Q1079" s="106" t="s">
        <v>429</v>
      </c>
      <c r="S1079" s="106" t="str" cm="1">
        <f t="array" ref="S1079">IF(TRIM($D1079)="","(tidak diisi)",IFERROR(INDEX(Kamus!$B$3:$B$28,MATCH(TRUE,ISNUMBER(SEARCH(Kamus!$A$3:$A$28,$D1079)),0)),"Jabatan Lainnya"))</f>
        <v>Ketua Pengadilan</v>
      </c>
      <c r="T1079" s="106" t="str" cm="1">
        <f t="array" ref="T1079">IF(TRIM($I1079)="","(tidak diisi)",IFERROR(INDEX(Kamus!$E$3:$E$162,MATCH(TRUE,ISNUMBER(SEARCH(Kamus!$D$3:$D$162,$I1079)),0)),"Barang Lain / Tidak Terinci"))</f>
        <v>Pakaian &amp; Kain</v>
      </c>
      <c r="U1079" s="106" t="str" cm="1">
        <f t="array" ref="U1079">IF(TRIM($I1079)="","(tidak diisi)",IFERROR(INDEX(Kamus!$H$3:$H$75,MATCH(TRUE,ISNUMBER(SEARCH(Kamus!$G$3:$G$75,$I1079)),0)),"Pemberian Umum / Tanpa Konteks"))</f>
        <v>Pemberian Umum / Tanpa Konteks</v>
      </c>
      <c r="V1079" s="106" t="str">
        <f t="shared" si="48"/>
        <v>2026</v>
      </c>
      <c r="W1079" s="106" t="str" cm="1">
        <f t="array" ref="W1079">IF(TRIM($K1079)="","(tidak diisi)",IFERROR(INDEX(Kamus!$K$3:$K$118,MATCH(TRUE,ISNUMBER(SEARCH(Kamus!$J$3:$J$118,$K1079)),0)),"Individu / Perorangan"))</f>
        <v>Individu / Perorangan</v>
      </c>
      <c r="X1079" s="106" t="str">
        <f t="shared" si="49"/>
        <v>06</v>
      </c>
      <c r="Y1079" s="106" t="str" cm="1">
        <f t="array" ref="Y1079">IFERROR(INDEX(Kamus!$N$3:$N$111,MATCH(TRUE,ISNUMBER(SEARCH(Kamus!$M$3:$M$111,$I1079)),0)),"")</f>
        <v/>
      </c>
      <c r="Z1079" s="106" t="str">
        <f>IF(AND(OR($X1079="02",$X1079="03",$X1079="04"),OR($T1079="Parsel/Bingkisan (tidak dirinci)",$T1079="Makanan &amp; Minuman",$T1079="Peralatan Rumah Tangga / Pecah Belah",$T1079="Pakaian &amp; Kain")),"Momen Hari Raya (dugaan musiman)",IFERROR(VLOOKUP($W1079,Kamus!$P$3:$Q$14,2,FALSE),"Tidak Teridentifikasi"))</f>
        <v>Relasi Personal / Tidak Teridentifikasi</v>
      </c>
      <c r="AA1079" s="106" t="str">
        <f t="shared" si="50"/>
        <v>Relasi Personal / Tidak Teridentifikasi</v>
      </c>
    </row>
    <row r="1080" spans="1:27">
      <c r="A1080" s="106">
        <v>1079</v>
      </c>
      <c r="B1080" s="106" t="s">
        <v>5991</v>
      </c>
      <c r="C1080" s="107" t="s">
        <v>5992</v>
      </c>
      <c r="D1080" s="106" t="s">
        <v>3375</v>
      </c>
      <c r="E1080" s="106" t="s">
        <v>5993</v>
      </c>
      <c r="G1080" s="106" t="s">
        <v>1006</v>
      </c>
      <c r="L1080" s="106" t="s">
        <v>5994</v>
      </c>
      <c r="O1080" s="106" t="s">
        <v>274</v>
      </c>
      <c r="P1080" s="106" t="s">
        <v>5995</v>
      </c>
      <c r="Q1080" s="106" t="s">
        <v>372</v>
      </c>
      <c r="S1080" s="106" t="str" cm="1">
        <f t="array" ref="S1080">IF(TRIM($D1080)="","(tidak diisi)",IFERROR(INDEX(Kamus!$B$3:$B$28,MATCH(TRUE,ISNUMBER(SEARCH(Kamus!$A$3:$A$28,$D1080)),0)),"Jabatan Lainnya"))</f>
        <v>Staf/Pegawai Pelaksana</v>
      </c>
      <c r="T1080" s="106" t="str" cm="1">
        <f t="array" ref="T1080">IF(TRIM($I1080)="","(tidak diisi)",IFERROR(INDEX(Kamus!$E$3:$E$162,MATCH(TRUE,ISNUMBER(SEARCH(Kamus!$D$3:$D$162,$I1080)),0)),"Barang Lain / Tidak Terinci"))</f>
        <v>(tidak diisi)</v>
      </c>
      <c r="U1080" s="106" t="str" cm="1">
        <f t="array" ref="U1080">IF(TRIM($I1080)="","(tidak diisi)",IFERROR(INDEX(Kamus!$H$3:$H$75,MATCH(TRUE,ISNUMBER(SEARCH(Kamus!$G$3:$G$75,$I1080)),0)),"Pemberian Umum / Tanpa Konteks"))</f>
        <v>(tidak diisi)</v>
      </c>
      <c r="V1080" s="106" t="str">
        <f t="shared" si="48"/>
        <v>(tidak diisi)</v>
      </c>
      <c r="W1080" s="106" t="str" cm="1">
        <f t="array" ref="W1080">IF(TRIM($K1080)="","(tidak diisi)",IFERROR(INDEX(Kamus!$K$3:$K$118,MATCH(TRUE,ISNUMBER(SEARCH(Kamus!$J$3:$J$118,$K1080)),0)),"Individu / Perorangan"))</f>
        <v>(tidak diisi)</v>
      </c>
      <c r="X1080" s="106" t="str">
        <f t="shared" si="49"/>
        <v>(tidak diisi)</v>
      </c>
      <c r="Y1080" s="106" t="str" cm="1">
        <f t="array" ref="Y1080">IFERROR(INDEX(Kamus!$N$3:$N$111,MATCH(TRUE,ISNUMBER(SEARCH(Kamus!$M$3:$M$111,$I1080)),0)),"")</f>
        <v/>
      </c>
      <c r="Z1080" s="106" t="str">
        <f>IF(AND(OR($X1080="02",$X1080="03",$X1080="04"),OR($T1080="Parsel/Bingkisan (tidak dirinci)",$T1080="Makanan &amp; Minuman",$T1080="Peralatan Rumah Tangga / Pecah Belah",$T1080="Pakaian &amp; Kain")),"Momen Hari Raya (dugaan musiman)",IFERROR(VLOOKUP($W1080,Kamus!$P$3:$Q$14,2,FALSE),"Tidak Teridentifikasi"))</f>
        <v>Tidak Teridentifikasi</v>
      </c>
      <c r="AA1080" s="106" t="str">
        <f t="shared" si="50"/>
        <v>Tidak Teridentifikasi</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95D7-E3C7-471B-BE67-0EC0D30719F8}">
  <sheetPr>
    <tabColor theme="2" tint="-0.249977111117893"/>
  </sheetPr>
  <dimension ref="A1:M168"/>
  <sheetViews>
    <sheetView topLeftCell="K1" zoomScale="95" workbookViewId="0">
      <pane ySplit="2" topLeftCell="A52" activePane="bottomLeft" state="frozen"/>
      <selection activeCell="Z1" sqref="Z1"/>
      <selection pane="bottomLeft" activeCell="Y50" sqref="Y50"/>
    </sheetView>
  </sheetViews>
  <sheetFormatPr defaultColWidth="8.88671875" defaultRowHeight="14.4"/>
  <cols>
    <col min="1" max="1" width="53.6640625" style="106" customWidth="1"/>
    <col min="2" max="6" width="16.33203125" style="106" customWidth="1"/>
    <col min="7" max="8" width="31.44140625" style="106" customWidth="1"/>
    <col min="9" max="13" width="16.33203125" style="106" customWidth="1"/>
    <col min="14" max="1999" width="8.88671875" style="106"/>
    <col min="2000" max="2000" width="2.5546875" style="106" customWidth="1"/>
    <col min="2001" max="16384" width="8.88671875" style="106"/>
  </cols>
  <sheetData>
    <row r="1" spans="1:13" ht="21">
      <c r="A1" s="108" t="s">
        <v>5996</v>
      </c>
    </row>
    <row r="2" spans="1:13">
      <c r="A2" s="109" t="s">
        <v>5997</v>
      </c>
    </row>
    <row r="4" spans="1:13" ht="15.6">
      <c r="A4" s="198" t="s">
        <v>5998</v>
      </c>
      <c r="B4" s="198"/>
      <c r="C4" s="198"/>
      <c r="D4" s="198"/>
      <c r="E4" s="198"/>
      <c r="F4" s="198"/>
      <c r="G4" s="198"/>
      <c r="H4" s="198"/>
      <c r="I4" s="198"/>
      <c r="J4" s="198"/>
      <c r="K4" s="198"/>
      <c r="L4" s="198"/>
      <c r="M4" s="198"/>
    </row>
    <row r="5" spans="1:13">
      <c r="A5" s="106" t="s">
        <v>5999</v>
      </c>
      <c r="C5" s="110">
        <f>COUNTA('Worksheet (GOL)'!$A$2:$A$1080)</f>
        <v>1079</v>
      </c>
      <c r="E5" s="106" t="s">
        <v>6000</v>
      </c>
      <c r="G5" s="111">
        <v>0.5</v>
      </c>
    </row>
    <row r="6" spans="1:13">
      <c r="A6" s="106" t="s">
        <v>6001</v>
      </c>
      <c r="C6" s="112">
        <f>SUM('Worksheet (GOL)'!$J$2:$J$1080)</f>
        <v>393457244</v>
      </c>
      <c r="E6" s="106" t="s">
        <v>6002</v>
      </c>
      <c r="G6" s="111">
        <v>0.3</v>
      </c>
    </row>
    <row r="7" spans="1:13">
      <c r="A7" s="106" t="s">
        <v>6003</v>
      </c>
      <c r="C7" s="110">
        <f>COUNTIF('Worksheet (GOL)'!$T$2:$T$1080,"Uang &amp; Setara Uang")</f>
        <v>125</v>
      </c>
      <c r="E7" s="106" t="s">
        <v>6004</v>
      </c>
      <c r="G7" s="111">
        <v>0.2</v>
      </c>
    </row>
    <row r="8" spans="1:13">
      <c r="A8" s="106" t="s">
        <v>6005</v>
      </c>
      <c r="C8" s="113">
        <f>COUNTIF('Worksheet (GOL)'!$G$2:$G$1080,"Penolakan")/C5</f>
        <v>0.12882298424467098</v>
      </c>
      <c r="E8" s="106" t="s">
        <v>6006</v>
      </c>
      <c r="G8" s="114">
        <f>SUM(G5:G7)</f>
        <v>1</v>
      </c>
    </row>
    <row r="9" spans="1:13">
      <c r="A9" s="106" t="s">
        <v>6007</v>
      </c>
      <c r="C9" s="115" t="str">
        <f>INDEX($A$17:$A$26,MATCH(MAX($H$17:$H$26),$H$17:$H$26,0))</f>
        <v>Ketua Pengadilan</v>
      </c>
    </row>
    <row r="10" spans="1:13">
      <c r="A10" s="106" t="s">
        <v>6008</v>
      </c>
      <c r="C10" s="115" t="str">
        <f>INDEX($A$32:$A$43,MATCH(MAX($B$32:$B$43),$B$32:$B$43,0))</f>
        <v>Makanan &amp; Minuman</v>
      </c>
    </row>
    <row r="11" spans="1:13">
      <c r="A11" s="106" t="s">
        <v>6009</v>
      </c>
      <c r="C11" s="115" t="str">
        <f>INDEX($A$49:$A$60,MATCH(MAX($G$49:$G$60),$G$49:$G$60,0))</f>
        <v>Pemberian Umum / Tanpa Konteks</v>
      </c>
    </row>
    <row r="12" spans="1:13">
      <c r="A12" s="106" t="s">
        <v>6010</v>
      </c>
      <c r="C12" s="106" t="str" cm="1">
        <f t="array" ref="C12">TEXT(MIN(IFERROR(--'Worksheet (GOL)'!$V$2:$V$1080,9999)),"0")&amp;" – "&amp;TEXT(MAX(IFERROR(--'Worksheet (GOL)'!$V$2:$V$1080,0)),"0")&amp;" ("&amp;COUNTIF('Worksheet (GOL)'!$V$2:$V$1080,"(tidak diisi)")&amp;" laporan tanpa tanggal)"</f>
        <v>2017 – 2026 (59 laporan tanpa tanggal)</v>
      </c>
    </row>
    <row r="15" spans="1:13" ht="15.6">
      <c r="A15" s="198" t="s">
        <v>6011</v>
      </c>
      <c r="B15" s="198"/>
      <c r="C15" s="198"/>
      <c r="D15" s="198"/>
      <c r="E15" s="198"/>
      <c r="F15" s="198"/>
      <c r="G15" s="198"/>
      <c r="H15" s="198"/>
      <c r="I15" s="198"/>
      <c r="J15" s="198"/>
      <c r="K15" s="198"/>
      <c r="L15" s="198"/>
      <c r="M15" s="198"/>
    </row>
    <row r="16" spans="1:13" ht="28.8">
      <c r="A16" s="116" t="s">
        <v>993</v>
      </c>
      <c r="B16" s="116" t="s">
        <v>6012</v>
      </c>
      <c r="C16" s="116" t="s">
        <v>6013</v>
      </c>
      <c r="D16" s="116" t="s">
        <v>6014</v>
      </c>
      <c r="E16" s="116" t="s">
        <v>6015</v>
      </c>
      <c r="F16" s="116" t="s">
        <v>6016</v>
      </c>
      <c r="G16" s="116" t="s">
        <v>6017</v>
      </c>
      <c r="H16" s="116" t="s">
        <v>6018</v>
      </c>
      <c r="I16" s="116" t="s">
        <v>6019</v>
      </c>
    </row>
    <row r="17" spans="1:13">
      <c r="A17" s="106" t="s">
        <v>1144</v>
      </c>
      <c r="B17" s="117">
        <f>COUNTIF('Worksheet (GOL)'!$S$2:$S$1080,$A17)</f>
        <v>416</v>
      </c>
      <c r="C17" s="118">
        <f>B17/$B$27</f>
        <v>0.38554216867469882</v>
      </c>
      <c r="D17" s="117">
        <f>COUNTIFS('Worksheet (GOL)'!$S$2:$S$1080,$A17,'Worksheet (GOL)'!$T$2:$T$1080,"Uang &amp; Setara Uang")</f>
        <v>41</v>
      </c>
      <c r="E17" s="118">
        <f>IFERROR(D17/B17,0)</f>
        <v>9.8557692307692304E-2</v>
      </c>
      <c r="F17" s="119">
        <f>SUMIF('Worksheet (GOL)'!$S$2:$S$1080,$A17,'Worksheet (GOL)'!$J$2:$J$1080)</f>
        <v>186331376</v>
      </c>
      <c r="G17" s="117">
        <f>COUNTIFS('Worksheet (GOL)'!$S$2:$S$1080,$A17,'Worksheet (GOL)'!$G$2:$G$1080,"Penolakan")</f>
        <v>64</v>
      </c>
      <c r="H17" s="120">
        <f>100*($G$5*B17/MAX($B$17:$B$26)+$G$6*E17/MAX($E$17:$E$26)+$G$7*F17/MAX($F$17:$F$26))</f>
        <v>82.671703296703299</v>
      </c>
      <c r="I17" s="121">
        <f>RANK(H17,$H$17:$H$26)</f>
        <v>1</v>
      </c>
    </row>
    <row r="18" spans="1:13">
      <c r="A18" s="106" t="s">
        <v>1033</v>
      </c>
      <c r="B18" s="117">
        <f>COUNTIF('Worksheet (GOL)'!$S$2:$S$1080,$A18)</f>
        <v>220</v>
      </c>
      <c r="C18" s="118">
        <f t="shared" ref="C18:C26" si="0">B18/$B$27</f>
        <v>0.20389249304911955</v>
      </c>
      <c r="D18" s="117">
        <f>COUNTIFS('Worksheet (GOL)'!$S$2:$S$1080,$A18,'Worksheet (GOL)'!$T$2:$T$1080,"Uang &amp; Setara Uang")</f>
        <v>32</v>
      </c>
      <c r="E18" s="118">
        <f t="shared" ref="E18:E26" si="1">IFERROR(D18/B18,0)</f>
        <v>0.14545454545454545</v>
      </c>
      <c r="F18" s="119">
        <f>SUMIF('Worksheet (GOL)'!$S$2:$S$1080,$A18,'Worksheet (GOL)'!$J$2:$J$1080)</f>
        <v>66496736</v>
      </c>
      <c r="G18" s="117">
        <f>COUNTIFS('Worksheet (GOL)'!$S$2:$S$1080,$A18,'Worksheet (GOL)'!$G$2:$G$1080,"Penolakan")</f>
        <v>23</v>
      </c>
      <c r="H18" s="120">
        <f t="shared" ref="H18:H26" si="2">100*($G$5*B18/MAX($B$17:$B$26)+$G$6*E18/MAX($E$17:$E$26)+$G$7*F18/MAX($F$17:$F$26))</f>
        <v>52.281077004031133</v>
      </c>
      <c r="I18" s="121">
        <f t="shared" ref="I18:I26" si="3">RANK(H18,$H$17:$H$26)</f>
        <v>2</v>
      </c>
    </row>
    <row r="19" spans="1:13">
      <c r="A19" s="106" t="s">
        <v>1024</v>
      </c>
      <c r="B19" s="117">
        <f>COUNTIF('Worksheet (GOL)'!$S$2:$S$1080,$A19)</f>
        <v>95</v>
      </c>
      <c r="C19" s="118">
        <f t="shared" si="0"/>
        <v>8.8044485634847083E-2</v>
      </c>
      <c r="D19" s="117">
        <f>COUNTIFS('Worksheet (GOL)'!$S$2:$S$1080,$A19,'Worksheet (GOL)'!$T$2:$T$1080,"Uang &amp; Setara Uang")</f>
        <v>8</v>
      </c>
      <c r="E19" s="118">
        <f t="shared" si="1"/>
        <v>8.4210526315789472E-2</v>
      </c>
      <c r="F19" s="119">
        <f>SUMIF('Worksheet (GOL)'!$S$2:$S$1080,$A19,'Worksheet (GOL)'!$J$2:$J$1080)</f>
        <v>54676188</v>
      </c>
      <c r="G19" s="117">
        <f>COUNTIFS('Worksheet (GOL)'!$S$2:$S$1080,$A19,'Worksheet (GOL)'!$G$2:$G$1080,"Penolakan")</f>
        <v>10</v>
      </c>
      <c r="H19" s="120">
        <f t="shared" si="2"/>
        <v>28.114041266725781</v>
      </c>
      <c r="I19" s="121">
        <f t="shared" si="3"/>
        <v>5</v>
      </c>
    </row>
    <row r="20" spans="1:13">
      <c r="A20" s="106" t="s">
        <v>1507</v>
      </c>
      <c r="B20" s="117">
        <f>COUNTIF('Worksheet (GOL)'!$S$2:$S$1080,$A20)</f>
        <v>92</v>
      </c>
      <c r="C20" s="118">
        <f t="shared" si="0"/>
        <v>8.5264133456904548E-2</v>
      </c>
      <c r="D20" s="117">
        <f>COUNTIFS('Worksheet (GOL)'!$S$2:$S$1080,$A20,'Worksheet (GOL)'!$T$2:$T$1080,"Uang &amp; Setara Uang")</f>
        <v>8</v>
      </c>
      <c r="E20" s="118">
        <f t="shared" si="1"/>
        <v>8.6956521739130432E-2</v>
      </c>
      <c r="F20" s="119">
        <f>SUMIF('Worksheet (GOL)'!$S$2:$S$1080,$A20,'Worksheet (GOL)'!$J$2:$J$1080)</f>
        <v>9759800</v>
      </c>
      <c r="G20" s="117">
        <f>COUNTIFS('Worksheet (GOL)'!$S$2:$S$1080,$A20,'Worksheet (GOL)'!$G$2:$G$1080,"Penolakan")</f>
        <v>8</v>
      </c>
      <c r="H20" s="120">
        <f t="shared" si="2"/>
        <v>23.285391041773369</v>
      </c>
      <c r="I20" s="121">
        <f t="shared" si="3"/>
        <v>7</v>
      </c>
    </row>
    <row r="21" spans="1:13">
      <c r="A21" s="106" t="s">
        <v>6020</v>
      </c>
      <c r="B21" s="117">
        <f>COUNTIF('Worksheet (GOL)'!$S$2:$S$1080,$A21)</f>
        <v>80</v>
      </c>
      <c r="C21" s="118">
        <f t="shared" si="0"/>
        <v>7.4142724745134378E-2</v>
      </c>
      <c r="D21" s="117">
        <f>COUNTIFS('Worksheet (GOL)'!$S$2:$S$1080,$A21,'Worksheet (GOL)'!$T$2:$T$1080,"Uang &amp; Setara Uang")</f>
        <v>9</v>
      </c>
      <c r="E21" s="118">
        <f t="shared" si="1"/>
        <v>0.1125</v>
      </c>
      <c r="F21" s="119">
        <f>SUMIF('Worksheet (GOL)'!$S$2:$S$1080,$A21,'Worksheet (GOL)'!$J$2:$J$1080)</f>
        <v>1952116</v>
      </c>
      <c r="G21" s="117">
        <f>COUNTIFS('Worksheet (GOL)'!$S$2:$S$1080,$A21,'Worksheet (GOL)'!$G$2:$G$1080,"Penolakan")</f>
        <v>15</v>
      </c>
      <c r="H21" s="120">
        <f t="shared" si="2"/>
        <v>24.289201976127988</v>
      </c>
      <c r="I21" s="121">
        <f t="shared" si="3"/>
        <v>6</v>
      </c>
    </row>
    <row r="22" spans="1:13">
      <c r="A22" s="106" t="s">
        <v>1336</v>
      </c>
      <c r="B22" s="117">
        <f>COUNTIF('Worksheet (GOL)'!$S$2:$S$1080,$A22)</f>
        <v>76</v>
      </c>
      <c r="C22" s="118">
        <f t="shared" si="0"/>
        <v>7.0435588507877664E-2</v>
      </c>
      <c r="D22" s="117">
        <f>COUNTIFS('Worksheet (GOL)'!$S$2:$S$1080,$A22,'Worksheet (GOL)'!$T$2:$T$1080,"Uang &amp; Setara Uang")</f>
        <v>15</v>
      </c>
      <c r="E22" s="118">
        <f t="shared" si="1"/>
        <v>0.19736842105263158</v>
      </c>
      <c r="F22" s="119">
        <f>SUMIF('Worksheet (GOL)'!$S$2:$S$1080,$A22,'Worksheet (GOL)'!$J$2:$J$1080)</f>
        <v>53550072</v>
      </c>
      <c r="G22" s="117">
        <f>COUNTIFS('Worksheet (GOL)'!$S$2:$S$1080,$A22,'Worksheet (GOL)'!$G$2:$G$1080,"Penolakan")</f>
        <v>9</v>
      </c>
      <c r="H22" s="120">
        <f t="shared" si="2"/>
        <v>40.258387204309798</v>
      </c>
      <c r="I22" s="121">
        <f t="shared" si="3"/>
        <v>3</v>
      </c>
    </row>
    <row r="23" spans="1:13">
      <c r="A23" s="106" t="s">
        <v>6021</v>
      </c>
      <c r="B23" s="117">
        <f>COUNTIF('Worksheet (GOL)'!$S$2:$S$1080,$A23)</f>
        <v>50</v>
      </c>
      <c r="C23" s="118">
        <f t="shared" si="0"/>
        <v>4.6339202965708988E-2</v>
      </c>
      <c r="D23" s="117">
        <f>COUNTIFS('Worksheet (GOL)'!$S$2:$S$1080,$A23,'Worksheet (GOL)'!$T$2:$T$1080,"Uang &amp; Setara Uang")</f>
        <v>4</v>
      </c>
      <c r="E23" s="118">
        <f t="shared" si="1"/>
        <v>0.08</v>
      </c>
      <c r="F23" s="119">
        <f>SUMIF('Worksheet (GOL)'!$S$2:$S$1080,$A23,'Worksheet (GOL)'!$J$2:$J$1080)</f>
        <v>10150097</v>
      </c>
      <c r="G23" s="117">
        <f>COUNTIFS('Worksheet (GOL)'!$S$2:$S$1080,$A23,'Worksheet (GOL)'!$G$2:$G$1080,"Penolakan")</f>
        <v>5</v>
      </c>
      <c r="H23" s="120">
        <f t="shared" si="2"/>
        <v>17.384796964340314</v>
      </c>
      <c r="I23" s="121">
        <f t="shared" si="3"/>
        <v>8</v>
      </c>
    </row>
    <row r="24" spans="1:13">
      <c r="A24" s="106" t="s">
        <v>6022</v>
      </c>
      <c r="B24" s="117">
        <f>COUNTIF('Worksheet (GOL)'!$S$2:$S$1080,$A24)</f>
        <v>30</v>
      </c>
      <c r="C24" s="118">
        <f t="shared" si="0"/>
        <v>2.7803521779425393E-2</v>
      </c>
      <c r="D24" s="117">
        <f>COUNTIFS('Worksheet (GOL)'!$S$2:$S$1080,$A24,'Worksheet (GOL)'!$T$2:$T$1080,"Uang &amp; Setara Uang")</f>
        <v>7</v>
      </c>
      <c r="E24" s="118">
        <f t="shared" si="1"/>
        <v>0.23333333333333334</v>
      </c>
      <c r="F24" s="119">
        <f>SUMIF('Worksheet (GOL)'!$S$2:$S$1080,$A24,'Worksheet (GOL)'!$J$2:$J$1080)</f>
        <v>1780859</v>
      </c>
      <c r="G24" s="117">
        <f>COUNTIFS('Worksheet (GOL)'!$S$2:$S$1080,$A24,'Worksheet (GOL)'!$G$2:$G$1080,"Penolakan")</f>
        <v>2</v>
      </c>
      <c r="H24" s="120">
        <f t="shared" si="2"/>
        <v>33.796918895225097</v>
      </c>
      <c r="I24" s="121">
        <f t="shared" si="3"/>
        <v>4</v>
      </c>
    </row>
    <row r="25" spans="1:13">
      <c r="A25" s="106" t="s">
        <v>3330</v>
      </c>
      <c r="B25" s="117">
        <f>COUNTIF('Worksheet (GOL)'!$S$2:$S$1080,$A25)</f>
        <v>10</v>
      </c>
      <c r="C25" s="118">
        <f t="shared" si="0"/>
        <v>9.2678405931417972E-3</v>
      </c>
      <c r="D25" s="117">
        <f>COUNTIFS('Worksheet (GOL)'!$S$2:$S$1080,$A25,'Worksheet (GOL)'!$T$2:$T$1080,"Uang &amp; Setara Uang")</f>
        <v>0</v>
      </c>
      <c r="E25" s="118">
        <f t="shared" si="1"/>
        <v>0</v>
      </c>
      <c r="F25" s="119">
        <f>SUMIF('Worksheet (GOL)'!$S$2:$S$1080,$A25,'Worksheet (GOL)'!$J$2:$J$1080)</f>
        <v>20000</v>
      </c>
      <c r="G25" s="117">
        <f>COUNTIFS('Worksheet (GOL)'!$S$2:$S$1080,$A25,'Worksheet (GOL)'!$G$2:$G$1080,"Penolakan")</f>
        <v>0</v>
      </c>
      <c r="H25" s="120">
        <f t="shared" si="2"/>
        <v>1.2040697899919484</v>
      </c>
      <c r="I25" s="121">
        <f t="shared" si="3"/>
        <v>10</v>
      </c>
    </row>
    <row r="26" spans="1:13">
      <c r="A26" s="106" t="s">
        <v>6023</v>
      </c>
      <c r="B26" s="117">
        <f>COUNTIF('Worksheet (GOL)'!$S$2:$S$1080,$A26)</f>
        <v>10</v>
      </c>
      <c r="C26" s="118">
        <f t="shared" si="0"/>
        <v>9.2678405931417972E-3</v>
      </c>
      <c r="D26" s="117">
        <f>COUNTIFS('Worksheet (GOL)'!$S$2:$S$1080,$A26,'Worksheet (GOL)'!$T$2:$T$1080,"Uang &amp; Setara Uang")</f>
        <v>1</v>
      </c>
      <c r="E26" s="118">
        <f t="shared" si="1"/>
        <v>0.1</v>
      </c>
      <c r="F26" s="119">
        <f>SUMIF('Worksheet (GOL)'!$S$2:$S$1080,$A26,'Worksheet (GOL)'!$J$2:$J$1080)</f>
        <v>8740000</v>
      </c>
      <c r="G26" s="117">
        <f>COUNTIFS('Worksheet (GOL)'!$S$2:$S$1080,$A26,'Worksheet (GOL)'!$G$2:$G$1080,"Penolakan")</f>
        <v>3</v>
      </c>
      <c r="H26" s="120">
        <f t="shared" si="2"/>
        <v>14.997179545162759</v>
      </c>
      <c r="I26" s="121">
        <f t="shared" si="3"/>
        <v>9</v>
      </c>
    </row>
    <row r="27" spans="1:13">
      <c r="A27" s="122" t="s">
        <v>6024</v>
      </c>
      <c r="B27" s="123">
        <f>SUM(B17:B26)</f>
        <v>1079</v>
      </c>
      <c r="C27" s="124">
        <f>SUM(C17:C26)</f>
        <v>1.0000000000000002</v>
      </c>
      <c r="D27" s="123">
        <f>SUM(D17:D26)</f>
        <v>125</v>
      </c>
      <c r="E27" s="124">
        <f>D27/B27</f>
        <v>0.11584800741427248</v>
      </c>
      <c r="F27" s="125">
        <f>SUM(F17:F26)</f>
        <v>393457244</v>
      </c>
      <c r="G27" s="123">
        <f>SUM(G17:G26)</f>
        <v>139</v>
      </c>
      <c r="H27" s="122"/>
      <c r="I27" s="122"/>
    </row>
    <row r="30" spans="1:13" ht="15.6">
      <c r="A30" s="198" t="s">
        <v>6025</v>
      </c>
      <c r="B30" s="198"/>
      <c r="C30" s="198"/>
      <c r="D30" s="198"/>
      <c r="E30" s="198"/>
      <c r="F30" s="198"/>
      <c r="G30" s="198"/>
      <c r="H30" s="198"/>
      <c r="I30" s="198"/>
      <c r="J30" s="198"/>
      <c r="K30" s="198"/>
      <c r="L30" s="198"/>
      <c r="M30" s="198"/>
    </row>
    <row r="31" spans="1:13" ht="28.8">
      <c r="A31" s="116" t="s">
        <v>994</v>
      </c>
      <c r="B31" s="116" t="s">
        <v>6012</v>
      </c>
      <c r="C31" s="116" t="s">
        <v>6013</v>
      </c>
      <c r="D31" s="116" t="s">
        <v>6016</v>
      </c>
      <c r="E31" s="116" t="s">
        <v>6017</v>
      </c>
      <c r="F31" s="116" t="s">
        <v>6026</v>
      </c>
      <c r="G31" s="116" t="s">
        <v>6027</v>
      </c>
      <c r="H31" s="116" t="s">
        <v>6028</v>
      </c>
    </row>
    <row r="32" spans="1:13">
      <c r="A32" s="106" t="s">
        <v>6029</v>
      </c>
      <c r="B32" s="117">
        <f>COUNTIF('Worksheet (GOL)'!$T$2:$T$1080,$A32)</f>
        <v>325</v>
      </c>
      <c r="C32" s="118">
        <f>B32/$B$44</f>
        <v>0.30120481927710846</v>
      </c>
      <c r="D32" s="119">
        <f>SUMIF('Worksheet (GOL)'!$T$2:$T$1080,$A32,'Worksheet (GOL)'!$J$2:$J$1080)</f>
        <v>22102688</v>
      </c>
      <c r="E32" s="117">
        <f>COUNTIFS('Worksheet (GOL)'!$T$2:$T$1080,$A32,'Worksheet (GOL)'!$G$2:$G$1080,"Penolakan")</f>
        <v>38</v>
      </c>
      <c r="F32" s="118">
        <f>IFERROR(E32/B32,0)</f>
        <v>0.11692307692307692</v>
      </c>
      <c r="G32" s="106" t="str" cm="1">
        <f t="array" ref="G32">INDEX($A$17:$A$26,MATCH(MAX(COUNTIFS('Worksheet (GOL)'!$T$2:$T$1080,$A32,'Worksheet (GOL)'!$S$2:$S$1080,$A$17:$A$26)),COUNTIFS('Worksheet (GOL)'!$T$2:$T$1080,$A32,'Worksheet (GOL)'!$S$2:$S$1080,$A$17:$A$26),0))</f>
        <v>Ketua Pengadilan</v>
      </c>
      <c r="H32" s="106" t="str" cm="1">
        <f t="array" ref="H32">INDEX($A$49:$A$60,MATCH(MAX(COUNTIFS('Worksheet (GOL)'!$T$2:$T$1080,$A32,'Worksheet (GOL)'!$U$2:$U$1080,$A$49:$A$60)),COUNTIFS('Worksheet (GOL)'!$T$2:$T$1080,$A32,'Worksheet (GOL)'!$U$2:$U$1080,$A$49:$A$60),0))</f>
        <v>Pemberian Umum / Tanpa Konteks</v>
      </c>
    </row>
    <row r="33" spans="1:13">
      <c r="A33" s="106" t="s">
        <v>6030</v>
      </c>
      <c r="B33" s="117">
        <f>COUNTIF('Worksheet (GOL)'!$T$2:$T$1080,$A33)</f>
        <v>210</v>
      </c>
      <c r="C33" s="118">
        <f t="shared" ref="C33:C43" si="4">B33/$B$44</f>
        <v>0.19462465245597776</v>
      </c>
      <c r="D33" s="119">
        <f>SUMIF('Worksheet (GOL)'!$T$2:$T$1080,$A33,'Worksheet (GOL)'!$J$2:$J$1080)</f>
        <v>42387488</v>
      </c>
      <c r="E33" s="117">
        <f>COUNTIFS('Worksheet (GOL)'!$T$2:$T$1080,$A33,'Worksheet (GOL)'!$G$2:$G$1080,"Penolakan")</f>
        <v>26</v>
      </c>
      <c r="F33" s="118">
        <f t="shared" ref="F33:F43" si="5">IFERROR(E33/B33,0)</f>
        <v>0.12380952380952381</v>
      </c>
      <c r="G33" s="106" t="str" cm="1">
        <f t="array" ref="G33">INDEX($A$17:$A$26,MATCH(MAX(COUNTIFS('Worksheet (GOL)'!$T$2:$T$1080,$A33,'Worksheet (GOL)'!$S$2:$S$1080,$A$17:$A$26)),COUNTIFS('Worksheet (GOL)'!$T$2:$T$1080,$A33,'Worksheet (GOL)'!$S$2:$S$1080,$A$17:$A$26),0))</f>
        <v>Ketua Pengadilan</v>
      </c>
      <c r="H33" s="106" t="str" cm="1">
        <f t="array" ref="H33">INDEX($A$49:$A$60,MATCH(MAX(COUNTIFS('Worksheet (GOL)'!$T$2:$T$1080,$A33,'Worksheet (GOL)'!$U$2:$U$1080,$A$49:$A$60)),COUNTIFS('Worksheet (GOL)'!$T$2:$T$1080,$A33,'Worksheet (GOL)'!$U$2:$U$1080,$A$49:$A$60),0))</f>
        <v>Pemberian Umum / Tanpa Konteks</v>
      </c>
    </row>
    <row r="34" spans="1:13">
      <c r="A34" s="106" t="s">
        <v>6031</v>
      </c>
      <c r="B34" s="117">
        <f>COUNTIF('Worksheet (GOL)'!$T$2:$T$1080,$A34)</f>
        <v>125</v>
      </c>
      <c r="C34" s="118">
        <f t="shared" si="4"/>
        <v>0.11584800741427248</v>
      </c>
      <c r="D34" s="119">
        <f>SUMIF('Worksheet (GOL)'!$T$2:$T$1080,$A34,'Worksheet (GOL)'!$J$2:$J$1080)</f>
        <v>255632912</v>
      </c>
      <c r="E34" s="117">
        <f>COUNTIFS('Worksheet (GOL)'!$T$2:$T$1080,$A34,'Worksheet (GOL)'!$G$2:$G$1080,"Penolakan")</f>
        <v>34</v>
      </c>
      <c r="F34" s="118">
        <f t="shared" si="5"/>
        <v>0.27200000000000002</v>
      </c>
      <c r="G34" s="106" t="str" cm="1">
        <f t="array" ref="G34">INDEX($A$17:$A$26,MATCH(MAX(COUNTIFS('Worksheet (GOL)'!$T$2:$T$1080,$A34,'Worksheet (GOL)'!$S$2:$S$1080,$A$17:$A$26)),COUNTIFS('Worksheet (GOL)'!$T$2:$T$1080,$A34,'Worksheet (GOL)'!$S$2:$S$1080,$A$17:$A$26),0))</f>
        <v>Ketua Pengadilan</v>
      </c>
      <c r="H34" s="106" t="str" cm="1">
        <f t="array" ref="H34">INDEX($A$49:$A$60,MATCH(MAX(COUNTIFS('Worksheet (GOL)'!$T$2:$T$1080,$A34,'Worksheet (GOL)'!$U$2:$U$1080,$A$49:$A$60)),COUNTIFS('Worksheet (GOL)'!$T$2:$T$1080,$A34,'Worksheet (GOL)'!$U$2:$U$1080,$A$49:$A$60),0))</f>
        <v>Pemberian Uang Langsung</v>
      </c>
    </row>
    <row r="35" spans="1:13">
      <c r="A35" s="106" t="s">
        <v>6032</v>
      </c>
      <c r="B35" s="117">
        <f>COUNTIF('Worksheet (GOL)'!$T$2:$T$1080,$A35)</f>
        <v>122</v>
      </c>
      <c r="C35" s="118">
        <f t="shared" si="4"/>
        <v>0.11306765523632993</v>
      </c>
      <c r="D35" s="119">
        <f>SUMIF('Worksheet (GOL)'!$T$2:$T$1080,$A35,'Worksheet (GOL)'!$J$2:$J$1080)</f>
        <v>26476428</v>
      </c>
      <c r="E35" s="117">
        <f>COUNTIFS('Worksheet (GOL)'!$T$2:$T$1080,$A35,'Worksheet (GOL)'!$G$2:$G$1080,"Penolakan")</f>
        <v>5</v>
      </c>
      <c r="F35" s="118">
        <f t="shared" si="5"/>
        <v>4.0983606557377046E-2</v>
      </c>
      <c r="G35" s="106" t="str" cm="1">
        <f t="array" ref="G35">INDEX($A$17:$A$26,MATCH(MAX(COUNTIFS('Worksheet (GOL)'!$T$2:$T$1080,$A35,'Worksheet (GOL)'!$S$2:$S$1080,$A$17:$A$26)),COUNTIFS('Worksheet (GOL)'!$T$2:$T$1080,$A35,'Worksheet (GOL)'!$S$2:$S$1080,$A$17:$A$26),0))</f>
        <v>Ketua Pengadilan</v>
      </c>
      <c r="H35" s="106" t="str" cm="1">
        <f t="array" ref="H35">INDEX($A$49:$A$60,MATCH(MAX(COUNTIFS('Worksheet (GOL)'!$T$2:$T$1080,$A35,'Worksheet (GOL)'!$U$2:$U$1080,$A$49:$A$60)),COUNTIFS('Worksheet (GOL)'!$T$2:$T$1080,$A35,'Worksheet (GOL)'!$U$2:$U$1080,$A$49:$A$60),0))</f>
        <v>Pemberian Umum / Tanpa Konteks</v>
      </c>
    </row>
    <row r="36" spans="1:13">
      <c r="A36" s="106" t="s">
        <v>6033</v>
      </c>
      <c r="B36" s="117">
        <f>COUNTIF('Worksheet (GOL)'!$T$2:$T$1080,$A36)</f>
        <v>82</v>
      </c>
      <c r="C36" s="118">
        <f t="shared" si="4"/>
        <v>7.5996292863762749E-2</v>
      </c>
      <c r="D36" s="119">
        <f>SUMIF('Worksheet (GOL)'!$T$2:$T$1080,$A36,'Worksheet (GOL)'!$J$2:$J$1080)</f>
        <v>4452400</v>
      </c>
      <c r="E36" s="117">
        <f>COUNTIFS('Worksheet (GOL)'!$T$2:$T$1080,$A36,'Worksheet (GOL)'!$G$2:$G$1080,"Penolakan")</f>
        <v>1</v>
      </c>
      <c r="F36" s="118">
        <f t="shared" si="5"/>
        <v>1.2195121951219513E-2</v>
      </c>
      <c r="G36" s="106" t="str" cm="1">
        <f t="array" ref="G36">INDEX($A$17:$A$26,MATCH(MAX(COUNTIFS('Worksheet (GOL)'!$T$2:$T$1080,$A36,'Worksheet (GOL)'!$S$2:$S$1080,$A$17:$A$26)),COUNTIFS('Worksheet (GOL)'!$T$2:$T$1080,$A36,'Worksheet (GOL)'!$S$2:$S$1080,$A$17:$A$26),0))</f>
        <v>Ketua Pengadilan</v>
      </c>
      <c r="H36" s="106" t="str" cm="1">
        <f t="array" ref="H36">INDEX($A$49:$A$60,MATCH(MAX(COUNTIFS('Worksheet (GOL)'!$T$2:$T$1080,$A36,'Worksheet (GOL)'!$U$2:$U$1080,$A$49:$A$60)),COUNTIFS('Worksheet (GOL)'!$T$2:$T$1080,$A36,'Worksheet (GOL)'!$U$2:$U$1080,$A$49:$A$60),0))</f>
        <v>Suvenir / Merchandise Kegiatan &amp; Kunjungan</v>
      </c>
    </row>
    <row r="37" spans="1:13">
      <c r="A37" s="106" t="s">
        <v>6034</v>
      </c>
      <c r="B37" s="117">
        <f>COUNTIF('Worksheet (GOL)'!$T$2:$T$1080,$A37)</f>
        <v>37</v>
      </c>
      <c r="C37" s="118">
        <f t="shared" si="4"/>
        <v>3.4291010194624653E-2</v>
      </c>
      <c r="D37" s="119">
        <f>SUMIF('Worksheet (GOL)'!$T$2:$T$1080,$A37,'Worksheet (GOL)'!$J$2:$J$1080)</f>
        <v>7340048</v>
      </c>
      <c r="E37" s="117">
        <f>COUNTIFS('Worksheet (GOL)'!$T$2:$T$1080,$A37,'Worksheet (GOL)'!$G$2:$G$1080,"Penolakan")</f>
        <v>1</v>
      </c>
      <c r="F37" s="118">
        <f t="shared" si="5"/>
        <v>2.7027027027027029E-2</v>
      </c>
      <c r="G37" s="106" t="str" cm="1">
        <f t="array" ref="G37">INDEX($A$17:$A$26,MATCH(MAX(COUNTIFS('Worksheet (GOL)'!$T$2:$T$1080,$A37,'Worksheet (GOL)'!$S$2:$S$1080,$A$17:$A$26)),COUNTIFS('Worksheet (GOL)'!$T$2:$T$1080,$A37,'Worksheet (GOL)'!$S$2:$S$1080,$A$17:$A$26),0))</f>
        <v>Ketua Pengadilan</v>
      </c>
      <c r="H37" s="106" t="str" cm="1">
        <f t="array" ref="H37">INDEX($A$49:$A$60,MATCH(MAX(COUNTIFS('Worksheet (GOL)'!$T$2:$T$1080,$A37,'Worksheet (GOL)'!$U$2:$U$1080,$A$49:$A$60)),COUNTIFS('Worksheet (GOL)'!$T$2:$T$1080,$A37,'Worksheet (GOL)'!$U$2:$U$1080,$A$49:$A$60),0))</f>
        <v>Pemberian Umum / Tanpa Konteks</v>
      </c>
    </row>
    <row r="38" spans="1:13">
      <c r="A38" s="106" t="s">
        <v>6035</v>
      </c>
      <c r="B38" s="117">
        <f>COUNTIF('Worksheet (GOL)'!$T$2:$T$1080,$A38)</f>
        <v>32</v>
      </c>
      <c r="C38" s="118">
        <f t="shared" si="4"/>
        <v>2.9657089898053754E-2</v>
      </c>
      <c r="D38" s="119">
        <f>SUMIF('Worksheet (GOL)'!$T$2:$T$1080,$A38,'Worksheet (GOL)'!$J$2:$J$1080)</f>
        <v>2809950</v>
      </c>
      <c r="E38" s="117">
        <f>COUNTIFS('Worksheet (GOL)'!$T$2:$T$1080,$A38,'Worksheet (GOL)'!$G$2:$G$1080,"Penolakan")</f>
        <v>3</v>
      </c>
      <c r="F38" s="118">
        <f t="shared" si="5"/>
        <v>9.375E-2</v>
      </c>
      <c r="G38" s="106" t="str" cm="1">
        <f t="array" ref="G38">INDEX($A$17:$A$26,MATCH(MAX(COUNTIFS('Worksheet (GOL)'!$T$2:$T$1080,$A38,'Worksheet (GOL)'!$S$2:$S$1080,$A$17:$A$26)),COUNTIFS('Worksheet (GOL)'!$T$2:$T$1080,$A38,'Worksheet (GOL)'!$S$2:$S$1080,$A$17:$A$26),0))</f>
        <v>Ketua Pengadilan</v>
      </c>
      <c r="H38" s="106" t="str" cm="1">
        <f t="array" ref="H38">INDEX($A$49:$A$60,MATCH(MAX(COUNTIFS('Worksheet (GOL)'!$T$2:$T$1080,$A38,'Worksheet (GOL)'!$U$2:$U$1080,$A$49:$A$60)),COUNTIFS('Worksheet (GOL)'!$T$2:$T$1080,$A38,'Worksheet (GOL)'!$U$2:$U$1080,$A$49:$A$60),0))</f>
        <v>Bingkisan Hari Raya / Keagamaan</v>
      </c>
    </row>
    <row r="39" spans="1:13">
      <c r="A39" s="106" t="s">
        <v>6036</v>
      </c>
      <c r="B39" s="117">
        <f>COUNTIF('Worksheet (GOL)'!$T$2:$T$1080,$A39)</f>
        <v>23</v>
      </c>
      <c r="C39" s="118">
        <f t="shared" si="4"/>
        <v>2.1316033364226137E-2</v>
      </c>
      <c r="D39" s="119">
        <f>SUMIF('Worksheet (GOL)'!$T$2:$T$1080,$A39,'Worksheet (GOL)'!$J$2:$J$1080)</f>
        <v>550000</v>
      </c>
      <c r="E39" s="117">
        <f>COUNTIFS('Worksheet (GOL)'!$T$2:$T$1080,$A39,'Worksheet (GOL)'!$G$2:$G$1080,"Penolakan")</f>
        <v>2</v>
      </c>
      <c r="F39" s="118">
        <f t="shared" si="5"/>
        <v>8.6956521739130432E-2</v>
      </c>
      <c r="G39" s="106" t="str" cm="1">
        <f t="array" ref="G39">INDEX($A$17:$A$26,MATCH(MAX(COUNTIFS('Worksheet (GOL)'!$T$2:$T$1080,$A39,'Worksheet (GOL)'!$S$2:$S$1080,$A$17:$A$26)),COUNTIFS('Worksheet (GOL)'!$T$2:$T$1080,$A39,'Worksheet (GOL)'!$S$2:$S$1080,$A$17:$A$26),0))</f>
        <v>Ketua Pengadilan</v>
      </c>
      <c r="H39" s="106" t="str" cm="1">
        <f t="array" ref="H39">INDEX($A$49:$A$60,MATCH(MAX(COUNTIFS('Worksheet (GOL)'!$T$2:$T$1080,$A39,'Worksheet (GOL)'!$U$2:$U$1080,$A$49:$A$60)),COUNTIFS('Worksheet (GOL)'!$T$2:$T$1080,$A39,'Worksheet (GOL)'!$U$2:$U$1080,$A$49:$A$60),0))</f>
        <v>Ucapan Duka/Selamat (Karangan Bunga)</v>
      </c>
    </row>
    <row r="40" spans="1:13">
      <c r="A40" s="106" t="s">
        <v>6037</v>
      </c>
      <c r="B40" s="117">
        <f>COUNTIF('Worksheet (GOL)'!$T$2:$T$1080,$A40)</f>
        <v>15</v>
      </c>
      <c r="C40" s="118">
        <f t="shared" si="4"/>
        <v>1.3901760889712697E-2</v>
      </c>
      <c r="D40" s="119">
        <f>SUMIF('Worksheet (GOL)'!$T$2:$T$1080,$A40,'Worksheet (GOL)'!$J$2:$J$1080)</f>
        <v>11733830</v>
      </c>
      <c r="E40" s="117">
        <f>COUNTIFS('Worksheet (GOL)'!$T$2:$T$1080,$A40,'Worksheet (GOL)'!$G$2:$G$1080,"Penolakan")</f>
        <v>3</v>
      </c>
      <c r="F40" s="118">
        <f t="shared" si="5"/>
        <v>0.2</v>
      </c>
      <c r="G40" s="106" t="str" cm="1">
        <f t="array" ref="G40">INDEX($A$17:$A$26,MATCH(MAX(COUNTIFS('Worksheet (GOL)'!$T$2:$T$1080,$A40,'Worksheet (GOL)'!$S$2:$S$1080,$A$17:$A$26)),COUNTIFS('Worksheet (GOL)'!$T$2:$T$1080,$A40,'Worksheet (GOL)'!$S$2:$S$1080,$A$17:$A$26),0))</f>
        <v>Ketua Pengadilan</v>
      </c>
      <c r="H40" s="106" t="str" cm="1">
        <f t="array" ref="H40">INDEX($A$49:$A$60,MATCH(MAX(COUNTIFS('Worksheet (GOL)'!$T$2:$T$1080,$A40,'Worksheet (GOL)'!$U$2:$U$1080,$A$49:$A$60)),COUNTIFS('Worksheet (GOL)'!$T$2:$T$1080,$A40,'Worksheet (GOL)'!$U$2:$U$1080,$A$49:$A$60),0))</f>
        <v>Pemberian Umum / Tanpa Konteks</v>
      </c>
    </row>
    <row r="41" spans="1:13">
      <c r="A41" s="106" t="s">
        <v>6038</v>
      </c>
      <c r="B41" s="117">
        <f>COUNTIF('Worksheet (GOL)'!$T$2:$T$1080,$A41)</f>
        <v>7</v>
      </c>
      <c r="C41" s="118">
        <f t="shared" si="4"/>
        <v>6.4874884151992582E-3</v>
      </c>
      <c r="D41" s="119">
        <f>SUMIF('Worksheet (GOL)'!$T$2:$T$1080,$A41,'Worksheet (GOL)'!$J$2:$J$1080)</f>
        <v>7040000</v>
      </c>
      <c r="E41" s="117">
        <f>COUNTIFS('Worksheet (GOL)'!$T$2:$T$1080,$A41,'Worksheet (GOL)'!$G$2:$G$1080,"Penolakan")</f>
        <v>0</v>
      </c>
      <c r="F41" s="118">
        <f t="shared" si="5"/>
        <v>0</v>
      </c>
      <c r="G41" s="106" t="str" cm="1">
        <f t="array" ref="G41">INDEX($A$17:$A$26,MATCH(MAX(COUNTIFS('Worksheet (GOL)'!$T$2:$T$1080,$A41,'Worksheet (GOL)'!$S$2:$S$1080,$A$17:$A$26)),COUNTIFS('Worksheet (GOL)'!$T$2:$T$1080,$A41,'Worksheet (GOL)'!$S$2:$S$1080,$A$17:$A$26),0))</f>
        <v>Ketua Pengadilan</v>
      </c>
      <c r="H41" s="106" t="str" cm="1">
        <f t="array" ref="H41">INDEX($A$49:$A$60,MATCH(MAX(COUNTIFS('Worksheet (GOL)'!$T$2:$T$1080,$A41,'Worksheet (GOL)'!$U$2:$U$1080,$A$49:$A$60)),COUNTIFS('Worksheet (GOL)'!$T$2:$T$1080,$A41,'Worksheet (GOL)'!$U$2:$U$1080,$A$49:$A$60),0))</f>
        <v>Pemberian Umum / Tanpa Konteks</v>
      </c>
    </row>
    <row r="42" spans="1:13">
      <c r="A42" s="106" t="s">
        <v>6039</v>
      </c>
      <c r="B42" s="117">
        <f>COUNTIF('Worksheet (GOL)'!$T$2:$T$1080,$A42)</f>
        <v>42</v>
      </c>
      <c r="C42" s="118">
        <f t="shared" si="4"/>
        <v>3.8924930491195553E-2</v>
      </c>
      <c r="D42" s="119">
        <f>SUMIF('Worksheet (GOL)'!$T$2:$T$1080,$A42,'Worksheet (GOL)'!$J$2:$J$1080)</f>
        <v>12931500</v>
      </c>
      <c r="E42" s="117">
        <f>COUNTIFS('Worksheet (GOL)'!$T$2:$T$1080,$A42,'Worksheet (GOL)'!$G$2:$G$1080,"Penolakan")</f>
        <v>5</v>
      </c>
      <c r="F42" s="118">
        <f t="shared" si="5"/>
        <v>0.11904761904761904</v>
      </c>
      <c r="G42" s="106" t="str" cm="1">
        <f t="array" ref="G42">INDEX($A$17:$A$26,MATCH(MAX(COUNTIFS('Worksheet (GOL)'!$T$2:$T$1080,$A42,'Worksheet (GOL)'!$S$2:$S$1080,$A$17:$A$26)),COUNTIFS('Worksheet (GOL)'!$T$2:$T$1080,$A42,'Worksheet (GOL)'!$S$2:$S$1080,$A$17:$A$26),0))</f>
        <v>Hakim</v>
      </c>
      <c r="H42" s="106" t="str" cm="1">
        <f t="array" ref="H42">INDEX($A$49:$A$60,MATCH(MAX(COUNTIFS('Worksheet (GOL)'!$T$2:$T$1080,$A42,'Worksheet (GOL)'!$U$2:$U$1080,$A$49:$A$60)),COUNTIFS('Worksheet (GOL)'!$T$2:$T$1080,$A42,'Worksheet (GOL)'!$U$2:$U$1080,$A$49:$A$60),0))</f>
        <v>Pemberian Umum / Tanpa Konteks</v>
      </c>
    </row>
    <row r="43" spans="1:13">
      <c r="A43" s="106" t="s">
        <v>6040</v>
      </c>
      <c r="B43" s="117">
        <f>COUNTIF('Worksheet (GOL)'!$T$2:$T$1080,$A43)</f>
        <v>59</v>
      </c>
      <c r="C43" s="118">
        <f t="shared" si="4"/>
        <v>5.4680259499536608E-2</v>
      </c>
      <c r="D43" s="119">
        <f>SUMIF('Worksheet (GOL)'!$T$2:$T$1080,$A43,'Worksheet (GOL)'!$J$2:$J$1080)</f>
        <v>0</v>
      </c>
      <c r="E43" s="117">
        <f>COUNTIFS('Worksheet (GOL)'!$T$2:$T$1080,$A43,'Worksheet (GOL)'!$G$2:$G$1080,"Penolakan")</f>
        <v>21</v>
      </c>
      <c r="F43" s="118">
        <f t="shared" si="5"/>
        <v>0.3559322033898305</v>
      </c>
      <c r="G43" s="106" t="str" cm="1">
        <f t="array" ref="G43">INDEX($A$17:$A$26,MATCH(MAX(COUNTIFS('Worksheet (GOL)'!$T$2:$T$1080,$A43,'Worksheet (GOL)'!$S$2:$S$1080,$A$17:$A$26)),COUNTIFS('Worksheet (GOL)'!$T$2:$T$1080,$A43,'Worksheet (GOL)'!$S$2:$S$1080,$A$17:$A$26),0))</f>
        <v>Staf/Pegawai Pelaksana</v>
      </c>
      <c r="H43" s="106" t="str" cm="1">
        <f t="array" ref="H43">INDEX($A$49:$A$60,MATCH(MAX(COUNTIFS('Worksheet (GOL)'!$T$2:$T$1080,$A43,'Worksheet (GOL)'!$U$2:$U$1080,$A$49:$A$60)),COUNTIFS('Worksheet (GOL)'!$T$2:$T$1080,$A43,'Worksheet (GOL)'!$U$2:$U$1080,$A$49:$A$60),0))</f>
        <v>(tidak diisi)</v>
      </c>
    </row>
    <row r="44" spans="1:13">
      <c r="A44" s="122" t="s">
        <v>6024</v>
      </c>
      <c r="B44" s="123">
        <f>SUM(B32:B43)</f>
        <v>1079</v>
      </c>
      <c r="C44" s="124">
        <f>SUM(C32:C43)</f>
        <v>1</v>
      </c>
      <c r="D44" s="125">
        <f>SUM(D32:D43)</f>
        <v>393457244</v>
      </c>
      <c r="E44" s="123">
        <f>SUM(E32:E43)</f>
        <v>139</v>
      </c>
      <c r="F44" s="124">
        <f>E44/B44</f>
        <v>0.12882298424467098</v>
      </c>
      <c r="G44" s="122"/>
      <c r="H44" s="122"/>
    </row>
    <row r="47" spans="1:13" ht="15.6">
      <c r="A47" s="198" t="s">
        <v>6041</v>
      </c>
      <c r="B47" s="198"/>
      <c r="C47" s="198"/>
      <c r="D47" s="198"/>
      <c r="E47" s="198"/>
      <c r="F47" s="198"/>
      <c r="G47" s="198"/>
      <c r="H47" s="198"/>
      <c r="I47" s="198"/>
      <c r="J47" s="198"/>
      <c r="K47" s="198"/>
      <c r="L47" s="198"/>
      <c r="M47" s="198"/>
    </row>
    <row r="48" spans="1:13">
      <c r="A48" s="116" t="s">
        <v>995</v>
      </c>
      <c r="B48" s="116">
        <v>2017</v>
      </c>
      <c r="C48" s="116">
        <v>2023</v>
      </c>
      <c r="D48" s="116">
        <v>2024</v>
      </c>
      <c r="E48" s="116">
        <v>2025</v>
      </c>
      <c r="F48" s="116" t="s">
        <v>6042</v>
      </c>
      <c r="G48" s="116" t="s">
        <v>6043</v>
      </c>
      <c r="H48" s="116" t="s">
        <v>6013</v>
      </c>
      <c r="I48" s="116" t="s">
        <v>6044</v>
      </c>
      <c r="J48" s="116" t="s">
        <v>6045</v>
      </c>
      <c r="K48" s="116" t="s">
        <v>6046</v>
      </c>
      <c r="L48" s="116" t="s">
        <v>6047</v>
      </c>
      <c r="M48" s="116" t="s">
        <v>6048</v>
      </c>
    </row>
    <row r="49" spans="1:13">
      <c r="A49" s="106" t="s">
        <v>6049</v>
      </c>
      <c r="B49" s="126">
        <f>COUNTIFS('Worksheet (GOL)'!$U$2:$U$1080,$A49,'Worksheet (GOL)'!$V$2:$V$1080,B$48)</f>
        <v>0</v>
      </c>
      <c r="C49" s="126">
        <f>COUNTIFS('Worksheet (GOL)'!$U$2:$U$1080,$A49,'Worksheet (GOL)'!$V$2:$V$1080,C$48)</f>
        <v>0</v>
      </c>
      <c r="D49" s="126">
        <f>COUNTIFS('Worksheet (GOL)'!$U$2:$U$1080,$A49,'Worksheet (GOL)'!$V$2:$V$1080,D$48)</f>
        <v>2</v>
      </c>
      <c r="E49" s="126">
        <f>COUNTIFS('Worksheet (GOL)'!$U$2:$U$1080,$A49,'Worksheet (GOL)'!$V$2:$V$1080,E$48)</f>
        <v>291</v>
      </c>
      <c r="F49" s="126">
        <f>COUNTIFS('Worksheet (GOL)'!$U$2:$U$1080,$A49,'Worksheet (GOL)'!$V$2:$V$1080,F$48)</f>
        <v>142</v>
      </c>
      <c r="G49" s="117">
        <f>SUM(B49:F49)+COUNTIFS('Worksheet (GOL)'!$U$2:$U$1080,$A49,'Worksheet (GOL)'!$V$2:$V$1080,"(tidak diisi)")</f>
        <v>435</v>
      </c>
      <c r="H49" s="118">
        <f>G49/$G$61</f>
        <v>0.40315106580166821</v>
      </c>
      <c r="I49" s="127">
        <f>IFERROR(F49/E49-1,"n/a")</f>
        <v>-0.51202749140893467</v>
      </c>
      <c r="J49" s="106" t="str">
        <f>IF(OR(E49=0,F49=0),"data tipis",IF(I49&gt;0.15,"▲ Naik",IF(I49&lt;-0.15,"▼ Turun","▬ Stabil")))</f>
        <v>▼ Turun</v>
      </c>
      <c r="K49" s="118">
        <f>IFERROR(E49/E$61,"")</f>
        <v>0.46935483870967742</v>
      </c>
      <c r="L49" s="118">
        <f>IFERROR(F49/F$61,"")</f>
        <v>0.36410256410256409</v>
      </c>
      <c r="M49" s="128">
        <f>(L49-K49)*100</f>
        <v>-10.525227460711333</v>
      </c>
    </row>
    <row r="50" spans="1:13">
      <c r="A50" s="106" t="s">
        <v>6050</v>
      </c>
      <c r="B50" s="126">
        <f>COUNTIFS('Worksheet (GOL)'!$U$2:$U$1080,$A50,'Worksheet (GOL)'!$V$2:$V$1080,B$48)</f>
        <v>1</v>
      </c>
      <c r="C50" s="126">
        <f>COUNTIFS('Worksheet (GOL)'!$U$2:$U$1080,$A50,'Worksheet (GOL)'!$V$2:$V$1080,C$48)</f>
        <v>1</v>
      </c>
      <c r="D50" s="126">
        <f>COUNTIFS('Worksheet (GOL)'!$U$2:$U$1080,$A50,'Worksheet (GOL)'!$V$2:$V$1080,D$48)</f>
        <v>0</v>
      </c>
      <c r="E50" s="126">
        <f>COUNTIFS('Worksheet (GOL)'!$U$2:$U$1080,$A50,'Worksheet (GOL)'!$V$2:$V$1080,E$48)</f>
        <v>59</v>
      </c>
      <c r="F50" s="126">
        <f>COUNTIFS('Worksheet (GOL)'!$U$2:$U$1080,$A50,'Worksheet (GOL)'!$V$2:$V$1080,F$48)</f>
        <v>95</v>
      </c>
      <c r="G50" s="117">
        <f>SUM(B50:F50)+COUNTIFS('Worksheet (GOL)'!$U$2:$U$1080,$A50,'Worksheet (GOL)'!$V$2:$V$1080,"(tidak diisi)")</f>
        <v>156</v>
      </c>
      <c r="H50" s="118">
        <f t="shared" ref="H50:H60" si="6">G50/$G$61</f>
        <v>0.14457831325301204</v>
      </c>
      <c r="I50" s="127">
        <f t="shared" ref="I50:I60" si="7">IFERROR(F50/E50-1,"n/a")</f>
        <v>0.61016949152542366</v>
      </c>
      <c r="J50" s="106" t="str">
        <f t="shared" ref="J50:J60" si="8">IF(OR(E50=0,F50=0),"data tipis",IF(I50&gt;0.15,"▲ Naik",IF(I50&lt;-0.15,"▼ Turun","▬ Stabil")))</f>
        <v>▲ Naik</v>
      </c>
      <c r="K50" s="118">
        <f t="shared" ref="K50:L60" si="9">IFERROR(E50/E$61,"")</f>
        <v>9.5161290322580638E-2</v>
      </c>
      <c r="L50" s="118">
        <f t="shared" si="9"/>
        <v>0.24358974358974358</v>
      </c>
      <c r="M50" s="128">
        <f t="shared" ref="M50:M60" si="10">(L50-K50)*100</f>
        <v>14.842845326716295</v>
      </c>
    </row>
    <row r="51" spans="1:13">
      <c r="A51" s="106" t="s">
        <v>6051</v>
      </c>
      <c r="B51" s="126">
        <f>COUNTIFS('Worksheet (GOL)'!$U$2:$U$1080,$A51,'Worksheet (GOL)'!$V$2:$V$1080,B$48)</f>
        <v>0</v>
      </c>
      <c r="C51" s="126">
        <f>COUNTIFS('Worksheet (GOL)'!$U$2:$U$1080,$A51,'Worksheet (GOL)'!$V$2:$V$1080,C$48)</f>
        <v>0</v>
      </c>
      <c r="D51" s="126">
        <f>COUNTIFS('Worksheet (GOL)'!$U$2:$U$1080,$A51,'Worksheet (GOL)'!$V$2:$V$1080,D$48)</f>
        <v>2</v>
      </c>
      <c r="E51" s="126">
        <f>COUNTIFS('Worksheet (GOL)'!$U$2:$U$1080,$A51,'Worksheet (GOL)'!$V$2:$V$1080,E$48)</f>
        <v>82</v>
      </c>
      <c r="F51" s="126">
        <f>COUNTIFS('Worksheet (GOL)'!$U$2:$U$1080,$A51,'Worksheet (GOL)'!$V$2:$V$1080,F$48)</f>
        <v>30</v>
      </c>
      <c r="G51" s="117">
        <f>SUM(B51:F51)+COUNTIFS('Worksheet (GOL)'!$U$2:$U$1080,$A51,'Worksheet (GOL)'!$V$2:$V$1080,"(tidak diisi)")</f>
        <v>114</v>
      </c>
      <c r="H51" s="118">
        <f t="shared" si="6"/>
        <v>0.1056533827618165</v>
      </c>
      <c r="I51" s="127">
        <f t="shared" si="7"/>
        <v>-0.63414634146341464</v>
      </c>
      <c r="J51" s="106" t="str">
        <f t="shared" si="8"/>
        <v>▼ Turun</v>
      </c>
      <c r="K51" s="118">
        <f t="shared" si="9"/>
        <v>0.13225806451612904</v>
      </c>
      <c r="L51" s="118">
        <f t="shared" si="9"/>
        <v>7.6923076923076927E-2</v>
      </c>
      <c r="M51" s="128">
        <f t="shared" si="10"/>
        <v>-5.5334987593052105</v>
      </c>
    </row>
    <row r="52" spans="1:13">
      <c r="A52" s="106" t="s">
        <v>6052</v>
      </c>
      <c r="B52" s="126">
        <f>COUNTIFS('Worksheet (GOL)'!$U$2:$U$1080,$A52,'Worksheet (GOL)'!$V$2:$V$1080,B$48)</f>
        <v>0</v>
      </c>
      <c r="C52" s="126">
        <f>COUNTIFS('Worksheet (GOL)'!$U$2:$U$1080,$A52,'Worksheet (GOL)'!$V$2:$V$1080,C$48)</f>
        <v>0</v>
      </c>
      <c r="D52" s="126">
        <f>COUNTIFS('Worksheet (GOL)'!$U$2:$U$1080,$A52,'Worksheet (GOL)'!$V$2:$V$1080,D$48)</f>
        <v>1</v>
      </c>
      <c r="E52" s="126">
        <f>COUNTIFS('Worksheet (GOL)'!$U$2:$U$1080,$A52,'Worksheet (GOL)'!$V$2:$V$1080,E$48)</f>
        <v>53</v>
      </c>
      <c r="F52" s="126">
        <f>COUNTIFS('Worksheet (GOL)'!$U$2:$U$1080,$A52,'Worksheet (GOL)'!$V$2:$V$1080,F$48)</f>
        <v>31</v>
      </c>
      <c r="G52" s="117">
        <f>SUM(B52:F52)+COUNTIFS('Worksheet (GOL)'!$U$2:$U$1080,$A52,'Worksheet (GOL)'!$V$2:$V$1080,"(tidak diisi)")</f>
        <v>85</v>
      </c>
      <c r="H52" s="118">
        <f t="shared" si="6"/>
        <v>7.8776645041705284E-2</v>
      </c>
      <c r="I52" s="127">
        <f t="shared" si="7"/>
        <v>-0.41509433962264153</v>
      </c>
      <c r="J52" s="106" t="str">
        <f t="shared" si="8"/>
        <v>▼ Turun</v>
      </c>
      <c r="K52" s="118">
        <f t="shared" si="9"/>
        <v>8.5483870967741932E-2</v>
      </c>
      <c r="L52" s="118">
        <f t="shared" si="9"/>
        <v>7.9487179487179482E-2</v>
      </c>
      <c r="M52" s="128">
        <f t="shared" si="10"/>
        <v>-0.59966914805624494</v>
      </c>
    </row>
    <row r="53" spans="1:13">
      <c r="A53" s="106" t="s">
        <v>6053</v>
      </c>
      <c r="B53" s="126">
        <f>COUNTIFS('Worksheet (GOL)'!$U$2:$U$1080,$A53,'Worksheet (GOL)'!$V$2:$V$1080,B$48)</f>
        <v>0</v>
      </c>
      <c r="C53" s="126">
        <f>COUNTIFS('Worksheet (GOL)'!$U$2:$U$1080,$A53,'Worksheet (GOL)'!$V$2:$V$1080,C$48)</f>
        <v>0</v>
      </c>
      <c r="D53" s="126">
        <f>COUNTIFS('Worksheet (GOL)'!$U$2:$U$1080,$A53,'Worksheet (GOL)'!$V$2:$V$1080,D$48)</f>
        <v>0</v>
      </c>
      <c r="E53" s="126">
        <f>COUNTIFS('Worksheet (GOL)'!$U$2:$U$1080,$A53,'Worksheet (GOL)'!$V$2:$V$1080,E$48)</f>
        <v>33</v>
      </c>
      <c r="F53" s="126">
        <f>COUNTIFS('Worksheet (GOL)'!$U$2:$U$1080,$A53,'Worksheet (GOL)'!$V$2:$V$1080,F$48)</f>
        <v>44</v>
      </c>
      <c r="G53" s="117">
        <f>SUM(B53:F53)+COUNTIFS('Worksheet (GOL)'!$U$2:$U$1080,$A53,'Worksheet (GOL)'!$V$2:$V$1080,"(tidak diisi)")</f>
        <v>77</v>
      </c>
      <c r="H53" s="118">
        <f t="shared" si="6"/>
        <v>7.1362372567191842E-2</v>
      </c>
      <c r="I53" s="127">
        <f t="shared" si="7"/>
        <v>0.33333333333333326</v>
      </c>
      <c r="J53" s="106" t="str">
        <f t="shared" si="8"/>
        <v>▲ Naik</v>
      </c>
      <c r="K53" s="118">
        <f t="shared" si="9"/>
        <v>5.32258064516129E-2</v>
      </c>
      <c r="L53" s="118">
        <f t="shared" si="9"/>
        <v>0.11282051282051282</v>
      </c>
      <c r="M53" s="128">
        <f t="shared" si="10"/>
        <v>5.9594706368899919</v>
      </c>
    </row>
    <row r="54" spans="1:13">
      <c r="A54" s="106" t="s">
        <v>4511</v>
      </c>
      <c r="B54" s="126">
        <f>COUNTIFS('Worksheet (GOL)'!$U$2:$U$1080,$A54,'Worksheet (GOL)'!$V$2:$V$1080,B$48)</f>
        <v>0</v>
      </c>
      <c r="C54" s="126">
        <f>COUNTIFS('Worksheet (GOL)'!$U$2:$U$1080,$A54,'Worksheet (GOL)'!$V$2:$V$1080,C$48)</f>
        <v>0</v>
      </c>
      <c r="D54" s="126">
        <f>COUNTIFS('Worksheet (GOL)'!$U$2:$U$1080,$A54,'Worksheet (GOL)'!$V$2:$V$1080,D$48)</f>
        <v>0</v>
      </c>
      <c r="E54" s="126">
        <f>COUNTIFS('Worksheet (GOL)'!$U$2:$U$1080,$A54,'Worksheet (GOL)'!$V$2:$V$1080,E$48)</f>
        <v>40</v>
      </c>
      <c r="F54" s="126">
        <f>COUNTIFS('Worksheet (GOL)'!$U$2:$U$1080,$A54,'Worksheet (GOL)'!$V$2:$V$1080,F$48)</f>
        <v>29</v>
      </c>
      <c r="G54" s="117">
        <f>SUM(B54:F54)+COUNTIFS('Worksheet (GOL)'!$U$2:$U$1080,$A54,'Worksheet (GOL)'!$V$2:$V$1080,"(tidak diisi)")</f>
        <v>69</v>
      </c>
      <c r="H54" s="118">
        <f t="shared" si="6"/>
        <v>6.39481000926784E-2</v>
      </c>
      <c r="I54" s="127">
        <f t="shared" si="7"/>
        <v>-0.27500000000000002</v>
      </c>
      <c r="J54" s="106" t="str">
        <f t="shared" si="8"/>
        <v>▼ Turun</v>
      </c>
      <c r="K54" s="118">
        <f t="shared" si="9"/>
        <v>6.4516129032258063E-2</v>
      </c>
      <c r="L54" s="118">
        <f t="shared" si="9"/>
        <v>7.4358974358974358E-2</v>
      </c>
      <c r="M54" s="128">
        <f t="shared" si="10"/>
        <v>0.98428453267162963</v>
      </c>
    </row>
    <row r="55" spans="1:13">
      <c r="A55" s="106" t="s">
        <v>6054</v>
      </c>
      <c r="B55" s="126">
        <f>COUNTIFS('Worksheet (GOL)'!$U$2:$U$1080,$A55,'Worksheet (GOL)'!$V$2:$V$1080,B$48)</f>
        <v>0</v>
      </c>
      <c r="C55" s="126">
        <f>COUNTIFS('Worksheet (GOL)'!$U$2:$U$1080,$A55,'Worksheet (GOL)'!$V$2:$V$1080,C$48)</f>
        <v>0</v>
      </c>
      <c r="D55" s="126">
        <f>COUNTIFS('Worksheet (GOL)'!$U$2:$U$1080,$A55,'Worksheet (GOL)'!$V$2:$V$1080,D$48)</f>
        <v>1</v>
      </c>
      <c r="E55" s="126">
        <f>COUNTIFS('Worksheet (GOL)'!$U$2:$U$1080,$A55,'Worksheet (GOL)'!$V$2:$V$1080,E$48)</f>
        <v>18</v>
      </c>
      <c r="F55" s="126">
        <f>COUNTIFS('Worksheet (GOL)'!$U$2:$U$1080,$A55,'Worksheet (GOL)'!$V$2:$V$1080,F$48)</f>
        <v>6</v>
      </c>
      <c r="G55" s="117">
        <f>SUM(B55:F55)+COUNTIFS('Worksheet (GOL)'!$U$2:$U$1080,$A55,'Worksheet (GOL)'!$V$2:$V$1080,"(tidak diisi)")</f>
        <v>25</v>
      </c>
      <c r="H55" s="118">
        <f t="shared" si="6"/>
        <v>2.3169601482854494E-2</v>
      </c>
      <c r="I55" s="127">
        <f t="shared" si="7"/>
        <v>-0.66666666666666674</v>
      </c>
      <c r="J55" s="106" t="str">
        <f t="shared" si="8"/>
        <v>▼ Turun</v>
      </c>
      <c r="K55" s="118">
        <f t="shared" si="9"/>
        <v>2.903225806451613E-2</v>
      </c>
      <c r="L55" s="118">
        <f t="shared" si="9"/>
        <v>1.5384615384615385E-2</v>
      </c>
      <c r="M55" s="128">
        <f t="shared" si="10"/>
        <v>-1.3647642679900744</v>
      </c>
    </row>
    <row r="56" spans="1:13">
      <c r="A56" s="106" t="s">
        <v>6055</v>
      </c>
      <c r="B56" s="126">
        <f>COUNTIFS('Worksheet (GOL)'!$U$2:$U$1080,$A56,'Worksheet (GOL)'!$V$2:$V$1080,B$48)</f>
        <v>0</v>
      </c>
      <c r="C56" s="126">
        <f>COUNTIFS('Worksheet (GOL)'!$U$2:$U$1080,$A56,'Worksheet (GOL)'!$V$2:$V$1080,C$48)</f>
        <v>0</v>
      </c>
      <c r="D56" s="126">
        <f>COUNTIFS('Worksheet (GOL)'!$U$2:$U$1080,$A56,'Worksheet (GOL)'!$V$2:$V$1080,D$48)</f>
        <v>0</v>
      </c>
      <c r="E56" s="126">
        <f>COUNTIFS('Worksheet (GOL)'!$U$2:$U$1080,$A56,'Worksheet (GOL)'!$V$2:$V$1080,E$48)</f>
        <v>20</v>
      </c>
      <c r="F56" s="126">
        <f>COUNTIFS('Worksheet (GOL)'!$U$2:$U$1080,$A56,'Worksheet (GOL)'!$V$2:$V$1080,F$48)</f>
        <v>5</v>
      </c>
      <c r="G56" s="117">
        <f>SUM(B56:F56)+COUNTIFS('Worksheet (GOL)'!$U$2:$U$1080,$A56,'Worksheet (GOL)'!$V$2:$V$1080,"(tidak diisi)")</f>
        <v>25</v>
      </c>
      <c r="H56" s="118">
        <f t="shared" si="6"/>
        <v>2.3169601482854494E-2</v>
      </c>
      <c r="I56" s="127">
        <f t="shared" si="7"/>
        <v>-0.75</v>
      </c>
      <c r="J56" s="106" t="str">
        <f t="shared" si="8"/>
        <v>▼ Turun</v>
      </c>
      <c r="K56" s="118">
        <f t="shared" si="9"/>
        <v>3.2258064516129031E-2</v>
      </c>
      <c r="L56" s="118">
        <f t="shared" si="9"/>
        <v>1.282051282051282E-2</v>
      </c>
      <c r="M56" s="128">
        <f t="shared" si="10"/>
        <v>-1.9437551695616211</v>
      </c>
    </row>
    <row r="57" spans="1:13">
      <c r="A57" s="106" t="s">
        <v>6056</v>
      </c>
      <c r="B57" s="126">
        <f>COUNTIFS('Worksheet (GOL)'!$U$2:$U$1080,$A57,'Worksheet (GOL)'!$V$2:$V$1080,B$48)</f>
        <v>0</v>
      </c>
      <c r="C57" s="126">
        <f>COUNTIFS('Worksheet (GOL)'!$U$2:$U$1080,$A57,'Worksheet (GOL)'!$V$2:$V$1080,C$48)</f>
        <v>0</v>
      </c>
      <c r="D57" s="126">
        <f>COUNTIFS('Worksheet (GOL)'!$U$2:$U$1080,$A57,'Worksheet (GOL)'!$V$2:$V$1080,D$48)</f>
        <v>2</v>
      </c>
      <c r="E57" s="126">
        <f>COUNTIFS('Worksheet (GOL)'!$U$2:$U$1080,$A57,'Worksheet (GOL)'!$V$2:$V$1080,E$48)</f>
        <v>13</v>
      </c>
      <c r="F57" s="126">
        <f>COUNTIFS('Worksheet (GOL)'!$U$2:$U$1080,$A57,'Worksheet (GOL)'!$V$2:$V$1080,F$48)</f>
        <v>2</v>
      </c>
      <c r="G57" s="117">
        <f>SUM(B57:F57)+COUNTIFS('Worksheet (GOL)'!$U$2:$U$1080,$A57,'Worksheet (GOL)'!$V$2:$V$1080,"(tidak diisi)")</f>
        <v>17</v>
      </c>
      <c r="H57" s="118">
        <f t="shared" si="6"/>
        <v>1.5755329008341055E-2</v>
      </c>
      <c r="I57" s="127">
        <f t="shared" si="7"/>
        <v>-0.84615384615384615</v>
      </c>
      <c r="J57" s="106" t="str">
        <f t="shared" si="8"/>
        <v>▼ Turun</v>
      </c>
      <c r="K57" s="118">
        <f t="shared" si="9"/>
        <v>2.0967741935483872E-2</v>
      </c>
      <c r="L57" s="118">
        <f t="shared" si="9"/>
        <v>5.1282051282051282E-3</v>
      </c>
      <c r="M57" s="128">
        <f t="shared" si="10"/>
        <v>-1.5839536807278745</v>
      </c>
    </row>
    <row r="58" spans="1:13">
      <c r="A58" s="106" t="s">
        <v>6057</v>
      </c>
      <c r="B58" s="126">
        <f>COUNTIFS('Worksheet (GOL)'!$U$2:$U$1080,$A58,'Worksheet (GOL)'!$V$2:$V$1080,B$48)</f>
        <v>0</v>
      </c>
      <c r="C58" s="126">
        <f>COUNTIFS('Worksheet (GOL)'!$U$2:$U$1080,$A58,'Worksheet (GOL)'!$V$2:$V$1080,C$48)</f>
        <v>0</v>
      </c>
      <c r="D58" s="126">
        <f>COUNTIFS('Worksheet (GOL)'!$U$2:$U$1080,$A58,'Worksheet (GOL)'!$V$2:$V$1080,D$48)</f>
        <v>0</v>
      </c>
      <c r="E58" s="126">
        <f>COUNTIFS('Worksheet (GOL)'!$U$2:$U$1080,$A58,'Worksheet (GOL)'!$V$2:$V$1080,E$48)</f>
        <v>8</v>
      </c>
      <c r="F58" s="126">
        <f>COUNTIFS('Worksheet (GOL)'!$U$2:$U$1080,$A58,'Worksheet (GOL)'!$V$2:$V$1080,F$48)</f>
        <v>6</v>
      </c>
      <c r="G58" s="117">
        <f>SUM(B58:F58)+COUNTIFS('Worksheet (GOL)'!$U$2:$U$1080,$A58,'Worksheet (GOL)'!$V$2:$V$1080,"(tidak diisi)")</f>
        <v>14</v>
      </c>
      <c r="H58" s="118">
        <f t="shared" si="6"/>
        <v>1.2974976830398516E-2</v>
      </c>
      <c r="I58" s="127">
        <f t="shared" si="7"/>
        <v>-0.25</v>
      </c>
      <c r="J58" s="106" t="str">
        <f t="shared" si="8"/>
        <v>▼ Turun</v>
      </c>
      <c r="K58" s="118">
        <f t="shared" si="9"/>
        <v>1.2903225806451613E-2</v>
      </c>
      <c r="L58" s="118">
        <f t="shared" si="9"/>
        <v>1.5384615384615385E-2</v>
      </c>
      <c r="M58" s="128">
        <f t="shared" si="10"/>
        <v>0.24813895781637726</v>
      </c>
    </row>
    <row r="59" spans="1:13">
      <c r="A59" s="106" t="s">
        <v>6058</v>
      </c>
      <c r="B59" s="126">
        <f>COUNTIFS('Worksheet (GOL)'!$U$2:$U$1080,$A59,'Worksheet (GOL)'!$V$2:$V$1080,B$48)</f>
        <v>0</v>
      </c>
      <c r="C59" s="126">
        <f>COUNTIFS('Worksheet (GOL)'!$U$2:$U$1080,$A59,'Worksheet (GOL)'!$V$2:$V$1080,C$48)</f>
        <v>0</v>
      </c>
      <c r="D59" s="126">
        <f>COUNTIFS('Worksheet (GOL)'!$U$2:$U$1080,$A59,'Worksheet (GOL)'!$V$2:$V$1080,D$48)</f>
        <v>0</v>
      </c>
      <c r="E59" s="126">
        <f>COUNTIFS('Worksheet (GOL)'!$U$2:$U$1080,$A59,'Worksheet (GOL)'!$V$2:$V$1080,E$48)</f>
        <v>3</v>
      </c>
      <c r="F59" s="126">
        <f>COUNTIFS('Worksheet (GOL)'!$U$2:$U$1080,$A59,'Worksheet (GOL)'!$V$2:$V$1080,F$48)</f>
        <v>0</v>
      </c>
      <c r="G59" s="117">
        <f>SUM(B59:F59)+COUNTIFS('Worksheet (GOL)'!$U$2:$U$1080,$A59,'Worksheet (GOL)'!$V$2:$V$1080,"(tidak diisi)")</f>
        <v>3</v>
      </c>
      <c r="H59" s="118">
        <f t="shared" si="6"/>
        <v>2.7803521779425394E-3</v>
      </c>
      <c r="I59" s="127">
        <f t="shared" si="7"/>
        <v>-1</v>
      </c>
      <c r="J59" s="106" t="str">
        <f t="shared" si="8"/>
        <v>data tipis</v>
      </c>
      <c r="K59" s="118">
        <f t="shared" si="9"/>
        <v>4.8387096774193551E-3</v>
      </c>
      <c r="L59" s="118">
        <f t="shared" si="9"/>
        <v>0</v>
      </c>
      <c r="M59" s="128">
        <f t="shared" si="10"/>
        <v>-0.4838709677419355</v>
      </c>
    </row>
    <row r="60" spans="1:13">
      <c r="A60" s="106" t="s">
        <v>6040</v>
      </c>
      <c r="B60" s="126">
        <f>COUNTIFS('Worksheet (GOL)'!$U$2:$U$1080,$A60,'Worksheet (GOL)'!$V$2:$V$1080,B$48)</f>
        <v>0</v>
      </c>
      <c r="C60" s="126">
        <f>COUNTIFS('Worksheet (GOL)'!$U$2:$U$1080,$A60,'Worksheet (GOL)'!$V$2:$V$1080,C$48)</f>
        <v>0</v>
      </c>
      <c r="D60" s="126">
        <f>COUNTIFS('Worksheet (GOL)'!$U$2:$U$1080,$A60,'Worksheet (GOL)'!$V$2:$V$1080,D$48)</f>
        <v>0</v>
      </c>
      <c r="E60" s="126">
        <f>COUNTIFS('Worksheet (GOL)'!$U$2:$U$1080,$A60,'Worksheet (GOL)'!$V$2:$V$1080,E$48)</f>
        <v>0</v>
      </c>
      <c r="F60" s="126">
        <f>COUNTIFS('Worksheet (GOL)'!$U$2:$U$1080,$A60,'Worksheet (GOL)'!$V$2:$V$1080,F$48)</f>
        <v>0</v>
      </c>
      <c r="G60" s="117">
        <f>SUM(B60:F60)+COUNTIFS('Worksheet (GOL)'!$U$2:$U$1080,$A60,'Worksheet (GOL)'!$V$2:$V$1080,"(tidak diisi)")</f>
        <v>59</v>
      </c>
      <c r="H60" s="118">
        <f t="shared" si="6"/>
        <v>5.4680259499536608E-2</v>
      </c>
      <c r="I60" s="127" t="str">
        <f t="shared" si="7"/>
        <v>n/a</v>
      </c>
      <c r="J60" s="106" t="str">
        <f t="shared" si="8"/>
        <v>data tipis</v>
      </c>
      <c r="K60" s="118">
        <f t="shared" si="9"/>
        <v>0</v>
      </c>
      <c r="L60" s="118">
        <f t="shared" si="9"/>
        <v>0</v>
      </c>
      <c r="M60" s="128">
        <f t="shared" si="10"/>
        <v>0</v>
      </c>
    </row>
    <row r="61" spans="1:13">
      <c r="A61" s="122" t="s">
        <v>6024</v>
      </c>
      <c r="B61" s="129">
        <f t="shared" ref="B61:H61" si="11">SUM(B49:B60)</f>
        <v>1</v>
      </c>
      <c r="C61" s="129">
        <f t="shared" si="11"/>
        <v>1</v>
      </c>
      <c r="D61" s="129">
        <f t="shared" si="11"/>
        <v>8</v>
      </c>
      <c r="E61" s="129">
        <f t="shared" si="11"/>
        <v>620</v>
      </c>
      <c r="F61" s="129">
        <f t="shared" si="11"/>
        <v>390</v>
      </c>
      <c r="G61" s="123">
        <f t="shared" si="11"/>
        <v>1079</v>
      </c>
      <c r="H61" s="124">
        <f t="shared" si="11"/>
        <v>1</v>
      </c>
      <c r="I61" s="130">
        <f>IFERROR(F61/E61-1,"n/a")</f>
        <v>-0.37096774193548387</v>
      </c>
      <c r="J61" s="131" t="s">
        <v>6059</v>
      </c>
    </row>
    <row r="64" spans="1:13" ht="15.6">
      <c r="A64" s="198" t="s">
        <v>6060</v>
      </c>
      <c r="B64" s="198"/>
      <c r="C64" s="198"/>
      <c r="D64" s="198"/>
      <c r="E64" s="198"/>
      <c r="F64" s="198"/>
      <c r="G64" s="198"/>
      <c r="H64" s="198"/>
      <c r="I64" s="198"/>
      <c r="J64" s="198"/>
      <c r="K64" s="198"/>
      <c r="L64" s="198"/>
      <c r="M64" s="198"/>
    </row>
    <row r="65" spans="1:13" ht="43.2">
      <c r="A65" s="116" t="s">
        <v>6061</v>
      </c>
      <c r="B65" s="116" t="str">
        <f>$A$32</f>
        <v>Makanan &amp; Minuman</v>
      </c>
      <c r="C65" s="116" t="str">
        <f>$A$33</f>
        <v>Peralatan Rumah Tangga / Pecah Belah</v>
      </c>
      <c r="D65" s="116" t="str">
        <f>$A$34</f>
        <v>Uang &amp; Setara Uang</v>
      </c>
      <c r="E65" s="116" t="str">
        <f>$A$35</f>
        <v>Pakaian &amp; Kain</v>
      </c>
      <c r="F65" s="116" t="str">
        <f>$A$36</f>
        <v>Suvenir &amp; Merchandise</v>
      </c>
      <c r="G65" s="116" t="str">
        <f>$A$37</f>
        <v>Buku &amp; Publikasi</v>
      </c>
      <c r="H65" s="116" t="str">
        <f>$A$38</f>
        <v>Parsel/Bingkisan (tidak dirinci)</v>
      </c>
      <c r="I65" s="116" t="str">
        <f>$A$39</f>
        <v>Karangan Bunga / Ucapan</v>
      </c>
      <c r="J65" s="116" t="str">
        <f>$A$40</f>
        <v>Elektronik &amp; Gadget</v>
      </c>
      <c r="K65" s="116" t="str">
        <f>$A$41</f>
        <v>Fasilitas &amp; Jasa</v>
      </c>
      <c r="L65" s="116" t="str">
        <f>$A$42</f>
        <v>Barang Lain / Tidak Terinci</v>
      </c>
      <c r="M65" s="116" t="str">
        <f>$A$43</f>
        <v>(tidak diisi)</v>
      </c>
    </row>
    <row r="66" spans="1:13">
      <c r="A66" s="106" t="str">
        <f>$A$17</f>
        <v>Ketua Pengadilan</v>
      </c>
      <c r="B66" s="126">
        <f>COUNTIFS('Worksheet (GOL)'!$S$2:$S$1080,$A66,'Worksheet (GOL)'!$T$2:$T$1080,B$65)</f>
        <v>108</v>
      </c>
      <c r="C66" s="126">
        <f>COUNTIFS('Worksheet (GOL)'!$S$2:$S$1080,$A66,'Worksheet (GOL)'!$T$2:$T$1080,C$65)</f>
        <v>115</v>
      </c>
      <c r="D66" s="126">
        <f>COUNTIFS('Worksheet (GOL)'!$S$2:$S$1080,$A66,'Worksheet (GOL)'!$T$2:$T$1080,D$65)</f>
        <v>41</v>
      </c>
      <c r="E66" s="126">
        <f>COUNTIFS('Worksheet (GOL)'!$S$2:$S$1080,$A66,'Worksheet (GOL)'!$T$2:$T$1080,E$65)</f>
        <v>53</v>
      </c>
      <c r="F66" s="126">
        <f>COUNTIFS('Worksheet (GOL)'!$S$2:$S$1080,$A66,'Worksheet (GOL)'!$T$2:$T$1080,F$65)</f>
        <v>27</v>
      </c>
      <c r="G66" s="126">
        <f>COUNTIFS('Worksheet (GOL)'!$S$2:$S$1080,$A66,'Worksheet (GOL)'!$T$2:$T$1080,G$65)</f>
        <v>11</v>
      </c>
      <c r="H66" s="126">
        <f>COUNTIFS('Worksheet (GOL)'!$S$2:$S$1080,$A66,'Worksheet (GOL)'!$T$2:$T$1080,H$65)</f>
        <v>19</v>
      </c>
      <c r="I66" s="126">
        <f>COUNTIFS('Worksheet (GOL)'!$S$2:$S$1080,$A66,'Worksheet (GOL)'!$T$2:$T$1080,I$65)</f>
        <v>11</v>
      </c>
      <c r="J66" s="126">
        <f>COUNTIFS('Worksheet (GOL)'!$S$2:$S$1080,$A66,'Worksheet (GOL)'!$T$2:$T$1080,J$65)</f>
        <v>7</v>
      </c>
      <c r="K66" s="126">
        <f>COUNTIFS('Worksheet (GOL)'!$S$2:$S$1080,$A66,'Worksheet (GOL)'!$T$2:$T$1080,K$65)</f>
        <v>2</v>
      </c>
      <c r="L66" s="126">
        <f>COUNTIFS('Worksheet (GOL)'!$S$2:$S$1080,$A66,'Worksheet (GOL)'!$T$2:$T$1080,L$65)</f>
        <v>11</v>
      </c>
      <c r="M66" s="126">
        <f>COUNTIFS('Worksheet (GOL)'!$S$2:$S$1080,$A66,'Worksheet (GOL)'!$T$2:$T$1080,M$65)</f>
        <v>11</v>
      </c>
    </row>
    <row r="67" spans="1:13">
      <c r="A67" s="106" t="str">
        <f>$A$18</f>
        <v>Hakim</v>
      </c>
      <c r="B67" s="126">
        <f>COUNTIFS('Worksheet (GOL)'!$S$2:$S$1080,$A67,'Worksheet (GOL)'!$T$2:$T$1080,B$65)</f>
        <v>70</v>
      </c>
      <c r="C67" s="126">
        <f>COUNTIFS('Worksheet (GOL)'!$S$2:$S$1080,$A67,'Worksheet (GOL)'!$T$2:$T$1080,C$65)</f>
        <v>22</v>
      </c>
      <c r="D67" s="126">
        <f>COUNTIFS('Worksheet (GOL)'!$S$2:$S$1080,$A67,'Worksheet (GOL)'!$T$2:$T$1080,D$65)</f>
        <v>32</v>
      </c>
      <c r="E67" s="126">
        <f>COUNTIFS('Worksheet (GOL)'!$S$2:$S$1080,$A67,'Worksheet (GOL)'!$T$2:$T$1080,E$65)</f>
        <v>37</v>
      </c>
      <c r="F67" s="126">
        <f>COUNTIFS('Worksheet (GOL)'!$S$2:$S$1080,$A67,'Worksheet (GOL)'!$T$2:$T$1080,F$65)</f>
        <v>17</v>
      </c>
      <c r="G67" s="126">
        <f>COUNTIFS('Worksheet (GOL)'!$S$2:$S$1080,$A67,'Worksheet (GOL)'!$T$2:$T$1080,G$65)</f>
        <v>7</v>
      </c>
      <c r="H67" s="126">
        <f>COUNTIFS('Worksheet (GOL)'!$S$2:$S$1080,$A67,'Worksheet (GOL)'!$T$2:$T$1080,H$65)</f>
        <v>1</v>
      </c>
      <c r="I67" s="126">
        <f>COUNTIFS('Worksheet (GOL)'!$S$2:$S$1080,$A67,'Worksheet (GOL)'!$T$2:$T$1080,I$65)</f>
        <v>1</v>
      </c>
      <c r="J67" s="126">
        <f>COUNTIFS('Worksheet (GOL)'!$S$2:$S$1080,$A67,'Worksheet (GOL)'!$T$2:$T$1080,J$65)</f>
        <v>2</v>
      </c>
      <c r="K67" s="126">
        <f>COUNTIFS('Worksheet (GOL)'!$S$2:$S$1080,$A67,'Worksheet (GOL)'!$T$2:$T$1080,K$65)</f>
        <v>2</v>
      </c>
      <c r="L67" s="126">
        <f>COUNTIFS('Worksheet (GOL)'!$S$2:$S$1080,$A67,'Worksheet (GOL)'!$T$2:$T$1080,L$65)</f>
        <v>14</v>
      </c>
      <c r="M67" s="126">
        <f>COUNTIFS('Worksheet (GOL)'!$S$2:$S$1080,$A67,'Worksheet (GOL)'!$T$2:$T$1080,M$65)</f>
        <v>15</v>
      </c>
    </row>
    <row r="68" spans="1:13">
      <c r="A68" s="106" t="str">
        <f>$A$19</f>
        <v>Sekretaris</v>
      </c>
      <c r="B68" s="126">
        <f>COUNTIFS('Worksheet (GOL)'!$S$2:$S$1080,$A68,'Worksheet (GOL)'!$T$2:$T$1080,B$65)</f>
        <v>25</v>
      </c>
      <c r="C68" s="126">
        <f>COUNTIFS('Worksheet (GOL)'!$S$2:$S$1080,$A68,'Worksheet (GOL)'!$T$2:$T$1080,C$65)</f>
        <v>20</v>
      </c>
      <c r="D68" s="126">
        <f>COUNTIFS('Worksheet (GOL)'!$S$2:$S$1080,$A68,'Worksheet (GOL)'!$T$2:$T$1080,D$65)</f>
        <v>8</v>
      </c>
      <c r="E68" s="126">
        <f>COUNTIFS('Worksheet (GOL)'!$S$2:$S$1080,$A68,'Worksheet (GOL)'!$T$2:$T$1080,E$65)</f>
        <v>6</v>
      </c>
      <c r="F68" s="126">
        <f>COUNTIFS('Worksheet (GOL)'!$S$2:$S$1080,$A68,'Worksheet (GOL)'!$T$2:$T$1080,F$65)</f>
        <v>10</v>
      </c>
      <c r="G68" s="126">
        <f>COUNTIFS('Worksheet (GOL)'!$S$2:$S$1080,$A68,'Worksheet (GOL)'!$T$2:$T$1080,G$65)</f>
        <v>10</v>
      </c>
      <c r="H68" s="126">
        <f>COUNTIFS('Worksheet (GOL)'!$S$2:$S$1080,$A68,'Worksheet (GOL)'!$T$2:$T$1080,H$65)</f>
        <v>5</v>
      </c>
      <c r="I68" s="126">
        <f>COUNTIFS('Worksheet (GOL)'!$S$2:$S$1080,$A68,'Worksheet (GOL)'!$T$2:$T$1080,I$65)</f>
        <v>1</v>
      </c>
      <c r="J68" s="126">
        <f>COUNTIFS('Worksheet (GOL)'!$S$2:$S$1080,$A68,'Worksheet (GOL)'!$T$2:$T$1080,J$65)</f>
        <v>2</v>
      </c>
      <c r="K68" s="126">
        <f>COUNTIFS('Worksheet (GOL)'!$S$2:$S$1080,$A68,'Worksheet (GOL)'!$T$2:$T$1080,K$65)</f>
        <v>0</v>
      </c>
      <c r="L68" s="126">
        <f>COUNTIFS('Worksheet (GOL)'!$S$2:$S$1080,$A68,'Worksheet (GOL)'!$T$2:$T$1080,L$65)</f>
        <v>6</v>
      </c>
      <c r="M68" s="126">
        <f>COUNTIFS('Worksheet (GOL)'!$S$2:$S$1080,$A68,'Worksheet (GOL)'!$T$2:$T$1080,M$65)</f>
        <v>2</v>
      </c>
    </row>
    <row r="69" spans="1:13">
      <c r="A69" s="106" t="str">
        <f>$A$20</f>
        <v>Wakil Ketua Pengadilan</v>
      </c>
      <c r="B69" s="126">
        <f>COUNTIFS('Worksheet (GOL)'!$S$2:$S$1080,$A69,'Worksheet (GOL)'!$T$2:$T$1080,B$65)</f>
        <v>26</v>
      </c>
      <c r="C69" s="126">
        <f>COUNTIFS('Worksheet (GOL)'!$S$2:$S$1080,$A69,'Worksheet (GOL)'!$T$2:$T$1080,C$65)</f>
        <v>15</v>
      </c>
      <c r="D69" s="126">
        <f>COUNTIFS('Worksheet (GOL)'!$S$2:$S$1080,$A69,'Worksheet (GOL)'!$T$2:$T$1080,D$65)</f>
        <v>8</v>
      </c>
      <c r="E69" s="126">
        <f>COUNTIFS('Worksheet (GOL)'!$S$2:$S$1080,$A69,'Worksheet (GOL)'!$T$2:$T$1080,E$65)</f>
        <v>11</v>
      </c>
      <c r="F69" s="126">
        <f>COUNTIFS('Worksheet (GOL)'!$S$2:$S$1080,$A69,'Worksheet (GOL)'!$T$2:$T$1080,F$65)</f>
        <v>9</v>
      </c>
      <c r="G69" s="126">
        <f>COUNTIFS('Worksheet (GOL)'!$S$2:$S$1080,$A69,'Worksheet (GOL)'!$T$2:$T$1080,G$65)</f>
        <v>3</v>
      </c>
      <c r="H69" s="126">
        <f>COUNTIFS('Worksheet (GOL)'!$S$2:$S$1080,$A69,'Worksheet (GOL)'!$T$2:$T$1080,H$65)</f>
        <v>3</v>
      </c>
      <c r="I69" s="126">
        <f>COUNTIFS('Worksheet (GOL)'!$S$2:$S$1080,$A69,'Worksheet (GOL)'!$T$2:$T$1080,I$65)</f>
        <v>6</v>
      </c>
      <c r="J69" s="126">
        <f>COUNTIFS('Worksheet (GOL)'!$S$2:$S$1080,$A69,'Worksheet (GOL)'!$T$2:$T$1080,J$65)</f>
        <v>3</v>
      </c>
      <c r="K69" s="126">
        <f>COUNTIFS('Worksheet (GOL)'!$S$2:$S$1080,$A69,'Worksheet (GOL)'!$T$2:$T$1080,K$65)</f>
        <v>1</v>
      </c>
      <c r="L69" s="126">
        <f>COUNTIFS('Worksheet (GOL)'!$S$2:$S$1080,$A69,'Worksheet (GOL)'!$T$2:$T$1080,L$65)</f>
        <v>4</v>
      </c>
      <c r="M69" s="126">
        <f>COUNTIFS('Worksheet (GOL)'!$S$2:$S$1080,$A69,'Worksheet (GOL)'!$T$2:$T$1080,M$65)</f>
        <v>3</v>
      </c>
    </row>
    <row r="70" spans="1:13">
      <c r="A70" s="106" t="str">
        <f>$A$21</f>
        <v>Staf/Pegawai Pelaksana</v>
      </c>
      <c r="B70" s="126">
        <f>COUNTIFS('Worksheet (GOL)'!$S$2:$S$1080,$A70,'Worksheet (GOL)'!$T$2:$T$1080,B$65)</f>
        <v>31</v>
      </c>
      <c r="C70" s="126">
        <f>COUNTIFS('Worksheet (GOL)'!$S$2:$S$1080,$A70,'Worksheet (GOL)'!$T$2:$T$1080,C$65)</f>
        <v>12</v>
      </c>
      <c r="D70" s="126">
        <f>COUNTIFS('Worksheet (GOL)'!$S$2:$S$1080,$A70,'Worksheet (GOL)'!$T$2:$T$1080,D$65)</f>
        <v>9</v>
      </c>
      <c r="E70" s="126">
        <f>COUNTIFS('Worksheet (GOL)'!$S$2:$S$1080,$A70,'Worksheet (GOL)'!$T$2:$T$1080,E$65)</f>
        <v>4</v>
      </c>
      <c r="F70" s="126">
        <f>COUNTIFS('Worksheet (GOL)'!$S$2:$S$1080,$A70,'Worksheet (GOL)'!$T$2:$T$1080,F$65)</f>
        <v>1</v>
      </c>
      <c r="G70" s="126">
        <f>COUNTIFS('Worksheet (GOL)'!$S$2:$S$1080,$A70,'Worksheet (GOL)'!$T$2:$T$1080,G$65)</f>
        <v>1</v>
      </c>
      <c r="H70" s="126">
        <f>COUNTIFS('Worksheet (GOL)'!$S$2:$S$1080,$A70,'Worksheet (GOL)'!$T$2:$T$1080,H$65)</f>
        <v>0</v>
      </c>
      <c r="I70" s="126">
        <f>COUNTIFS('Worksheet (GOL)'!$S$2:$S$1080,$A70,'Worksheet (GOL)'!$T$2:$T$1080,I$65)</f>
        <v>0</v>
      </c>
      <c r="J70" s="126">
        <f>COUNTIFS('Worksheet (GOL)'!$S$2:$S$1080,$A70,'Worksheet (GOL)'!$T$2:$T$1080,J$65)</f>
        <v>1</v>
      </c>
      <c r="K70" s="126">
        <f>COUNTIFS('Worksheet (GOL)'!$S$2:$S$1080,$A70,'Worksheet (GOL)'!$T$2:$T$1080,K$65)</f>
        <v>0</v>
      </c>
      <c r="L70" s="126">
        <f>COUNTIFS('Worksheet (GOL)'!$S$2:$S$1080,$A70,'Worksheet (GOL)'!$T$2:$T$1080,L$65)</f>
        <v>1</v>
      </c>
      <c r="M70" s="126">
        <f>COUNTIFS('Worksheet (GOL)'!$S$2:$S$1080,$A70,'Worksheet (GOL)'!$T$2:$T$1080,M$65)</f>
        <v>20</v>
      </c>
    </row>
    <row r="71" spans="1:13">
      <c r="A71" s="106" t="str">
        <f>$A$22</f>
        <v>Panitera</v>
      </c>
      <c r="B71" s="126">
        <f>COUNTIFS('Worksheet (GOL)'!$S$2:$S$1080,$A71,'Worksheet (GOL)'!$T$2:$T$1080,B$65)</f>
        <v>31</v>
      </c>
      <c r="C71" s="126">
        <f>COUNTIFS('Worksheet (GOL)'!$S$2:$S$1080,$A71,'Worksheet (GOL)'!$T$2:$T$1080,C$65)</f>
        <v>9</v>
      </c>
      <c r="D71" s="126">
        <f>COUNTIFS('Worksheet (GOL)'!$S$2:$S$1080,$A71,'Worksheet (GOL)'!$T$2:$T$1080,D$65)</f>
        <v>15</v>
      </c>
      <c r="E71" s="126">
        <f>COUNTIFS('Worksheet (GOL)'!$S$2:$S$1080,$A71,'Worksheet (GOL)'!$T$2:$T$1080,E$65)</f>
        <v>2</v>
      </c>
      <c r="F71" s="126">
        <f>COUNTIFS('Worksheet (GOL)'!$S$2:$S$1080,$A71,'Worksheet (GOL)'!$T$2:$T$1080,F$65)</f>
        <v>3</v>
      </c>
      <c r="G71" s="126">
        <f>COUNTIFS('Worksheet (GOL)'!$S$2:$S$1080,$A71,'Worksheet (GOL)'!$T$2:$T$1080,G$65)</f>
        <v>3</v>
      </c>
      <c r="H71" s="126">
        <f>COUNTIFS('Worksheet (GOL)'!$S$2:$S$1080,$A71,'Worksheet (GOL)'!$T$2:$T$1080,H$65)</f>
        <v>2</v>
      </c>
      <c r="I71" s="126">
        <f>COUNTIFS('Worksheet (GOL)'!$S$2:$S$1080,$A71,'Worksheet (GOL)'!$T$2:$T$1080,I$65)</f>
        <v>3</v>
      </c>
      <c r="J71" s="126">
        <f>COUNTIFS('Worksheet (GOL)'!$S$2:$S$1080,$A71,'Worksheet (GOL)'!$T$2:$T$1080,J$65)</f>
        <v>0</v>
      </c>
      <c r="K71" s="126">
        <f>COUNTIFS('Worksheet (GOL)'!$S$2:$S$1080,$A71,'Worksheet (GOL)'!$T$2:$T$1080,K$65)</f>
        <v>0</v>
      </c>
      <c r="L71" s="126">
        <f>COUNTIFS('Worksheet (GOL)'!$S$2:$S$1080,$A71,'Worksheet (GOL)'!$T$2:$T$1080,L$65)</f>
        <v>2</v>
      </c>
      <c r="M71" s="126">
        <f>COUNTIFS('Worksheet (GOL)'!$S$2:$S$1080,$A71,'Worksheet (GOL)'!$T$2:$T$1080,M$65)</f>
        <v>6</v>
      </c>
    </row>
    <row r="72" spans="1:13">
      <c r="A72" s="106" t="str">
        <f>$A$23</f>
        <v>Pejabat Struktural (Kasubbag/Kabag)</v>
      </c>
      <c r="B72" s="126">
        <f>COUNTIFS('Worksheet (GOL)'!$S$2:$S$1080,$A72,'Worksheet (GOL)'!$T$2:$T$1080,B$65)</f>
        <v>16</v>
      </c>
      <c r="C72" s="126">
        <f>COUNTIFS('Worksheet (GOL)'!$S$2:$S$1080,$A72,'Worksheet (GOL)'!$T$2:$T$1080,C$65)</f>
        <v>9</v>
      </c>
      <c r="D72" s="126">
        <f>COUNTIFS('Worksheet (GOL)'!$S$2:$S$1080,$A72,'Worksheet (GOL)'!$T$2:$T$1080,D$65)</f>
        <v>4</v>
      </c>
      <c r="E72" s="126">
        <f>COUNTIFS('Worksheet (GOL)'!$S$2:$S$1080,$A72,'Worksheet (GOL)'!$T$2:$T$1080,E$65)</f>
        <v>3</v>
      </c>
      <c r="F72" s="126">
        <f>COUNTIFS('Worksheet (GOL)'!$S$2:$S$1080,$A72,'Worksheet (GOL)'!$T$2:$T$1080,F$65)</f>
        <v>12</v>
      </c>
      <c r="G72" s="126">
        <f>COUNTIFS('Worksheet (GOL)'!$S$2:$S$1080,$A72,'Worksheet (GOL)'!$T$2:$T$1080,G$65)</f>
        <v>2</v>
      </c>
      <c r="H72" s="126">
        <f>COUNTIFS('Worksheet (GOL)'!$S$2:$S$1080,$A72,'Worksheet (GOL)'!$T$2:$T$1080,H$65)</f>
        <v>1</v>
      </c>
      <c r="I72" s="126">
        <f>COUNTIFS('Worksheet (GOL)'!$S$2:$S$1080,$A72,'Worksheet (GOL)'!$T$2:$T$1080,I$65)</f>
        <v>0</v>
      </c>
      <c r="J72" s="126">
        <f>COUNTIFS('Worksheet (GOL)'!$S$2:$S$1080,$A72,'Worksheet (GOL)'!$T$2:$T$1080,J$65)</f>
        <v>0</v>
      </c>
      <c r="K72" s="126">
        <f>COUNTIFS('Worksheet (GOL)'!$S$2:$S$1080,$A72,'Worksheet (GOL)'!$T$2:$T$1080,K$65)</f>
        <v>0</v>
      </c>
      <c r="L72" s="126">
        <f>COUNTIFS('Worksheet (GOL)'!$S$2:$S$1080,$A72,'Worksheet (GOL)'!$T$2:$T$1080,L$65)</f>
        <v>1</v>
      </c>
      <c r="M72" s="126">
        <f>COUNTIFS('Worksheet (GOL)'!$S$2:$S$1080,$A72,'Worksheet (GOL)'!$T$2:$T$1080,M$65)</f>
        <v>2</v>
      </c>
    </row>
    <row r="73" spans="1:13">
      <c r="A73" s="106" t="str">
        <f>$A$24</f>
        <v>Jabatan Lainnya</v>
      </c>
      <c r="B73" s="126">
        <f>COUNTIFS('Worksheet (GOL)'!$S$2:$S$1080,$A73,'Worksheet (GOL)'!$T$2:$T$1080,B$65)</f>
        <v>6</v>
      </c>
      <c r="C73" s="126">
        <f>COUNTIFS('Worksheet (GOL)'!$S$2:$S$1080,$A73,'Worksheet (GOL)'!$T$2:$T$1080,C$65)</f>
        <v>6</v>
      </c>
      <c r="D73" s="126">
        <f>COUNTIFS('Worksheet (GOL)'!$S$2:$S$1080,$A73,'Worksheet (GOL)'!$T$2:$T$1080,D$65)</f>
        <v>7</v>
      </c>
      <c r="E73" s="126">
        <f>COUNTIFS('Worksheet (GOL)'!$S$2:$S$1080,$A73,'Worksheet (GOL)'!$T$2:$T$1080,E$65)</f>
        <v>5</v>
      </c>
      <c r="F73" s="126">
        <f>COUNTIFS('Worksheet (GOL)'!$S$2:$S$1080,$A73,'Worksheet (GOL)'!$T$2:$T$1080,F$65)</f>
        <v>1</v>
      </c>
      <c r="G73" s="126">
        <f>COUNTIFS('Worksheet (GOL)'!$S$2:$S$1080,$A73,'Worksheet (GOL)'!$T$2:$T$1080,G$65)</f>
        <v>0</v>
      </c>
      <c r="H73" s="126">
        <f>COUNTIFS('Worksheet (GOL)'!$S$2:$S$1080,$A73,'Worksheet (GOL)'!$T$2:$T$1080,H$65)</f>
        <v>1</v>
      </c>
      <c r="I73" s="126">
        <f>COUNTIFS('Worksheet (GOL)'!$S$2:$S$1080,$A73,'Worksheet (GOL)'!$T$2:$T$1080,I$65)</f>
        <v>0</v>
      </c>
      <c r="J73" s="126">
        <f>COUNTIFS('Worksheet (GOL)'!$S$2:$S$1080,$A73,'Worksheet (GOL)'!$T$2:$T$1080,J$65)</f>
        <v>0</v>
      </c>
      <c r="K73" s="126">
        <f>COUNTIFS('Worksheet (GOL)'!$S$2:$S$1080,$A73,'Worksheet (GOL)'!$T$2:$T$1080,K$65)</f>
        <v>1</v>
      </c>
      <c r="L73" s="126">
        <f>COUNTIFS('Worksheet (GOL)'!$S$2:$S$1080,$A73,'Worksheet (GOL)'!$T$2:$T$1080,L$65)</f>
        <v>3</v>
      </c>
      <c r="M73" s="126">
        <f>COUNTIFS('Worksheet (GOL)'!$S$2:$S$1080,$A73,'Worksheet (GOL)'!$T$2:$T$1080,M$65)</f>
        <v>0</v>
      </c>
    </row>
    <row r="74" spans="1:13">
      <c r="A74" s="106" t="str">
        <f>$A$25</f>
        <v>Jurusita</v>
      </c>
      <c r="B74" s="126">
        <f>COUNTIFS('Worksheet (GOL)'!$S$2:$S$1080,$A74,'Worksheet (GOL)'!$T$2:$T$1080,B$65)</f>
        <v>7</v>
      </c>
      <c r="C74" s="126">
        <f>COUNTIFS('Worksheet (GOL)'!$S$2:$S$1080,$A74,'Worksheet (GOL)'!$T$2:$T$1080,C$65)</f>
        <v>1</v>
      </c>
      <c r="D74" s="126">
        <f>COUNTIFS('Worksheet (GOL)'!$S$2:$S$1080,$A74,'Worksheet (GOL)'!$T$2:$T$1080,D$65)</f>
        <v>0</v>
      </c>
      <c r="E74" s="126">
        <f>COUNTIFS('Worksheet (GOL)'!$S$2:$S$1080,$A74,'Worksheet (GOL)'!$T$2:$T$1080,E$65)</f>
        <v>1</v>
      </c>
      <c r="F74" s="126">
        <f>COUNTIFS('Worksheet (GOL)'!$S$2:$S$1080,$A74,'Worksheet (GOL)'!$T$2:$T$1080,F$65)</f>
        <v>0</v>
      </c>
      <c r="G74" s="126">
        <f>COUNTIFS('Worksheet (GOL)'!$S$2:$S$1080,$A74,'Worksheet (GOL)'!$T$2:$T$1080,G$65)</f>
        <v>0</v>
      </c>
      <c r="H74" s="126">
        <f>COUNTIFS('Worksheet (GOL)'!$S$2:$S$1080,$A74,'Worksheet (GOL)'!$T$2:$T$1080,H$65)</f>
        <v>0</v>
      </c>
      <c r="I74" s="126">
        <f>COUNTIFS('Worksheet (GOL)'!$S$2:$S$1080,$A74,'Worksheet (GOL)'!$T$2:$T$1080,I$65)</f>
        <v>1</v>
      </c>
      <c r="J74" s="126">
        <f>COUNTIFS('Worksheet (GOL)'!$S$2:$S$1080,$A74,'Worksheet (GOL)'!$T$2:$T$1080,J$65)</f>
        <v>0</v>
      </c>
      <c r="K74" s="126">
        <f>COUNTIFS('Worksheet (GOL)'!$S$2:$S$1080,$A74,'Worksheet (GOL)'!$T$2:$T$1080,K$65)</f>
        <v>0</v>
      </c>
      <c r="L74" s="126">
        <f>COUNTIFS('Worksheet (GOL)'!$S$2:$S$1080,$A74,'Worksheet (GOL)'!$T$2:$T$1080,L$65)</f>
        <v>0</v>
      </c>
      <c r="M74" s="126">
        <f>COUNTIFS('Worksheet (GOL)'!$S$2:$S$1080,$A74,'Worksheet (GOL)'!$T$2:$T$1080,M$65)</f>
        <v>0</v>
      </c>
    </row>
    <row r="75" spans="1:13">
      <c r="A75" s="106" t="str">
        <f>$A$26</f>
        <v>Pimpinan Satker/Direktorat</v>
      </c>
      <c r="B75" s="126">
        <f>COUNTIFS('Worksheet (GOL)'!$S$2:$S$1080,$A75,'Worksheet (GOL)'!$T$2:$T$1080,B$65)</f>
        <v>5</v>
      </c>
      <c r="C75" s="126">
        <f>COUNTIFS('Worksheet (GOL)'!$S$2:$S$1080,$A75,'Worksheet (GOL)'!$T$2:$T$1080,C$65)</f>
        <v>1</v>
      </c>
      <c r="D75" s="126">
        <f>COUNTIFS('Worksheet (GOL)'!$S$2:$S$1080,$A75,'Worksheet (GOL)'!$T$2:$T$1080,D$65)</f>
        <v>1</v>
      </c>
      <c r="E75" s="126">
        <f>COUNTIFS('Worksheet (GOL)'!$S$2:$S$1080,$A75,'Worksheet (GOL)'!$T$2:$T$1080,E$65)</f>
        <v>0</v>
      </c>
      <c r="F75" s="126">
        <f>COUNTIFS('Worksheet (GOL)'!$S$2:$S$1080,$A75,'Worksheet (GOL)'!$T$2:$T$1080,F$65)</f>
        <v>2</v>
      </c>
      <c r="G75" s="126">
        <f>COUNTIFS('Worksheet (GOL)'!$S$2:$S$1080,$A75,'Worksheet (GOL)'!$T$2:$T$1080,G$65)</f>
        <v>0</v>
      </c>
      <c r="H75" s="126">
        <f>COUNTIFS('Worksheet (GOL)'!$S$2:$S$1080,$A75,'Worksheet (GOL)'!$T$2:$T$1080,H$65)</f>
        <v>0</v>
      </c>
      <c r="I75" s="126">
        <f>COUNTIFS('Worksheet (GOL)'!$S$2:$S$1080,$A75,'Worksheet (GOL)'!$T$2:$T$1080,I$65)</f>
        <v>0</v>
      </c>
      <c r="J75" s="126">
        <f>COUNTIFS('Worksheet (GOL)'!$S$2:$S$1080,$A75,'Worksheet (GOL)'!$T$2:$T$1080,J$65)</f>
        <v>0</v>
      </c>
      <c r="K75" s="126">
        <f>COUNTIFS('Worksheet (GOL)'!$S$2:$S$1080,$A75,'Worksheet (GOL)'!$T$2:$T$1080,K$65)</f>
        <v>1</v>
      </c>
      <c r="L75" s="126">
        <f>COUNTIFS('Worksheet (GOL)'!$S$2:$S$1080,$A75,'Worksheet (GOL)'!$T$2:$T$1080,L$65)</f>
        <v>0</v>
      </c>
      <c r="M75" s="126">
        <f>COUNTIFS('Worksheet (GOL)'!$S$2:$S$1080,$A75,'Worksheet (GOL)'!$T$2:$T$1080,M$65)</f>
        <v>0</v>
      </c>
    </row>
    <row r="76" spans="1:13">
      <c r="A76" s="122" t="s">
        <v>6024</v>
      </c>
      <c r="B76" s="129">
        <f>SUM(B66:B75)</f>
        <v>325</v>
      </c>
      <c r="C76" s="129">
        <f t="shared" ref="C76:M76" si="12">SUM(C66:C75)</f>
        <v>210</v>
      </c>
      <c r="D76" s="129">
        <f t="shared" si="12"/>
        <v>125</v>
      </c>
      <c r="E76" s="129">
        <f t="shared" si="12"/>
        <v>122</v>
      </c>
      <c r="F76" s="129">
        <f t="shared" si="12"/>
        <v>82</v>
      </c>
      <c r="G76" s="129">
        <f t="shared" si="12"/>
        <v>37</v>
      </c>
      <c r="H76" s="129">
        <f t="shared" si="12"/>
        <v>32</v>
      </c>
      <c r="I76" s="129">
        <f t="shared" si="12"/>
        <v>23</v>
      </c>
      <c r="J76" s="129">
        <f t="shared" si="12"/>
        <v>15</v>
      </c>
      <c r="K76" s="129">
        <f t="shared" si="12"/>
        <v>7</v>
      </c>
      <c r="L76" s="129">
        <f t="shared" si="12"/>
        <v>42</v>
      </c>
      <c r="M76" s="129">
        <f t="shared" si="12"/>
        <v>59</v>
      </c>
    </row>
    <row r="79" spans="1:13" ht="15.6">
      <c r="A79" s="198" t="s">
        <v>6062</v>
      </c>
      <c r="B79" s="198"/>
      <c r="C79" s="198"/>
      <c r="D79" s="198"/>
      <c r="E79" s="198"/>
      <c r="F79" s="198"/>
      <c r="G79" s="198"/>
      <c r="H79" s="198"/>
      <c r="I79" s="198"/>
      <c r="J79" s="198"/>
      <c r="K79" s="198"/>
      <c r="L79" s="198"/>
      <c r="M79" s="198"/>
    </row>
    <row r="80" spans="1:13">
      <c r="A80" s="132" t="str">
        <f>"1. "&amp;$C$9&amp;" adalah jabatan paling berisiko: "&amp;$B$17&amp;" laporan ("&amp;ROUND($C$17*100,1)&amp;"% dari seluruh laporan) dengan nilai penetapan Rp"&amp;ROUND($F$17/1000000,1)&amp;" juta ("&amp;ROUND($F$17/$F$27*100,1)&amp;"% dari total nilai). Skor risiko "&amp;ROUND($H$17,1)&amp;"/100."</f>
        <v>1. Ketua Pengadilan adalah jabatan paling berisiko: 416 laporan (38,6% dari seluruh laporan) dengan nilai penetapan Rp186,3 juta (47,4% dari total nilai). Skor risiko 82,7/100.</v>
      </c>
      <c r="B80" s="132"/>
      <c r="C80" s="132"/>
      <c r="D80" s="132"/>
      <c r="E80" s="132"/>
      <c r="F80" s="132"/>
      <c r="G80" s="132"/>
      <c r="H80" s="132"/>
      <c r="I80" s="132"/>
      <c r="J80" s="132"/>
      <c r="K80" s="132"/>
      <c r="L80" s="132"/>
      <c r="M80" s="132"/>
    </row>
    <row r="81" spans="1:13">
      <c r="A81" s="132" t="str">
        <f>"2. "&amp;$A$18&amp;" berada di peringkat "&amp;$I$18&amp;" ("&amp;$B$18&amp;" laporan). Gabungan "&amp;$A$17&amp;" + "&amp;$A$18&amp;" mencakup "&amp;ROUND(($B$17+$B$18)/$B$27*100,1)&amp;"% dari seluruh laporan — titik pengawasan utama."</f>
        <v>2. Hakim berada di peringkat 2 (220 laporan). Gabungan Ketua Pengadilan + Hakim mencakup 58,9% dari seluruh laporan — titik pengawasan utama.</v>
      </c>
      <c r="B81" s="132"/>
      <c r="C81" s="132"/>
      <c r="D81" s="132"/>
      <c r="E81" s="132"/>
      <c r="F81" s="132"/>
      <c r="G81" s="132"/>
      <c r="H81" s="132"/>
      <c r="I81" s="132"/>
      <c r="J81" s="132"/>
      <c r="K81" s="132"/>
      <c r="L81" s="132"/>
      <c r="M81" s="132"/>
    </row>
    <row r="82" spans="1:13">
      <c r="A82" s="132" t="str">
        <f>"3. "&amp;$A$22&amp;" paling rentan pada objek uang: "&amp;ROUND($E$22*100,1)&amp;"% laporannya berupa uang, jauh di atas rata-rata instansi "&amp;ROUND($E$27*100,1)&amp;"%."</f>
        <v>3. Panitera paling rentan pada objek uang: 19,7% laporannya berupa uang, jauh di atas rata-rata instansi 11,6%.</v>
      </c>
      <c r="B82" s="132"/>
      <c r="C82" s="132"/>
      <c r="D82" s="132"/>
      <c r="E82" s="132"/>
      <c r="F82" s="132"/>
      <c r="G82" s="132"/>
      <c r="H82" s="132"/>
      <c r="I82" s="132"/>
      <c r="J82" s="132"/>
      <c r="K82" s="132"/>
      <c r="L82" s="132"/>
      <c r="M82" s="132"/>
    </row>
    <row r="83" spans="1:13">
      <c r="A83" s="132" t="str">
        <f>"4. Objek paling banyak diberikan: "&amp;$A$32&amp;" ("&amp;$B$32&amp;" laporan; "&amp;ROUND($C$32*100,1)&amp;"%), disusul "&amp;$A$33&amp;" ("&amp;$B$33&amp;" laporan; "&amp;ROUND($C$33*100,1)&amp;"%) dan "&amp;$A$34&amp;" ("&amp;$B$34&amp;" laporan; "&amp;ROUND($C$34*100,1)&amp;"%)."</f>
        <v>4. Objek paling banyak diberikan: Makanan &amp; Minuman (325 laporan; 30,1%), disusul Peralatan Rumah Tangga / Pecah Belah (210 laporan; 19,5%) dan Uang &amp; Setara Uang (125 laporan; 11,6%).</v>
      </c>
      <c r="B83" s="132"/>
      <c r="C83" s="132"/>
      <c r="D83" s="132"/>
      <c r="E83" s="132"/>
      <c r="F83" s="132"/>
      <c r="G83" s="132"/>
      <c r="H83" s="132"/>
      <c r="I83" s="132"/>
      <c r="J83" s="132"/>
      <c r="K83" s="132"/>
      <c r="L83" s="132"/>
      <c r="M83" s="132"/>
    </row>
    <row r="84" spans="1:13">
      <c r="A84" s="132" t="str">
        <f>"5. Meski hanya "&amp;ROUND($C$34*100,1)&amp;"% dari jumlah laporan, "&amp;$A$34&amp;" menguasai "&amp;ROUND($D$34/$D$44*100,1)&amp;"% nilai rupiah gratifikasi dan punya tingkat penolakan tertinggi ("&amp;ROUND($F$34*100,1)&amp;"% vs rata-rata "&amp;ROUND($F$44*100,1)&amp;"%)."</f>
        <v>5. Meski hanya 11,6% dari jumlah laporan, Uang &amp; Setara Uang menguasai 65% nilai rupiah gratifikasi dan punya tingkat penolakan tertinggi (27,2% vs rata-rata 12,9%).</v>
      </c>
      <c r="B84" s="132"/>
      <c r="C84" s="132"/>
      <c r="D84" s="132"/>
      <c r="E84" s="132"/>
      <c r="F84" s="132"/>
      <c r="G84" s="132"/>
      <c r="H84" s="132"/>
      <c r="I84" s="132"/>
      <c r="J84" s="132"/>
      <c r="K84" s="132"/>
      <c r="L84" s="132"/>
      <c r="M84" s="132"/>
    </row>
    <row r="85" spans="1:13">
      <c r="A85" s="132" t="str">
        <f>"6. Skenario paling sering: "&amp;$A$49&amp;" ("&amp;$G$49&amp;" laporan; "&amp;ROUND($H$49*100,1)&amp;"%) — sinyal kualitas data: uraian objek terlalu singkat sehingga konteks pemberian tidak terbaca. Skenario bermakna terbesar: "&amp;$A$50&amp;" ("&amp;ROUND($H$50*100,1)&amp;"%) dan "&amp;$A$53&amp;" ("&amp;ROUND($H$53*100,1)&amp;"%)."</f>
        <v>6. Skenario paling sering: Pemberian Umum / Tanpa Konteks (435 laporan; 40,3%) — sinyal kualitas data: uraian objek terlalu singkat sehingga konteks pemberian tidak terbaca. Skenario bermakna terbesar: Parsel/Bingkisan Umum (non-hari raya) (14,5%) dan Bingkisan Hari Raya / Keagamaan (7,1%).</v>
      </c>
      <c r="B85" s="132"/>
      <c r="C85" s="132"/>
      <c r="D85" s="132"/>
      <c r="E85" s="132"/>
      <c r="F85" s="132"/>
      <c r="G85" s="132"/>
      <c r="H85" s="132"/>
      <c r="I85" s="132"/>
      <c r="J85" s="132"/>
      <c r="K85" s="132"/>
      <c r="L85" s="132"/>
      <c r="M85" s="132"/>
    </row>
    <row r="86" spans="1:13">
      <c r="A86" s="132" t="str">
        <f>"7. Tren: motif parsel/bingkisan menguat — share "&amp;$A$50&amp;" naik dari "&amp;ROUND($K$50*100,1)&amp;"% (2025) ke "&amp;ROUND($L$50*100,1)&amp;"% (2026 s.d. Juli), dan "&amp;$A$53&amp;" bergerak "&amp;ROUND($M$53,1)&amp;" pp. Sebaliknya "&amp;$A$51&amp;" bergerak "&amp;ROUND($M$51,1)&amp;" pp dan "&amp;$A$49&amp;" "&amp;ROUND($M$49,1)&amp;" pp."</f>
        <v>7. Tren: motif parsel/bingkisan menguat — share Parsel/Bingkisan Umum (non-hari raya) naik dari 9,5% (2025) ke 24,4% (2026 s.d. Juli), dan Bingkisan Hari Raya / Keagamaan bergerak 6 pp. Sebaliknya Pemberian Uang Langsung bergerak -5,5 pp dan Pemberian Umum / Tanpa Konteks -10,5 pp.</v>
      </c>
      <c r="B86" s="132"/>
      <c r="C86" s="132"/>
      <c r="D86" s="132"/>
      <c r="E86" s="132"/>
      <c r="F86" s="132"/>
      <c r="G86" s="132"/>
      <c r="H86" s="132"/>
      <c r="I86" s="132"/>
      <c r="J86" s="132"/>
      <c r="K86" s="132"/>
      <c r="L86" s="132"/>
      <c r="M86" s="132"/>
    </row>
    <row r="87" spans="1:13">
      <c r="A87" s="132" t="str">
        <f>"8. Kehati-hatian: "&amp;COUNTIF('Worksheet (GOL)'!$V$2:$V$1080,"(tidak diisi)")&amp;" laporan tanpa tanggal penerimaan dan data 2026 baru sampai Juli, sehingga tren antar tahun dibaca dari proporsi (share), bukan jumlah absolut."</f>
        <v>8. Kehati-hatian: 59 laporan tanpa tanggal penerimaan dan data 2026 baru sampai Juli, sehingga tren antar tahun dibaca dari proporsi (share), bukan jumlah absolut.</v>
      </c>
      <c r="B87" s="132"/>
      <c r="C87" s="132"/>
      <c r="D87" s="132"/>
      <c r="E87" s="132"/>
      <c r="F87" s="132"/>
      <c r="G87" s="132"/>
      <c r="H87" s="132"/>
      <c r="I87" s="132"/>
      <c r="J87" s="132"/>
      <c r="K87" s="132"/>
      <c r="L87" s="132"/>
      <c r="M87" s="132"/>
    </row>
    <row r="88" spans="1:13">
      <c r="A88" s="133" t="s">
        <v>6063</v>
      </c>
      <c r="B88" s="132"/>
      <c r="C88" s="132"/>
      <c r="D88" s="132"/>
      <c r="E88" s="132"/>
      <c r="F88" s="132"/>
      <c r="G88" s="132"/>
      <c r="H88" s="132"/>
      <c r="I88" s="132"/>
      <c r="J88" s="132"/>
      <c r="K88" s="132"/>
      <c r="L88" s="132"/>
      <c r="M88" s="132"/>
    </row>
    <row r="90" spans="1:13">
      <c r="A90" s="199" t="s">
        <v>6064</v>
      </c>
      <c r="B90" s="199"/>
      <c r="C90" s="199"/>
      <c r="D90" s="199"/>
    </row>
    <row r="91" spans="1:13">
      <c r="A91" s="134" t="s">
        <v>6065</v>
      </c>
      <c r="B91" s="134">
        <v>2024</v>
      </c>
      <c r="C91" s="134">
        <v>2025</v>
      </c>
      <c r="D91" s="134" t="s">
        <v>6042</v>
      </c>
    </row>
    <row r="92" spans="1:13">
      <c r="A92" s="106" t="str">
        <f>$A$49</f>
        <v>Pemberian Umum / Tanpa Konteks</v>
      </c>
      <c r="B92" s="118">
        <f t="shared" ref="B92:D97" si="13">IFERROR(D49/D$61,0)</f>
        <v>0.25</v>
      </c>
      <c r="C92" s="118">
        <f t="shared" si="13"/>
        <v>0.46935483870967742</v>
      </c>
      <c r="D92" s="118">
        <f t="shared" si="13"/>
        <v>0.36410256410256409</v>
      </c>
    </row>
    <row r="93" spans="1:13">
      <c r="A93" s="106" t="str">
        <f>$A$50</f>
        <v>Parsel/Bingkisan Umum (non-hari raya)</v>
      </c>
      <c r="B93" s="118">
        <f t="shared" si="13"/>
        <v>0</v>
      </c>
      <c r="C93" s="118">
        <f t="shared" si="13"/>
        <v>9.5161290322580638E-2</v>
      </c>
      <c r="D93" s="118">
        <f t="shared" si="13"/>
        <v>0.24358974358974358</v>
      </c>
    </row>
    <row r="94" spans="1:13">
      <c r="A94" s="106" t="str">
        <f>$A$51</f>
        <v>Pemberian Uang Langsung</v>
      </c>
      <c r="B94" s="118">
        <f t="shared" si="13"/>
        <v>0.25</v>
      </c>
      <c r="C94" s="118">
        <f t="shared" si="13"/>
        <v>0.13225806451612904</v>
      </c>
      <c r="D94" s="118">
        <f t="shared" si="13"/>
        <v>7.6923076923076927E-2</v>
      </c>
    </row>
    <row r="95" spans="1:13">
      <c r="A95" s="106" t="str">
        <f>$A$52</f>
        <v>Suvenir / Merchandise Kegiatan &amp; Kunjungan</v>
      </c>
      <c r="B95" s="118">
        <f t="shared" si="13"/>
        <v>0.125</v>
      </c>
      <c r="C95" s="118">
        <f t="shared" si="13"/>
        <v>8.5483870967741932E-2</v>
      </c>
      <c r="D95" s="118">
        <f t="shared" si="13"/>
        <v>7.9487179487179482E-2</v>
      </c>
    </row>
    <row r="96" spans="1:13">
      <c r="A96" s="106" t="str">
        <f>$A$53</f>
        <v>Bingkisan Hari Raya / Keagamaan</v>
      </c>
      <c r="B96" s="118">
        <f t="shared" si="13"/>
        <v>0</v>
      </c>
      <c r="C96" s="118">
        <f t="shared" si="13"/>
        <v>5.32258064516129E-2</v>
      </c>
      <c r="D96" s="118">
        <f t="shared" si="13"/>
        <v>0.11282051282051282</v>
      </c>
    </row>
    <row r="97" spans="1:9">
      <c r="A97" s="106" t="str">
        <f>$A$54</f>
        <v>Paket Sembako</v>
      </c>
      <c r="B97" s="118">
        <f t="shared" si="13"/>
        <v>0</v>
      </c>
      <c r="C97" s="118">
        <f t="shared" si="13"/>
        <v>6.4516129032258063E-2</v>
      </c>
      <c r="D97" s="118">
        <f t="shared" si="13"/>
        <v>7.4358974358974358E-2</v>
      </c>
    </row>
    <row r="100" spans="1:9" ht="15.6">
      <c r="A100" s="200" t="s">
        <v>6066</v>
      </c>
      <c r="B100" s="200"/>
      <c r="C100" s="200"/>
      <c r="D100" s="200"/>
      <c r="E100" s="200"/>
      <c r="F100" s="200"/>
      <c r="G100" s="200"/>
      <c r="H100" s="200"/>
      <c r="I100" s="200"/>
    </row>
    <row r="101" spans="1:9">
      <c r="A101" s="109" t="s">
        <v>6067</v>
      </c>
    </row>
    <row r="102" spans="1:9" ht="28.8">
      <c r="A102" s="135" t="s">
        <v>6068</v>
      </c>
      <c r="B102" s="135" t="s">
        <v>6012</v>
      </c>
      <c r="C102" s="135" t="s">
        <v>6013</v>
      </c>
      <c r="D102" s="135" t="s">
        <v>6016</v>
      </c>
      <c r="E102" s="135" t="s">
        <v>6017</v>
      </c>
      <c r="F102" s="135" t="s">
        <v>6026</v>
      </c>
      <c r="G102" s="135" t="s">
        <v>6069</v>
      </c>
      <c r="H102" s="135" t="s">
        <v>6027</v>
      </c>
      <c r="I102" s="135" t="s">
        <v>6070</v>
      </c>
    </row>
    <row r="103" spans="1:9">
      <c r="A103" s="106" t="s">
        <v>6071</v>
      </c>
      <c r="B103" s="126">
        <f>COUNTIF('Worksheet (GOL)'!$AA$2:$AA$1080,$A103)</f>
        <v>344</v>
      </c>
      <c r="C103" s="118">
        <f>B103/$B$124</f>
        <v>0.31881371640407785</v>
      </c>
      <c r="D103" s="119">
        <f>SUMIF('Worksheet (GOL)'!$AA$2:$AA$1080,$A103,'Worksheet (GOL)'!$J$2:$J$1080)</f>
        <v>183475724</v>
      </c>
      <c r="E103" s="126">
        <f>COUNTIFS('Worksheet (GOL)'!$AA$2:$AA$1080,$A103,'Worksheet (GOL)'!$G$2:$G$1080,"Penolakan")</f>
        <v>46</v>
      </c>
      <c r="F103" s="118">
        <f>IFERROR(E103/B103,0)</f>
        <v>0.13372093023255813</v>
      </c>
      <c r="G103" s="106" t="str" cm="1">
        <f t="array" ref="G103">IFERROR(INDEX($A$32:$A$43,MATCH(MAX(COUNTIFS('Worksheet (GOL)'!$AA$2:$AA$1080,$A103,'Worksheet (GOL)'!$T$2:$T$1080,$A$32:$A$43)),COUNTIFS('Worksheet (GOL)'!$AA$2:$AA$1080,$A103,'Worksheet (GOL)'!$T$2:$T$1080,$A$32:$A$43),0)),"-")</f>
        <v>Pakaian &amp; Kain</v>
      </c>
      <c r="H103" s="106" t="str" cm="1">
        <f t="array" ref="H103">IFERROR(INDEX($A$17:$A$26,MATCH(MAX(COUNTIFS('Worksheet (GOL)'!$AA$2:$AA$1080,$A103,'Worksheet (GOL)'!$S$2:$S$1080,$A$17:$A$26)),COUNTIFS('Worksheet (GOL)'!$AA$2:$AA$1080,$A103,'Worksheet (GOL)'!$S$2:$S$1080,$A$17:$A$26),0)),"-")</f>
        <v>Hakim</v>
      </c>
      <c r="I103" s="106" t="str">
        <f>IF($A103="Tidak Teridentifikasi","Data tidak memadai",IF(OR(ISNUMBER(SEARCH("dugaan",$A103)),ISNUMBER(SEARCH("tidak teridentifikasi",$A103)),$A103="Pemberi Tidak Diketahui"),"Dugaan (relasi/momen)","Eksplisit di uraian objek"))</f>
        <v>Dugaan (relasi/momen)</v>
      </c>
    </row>
    <row r="104" spans="1:9">
      <c r="A104" s="106" t="s">
        <v>6072</v>
      </c>
      <c r="B104" s="126">
        <f>COUNTIF('Worksheet (GOL)'!$AA$2:$AA$1080,$A104)</f>
        <v>305</v>
      </c>
      <c r="C104" s="118">
        <f t="shared" ref="C104:C123" si="14">B104/$B$124</f>
        <v>0.28266913809082483</v>
      </c>
      <c r="D104" s="119">
        <f>SUMIF('Worksheet (GOL)'!$AA$2:$AA$1080,$A104,'Worksheet (GOL)'!$J$2:$J$1080)</f>
        <v>53675732</v>
      </c>
      <c r="E104" s="126">
        <f>COUNTIFS('Worksheet (GOL)'!$AA$2:$AA$1080,$A104,'Worksheet (GOL)'!$G$2:$G$1080,"Penolakan")</f>
        <v>45</v>
      </c>
      <c r="F104" s="118">
        <f t="shared" ref="F104:F123" si="15">IFERROR(E104/B104,0)</f>
        <v>0.14754098360655737</v>
      </c>
      <c r="G104" s="106" t="str" cm="1">
        <f t="array" ref="G104">IFERROR(INDEX($A$32:$A$43,MATCH(MAX(COUNTIFS('Worksheet (GOL)'!$AA$2:$AA$1080,$A104,'Worksheet (GOL)'!$T$2:$T$1080,$A$32:$A$43)),COUNTIFS('Worksheet (GOL)'!$AA$2:$AA$1080,$A104,'Worksheet (GOL)'!$T$2:$T$1080,$A$32:$A$43),0)),"-")</f>
        <v>Peralatan Rumah Tangga / Pecah Belah</v>
      </c>
      <c r="H104" s="106" t="str" cm="1">
        <f t="array" ref="H104">IFERROR(INDEX($A$17:$A$26,MATCH(MAX(COUNTIFS('Worksheet (GOL)'!$AA$2:$AA$1080,$A104,'Worksheet (GOL)'!$S$2:$S$1080,$A$17:$A$26)),COUNTIFS('Worksheet (GOL)'!$AA$2:$AA$1080,$A104,'Worksheet (GOL)'!$S$2:$S$1080,$A$17:$A$26),0)),"-")</f>
        <v>Ketua Pengadilan</v>
      </c>
      <c r="I104" s="106" t="str">
        <f t="shared" ref="I104:I123" si="16">IF($A104="Tidak Teridentifikasi","Data tidak memadai",IF(OR(ISNUMBER(SEARCH("dugaan",$A104)),ISNUMBER(SEARCH("tidak teridentifikasi",$A104)),$A104="Pemberi Tidak Diketahui"),"Dugaan (relasi/momen)","Eksplisit di uraian objek"))</f>
        <v>Dugaan (relasi/momen)</v>
      </c>
    </row>
    <row r="105" spans="1:9">
      <c r="A105" s="106" t="s">
        <v>6073</v>
      </c>
      <c r="B105" s="126">
        <f>COUNTIF('Worksheet (GOL)'!$AA$2:$AA$1080,$A105)</f>
        <v>76</v>
      </c>
      <c r="C105" s="118">
        <f t="shared" si="14"/>
        <v>7.0435588507877664E-2</v>
      </c>
      <c r="D105" s="119">
        <f>SUMIF('Worksheet (GOL)'!$AA$2:$AA$1080,$A105,'Worksheet (GOL)'!$J$2:$J$1080)</f>
        <v>13227477</v>
      </c>
      <c r="E105" s="126">
        <f>COUNTIFS('Worksheet (GOL)'!$AA$2:$AA$1080,$A105,'Worksheet (GOL)'!$G$2:$G$1080,"Penolakan")</f>
        <v>10</v>
      </c>
      <c r="F105" s="118">
        <f t="shared" si="15"/>
        <v>0.13157894736842105</v>
      </c>
      <c r="G105" s="106" t="str" cm="1">
        <f t="array" ref="G105">IFERROR(INDEX($A$32:$A$43,MATCH(MAX(COUNTIFS('Worksheet (GOL)'!$AA$2:$AA$1080,$A105,'Worksheet (GOL)'!$T$2:$T$1080,$A$32:$A$43)),COUNTIFS('Worksheet (GOL)'!$AA$2:$AA$1080,$A105,'Worksheet (GOL)'!$T$2:$T$1080,$A$32:$A$43),0)),"-")</f>
        <v>Makanan &amp; Minuman</v>
      </c>
      <c r="H105" s="106" t="str" cm="1">
        <f t="array" ref="H105">IFERROR(INDEX($A$17:$A$26,MATCH(MAX(COUNTIFS('Worksheet (GOL)'!$AA$2:$AA$1080,$A105,'Worksheet (GOL)'!$S$2:$S$1080,$A$17:$A$26)),COUNTIFS('Worksheet (GOL)'!$AA$2:$AA$1080,$A105,'Worksheet (GOL)'!$S$2:$S$1080,$A$17:$A$26),0)),"-")</f>
        <v>Ketua Pengadilan</v>
      </c>
      <c r="I105" s="106" t="str">
        <f t="shared" si="16"/>
        <v>Eksplisit di uraian objek</v>
      </c>
    </row>
    <row r="106" spans="1:9">
      <c r="A106" s="106" t="s">
        <v>6074</v>
      </c>
      <c r="B106" s="126">
        <f>COUNTIF('Worksheet (GOL)'!$AA$2:$AA$1080,$A106)</f>
        <v>68</v>
      </c>
      <c r="C106" s="118">
        <f t="shared" si="14"/>
        <v>6.3021316033364222E-2</v>
      </c>
      <c r="D106" s="119">
        <f>SUMIF('Worksheet (GOL)'!$AA$2:$AA$1080,$A106,'Worksheet (GOL)'!$J$2:$J$1080)</f>
        <v>200000</v>
      </c>
      <c r="E106" s="126">
        <f>COUNTIFS('Worksheet (GOL)'!$AA$2:$AA$1080,$A106,'Worksheet (GOL)'!$G$2:$G$1080,"Penolakan")</f>
        <v>0</v>
      </c>
      <c r="F106" s="118">
        <f t="shared" si="15"/>
        <v>0</v>
      </c>
      <c r="G106" s="106" t="str" cm="1">
        <f t="array" ref="G106">IFERROR(INDEX($A$32:$A$43,MATCH(MAX(COUNTIFS('Worksheet (GOL)'!$AA$2:$AA$1080,$A106,'Worksheet (GOL)'!$T$2:$T$1080,$A$32:$A$43)),COUNTIFS('Worksheet (GOL)'!$AA$2:$AA$1080,$A106,'Worksheet (GOL)'!$T$2:$T$1080,$A$32:$A$43),0)),"-")</f>
        <v>Makanan &amp; Minuman</v>
      </c>
      <c r="H106" s="106" t="str" cm="1">
        <f t="array" ref="H106">IFERROR(INDEX($A$17:$A$26,MATCH(MAX(COUNTIFS('Worksheet (GOL)'!$AA$2:$AA$1080,$A106,'Worksheet (GOL)'!$S$2:$S$1080,$A$17:$A$26)),COUNTIFS('Worksheet (GOL)'!$AA$2:$AA$1080,$A106,'Worksheet (GOL)'!$S$2:$S$1080,$A$17:$A$26),0)),"-")</f>
        <v>Staf/Pegawai Pelaksana</v>
      </c>
      <c r="I106" s="106" t="str">
        <f t="shared" si="16"/>
        <v>Eksplisit di uraian objek</v>
      </c>
    </row>
    <row r="107" spans="1:9">
      <c r="A107" s="106" t="s">
        <v>6075</v>
      </c>
      <c r="B107" s="126">
        <f>COUNTIF('Worksheet (GOL)'!$AA$2:$AA$1080,$A107)</f>
        <v>36</v>
      </c>
      <c r="C107" s="118">
        <f t="shared" si="14"/>
        <v>3.3364226135310475E-2</v>
      </c>
      <c r="D107" s="119">
        <f>SUMIF('Worksheet (GOL)'!$AA$2:$AA$1080,$A107,'Worksheet (GOL)'!$J$2:$J$1080)</f>
        <v>73846468</v>
      </c>
      <c r="E107" s="126">
        <f>COUNTIFS('Worksheet (GOL)'!$AA$2:$AA$1080,$A107,'Worksheet (GOL)'!$G$2:$G$1080,"Penolakan")</f>
        <v>2</v>
      </c>
      <c r="F107" s="118">
        <f t="shared" si="15"/>
        <v>5.5555555555555552E-2</v>
      </c>
      <c r="G107" s="106" t="str" cm="1">
        <f t="array" ref="G107">IFERROR(INDEX($A$32:$A$43,MATCH(MAX(COUNTIFS('Worksheet (GOL)'!$AA$2:$AA$1080,$A107,'Worksheet (GOL)'!$T$2:$T$1080,$A$32:$A$43)),COUNTIFS('Worksheet (GOL)'!$AA$2:$AA$1080,$A107,'Worksheet (GOL)'!$T$2:$T$1080,$A$32:$A$43),0)),"-")</f>
        <v>Uang &amp; Setara Uang</v>
      </c>
      <c r="H107" s="106" t="str" cm="1">
        <f t="array" ref="H107">IFERROR(INDEX($A$17:$A$26,MATCH(MAX(COUNTIFS('Worksheet (GOL)'!$AA$2:$AA$1080,$A107,'Worksheet (GOL)'!$S$2:$S$1080,$A$17:$A$26)),COUNTIFS('Worksheet (GOL)'!$AA$2:$AA$1080,$A107,'Worksheet (GOL)'!$S$2:$S$1080,$A$17:$A$26),0)),"-")</f>
        <v>Ketua Pengadilan</v>
      </c>
      <c r="I107" s="106" t="str">
        <f t="shared" si="16"/>
        <v>Dugaan (relasi/momen)</v>
      </c>
    </row>
    <row r="108" spans="1:9">
      <c r="A108" s="106" t="s">
        <v>6076</v>
      </c>
      <c r="B108" s="126">
        <f>COUNTIF('Worksheet (GOL)'!$AA$2:$AA$1080,$A108)</f>
        <v>33</v>
      </c>
      <c r="C108" s="118">
        <f t="shared" si="14"/>
        <v>3.0583873957367932E-2</v>
      </c>
      <c r="D108" s="119">
        <f>SUMIF('Worksheet (GOL)'!$AA$2:$AA$1080,$A108,'Worksheet (GOL)'!$J$2:$J$1080)</f>
        <v>36006400</v>
      </c>
      <c r="E108" s="126">
        <f>COUNTIFS('Worksheet (GOL)'!$AA$2:$AA$1080,$A108,'Worksheet (GOL)'!$G$2:$G$1080,"Penolakan")</f>
        <v>6</v>
      </c>
      <c r="F108" s="118">
        <f t="shared" si="15"/>
        <v>0.18181818181818182</v>
      </c>
      <c r="G108" s="106" t="str" cm="1">
        <f t="array" ref="G108">IFERROR(INDEX($A$32:$A$43,MATCH(MAX(COUNTIFS('Worksheet (GOL)'!$AA$2:$AA$1080,$A108,'Worksheet (GOL)'!$T$2:$T$1080,$A$32:$A$43)),COUNTIFS('Worksheet (GOL)'!$AA$2:$AA$1080,$A108,'Worksheet (GOL)'!$T$2:$T$1080,$A$32:$A$43),0)),"-")</f>
        <v>Suvenir &amp; Merchandise</v>
      </c>
      <c r="H108" s="106" t="str" cm="1">
        <f t="array" ref="H108">IFERROR(INDEX($A$17:$A$26,MATCH(MAX(COUNTIFS('Worksheet (GOL)'!$AA$2:$AA$1080,$A108,'Worksheet (GOL)'!$S$2:$S$1080,$A$17:$A$26)),COUNTIFS('Worksheet (GOL)'!$AA$2:$AA$1080,$A108,'Worksheet (GOL)'!$S$2:$S$1080,$A$17:$A$26),0)),"-")</f>
        <v>Ketua Pengadilan</v>
      </c>
      <c r="I108" s="106" t="str">
        <f t="shared" si="16"/>
        <v>Dugaan (relasi/momen)</v>
      </c>
    </row>
    <row r="109" spans="1:9">
      <c r="A109" s="106" t="s">
        <v>6077</v>
      </c>
      <c r="B109" s="126">
        <f>COUNTIF('Worksheet (GOL)'!$AA$2:$AA$1080,$A109)</f>
        <v>32</v>
      </c>
      <c r="C109" s="118">
        <f t="shared" si="14"/>
        <v>2.9657089898053754E-2</v>
      </c>
      <c r="D109" s="119">
        <f>SUMIF('Worksheet (GOL)'!$AA$2:$AA$1080,$A109,'Worksheet (GOL)'!$J$2:$J$1080)</f>
        <v>8048527</v>
      </c>
      <c r="E109" s="126">
        <f>COUNTIFS('Worksheet (GOL)'!$AA$2:$AA$1080,$A109,'Worksheet (GOL)'!$G$2:$G$1080,"Penolakan")</f>
        <v>2</v>
      </c>
      <c r="F109" s="118">
        <f t="shared" si="15"/>
        <v>6.25E-2</v>
      </c>
      <c r="G109" s="106" t="str" cm="1">
        <f t="array" ref="G109">IFERROR(INDEX($A$32:$A$43,MATCH(MAX(COUNTIFS('Worksheet (GOL)'!$AA$2:$AA$1080,$A109,'Worksheet (GOL)'!$T$2:$T$1080,$A$32:$A$43)),COUNTIFS('Worksheet (GOL)'!$AA$2:$AA$1080,$A109,'Worksheet (GOL)'!$T$2:$T$1080,$A$32:$A$43),0)),"-")</f>
        <v>Peralatan Rumah Tangga / Pecah Belah</v>
      </c>
      <c r="H109" s="106" t="str" cm="1">
        <f t="array" ref="H109">IFERROR(INDEX($A$17:$A$26,MATCH(MAX(COUNTIFS('Worksheet (GOL)'!$AA$2:$AA$1080,$A109,'Worksheet (GOL)'!$S$2:$S$1080,$A$17:$A$26)),COUNTIFS('Worksheet (GOL)'!$AA$2:$AA$1080,$A109,'Worksheet (GOL)'!$S$2:$S$1080,$A$17:$A$26),0)),"-")</f>
        <v>Ketua Pengadilan</v>
      </c>
      <c r="I109" s="106" t="str">
        <f t="shared" si="16"/>
        <v>Dugaan (relasi/momen)</v>
      </c>
    </row>
    <row r="110" spans="1:9">
      <c r="A110" s="106" t="s">
        <v>6078</v>
      </c>
      <c r="B110" s="126">
        <f>COUNTIF('Worksheet (GOL)'!$AA$2:$AA$1080,$A110)</f>
        <v>27</v>
      </c>
      <c r="C110" s="118">
        <f t="shared" si="14"/>
        <v>2.5023169601482854E-2</v>
      </c>
      <c r="D110" s="119">
        <f>SUMIF('Worksheet (GOL)'!$AA$2:$AA$1080,$A110,'Worksheet (GOL)'!$J$2:$J$1080)</f>
        <v>7295000</v>
      </c>
      <c r="E110" s="126">
        <f>COUNTIFS('Worksheet (GOL)'!$AA$2:$AA$1080,$A110,'Worksheet (GOL)'!$G$2:$G$1080,"Penolakan")</f>
        <v>0</v>
      </c>
      <c r="F110" s="118">
        <f t="shared" si="15"/>
        <v>0</v>
      </c>
      <c r="G110" s="106" t="str" cm="1">
        <f t="array" ref="G110">IFERROR(INDEX($A$32:$A$43,MATCH(MAX(COUNTIFS('Worksheet (GOL)'!$AA$2:$AA$1080,$A110,'Worksheet (GOL)'!$T$2:$T$1080,$A$32:$A$43)),COUNTIFS('Worksheet (GOL)'!$AA$2:$AA$1080,$A110,'Worksheet (GOL)'!$T$2:$T$1080,$A$32:$A$43),0)),"-")</f>
        <v>Uang &amp; Setara Uang</v>
      </c>
      <c r="H110" s="106" t="str" cm="1">
        <f t="array" ref="H110">IFERROR(INDEX($A$17:$A$26,MATCH(MAX(COUNTIFS('Worksheet (GOL)'!$AA$2:$AA$1080,$A110,'Worksheet (GOL)'!$S$2:$S$1080,$A$17:$A$26)),COUNTIFS('Worksheet (GOL)'!$AA$2:$AA$1080,$A110,'Worksheet (GOL)'!$S$2:$S$1080,$A$17:$A$26),0)),"-")</f>
        <v>Ketua Pengadilan</v>
      </c>
      <c r="I110" s="106" t="str">
        <f t="shared" si="16"/>
        <v>Dugaan (relasi/momen)</v>
      </c>
    </row>
    <row r="111" spans="1:9">
      <c r="A111" s="106" t="s">
        <v>6079</v>
      </c>
      <c r="B111" s="126">
        <f>COUNTIF('Worksheet (GOL)'!$AA$2:$AA$1080,$A111)</f>
        <v>21</v>
      </c>
      <c r="C111" s="118">
        <f t="shared" si="14"/>
        <v>1.9462465245597776E-2</v>
      </c>
      <c r="D111" s="119">
        <f>SUMIF('Worksheet (GOL)'!$AA$2:$AA$1080,$A111,'Worksheet (GOL)'!$J$2:$J$1080)</f>
        <v>1019000</v>
      </c>
      <c r="E111" s="126">
        <f>COUNTIFS('Worksheet (GOL)'!$AA$2:$AA$1080,$A111,'Worksheet (GOL)'!$G$2:$G$1080,"Penolakan")</f>
        <v>3</v>
      </c>
      <c r="F111" s="118">
        <f t="shared" si="15"/>
        <v>0.14285714285714285</v>
      </c>
      <c r="G111" s="106" t="str" cm="1">
        <f t="array" ref="G111">IFERROR(INDEX($A$32:$A$43,MATCH(MAX(COUNTIFS('Worksheet (GOL)'!$AA$2:$AA$1080,$A111,'Worksheet (GOL)'!$T$2:$T$1080,$A$32:$A$43)),COUNTIFS('Worksheet (GOL)'!$AA$2:$AA$1080,$A111,'Worksheet (GOL)'!$T$2:$T$1080,$A$32:$A$43),0)),"-")</f>
        <v>Makanan &amp; Minuman</v>
      </c>
      <c r="H111" s="106" t="str" cm="1">
        <f t="array" ref="H111">IFERROR(INDEX($A$17:$A$26,MATCH(MAX(COUNTIFS('Worksheet (GOL)'!$AA$2:$AA$1080,$A111,'Worksheet (GOL)'!$S$2:$S$1080,$A$17:$A$26)),COUNTIFS('Worksheet (GOL)'!$AA$2:$AA$1080,$A111,'Worksheet (GOL)'!$S$2:$S$1080,$A$17:$A$26),0)),"-")</f>
        <v>Hakim</v>
      </c>
      <c r="I111" s="106" t="str">
        <f t="shared" si="16"/>
        <v>Eksplisit di uraian objek</v>
      </c>
    </row>
    <row r="112" spans="1:9">
      <c r="A112" s="106" t="s">
        <v>6080</v>
      </c>
      <c r="B112" s="126">
        <f>COUNTIF('Worksheet (GOL)'!$AA$2:$AA$1080,$A112)</f>
        <v>21</v>
      </c>
      <c r="C112" s="118">
        <f t="shared" si="14"/>
        <v>1.9462465245597776E-2</v>
      </c>
      <c r="D112" s="119">
        <f>SUMIF('Worksheet (GOL)'!$AA$2:$AA$1080,$A112,'Worksheet (GOL)'!$J$2:$J$1080)</f>
        <v>0</v>
      </c>
      <c r="E112" s="126">
        <f>COUNTIFS('Worksheet (GOL)'!$AA$2:$AA$1080,$A112,'Worksheet (GOL)'!$G$2:$G$1080,"Penolakan")</f>
        <v>2</v>
      </c>
      <c r="F112" s="118">
        <f t="shared" si="15"/>
        <v>9.5238095238095233E-2</v>
      </c>
      <c r="G112" s="106" t="str" cm="1">
        <f t="array" ref="G112">IFERROR(INDEX($A$32:$A$43,MATCH(MAX(COUNTIFS('Worksheet (GOL)'!$AA$2:$AA$1080,$A112,'Worksheet (GOL)'!$T$2:$T$1080,$A$32:$A$43)),COUNTIFS('Worksheet (GOL)'!$AA$2:$AA$1080,$A112,'Worksheet (GOL)'!$T$2:$T$1080,$A$32:$A$43),0)),"-")</f>
        <v>Karangan Bunga / Ucapan</v>
      </c>
      <c r="H112" s="106" t="str" cm="1">
        <f t="array" ref="H112">IFERROR(INDEX($A$17:$A$26,MATCH(MAX(COUNTIFS('Worksheet (GOL)'!$AA$2:$AA$1080,$A112,'Worksheet (GOL)'!$S$2:$S$1080,$A$17:$A$26)),COUNTIFS('Worksheet (GOL)'!$AA$2:$AA$1080,$A112,'Worksheet (GOL)'!$S$2:$S$1080,$A$17:$A$26),0)),"-")</f>
        <v>Ketua Pengadilan</v>
      </c>
      <c r="I112" s="106" t="str">
        <f t="shared" si="16"/>
        <v>Eksplisit di uraian objek</v>
      </c>
    </row>
    <row r="113" spans="1:11">
      <c r="A113" s="106" t="s">
        <v>6081</v>
      </c>
      <c r="B113" s="126">
        <f>COUNTIF('Worksheet (GOL)'!$AA$2:$AA$1080,$A113)</f>
        <v>16</v>
      </c>
      <c r="C113" s="118">
        <f t="shared" si="14"/>
        <v>1.4828544949026877E-2</v>
      </c>
      <c r="D113" s="119">
        <f>SUMIF('Worksheet (GOL)'!$AA$2:$AA$1080,$A113,'Worksheet (GOL)'!$J$2:$J$1080)</f>
        <v>6206800</v>
      </c>
      <c r="E113" s="126">
        <f>COUNTIFS('Worksheet (GOL)'!$AA$2:$AA$1080,$A113,'Worksheet (GOL)'!$G$2:$G$1080,"Penolakan")</f>
        <v>1</v>
      </c>
      <c r="F113" s="118">
        <f t="shared" si="15"/>
        <v>6.25E-2</v>
      </c>
      <c r="G113" s="106" t="str" cm="1">
        <f t="array" ref="G113">IFERROR(INDEX($A$32:$A$43,MATCH(MAX(COUNTIFS('Worksheet (GOL)'!$AA$2:$AA$1080,$A113,'Worksheet (GOL)'!$T$2:$T$1080,$A$32:$A$43)),COUNTIFS('Worksheet (GOL)'!$AA$2:$AA$1080,$A113,'Worksheet (GOL)'!$T$2:$T$1080,$A$32:$A$43),0)),"-")</f>
        <v>Uang &amp; Setara Uang</v>
      </c>
      <c r="H113" s="106" t="str" cm="1">
        <f t="array" ref="H113">IFERROR(INDEX($A$17:$A$26,MATCH(MAX(COUNTIFS('Worksheet (GOL)'!$AA$2:$AA$1080,$A113,'Worksheet (GOL)'!$S$2:$S$1080,$A$17:$A$26)),COUNTIFS('Worksheet (GOL)'!$AA$2:$AA$1080,$A113,'Worksheet (GOL)'!$S$2:$S$1080,$A$17:$A$26),0)),"-")</f>
        <v>Ketua Pengadilan</v>
      </c>
      <c r="I113" s="106" t="str">
        <f t="shared" si="16"/>
        <v>Dugaan (relasi/momen)</v>
      </c>
    </row>
    <row r="114" spans="1:11">
      <c r="A114" s="106" t="s">
        <v>6082</v>
      </c>
      <c r="B114" s="126">
        <f>COUNTIF('Worksheet (GOL)'!$AA$2:$AA$1080,$A114)</f>
        <v>13</v>
      </c>
      <c r="C114" s="118">
        <f t="shared" si="14"/>
        <v>1.2048192771084338E-2</v>
      </c>
      <c r="D114" s="119">
        <f>SUMIF('Worksheet (GOL)'!$AA$2:$AA$1080,$A114,'Worksheet (GOL)'!$J$2:$J$1080)</f>
        <v>2227600</v>
      </c>
      <c r="E114" s="126">
        <f>COUNTIFS('Worksheet (GOL)'!$AA$2:$AA$1080,$A114,'Worksheet (GOL)'!$G$2:$G$1080,"Penolakan")</f>
        <v>0</v>
      </c>
      <c r="F114" s="118">
        <f t="shared" si="15"/>
        <v>0</v>
      </c>
      <c r="G114" s="106" t="str" cm="1">
        <f t="array" ref="G114">IFERROR(INDEX($A$32:$A$43,MATCH(MAX(COUNTIFS('Worksheet (GOL)'!$AA$2:$AA$1080,$A114,'Worksheet (GOL)'!$T$2:$T$1080,$A$32:$A$43)),COUNTIFS('Worksheet (GOL)'!$AA$2:$AA$1080,$A114,'Worksheet (GOL)'!$T$2:$T$1080,$A$32:$A$43),0)),"-")</f>
        <v>Suvenir &amp; Merchandise</v>
      </c>
      <c r="H114" s="106" t="str" cm="1">
        <f t="array" ref="H114">IFERROR(INDEX($A$17:$A$26,MATCH(MAX(COUNTIFS('Worksheet (GOL)'!$AA$2:$AA$1080,$A114,'Worksheet (GOL)'!$S$2:$S$1080,$A$17:$A$26)),COUNTIFS('Worksheet (GOL)'!$AA$2:$AA$1080,$A114,'Worksheet (GOL)'!$S$2:$S$1080,$A$17:$A$26),0)),"-")</f>
        <v>Ketua Pengadilan</v>
      </c>
      <c r="I114" s="106" t="str">
        <f t="shared" si="16"/>
        <v>Dugaan (relasi/momen)</v>
      </c>
    </row>
    <row r="115" spans="1:11">
      <c r="A115" s="106" t="s">
        <v>6083</v>
      </c>
      <c r="B115" s="126">
        <f>COUNTIF('Worksheet (GOL)'!$AA$2:$AA$1080,$A115)</f>
        <v>10</v>
      </c>
      <c r="C115" s="118">
        <f t="shared" si="14"/>
        <v>9.2678405931417972E-3</v>
      </c>
      <c r="D115" s="119">
        <f>SUMIF('Worksheet (GOL)'!$AA$2:$AA$1080,$A115,'Worksheet (GOL)'!$J$2:$J$1080)</f>
        <v>2878516</v>
      </c>
      <c r="E115" s="126">
        <f>COUNTIFS('Worksheet (GOL)'!$AA$2:$AA$1080,$A115,'Worksheet (GOL)'!$G$2:$G$1080,"Penolakan")</f>
        <v>1</v>
      </c>
      <c r="F115" s="118">
        <f t="shared" si="15"/>
        <v>0.1</v>
      </c>
      <c r="G115" s="106" t="str" cm="1">
        <f t="array" ref="G115">IFERROR(INDEX($A$32:$A$43,MATCH(MAX(COUNTIFS('Worksheet (GOL)'!$AA$2:$AA$1080,$A115,'Worksheet (GOL)'!$T$2:$T$1080,$A$32:$A$43)),COUNTIFS('Worksheet (GOL)'!$AA$2:$AA$1080,$A115,'Worksheet (GOL)'!$T$2:$T$1080,$A$32:$A$43),0)),"-")</f>
        <v>Uang &amp; Setara Uang</v>
      </c>
      <c r="H115" s="106" t="str" cm="1">
        <f t="array" ref="H115">IFERROR(INDEX($A$17:$A$26,MATCH(MAX(COUNTIFS('Worksheet (GOL)'!$AA$2:$AA$1080,$A115,'Worksheet (GOL)'!$S$2:$S$1080,$A$17:$A$26)),COUNTIFS('Worksheet (GOL)'!$AA$2:$AA$1080,$A115,'Worksheet (GOL)'!$S$2:$S$1080,$A$17:$A$26),0)),"-")</f>
        <v>Hakim</v>
      </c>
      <c r="I115" s="106" t="str">
        <f t="shared" si="16"/>
        <v>Dugaan (relasi/momen)</v>
      </c>
    </row>
    <row r="116" spans="1:11">
      <c r="A116" s="106" t="s">
        <v>6084</v>
      </c>
      <c r="B116" s="126">
        <f>COUNTIF('Worksheet (GOL)'!$AA$2:$AA$1080,$A116)</f>
        <v>6</v>
      </c>
      <c r="C116" s="118">
        <f t="shared" si="14"/>
        <v>5.5607043558850789E-3</v>
      </c>
      <c r="D116" s="119">
        <f>SUMIF('Worksheet (GOL)'!$AA$2:$AA$1080,$A116,'Worksheet (GOL)'!$J$2:$J$1080)</f>
        <v>3450000</v>
      </c>
      <c r="E116" s="126">
        <f>COUNTIFS('Worksheet (GOL)'!$AA$2:$AA$1080,$A116,'Worksheet (GOL)'!$G$2:$G$1080,"Penolakan")</f>
        <v>0</v>
      </c>
      <c r="F116" s="118">
        <f t="shared" si="15"/>
        <v>0</v>
      </c>
      <c r="G116" s="106" t="str" cm="1">
        <f t="array" ref="G116">IFERROR(INDEX($A$32:$A$43,MATCH(MAX(COUNTIFS('Worksheet (GOL)'!$AA$2:$AA$1080,$A116,'Worksheet (GOL)'!$T$2:$T$1080,$A$32:$A$43)),COUNTIFS('Worksheet (GOL)'!$AA$2:$AA$1080,$A116,'Worksheet (GOL)'!$T$2:$T$1080,$A$32:$A$43),0)),"-")</f>
        <v>Uang &amp; Setara Uang</v>
      </c>
      <c r="H116" s="106" t="str" cm="1">
        <f t="array" ref="H116">IFERROR(INDEX($A$17:$A$26,MATCH(MAX(COUNTIFS('Worksheet (GOL)'!$AA$2:$AA$1080,$A116,'Worksheet (GOL)'!$S$2:$S$1080,$A$17:$A$26)),COUNTIFS('Worksheet (GOL)'!$AA$2:$AA$1080,$A116,'Worksheet (GOL)'!$S$2:$S$1080,$A$17:$A$26),0)),"-")</f>
        <v>Ketua Pengadilan</v>
      </c>
      <c r="I116" s="106" t="str">
        <f t="shared" si="16"/>
        <v>Eksplisit di uraian objek</v>
      </c>
    </row>
    <row r="117" spans="1:11">
      <c r="A117" s="106" t="s">
        <v>6085</v>
      </c>
      <c r="B117" s="126">
        <f>COUNTIF('Worksheet (GOL)'!$AA$2:$AA$1080,$A117)</f>
        <v>4</v>
      </c>
      <c r="C117" s="118">
        <f t="shared" si="14"/>
        <v>3.7071362372567192E-3</v>
      </c>
      <c r="D117" s="119">
        <f>SUMIF('Worksheet (GOL)'!$AA$2:$AA$1080,$A117,'Worksheet (GOL)'!$J$2:$J$1080)</f>
        <v>610000</v>
      </c>
      <c r="E117" s="126">
        <f>COUNTIFS('Worksheet (GOL)'!$AA$2:$AA$1080,$A117,'Worksheet (GOL)'!$G$2:$G$1080,"Penolakan")</f>
        <v>0</v>
      </c>
      <c r="F117" s="118">
        <f t="shared" si="15"/>
        <v>0</v>
      </c>
      <c r="G117" s="106" t="str" cm="1">
        <f t="array" ref="G117">IFERROR(INDEX($A$32:$A$43,MATCH(MAX(COUNTIFS('Worksheet (GOL)'!$AA$2:$AA$1080,$A117,'Worksheet (GOL)'!$T$2:$T$1080,$A$32:$A$43)),COUNTIFS('Worksheet (GOL)'!$AA$2:$AA$1080,$A117,'Worksheet (GOL)'!$T$2:$T$1080,$A$32:$A$43),0)),"-")</f>
        <v>Makanan &amp; Minuman</v>
      </c>
      <c r="H117" s="106" t="str" cm="1">
        <f t="array" ref="H117">IFERROR(INDEX($A$17:$A$26,MATCH(MAX(COUNTIFS('Worksheet (GOL)'!$AA$2:$AA$1080,$A117,'Worksheet (GOL)'!$S$2:$S$1080,$A$17:$A$26)),COUNTIFS('Worksheet (GOL)'!$AA$2:$AA$1080,$A117,'Worksheet (GOL)'!$S$2:$S$1080,$A$17:$A$26),0)),"-")</f>
        <v>Ketua Pengadilan</v>
      </c>
      <c r="I117" s="106" t="str">
        <f t="shared" si="16"/>
        <v>Eksplisit di uraian objek</v>
      </c>
    </row>
    <row r="118" spans="1:11">
      <c r="A118" s="106" t="s">
        <v>6086</v>
      </c>
      <c r="B118" s="126">
        <f>COUNTIF('Worksheet (GOL)'!$AA$2:$AA$1080,$A118)</f>
        <v>3</v>
      </c>
      <c r="C118" s="118">
        <f t="shared" si="14"/>
        <v>2.7803521779425394E-3</v>
      </c>
      <c r="D118" s="119">
        <f>SUMIF('Worksheet (GOL)'!$AA$2:$AA$1080,$A118,'Worksheet (GOL)'!$J$2:$J$1080)</f>
        <v>400000</v>
      </c>
      <c r="E118" s="126">
        <f>COUNTIFS('Worksheet (GOL)'!$AA$2:$AA$1080,$A118,'Worksheet (GOL)'!$G$2:$G$1080,"Penolakan")</f>
        <v>0</v>
      </c>
      <c r="F118" s="118">
        <f t="shared" si="15"/>
        <v>0</v>
      </c>
      <c r="G118" s="106" t="str" cm="1">
        <f t="array" ref="G118">IFERROR(INDEX($A$32:$A$43,MATCH(MAX(COUNTIFS('Worksheet (GOL)'!$AA$2:$AA$1080,$A118,'Worksheet (GOL)'!$T$2:$T$1080,$A$32:$A$43)),COUNTIFS('Worksheet (GOL)'!$AA$2:$AA$1080,$A118,'Worksheet (GOL)'!$T$2:$T$1080,$A$32:$A$43),0)),"-")</f>
        <v>Makanan &amp; Minuman</v>
      </c>
      <c r="H118" s="106" t="str" cm="1">
        <f t="array" ref="H118">IFERROR(INDEX($A$17:$A$26,MATCH(MAX(COUNTIFS('Worksheet (GOL)'!$AA$2:$AA$1080,$A118,'Worksheet (GOL)'!$S$2:$S$1080,$A$17:$A$26)),COUNTIFS('Worksheet (GOL)'!$AA$2:$AA$1080,$A118,'Worksheet (GOL)'!$S$2:$S$1080,$A$17:$A$26),0)),"-")</f>
        <v>Ketua Pengadilan</v>
      </c>
      <c r="I118" s="106" t="str">
        <f t="shared" si="16"/>
        <v>Eksplisit di uraian objek</v>
      </c>
    </row>
    <row r="119" spans="1:11">
      <c r="A119" s="106" t="s">
        <v>6087</v>
      </c>
      <c r="B119" s="126">
        <f>COUNTIF('Worksheet (GOL)'!$AA$2:$AA$1080,$A119)</f>
        <v>2</v>
      </c>
      <c r="C119" s="118">
        <f t="shared" si="14"/>
        <v>1.8535681186283596E-3</v>
      </c>
      <c r="D119" s="119">
        <f>SUMIF('Worksheet (GOL)'!$AA$2:$AA$1080,$A119,'Worksheet (GOL)'!$J$2:$J$1080)</f>
        <v>425000</v>
      </c>
      <c r="E119" s="126">
        <f>COUNTIFS('Worksheet (GOL)'!$AA$2:$AA$1080,$A119,'Worksheet (GOL)'!$G$2:$G$1080,"Penolakan")</f>
        <v>0</v>
      </c>
      <c r="F119" s="118">
        <f t="shared" si="15"/>
        <v>0</v>
      </c>
      <c r="G119" s="106" t="str" cm="1">
        <f t="array" ref="G119">IFERROR(INDEX($A$32:$A$43,MATCH(MAX(COUNTIFS('Worksheet (GOL)'!$AA$2:$AA$1080,$A119,'Worksheet (GOL)'!$T$2:$T$1080,$A$32:$A$43)),COUNTIFS('Worksheet (GOL)'!$AA$2:$AA$1080,$A119,'Worksheet (GOL)'!$T$2:$T$1080,$A$32:$A$43),0)),"-")</f>
        <v>Makanan &amp; Minuman</v>
      </c>
      <c r="H119" s="106" t="str" cm="1">
        <f t="array" ref="H119">IFERROR(INDEX($A$17:$A$26,MATCH(MAX(COUNTIFS('Worksheet (GOL)'!$AA$2:$AA$1080,$A119,'Worksheet (GOL)'!$S$2:$S$1080,$A$17:$A$26)),COUNTIFS('Worksheet (GOL)'!$AA$2:$AA$1080,$A119,'Worksheet (GOL)'!$S$2:$S$1080,$A$17:$A$26),0)),"-")</f>
        <v>Ketua Pengadilan</v>
      </c>
      <c r="I119" s="106" t="str">
        <f t="shared" si="16"/>
        <v>Eksplisit di uraian objek</v>
      </c>
    </row>
    <row r="120" spans="1:11">
      <c r="A120" s="106" t="s">
        <v>6088</v>
      </c>
      <c r="B120" s="126">
        <f>COUNTIF('Worksheet (GOL)'!$AA$2:$AA$1080,$A120)</f>
        <v>1</v>
      </c>
      <c r="C120" s="118">
        <f t="shared" si="14"/>
        <v>9.2678405931417981E-4</v>
      </c>
      <c r="D120" s="119">
        <f>SUMIF('Worksheet (GOL)'!$AA$2:$AA$1080,$A120,'Worksheet (GOL)'!$J$2:$J$1080)</f>
        <v>365000</v>
      </c>
      <c r="E120" s="126">
        <f>COUNTIFS('Worksheet (GOL)'!$AA$2:$AA$1080,$A120,'Worksheet (GOL)'!$G$2:$G$1080,"Penolakan")</f>
        <v>0</v>
      </c>
      <c r="F120" s="118">
        <f t="shared" si="15"/>
        <v>0</v>
      </c>
      <c r="G120" s="106" t="str" cm="1">
        <f t="array" ref="G120">IFERROR(INDEX($A$32:$A$43,MATCH(MAX(COUNTIFS('Worksheet (GOL)'!$AA$2:$AA$1080,$A120,'Worksheet (GOL)'!$T$2:$T$1080,$A$32:$A$43)),COUNTIFS('Worksheet (GOL)'!$AA$2:$AA$1080,$A120,'Worksheet (GOL)'!$T$2:$T$1080,$A$32:$A$43),0)),"-")</f>
        <v>Uang &amp; Setara Uang</v>
      </c>
      <c r="H120" s="106" t="str" cm="1">
        <f t="array" ref="H120">IFERROR(INDEX($A$17:$A$26,MATCH(MAX(COUNTIFS('Worksheet (GOL)'!$AA$2:$AA$1080,$A120,'Worksheet (GOL)'!$S$2:$S$1080,$A$17:$A$26)),COUNTIFS('Worksheet (GOL)'!$AA$2:$AA$1080,$A120,'Worksheet (GOL)'!$S$2:$S$1080,$A$17:$A$26),0)),"-")</f>
        <v>Panitera</v>
      </c>
      <c r="I120" s="106" t="str">
        <f t="shared" si="16"/>
        <v>Eksplisit di uraian objek</v>
      </c>
    </row>
    <row r="121" spans="1:11">
      <c r="A121" s="106" t="s">
        <v>6089</v>
      </c>
      <c r="B121" s="126">
        <f>COUNTIF('Worksheet (GOL)'!$AA$2:$AA$1080,$A121)</f>
        <v>1</v>
      </c>
      <c r="C121" s="118">
        <f t="shared" si="14"/>
        <v>9.2678405931417981E-4</v>
      </c>
      <c r="D121" s="119">
        <f>SUMIF('Worksheet (GOL)'!$AA$2:$AA$1080,$A121,'Worksheet (GOL)'!$J$2:$J$1080)</f>
        <v>100000</v>
      </c>
      <c r="E121" s="126">
        <f>COUNTIFS('Worksheet (GOL)'!$AA$2:$AA$1080,$A121,'Worksheet (GOL)'!$G$2:$G$1080,"Penolakan")</f>
        <v>0</v>
      </c>
      <c r="F121" s="118">
        <f t="shared" si="15"/>
        <v>0</v>
      </c>
      <c r="G121" s="106" t="str" cm="1">
        <f t="array" ref="G121">IFERROR(INDEX($A$32:$A$43,MATCH(MAX(COUNTIFS('Worksheet (GOL)'!$AA$2:$AA$1080,$A121,'Worksheet (GOL)'!$T$2:$T$1080,$A$32:$A$43)),COUNTIFS('Worksheet (GOL)'!$AA$2:$AA$1080,$A121,'Worksheet (GOL)'!$T$2:$T$1080,$A$32:$A$43),0)),"-")</f>
        <v>Suvenir &amp; Merchandise</v>
      </c>
      <c r="H121" s="106" t="str" cm="1">
        <f t="array" ref="H121">IFERROR(INDEX($A$17:$A$26,MATCH(MAX(COUNTIFS('Worksheet (GOL)'!$AA$2:$AA$1080,$A121,'Worksheet (GOL)'!$S$2:$S$1080,$A$17:$A$26)),COUNTIFS('Worksheet (GOL)'!$AA$2:$AA$1080,$A121,'Worksheet (GOL)'!$S$2:$S$1080,$A$17:$A$26),0)),"-")</f>
        <v>Hakim</v>
      </c>
      <c r="I121" s="106" t="str">
        <f t="shared" si="16"/>
        <v>Dugaan (relasi/momen)</v>
      </c>
    </row>
    <row r="122" spans="1:11">
      <c r="A122" s="106" t="s">
        <v>6090</v>
      </c>
      <c r="B122" s="126">
        <f>COUNTIF('Worksheet (GOL)'!$AA$2:$AA$1080,$A122)</f>
        <v>1</v>
      </c>
      <c r="C122" s="118">
        <f t="shared" si="14"/>
        <v>9.2678405931417981E-4</v>
      </c>
      <c r="D122" s="119">
        <f>SUMIF('Worksheet (GOL)'!$AA$2:$AA$1080,$A122,'Worksheet (GOL)'!$J$2:$J$1080)</f>
        <v>0</v>
      </c>
      <c r="E122" s="126">
        <f>COUNTIFS('Worksheet (GOL)'!$AA$2:$AA$1080,$A122,'Worksheet (GOL)'!$G$2:$G$1080,"Penolakan")</f>
        <v>0</v>
      </c>
      <c r="F122" s="118">
        <f t="shared" si="15"/>
        <v>0</v>
      </c>
      <c r="G122" s="106" t="str" cm="1">
        <f t="array" ref="G122">IFERROR(INDEX($A$32:$A$43,MATCH(MAX(COUNTIFS('Worksheet (GOL)'!$AA$2:$AA$1080,$A122,'Worksheet (GOL)'!$T$2:$T$1080,$A$32:$A$43)),COUNTIFS('Worksheet (GOL)'!$AA$2:$AA$1080,$A122,'Worksheet (GOL)'!$T$2:$T$1080,$A$32:$A$43),0)),"-")</f>
        <v>Suvenir &amp; Merchandise</v>
      </c>
      <c r="H122" s="106" t="str" cm="1">
        <f t="array" ref="H122">IFERROR(INDEX($A$17:$A$26,MATCH(MAX(COUNTIFS('Worksheet (GOL)'!$AA$2:$AA$1080,$A122,'Worksheet (GOL)'!$S$2:$S$1080,$A$17:$A$26)),COUNTIFS('Worksheet (GOL)'!$AA$2:$AA$1080,$A122,'Worksheet (GOL)'!$S$2:$S$1080,$A$17:$A$26),0)),"-")</f>
        <v>Ketua Pengadilan</v>
      </c>
      <c r="I122" s="106" t="str">
        <f t="shared" si="16"/>
        <v>Eksplisit di uraian objek</v>
      </c>
    </row>
    <row r="123" spans="1:11">
      <c r="A123" s="106" t="s">
        <v>6091</v>
      </c>
      <c r="B123" s="126">
        <f>COUNTIF('Worksheet (GOL)'!$AA$2:$AA$1080,$A123)</f>
        <v>59</v>
      </c>
      <c r="C123" s="118">
        <f t="shared" si="14"/>
        <v>5.4680259499536608E-2</v>
      </c>
      <c r="D123" s="119">
        <f>SUMIF('Worksheet (GOL)'!$AA$2:$AA$1080,$A123,'Worksheet (GOL)'!$J$2:$J$1080)</f>
        <v>0</v>
      </c>
      <c r="E123" s="126">
        <f>COUNTIFS('Worksheet (GOL)'!$AA$2:$AA$1080,$A123,'Worksheet (GOL)'!$G$2:$G$1080,"Penolakan")</f>
        <v>21</v>
      </c>
      <c r="F123" s="118">
        <f t="shared" si="15"/>
        <v>0.3559322033898305</v>
      </c>
      <c r="G123" s="106" t="str" cm="1">
        <f t="array" ref="G123">IFERROR(INDEX($A$32:$A$43,MATCH(MAX(COUNTIFS('Worksheet (GOL)'!$AA$2:$AA$1080,$A123,'Worksheet (GOL)'!$T$2:$T$1080,$A$32:$A$43)),COUNTIFS('Worksheet (GOL)'!$AA$2:$AA$1080,$A123,'Worksheet (GOL)'!$T$2:$T$1080,$A$32:$A$43),0)),"-")</f>
        <v>(tidak diisi)</v>
      </c>
      <c r="H123" s="106" t="str" cm="1">
        <f t="array" ref="H123">IFERROR(INDEX($A$17:$A$26,MATCH(MAX(COUNTIFS('Worksheet (GOL)'!$AA$2:$AA$1080,$A123,'Worksheet (GOL)'!$S$2:$S$1080,$A$17:$A$26)),COUNTIFS('Worksheet (GOL)'!$AA$2:$AA$1080,$A123,'Worksheet (GOL)'!$S$2:$S$1080,$A$17:$A$26),0)),"-")</f>
        <v>Staf/Pegawai Pelaksana</v>
      </c>
      <c r="I123" s="106" t="str">
        <f t="shared" si="16"/>
        <v>Data tidak memadai</v>
      </c>
    </row>
    <row r="124" spans="1:11">
      <c r="A124" s="122" t="s">
        <v>6024</v>
      </c>
      <c r="B124" s="123">
        <f>SUM(B103:B123)</f>
        <v>1079</v>
      </c>
      <c r="C124" s="124">
        <f>SUM(C103:C123)</f>
        <v>1.0000000000000002</v>
      </c>
      <c r="D124" s="125">
        <f>SUM(D103:D123)</f>
        <v>393457244</v>
      </c>
      <c r="E124" s="123">
        <f>SUM(E103:E123)</f>
        <v>139</v>
      </c>
      <c r="F124" s="124">
        <f>E124/B124</f>
        <v>0.12882298424467098</v>
      </c>
      <c r="G124" s="122"/>
      <c r="H124" s="122"/>
      <c r="I124" s="122"/>
    </row>
    <row r="127" spans="1:11" ht="15.6">
      <c r="A127" s="201" t="s">
        <v>6092</v>
      </c>
      <c r="B127" s="201"/>
      <c r="C127" s="201"/>
      <c r="D127" s="201"/>
      <c r="E127" s="201"/>
      <c r="F127" s="201"/>
      <c r="G127" s="201"/>
      <c r="H127" s="201"/>
      <c r="I127" s="201"/>
      <c r="J127" s="201"/>
      <c r="K127" s="201"/>
    </row>
    <row r="128" spans="1:11" ht="28.8">
      <c r="A128" s="135" t="s">
        <v>867</v>
      </c>
      <c r="B128" s="135" t="s">
        <v>6093</v>
      </c>
      <c r="C128" s="135" t="s">
        <v>6043</v>
      </c>
      <c r="D128" s="135" t="s">
        <v>6013</v>
      </c>
      <c r="E128" s="135" t="s">
        <v>6016</v>
      </c>
      <c r="F128" s="135" t="s">
        <v>6094</v>
      </c>
      <c r="G128" s="135" t="s">
        <v>2214</v>
      </c>
      <c r="H128" s="135" t="s">
        <v>6051</v>
      </c>
      <c r="I128" s="135" t="s">
        <v>6095</v>
      </c>
      <c r="J128" s="135" t="s">
        <v>4511</v>
      </c>
      <c r="K128" s="135" t="s">
        <v>6096</v>
      </c>
    </row>
    <row r="129" spans="1:11">
      <c r="A129" s="106">
        <v>1</v>
      </c>
      <c r="B129" s="106" t="s">
        <v>6097</v>
      </c>
      <c r="C129" s="126">
        <f>COUNTIF('Worksheet (GOL)'!$X$2:$X$1080,$A129)</f>
        <v>64</v>
      </c>
      <c r="D129" s="118">
        <f>C129/$C$142</f>
        <v>5.9314179796107508E-2</v>
      </c>
      <c r="E129" s="119">
        <f>SUMIF('Worksheet (GOL)'!$X$2:$X$1080,$A129,'Worksheet (GOL)'!$J$2:$J$1080)</f>
        <v>11458468</v>
      </c>
      <c r="F129" s="126">
        <f>COUNTIFS('Worksheet (GOL)'!$X$2:$X$1080,$A129,'Worksheet (GOL)'!$U$2:$U$1080,$A$50)</f>
        <v>6</v>
      </c>
      <c r="G129" s="126">
        <f>COUNTIFS('Worksheet (GOL)'!$X$2:$X$1080,$A129,'Worksheet (GOL)'!$U$2:$U$1080,$A$53)</f>
        <v>0</v>
      </c>
      <c r="H129" s="126">
        <f>COUNTIFS('Worksheet (GOL)'!$X$2:$X$1080,$A129,'Worksheet (GOL)'!$U$2:$U$1080,$A$51)</f>
        <v>12</v>
      </c>
      <c r="I129" s="126">
        <f>COUNTIFS('Worksheet (GOL)'!$X$2:$X$1080,$A129,'Worksheet (GOL)'!$U$2:$U$1080,$A$52)</f>
        <v>9</v>
      </c>
      <c r="J129" s="126">
        <f>COUNTIFS('Worksheet (GOL)'!$X$2:$X$1080,$A129,'Worksheet (GOL)'!$U$2:$U$1080,$A$54)</f>
        <v>0</v>
      </c>
      <c r="K129" s="126">
        <f>COUNTIFS('Worksheet (GOL)'!$X$2:$X$1080,$A129,'Worksheet (GOL)'!$U$2:$U$1080,$A$55)</f>
        <v>2</v>
      </c>
    </row>
    <row r="130" spans="1:11">
      <c r="A130" s="106">
        <v>2</v>
      </c>
      <c r="B130" s="106" t="s">
        <v>6098</v>
      </c>
      <c r="C130" s="126">
        <f>COUNTIF('Worksheet (GOL)'!$X$2:$X$1080,$A130)</f>
        <v>137</v>
      </c>
      <c r="D130" s="118">
        <f t="shared" ref="D130:D141" si="17">C130/$C$142</f>
        <v>0.12696941612604262</v>
      </c>
      <c r="E130" s="119">
        <f>SUMIF('Worksheet (GOL)'!$X$2:$X$1080,$A130,'Worksheet (GOL)'!$J$2:$J$1080)</f>
        <v>23738199</v>
      </c>
      <c r="F130" s="126">
        <f>COUNTIFS('Worksheet (GOL)'!$X$2:$X$1080,$A130,'Worksheet (GOL)'!$U$2:$U$1080,$A$50)</f>
        <v>4</v>
      </c>
      <c r="G130" s="126">
        <f>COUNTIFS('Worksheet (GOL)'!$X$2:$X$1080,$A130,'Worksheet (GOL)'!$U$2:$U$1080,$A$53)</f>
        <v>0</v>
      </c>
      <c r="H130" s="126">
        <f>COUNTIFS('Worksheet (GOL)'!$X$2:$X$1080,$A130,'Worksheet (GOL)'!$U$2:$U$1080,$A$51)</f>
        <v>10</v>
      </c>
      <c r="I130" s="126">
        <f>COUNTIFS('Worksheet (GOL)'!$X$2:$X$1080,$A130,'Worksheet (GOL)'!$U$2:$U$1080,$A$52)</f>
        <v>18</v>
      </c>
      <c r="J130" s="126">
        <f>COUNTIFS('Worksheet (GOL)'!$X$2:$X$1080,$A130,'Worksheet (GOL)'!$U$2:$U$1080,$A$54)</f>
        <v>62</v>
      </c>
      <c r="K130" s="126">
        <f>COUNTIFS('Worksheet (GOL)'!$X$2:$X$1080,$A130,'Worksheet (GOL)'!$U$2:$U$1080,$A$55)</f>
        <v>1</v>
      </c>
    </row>
    <row r="131" spans="1:11">
      <c r="A131" s="106">
        <v>3</v>
      </c>
      <c r="B131" s="106" t="s">
        <v>6099</v>
      </c>
      <c r="C131" s="126">
        <f>COUNTIF('Worksheet (GOL)'!$X$2:$X$1080,$A131)</f>
        <v>354</v>
      </c>
      <c r="D131" s="118">
        <f t="shared" si="17"/>
        <v>0.32808155699721964</v>
      </c>
      <c r="E131" s="119">
        <f>SUMIF('Worksheet (GOL)'!$X$2:$X$1080,$A131,'Worksheet (GOL)'!$J$2:$J$1080)</f>
        <v>140327236</v>
      </c>
      <c r="F131" s="126">
        <f>COUNTIFS('Worksheet (GOL)'!$X$2:$X$1080,$A131,'Worksheet (GOL)'!$U$2:$U$1080,$A$50)</f>
        <v>130</v>
      </c>
      <c r="G131" s="126">
        <f>COUNTIFS('Worksheet (GOL)'!$X$2:$X$1080,$A131,'Worksheet (GOL)'!$U$2:$U$1080,$A$53)</f>
        <v>69</v>
      </c>
      <c r="H131" s="126">
        <f>COUNTIFS('Worksheet (GOL)'!$X$2:$X$1080,$A131,'Worksheet (GOL)'!$U$2:$U$1080,$A$51)</f>
        <v>11</v>
      </c>
      <c r="I131" s="126">
        <f>COUNTIFS('Worksheet (GOL)'!$X$2:$X$1080,$A131,'Worksheet (GOL)'!$U$2:$U$1080,$A$52)</f>
        <v>12</v>
      </c>
      <c r="J131" s="126">
        <f>COUNTIFS('Worksheet (GOL)'!$X$2:$X$1080,$A131,'Worksheet (GOL)'!$U$2:$U$1080,$A$54)</f>
        <v>7</v>
      </c>
      <c r="K131" s="126">
        <f>COUNTIFS('Worksheet (GOL)'!$X$2:$X$1080,$A131,'Worksheet (GOL)'!$U$2:$U$1080,$A$55)</f>
        <v>5</v>
      </c>
    </row>
    <row r="132" spans="1:11">
      <c r="A132" s="106">
        <v>4</v>
      </c>
      <c r="B132" s="106" t="s">
        <v>6100</v>
      </c>
      <c r="C132" s="126">
        <f>COUNTIF('Worksheet (GOL)'!$X$2:$X$1080,$A132)</f>
        <v>64</v>
      </c>
      <c r="D132" s="118">
        <f t="shared" si="17"/>
        <v>5.9314179796107508E-2</v>
      </c>
      <c r="E132" s="119">
        <f>SUMIF('Worksheet (GOL)'!$X$2:$X$1080,$A132,'Worksheet (GOL)'!$J$2:$J$1080)</f>
        <v>16124774</v>
      </c>
      <c r="F132" s="126">
        <f>COUNTIFS('Worksheet (GOL)'!$X$2:$X$1080,$A132,'Worksheet (GOL)'!$U$2:$U$1080,$A$50)</f>
        <v>10</v>
      </c>
      <c r="G132" s="126">
        <f>COUNTIFS('Worksheet (GOL)'!$X$2:$X$1080,$A132,'Worksheet (GOL)'!$U$2:$U$1080,$A$53)</f>
        <v>4</v>
      </c>
      <c r="H132" s="126">
        <f>COUNTIFS('Worksheet (GOL)'!$X$2:$X$1080,$A132,'Worksheet (GOL)'!$U$2:$U$1080,$A$51)</f>
        <v>11</v>
      </c>
      <c r="I132" s="126">
        <f>COUNTIFS('Worksheet (GOL)'!$X$2:$X$1080,$A132,'Worksheet (GOL)'!$U$2:$U$1080,$A$52)</f>
        <v>5</v>
      </c>
      <c r="J132" s="126">
        <f>COUNTIFS('Worksheet (GOL)'!$X$2:$X$1080,$A132,'Worksheet (GOL)'!$U$2:$U$1080,$A$54)</f>
        <v>0</v>
      </c>
      <c r="K132" s="126">
        <f>COUNTIFS('Worksheet (GOL)'!$X$2:$X$1080,$A132,'Worksheet (GOL)'!$U$2:$U$1080,$A$55)</f>
        <v>2</v>
      </c>
    </row>
    <row r="133" spans="1:11">
      <c r="A133" s="106">
        <v>5</v>
      </c>
      <c r="B133" s="106" t="s">
        <v>6101</v>
      </c>
      <c r="C133" s="126">
        <f>COUNTIF('Worksheet (GOL)'!$X$2:$X$1080,$A133)</f>
        <v>42</v>
      </c>
      <c r="D133" s="118">
        <f t="shared" si="17"/>
        <v>3.8924930491195553E-2</v>
      </c>
      <c r="E133" s="119">
        <f>SUMIF('Worksheet (GOL)'!$X$2:$X$1080,$A133,'Worksheet (GOL)'!$J$2:$J$1080)</f>
        <v>20749200</v>
      </c>
      <c r="F133" s="126">
        <f>COUNTIFS('Worksheet (GOL)'!$X$2:$X$1080,$A133,'Worksheet (GOL)'!$U$2:$U$1080,$A$50)</f>
        <v>2</v>
      </c>
      <c r="G133" s="126">
        <f>COUNTIFS('Worksheet (GOL)'!$X$2:$X$1080,$A133,'Worksheet (GOL)'!$U$2:$U$1080,$A$53)</f>
        <v>1</v>
      </c>
      <c r="H133" s="126">
        <f>COUNTIFS('Worksheet (GOL)'!$X$2:$X$1080,$A133,'Worksheet (GOL)'!$U$2:$U$1080,$A$51)</f>
        <v>13</v>
      </c>
      <c r="I133" s="126">
        <f>COUNTIFS('Worksheet (GOL)'!$X$2:$X$1080,$A133,'Worksheet (GOL)'!$U$2:$U$1080,$A$52)</f>
        <v>1</v>
      </c>
      <c r="J133" s="126">
        <f>COUNTIFS('Worksheet (GOL)'!$X$2:$X$1080,$A133,'Worksheet (GOL)'!$U$2:$U$1080,$A$54)</f>
        <v>0</v>
      </c>
      <c r="K133" s="126">
        <f>COUNTIFS('Worksheet (GOL)'!$X$2:$X$1080,$A133,'Worksheet (GOL)'!$U$2:$U$1080,$A$55)</f>
        <v>4</v>
      </c>
    </row>
    <row r="134" spans="1:11">
      <c r="A134" s="106">
        <v>6</v>
      </c>
      <c r="B134" s="106" t="s">
        <v>6102</v>
      </c>
      <c r="C134" s="126">
        <f>COUNTIF('Worksheet (GOL)'!$X$2:$X$1080,$A134)</f>
        <v>57</v>
      </c>
      <c r="D134" s="118">
        <f t="shared" si="17"/>
        <v>5.2826691380908251E-2</v>
      </c>
      <c r="E134" s="119">
        <f>SUMIF('Worksheet (GOL)'!$X$2:$X$1080,$A134,'Worksheet (GOL)'!$J$2:$J$1080)</f>
        <v>54817870</v>
      </c>
      <c r="F134" s="126">
        <f>COUNTIFS('Worksheet (GOL)'!$X$2:$X$1080,$A134,'Worksheet (GOL)'!$U$2:$U$1080,$A$50)</f>
        <v>0</v>
      </c>
      <c r="G134" s="126">
        <f>COUNTIFS('Worksheet (GOL)'!$X$2:$X$1080,$A134,'Worksheet (GOL)'!$U$2:$U$1080,$A$53)</f>
        <v>0</v>
      </c>
      <c r="H134" s="126">
        <f>COUNTIFS('Worksheet (GOL)'!$X$2:$X$1080,$A134,'Worksheet (GOL)'!$U$2:$U$1080,$A$51)</f>
        <v>11</v>
      </c>
      <c r="I134" s="126">
        <f>COUNTIFS('Worksheet (GOL)'!$X$2:$X$1080,$A134,'Worksheet (GOL)'!$U$2:$U$1080,$A$52)</f>
        <v>10</v>
      </c>
      <c r="J134" s="126">
        <f>COUNTIFS('Worksheet (GOL)'!$X$2:$X$1080,$A134,'Worksheet (GOL)'!$U$2:$U$1080,$A$54)</f>
        <v>0</v>
      </c>
      <c r="K134" s="126">
        <f>COUNTIFS('Worksheet (GOL)'!$X$2:$X$1080,$A134,'Worksheet (GOL)'!$U$2:$U$1080,$A$55)</f>
        <v>2</v>
      </c>
    </row>
    <row r="135" spans="1:11">
      <c r="A135" s="106">
        <v>7</v>
      </c>
      <c r="B135" s="106" t="s">
        <v>6103</v>
      </c>
      <c r="C135" s="126">
        <f>COUNTIF('Worksheet (GOL)'!$X$2:$X$1080,$A135)</f>
        <v>72</v>
      </c>
      <c r="D135" s="118">
        <f t="shared" si="17"/>
        <v>6.672845227062095E-2</v>
      </c>
      <c r="E135" s="119">
        <f>SUMIF('Worksheet (GOL)'!$X$2:$X$1080,$A135,'Worksheet (GOL)'!$J$2:$J$1080)</f>
        <v>15314095</v>
      </c>
      <c r="F135" s="126">
        <f>COUNTIFS('Worksheet (GOL)'!$X$2:$X$1080,$A135,'Worksheet (GOL)'!$U$2:$U$1080,$A$50)</f>
        <v>0</v>
      </c>
      <c r="G135" s="126">
        <f>COUNTIFS('Worksheet (GOL)'!$X$2:$X$1080,$A135,'Worksheet (GOL)'!$U$2:$U$1080,$A$53)</f>
        <v>0</v>
      </c>
      <c r="H135" s="126">
        <f>COUNTIFS('Worksheet (GOL)'!$X$2:$X$1080,$A135,'Worksheet (GOL)'!$U$2:$U$1080,$A$51)</f>
        <v>5</v>
      </c>
      <c r="I135" s="126">
        <f>COUNTIFS('Worksheet (GOL)'!$X$2:$X$1080,$A135,'Worksheet (GOL)'!$U$2:$U$1080,$A$52)</f>
        <v>3</v>
      </c>
      <c r="J135" s="126">
        <f>COUNTIFS('Worksheet (GOL)'!$X$2:$X$1080,$A135,'Worksheet (GOL)'!$U$2:$U$1080,$A$54)</f>
        <v>0</v>
      </c>
      <c r="K135" s="126">
        <f>COUNTIFS('Worksheet (GOL)'!$X$2:$X$1080,$A135,'Worksheet (GOL)'!$U$2:$U$1080,$A$55)</f>
        <v>2</v>
      </c>
    </row>
    <row r="136" spans="1:11">
      <c r="A136" s="106">
        <v>8</v>
      </c>
      <c r="B136" s="106" t="s">
        <v>6104</v>
      </c>
      <c r="C136" s="126">
        <f>COUNTIF('Worksheet (GOL)'!$X$2:$X$1080,$A136)</f>
        <v>55</v>
      </c>
      <c r="D136" s="118">
        <f t="shared" si="17"/>
        <v>5.0973123262279887E-2</v>
      </c>
      <c r="E136" s="119">
        <f>SUMIF('Worksheet (GOL)'!$X$2:$X$1080,$A136,'Worksheet (GOL)'!$J$2:$J$1080)</f>
        <v>10389227</v>
      </c>
      <c r="F136" s="126">
        <f>COUNTIFS('Worksheet (GOL)'!$X$2:$X$1080,$A136,'Worksheet (GOL)'!$U$2:$U$1080,$A$50)</f>
        <v>0</v>
      </c>
      <c r="G136" s="126">
        <f>COUNTIFS('Worksheet (GOL)'!$X$2:$X$1080,$A136,'Worksheet (GOL)'!$U$2:$U$1080,$A$53)</f>
        <v>0</v>
      </c>
      <c r="H136" s="126">
        <f>COUNTIFS('Worksheet (GOL)'!$X$2:$X$1080,$A136,'Worksheet (GOL)'!$U$2:$U$1080,$A$51)</f>
        <v>2</v>
      </c>
      <c r="I136" s="126">
        <f>COUNTIFS('Worksheet (GOL)'!$X$2:$X$1080,$A136,'Worksheet (GOL)'!$U$2:$U$1080,$A$52)</f>
        <v>6</v>
      </c>
      <c r="J136" s="126">
        <f>COUNTIFS('Worksheet (GOL)'!$X$2:$X$1080,$A136,'Worksheet (GOL)'!$U$2:$U$1080,$A$54)</f>
        <v>0</v>
      </c>
      <c r="K136" s="126">
        <f>COUNTIFS('Worksheet (GOL)'!$X$2:$X$1080,$A136,'Worksheet (GOL)'!$U$2:$U$1080,$A$55)</f>
        <v>2</v>
      </c>
    </row>
    <row r="137" spans="1:11">
      <c r="A137" s="106">
        <v>9</v>
      </c>
      <c r="B137" s="106" t="s">
        <v>6105</v>
      </c>
      <c r="C137" s="126">
        <f>COUNTIF('Worksheet (GOL)'!$X$2:$X$1080,$A137)</f>
        <v>31</v>
      </c>
      <c r="D137" s="118">
        <f t="shared" si="17"/>
        <v>2.8730305838739572E-2</v>
      </c>
      <c r="E137" s="119">
        <f>SUMIF('Worksheet (GOL)'!$X$2:$X$1080,$A137,'Worksheet (GOL)'!$J$2:$J$1080)</f>
        <v>4830000</v>
      </c>
      <c r="F137" s="126">
        <f>COUNTIFS('Worksheet (GOL)'!$X$2:$X$1080,$A137,'Worksheet (GOL)'!$U$2:$U$1080,$A$50)</f>
        <v>0</v>
      </c>
      <c r="G137" s="126">
        <f>COUNTIFS('Worksheet (GOL)'!$X$2:$X$1080,$A137,'Worksheet (GOL)'!$U$2:$U$1080,$A$53)</f>
        <v>1</v>
      </c>
      <c r="H137" s="126">
        <f>COUNTIFS('Worksheet (GOL)'!$X$2:$X$1080,$A137,'Worksheet (GOL)'!$U$2:$U$1080,$A$51)</f>
        <v>17</v>
      </c>
      <c r="I137" s="126">
        <f>COUNTIFS('Worksheet (GOL)'!$X$2:$X$1080,$A137,'Worksheet (GOL)'!$U$2:$U$1080,$A$52)</f>
        <v>3</v>
      </c>
      <c r="J137" s="126">
        <f>COUNTIFS('Worksheet (GOL)'!$X$2:$X$1080,$A137,'Worksheet (GOL)'!$U$2:$U$1080,$A$54)</f>
        <v>0</v>
      </c>
      <c r="K137" s="126">
        <f>COUNTIFS('Worksheet (GOL)'!$X$2:$X$1080,$A137,'Worksheet (GOL)'!$U$2:$U$1080,$A$55)</f>
        <v>0</v>
      </c>
    </row>
    <row r="138" spans="1:11">
      <c r="A138" s="106">
        <v>10</v>
      </c>
      <c r="B138" s="106" t="s">
        <v>6106</v>
      </c>
      <c r="C138" s="126">
        <f>COUNTIF('Worksheet (GOL)'!$X$2:$X$1080,$A138)</f>
        <v>61</v>
      </c>
      <c r="D138" s="118">
        <f t="shared" si="17"/>
        <v>5.6533827618164965E-2</v>
      </c>
      <c r="E138" s="119">
        <f>SUMIF('Worksheet (GOL)'!$X$2:$X$1080,$A138,'Worksheet (GOL)'!$J$2:$J$1080)</f>
        <v>76353095</v>
      </c>
      <c r="F138" s="126">
        <f>COUNTIFS('Worksheet (GOL)'!$X$2:$X$1080,$A138,'Worksheet (GOL)'!$U$2:$U$1080,$A$50)</f>
        <v>0</v>
      </c>
      <c r="G138" s="126">
        <f>COUNTIFS('Worksheet (GOL)'!$X$2:$X$1080,$A138,'Worksheet (GOL)'!$U$2:$U$1080,$A$53)</f>
        <v>0</v>
      </c>
      <c r="H138" s="126">
        <f>COUNTIFS('Worksheet (GOL)'!$X$2:$X$1080,$A138,'Worksheet (GOL)'!$U$2:$U$1080,$A$51)</f>
        <v>11</v>
      </c>
      <c r="I138" s="126">
        <f>COUNTIFS('Worksheet (GOL)'!$X$2:$X$1080,$A138,'Worksheet (GOL)'!$U$2:$U$1080,$A$52)</f>
        <v>11</v>
      </c>
      <c r="J138" s="126">
        <f>COUNTIFS('Worksheet (GOL)'!$X$2:$X$1080,$A138,'Worksheet (GOL)'!$U$2:$U$1080,$A$54)</f>
        <v>0</v>
      </c>
      <c r="K138" s="126">
        <f>COUNTIFS('Worksheet (GOL)'!$X$2:$X$1080,$A138,'Worksheet (GOL)'!$U$2:$U$1080,$A$55)</f>
        <v>3</v>
      </c>
    </row>
    <row r="139" spans="1:11">
      <c r="A139" s="106">
        <v>11</v>
      </c>
      <c r="B139" s="106" t="s">
        <v>6107</v>
      </c>
      <c r="C139" s="126">
        <f>COUNTIF('Worksheet (GOL)'!$X$2:$X$1080,$A139)</f>
        <v>33</v>
      </c>
      <c r="D139" s="118">
        <f t="shared" si="17"/>
        <v>3.0583873957367932E-2</v>
      </c>
      <c r="E139" s="119">
        <f>SUMIF('Worksheet (GOL)'!$X$2:$X$1080,$A139,'Worksheet (GOL)'!$J$2:$J$1080)</f>
        <v>10663900</v>
      </c>
      <c r="F139" s="126">
        <f>COUNTIFS('Worksheet (GOL)'!$X$2:$X$1080,$A139,'Worksheet (GOL)'!$U$2:$U$1080,$A$50)</f>
        <v>1</v>
      </c>
      <c r="G139" s="126">
        <f>COUNTIFS('Worksheet (GOL)'!$X$2:$X$1080,$A139,'Worksheet (GOL)'!$U$2:$U$1080,$A$53)</f>
        <v>0</v>
      </c>
      <c r="H139" s="126">
        <f>COUNTIFS('Worksheet (GOL)'!$X$2:$X$1080,$A139,'Worksheet (GOL)'!$U$2:$U$1080,$A$51)</f>
        <v>6</v>
      </c>
      <c r="I139" s="126">
        <f>COUNTIFS('Worksheet (GOL)'!$X$2:$X$1080,$A139,'Worksheet (GOL)'!$U$2:$U$1080,$A$52)</f>
        <v>2</v>
      </c>
      <c r="J139" s="126">
        <f>COUNTIFS('Worksheet (GOL)'!$X$2:$X$1080,$A139,'Worksheet (GOL)'!$U$2:$U$1080,$A$54)</f>
        <v>0</v>
      </c>
      <c r="K139" s="126">
        <f>COUNTIFS('Worksheet (GOL)'!$X$2:$X$1080,$A139,'Worksheet (GOL)'!$U$2:$U$1080,$A$55)</f>
        <v>0</v>
      </c>
    </row>
    <row r="140" spans="1:11">
      <c r="A140" s="106">
        <v>12</v>
      </c>
      <c r="B140" s="106" t="s">
        <v>6108</v>
      </c>
      <c r="C140" s="126">
        <f>COUNTIF('Worksheet (GOL)'!$X$2:$X$1080,$A140)</f>
        <v>50</v>
      </c>
      <c r="D140" s="118">
        <f t="shared" si="17"/>
        <v>4.6339202965708988E-2</v>
      </c>
      <c r="E140" s="119">
        <f>SUMIF('Worksheet (GOL)'!$X$2:$X$1080,$A140,'Worksheet (GOL)'!$J$2:$J$1080)</f>
        <v>8691180</v>
      </c>
      <c r="F140" s="126">
        <f>COUNTIFS('Worksheet (GOL)'!$X$2:$X$1080,$A140,'Worksheet (GOL)'!$U$2:$U$1080,$A$50)</f>
        <v>3</v>
      </c>
      <c r="G140" s="126">
        <f>COUNTIFS('Worksheet (GOL)'!$X$2:$X$1080,$A140,'Worksheet (GOL)'!$U$2:$U$1080,$A$53)</f>
        <v>2</v>
      </c>
      <c r="H140" s="126">
        <f>COUNTIFS('Worksheet (GOL)'!$X$2:$X$1080,$A140,'Worksheet (GOL)'!$U$2:$U$1080,$A$51)</f>
        <v>5</v>
      </c>
      <c r="I140" s="126">
        <f>COUNTIFS('Worksheet (GOL)'!$X$2:$X$1080,$A140,'Worksheet (GOL)'!$U$2:$U$1080,$A$52)</f>
        <v>5</v>
      </c>
      <c r="J140" s="126">
        <f>COUNTIFS('Worksheet (GOL)'!$X$2:$X$1080,$A140,'Worksheet (GOL)'!$U$2:$U$1080,$A$54)</f>
        <v>0</v>
      </c>
      <c r="K140" s="126">
        <f>COUNTIFS('Worksheet (GOL)'!$X$2:$X$1080,$A140,'Worksheet (GOL)'!$U$2:$U$1080,$A$55)</f>
        <v>2</v>
      </c>
    </row>
    <row r="141" spans="1:11">
      <c r="A141" s="106" t="s">
        <v>6040</v>
      </c>
      <c r="B141" s="106" t="s">
        <v>6109</v>
      </c>
      <c r="C141" s="126">
        <f>COUNTIF('Worksheet (GOL)'!$X$2:$X$1080,$A141)</f>
        <v>59</v>
      </c>
      <c r="D141" s="118">
        <f t="shared" si="17"/>
        <v>5.4680259499536608E-2</v>
      </c>
      <c r="E141" s="119">
        <f>SUMIF('Worksheet (GOL)'!$X$2:$X$1080,$A141,'Worksheet (GOL)'!$J$2:$J$1080)</f>
        <v>0</v>
      </c>
      <c r="F141" s="126">
        <f>COUNTIFS('Worksheet (GOL)'!$X$2:$X$1080,$A141,'Worksheet (GOL)'!$U$2:$U$1080,$A$50)</f>
        <v>0</v>
      </c>
      <c r="G141" s="126">
        <f>COUNTIFS('Worksheet (GOL)'!$X$2:$X$1080,$A141,'Worksheet (GOL)'!$U$2:$U$1080,$A$53)</f>
        <v>0</v>
      </c>
      <c r="H141" s="126">
        <f>COUNTIFS('Worksheet (GOL)'!$X$2:$X$1080,$A141,'Worksheet (GOL)'!$U$2:$U$1080,$A$51)</f>
        <v>0</v>
      </c>
      <c r="I141" s="126">
        <f>COUNTIFS('Worksheet (GOL)'!$X$2:$X$1080,$A141,'Worksheet (GOL)'!$U$2:$U$1080,$A$52)</f>
        <v>0</v>
      </c>
      <c r="J141" s="126">
        <f>COUNTIFS('Worksheet (GOL)'!$X$2:$X$1080,$A141,'Worksheet (GOL)'!$U$2:$U$1080,$A$54)</f>
        <v>0</v>
      </c>
      <c r="K141" s="126">
        <f>COUNTIFS('Worksheet (GOL)'!$X$2:$X$1080,$A141,'Worksheet (GOL)'!$U$2:$U$1080,$A$55)</f>
        <v>0</v>
      </c>
    </row>
    <row r="142" spans="1:11">
      <c r="A142" s="122" t="s">
        <v>6024</v>
      </c>
      <c r="B142" s="122"/>
      <c r="C142" s="129">
        <f>SUM(C129:C141)</f>
        <v>1079</v>
      </c>
      <c r="D142" s="124">
        <f t="shared" ref="D142:K142" si="18">SUM(D129:D141)</f>
        <v>1</v>
      </c>
      <c r="E142" s="125">
        <f t="shared" si="18"/>
        <v>393457244</v>
      </c>
      <c r="F142" s="129">
        <f t="shared" si="18"/>
        <v>156</v>
      </c>
      <c r="G142" s="129">
        <f t="shared" si="18"/>
        <v>77</v>
      </c>
      <c r="H142" s="129">
        <f t="shared" si="18"/>
        <v>114</v>
      </c>
      <c r="I142" s="129">
        <f t="shared" si="18"/>
        <v>85</v>
      </c>
      <c r="J142" s="129">
        <f t="shared" si="18"/>
        <v>69</v>
      </c>
      <c r="K142" s="129">
        <f t="shared" si="18"/>
        <v>25</v>
      </c>
    </row>
    <row r="145" spans="1:12" ht="15.6">
      <c r="A145" s="202" t="s">
        <v>6110</v>
      </c>
      <c r="B145" s="202"/>
      <c r="C145" s="202"/>
      <c r="D145" s="202"/>
      <c r="E145" s="202"/>
      <c r="F145" s="202"/>
      <c r="G145" s="202"/>
      <c r="H145" s="202"/>
      <c r="I145" s="202"/>
      <c r="J145" s="202"/>
      <c r="K145" s="202"/>
      <c r="L145" s="202"/>
    </row>
    <row r="146" spans="1:12" ht="28.8">
      <c r="A146" s="136" t="s">
        <v>6111</v>
      </c>
      <c r="B146" s="136" t="str">
        <f>$A$17</f>
        <v>Ketua Pengadilan</v>
      </c>
      <c r="C146" s="136" t="str">
        <f>$A$18</f>
        <v>Hakim</v>
      </c>
      <c r="D146" s="136" t="str">
        <f>$A$19</f>
        <v>Sekretaris</v>
      </c>
      <c r="E146" s="136" t="str">
        <f>$A$20</f>
        <v>Wakil Ketua Pengadilan</v>
      </c>
      <c r="F146" s="136" t="str">
        <f>$A$21</f>
        <v>Staf/Pegawai Pelaksana</v>
      </c>
      <c r="G146" s="136" t="str">
        <f>$A$22</f>
        <v>Panitera</v>
      </c>
      <c r="H146" s="136" t="str">
        <f>$A$23</f>
        <v>Pejabat Struktural (Kasubbag/Kabag)</v>
      </c>
      <c r="I146" s="136" t="str">
        <f>$A$24</f>
        <v>Jabatan Lainnya</v>
      </c>
      <c r="J146" s="136" t="str">
        <f>$A$25</f>
        <v>Jurusita</v>
      </c>
      <c r="K146" s="136" t="str">
        <f>$A$26</f>
        <v>Pimpinan Satker/Direktorat</v>
      </c>
      <c r="L146" s="136" t="s">
        <v>6112</v>
      </c>
    </row>
    <row r="147" spans="1:12">
      <c r="A147" s="106" t="s">
        <v>6113</v>
      </c>
      <c r="B147" s="126">
        <f>COUNTIFS('Worksheet (GOL)'!$W$2:$W$1080,$A147,'Worksheet (GOL)'!$S$2:$S$1080,B$146)</f>
        <v>231</v>
      </c>
      <c r="C147" s="126">
        <f>COUNTIFS('Worksheet (GOL)'!$W$2:$W$1080,$A147,'Worksheet (GOL)'!$S$2:$S$1080,C$146)</f>
        <v>147</v>
      </c>
      <c r="D147" s="126">
        <f>COUNTIFS('Worksheet (GOL)'!$W$2:$W$1080,$A147,'Worksheet (GOL)'!$S$2:$S$1080,D$146)</f>
        <v>55</v>
      </c>
      <c r="E147" s="126">
        <f>COUNTIFS('Worksheet (GOL)'!$W$2:$W$1080,$A147,'Worksheet (GOL)'!$S$2:$S$1080,E$146)</f>
        <v>57</v>
      </c>
      <c r="F147" s="126">
        <f>COUNTIFS('Worksheet (GOL)'!$W$2:$W$1080,$A147,'Worksheet (GOL)'!$S$2:$S$1080,F$146)</f>
        <v>27</v>
      </c>
      <c r="G147" s="126">
        <f>COUNTIFS('Worksheet (GOL)'!$W$2:$W$1080,$A147,'Worksheet (GOL)'!$S$2:$S$1080,G$146)</f>
        <v>26</v>
      </c>
      <c r="H147" s="126">
        <f>COUNTIFS('Worksheet (GOL)'!$W$2:$W$1080,$A147,'Worksheet (GOL)'!$S$2:$S$1080,H$146)</f>
        <v>29</v>
      </c>
      <c r="I147" s="126">
        <f>COUNTIFS('Worksheet (GOL)'!$W$2:$W$1080,$A147,'Worksheet (GOL)'!$S$2:$S$1080,I$146)</f>
        <v>22</v>
      </c>
      <c r="J147" s="126">
        <f>COUNTIFS('Worksheet (GOL)'!$W$2:$W$1080,$A147,'Worksheet (GOL)'!$S$2:$S$1080,J$146)</f>
        <v>3</v>
      </c>
      <c r="K147" s="126">
        <f>COUNTIFS('Worksheet (GOL)'!$W$2:$W$1080,$A147,'Worksheet (GOL)'!$S$2:$S$1080,K$146)</f>
        <v>10</v>
      </c>
      <c r="L147" s="137">
        <f>SUM(B147:K147)</f>
        <v>607</v>
      </c>
    </row>
    <row r="148" spans="1:12">
      <c r="A148" s="106" t="s">
        <v>6114</v>
      </c>
      <c r="B148" s="126">
        <f>COUNTIFS('Worksheet (GOL)'!$W$2:$W$1080,$A148,'Worksheet (GOL)'!$S$2:$S$1080,B$146)</f>
        <v>53</v>
      </c>
      <c r="C148" s="126">
        <f>COUNTIFS('Worksheet (GOL)'!$W$2:$W$1080,$A148,'Worksheet (GOL)'!$S$2:$S$1080,C$146)</f>
        <v>21</v>
      </c>
      <c r="D148" s="126">
        <f>COUNTIFS('Worksheet (GOL)'!$W$2:$W$1080,$A148,'Worksheet (GOL)'!$S$2:$S$1080,D$146)</f>
        <v>20</v>
      </c>
      <c r="E148" s="126">
        <f>COUNTIFS('Worksheet (GOL)'!$W$2:$W$1080,$A148,'Worksheet (GOL)'!$S$2:$S$1080,E$146)</f>
        <v>14</v>
      </c>
      <c r="F148" s="126">
        <f>COUNTIFS('Worksheet (GOL)'!$W$2:$W$1080,$A148,'Worksheet (GOL)'!$S$2:$S$1080,F$146)</f>
        <v>26</v>
      </c>
      <c r="G148" s="126">
        <f>COUNTIFS('Worksheet (GOL)'!$W$2:$W$1080,$A148,'Worksheet (GOL)'!$S$2:$S$1080,G$146)</f>
        <v>26</v>
      </c>
      <c r="H148" s="126">
        <f>COUNTIFS('Worksheet (GOL)'!$W$2:$W$1080,$A148,'Worksheet (GOL)'!$S$2:$S$1080,H$146)</f>
        <v>7</v>
      </c>
      <c r="I148" s="126">
        <f>COUNTIFS('Worksheet (GOL)'!$W$2:$W$1080,$A148,'Worksheet (GOL)'!$S$2:$S$1080,I$146)</f>
        <v>2</v>
      </c>
      <c r="J148" s="126">
        <f>COUNTIFS('Worksheet (GOL)'!$W$2:$W$1080,$A148,'Worksheet (GOL)'!$S$2:$S$1080,J$146)</f>
        <v>4</v>
      </c>
      <c r="K148" s="126">
        <f>COUNTIFS('Worksheet (GOL)'!$W$2:$W$1080,$A148,'Worksheet (GOL)'!$S$2:$S$1080,K$146)</f>
        <v>0</v>
      </c>
      <c r="L148" s="137">
        <f t="shared" ref="L148:L157" si="19">SUM(B148:K148)</f>
        <v>173</v>
      </c>
    </row>
    <row r="149" spans="1:12">
      <c r="A149" s="106" t="s">
        <v>6115</v>
      </c>
      <c r="B149" s="126">
        <f>COUNTIFS('Worksheet (GOL)'!$W$2:$W$1080,$A149,'Worksheet (GOL)'!$S$2:$S$1080,B$146)</f>
        <v>35</v>
      </c>
      <c r="C149" s="126">
        <f>COUNTIFS('Worksheet (GOL)'!$W$2:$W$1080,$A149,'Worksheet (GOL)'!$S$2:$S$1080,C$146)</f>
        <v>3</v>
      </c>
      <c r="D149" s="126">
        <f>COUNTIFS('Worksheet (GOL)'!$W$2:$W$1080,$A149,'Worksheet (GOL)'!$S$2:$S$1080,D$146)</f>
        <v>0</v>
      </c>
      <c r="E149" s="126">
        <f>COUNTIFS('Worksheet (GOL)'!$W$2:$W$1080,$A149,'Worksheet (GOL)'!$S$2:$S$1080,E$146)</f>
        <v>4</v>
      </c>
      <c r="F149" s="126">
        <f>COUNTIFS('Worksheet (GOL)'!$W$2:$W$1080,$A149,'Worksheet (GOL)'!$S$2:$S$1080,F$146)</f>
        <v>0</v>
      </c>
      <c r="G149" s="126">
        <f>COUNTIFS('Worksheet (GOL)'!$W$2:$W$1080,$A149,'Worksheet (GOL)'!$S$2:$S$1080,G$146)</f>
        <v>1</v>
      </c>
      <c r="H149" s="126">
        <f>COUNTIFS('Worksheet (GOL)'!$W$2:$W$1080,$A149,'Worksheet (GOL)'!$S$2:$S$1080,H$146)</f>
        <v>2</v>
      </c>
      <c r="I149" s="126">
        <f>COUNTIFS('Worksheet (GOL)'!$W$2:$W$1080,$A149,'Worksheet (GOL)'!$S$2:$S$1080,I$146)</f>
        <v>0</v>
      </c>
      <c r="J149" s="126">
        <f>COUNTIFS('Worksheet (GOL)'!$W$2:$W$1080,$A149,'Worksheet (GOL)'!$S$2:$S$1080,J$146)</f>
        <v>0</v>
      </c>
      <c r="K149" s="126">
        <f>COUNTIFS('Worksheet (GOL)'!$W$2:$W$1080,$A149,'Worksheet (GOL)'!$S$2:$S$1080,K$146)</f>
        <v>0</v>
      </c>
      <c r="L149" s="137">
        <f t="shared" si="19"/>
        <v>45</v>
      </c>
    </row>
    <row r="150" spans="1:12">
      <c r="A150" s="106" t="s">
        <v>6116</v>
      </c>
      <c r="B150" s="126">
        <f>COUNTIFS('Worksheet (GOL)'!$W$2:$W$1080,$A150,'Worksheet (GOL)'!$S$2:$S$1080,B$146)</f>
        <v>28</v>
      </c>
      <c r="C150" s="126">
        <f>COUNTIFS('Worksheet (GOL)'!$W$2:$W$1080,$A150,'Worksheet (GOL)'!$S$2:$S$1080,C$146)</f>
        <v>5</v>
      </c>
      <c r="D150" s="126">
        <f>COUNTIFS('Worksheet (GOL)'!$W$2:$W$1080,$A150,'Worksheet (GOL)'!$S$2:$S$1080,D$146)</f>
        <v>0</v>
      </c>
      <c r="E150" s="126">
        <f>COUNTIFS('Worksheet (GOL)'!$W$2:$W$1080,$A150,'Worksheet (GOL)'!$S$2:$S$1080,E$146)</f>
        <v>3</v>
      </c>
      <c r="F150" s="126">
        <f>COUNTIFS('Worksheet (GOL)'!$W$2:$W$1080,$A150,'Worksheet (GOL)'!$S$2:$S$1080,F$146)</f>
        <v>1</v>
      </c>
      <c r="G150" s="126">
        <f>COUNTIFS('Worksheet (GOL)'!$W$2:$W$1080,$A150,'Worksheet (GOL)'!$S$2:$S$1080,G$146)</f>
        <v>4</v>
      </c>
      <c r="H150" s="126">
        <f>COUNTIFS('Worksheet (GOL)'!$W$2:$W$1080,$A150,'Worksheet (GOL)'!$S$2:$S$1080,H$146)</f>
        <v>1</v>
      </c>
      <c r="I150" s="126">
        <f>COUNTIFS('Worksheet (GOL)'!$W$2:$W$1080,$A150,'Worksheet (GOL)'!$S$2:$S$1080,I$146)</f>
        <v>1</v>
      </c>
      <c r="J150" s="126">
        <f>COUNTIFS('Worksheet (GOL)'!$W$2:$W$1080,$A150,'Worksheet (GOL)'!$S$2:$S$1080,J$146)</f>
        <v>0</v>
      </c>
      <c r="K150" s="126">
        <f>COUNTIFS('Worksheet (GOL)'!$W$2:$W$1080,$A150,'Worksheet (GOL)'!$S$2:$S$1080,K$146)</f>
        <v>0</v>
      </c>
      <c r="L150" s="137">
        <f t="shared" si="19"/>
        <v>43</v>
      </c>
    </row>
    <row r="151" spans="1:12">
      <c r="A151" s="106" t="s">
        <v>6117</v>
      </c>
      <c r="B151" s="126">
        <f>COUNTIFS('Worksheet (GOL)'!$W$2:$W$1080,$A151,'Worksheet (GOL)'!$S$2:$S$1080,B$146)</f>
        <v>8</v>
      </c>
      <c r="C151" s="126">
        <f>COUNTIFS('Worksheet (GOL)'!$W$2:$W$1080,$A151,'Worksheet (GOL)'!$S$2:$S$1080,C$146)</f>
        <v>9</v>
      </c>
      <c r="D151" s="126">
        <f>COUNTIFS('Worksheet (GOL)'!$W$2:$W$1080,$A151,'Worksheet (GOL)'!$S$2:$S$1080,D$146)</f>
        <v>4</v>
      </c>
      <c r="E151" s="126">
        <f>COUNTIFS('Worksheet (GOL)'!$W$2:$W$1080,$A151,'Worksheet (GOL)'!$S$2:$S$1080,E$146)</f>
        <v>4</v>
      </c>
      <c r="F151" s="126">
        <f>COUNTIFS('Worksheet (GOL)'!$W$2:$W$1080,$A151,'Worksheet (GOL)'!$S$2:$S$1080,F$146)</f>
        <v>3</v>
      </c>
      <c r="G151" s="126">
        <f>COUNTIFS('Worksheet (GOL)'!$W$2:$W$1080,$A151,'Worksheet (GOL)'!$S$2:$S$1080,G$146)</f>
        <v>6</v>
      </c>
      <c r="H151" s="126">
        <f>COUNTIFS('Worksheet (GOL)'!$W$2:$W$1080,$A151,'Worksheet (GOL)'!$S$2:$S$1080,H$146)</f>
        <v>4</v>
      </c>
      <c r="I151" s="126">
        <f>COUNTIFS('Worksheet (GOL)'!$W$2:$W$1080,$A151,'Worksheet (GOL)'!$S$2:$S$1080,I$146)</f>
        <v>1</v>
      </c>
      <c r="J151" s="126">
        <f>COUNTIFS('Worksheet (GOL)'!$W$2:$W$1080,$A151,'Worksheet (GOL)'!$S$2:$S$1080,J$146)</f>
        <v>3</v>
      </c>
      <c r="K151" s="126">
        <f>COUNTIFS('Worksheet (GOL)'!$W$2:$W$1080,$A151,'Worksheet (GOL)'!$S$2:$S$1080,K$146)</f>
        <v>0</v>
      </c>
      <c r="L151" s="137">
        <f t="shared" si="19"/>
        <v>42</v>
      </c>
    </row>
    <row r="152" spans="1:12">
      <c r="A152" s="106" t="s">
        <v>6118</v>
      </c>
      <c r="B152" s="126">
        <f>COUNTIFS('Worksheet (GOL)'!$W$2:$W$1080,$A152,'Worksheet (GOL)'!$S$2:$S$1080,B$146)</f>
        <v>11</v>
      </c>
      <c r="C152" s="126">
        <f>COUNTIFS('Worksheet (GOL)'!$W$2:$W$1080,$A152,'Worksheet (GOL)'!$S$2:$S$1080,C$146)</f>
        <v>6</v>
      </c>
      <c r="D152" s="126">
        <f>COUNTIFS('Worksheet (GOL)'!$W$2:$W$1080,$A152,'Worksheet (GOL)'!$S$2:$S$1080,D$146)</f>
        <v>5</v>
      </c>
      <c r="E152" s="126">
        <f>COUNTIFS('Worksheet (GOL)'!$W$2:$W$1080,$A152,'Worksheet (GOL)'!$S$2:$S$1080,E$146)</f>
        <v>1</v>
      </c>
      <c r="F152" s="126">
        <f>COUNTIFS('Worksheet (GOL)'!$W$2:$W$1080,$A152,'Worksheet (GOL)'!$S$2:$S$1080,F$146)</f>
        <v>2</v>
      </c>
      <c r="G152" s="126">
        <f>COUNTIFS('Worksheet (GOL)'!$W$2:$W$1080,$A152,'Worksheet (GOL)'!$S$2:$S$1080,G$146)</f>
        <v>6</v>
      </c>
      <c r="H152" s="126">
        <f>COUNTIFS('Worksheet (GOL)'!$W$2:$W$1080,$A152,'Worksheet (GOL)'!$S$2:$S$1080,H$146)</f>
        <v>5</v>
      </c>
      <c r="I152" s="126">
        <f>COUNTIFS('Worksheet (GOL)'!$W$2:$W$1080,$A152,'Worksheet (GOL)'!$S$2:$S$1080,I$146)</f>
        <v>0</v>
      </c>
      <c r="J152" s="126">
        <f>COUNTIFS('Worksheet (GOL)'!$W$2:$W$1080,$A152,'Worksheet (GOL)'!$S$2:$S$1080,J$146)</f>
        <v>0</v>
      </c>
      <c r="K152" s="126">
        <f>COUNTIFS('Worksheet (GOL)'!$W$2:$W$1080,$A152,'Worksheet (GOL)'!$S$2:$S$1080,K$146)</f>
        <v>0</v>
      </c>
      <c r="L152" s="137">
        <f t="shared" si="19"/>
        <v>36</v>
      </c>
    </row>
    <row r="153" spans="1:12">
      <c r="A153" s="106" t="s">
        <v>6119</v>
      </c>
      <c r="B153" s="126">
        <f>COUNTIFS('Worksheet (GOL)'!$W$2:$W$1080,$A153,'Worksheet (GOL)'!$S$2:$S$1080,B$146)</f>
        <v>17</v>
      </c>
      <c r="C153" s="126">
        <f>COUNTIFS('Worksheet (GOL)'!$W$2:$W$1080,$A153,'Worksheet (GOL)'!$S$2:$S$1080,C$146)</f>
        <v>1</v>
      </c>
      <c r="D153" s="126">
        <f>COUNTIFS('Worksheet (GOL)'!$W$2:$W$1080,$A153,'Worksheet (GOL)'!$S$2:$S$1080,D$146)</f>
        <v>8</v>
      </c>
      <c r="E153" s="126">
        <f>COUNTIFS('Worksheet (GOL)'!$W$2:$W$1080,$A153,'Worksheet (GOL)'!$S$2:$S$1080,E$146)</f>
        <v>2</v>
      </c>
      <c r="F153" s="126">
        <f>COUNTIFS('Worksheet (GOL)'!$W$2:$W$1080,$A153,'Worksheet (GOL)'!$S$2:$S$1080,F$146)</f>
        <v>0</v>
      </c>
      <c r="G153" s="126">
        <f>COUNTIFS('Worksheet (GOL)'!$W$2:$W$1080,$A153,'Worksheet (GOL)'!$S$2:$S$1080,G$146)</f>
        <v>0</v>
      </c>
      <c r="H153" s="126">
        <f>COUNTIFS('Worksheet (GOL)'!$W$2:$W$1080,$A153,'Worksheet (GOL)'!$S$2:$S$1080,H$146)</f>
        <v>0</v>
      </c>
      <c r="I153" s="126">
        <f>COUNTIFS('Worksheet (GOL)'!$W$2:$W$1080,$A153,'Worksheet (GOL)'!$S$2:$S$1080,I$146)</f>
        <v>1</v>
      </c>
      <c r="J153" s="126">
        <f>COUNTIFS('Worksheet (GOL)'!$W$2:$W$1080,$A153,'Worksheet (GOL)'!$S$2:$S$1080,J$146)</f>
        <v>0</v>
      </c>
      <c r="K153" s="126">
        <f>COUNTIFS('Worksheet (GOL)'!$W$2:$W$1080,$A153,'Worksheet (GOL)'!$S$2:$S$1080,K$146)</f>
        <v>0</v>
      </c>
      <c r="L153" s="137">
        <f t="shared" si="19"/>
        <v>29</v>
      </c>
    </row>
    <row r="154" spans="1:12">
      <c r="A154" s="106" t="s">
        <v>1045</v>
      </c>
      <c r="B154" s="126">
        <f>COUNTIFS('Worksheet (GOL)'!$W$2:$W$1080,$A154,'Worksheet (GOL)'!$S$2:$S$1080,B$146)</f>
        <v>19</v>
      </c>
      <c r="C154" s="126">
        <f>COUNTIFS('Worksheet (GOL)'!$W$2:$W$1080,$A154,'Worksheet (GOL)'!$S$2:$S$1080,C$146)</f>
        <v>2</v>
      </c>
      <c r="D154" s="126">
        <f>COUNTIFS('Worksheet (GOL)'!$W$2:$W$1080,$A154,'Worksheet (GOL)'!$S$2:$S$1080,D$146)</f>
        <v>0</v>
      </c>
      <c r="E154" s="126">
        <f>COUNTIFS('Worksheet (GOL)'!$W$2:$W$1080,$A154,'Worksheet (GOL)'!$S$2:$S$1080,E$146)</f>
        <v>3</v>
      </c>
      <c r="F154" s="126">
        <f>COUNTIFS('Worksheet (GOL)'!$W$2:$W$1080,$A154,'Worksheet (GOL)'!$S$2:$S$1080,F$146)</f>
        <v>1</v>
      </c>
      <c r="G154" s="126">
        <f>COUNTIFS('Worksheet (GOL)'!$W$2:$W$1080,$A154,'Worksheet (GOL)'!$S$2:$S$1080,G$146)</f>
        <v>1</v>
      </c>
      <c r="H154" s="126">
        <f>COUNTIFS('Worksheet (GOL)'!$W$2:$W$1080,$A154,'Worksheet (GOL)'!$S$2:$S$1080,H$146)</f>
        <v>0</v>
      </c>
      <c r="I154" s="126">
        <f>COUNTIFS('Worksheet (GOL)'!$W$2:$W$1080,$A154,'Worksheet (GOL)'!$S$2:$S$1080,I$146)</f>
        <v>3</v>
      </c>
      <c r="J154" s="126">
        <f>COUNTIFS('Worksheet (GOL)'!$W$2:$W$1080,$A154,'Worksheet (GOL)'!$S$2:$S$1080,J$146)</f>
        <v>0</v>
      </c>
      <c r="K154" s="126">
        <f>COUNTIFS('Worksheet (GOL)'!$W$2:$W$1080,$A154,'Worksheet (GOL)'!$S$2:$S$1080,K$146)</f>
        <v>0</v>
      </c>
      <c r="L154" s="137">
        <f t="shared" si="19"/>
        <v>29</v>
      </c>
    </row>
    <row r="155" spans="1:12">
      <c r="A155" s="106" t="s">
        <v>6120</v>
      </c>
      <c r="B155" s="126">
        <f>COUNTIFS('Worksheet (GOL)'!$W$2:$W$1080,$A155,'Worksheet (GOL)'!$S$2:$S$1080,B$146)</f>
        <v>3</v>
      </c>
      <c r="C155" s="126">
        <f>COUNTIFS('Worksheet (GOL)'!$W$2:$W$1080,$A155,'Worksheet (GOL)'!$S$2:$S$1080,C$146)</f>
        <v>10</v>
      </c>
      <c r="D155" s="126">
        <f>COUNTIFS('Worksheet (GOL)'!$W$2:$W$1080,$A155,'Worksheet (GOL)'!$S$2:$S$1080,D$146)</f>
        <v>1</v>
      </c>
      <c r="E155" s="126">
        <f>COUNTIFS('Worksheet (GOL)'!$W$2:$W$1080,$A155,'Worksheet (GOL)'!$S$2:$S$1080,E$146)</f>
        <v>1</v>
      </c>
      <c r="F155" s="126">
        <f>COUNTIFS('Worksheet (GOL)'!$W$2:$W$1080,$A155,'Worksheet (GOL)'!$S$2:$S$1080,F$146)</f>
        <v>0</v>
      </c>
      <c r="G155" s="126">
        <f>COUNTIFS('Worksheet (GOL)'!$W$2:$W$1080,$A155,'Worksheet (GOL)'!$S$2:$S$1080,G$146)</f>
        <v>0</v>
      </c>
      <c r="H155" s="126">
        <f>COUNTIFS('Worksheet (GOL)'!$W$2:$W$1080,$A155,'Worksheet (GOL)'!$S$2:$S$1080,H$146)</f>
        <v>0</v>
      </c>
      <c r="I155" s="126">
        <f>COUNTIFS('Worksheet (GOL)'!$W$2:$W$1080,$A155,'Worksheet (GOL)'!$S$2:$S$1080,I$146)</f>
        <v>0</v>
      </c>
      <c r="J155" s="126">
        <f>COUNTIFS('Worksheet (GOL)'!$W$2:$W$1080,$A155,'Worksheet (GOL)'!$S$2:$S$1080,J$146)</f>
        <v>0</v>
      </c>
      <c r="K155" s="126">
        <f>COUNTIFS('Worksheet (GOL)'!$W$2:$W$1080,$A155,'Worksheet (GOL)'!$S$2:$S$1080,K$146)</f>
        <v>0</v>
      </c>
      <c r="L155" s="137">
        <f t="shared" si="19"/>
        <v>15</v>
      </c>
    </row>
    <row r="156" spans="1:12">
      <c r="A156" s="106" t="s">
        <v>6121</v>
      </c>
      <c r="B156" s="126">
        <f>COUNTIFS('Worksheet (GOL)'!$W$2:$W$1080,$A156,'Worksheet (GOL)'!$S$2:$S$1080,B$146)</f>
        <v>0</v>
      </c>
      <c r="C156" s="126">
        <f>COUNTIFS('Worksheet (GOL)'!$W$2:$W$1080,$A156,'Worksheet (GOL)'!$S$2:$S$1080,C$146)</f>
        <v>1</v>
      </c>
      <c r="D156" s="126">
        <f>COUNTIFS('Worksheet (GOL)'!$W$2:$W$1080,$A156,'Worksheet (GOL)'!$S$2:$S$1080,D$146)</f>
        <v>0</v>
      </c>
      <c r="E156" s="126">
        <f>COUNTIFS('Worksheet (GOL)'!$W$2:$W$1080,$A156,'Worksheet (GOL)'!$S$2:$S$1080,E$146)</f>
        <v>0</v>
      </c>
      <c r="F156" s="126">
        <f>COUNTIFS('Worksheet (GOL)'!$W$2:$W$1080,$A156,'Worksheet (GOL)'!$S$2:$S$1080,F$146)</f>
        <v>0</v>
      </c>
      <c r="G156" s="126">
        <f>COUNTIFS('Worksheet (GOL)'!$W$2:$W$1080,$A156,'Worksheet (GOL)'!$S$2:$S$1080,G$146)</f>
        <v>0</v>
      </c>
      <c r="H156" s="126">
        <f>COUNTIFS('Worksheet (GOL)'!$W$2:$W$1080,$A156,'Worksheet (GOL)'!$S$2:$S$1080,H$146)</f>
        <v>0</v>
      </c>
      <c r="I156" s="126">
        <f>COUNTIFS('Worksheet (GOL)'!$W$2:$W$1080,$A156,'Worksheet (GOL)'!$S$2:$S$1080,I$146)</f>
        <v>0</v>
      </c>
      <c r="J156" s="126">
        <f>COUNTIFS('Worksheet (GOL)'!$W$2:$W$1080,$A156,'Worksheet (GOL)'!$S$2:$S$1080,J$146)</f>
        <v>0</v>
      </c>
      <c r="K156" s="126">
        <f>COUNTIFS('Worksheet (GOL)'!$W$2:$W$1080,$A156,'Worksheet (GOL)'!$S$2:$S$1080,K$146)</f>
        <v>0</v>
      </c>
      <c r="L156" s="137">
        <f t="shared" si="19"/>
        <v>1</v>
      </c>
    </row>
    <row r="157" spans="1:12">
      <c r="A157" s="106" t="s">
        <v>6040</v>
      </c>
      <c r="B157" s="126">
        <f>COUNTIFS('Worksheet (GOL)'!$W$2:$W$1080,$A157,'Worksheet (GOL)'!$S$2:$S$1080,B$146)</f>
        <v>11</v>
      </c>
      <c r="C157" s="126">
        <f>COUNTIFS('Worksheet (GOL)'!$W$2:$W$1080,$A157,'Worksheet (GOL)'!$S$2:$S$1080,C$146)</f>
        <v>15</v>
      </c>
      <c r="D157" s="126">
        <f>COUNTIFS('Worksheet (GOL)'!$W$2:$W$1080,$A157,'Worksheet (GOL)'!$S$2:$S$1080,D$146)</f>
        <v>2</v>
      </c>
      <c r="E157" s="126">
        <f>COUNTIFS('Worksheet (GOL)'!$W$2:$W$1080,$A157,'Worksheet (GOL)'!$S$2:$S$1080,E$146)</f>
        <v>3</v>
      </c>
      <c r="F157" s="126">
        <f>COUNTIFS('Worksheet (GOL)'!$W$2:$W$1080,$A157,'Worksheet (GOL)'!$S$2:$S$1080,F$146)</f>
        <v>20</v>
      </c>
      <c r="G157" s="126">
        <f>COUNTIFS('Worksheet (GOL)'!$W$2:$W$1080,$A157,'Worksheet (GOL)'!$S$2:$S$1080,G$146)</f>
        <v>6</v>
      </c>
      <c r="H157" s="126">
        <f>COUNTIFS('Worksheet (GOL)'!$W$2:$W$1080,$A157,'Worksheet (GOL)'!$S$2:$S$1080,H$146)</f>
        <v>2</v>
      </c>
      <c r="I157" s="126">
        <f>COUNTIFS('Worksheet (GOL)'!$W$2:$W$1080,$A157,'Worksheet (GOL)'!$S$2:$S$1080,I$146)</f>
        <v>0</v>
      </c>
      <c r="J157" s="126">
        <f>COUNTIFS('Worksheet (GOL)'!$W$2:$W$1080,$A157,'Worksheet (GOL)'!$S$2:$S$1080,J$146)</f>
        <v>0</v>
      </c>
      <c r="K157" s="126">
        <f>COUNTIFS('Worksheet (GOL)'!$W$2:$W$1080,$A157,'Worksheet (GOL)'!$S$2:$S$1080,K$146)</f>
        <v>0</v>
      </c>
      <c r="L157" s="137">
        <f t="shared" si="19"/>
        <v>59</v>
      </c>
    </row>
    <row r="158" spans="1:12">
      <c r="A158" s="138" t="s">
        <v>6024</v>
      </c>
      <c r="B158" s="139">
        <f>SUM(B147:B157)</f>
        <v>416</v>
      </c>
      <c r="C158" s="139">
        <f t="shared" ref="C158:L158" si="20">SUM(C147:C157)</f>
        <v>220</v>
      </c>
      <c r="D158" s="139">
        <f t="shared" si="20"/>
        <v>95</v>
      </c>
      <c r="E158" s="139">
        <f t="shared" si="20"/>
        <v>92</v>
      </c>
      <c r="F158" s="139">
        <f t="shared" si="20"/>
        <v>80</v>
      </c>
      <c r="G158" s="139">
        <f t="shared" si="20"/>
        <v>76</v>
      </c>
      <c r="H158" s="139">
        <f t="shared" si="20"/>
        <v>50</v>
      </c>
      <c r="I158" s="139">
        <f t="shared" si="20"/>
        <v>30</v>
      </c>
      <c r="J158" s="139">
        <f t="shared" si="20"/>
        <v>10</v>
      </c>
      <c r="K158" s="139">
        <f t="shared" si="20"/>
        <v>10</v>
      </c>
      <c r="L158" s="139">
        <f t="shared" si="20"/>
        <v>1079</v>
      </c>
    </row>
    <row r="161" spans="1:12" ht="15.6">
      <c r="A161" s="203" t="s">
        <v>6122</v>
      </c>
      <c r="B161" s="203"/>
      <c r="C161" s="203"/>
      <c r="D161" s="203"/>
      <c r="E161" s="203"/>
      <c r="F161" s="203"/>
      <c r="G161" s="203"/>
      <c r="H161" s="203"/>
      <c r="I161" s="203"/>
      <c r="J161" s="203"/>
      <c r="K161" s="203"/>
      <c r="L161" s="203"/>
    </row>
    <row r="162" spans="1:12">
      <c r="A162" s="132" t="str">
        <f>"1. Momen paling rentan adalah musim Ramadan–Idulfitri: Februari–April menyumbang "&amp;(C130+C131+C132)&amp;" laporan ("&amp;ROUND((C130+C131+C132)/$C$142*100,1)&amp;"% dari seluruh laporan), dengan puncak Maret "&amp;C131&amp;" laporan ("&amp;ROUND(D131*100,1)&amp;"%) dan nilai Rp"&amp;ROUND(E131/1000000,1)&amp;" juta."</f>
        <v>1. Momen paling rentan adalah musim Ramadan–Idulfitri: Februari–April menyumbang 555 laporan (51,4% dari seluruh laporan), dengan puncak Maret 354 laporan (32,8%) dan nilai Rp140,3 juta.</v>
      </c>
      <c r="B162" s="132"/>
      <c r="C162" s="132"/>
      <c r="D162" s="132"/>
      <c r="E162" s="132"/>
      <c r="F162" s="132"/>
      <c r="G162" s="132"/>
      <c r="H162" s="132"/>
      <c r="I162" s="132"/>
      <c r="J162" s="132"/>
      <c r="K162" s="132"/>
      <c r="L162" s="132"/>
    </row>
    <row r="163" spans="1:12">
      <c r="A163" s="132" t="str">
        <f>"2. Pola kegiatan di dalam musim itu berbeda tiap bulan: Februari didominasi pembagian PAKET SEMBAKO ("&amp;J130&amp;" dari "&amp;J142&amp;" laporan sembako), sedangkan Maret didominasi parsel/bingkisan ("&amp;F131&amp;" laporan) dan bingkisan hari raya ("&amp;G131&amp;" laporan)."</f>
        <v>2. Pola kegiatan di dalam musim itu berbeda tiap bulan: Februari didominasi pembagian PAKET SEMBAKO (62 dari 69 laporan sembako), sedangkan Maret didominasi parsel/bingkisan (130 laporan) dan bingkisan hari raya (69 laporan).</v>
      </c>
      <c r="B163" s="132"/>
      <c r="C163" s="132"/>
      <c r="D163" s="132"/>
      <c r="E163" s="132"/>
      <c r="F163" s="132"/>
      <c r="G163" s="132"/>
      <c r="H163" s="132"/>
      <c r="I163" s="132"/>
      <c r="J163" s="132"/>
      <c r="K163" s="132"/>
      <c r="L163" s="132"/>
    </row>
    <row r="164" spans="1:12">
      <c r="A164" s="132" t="str">
        <f>"3. Kegiatan dinas yang paling rentan bernilai besar: "&amp;$A$107&amp;" — "&amp;B107&amp;" laporan namun Rp"&amp;ROUND(D107/1000000,1)&amp;" juta (objek dominan "&amp;G107&amp;"), lalu "&amp;$A$108&amp;" — "&amp;B108&amp;" laporan / Rp"&amp;ROUND(D108/1000000,1)&amp;" juta, dan "&amp;$A$110&amp;" — "&amp;B110&amp;" laporan / Rp"&amp;ROUND(D110/1000000,1)&amp;" juta."</f>
        <v>3. Kegiatan dinas yang paling rentan bernilai besar: Koordinasi Antarinstansi (dugaan) — 36 laporan namun Rp73,8 juta (objek dominan Uang &amp; Setara Uang), lalu Relasi Layanan/Kerja Sama Perbankan (dugaan) — 33 laporan / Rp36 juta, dan Kerja Sama Pendidikan/PKL (dugaan) — 27 laporan / Rp7,3 juta.</v>
      </c>
      <c r="B164" s="132"/>
      <c r="C164" s="132"/>
      <c r="D164" s="132"/>
      <c r="E164" s="132"/>
      <c r="F164" s="132"/>
      <c r="G164" s="132"/>
      <c r="H164" s="132"/>
      <c r="I164" s="132"/>
      <c r="J164" s="132"/>
      <c r="K164" s="132"/>
      <c r="L164" s="132"/>
    </row>
    <row r="165" spans="1:12">
      <c r="A165" s="132" t="str">
        <f>"4. Relasi pemberi terbesar setelah perorangan adalah Bank &amp; Lembaga Keuangan ("&amp;L148&amp;" laporan; "&amp;ROUND(L148/$L$158*100,1)&amp;"%), disusul Pemerintah Daerah ("&amp;L149&amp;"), Aparat/Instansi vertikal ("&amp;L150&amp;"), Internal Peradilan ("&amp;L151&amp;"), Kampus &amp; Sekolah ("&amp;L152&amp;") serta Perusahaan/Vendor ("&amp;L153&amp;") — semuanya bermuara pada kegiatan kerja sama, kunjungan, dan layanan."</f>
        <v>4. Relasi pemberi terbesar setelah perorangan adalah Bank &amp; Lembaga Keuangan (173 laporan; 16%), disusul Pemerintah Daerah (45), Aparat/Instansi vertikal (43), Internal Peradilan (42), Kampus &amp; Sekolah (36) serta Perusahaan/Vendor (29) — semuanya bermuara pada kegiatan kerja sama, kunjungan, dan layanan.</v>
      </c>
      <c r="B165" s="132"/>
      <c r="C165" s="132"/>
      <c r="D165" s="132"/>
      <c r="E165" s="132"/>
      <c r="F165" s="132"/>
      <c r="G165" s="132"/>
      <c r="H165" s="132"/>
      <c r="I165" s="132"/>
      <c r="J165" s="132"/>
      <c r="K165" s="132"/>
      <c r="L165" s="132"/>
    </row>
    <row r="166" spans="1:12">
      <c r="A166" s="132" t="str">
        <f>"5. Kegiatan bernilai besar di luar musim hari raya perlu diawasi: Oktober Rp"&amp;ROUND(E138/1000000,1)&amp;" juta dan Juni Rp"&amp;ROUND(E134/1000000,1)&amp;" juta meski volumenya hanya "&amp;C138&amp;" dan "&amp;C134&amp;" laporan — pola pemberian sedikit tetapi besar (dominan uang)."</f>
        <v>5. Kegiatan bernilai besar di luar musim hari raya perlu diawasi: Oktober Rp76,4 juta dan Juni Rp54,8 juta meski volumenya hanya 61 dan 57 laporan — pola pemberian sedikit tetapi besar (dominan uang).</v>
      </c>
      <c r="B166" s="132"/>
      <c r="C166" s="132"/>
      <c r="D166" s="132"/>
      <c r="E166" s="132"/>
      <c r="F166" s="132"/>
      <c r="G166" s="132"/>
      <c r="H166" s="132"/>
      <c r="I166" s="132"/>
      <c r="J166" s="132"/>
      <c r="K166" s="132"/>
      <c r="L166" s="132"/>
    </row>
    <row r="167" spans="1:12">
      <c r="A167" s="132" t="str">
        <f>"6. KETERBATASAN: hanya "&amp;SUMIF($I$103:$I$123,"Eksplisit di uraian objek",$B$103:$B$123)&amp;" laporan ("&amp;ROUND(SUMIF($I$103:$I$123,"Eksplisit di uraian objek",$B$103:$B$123)/$B$124*100,1)&amp;"%) menyebut kegiatan secara eksplisit pada uraian objek. Sisanya adalah DUGAAN dari kombinasi bulan + tipe pemberi, sehingga tabel G dipakai sebagai peta prioritas pengawasan, bukan bukti."</f>
        <v>6. KETERBATASAN: hanya 203 laporan (18,8%) menyebut kegiatan secara eksplisit pada uraian objek. Sisanya adalah DUGAAN dari kombinasi bulan + tipe pemberi, sehingga tabel G dipakai sebagai peta prioritas pengawasan, bukan bukti.</v>
      </c>
      <c r="B167" s="132"/>
      <c r="C167" s="132"/>
      <c r="D167" s="132"/>
      <c r="E167" s="132"/>
      <c r="F167" s="132"/>
      <c r="G167" s="132"/>
      <c r="H167" s="132"/>
      <c r="I167" s="132"/>
      <c r="J167" s="132"/>
      <c r="K167" s="132"/>
      <c r="L167" s="132"/>
    </row>
    <row r="168" spans="1:12">
      <c r="A168" s="133" t="s">
        <v>6123</v>
      </c>
      <c r="B168" s="132"/>
      <c r="C168" s="132"/>
      <c r="D168" s="132"/>
      <c r="E168" s="132"/>
      <c r="F168" s="132"/>
      <c r="G168" s="132"/>
      <c r="H168" s="132"/>
      <c r="I168" s="132"/>
      <c r="J168" s="132"/>
      <c r="K168" s="132"/>
      <c r="L168" s="132"/>
    </row>
  </sheetData>
  <mergeCells count="11">
    <mergeCell ref="A90:D90"/>
    <mergeCell ref="A100:I100"/>
    <mergeCell ref="A127:K127"/>
    <mergeCell ref="A145:L145"/>
    <mergeCell ref="A161:L161"/>
    <mergeCell ref="A79:M79"/>
    <mergeCell ref="A4:M4"/>
    <mergeCell ref="A15:M15"/>
    <mergeCell ref="A30:M30"/>
    <mergeCell ref="A47:M47"/>
    <mergeCell ref="A64:M64"/>
  </mergeCells>
  <conditionalFormatting sqref="B17:B26">
    <cfRule type="dataBar" priority="1">
      <dataBar>
        <cfvo type="min"/>
        <cfvo type="max"/>
        <color rgb="FF8FAADC"/>
      </dataBar>
      <extLst>
        <ext xmlns:x14="http://schemas.microsoft.com/office/spreadsheetml/2009/9/main" uri="{B025F937-C7B1-47D3-B67F-A62EFF666E3E}">
          <x14:id>{70B5BF13-9F04-4528-AD41-622A32BDD9B7}</x14:id>
        </ext>
      </extLst>
    </cfRule>
  </conditionalFormatting>
  <conditionalFormatting sqref="B32:B43">
    <cfRule type="dataBar" priority="2">
      <dataBar>
        <cfvo type="min"/>
        <cfvo type="max"/>
        <color rgb="FFA9D08E"/>
      </dataBar>
      <extLst>
        <ext xmlns:x14="http://schemas.microsoft.com/office/spreadsheetml/2009/9/main" uri="{B025F937-C7B1-47D3-B67F-A62EFF666E3E}">
          <x14:id>{C38A5655-BC9E-4747-A35B-71BDADC45A61}</x14:id>
        </ext>
      </extLst>
    </cfRule>
  </conditionalFormatting>
  <conditionalFormatting sqref="B103:B123">
    <cfRule type="dataBar" priority="6">
      <dataBar>
        <cfvo type="min"/>
        <cfvo type="max"/>
        <color rgb="FFF4B183"/>
      </dataBar>
      <extLst>
        <ext xmlns:x14="http://schemas.microsoft.com/office/spreadsheetml/2009/9/main" uri="{B025F937-C7B1-47D3-B67F-A62EFF666E3E}">
          <x14:id>{42D80F1A-A4A1-4E72-8801-82C0AF6335E2}</x14:id>
        </ext>
      </extLst>
    </cfRule>
  </conditionalFormatting>
  <conditionalFormatting sqref="B147:K157">
    <cfRule type="colorScale" priority="9">
      <colorScale>
        <cfvo type="min"/>
        <cfvo type="num" val="15"/>
        <cfvo type="max"/>
        <color rgb="FFFFFFFF"/>
        <color rgb="FFE4DFEC"/>
        <color rgb="FF7030A0"/>
      </colorScale>
    </cfRule>
  </conditionalFormatting>
  <conditionalFormatting sqref="B66:M75">
    <cfRule type="colorScale" priority="4">
      <colorScale>
        <cfvo type="min"/>
        <cfvo type="num" val="20"/>
        <cfvo type="max"/>
        <color rgb="FFFFFFFF"/>
        <color rgb="FFFFE699"/>
        <color rgb="FFC65911"/>
      </colorScale>
    </cfRule>
  </conditionalFormatting>
  <conditionalFormatting sqref="C129:C141">
    <cfRule type="dataBar" priority="7">
      <dataBar>
        <cfvo type="min"/>
        <cfvo type="max"/>
        <color rgb="FFF4B183"/>
      </dataBar>
      <extLst>
        <ext xmlns:x14="http://schemas.microsoft.com/office/spreadsheetml/2009/9/main" uri="{B025F937-C7B1-47D3-B67F-A62EFF666E3E}">
          <x14:id>{E4CA23AD-2BFA-43B1-8817-D45707648043}</x14:id>
        </ext>
      </extLst>
    </cfRule>
  </conditionalFormatting>
  <conditionalFormatting sqref="F129:K141">
    <cfRule type="colorScale" priority="8">
      <colorScale>
        <cfvo type="min"/>
        <cfvo type="num" val="20"/>
        <cfvo type="max"/>
        <color rgb="FFFFFFFF"/>
        <color rgb="FFFFE699"/>
        <color rgb="FFC65911"/>
      </colorScale>
    </cfRule>
  </conditionalFormatting>
  <conditionalFormatting sqref="H17:H26">
    <cfRule type="colorScale" priority="3">
      <colorScale>
        <cfvo type="min"/>
        <cfvo type="num" val="50"/>
        <cfvo type="max"/>
        <color rgb="FFFFFFFF"/>
        <color rgb="FFFFD966"/>
        <color rgb="FFE06666"/>
      </colorScale>
    </cfRule>
  </conditionalFormatting>
  <conditionalFormatting sqref="M49:M60">
    <cfRule type="colorScale" priority="5">
      <colorScale>
        <cfvo type="min"/>
        <cfvo type="num" val="0"/>
        <cfvo type="max"/>
        <color rgb="FF9BC2E6"/>
        <color rgb="FFFFFFFF"/>
        <color rgb="FFF4B183"/>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0B5BF13-9F04-4528-AD41-622A32BDD9B7}">
            <x14:dataBar minLength="0" maxLength="100" direction="leftToRight" negativeBarColorSameAsPositive="1" axisPosition="none">
              <x14:cfvo type="min"/>
              <x14:cfvo type="max"/>
            </x14:dataBar>
          </x14:cfRule>
          <xm:sqref>B17:B26</xm:sqref>
        </x14:conditionalFormatting>
        <x14:conditionalFormatting xmlns:xm="http://schemas.microsoft.com/office/excel/2006/main">
          <x14:cfRule type="dataBar" id="{C38A5655-BC9E-4747-A35B-71BDADC45A61}">
            <x14:dataBar minLength="0" maxLength="100" direction="leftToRight" negativeBarColorSameAsPositive="1" axisPosition="none">
              <x14:cfvo type="min"/>
              <x14:cfvo type="max"/>
            </x14:dataBar>
          </x14:cfRule>
          <xm:sqref>B32:B43</xm:sqref>
        </x14:conditionalFormatting>
        <x14:conditionalFormatting xmlns:xm="http://schemas.microsoft.com/office/excel/2006/main">
          <x14:cfRule type="dataBar" id="{42D80F1A-A4A1-4E72-8801-82C0AF6335E2}">
            <x14:dataBar minLength="0" maxLength="100" direction="leftToRight" negativeBarColorSameAsPositive="1" axisPosition="none">
              <x14:cfvo type="min"/>
              <x14:cfvo type="max"/>
            </x14:dataBar>
          </x14:cfRule>
          <xm:sqref>B103:B123</xm:sqref>
        </x14:conditionalFormatting>
        <x14:conditionalFormatting xmlns:xm="http://schemas.microsoft.com/office/excel/2006/main">
          <x14:cfRule type="dataBar" id="{E4CA23AD-2BFA-43B1-8817-D45707648043}">
            <x14:dataBar minLength="0" maxLength="100" direction="leftToRight" negativeBarColorSameAsPositive="1" axisPosition="none">
              <x14:cfvo type="min"/>
              <x14:cfvo type="max"/>
            </x14:dataBar>
          </x14:cfRule>
          <xm:sqref>C129:C141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CD30F-B22B-4FB7-B98A-B2584DEDA6F7}">
  <sheetPr>
    <tabColor theme="2" tint="-0.249977111117893"/>
  </sheetPr>
  <dimension ref="A1:Q162"/>
  <sheetViews>
    <sheetView topLeftCell="K1" workbookViewId="0">
      <selection activeCell="A7" sqref="A7"/>
    </sheetView>
  </sheetViews>
  <sheetFormatPr defaultColWidth="8.88671875" defaultRowHeight="14.4"/>
  <cols>
    <col min="1" max="1" width="96.44140625" style="106" bestFit="1" customWidth="1"/>
    <col min="2" max="2" width="30.88671875" style="106" bestFit="1" customWidth="1"/>
    <col min="3" max="3" width="8.88671875" style="106"/>
    <col min="4" max="4" width="16.5546875" style="106" bestFit="1" customWidth="1"/>
    <col min="5" max="5" width="33.33203125" style="106" bestFit="1" customWidth="1"/>
    <col min="6" max="6" width="8.88671875" style="106"/>
    <col min="7" max="7" width="19" style="106" bestFit="1" customWidth="1"/>
    <col min="8" max="8" width="37.6640625" style="106" bestFit="1" customWidth="1"/>
    <col min="9" max="9" width="8.88671875" style="106"/>
    <col min="10" max="10" width="24.33203125" style="106" bestFit="1" customWidth="1"/>
    <col min="11" max="11" width="35.88671875" style="106" bestFit="1" customWidth="1"/>
    <col min="12" max="12" width="8.88671875" style="106"/>
    <col min="13" max="13" width="22.5546875" style="106" bestFit="1" customWidth="1"/>
    <col min="14" max="14" width="38.44140625" style="106" bestFit="1" customWidth="1"/>
    <col min="15" max="15" width="8.88671875" style="106"/>
    <col min="16" max="17" width="42.5546875" style="106" customWidth="1"/>
    <col min="18" max="16384" width="8.88671875" style="106"/>
  </cols>
  <sheetData>
    <row r="1" spans="1:17" ht="15.6">
      <c r="A1" s="140" t="s">
        <v>6124</v>
      </c>
    </row>
    <row r="2" spans="1:17" s="142" customFormat="1" ht="28.8">
      <c r="A2" s="141" t="s">
        <v>6125</v>
      </c>
      <c r="B2" s="141" t="s">
        <v>993</v>
      </c>
      <c r="D2" s="141" t="s">
        <v>6126</v>
      </c>
      <c r="E2" s="141" t="s">
        <v>994</v>
      </c>
      <c r="G2" s="141" t="s">
        <v>6127</v>
      </c>
      <c r="H2" s="141" t="s">
        <v>995</v>
      </c>
      <c r="J2" s="143" t="s">
        <v>6128</v>
      </c>
      <c r="K2" s="143" t="s">
        <v>997</v>
      </c>
      <c r="M2" s="144" t="s">
        <v>6129</v>
      </c>
      <c r="N2" s="144" t="s">
        <v>6068</v>
      </c>
      <c r="P2" s="144" t="s">
        <v>997</v>
      </c>
      <c r="Q2" s="144" t="s">
        <v>6130</v>
      </c>
    </row>
    <row r="3" spans="1:17">
      <c r="A3" s="106" t="s">
        <v>6131</v>
      </c>
      <c r="B3" s="106" t="s">
        <v>1507</v>
      </c>
      <c r="D3" s="106" t="s">
        <v>2302</v>
      </c>
      <c r="E3" s="106" t="s">
        <v>6031</v>
      </c>
      <c r="G3" s="106" t="s">
        <v>6132</v>
      </c>
      <c r="H3" s="106" t="s">
        <v>6053</v>
      </c>
      <c r="J3" s="106" t="s">
        <v>6133</v>
      </c>
      <c r="K3" s="106" t="s">
        <v>6114</v>
      </c>
      <c r="M3" s="106" t="s">
        <v>6134</v>
      </c>
      <c r="N3" s="106" t="s">
        <v>6090</v>
      </c>
      <c r="P3" s="106" t="s">
        <v>6114</v>
      </c>
      <c r="Q3" s="106" t="s">
        <v>6076</v>
      </c>
    </row>
    <row r="4" spans="1:17">
      <c r="A4" s="106" t="s">
        <v>1379</v>
      </c>
      <c r="B4" s="106" t="s">
        <v>1144</v>
      </c>
      <c r="D4" s="106" t="s">
        <v>6135</v>
      </c>
      <c r="E4" s="106" t="s">
        <v>6031</v>
      </c>
      <c r="G4" s="106" t="s">
        <v>6136</v>
      </c>
      <c r="H4" s="106" t="s">
        <v>6053</v>
      </c>
      <c r="J4" s="106" t="s">
        <v>6137</v>
      </c>
      <c r="K4" s="106" t="s">
        <v>6114</v>
      </c>
      <c r="M4" s="106" t="s">
        <v>6138</v>
      </c>
      <c r="N4" s="106" t="s">
        <v>6090</v>
      </c>
      <c r="P4" s="106" t="s">
        <v>6117</v>
      </c>
      <c r="Q4" s="106" t="s">
        <v>6077</v>
      </c>
    </row>
    <row r="5" spans="1:17">
      <c r="A5" s="106" t="s">
        <v>6139</v>
      </c>
      <c r="B5" s="106" t="s">
        <v>1144</v>
      </c>
      <c r="D5" s="106" t="s">
        <v>6140</v>
      </c>
      <c r="E5" s="106" t="s">
        <v>6031</v>
      </c>
      <c r="G5" s="106" t="s">
        <v>6141</v>
      </c>
      <c r="H5" s="106" t="s">
        <v>6053</v>
      </c>
      <c r="J5" s="106" t="s">
        <v>6142</v>
      </c>
      <c r="K5" s="106" t="s">
        <v>6114</v>
      </c>
      <c r="M5" s="106" t="s">
        <v>6143</v>
      </c>
      <c r="N5" s="106" t="s">
        <v>6090</v>
      </c>
      <c r="P5" s="106" t="s">
        <v>6115</v>
      </c>
      <c r="Q5" s="106" t="s">
        <v>6075</v>
      </c>
    </row>
    <row r="6" spans="1:17">
      <c r="A6" s="106" t="s">
        <v>5687</v>
      </c>
      <c r="B6" s="106" t="s">
        <v>1033</v>
      </c>
      <c r="D6" s="106" t="s">
        <v>6144</v>
      </c>
      <c r="E6" s="106" t="s">
        <v>6031</v>
      </c>
      <c r="G6" s="106" t="s">
        <v>6145</v>
      </c>
      <c r="H6" s="106" t="s">
        <v>6053</v>
      </c>
      <c r="J6" s="106" t="s">
        <v>6146</v>
      </c>
      <c r="K6" s="106" t="s">
        <v>6114</v>
      </c>
      <c r="M6" s="106" t="s">
        <v>6147</v>
      </c>
      <c r="N6" s="106" t="s">
        <v>6090</v>
      </c>
      <c r="P6" s="106" t="s">
        <v>6116</v>
      </c>
      <c r="Q6" s="106" t="s">
        <v>6075</v>
      </c>
    </row>
    <row r="7" spans="1:17">
      <c r="A7" s="106" t="s">
        <v>6148</v>
      </c>
      <c r="B7" s="106" t="s">
        <v>1336</v>
      </c>
      <c r="D7" s="106" t="s">
        <v>6149</v>
      </c>
      <c r="E7" s="106" t="s">
        <v>6031</v>
      </c>
      <c r="G7" s="106" t="s">
        <v>6150</v>
      </c>
      <c r="H7" s="106" t="s">
        <v>6053</v>
      </c>
      <c r="J7" s="106" t="s">
        <v>6151</v>
      </c>
      <c r="K7" s="106" t="s">
        <v>6114</v>
      </c>
      <c r="M7" s="106" t="s">
        <v>6152</v>
      </c>
      <c r="N7" s="106" t="s">
        <v>6090</v>
      </c>
      <c r="P7" s="106" t="s">
        <v>6118</v>
      </c>
      <c r="Q7" s="106" t="s">
        <v>6078</v>
      </c>
    </row>
    <row r="8" spans="1:17">
      <c r="A8" s="106" t="s">
        <v>6153</v>
      </c>
      <c r="B8" s="106" t="s">
        <v>3330</v>
      </c>
      <c r="D8" s="106" t="s">
        <v>6154</v>
      </c>
      <c r="E8" s="106" t="s">
        <v>6031</v>
      </c>
      <c r="G8" s="106" t="s">
        <v>6155</v>
      </c>
      <c r="H8" s="106" t="s">
        <v>6053</v>
      </c>
      <c r="J8" s="106" t="s">
        <v>6156</v>
      </c>
      <c r="K8" s="106" t="s">
        <v>6114</v>
      </c>
      <c r="M8" s="106" t="s">
        <v>6157</v>
      </c>
      <c r="N8" s="106" t="s">
        <v>6090</v>
      </c>
      <c r="P8" s="106" t="s">
        <v>6119</v>
      </c>
      <c r="Q8" s="106" t="s">
        <v>6082</v>
      </c>
    </row>
    <row r="9" spans="1:17">
      <c r="A9" s="106" t="s">
        <v>6158</v>
      </c>
      <c r="B9" s="106" t="s">
        <v>3330</v>
      </c>
      <c r="D9" s="106" t="s">
        <v>6159</v>
      </c>
      <c r="E9" s="106" t="s">
        <v>6031</v>
      </c>
      <c r="G9" s="106" t="s">
        <v>6160</v>
      </c>
      <c r="H9" s="106" t="s">
        <v>6053</v>
      </c>
      <c r="J9" s="106" t="s">
        <v>6161</v>
      </c>
      <c r="K9" s="106" t="s">
        <v>6114</v>
      </c>
      <c r="M9" s="106" t="s">
        <v>6162</v>
      </c>
      <c r="N9" s="106" t="s">
        <v>6090</v>
      </c>
      <c r="P9" s="106" t="s">
        <v>6121</v>
      </c>
      <c r="Q9" s="106" t="s">
        <v>6089</v>
      </c>
    </row>
    <row r="10" spans="1:17">
      <c r="A10" s="106" t="s">
        <v>4214</v>
      </c>
      <c r="B10" s="106" t="s">
        <v>1024</v>
      </c>
      <c r="D10" s="106" t="s">
        <v>6163</v>
      </c>
      <c r="E10" s="106" t="s">
        <v>6031</v>
      </c>
      <c r="G10" s="106" t="s">
        <v>6164</v>
      </c>
      <c r="H10" s="106" t="s">
        <v>6053</v>
      </c>
      <c r="J10" s="106" t="s">
        <v>6165</v>
      </c>
      <c r="K10" s="106" t="s">
        <v>6114</v>
      </c>
      <c r="M10" s="106" t="s">
        <v>6166</v>
      </c>
      <c r="N10" s="106" t="s">
        <v>6167</v>
      </c>
      <c r="P10" s="106" t="s">
        <v>6120</v>
      </c>
      <c r="Q10" s="106" t="s">
        <v>6083</v>
      </c>
    </row>
    <row r="11" spans="1:17">
      <c r="A11" s="106" t="s">
        <v>6168</v>
      </c>
      <c r="B11" s="106" t="s">
        <v>6021</v>
      </c>
      <c r="D11" s="106" t="s">
        <v>6169</v>
      </c>
      <c r="E11" s="106" t="s">
        <v>6031</v>
      </c>
      <c r="G11" s="106" t="s">
        <v>6170</v>
      </c>
      <c r="H11" s="106" t="s">
        <v>6053</v>
      </c>
      <c r="J11" s="106" t="s">
        <v>6171</v>
      </c>
      <c r="K11" s="106" t="s">
        <v>6114</v>
      </c>
      <c r="M11" s="106" t="s">
        <v>6172</v>
      </c>
      <c r="N11" s="106" t="s">
        <v>6167</v>
      </c>
      <c r="P11" s="106" t="s">
        <v>1045</v>
      </c>
      <c r="Q11" s="106" t="s">
        <v>6081</v>
      </c>
    </row>
    <row r="12" spans="1:17">
      <c r="A12" s="106" t="s">
        <v>6173</v>
      </c>
      <c r="B12" s="106" t="s">
        <v>6021</v>
      </c>
      <c r="D12" s="106" t="s">
        <v>6174</v>
      </c>
      <c r="E12" s="106" t="s">
        <v>6038</v>
      </c>
      <c r="G12" s="106" t="s">
        <v>6175</v>
      </c>
      <c r="H12" s="106" t="s">
        <v>6053</v>
      </c>
      <c r="J12" s="106" t="s">
        <v>6176</v>
      </c>
      <c r="K12" s="106" t="s">
        <v>6114</v>
      </c>
      <c r="M12" s="106" t="s">
        <v>6177</v>
      </c>
      <c r="N12" s="106" t="s">
        <v>6167</v>
      </c>
      <c r="P12" s="106" t="s">
        <v>6113</v>
      </c>
      <c r="Q12" s="106" t="s">
        <v>6071</v>
      </c>
    </row>
    <row r="13" spans="1:17">
      <c r="A13" s="106" t="s">
        <v>6178</v>
      </c>
      <c r="B13" s="106" t="s">
        <v>6021</v>
      </c>
      <c r="D13" s="106" t="s">
        <v>6179</v>
      </c>
      <c r="E13" s="106" t="s">
        <v>6038</v>
      </c>
      <c r="G13" s="106" t="s">
        <v>6180</v>
      </c>
      <c r="H13" s="106" t="s">
        <v>6053</v>
      </c>
      <c r="J13" s="106" t="s">
        <v>6181</v>
      </c>
      <c r="K13" s="106" t="s">
        <v>6114</v>
      </c>
      <c r="M13" s="106" t="s">
        <v>6182</v>
      </c>
      <c r="N13" s="106" t="s">
        <v>6088</v>
      </c>
      <c r="P13" s="106" t="s">
        <v>6040</v>
      </c>
      <c r="Q13" s="106" t="s">
        <v>6091</v>
      </c>
    </row>
    <row r="14" spans="1:17">
      <c r="A14" s="106" t="s">
        <v>6183</v>
      </c>
      <c r="B14" s="106" t="s">
        <v>6021</v>
      </c>
      <c r="D14" s="106" t="s">
        <v>6184</v>
      </c>
      <c r="E14" s="106" t="s">
        <v>6038</v>
      </c>
      <c r="G14" s="106" t="s">
        <v>6185</v>
      </c>
      <c r="H14" s="106" t="s">
        <v>6053</v>
      </c>
      <c r="J14" s="106" t="s">
        <v>6186</v>
      </c>
      <c r="K14" s="106" t="s">
        <v>6114</v>
      </c>
      <c r="M14" s="106" t="s">
        <v>6187</v>
      </c>
      <c r="N14" s="106" t="s">
        <v>6088</v>
      </c>
      <c r="Q14" s="106" t="s">
        <v>6091</v>
      </c>
    </row>
    <row r="15" spans="1:17">
      <c r="A15" s="106" t="s">
        <v>6188</v>
      </c>
      <c r="B15" s="106" t="s">
        <v>6023</v>
      </c>
      <c r="D15" s="106" t="s">
        <v>6189</v>
      </c>
      <c r="E15" s="106" t="s">
        <v>6038</v>
      </c>
      <c r="G15" s="106" t="s">
        <v>6190</v>
      </c>
      <c r="H15" s="106" t="s">
        <v>6053</v>
      </c>
      <c r="J15" s="106" t="s">
        <v>6191</v>
      </c>
      <c r="K15" s="106" t="s">
        <v>6114</v>
      </c>
      <c r="M15" s="106" t="s">
        <v>6192</v>
      </c>
      <c r="N15" s="106" t="s">
        <v>6088</v>
      </c>
    </row>
    <row r="16" spans="1:17">
      <c r="A16" s="106" t="s">
        <v>6193</v>
      </c>
      <c r="B16" s="106" t="s">
        <v>6023</v>
      </c>
      <c r="D16" s="106" t="s">
        <v>6194</v>
      </c>
      <c r="E16" s="106" t="s">
        <v>6038</v>
      </c>
      <c r="G16" s="106" t="s">
        <v>6195</v>
      </c>
      <c r="H16" s="106" t="s">
        <v>6053</v>
      </c>
      <c r="J16" s="106" t="s">
        <v>6196</v>
      </c>
      <c r="K16" s="106" t="s">
        <v>6114</v>
      </c>
      <c r="M16" s="106" t="s">
        <v>6197</v>
      </c>
      <c r="N16" s="106" t="s">
        <v>6084</v>
      </c>
    </row>
    <row r="17" spans="1:14">
      <c r="A17" s="106" t="s">
        <v>1664</v>
      </c>
      <c r="B17" s="106" t="s">
        <v>6020</v>
      </c>
      <c r="D17" s="106" t="s">
        <v>6198</v>
      </c>
      <c r="E17" s="106" t="s">
        <v>6038</v>
      </c>
      <c r="G17" s="106" t="s">
        <v>6199</v>
      </c>
      <c r="H17" s="106" t="s">
        <v>6053</v>
      </c>
      <c r="J17" s="106" t="s">
        <v>6200</v>
      </c>
      <c r="K17" s="106" t="s">
        <v>6116</v>
      </c>
      <c r="M17" s="106" t="s">
        <v>6201</v>
      </c>
      <c r="N17" s="106" t="s">
        <v>6084</v>
      </c>
    </row>
    <row r="18" spans="1:14">
      <c r="A18" s="106" t="s">
        <v>3525</v>
      </c>
      <c r="B18" s="106" t="s">
        <v>6020</v>
      </c>
      <c r="D18" s="106" t="s">
        <v>6202</v>
      </c>
      <c r="E18" s="106" t="s">
        <v>6038</v>
      </c>
      <c r="G18" s="106" t="s">
        <v>6203</v>
      </c>
      <c r="H18" s="106" t="s">
        <v>4511</v>
      </c>
      <c r="J18" s="106" t="s">
        <v>6204</v>
      </c>
      <c r="K18" s="106" t="s">
        <v>6116</v>
      </c>
      <c r="M18" s="106" t="s">
        <v>6205</v>
      </c>
      <c r="N18" s="106" t="s">
        <v>6084</v>
      </c>
    </row>
    <row r="19" spans="1:14">
      <c r="A19" s="106" t="s">
        <v>6206</v>
      </c>
      <c r="B19" s="106" t="s">
        <v>6020</v>
      </c>
      <c r="D19" s="106" t="s">
        <v>6207</v>
      </c>
      <c r="E19" s="106" t="s">
        <v>6038</v>
      </c>
      <c r="G19" s="106" t="s">
        <v>6208</v>
      </c>
      <c r="H19" s="106" t="s">
        <v>6054</v>
      </c>
      <c r="J19" s="106" t="s">
        <v>6209</v>
      </c>
      <c r="K19" s="106" t="s">
        <v>6116</v>
      </c>
      <c r="M19" s="106" t="s">
        <v>6210</v>
      </c>
      <c r="N19" s="106" t="s">
        <v>6084</v>
      </c>
    </row>
    <row r="20" spans="1:14">
      <c r="A20" s="106" t="s">
        <v>6211</v>
      </c>
      <c r="B20" s="106" t="s">
        <v>6020</v>
      </c>
      <c r="D20" s="106" t="s">
        <v>6212</v>
      </c>
      <c r="E20" s="106" t="s">
        <v>6038</v>
      </c>
      <c r="G20" s="106" t="s">
        <v>6213</v>
      </c>
      <c r="H20" s="106" t="s">
        <v>6054</v>
      </c>
      <c r="J20" s="106" t="s">
        <v>6214</v>
      </c>
      <c r="K20" s="106" t="s">
        <v>6116</v>
      </c>
      <c r="M20" s="106" t="s">
        <v>6215</v>
      </c>
      <c r="N20" s="106" t="s">
        <v>6084</v>
      </c>
    </row>
    <row r="21" spans="1:14">
      <c r="A21" s="106" t="s">
        <v>6216</v>
      </c>
      <c r="B21" s="106" t="s">
        <v>6020</v>
      </c>
      <c r="D21" s="106" t="s">
        <v>6217</v>
      </c>
      <c r="E21" s="106" t="s">
        <v>6038</v>
      </c>
      <c r="G21" s="106" t="s">
        <v>6218</v>
      </c>
      <c r="H21" s="106" t="s">
        <v>6054</v>
      </c>
      <c r="J21" s="106" t="s">
        <v>6219</v>
      </c>
      <c r="K21" s="106" t="s">
        <v>6116</v>
      </c>
      <c r="M21" s="106" t="s">
        <v>6220</v>
      </c>
      <c r="N21" s="106" t="s">
        <v>6084</v>
      </c>
    </row>
    <row r="22" spans="1:14">
      <c r="A22" s="106" t="s">
        <v>6221</v>
      </c>
      <c r="B22" s="106" t="s">
        <v>6020</v>
      </c>
      <c r="D22" s="106" t="s">
        <v>6222</v>
      </c>
      <c r="E22" s="106" t="s">
        <v>6038</v>
      </c>
      <c r="G22" s="106" t="s">
        <v>6223</v>
      </c>
      <c r="H22" s="106" t="s">
        <v>6054</v>
      </c>
      <c r="J22" s="106" t="s">
        <v>6224</v>
      </c>
      <c r="K22" s="106" t="s">
        <v>6116</v>
      </c>
      <c r="M22" s="106" t="s">
        <v>6225</v>
      </c>
      <c r="N22" s="106" t="s">
        <v>6084</v>
      </c>
    </row>
    <row r="23" spans="1:14">
      <c r="A23" s="106" t="s">
        <v>6226</v>
      </c>
      <c r="B23" s="106" t="s">
        <v>6020</v>
      </c>
      <c r="D23" s="106" t="s">
        <v>6227</v>
      </c>
      <c r="E23" s="106" t="s">
        <v>6038</v>
      </c>
      <c r="G23" s="106" t="s">
        <v>6228</v>
      </c>
      <c r="H23" s="106" t="s">
        <v>6054</v>
      </c>
      <c r="J23" s="106" t="s">
        <v>6229</v>
      </c>
      <c r="K23" s="106" t="s">
        <v>6116</v>
      </c>
      <c r="M23" s="106" t="s">
        <v>6230</v>
      </c>
      <c r="N23" s="106" t="s">
        <v>6084</v>
      </c>
    </row>
    <row r="24" spans="1:14">
      <c r="A24" s="106" t="s">
        <v>6231</v>
      </c>
      <c r="B24" s="106" t="s">
        <v>6020</v>
      </c>
      <c r="D24" s="106" t="s">
        <v>6232</v>
      </c>
      <c r="E24" s="106" t="s">
        <v>6037</v>
      </c>
      <c r="G24" s="106" t="s">
        <v>6233</v>
      </c>
      <c r="H24" s="106" t="s">
        <v>6054</v>
      </c>
      <c r="J24" s="106" t="s">
        <v>6234</v>
      </c>
      <c r="K24" s="106" t="s">
        <v>6116</v>
      </c>
      <c r="M24" s="106" t="s">
        <v>6235</v>
      </c>
      <c r="N24" s="106" t="s">
        <v>6084</v>
      </c>
    </row>
    <row r="25" spans="1:14">
      <c r="A25" s="106" t="s">
        <v>6236</v>
      </c>
      <c r="B25" s="106" t="s">
        <v>6020</v>
      </c>
      <c r="D25" s="106" t="s">
        <v>6237</v>
      </c>
      <c r="E25" s="106" t="s">
        <v>6037</v>
      </c>
      <c r="G25" s="106" t="s">
        <v>6238</v>
      </c>
      <c r="H25" s="106" t="s">
        <v>6054</v>
      </c>
      <c r="J25" s="106" t="s">
        <v>6239</v>
      </c>
      <c r="K25" s="106" t="s">
        <v>6116</v>
      </c>
      <c r="M25" s="106" t="s">
        <v>6240</v>
      </c>
      <c r="N25" s="106" t="s">
        <v>6084</v>
      </c>
    </row>
    <row r="26" spans="1:14">
      <c r="A26" s="106" t="s">
        <v>6241</v>
      </c>
      <c r="B26" s="106" t="s">
        <v>6020</v>
      </c>
      <c r="D26" s="106" t="s">
        <v>6242</v>
      </c>
      <c r="E26" s="106" t="s">
        <v>6037</v>
      </c>
      <c r="G26" s="106" t="s">
        <v>6243</v>
      </c>
      <c r="H26" s="106" t="s">
        <v>6054</v>
      </c>
      <c r="J26" s="106" t="s">
        <v>6244</v>
      </c>
      <c r="K26" s="106" t="s">
        <v>6116</v>
      </c>
      <c r="M26" s="106" t="s">
        <v>6245</v>
      </c>
      <c r="N26" s="106" t="s">
        <v>6084</v>
      </c>
    </row>
    <row r="27" spans="1:14">
      <c r="A27" s="106" t="s">
        <v>6246</v>
      </c>
      <c r="B27" s="106" t="s">
        <v>6020</v>
      </c>
      <c r="D27" s="106" t="s">
        <v>6247</v>
      </c>
      <c r="E27" s="106" t="s">
        <v>6037</v>
      </c>
      <c r="G27" s="106" t="s">
        <v>6248</v>
      </c>
      <c r="H27" s="106" t="s">
        <v>6054</v>
      </c>
      <c r="J27" s="106" t="s">
        <v>6249</v>
      </c>
      <c r="K27" s="106" t="s">
        <v>6116</v>
      </c>
      <c r="M27" s="106" t="s">
        <v>6250</v>
      </c>
      <c r="N27" s="106" t="s">
        <v>6084</v>
      </c>
    </row>
    <row r="28" spans="1:14">
      <c r="A28" s="106" t="s">
        <v>6251</v>
      </c>
      <c r="B28" s="106" t="s">
        <v>6020</v>
      </c>
      <c r="D28" s="106" t="s">
        <v>6252</v>
      </c>
      <c r="E28" s="106" t="s">
        <v>6037</v>
      </c>
      <c r="G28" s="106" t="s">
        <v>6253</v>
      </c>
      <c r="H28" s="106" t="s">
        <v>6054</v>
      </c>
      <c r="J28" s="106" t="s">
        <v>6254</v>
      </c>
      <c r="K28" s="106" t="s">
        <v>6116</v>
      </c>
      <c r="M28" s="106" t="s">
        <v>6255</v>
      </c>
      <c r="N28" s="106" t="s">
        <v>6084</v>
      </c>
    </row>
    <row r="29" spans="1:14">
      <c r="D29" s="106" t="s">
        <v>6256</v>
      </c>
      <c r="E29" s="106" t="s">
        <v>6037</v>
      </c>
      <c r="G29" s="106" t="s">
        <v>6257</v>
      </c>
      <c r="H29" s="106" t="s">
        <v>6054</v>
      </c>
      <c r="J29" s="106" t="s">
        <v>6258</v>
      </c>
      <c r="K29" s="106" t="s">
        <v>6116</v>
      </c>
      <c r="M29" s="106" t="s">
        <v>6259</v>
      </c>
      <c r="N29" s="106" t="s">
        <v>6260</v>
      </c>
    </row>
    <row r="30" spans="1:14">
      <c r="D30" s="106" t="s">
        <v>6261</v>
      </c>
      <c r="E30" s="106" t="s">
        <v>6037</v>
      </c>
      <c r="G30" s="106" t="s">
        <v>6262</v>
      </c>
      <c r="H30" s="106" t="s">
        <v>6054</v>
      </c>
      <c r="J30" s="106" t="s">
        <v>6263</v>
      </c>
      <c r="K30" s="106" t="s">
        <v>6116</v>
      </c>
      <c r="M30" s="106" t="s">
        <v>6264</v>
      </c>
      <c r="N30" s="106" t="s">
        <v>6260</v>
      </c>
    </row>
    <row r="31" spans="1:14">
      <c r="D31" s="106" t="s">
        <v>6265</v>
      </c>
      <c r="E31" s="106" t="s">
        <v>6037</v>
      </c>
      <c r="G31" s="106" t="s">
        <v>6144</v>
      </c>
      <c r="H31" s="106" t="s">
        <v>6057</v>
      </c>
      <c r="J31" s="106" t="s">
        <v>6266</v>
      </c>
      <c r="K31" s="106" t="s">
        <v>6116</v>
      </c>
      <c r="M31" s="106" t="s">
        <v>6267</v>
      </c>
      <c r="N31" s="106" t="s">
        <v>6260</v>
      </c>
    </row>
    <row r="32" spans="1:14">
      <c r="D32" s="106" t="s">
        <v>6268</v>
      </c>
      <c r="E32" s="106" t="s">
        <v>6037</v>
      </c>
      <c r="G32" s="106" t="s">
        <v>6269</v>
      </c>
      <c r="H32" s="106" t="s">
        <v>6057</v>
      </c>
      <c r="J32" s="106" t="s">
        <v>6270</v>
      </c>
      <c r="K32" s="106" t="s">
        <v>6116</v>
      </c>
      <c r="M32" s="106" t="s">
        <v>6271</v>
      </c>
      <c r="N32" s="106" t="s">
        <v>6260</v>
      </c>
    </row>
    <row r="33" spans="4:14">
      <c r="D33" s="106" t="s">
        <v>6272</v>
      </c>
      <c r="E33" s="106" t="s">
        <v>6037</v>
      </c>
      <c r="G33" s="106" t="s">
        <v>6197</v>
      </c>
      <c r="H33" s="106" t="s">
        <v>6057</v>
      </c>
      <c r="J33" s="106" t="s">
        <v>6273</v>
      </c>
      <c r="K33" s="106" t="s">
        <v>6116</v>
      </c>
      <c r="M33" s="106" t="s">
        <v>6274</v>
      </c>
      <c r="N33" s="106" t="s">
        <v>6260</v>
      </c>
    </row>
    <row r="34" spans="4:14">
      <c r="D34" s="106" t="s">
        <v>6275</v>
      </c>
      <c r="E34" s="106" t="s">
        <v>6037</v>
      </c>
      <c r="G34" s="106" t="s">
        <v>6276</v>
      </c>
      <c r="H34" s="106" t="s">
        <v>6057</v>
      </c>
      <c r="J34" s="106" t="s">
        <v>6277</v>
      </c>
      <c r="K34" s="106" t="s">
        <v>6116</v>
      </c>
      <c r="M34" s="106" t="s">
        <v>6278</v>
      </c>
      <c r="N34" s="106" t="s">
        <v>6260</v>
      </c>
    </row>
    <row r="35" spans="4:14">
      <c r="D35" s="106" t="s">
        <v>6279</v>
      </c>
      <c r="E35" s="106" t="s">
        <v>6037</v>
      </c>
      <c r="G35" s="106" t="s">
        <v>6280</v>
      </c>
      <c r="H35" s="106" t="s">
        <v>6057</v>
      </c>
      <c r="J35" s="106" t="s">
        <v>6281</v>
      </c>
      <c r="K35" s="106" t="s">
        <v>6116</v>
      </c>
      <c r="M35" s="106" t="s">
        <v>6282</v>
      </c>
      <c r="N35" s="106" t="s">
        <v>6260</v>
      </c>
    </row>
    <row r="36" spans="4:14">
      <c r="D36" s="106" t="s">
        <v>6283</v>
      </c>
      <c r="E36" s="106" t="s">
        <v>6037</v>
      </c>
      <c r="G36" s="106" t="s">
        <v>6284</v>
      </c>
      <c r="H36" s="106" t="s">
        <v>6056</v>
      </c>
      <c r="J36" s="106" t="s">
        <v>6285</v>
      </c>
      <c r="K36" s="106" t="s">
        <v>6115</v>
      </c>
      <c r="M36" s="106" t="s">
        <v>6286</v>
      </c>
      <c r="N36" s="106" t="s">
        <v>6260</v>
      </c>
    </row>
    <row r="37" spans="4:14">
      <c r="D37" s="106" t="s">
        <v>6287</v>
      </c>
      <c r="E37" s="106" t="s">
        <v>6032</v>
      </c>
      <c r="G37" s="106" t="s">
        <v>6288</v>
      </c>
      <c r="H37" s="106" t="s">
        <v>6056</v>
      </c>
      <c r="J37" s="106" t="s">
        <v>6289</v>
      </c>
      <c r="K37" s="106" t="s">
        <v>6115</v>
      </c>
      <c r="M37" s="106" t="s">
        <v>6290</v>
      </c>
      <c r="N37" s="106" t="s">
        <v>6260</v>
      </c>
    </row>
    <row r="38" spans="4:14">
      <c r="D38" s="106" t="s">
        <v>6291</v>
      </c>
      <c r="E38" s="106" t="s">
        <v>6032</v>
      </c>
      <c r="G38" s="106" t="s">
        <v>6292</v>
      </c>
      <c r="H38" s="106" t="s">
        <v>6056</v>
      </c>
      <c r="J38" s="106" t="s">
        <v>6293</v>
      </c>
      <c r="K38" s="106" t="s">
        <v>6115</v>
      </c>
      <c r="M38" s="106" t="s">
        <v>6294</v>
      </c>
      <c r="N38" s="106" t="s">
        <v>6260</v>
      </c>
    </row>
    <row r="39" spans="4:14">
      <c r="D39" s="106" t="s">
        <v>6295</v>
      </c>
      <c r="E39" s="106" t="s">
        <v>6032</v>
      </c>
      <c r="G39" s="106" t="s">
        <v>6296</v>
      </c>
      <c r="H39" s="106" t="s">
        <v>6056</v>
      </c>
      <c r="J39" s="106" t="s">
        <v>6297</v>
      </c>
      <c r="K39" s="106" t="s">
        <v>6115</v>
      </c>
      <c r="M39" s="106" t="s">
        <v>6298</v>
      </c>
      <c r="N39" s="106" t="s">
        <v>6260</v>
      </c>
    </row>
    <row r="40" spans="4:14">
      <c r="D40" s="106" t="s">
        <v>6299</v>
      </c>
      <c r="E40" s="106" t="s">
        <v>6032</v>
      </c>
      <c r="G40" s="106" t="s">
        <v>6217</v>
      </c>
      <c r="H40" s="106" t="s">
        <v>6056</v>
      </c>
      <c r="J40" s="106" t="s">
        <v>6300</v>
      </c>
      <c r="K40" s="106" t="s">
        <v>6115</v>
      </c>
      <c r="M40" s="106" t="s">
        <v>6301</v>
      </c>
      <c r="N40" s="106" t="s">
        <v>6302</v>
      </c>
    </row>
    <row r="41" spans="4:14">
      <c r="D41" s="106" t="s">
        <v>6303</v>
      </c>
      <c r="E41" s="106" t="s">
        <v>6032</v>
      </c>
      <c r="G41" s="106" t="s">
        <v>6304</v>
      </c>
      <c r="H41" s="106" t="s">
        <v>6052</v>
      </c>
      <c r="J41" s="106" t="s">
        <v>6305</v>
      </c>
      <c r="K41" s="106" t="s">
        <v>6115</v>
      </c>
      <c r="M41" s="106" t="s">
        <v>6306</v>
      </c>
      <c r="N41" s="106" t="s">
        <v>6302</v>
      </c>
    </row>
    <row r="42" spans="4:14">
      <c r="D42" s="106" t="s">
        <v>6307</v>
      </c>
      <c r="E42" s="106" t="s">
        <v>6032</v>
      </c>
      <c r="G42" s="106" t="s">
        <v>6308</v>
      </c>
      <c r="H42" s="106" t="s">
        <v>6052</v>
      </c>
      <c r="J42" s="106" t="s">
        <v>6309</v>
      </c>
      <c r="K42" s="106" t="s">
        <v>6115</v>
      </c>
      <c r="M42" s="106" t="s">
        <v>6310</v>
      </c>
      <c r="N42" s="106" t="s">
        <v>6302</v>
      </c>
    </row>
    <row r="43" spans="4:14">
      <c r="D43" s="106" t="s">
        <v>6311</v>
      </c>
      <c r="E43" s="106" t="s">
        <v>6032</v>
      </c>
      <c r="G43" s="106" t="s">
        <v>6255</v>
      </c>
      <c r="H43" s="106" t="s">
        <v>6052</v>
      </c>
      <c r="J43" s="106" t="s">
        <v>6312</v>
      </c>
      <c r="K43" s="106" t="s">
        <v>6115</v>
      </c>
      <c r="M43" s="106" t="s">
        <v>6313</v>
      </c>
      <c r="N43" s="106" t="s">
        <v>6302</v>
      </c>
    </row>
    <row r="44" spans="4:14">
      <c r="D44" s="106" t="s">
        <v>6314</v>
      </c>
      <c r="E44" s="106" t="s">
        <v>6032</v>
      </c>
      <c r="G44" s="106" t="s">
        <v>6215</v>
      </c>
      <c r="H44" s="106" t="s">
        <v>6052</v>
      </c>
      <c r="J44" s="106" t="s">
        <v>6315</v>
      </c>
      <c r="K44" s="106" t="s">
        <v>6115</v>
      </c>
      <c r="M44" s="106" t="s">
        <v>6316</v>
      </c>
      <c r="N44" s="106" t="s">
        <v>6302</v>
      </c>
    </row>
    <row r="45" spans="4:14">
      <c r="D45" s="106" t="s">
        <v>6317</v>
      </c>
      <c r="E45" s="106" t="s">
        <v>6032</v>
      </c>
      <c r="G45" s="106" t="s">
        <v>6318</v>
      </c>
      <c r="H45" s="106" t="s">
        <v>6052</v>
      </c>
      <c r="J45" s="106" t="s">
        <v>6319</v>
      </c>
      <c r="K45" s="106" t="s">
        <v>6115</v>
      </c>
      <c r="M45" s="106" t="s">
        <v>6320</v>
      </c>
      <c r="N45" s="106" t="s">
        <v>6302</v>
      </c>
    </row>
    <row r="46" spans="4:14">
      <c r="D46" s="106" t="s">
        <v>6321</v>
      </c>
      <c r="E46" s="106" t="s">
        <v>6032</v>
      </c>
      <c r="G46" s="106" t="s">
        <v>6322</v>
      </c>
      <c r="H46" s="106" t="s">
        <v>6052</v>
      </c>
      <c r="J46" s="106" t="s">
        <v>6323</v>
      </c>
      <c r="K46" s="106" t="s">
        <v>6115</v>
      </c>
      <c r="M46" s="106" t="s">
        <v>6324</v>
      </c>
      <c r="N46" s="106" t="s">
        <v>6302</v>
      </c>
    </row>
    <row r="47" spans="4:14">
      <c r="D47" s="106" t="s">
        <v>6325</v>
      </c>
      <c r="E47" s="106" t="s">
        <v>6032</v>
      </c>
      <c r="G47" s="106" t="s">
        <v>6326</v>
      </c>
      <c r="H47" s="106" t="s">
        <v>6052</v>
      </c>
      <c r="J47" s="106" t="s">
        <v>6327</v>
      </c>
      <c r="K47" s="106" t="s">
        <v>6115</v>
      </c>
      <c r="M47" s="106" t="s">
        <v>6328</v>
      </c>
      <c r="N47" s="106" t="s">
        <v>6302</v>
      </c>
    </row>
    <row r="48" spans="4:14">
      <c r="D48" s="106" t="s">
        <v>6329</v>
      </c>
      <c r="E48" s="106" t="s">
        <v>6032</v>
      </c>
      <c r="G48" s="106" t="s">
        <v>6330</v>
      </c>
      <c r="H48" s="106" t="s">
        <v>6052</v>
      </c>
      <c r="J48" s="106" t="s">
        <v>6331</v>
      </c>
      <c r="K48" s="106" t="s">
        <v>6115</v>
      </c>
      <c r="M48" s="106" t="s">
        <v>6332</v>
      </c>
      <c r="N48" s="106" t="s">
        <v>6333</v>
      </c>
    </row>
    <row r="49" spans="4:14">
      <c r="D49" s="106" t="s">
        <v>6334</v>
      </c>
      <c r="E49" s="106" t="s">
        <v>6032</v>
      </c>
      <c r="G49" s="106" t="s">
        <v>6335</v>
      </c>
      <c r="H49" s="106" t="s">
        <v>6052</v>
      </c>
      <c r="J49" s="106" t="s">
        <v>6336</v>
      </c>
      <c r="K49" s="106" t="s">
        <v>6115</v>
      </c>
      <c r="M49" s="106" t="s">
        <v>6337</v>
      </c>
      <c r="N49" s="106" t="s">
        <v>6333</v>
      </c>
    </row>
    <row r="50" spans="4:14">
      <c r="D50" s="106" t="s">
        <v>6338</v>
      </c>
      <c r="E50" s="106" t="s">
        <v>6034</v>
      </c>
      <c r="G50" s="106" t="s">
        <v>6339</v>
      </c>
      <c r="H50" s="106" t="s">
        <v>6052</v>
      </c>
      <c r="J50" s="106" t="s">
        <v>6340</v>
      </c>
      <c r="K50" s="106" t="s">
        <v>6115</v>
      </c>
      <c r="M50" s="106" t="s">
        <v>6341</v>
      </c>
      <c r="N50" s="106" t="s">
        <v>6333</v>
      </c>
    </row>
    <row r="51" spans="4:14">
      <c r="D51" s="106" t="s">
        <v>6342</v>
      </c>
      <c r="E51" s="106" t="s">
        <v>6034</v>
      </c>
      <c r="G51" s="106" t="s">
        <v>6343</v>
      </c>
      <c r="H51" s="106" t="s">
        <v>6052</v>
      </c>
      <c r="J51" s="106" t="s">
        <v>6344</v>
      </c>
      <c r="K51" s="106" t="s">
        <v>6115</v>
      </c>
      <c r="M51" s="106" t="s">
        <v>6345</v>
      </c>
      <c r="N51" s="106" t="s">
        <v>6333</v>
      </c>
    </row>
    <row r="52" spans="4:14">
      <c r="D52" s="106" t="s">
        <v>6346</v>
      </c>
      <c r="E52" s="106" t="s">
        <v>6034</v>
      </c>
      <c r="G52" s="106" t="s">
        <v>6347</v>
      </c>
      <c r="H52" s="106" t="s">
        <v>6052</v>
      </c>
      <c r="J52" s="106" t="s">
        <v>6348</v>
      </c>
      <c r="K52" s="106" t="s">
        <v>6115</v>
      </c>
      <c r="M52" s="106" t="s">
        <v>6349</v>
      </c>
      <c r="N52" s="106" t="s">
        <v>6333</v>
      </c>
    </row>
    <row r="53" spans="4:14">
      <c r="D53" s="106" t="s">
        <v>6350</v>
      </c>
      <c r="E53" s="106" t="s">
        <v>6034</v>
      </c>
      <c r="G53" s="106" t="s">
        <v>6351</v>
      </c>
      <c r="H53" s="106" t="s">
        <v>6052</v>
      </c>
      <c r="J53" s="106" t="s">
        <v>6352</v>
      </c>
      <c r="K53" s="106" t="s">
        <v>6118</v>
      </c>
      <c r="M53" s="106" t="s">
        <v>6353</v>
      </c>
      <c r="N53" s="106" t="s">
        <v>6333</v>
      </c>
    </row>
    <row r="54" spans="4:14">
      <c r="D54" s="106" t="s">
        <v>6354</v>
      </c>
      <c r="E54" s="106" t="s">
        <v>6034</v>
      </c>
      <c r="G54" s="106" t="s">
        <v>6355</v>
      </c>
      <c r="H54" s="106" t="s">
        <v>6052</v>
      </c>
      <c r="J54" s="106" t="s">
        <v>6356</v>
      </c>
      <c r="K54" s="106" t="s">
        <v>6118</v>
      </c>
      <c r="M54" s="106" t="s">
        <v>6357</v>
      </c>
      <c r="N54" s="106" t="s">
        <v>6333</v>
      </c>
    </row>
    <row r="55" spans="4:14">
      <c r="D55" s="106" t="s">
        <v>6358</v>
      </c>
      <c r="E55" s="106" t="s">
        <v>6034</v>
      </c>
      <c r="G55" s="106" t="s">
        <v>6359</v>
      </c>
      <c r="H55" s="106" t="s">
        <v>6052</v>
      </c>
      <c r="J55" s="106" t="s">
        <v>6360</v>
      </c>
      <c r="K55" s="106" t="s">
        <v>6118</v>
      </c>
      <c r="M55" s="106" t="s">
        <v>6361</v>
      </c>
      <c r="N55" s="106" t="s">
        <v>6333</v>
      </c>
    </row>
    <row r="56" spans="4:14">
      <c r="D56" s="106" t="s">
        <v>6362</v>
      </c>
      <c r="E56" s="106" t="s">
        <v>6030</v>
      </c>
      <c r="G56" s="106" t="s">
        <v>6363</v>
      </c>
      <c r="H56" s="106" t="s">
        <v>6052</v>
      </c>
      <c r="J56" s="106" t="s">
        <v>6364</v>
      </c>
      <c r="K56" s="106" t="s">
        <v>6118</v>
      </c>
      <c r="M56" s="106" t="s">
        <v>6365</v>
      </c>
      <c r="N56" s="106" t="s">
        <v>6333</v>
      </c>
    </row>
    <row r="57" spans="4:14">
      <c r="D57" s="106" t="s">
        <v>6366</v>
      </c>
      <c r="E57" s="106" t="s">
        <v>6030</v>
      </c>
      <c r="G57" s="106" t="s">
        <v>6367</v>
      </c>
      <c r="H57" s="106" t="s">
        <v>6052</v>
      </c>
      <c r="J57" s="106" t="s">
        <v>6368</v>
      </c>
      <c r="K57" s="106" t="s">
        <v>6118</v>
      </c>
      <c r="M57" s="106" t="s">
        <v>6369</v>
      </c>
      <c r="N57" s="106" t="s">
        <v>6086</v>
      </c>
    </row>
    <row r="58" spans="4:14">
      <c r="D58" s="106" t="s">
        <v>4084</v>
      </c>
      <c r="E58" s="106" t="s">
        <v>6030</v>
      </c>
      <c r="G58" s="106" t="s">
        <v>6370</v>
      </c>
      <c r="H58" s="106" t="s">
        <v>6052</v>
      </c>
      <c r="J58" s="106" t="s">
        <v>6371</v>
      </c>
      <c r="K58" s="106" t="s">
        <v>6118</v>
      </c>
      <c r="M58" s="106" t="s">
        <v>6372</v>
      </c>
      <c r="N58" s="106" t="s">
        <v>6086</v>
      </c>
    </row>
    <row r="59" spans="4:14">
      <c r="D59" s="106" t="s">
        <v>6373</v>
      </c>
      <c r="E59" s="106" t="s">
        <v>6030</v>
      </c>
      <c r="G59" s="106" t="s">
        <v>6374</v>
      </c>
      <c r="H59" s="106" t="s">
        <v>6058</v>
      </c>
      <c r="J59" s="106" t="s">
        <v>6375</v>
      </c>
      <c r="K59" s="106" t="s">
        <v>6118</v>
      </c>
      <c r="M59" s="106" t="s">
        <v>6376</v>
      </c>
      <c r="N59" s="106" t="s">
        <v>6086</v>
      </c>
    </row>
    <row r="60" spans="4:14">
      <c r="D60" s="106" t="s">
        <v>4046</v>
      </c>
      <c r="E60" s="106" t="s">
        <v>6030</v>
      </c>
      <c r="G60" s="106" t="s">
        <v>6377</v>
      </c>
      <c r="H60" s="106" t="s">
        <v>6058</v>
      </c>
      <c r="J60" s="106" t="s">
        <v>6378</v>
      </c>
      <c r="K60" s="106" t="s">
        <v>6118</v>
      </c>
      <c r="M60" s="106" t="s">
        <v>6379</v>
      </c>
      <c r="N60" s="106" t="s">
        <v>6086</v>
      </c>
    </row>
    <row r="61" spans="4:14">
      <c r="D61" s="106" t="s">
        <v>6380</v>
      </c>
      <c r="E61" s="106" t="s">
        <v>6030</v>
      </c>
      <c r="G61" s="106" t="s">
        <v>6381</v>
      </c>
      <c r="H61" s="106" t="s">
        <v>6058</v>
      </c>
      <c r="J61" s="106" t="s">
        <v>6382</v>
      </c>
      <c r="K61" s="106" t="s">
        <v>6118</v>
      </c>
      <c r="M61" s="106" t="s">
        <v>6383</v>
      </c>
      <c r="N61" s="106" t="s">
        <v>6086</v>
      </c>
    </row>
    <row r="62" spans="4:14">
      <c r="D62" s="106" t="s">
        <v>6384</v>
      </c>
      <c r="E62" s="106" t="s">
        <v>6030</v>
      </c>
      <c r="G62" s="106" t="s">
        <v>6166</v>
      </c>
      <c r="H62" s="106" t="s">
        <v>6058</v>
      </c>
      <c r="J62" s="106" t="s">
        <v>6385</v>
      </c>
      <c r="K62" s="106" t="s">
        <v>6118</v>
      </c>
      <c r="M62" s="106" t="s">
        <v>6386</v>
      </c>
      <c r="N62" s="106" t="s">
        <v>6086</v>
      </c>
    </row>
    <row r="63" spans="4:14">
      <c r="D63" s="106" t="s">
        <v>6387</v>
      </c>
      <c r="E63" s="106" t="s">
        <v>6030</v>
      </c>
      <c r="G63" s="106" t="s">
        <v>6162</v>
      </c>
      <c r="H63" s="106" t="s">
        <v>6058</v>
      </c>
      <c r="J63" s="106" t="s">
        <v>6388</v>
      </c>
      <c r="K63" s="106" t="s">
        <v>6118</v>
      </c>
      <c r="M63" s="106" t="s">
        <v>6389</v>
      </c>
      <c r="N63" s="106" t="s">
        <v>6086</v>
      </c>
    </row>
    <row r="64" spans="4:14">
      <c r="D64" s="106" t="s">
        <v>6390</v>
      </c>
      <c r="E64" s="106" t="s">
        <v>6030</v>
      </c>
      <c r="G64" s="106" t="s">
        <v>6391</v>
      </c>
      <c r="H64" s="106" t="s">
        <v>6058</v>
      </c>
      <c r="J64" s="106" t="s">
        <v>6392</v>
      </c>
      <c r="K64" s="106" t="s">
        <v>6118</v>
      </c>
      <c r="M64" s="106" t="s">
        <v>6393</v>
      </c>
      <c r="N64" s="106" t="s">
        <v>6086</v>
      </c>
    </row>
    <row r="65" spans="4:14">
      <c r="D65" s="106" t="s">
        <v>5863</v>
      </c>
      <c r="E65" s="106" t="s">
        <v>6030</v>
      </c>
      <c r="G65" s="106" t="s">
        <v>6394</v>
      </c>
      <c r="H65" s="106" t="s">
        <v>6058</v>
      </c>
      <c r="J65" s="106" t="s">
        <v>6395</v>
      </c>
      <c r="K65" s="106" t="s">
        <v>6118</v>
      </c>
      <c r="M65" s="106" t="s">
        <v>6396</v>
      </c>
      <c r="N65" s="106" t="s">
        <v>6086</v>
      </c>
    </row>
    <row r="66" spans="4:14">
      <c r="D66" s="106" t="s">
        <v>6397</v>
      </c>
      <c r="E66" s="106" t="s">
        <v>6030</v>
      </c>
      <c r="G66" s="106" t="s">
        <v>6398</v>
      </c>
      <c r="H66" s="106" t="s">
        <v>6058</v>
      </c>
      <c r="J66" s="106" t="s">
        <v>6399</v>
      </c>
      <c r="K66" s="106" t="s">
        <v>6118</v>
      </c>
      <c r="M66" s="106" t="s">
        <v>6400</v>
      </c>
      <c r="N66" s="106" t="s">
        <v>6073</v>
      </c>
    </row>
    <row r="67" spans="4:14">
      <c r="D67" s="106" t="s">
        <v>6401</v>
      </c>
      <c r="E67" s="106" t="s">
        <v>6030</v>
      </c>
      <c r="G67" s="106" t="s">
        <v>2302</v>
      </c>
      <c r="H67" s="106" t="s">
        <v>6051</v>
      </c>
      <c r="J67" s="106" t="s">
        <v>6402</v>
      </c>
      <c r="K67" s="106" t="s">
        <v>6117</v>
      </c>
      <c r="M67" s="106" t="s">
        <v>6132</v>
      </c>
      <c r="N67" s="106" t="s">
        <v>6073</v>
      </c>
    </row>
    <row r="68" spans="4:14">
      <c r="D68" s="106" t="s">
        <v>6403</v>
      </c>
      <c r="E68" s="106" t="s">
        <v>6030</v>
      </c>
      <c r="G68" s="106" t="s">
        <v>6135</v>
      </c>
      <c r="H68" s="106" t="s">
        <v>6051</v>
      </c>
      <c r="J68" s="106" t="s">
        <v>6404</v>
      </c>
      <c r="K68" s="106" t="s">
        <v>6117</v>
      </c>
      <c r="M68" s="106" t="s">
        <v>6136</v>
      </c>
      <c r="N68" s="106" t="s">
        <v>6073</v>
      </c>
    </row>
    <row r="69" spans="4:14">
      <c r="D69" s="106" t="s">
        <v>6405</v>
      </c>
      <c r="E69" s="106" t="s">
        <v>6030</v>
      </c>
      <c r="G69" s="106" t="s">
        <v>6140</v>
      </c>
      <c r="H69" s="106" t="s">
        <v>6051</v>
      </c>
      <c r="J69" s="106" t="s">
        <v>6406</v>
      </c>
      <c r="K69" s="106" t="s">
        <v>6117</v>
      </c>
      <c r="M69" s="106" t="s">
        <v>6141</v>
      </c>
      <c r="N69" s="106" t="s">
        <v>6073</v>
      </c>
    </row>
    <row r="70" spans="4:14">
      <c r="D70" s="106" t="s">
        <v>6407</v>
      </c>
      <c r="E70" s="106" t="s">
        <v>6030</v>
      </c>
      <c r="G70" s="106" t="s">
        <v>6408</v>
      </c>
      <c r="H70" s="106" t="s">
        <v>6050</v>
      </c>
      <c r="J70" s="106" t="s">
        <v>6409</v>
      </c>
      <c r="K70" s="106" t="s">
        <v>6117</v>
      </c>
      <c r="M70" s="106" t="s">
        <v>6145</v>
      </c>
      <c r="N70" s="106" t="s">
        <v>6073</v>
      </c>
    </row>
    <row r="71" spans="4:14">
      <c r="D71" s="106" t="s">
        <v>6410</v>
      </c>
      <c r="E71" s="106" t="s">
        <v>6030</v>
      </c>
      <c r="G71" s="106" t="s">
        <v>6411</v>
      </c>
      <c r="H71" s="106" t="s">
        <v>6050</v>
      </c>
      <c r="J71" s="106" t="s">
        <v>5687</v>
      </c>
      <c r="K71" s="106" t="s">
        <v>6117</v>
      </c>
      <c r="M71" s="106" t="s">
        <v>6150</v>
      </c>
      <c r="N71" s="106" t="s">
        <v>6073</v>
      </c>
    </row>
    <row r="72" spans="4:14">
      <c r="D72" s="106" t="s">
        <v>6412</v>
      </c>
      <c r="E72" s="106" t="s">
        <v>6030</v>
      </c>
      <c r="G72" s="106" t="s">
        <v>6413</v>
      </c>
      <c r="H72" s="106" t="s">
        <v>6050</v>
      </c>
      <c r="J72" s="106" t="s">
        <v>6148</v>
      </c>
      <c r="K72" s="106" t="s">
        <v>6117</v>
      </c>
      <c r="M72" s="106" t="s">
        <v>6155</v>
      </c>
      <c r="N72" s="106" t="s">
        <v>6073</v>
      </c>
    </row>
    <row r="73" spans="4:14">
      <c r="D73" s="106" t="s">
        <v>6414</v>
      </c>
      <c r="E73" s="106" t="s">
        <v>6030</v>
      </c>
      <c r="G73" s="106" t="s">
        <v>6415</v>
      </c>
      <c r="H73" s="106" t="s">
        <v>6050</v>
      </c>
      <c r="J73" s="106" t="s">
        <v>6416</v>
      </c>
      <c r="K73" s="106" t="s">
        <v>6117</v>
      </c>
      <c r="M73" s="106" t="s">
        <v>6243</v>
      </c>
      <c r="N73" s="106" t="s">
        <v>6073</v>
      </c>
    </row>
    <row r="74" spans="4:14">
      <c r="D74" s="106" t="s">
        <v>6417</v>
      </c>
      <c r="E74" s="106" t="s">
        <v>6030</v>
      </c>
      <c r="G74" s="106" t="s">
        <v>3893</v>
      </c>
      <c r="H74" s="106" t="s">
        <v>6055</v>
      </c>
      <c r="J74" s="106" t="s">
        <v>6418</v>
      </c>
      <c r="K74" s="106" t="s">
        <v>6117</v>
      </c>
      <c r="M74" s="106" t="s">
        <v>6185</v>
      </c>
      <c r="N74" s="106" t="s">
        <v>6073</v>
      </c>
    </row>
    <row r="75" spans="4:14">
      <c r="D75" s="106" t="s">
        <v>6419</v>
      </c>
      <c r="E75" s="106" t="s">
        <v>6030</v>
      </c>
      <c r="G75" s="106" t="s">
        <v>6420</v>
      </c>
      <c r="H75" s="106" t="s">
        <v>6055</v>
      </c>
      <c r="J75" s="106" t="s">
        <v>6421</v>
      </c>
      <c r="K75" s="106" t="s">
        <v>6117</v>
      </c>
      <c r="M75" s="106" t="s">
        <v>6195</v>
      </c>
      <c r="N75" s="106" t="s">
        <v>6073</v>
      </c>
    </row>
    <row r="76" spans="4:14">
      <c r="D76" s="106" t="s">
        <v>6422</v>
      </c>
      <c r="E76" s="106" t="s">
        <v>6030</v>
      </c>
      <c r="J76" s="106" t="s">
        <v>6423</v>
      </c>
      <c r="K76" s="106" t="s">
        <v>6121</v>
      </c>
      <c r="M76" s="106" t="s">
        <v>6199</v>
      </c>
      <c r="N76" s="106" t="s">
        <v>6073</v>
      </c>
    </row>
    <row r="77" spans="4:14">
      <c r="D77" s="106" t="s">
        <v>6424</v>
      </c>
      <c r="E77" s="106" t="s">
        <v>6030</v>
      </c>
      <c r="J77" s="106" t="s">
        <v>6425</v>
      </c>
      <c r="K77" s="106" t="s">
        <v>6121</v>
      </c>
      <c r="M77" s="106" t="s">
        <v>6426</v>
      </c>
      <c r="N77" s="106" t="s">
        <v>6073</v>
      </c>
    </row>
    <row r="78" spans="4:14">
      <c r="D78" s="106" t="s">
        <v>6427</v>
      </c>
      <c r="E78" s="106" t="s">
        <v>6030</v>
      </c>
      <c r="J78" s="106" t="s">
        <v>6428</v>
      </c>
      <c r="K78" s="106" t="s">
        <v>6121</v>
      </c>
      <c r="M78" s="106" t="s">
        <v>6160</v>
      </c>
      <c r="N78" s="106" t="s">
        <v>6087</v>
      </c>
    </row>
    <row r="79" spans="4:14">
      <c r="D79" s="106" t="s">
        <v>6429</v>
      </c>
      <c r="E79" s="106" t="s">
        <v>6030</v>
      </c>
      <c r="J79" s="106" t="s">
        <v>6430</v>
      </c>
      <c r="K79" s="106" t="s">
        <v>6121</v>
      </c>
      <c r="M79" s="106" t="s">
        <v>6164</v>
      </c>
      <c r="N79" s="106" t="s">
        <v>6087</v>
      </c>
    </row>
    <row r="80" spans="4:14">
      <c r="D80" s="106" t="s">
        <v>6330</v>
      </c>
      <c r="E80" s="106" t="s">
        <v>6033</v>
      </c>
      <c r="J80" s="106" t="s">
        <v>6431</v>
      </c>
      <c r="K80" s="106" t="s">
        <v>6121</v>
      </c>
      <c r="M80" s="106" t="s">
        <v>6170</v>
      </c>
      <c r="N80" s="106" t="s">
        <v>6087</v>
      </c>
    </row>
    <row r="81" spans="4:14">
      <c r="D81" s="106" t="s">
        <v>6335</v>
      </c>
      <c r="E81" s="106" t="s">
        <v>6033</v>
      </c>
      <c r="J81" s="106" t="s">
        <v>6432</v>
      </c>
      <c r="K81" s="106" t="s">
        <v>6121</v>
      </c>
      <c r="M81" s="106" t="s">
        <v>6175</v>
      </c>
      <c r="N81" s="106" t="s">
        <v>6087</v>
      </c>
    </row>
    <row r="82" spans="4:14">
      <c r="D82" s="106" t="s">
        <v>6318</v>
      </c>
      <c r="E82" s="106" t="s">
        <v>6033</v>
      </c>
      <c r="J82" s="106" t="s">
        <v>6433</v>
      </c>
      <c r="K82" s="106" t="s">
        <v>6121</v>
      </c>
      <c r="M82" s="106" t="s">
        <v>6180</v>
      </c>
      <c r="N82" s="106" t="s">
        <v>6087</v>
      </c>
    </row>
    <row r="83" spans="4:14">
      <c r="D83" s="106" t="s">
        <v>6339</v>
      </c>
      <c r="E83" s="106" t="s">
        <v>6033</v>
      </c>
      <c r="J83" s="106" t="s">
        <v>6434</v>
      </c>
      <c r="K83" s="106" t="s">
        <v>6121</v>
      </c>
      <c r="M83" s="106" t="s">
        <v>6435</v>
      </c>
      <c r="N83" s="106" t="s">
        <v>6087</v>
      </c>
    </row>
    <row r="84" spans="4:14">
      <c r="D84" s="106" t="s">
        <v>6343</v>
      </c>
      <c r="E84" s="106" t="s">
        <v>6033</v>
      </c>
      <c r="J84" s="106" t="s">
        <v>6436</v>
      </c>
      <c r="K84" s="106" t="s">
        <v>6119</v>
      </c>
      <c r="M84" s="106" t="s">
        <v>6374</v>
      </c>
      <c r="N84" s="106" t="s">
        <v>6085</v>
      </c>
    </row>
    <row r="85" spans="4:14">
      <c r="D85" s="106" t="s">
        <v>6437</v>
      </c>
      <c r="E85" s="106" t="s">
        <v>6033</v>
      </c>
      <c r="J85" s="106" t="s">
        <v>6438</v>
      </c>
      <c r="K85" s="106" t="s">
        <v>6119</v>
      </c>
      <c r="M85" s="106" t="s">
        <v>6394</v>
      </c>
      <c r="N85" s="106" t="s">
        <v>6085</v>
      </c>
    </row>
    <row r="86" spans="4:14">
      <c r="D86" s="106" t="s">
        <v>6439</v>
      </c>
      <c r="E86" s="106" t="s">
        <v>6033</v>
      </c>
      <c r="J86" s="106" t="s">
        <v>6440</v>
      </c>
      <c r="K86" s="106" t="s">
        <v>6119</v>
      </c>
      <c r="M86" s="106" t="s">
        <v>6441</v>
      </c>
      <c r="N86" s="106" t="s">
        <v>6085</v>
      </c>
    </row>
    <row r="87" spans="4:14">
      <c r="D87" s="106" t="s">
        <v>6442</v>
      </c>
      <c r="E87" s="106" t="s">
        <v>6033</v>
      </c>
      <c r="J87" s="106" t="s">
        <v>6443</v>
      </c>
      <c r="K87" s="106" t="s">
        <v>6119</v>
      </c>
      <c r="M87" s="106" t="s">
        <v>6444</v>
      </c>
      <c r="N87" s="106" t="s">
        <v>6085</v>
      </c>
    </row>
    <row r="88" spans="4:14">
      <c r="D88" s="106" t="s">
        <v>6445</v>
      </c>
      <c r="E88" s="106" t="s">
        <v>6033</v>
      </c>
      <c r="J88" s="106" t="s">
        <v>6446</v>
      </c>
      <c r="K88" s="106" t="s">
        <v>6119</v>
      </c>
      <c r="M88" s="106" t="s">
        <v>6391</v>
      </c>
      <c r="N88" s="106" t="s">
        <v>6085</v>
      </c>
    </row>
    <row r="89" spans="4:14">
      <c r="D89" s="106" t="s">
        <v>6447</v>
      </c>
      <c r="E89" s="106" t="s">
        <v>6033</v>
      </c>
      <c r="J89" s="106" t="s">
        <v>6448</v>
      </c>
      <c r="K89" s="106" t="s">
        <v>6119</v>
      </c>
      <c r="M89" s="106" t="s">
        <v>6381</v>
      </c>
      <c r="N89" s="106" t="s">
        <v>6085</v>
      </c>
    </row>
    <row r="90" spans="4:14">
      <c r="D90" s="106" t="s">
        <v>6449</v>
      </c>
      <c r="E90" s="106" t="s">
        <v>6033</v>
      </c>
      <c r="J90" s="106" t="s">
        <v>6450</v>
      </c>
      <c r="K90" s="106" t="s">
        <v>6119</v>
      </c>
      <c r="M90" s="106" t="s">
        <v>6451</v>
      </c>
      <c r="N90" s="106" t="s">
        <v>6085</v>
      </c>
    </row>
    <row r="91" spans="4:14">
      <c r="D91" s="106" t="s">
        <v>6452</v>
      </c>
      <c r="E91" s="106" t="s">
        <v>6033</v>
      </c>
      <c r="J91" s="106" t="s">
        <v>3613</v>
      </c>
      <c r="K91" s="106" t="s">
        <v>6119</v>
      </c>
      <c r="M91" s="106" t="s">
        <v>6398</v>
      </c>
      <c r="N91" s="106" t="s">
        <v>6085</v>
      </c>
    </row>
    <row r="92" spans="4:14">
      <c r="D92" s="106" t="s">
        <v>6355</v>
      </c>
      <c r="E92" s="106" t="s">
        <v>6033</v>
      </c>
      <c r="J92" s="106" t="s">
        <v>6453</v>
      </c>
      <c r="K92" s="106" t="s">
        <v>6119</v>
      </c>
      <c r="M92" s="106" t="s">
        <v>6454</v>
      </c>
      <c r="N92" s="106" t="s">
        <v>6085</v>
      </c>
    </row>
    <row r="93" spans="4:14">
      <c r="D93" s="106" t="s">
        <v>6359</v>
      </c>
      <c r="E93" s="106" t="s">
        <v>6033</v>
      </c>
      <c r="J93" s="106" t="s">
        <v>6207</v>
      </c>
      <c r="K93" s="106" t="s">
        <v>6119</v>
      </c>
      <c r="M93" s="106" t="s">
        <v>6377</v>
      </c>
      <c r="N93" s="106" t="s">
        <v>6085</v>
      </c>
    </row>
    <row r="94" spans="4:14">
      <c r="D94" s="106" t="s">
        <v>6363</v>
      </c>
      <c r="E94" s="106" t="s">
        <v>6033</v>
      </c>
      <c r="J94" s="106" t="s">
        <v>6455</v>
      </c>
      <c r="K94" s="106" t="s">
        <v>6119</v>
      </c>
      <c r="M94" s="106" t="s">
        <v>3893</v>
      </c>
      <c r="N94" s="106" t="s">
        <v>6080</v>
      </c>
    </row>
    <row r="95" spans="4:14">
      <c r="D95" s="106" t="s">
        <v>6456</v>
      </c>
      <c r="E95" s="106" t="s">
        <v>6033</v>
      </c>
      <c r="J95" s="106" t="s">
        <v>6457</v>
      </c>
      <c r="K95" s="106" t="s">
        <v>6119</v>
      </c>
      <c r="M95" s="106" t="s">
        <v>6458</v>
      </c>
      <c r="N95" s="106" t="s">
        <v>6080</v>
      </c>
    </row>
    <row r="96" spans="4:14">
      <c r="D96" s="106" t="s">
        <v>6255</v>
      </c>
      <c r="E96" s="106" t="s">
        <v>6033</v>
      </c>
      <c r="J96" s="106" t="s">
        <v>6459</v>
      </c>
      <c r="K96" s="106" t="s">
        <v>6119</v>
      </c>
      <c r="M96" s="106" t="s">
        <v>6460</v>
      </c>
      <c r="N96" s="106" t="s">
        <v>6079</v>
      </c>
    </row>
    <row r="97" spans="4:14">
      <c r="D97" s="106" t="s">
        <v>6461</v>
      </c>
      <c r="E97" s="106" t="s">
        <v>6033</v>
      </c>
      <c r="J97" s="106" t="s">
        <v>6462</v>
      </c>
      <c r="K97" s="106" t="s">
        <v>6119</v>
      </c>
      <c r="M97" s="106" t="s">
        <v>6208</v>
      </c>
      <c r="N97" s="106" t="s">
        <v>6079</v>
      </c>
    </row>
    <row r="98" spans="4:14">
      <c r="D98" s="106" t="s">
        <v>6463</v>
      </c>
      <c r="E98" s="106" t="s">
        <v>6033</v>
      </c>
      <c r="J98" s="106" t="s">
        <v>6464</v>
      </c>
      <c r="K98" s="106" t="s">
        <v>6119</v>
      </c>
      <c r="M98" s="106" t="s">
        <v>6257</v>
      </c>
      <c r="N98" s="106" t="s">
        <v>6079</v>
      </c>
    </row>
    <row r="99" spans="4:14">
      <c r="D99" s="106" t="s">
        <v>6465</v>
      </c>
      <c r="E99" s="106" t="s">
        <v>6033</v>
      </c>
      <c r="J99" s="106" t="s">
        <v>6466</v>
      </c>
      <c r="K99" s="106" t="s">
        <v>6120</v>
      </c>
      <c r="M99" s="106" t="s">
        <v>6228</v>
      </c>
      <c r="N99" s="106" t="s">
        <v>6079</v>
      </c>
    </row>
    <row r="100" spans="4:14">
      <c r="D100" s="106" t="s">
        <v>6467</v>
      </c>
      <c r="E100" s="106" t="s">
        <v>6033</v>
      </c>
      <c r="J100" s="106" t="s">
        <v>6468</v>
      </c>
      <c r="K100" s="106" t="s">
        <v>6120</v>
      </c>
      <c r="M100" s="106" t="s">
        <v>6233</v>
      </c>
      <c r="N100" s="106" t="s">
        <v>6079</v>
      </c>
    </row>
    <row r="101" spans="4:14">
      <c r="D101" s="106" t="s">
        <v>6469</v>
      </c>
      <c r="E101" s="106" t="s">
        <v>6033</v>
      </c>
      <c r="J101" s="106" t="s">
        <v>6470</v>
      </c>
      <c r="K101" s="106" t="s">
        <v>6120</v>
      </c>
      <c r="M101" s="106" t="s">
        <v>6213</v>
      </c>
      <c r="N101" s="106" t="s">
        <v>6079</v>
      </c>
    </row>
    <row r="102" spans="4:14">
      <c r="D102" s="106" t="s">
        <v>6326</v>
      </c>
      <c r="E102" s="106" t="s">
        <v>6033</v>
      </c>
      <c r="J102" s="106" t="s">
        <v>6471</v>
      </c>
      <c r="K102" s="106" t="s">
        <v>6120</v>
      </c>
      <c r="M102" s="106" t="s">
        <v>6218</v>
      </c>
      <c r="N102" s="106" t="s">
        <v>6079</v>
      </c>
    </row>
    <row r="103" spans="4:14">
      <c r="D103" s="106" t="s">
        <v>6322</v>
      </c>
      <c r="E103" s="106" t="s">
        <v>6033</v>
      </c>
      <c r="J103" s="106" t="s">
        <v>6472</v>
      </c>
      <c r="K103" s="106" t="s">
        <v>6120</v>
      </c>
      <c r="M103" s="106" t="s">
        <v>6223</v>
      </c>
      <c r="N103" s="106" t="s">
        <v>6079</v>
      </c>
    </row>
    <row r="104" spans="4:14">
      <c r="D104" s="106" t="s">
        <v>6473</v>
      </c>
      <c r="E104" s="106" t="s">
        <v>6033</v>
      </c>
      <c r="J104" s="106" t="s">
        <v>6474</v>
      </c>
      <c r="K104" s="106" t="s">
        <v>6120</v>
      </c>
      <c r="M104" s="106" t="s">
        <v>6262</v>
      </c>
      <c r="N104" s="106" t="s">
        <v>6079</v>
      </c>
    </row>
    <row r="105" spans="4:14">
      <c r="D105" s="106" t="s">
        <v>6370</v>
      </c>
      <c r="E105" s="106" t="s">
        <v>6033</v>
      </c>
      <c r="J105" s="106" t="s">
        <v>6475</v>
      </c>
      <c r="K105" s="106" t="s">
        <v>6120</v>
      </c>
      <c r="M105" s="106" t="s">
        <v>6238</v>
      </c>
      <c r="N105" s="106" t="s">
        <v>6079</v>
      </c>
    </row>
    <row r="106" spans="4:14">
      <c r="D106" s="106" t="s">
        <v>6367</v>
      </c>
      <c r="E106" s="106" t="s">
        <v>6033</v>
      </c>
      <c r="J106" s="106" t="s">
        <v>6476</v>
      </c>
      <c r="K106" s="106" t="s">
        <v>6120</v>
      </c>
      <c r="M106" s="106" t="s">
        <v>6203</v>
      </c>
      <c r="N106" s="106" t="s">
        <v>6074</v>
      </c>
    </row>
    <row r="107" spans="4:14">
      <c r="D107" s="106" t="s">
        <v>6477</v>
      </c>
      <c r="E107" s="106" t="s">
        <v>6033</v>
      </c>
      <c r="J107" s="106" t="s">
        <v>6478</v>
      </c>
      <c r="K107" s="106" t="s">
        <v>6120</v>
      </c>
      <c r="M107" s="106" t="s">
        <v>6479</v>
      </c>
      <c r="N107" s="106" t="s">
        <v>6074</v>
      </c>
    </row>
    <row r="108" spans="4:14">
      <c r="D108" s="106" t="s">
        <v>6203</v>
      </c>
      <c r="E108" s="106" t="s">
        <v>6029</v>
      </c>
      <c r="J108" s="106" t="s">
        <v>6480</v>
      </c>
      <c r="K108" s="106" t="s">
        <v>6120</v>
      </c>
      <c r="M108" s="106" t="s">
        <v>6481</v>
      </c>
      <c r="N108" s="106" t="s">
        <v>6074</v>
      </c>
    </row>
    <row r="109" spans="4:14">
      <c r="D109" s="106" t="s">
        <v>6482</v>
      </c>
      <c r="E109" s="106" t="s">
        <v>6029</v>
      </c>
      <c r="J109" s="106" t="s">
        <v>6483</v>
      </c>
      <c r="K109" s="106" t="s">
        <v>6120</v>
      </c>
      <c r="M109" s="106" t="s">
        <v>6484</v>
      </c>
      <c r="N109" s="106" t="s">
        <v>6074</v>
      </c>
    </row>
    <row r="110" spans="4:14">
      <c r="D110" s="106" t="s">
        <v>4301</v>
      </c>
      <c r="E110" s="106" t="s">
        <v>6029</v>
      </c>
      <c r="J110" s="106" t="s">
        <v>6485</v>
      </c>
      <c r="K110" s="106" t="s">
        <v>6120</v>
      </c>
      <c r="M110" s="106" t="s">
        <v>6486</v>
      </c>
      <c r="N110" s="106" t="s">
        <v>6074</v>
      </c>
    </row>
    <row r="111" spans="4:14">
      <c r="D111" s="106" t="s">
        <v>6487</v>
      </c>
      <c r="E111" s="106" t="s">
        <v>6029</v>
      </c>
      <c r="J111" s="106" t="s">
        <v>6488</v>
      </c>
      <c r="K111" s="106" t="s">
        <v>6120</v>
      </c>
      <c r="M111" s="106" t="s">
        <v>6489</v>
      </c>
      <c r="N111" s="106" t="s">
        <v>6074</v>
      </c>
    </row>
    <row r="112" spans="4:14">
      <c r="D112" s="106" t="s">
        <v>6490</v>
      </c>
      <c r="E112" s="106" t="s">
        <v>6029</v>
      </c>
      <c r="J112" s="106" t="s">
        <v>6491</v>
      </c>
      <c r="K112" s="106" t="s">
        <v>6120</v>
      </c>
    </row>
    <row r="113" spans="4:11">
      <c r="D113" s="106" t="s">
        <v>6492</v>
      </c>
      <c r="E113" s="106" t="s">
        <v>6029</v>
      </c>
      <c r="J113" s="106" t="s">
        <v>3001</v>
      </c>
      <c r="K113" s="106" t="s">
        <v>1045</v>
      </c>
    </row>
    <row r="114" spans="4:11">
      <c r="D114" s="106" t="s">
        <v>6493</v>
      </c>
      <c r="E114" s="106" t="s">
        <v>6029</v>
      </c>
      <c r="J114" s="106" t="s">
        <v>6494</v>
      </c>
      <c r="K114" s="106" t="s">
        <v>1045</v>
      </c>
    </row>
    <row r="115" spans="4:11">
      <c r="D115" s="106" t="s">
        <v>6495</v>
      </c>
      <c r="E115" s="106" t="s">
        <v>6029</v>
      </c>
      <c r="J115" s="106" t="s">
        <v>6496</v>
      </c>
      <c r="K115" s="106" t="s">
        <v>1045</v>
      </c>
    </row>
    <row r="116" spans="4:11">
      <c r="D116" s="106" t="s">
        <v>6497</v>
      </c>
      <c r="E116" s="106" t="s">
        <v>6029</v>
      </c>
      <c r="J116" s="106" t="s">
        <v>6498</v>
      </c>
      <c r="K116" s="106" t="s">
        <v>1045</v>
      </c>
    </row>
    <row r="117" spans="4:11">
      <c r="D117" s="106" t="s">
        <v>6499</v>
      </c>
      <c r="E117" s="106" t="s">
        <v>6029</v>
      </c>
      <c r="J117" s="106" t="s">
        <v>6500</v>
      </c>
      <c r="K117" s="106" t="s">
        <v>1045</v>
      </c>
    </row>
    <row r="118" spans="4:11">
      <c r="D118" s="106" t="s">
        <v>6501</v>
      </c>
      <c r="E118" s="106" t="s">
        <v>6029</v>
      </c>
      <c r="J118" s="106" t="s">
        <v>6502</v>
      </c>
      <c r="K118" s="106" t="s">
        <v>1045</v>
      </c>
    </row>
    <row r="119" spans="4:11">
      <c r="D119" s="106" t="s">
        <v>6208</v>
      </c>
      <c r="E119" s="106" t="s">
        <v>6029</v>
      </c>
    </row>
    <row r="120" spans="4:11">
      <c r="D120" s="106" t="s">
        <v>6503</v>
      </c>
      <c r="E120" s="106" t="s">
        <v>6029</v>
      </c>
    </row>
    <row r="121" spans="4:11">
      <c r="D121" s="106" t="s">
        <v>6504</v>
      </c>
      <c r="E121" s="106" t="s">
        <v>6029</v>
      </c>
    </row>
    <row r="122" spans="4:11">
      <c r="D122" s="106" t="s">
        <v>6505</v>
      </c>
      <c r="E122" s="106" t="s">
        <v>6029</v>
      </c>
    </row>
    <row r="123" spans="4:11">
      <c r="D123" s="106" t="s">
        <v>5936</v>
      </c>
      <c r="E123" s="106" t="s">
        <v>6029</v>
      </c>
    </row>
    <row r="124" spans="4:11">
      <c r="D124" s="106" t="s">
        <v>6506</v>
      </c>
      <c r="E124" s="106" t="s">
        <v>6029</v>
      </c>
    </row>
    <row r="125" spans="4:11">
      <c r="D125" s="106" t="s">
        <v>6507</v>
      </c>
      <c r="E125" s="106" t="s">
        <v>6029</v>
      </c>
    </row>
    <row r="126" spans="4:11">
      <c r="D126" s="106" t="s">
        <v>6508</v>
      </c>
      <c r="E126" s="106" t="s">
        <v>6029</v>
      </c>
    </row>
    <row r="127" spans="4:11">
      <c r="D127" s="106" t="s">
        <v>6238</v>
      </c>
      <c r="E127" s="106" t="s">
        <v>6029</v>
      </c>
    </row>
    <row r="128" spans="4:11">
      <c r="D128" s="106" t="s">
        <v>6248</v>
      </c>
      <c r="E128" s="106" t="s">
        <v>6029</v>
      </c>
    </row>
    <row r="129" spans="4:5">
      <c r="D129" s="106" t="s">
        <v>6509</v>
      </c>
      <c r="E129" s="106" t="s">
        <v>6029</v>
      </c>
    </row>
    <row r="130" spans="4:5">
      <c r="D130" s="106" t="s">
        <v>6510</v>
      </c>
      <c r="E130" s="106" t="s">
        <v>6029</v>
      </c>
    </row>
    <row r="131" spans="4:5">
      <c r="D131" s="106" t="s">
        <v>6511</v>
      </c>
      <c r="E131" s="106" t="s">
        <v>6029</v>
      </c>
    </row>
    <row r="132" spans="4:5">
      <c r="D132" s="106" t="s">
        <v>6512</v>
      </c>
      <c r="E132" s="106" t="s">
        <v>6029</v>
      </c>
    </row>
    <row r="133" spans="4:5">
      <c r="D133" s="106" t="s">
        <v>6513</v>
      </c>
      <c r="E133" s="106" t="s">
        <v>6029</v>
      </c>
    </row>
    <row r="134" spans="4:5">
      <c r="D134" s="106" t="s">
        <v>6514</v>
      </c>
      <c r="E134" s="106" t="s">
        <v>6029</v>
      </c>
    </row>
    <row r="135" spans="4:5">
      <c r="D135" s="106" t="s">
        <v>6515</v>
      </c>
      <c r="E135" s="106" t="s">
        <v>6029</v>
      </c>
    </row>
    <row r="136" spans="4:5">
      <c r="D136" s="106" t="s">
        <v>6516</v>
      </c>
      <c r="E136" s="106" t="s">
        <v>6029</v>
      </c>
    </row>
    <row r="137" spans="4:5">
      <c r="D137" s="106" t="s">
        <v>6517</v>
      </c>
      <c r="E137" s="106" t="s">
        <v>6029</v>
      </c>
    </row>
    <row r="138" spans="4:5">
      <c r="D138" s="106" t="s">
        <v>6518</v>
      </c>
      <c r="E138" s="106" t="s">
        <v>6029</v>
      </c>
    </row>
    <row r="139" spans="4:5">
      <c r="D139" s="106" t="s">
        <v>6519</v>
      </c>
      <c r="E139" s="106" t="s">
        <v>6029</v>
      </c>
    </row>
    <row r="140" spans="4:5">
      <c r="D140" s="106" t="s">
        <v>6520</v>
      </c>
      <c r="E140" s="106" t="s">
        <v>6029</v>
      </c>
    </row>
    <row r="141" spans="4:5">
      <c r="D141" s="106" t="s">
        <v>6521</v>
      </c>
      <c r="E141" s="106" t="s">
        <v>6029</v>
      </c>
    </row>
    <row r="142" spans="4:5">
      <c r="D142" s="106" t="s">
        <v>6284</v>
      </c>
      <c r="E142" s="106" t="s">
        <v>6029</v>
      </c>
    </row>
    <row r="143" spans="4:5">
      <c r="D143" s="106" t="s">
        <v>6288</v>
      </c>
      <c r="E143" s="106" t="s">
        <v>6029</v>
      </c>
    </row>
    <row r="144" spans="4:5">
      <c r="D144" s="106" t="s">
        <v>6296</v>
      </c>
      <c r="E144" s="106" t="s">
        <v>6029</v>
      </c>
    </row>
    <row r="145" spans="4:5">
      <c r="D145" s="106" t="s">
        <v>6257</v>
      </c>
      <c r="E145" s="106" t="s">
        <v>6029</v>
      </c>
    </row>
    <row r="146" spans="4:5">
      <c r="D146" s="106" t="s">
        <v>6253</v>
      </c>
      <c r="E146" s="106" t="s">
        <v>6029</v>
      </c>
    </row>
    <row r="147" spans="4:5">
      <c r="D147" s="106" t="s">
        <v>6408</v>
      </c>
      <c r="E147" s="106" t="s">
        <v>6035</v>
      </c>
    </row>
    <row r="148" spans="4:5">
      <c r="D148" s="106" t="s">
        <v>6411</v>
      </c>
      <c r="E148" s="106" t="s">
        <v>6035</v>
      </c>
    </row>
    <row r="149" spans="4:5">
      <c r="D149" s="106" t="s">
        <v>6413</v>
      </c>
      <c r="E149" s="106" t="s">
        <v>6035</v>
      </c>
    </row>
    <row r="150" spans="4:5">
      <c r="D150" s="106" t="s">
        <v>6415</v>
      </c>
      <c r="E150" s="106" t="s">
        <v>6035</v>
      </c>
    </row>
    <row r="151" spans="4:5">
      <c r="D151" s="106" t="s">
        <v>6522</v>
      </c>
      <c r="E151" s="106" t="s">
        <v>6035</v>
      </c>
    </row>
    <row r="152" spans="4:5">
      <c r="D152" s="106" t="s">
        <v>6347</v>
      </c>
      <c r="E152" s="106" t="s">
        <v>6035</v>
      </c>
    </row>
    <row r="153" spans="4:5">
      <c r="D153" s="106" t="s">
        <v>6351</v>
      </c>
      <c r="E153" s="106" t="s">
        <v>6035</v>
      </c>
    </row>
    <row r="154" spans="4:5">
      <c r="D154" s="106" t="s">
        <v>3893</v>
      </c>
      <c r="E154" s="106" t="s">
        <v>6036</v>
      </c>
    </row>
    <row r="155" spans="4:5">
      <c r="D155" s="106" t="s">
        <v>6420</v>
      </c>
      <c r="E155" s="106" t="s">
        <v>6036</v>
      </c>
    </row>
    <row r="156" spans="4:5">
      <c r="D156" s="106" t="s">
        <v>6523</v>
      </c>
      <c r="E156" s="106" t="s">
        <v>6032</v>
      </c>
    </row>
    <row r="157" spans="4:5">
      <c r="D157" s="106" t="s">
        <v>6524</v>
      </c>
      <c r="E157" s="106" t="s">
        <v>6032</v>
      </c>
    </row>
    <row r="158" spans="4:5">
      <c r="D158" s="106" t="s">
        <v>6525</v>
      </c>
      <c r="E158" s="106" t="s">
        <v>6033</v>
      </c>
    </row>
    <row r="159" spans="4:5">
      <c r="D159" s="106" t="s">
        <v>6526</v>
      </c>
      <c r="E159" s="106" t="s">
        <v>6033</v>
      </c>
    </row>
    <row r="160" spans="4:5">
      <c r="D160" s="106" t="s">
        <v>6527</v>
      </c>
      <c r="E160" s="106" t="s">
        <v>6029</v>
      </c>
    </row>
    <row r="161" spans="4:5">
      <c r="D161" s="106" t="s">
        <v>6528</v>
      </c>
      <c r="E161" s="106" t="s">
        <v>6029</v>
      </c>
    </row>
    <row r="162" spans="4:5">
      <c r="D162" s="106" t="s">
        <v>6529</v>
      </c>
      <c r="E162" s="106" t="s">
        <v>6030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Panduan Penggunaan</vt:lpstr>
      <vt:lpstr>Proses Bisnis</vt:lpstr>
      <vt:lpstr>Master Pustaka Risiko</vt:lpstr>
      <vt:lpstr>Sheet1</vt:lpstr>
      <vt:lpstr>data</vt:lpstr>
      <vt:lpstr>Risk Register 2026</vt:lpstr>
      <vt:lpstr>RR IANA</vt:lpstr>
      <vt:lpstr>RR CC</vt:lpstr>
      <vt:lpstr>RR Idha</vt:lpstr>
      <vt:lpstr>RR Dml</vt:lpstr>
      <vt:lpstr>Matriks Risiko UPG KPK 5x5</vt:lpstr>
      <vt:lpstr>Kriteria Penilaian</vt:lpstr>
      <vt:lpstr>Matriks Risiko 5x5 MA RI</vt:lpstr>
      <vt:lpstr>Kategori Risiko</vt:lpstr>
      <vt:lpstr>Control Library</vt:lpstr>
      <vt:lpstr>Contoh Pengisian</vt:lpstr>
      <vt:lpstr>Worksheet (GOL)</vt:lpstr>
      <vt:lpstr>Analisis Gratifikasi</vt:lpstr>
      <vt:lpstr>Kamus</vt:lpstr>
      <vt:lpstr>data!description_level_risiko</vt:lpstr>
      <vt:lpstr>data!id_level_risiko</vt:lpstr>
      <vt:lpstr>data!lower_limit_level_risiko</vt:lpstr>
      <vt:lpstr>data!upper_limit_level_risiko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Ricky Pramoedya</cp:lastModifiedBy>
  <cp:revision>0</cp:revision>
  <dcterms:created xsi:type="dcterms:W3CDTF">2025-11-06T04:45:27Z</dcterms:created>
  <dcterms:modified xsi:type="dcterms:W3CDTF">2026-09-07T10:24:20Z</dcterms:modified>
  <cp:category/>
  <cp:contentStatus/>
</cp:coreProperties>
</file>