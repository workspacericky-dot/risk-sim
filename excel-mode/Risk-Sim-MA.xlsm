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filterPrivacy="1"/>
  <xr:revisionPtr revIDLastSave="0" documentId="13_ncr:1_{AC272281-CEBB-4F3C-BF3A-F18737727CA1}" xr6:coauthVersionLast="47" xr6:coauthVersionMax="47" xr10:uidLastSave="{00000000-0000-0000-0000-000000000000}"/>
  <bookViews>
    <workbookView xWindow="-108" yWindow="-108" windowWidth="23256" windowHeight="12816" firstSheet="4" activeTab="10" xr2:uid="{00000000-000D-0000-FFFF-FFFF00000000}"/>
  </bookViews>
  <sheets>
    <sheet name="COVER" sheetId="1" r:id="rId1"/>
    <sheet name="MASTER" sheetId="2" r:id="rId2"/>
    <sheet name="KONTEKS" sheetId="3" r:id="rId3"/>
    <sheet name="SELERA_RISIKO" sheetId="4" r:id="rId4"/>
    <sheet name="IDENTIFIKASI" sheetId="5" r:id="rId5"/>
    <sheet name="PENYEBAB" sheetId="6" r:id="rId6"/>
    <sheet name="ANALISIS" sheetId="7" r:id="rId7"/>
    <sheet name="EVALUASI" sheetId="8" r:id="rId8"/>
    <sheet name="EVAL_PENG" sheetId="9" r:id="rId9"/>
    <sheet name="RTP" sheetId="11" r:id="rId10"/>
    <sheet name="LAPORAN" sheetId="13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3" i="9" l="1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4" i="9"/>
  <c r="P52" i="7" a="1"/>
  <c r="P52" i="7" s="1"/>
  <c r="Q52" i="7" s="1"/>
  <c r="P51" i="7" a="1"/>
  <c r="P51" i="7" s="1"/>
  <c r="Q51" i="7" s="1"/>
  <c r="P50" i="7" a="1"/>
  <c r="P50" i="7" s="1"/>
  <c r="Q50" i="7" s="1"/>
  <c r="P49" i="7" a="1"/>
  <c r="P49" i="7" s="1"/>
  <c r="Q49" i="7" s="1"/>
  <c r="P48" i="7" a="1"/>
  <c r="P48" i="7" s="1"/>
  <c r="Q48" i="7" s="1"/>
  <c r="R48" i="7" s="1"/>
  <c r="P47" i="7"/>
  <c r="Q47" i="7" s="1"/>
  <c r="P47" i="7" a="1"/>
  <c r="P46" i="7" a="1"/>
  <c r="P46" i="7" s="1"/>
  <c r="Q46" i="7" s="1"/>
  <c r="P45" i="7" a="1"/>
  <c r="P45" i="7" s="1"/>
  <c r="Q45" i="7" s="1"/>
  <c r="P44" i="7" a="1"/>
  <c r="P44" i="7" s="1"/>
  <c r="Q44" i="7" s="1"/>
  <c r="P43" i="7" a="1"/>
  <c r="P43" i="7" s="1"/>
  <c r="Q43" i="7" s="1"/>
  <c r="P42" i="7" a="1"/>
  <c r="P42" i="7" s="1"/>
  <c r="Q42" i="7" s="1"/>
  <c r="R42" i="7" s="1"/>
  <c r="P41" i="7"/>
  <c r="Q41" i="7" s="1"/>
  <c r="P41" i="7" a="1"/>
  <c r="P40" i="7" a="1"/>
  <c r="P40" i="7" s="1"/>
  <c r="Q40" i="7" s="1"/>
  <c r="P39" i="7" a="1"/>
  <c r="P39" i="7" s="1"/>
  <c r="Q39" i="7" s="1"/>
  <c r="P38" i="7" a="1"/>
  <c r="P38" i="7" s="1"/>
  <c r="Q38" i="7" s="1"/>
  <c r="P37" i="7" a="1"/>
  <c r="P37" i="7" s="1"/>
  <c r="Q37" i="7" s="1"/>
  <c r="P36" i="7" a="1"/>
  <c r="P36" i="7" s="1"/>
  <c r="Q36" i="7" s="1"/>
  <c r="R36" i="7" s="1"/>
  <c r="P35" i="7"/>
  <c r="Q35" i="7" s="1"/>
  <c r="P35" i="7" a="1"/>
  <c r="P34" i="7" a="1"/>
  <c r="P34" i="7" s="1"/>
  <c r="Q34" i="7" s="1"/>
  <c r="P33" i="7" a="1"/>
  <c r="P33" i="7" s="1"/>
  <c r="Q33" i="7" s="1"/>
  <c r="P32" i="7" a="1"/>
  <c r="P32" i="7" s="1"/>
  <c r="Q32" i="7" s="1"/>
  <c r="P31" i="7" a="1"/>
  <c r="P31" i="7" s="1"/>
  <c r="Q31" i="7" s="1"/>
  <c r="P30" i="7" a="1"/>
  <c r="P30" i="7" s="1"/>
  <c r="Q30" i="7" s="1"/>
  <c r="R30" i="7" s="1"/>
  <c r="P29" i="7"/>
  <c r="Q29" i="7" s="1"/>
  <c r="P29" i="7" a="1"/>
  <c r="P28" i="7" a="1"/>
  <c r="P28" i="7" s="1"/>
  <c r="Q28" i="7" s="1"/>
  <c r="P27" i="7" a="1"/>
  <c r="P27" i="7" s="1"/>
  <c r="Q27" i="7" s="1"/>
  <c r="P26" i="7" a="1"/>
  <c r="P26" i="7" s="1"/>
  <c r="Q26" i="7" s="1"/>
  <c r="P25" i="7" a="1"/>
  <c r="P25" i="7" s="1"/>
  <c r="Q25" i="7" s="1"/>
  <c r="P24" i="7" a="1"/>
  <c r="P24" i="7" s="1"/>
  <c r="Q24" i="7" s="1"/>
  <c r="R24" i="7" s="1"/>
  <c r="P23" i="7"/>
  <c r="Q23" i="7" s="1"/>
  <c r="P23" i="7" a="1"/>
  <c r="P22" i="7" a="1"/>
  <c r="P22" i="7" s="1"/>
  <c r="Q22" i="7" s="1"/>
  <c r="P21" i="7" a="1"/>
  <c r="P21" i="7" s="1"/>
  <c r="Q21" i="7" s="1"/>
  <c r="P20" i="7" a="1"/>
  <c r="P20" i="7" s="1"/>
  <c r="Q20" i="7" s="1"/>
  <c r="P19" i="7" a="1"/>
  <c r="P19" i="7" s="1"/>
  <c r="Q19" i="7" s="1"/>
  <c r="R19" i="7" s="1"/>
  <c r="P18" i="7" a="1"/>
  <c r="P18" i="7" s="1"/>
  <c r="Q18" i="7" s="1"/>
  <c r="R18" i="7" s="1"/>
  <c r="P17" i="7"/>
  <c r="Q17" i="7" s="1"/>
  <c r="P17" i="7" a="1"/>
  <c r="P16" i="7" a="1"/>
  <c r="P16" i="7" s="1"/>
  <c r="Q16" i="7" s="1"/>
  <c r="P15" i="7" a="1"/>
  <c r="P15" i="7" s="1"/>
  <c r="Q15" i="7" s="1"/>
  <c r="P14" i="7" a="1"/>
  <c r="P14" i="7" s="1"/>
  <c r="Q14" i="7" s="1"/>
  <c r="P13" i="7" a="1"/>
  <c r="P13" i="7" s="1"/>
  <c r="Q13" i="7" s="1"/>
  <c r="P12" i="7" a="1"/>
  <c r="P12" i="7" s="1"/>
  <c r="Q12" i="7" s="1"/>
  <c r="R12" i="7" s="1"/>
  <c r="P11" i="7"/>
  <c r="Q11" i="7" s="1"/>
  <c r="P11" i="7" a="1"/>
  <c r="P10" i="7" a="1"/>
  <c r="P10" i="7" s="1"/>
  <c r="Q10" i="7" s="1"/>
  <c r="P9" i="7" a="1"/>
  <c r="P9" i="7" s="1"/>
  <c r="Q9" i="7" s="1"/>
  <c r="P8" i="7" a="1"/>
  <c r="P8" i="7" s="1"/>
  <c r="Q8" i="7" s="1"/>
  <c r="P7" i="7" a="1"/>
  <c r="P7" i="7" s="1"/>
  <c r="Q7" i="7" s="1"/>
  <c r="P6" i="7" a="1"/>
  <c r="P6" i="7" s="1"/>
  <c r="Q6" i="7" s="1"/>
  <c r="R6" i="7" s="1"/>
  <c r="P5" i="7"/>
  <c r="Q5" i="7" s="1"/>
  <c r="P5" i="7" a="1"/>
  <c r="P4" i="7" a="1"/>
  <c r="P4" i="7" s="1"/>
  <c r="Q4" i="7" s="1"/>
  <c r="P3" i="7" a="1"/>
  <c r="P3" i="7" s="1"/>
  <c r="G3" i="7" a="1"/>
  <c r="G3" i="7" s="1"/>
  <c r="H3" i="7" s="1"/>
  <c r="I3" i="7" s="1"/>
  <c r="G52" i="7" a="1"/>
  <c r="G52" i="7" s="1"/>
  <c r="H52" i="7" s="1"/>
  <c r="I52" i="7" s="1"/>
  <c r="G51" i="7" a="1"/>
  <c r="G51" i="7" s="1"/>
  <c r="H51" i="7" s="1"/>
  <c r="I51" i="7" s="1"/>
  <c r="G50" i="7" a="1"/>
  <c r="G50" i="7" s="1"/>
  <c r="H50" i="7" s="1"/>
  <c r="I50" i="7" s="1"/>
  <c r="G49" i="7" a="1"/>
  <c r="G49" i="7" s="1"/>
  <c r="H49" i="7" s="1"/>
  <c r="I49" i="7" s="1"/>
  <c r="G48" i="7" a="1"/>
  <c r="G48" i="7" s="1"/>
  <c r="H48" i="7" s="1"/>
  <c r="I48" i="7" s="1"/>
  <c r="G47" i="7"/>
  <c r="H47" i="7" s="1"/>
  <c r="I47" i="7" s="1"/>
  <c r="G47" i="7" a="1"/>
  <c r="G46" i="7" a="1"/>
  <c r="G46" i="7" s="1"/>
  <c r="H46" i="7" s="1"/>
  <c r="I46" i="7" s="1"/>
  <c r="G45" i="7" a="1"/>
  <c r="G45" i="7" s="1"/>
  <c r="H45" i="7" s="1"/>
  <c r="I45" i="7" s="1"/>
  <c r="G44" i="7" a="1"/>
  <c r="G44" i="7" s="1"/>
  <c r="H44" i="7" s="1"/>
  <c r="I44" i="7" s="1"/>
  <c r="G43" i="7" a="1"/>
  <c r="G43" i="7" s="1"/>
  <c r="H43" i="7" s="1"/>
  <c r="I43" i="7" s="1"/>
  <c r="G42" i="7" a="1"/>
  <c r="G42" i="7" s="1"/>
  <c r="H42" i="7" s="1"/>
  <c r="I42" i="7" s="1"/>
  <c r="G41" i="7"/>
  <c r="H41" i="7" s="1"/>
  <c r="I41" i="7" s="1"/>
  <c r="G41" i="7" a="1"/>
  <c r="G40" i="7" a="1"/>
  <c r="G40" i="7" s="1"/>
  <c r="H40" i="7" s="1"/>
  <c r="I40" i="7" s="1"/>
  <c r="G39" i="7" a="1"/>
  <c r="G39" i="7" s="1"/>
  <c r="H39" i="7" s="1"/>
  <c r="I39" i="7" s="1"/>
  <c r="G38" i="7" a="1"/>
  <c r="G38" i="7" s="1"/>
  <c r="H38" i="7" s="1"/>
  <c r="I38" i="7" s="1"/>
  <c r="G37" i="7" a="1"/>
  <c r="G37" i="7" s="1"/>
  <c r="H37" i="7" s="1"/>
  <c r="I37" i="7" s="1"/>
  <c r="G36" i="7" a="1"/>
  <c r="G36" i="7" s="1"/>
  <c r="H36" i="7" s="1"/>
  <c r="I36" i="7" s="1"/>
  <c r="G35" i="7"/>
  <c r="G35" i="7" a="1"/>
  <c r="G34" i="7" a="1"/>
  <c r="G34" i="7" s="1"/>
  <c r="H34" i="7" s="1"/>
  <c r="I34" i="7" s="1"/>
  <c r="G33" i="7" a="1"/>
  <c r="G33" i="7" s="1"/>
  <c r="H33" i="7" s="1"/>
  <c r="I33" i="7" s="1"/>
  <c r="G32" i="7" a="1"/>
  <c r="G32" i="7" s="1"/>
  <c r="H32" i="7" s="1"/>
  <c r="I32" i="7" s="1"/>
  <c r="G31" i="7" a="1"/>
  <c r="G31" i="7" s="1"/>
  <c r="H31" i="7" s="1"/>
  <c r="I31" i="7" s="1"/>
  <c r="G30" i="7" a="1"/>
  <c r="G30" i="7" s="1"/>
  <c r="H30" i="7" s="1"/>
  <c r="I30" i="7" s="1"/>
  <c r="G29" i="7"/>
  <c r="H29" i="7" s="1"/>
  <c r="I29" i="7" s="1"/>
  <c r="G29" i="7" a="1"/>
  <c r="G28" i="7" a="1"/>
  <c r="G28" i="7" s="1"/>
  <c r="H28" i="7" s="1"/>
  <c r="I28" i="7" s="1"/>
  <c r="G27" i="7" a="1"/>
  <c r="G27" i="7" s="1"/>
  <c r="H27" i="7" s="1"/>
  <c r="I27" i="7" s="1"/>
  <c r="G26" i="7" a="1"/>
  <c r="G26" i="7" s="1"/>
  <c r="H26" i="7" s="1"/>
  <c r="I26" i="7" s="1"/>
  <c r="G25" i="7" a="1"/>
  <c r="G25" i="7" s="1"/>
  <c r="H25" i="7" s="1"/>
  <c r="I25" i="7" s="1"/>
  <c r="G24" i="7" a="1"/>
  <c r="G24" i="7" s="1"/>
  <c r="H24" i="7" s="1"/>
  <c r="I24" i="7" s="1"/>
  <c r="G23" i="7"/>
  <c r="H23" i="7" s="1"/>
  <c r="I23" i="7" s="1"/>
  <c r="G23" i="7" a="1"/>
  <c r="G22" i="7" a="1"/>
  <c r="G22" i="7" s="1"/>
  <c r="H22" i="7" s="1"/>
  <c r="I22" i="7" s="1"/>
  <c r="G21" i="7" a="1"/>
  <c r="G21" i="7" s="1"/>
  <c r="H21" i="7" s="1"/>
  <c r="I21" i="7" s="1"/>
  <c r="G20" i="7" a="1"/>
  <c r="G20" i="7" s="1"/>
  <c r="H20" i="7" s="1"/>
  <c r="I20" i="7" s="1"/>
  <c r="G19" i="7" a="1"/>
  <c r="G19" i="7" s="1"/>
  <c r="H19" i="7" s="1"/>
  <c r="I19" i="7" s="1"/>
  <c r="G18" i="7" a="1"/>
  <c r="G18" i="7" s="1"/>
  <c r="H18" i="7" s="1"/>
  <c r="I18" i="7" s="1"/>
  <c r="G17" i="7"/>
  <c r="G17" i="7" a="1"/>
  <c r="G16" i="7" a="1"/>
  <c r="G16" i="7" s="1"/>
  <c r="H16" i="7" s="1"/>
  <c r="I16" i="7" s="1"/>
  <c r="G15" i="7" a="1"/>
  <c r="G15" i="7" s="1"/>
  <c r="H15" i="7" s="1"/>
  <c r="I15" i="7" s="1"/>
  <c r="G14" i="7" a="1"/>
  <c r="G14" i="7" s="1"/>
  <c r="H14" i="7" s="1"/>
  <c r="I14" i="7" s="1"/>
  <c r="G13" i="7" a="1"/>
  <c r="G13" i="7" s="1"/>
  <c r="H13" i="7" s="1"/>
  <c r="I13" i="7" s="1"/>
  <c r="G12" i="7" a="1"/>
  <c r="G12" i="7" s="1"/>
  <c r="H12" i="7" s="1"/>
  <c r="I12" i="7" s="1"/>
  <c r="G11" i="7"/>
  <c r="G11" i="7" a="1"/>
  <c r="G10" i="7" a="1"/>
  <c r="G10" i="7" s="1"/>
  <c r="H10" i="7" s="1"/>
  <c r="I10" i="7" s="1"/>
  <c r="G9" i="7" a="1"/>
  <c r="G9" i="7" s="1"/>
  <c r="H9" i="7" s="1"/>
  <c r="I9" i="7" s="1"/>
  <c r="G8" i="7" a="1"/>
  <c r="G8" i="7" s="1"/>
  <c r="H8" i="7" s="1"/>
  <c r="I8" i="7" s="1"/>
  <c r="G7" i="7" a="1"/>
  <c r="G7" i="7" s="1"/>
  <c r="H7" i="7" s="1"/>
  <c r="I7" i="7" s="1"/>
  <c r="G6" i="7" a="1"/>
  <c r="G6" i="7" s="1"/>
  <c r="H6" i="7" s="1"/>
  <c r="I6" i="7" s="1"/>
  <c r="G5" i="7"/>
  <c r="G5" i="7" a="1"/>
  <c r="G4" i="7" a="1"/>
  <c r="G4" i="7" s="1"/>
  <c r="H4" i="7" s="1"/>
  <c r="I4" i="7" s="1"/>
  <c r="F9" i="8"/>
  <c r="G13" i="8"/>
  <c r="G12" i="8"/>
  <c r="G11" i="8"/>
  <c r="G10" i="8"/>
  <c r="G9" i="8"/>
  <c r="F13" i="8"/>
  <c r="F12" i="8"/>
  <c r="F11" i="8"/>
  <c r="F10" i="8"/>
  <c r="E13" i="8"/>
  <c r="E12" i="8"/>
  <c r="E11" i="8"/>
  <c r="E10" i="8"/>
  <c r="E9" i="8"/>
  <c r="C13" i="8"/>
  <c r="C12" i="8"/>
  <c r="C11" i="8"/>
  <c r="C10" i="8"/>
  <c r="D13" i="8"/>
  <c r="D12" i="8"/>
  <c r="D11" i="8"/>
  <c r="D10" i="8"/>
  <c r="D9" i="8"/>
  <c r="C9" i="8"/>
  <c r="D3" i="7"/>
  <c r="K3" i="7"/>
  <c r="C3" i="7"/>
  <c r="S3" i="7" s="1"/>
  <c r="B3" i="7"/>
  <c r="C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4" i="6"/>
  <c r="A3" i="5"/>
  <c r="B3" i="5" s="1"/>
  <c r="E3" i="5"/>
  <c r="D3" i="5"/>
  <c r="C5" i="3"/>
  <c r="B27" i="13"/>
  <c r="E16" i="13"/>
  <c r="C16" i="13"/>
  <c r="E15" i="13"/>
  <c r="C15" i="13"/>
  <c r="E14" i="13"/>
  <c r="C14" i="13"/>
  <c r="E13" i="13"/>
  <c r="C13" i="13"/>
  <c r="E12" i="13"/>
  <c r="C12" i="13"/>
  <c r="E11" i="13"/>
  <c r="C11" i="13"/>
  <c r="E10" i="13"/>
  <c r="C10" i="13"/>
  <c r="D6" i="13"/>
  <c r="B6" i="13"/>
  <c r="B2" i="13"/>
  <c r="L153" i="11"/>
  <c r="M153" i="11" s="1"/>
  <c r="N153" i="11" s="1"/>
  <c r="E153" i="11"/>
  <c r="D153" i="11"/>
  <c r="C153" i="11"/>
  <c r="B153" i="11"/>
  <c r="L152" i="11"/>
  <c r="M152" i="11" s="1"/>
  <c r="N152" i="11" s="1"/>
  <c r="E152" i="11"/>
  <c r="D152" i="11"/>
  <c r="C152" i="11"/>
  <c r="B152" i="11"/>
  <c r="L151" i="11"/>
  <c r="M151" i="11" s="1"/>
  <c r="N151" i="11" s="1"/>
  <c r="E151" i="11"/>
  <c r="D151" i="11"/>
  <c r="C151" i="11"/>
  <c r="B151" i="11"/>
  <c r="L150" i="11"/>
  <c r="M150" i="11" s="1"/>
  <c r="N150" i="11" s="1"/>
  <c r="E150" i="11"/>
  <c r="D150" i="11"/>
  <c r="C150" i="11"/>
  <c r="B150" i="11"/>
  <c r="N149" i="11"/>
  <c r="M149" i="11"/>
  <c r="L149" i="11"/>
  <c r="E149" i="11"/>
  <c r="D149" i="11"/>
  <c r="C149" i="11"/>
  <c r="B149" i="11"/>
  <c r="L148" i="11"/>
  <c r="M148" i="11" s="1"/>
  <c r="N148" i="11" s="1"/>
  <c r="E148" i="11"/>
  <c r="D148" i="11"/>
  <c r="C148" i="11"/>
  <c r="B148" i="11"/>
  <c r="M147" i="11"/>
  <c r="N147" i="11" s="1"/>
  <c r="L147" i="11"/>
  <c r="E147" i="11"/>
  <c r="D147" i="11"/>
  <c r="C147" i="11"/>
  <c r="B147" i="11"/>
  <c r="N146" i="11"/>
  <c r="M146" i="11"/>
  <c r="L146" i="11"/>
  <c r="E146" i="11"/>
  <c r="D146" i="11"/>
  <c r="C146" i="11"/>
  <c r="B146" i="11"/>
  <c r="L145" i="11"/>
  <c r="M145" i="11" s="1"/>
  <c r="N145" i="11" s="1"/>
  <c r="E145" i="11"/>
  <c r="D145" i="11"/>
  <c r="C145" i="11"/>
  <c r="B145" i="11"/>
  <c r="M144" i="11"/>
  <c r="N144" i="11" s="1"/>
  <c r="L144" i="11"/>
  <c r="E144" i="11"/>
  <c r="D144" i="11"/>
  <c r="C144" i="11"/>
  <c r="B144" i="11"/>
  <c r="N143" i="11"/>
  <c r="M143" i="11"/>
  <c r="L143" i="11"/>
  <c r="E143" i="11"/>
  <c r="D143" i="11"/>
  <c r="C143" i="11"/>
  <c r="B143" i="11"/>
  <c r="L142" i="11"/>
  <c r="M142" i="11" s="1"/>
  <c r="N142" i="11" s="1"/>
  <c r="E142" i="11"/>
  <c r="D142" i="11"/>
  <c r="C142" i="11"/>
  <c r="B142" i="11"/>
  <c r="M141" i="11"/>
  <c r="N141" i="11" s="1"/>
  <c r="L141" i="11"/>
  <c r="E141" i="11"/>
  <c r="D141" i="11"/>
  <c r="C141" i="11"/>
  <c r="B141" i="11"/>
  <c r="L140" i="11"/>
  <c r="M140" i="11" s="1"/>
  <c r="N140" i="11" s="1"/>
  <c r="E140" i="11"/>
  <c r="D140" i="11"/>
  <c r="C140" i="11"/>
  <c r="B140" i="11"/>
  <c r="L139" i="11"/>
  <c r="M139" i="11" s="1"/>
  <c r="N139" i="11" s="1"/>
  <c r="E139" i="11"/>
  <c r="D139" i="11"/>
  <c r="C139" i="11"/>
  <c r="B139" i="11"/>
  <c r="M138" i="11"/>
  <c r="N138" i="11" s="1"/>
  <c r="L138" i="11"/>
  <c r="E138" i="11"/>
  <c r="D138" i="11"/>
  <c r="C138" i="11"/>
  <c r="B138" i="11"/>
  <c r="N137" i="11"/>
  <c r="M137" i="11"/>
  <c r="L137" i="11"/>
  <c r="E137" i="11"/>
  <c r="D137" i="11"/>
  <c r="C137" i="11"/>
  <c r="B137" i="11"/>
  <c r="L136" i="11"/>
  <c r="M136" i="11" s="1"/>
  <c r="N136" i="11" s="1"/>
  <c r="E136" i="11"/>
  <c r="D136" i="11"/>
  <c r="C136" i="11"/>
  <c r="B136" i="11"/>
  <c r="M135" i="11"/>
  <c r="N135" i="11" s="1"/>
  <c r="L135" i="11"/>
  <c r="E135" i="11"/>
  <c r="D135" i="11"/>
  <c r="C135" i="11"/>
  <c r="B135" i="11"/>
  <c r="N134" i="11"/>
  <c r="M134" i="11"/>
  <c r="L134" i="11"/>
  <c r="E134" i="11"/>
  <c r="D134" i="11"/>
  <c r="C134" i="11"/>
  <c r="B134" i="11"/>
  <c r="L133" i="11"/>
  <c r="M133" i="11" s="1"/>
  <c r="N133" i="11" s="1"/>
  <c r="E133" i="11"/>
  <c r="D133" i="11"/>
  <c r="C133" i="11"/>
  <c r="B133" i="11"/>
  <c r="M132" i="11"/>
  <c r="N132" i="11" s="1"/>
  <c r="L132" i="11"/>
  <c r="E132" i="11"/>
  <c r="D132" i="11"/>
  <c r="C132" i="11"/>
  <c r="B132" i="11"/>
  <c r="N131" i="11"/>
  <c r="M131" i="11"/>
  <c r="L131" i="11"/>
  <c r="E131" i="11"/>
  <c r="D131" i="11"/>
  <c r="C131" i="11"/>
  <c r="B131" i="11"/>
  <c r="L130" i="11"/>
  <c r="M130" i="11" s="1"/>
  <c r="N130" i="11" s="1"/>
  <c r="E130" i="11"/>
  <c r="D130" i="11"/>
  <c r="C130" i="11"/>
  <c r="B130" i="11"/>
  <c r="M129" i="11"/>
  <c r="N129" i="11" s="1"/>
  <c r="L129" i="11"/>
  <c r="E129" i="11"/>
  <c r="D129" i="11"/>
  <c r="C129" i="11"/>
  <c r="B129" i="11"/>
  <c r="L128" i="11"/>
  <c r="M128" i="11" s="1"/>
  <c r="N128" i="11" s="1"/>
  <c r="E128" i="11"/>
  <c r="D128" i="11"/>
  <c r="C128" i="11"/>
  <c r="B128" i="11"/>
  <c r="L127" i="11"/>
  <c r="M127" i="11" s="1"/>
  <c r="N127" i="11" s="1"/>
  <c r="E127" i="11"/>
  <c r="D127" i="11"/>
  <c r="C127" i="11"/>
  <c r="B127" i="11"/>
  <c r="M126" i="11"/>
  <c r="N126" i="11" s="1"/>
  <c r="L126" i="11"/>
  <c r="E126" i="11"/>
  <c r="D126" i="11"/>
  <c r="C126" i="11"/>
  <c r="B126" i="11"/>
  <c r="N125" i="11"/>
  <c r="M125" i="11"/>
  <c r="L125" i="11"/>
  <c r="E125" i="11"/>
  <c r="D125" i="11"/>
  <c r="C125" i="11"/>
  <c r="B125" i="11"/>
  <c r="L124" i="11"/>
  <c r="M124" i="11" s="1"/>
  <c r="N124" i="11" s="1"/>
  <c r="E124" i="11"/>
  <c r="D124" i="11"/>
  <c r="C124" i="11"/>
  <c r="B124" i="11"/>
  <c r="M123" i="11"/>
  <c r="N123" i="11" s="1"/>
  <c r="L123" i="11"/>
  <c r="E123" i="11"/>
  <c r="D123" i="11"/>
  <c r="C123" i="11"/>
  <c r="B123" i="11"/>
  <c r="N122" i="11"/>
  <c r="M122" i="11"/>
  <c r="L122" i="11"/>
  <c r="E122" i="11"/>
  <c r="D122" i="11"/>
  <c r="C122" i="11"/>
  <c r="B122" i="11"/>
  <c r="L121" i="11"/>
  <c r="M121" i="11" s="1"/>
  <c r="N121" i="11" s="1"/>
  <c r="E121" i="11"/>
  <c r="D121" i="11"/>
  <c r="C121" i="11"/>
  <c r="B121" i="11"/>
  <c r="M120" i="11"/>
  <c r="N120" i="11" s="1"/>
  <c r="L120" i="11"/>
  <c r="E120" i="11"/>
  <c r="D120" i="11"/>
  <c r="C120" i="11"/>
  <c r="B120" i="11"/>
  <c r="N119" i="11"/>
  <c r="M119" i="11"/>
  <c r="L119" i="11"/>
  <c r="E119" i="11"/>
  <c r="D119" i="11"/>
  <c r="C119" i="11"/>
  <c r="B119" i="11"/>
  <c r="L118" i="11"/>
  <c r="M118" i="11" s="1"/>
  <c r="N118" i="11" s="1"/>
  <c r="E118" i="11"/>
  <c r="D118" i="11"/>
  <c r="C118" i="11"/>
  <c r="B118" i="11"/>
  <c r="M117" i="11"/>
  <c r="N117" i="11" s="1"/>
  <c r="L117" i="11"/>
  <c r="E117" i="11"/>
  <c r="D117" i="11"/>
  <c r="C117" i="11"/>
  <c r="B117" i="11"/>
  <c r="L116" i="11"/>
  <c r="M116" i="11" s="1"/>
  <c r="N116" i="11" s="1"/>
  <c r="E116" i="11"/>
  <c r="D116" i="11"/>
  <c r="C116" i="11"/>
  <c r="B116" i="11"/>
  <c r="L115" i="11"/>
  <c r="M115" i="11" s="1"/>
  <c r="N115" i="11" s="1"/>
  <c r="E115" i="11"/>
  <c r="D115" i="11"/>
  <c r="C115" i="11"/>
  <c r="B115" i="11"/>
  <c r="M114" i="11"/>
  <c r="N114" i="11" s="1"/>
  <c r="L114" i="11"/>
  <c r="E114" i="11"/>
  <c r="D114" i="11"/>
  <c r="C114" i="11"/>
  <c r="B114" i="11"/>
  <c r="N113" i="11"/>
  <c r="M113" i="11"/>
  <c r="L113" i="11"/>
  <c r="E113" i="11"/>
  <c r="D113" i="11"/>
  <c r="C113" i="11"/>
  <c r="B113" i="11"/>
  <c r="L112" i="11"/>
  <c r="M112" i="11" s="1"/>
  <c r="N112" i="11" s="1"/>
  <c r="E112" i="11"/>
  <c r="D112" i="11"/>
  <c r="C112" i="11"/>
  <c r="B112" i="11"/>
  <c r="M111" i="11"/>
  <c r="N111" i="11" s="1"/>
  <c r="L111" i="11"/>
  <c r="E111" i="11"/>
  <c r="D111" i="11"/>
  <c r="C111" i="11"/>
  <c r="B111" i="11"/>
  <c r="N110" i="11"/>
  <c r="M110" i="11"/>
  <c r="L110" i="11"/>
  <c r="E110" i="11"/>
  <c r="D110" i="11"/>
  <c r="C110" i="11"/>
  <c r="B110" i="11"/>
  <c r="L109" i="11"/>
  <c r="M109" i="11" s="1"/>
  <c r="N109" i="11" s="1"/>
  <c r="E109" i="11"/>
  <c r="D109" i="11"/>
  <c r="C109" i="11"/>
  <c r="B109" i="11"/>
  <c r="M108" i="11"/>
  <c r="N108" i="11" s="1"/>
  <c r="L108" i="11"/>
  <c r="E108" i="11"/>
  <c r="D108" i="11"/>
  <c r="C108" i="11"/>
  <c r="B108" i="11"/>
  <c r="N107" i="11"/>
  <c r="M107" i="11"/>
  <c r="L107" i="11"/>
  <c r="E107" i="11"/>
  <c r="D107" i="11"/>
  <c r="C107" i="11"/>
  <c r="B107" i="11"/>
  <c r="L106" i="11"/>
  <c r="M106" i="11" s="1"/>
  <c r="N106" i="11" s="1"/>
  <c r="E106" i="11"/>
  <c r="D106" i="11"/>
  <c r="C106" i="11"/>
  <c r="B106" i="11"/>
  <c r="M105" i="11"/>
  <c r="N105" i="11" s="1"/>
  <c r="L105" i="11"/>
  <c r="E105" i="11"/>
  <c r="D105" i="11"/>
  <c r="C105" i="11"/>
  <c r="B105" i="11"/>
  <c r="L104" i="11"/>
  <c r="M104" i="11" s="1"/>
  <c r="N104" i="11" s="1"/>
  <c r="E104" i="11"/>
  <c r="D104" i="11"/>
  <c r="C104" i="11"/>
  <c r="B104" i="11"/>
  <c r="L103" i="11"/>
  <c r="M103" i="11" s="1"/>
  <c r="N103" i="11" s="1"/>
  <c r="E103" i="11"/>
  <c r="D103" i="11"/>
  <c r="C103" i="11"/>
  <c r="B103" i="11"/>
  <c r="M102" i="11"/>
  <c r="N102" i="11" s="1"/>
  <c r="L102" i="11"/>
  <c r="E102" i="11"/>
  <c r="D102" i="11"/>
  <c r="C102" i="11"/>
  <c r="B102" i="11"/>
  <c r="N101" i="11"/>
  <c r="M101" i="11"/>
  <c r="L101" i="11"/>
  <c r="E101" i="11"/>
  <c r="D101" i="11"/>
  <c r="C101" i="11"/>
  <c r="B101" i="11"/>
  <c r="L100" i="11"/>
  <c r="M100" i="11" s="1"/>
  <c r="N100" i="11" s="1"/>
  <c r="E100" i="11"/>
  <c r="D100" i="11"/>
  <c r="C100" i="11"/>
  <c r="B100" i="11"/>
  <c r="M99" i="11"/>
  <c r="N99" i="11" s="1"/>
  <c r="L99" i="11"/>
  <c r="E99" i="11"/>
  <c r="D99" i="11"/>
  <c r="C99" i="11"/>
  <c r="B99" i="11"/>
  <c r="N98" i="11"/>
  <c r="M98" i="11"/>
  <c r="L98" i="11"/>
  <c r="E98" i="11"/>
  <c r="D98" i="11"/>
  <c r="C98" i="11"/>
  <c r="B98" i="11"/>
  <c r="L97" i="11"/>
  <c r="M97" i="11" s="1"/>
  <c r="N97" i="11" s="1"/>
  <c r="E97" i="11"/>
  <c r="D97" i="11"/>
  <c r="C97" i="11"/>
  <c r="B97" i="11"/>
  <c r="M96" i="11"/>
  <c r="N96" i="11" s="1"/>
  <c r="L96" i="11"/>
  <c r="E96" i="11"/>
  <c r="D96" i="11"/>
  <c r="C96" i="11"/>
  <c r="B96" i="11"/>
  <c r="N95" i="11"/>
  <c r="M95" i="11"/>
  <c r="L95" i="11"/>
  <c r="E95" i="11"/>
  <c r="D95" i="11"/>
  <c r="C95" i="11"/>
  <c r="B95" i="11"/>
  <c r="L94" i="11"/>
  <c r="M94" i="11" s="1"/>
  <c r="N94" i="11" s="1"/>
  <c r="E94" i="11"/>
  <c r="D94" i="11"/>
  <c r="C94" i="11"/>
  <c r="B94" i="11"/>
  <c r="M93" i="11"/>
  <c r="N93" i="11" s="1"/>
  <c r="L93" i="11"/>
  <c r="E93" i="11"/>
  <c r="D93" i="11"/>
  <c r="C93" i="11"/>
  <c r="B93" i="11"/>
  <c r="L92" i="11"/>
  <c r="M92" i="11" s="1"/>
  <c r="N92" i="11" s="1"/>
  <c r="E92" i="11"/>
  <c r="D92" i="11"/>
  <c r="C92" i="11"/>
  <c r="B92" i="11"/>
  <c r="L91" i="11"/>
  <c r="M91" i="11" s="1"/>
  <c r="N91" i="11" s="1"/>
  <c r="E91" i="11"/>
  <c r="D91" i="11"/>
  <c r="C91" i="11"/>
  <c r="B91" i="11"/>
  <c r="M90" i="11"/>
  <c r="N90" i="11" s="1"/>
  <c r="L90" i="11"/>
  <c r="E90" i="11"/>
  <c r="D90" i="11"/>
  <c r="C90" i="11"/>
  <c r="B90" i="11"/>
  <c r="N89" i="11"/>
  <c r="M89" i="11"/>
  <c r="L89" i="11"/>
  <c r="E89" i="11"/>
  <c r="D89" i="11"/>
  <c r="C89" i="11"/>
  <c r="B89" i="11"/>
  <c r="L88" i="11"/>
  <c r="M88" i="11" s="1"/>
  <c r="N88" i="11" s="1"/>
  <c r="E88" i="11"/>
  <c r="D88" i="11"/>
  <c r="C88" i="11"/>
  <c r="B88" i="11"/>
  <c r="M87" i="11"/>
  <c r="N87" i="11" s="1"/>
  <c r="L87" i="11"/>
  <c r="E87" i="11"/>
  <c r="D87" i="11"/>
  <c r="C87" i="11"/>
  <c r="B87" i="11"/>
  <c r="N86" i="11"/>
  <c r="M86" i="11"/>
  <c r="L86" i="11"/>
  <c r="E86" i="11"/>
  <c r="D86" i="11"/>
  <c r="C86" i="11"/>
  <c r="B86" i="11"/>
  <c r="L85" i="11"/>
  <c r="M85" i="11" s="1"/>
  <c r="N85" i="11" s="1"/>
  <c r="E85" i="11"/>
  <c r="D85" i="11"/>
  <c r="C85" i="11"/>
  <c r="B85" i="11"/>
  <c r="M84" i="11"/>
  <c r="N84" i="11" s="1"/>
  <c r="L84" i="11"/>
  <c r="E84" i="11"/>
  <c r="D84" i="11"/>
  <c r="C84" i="11"/>
  <c r="B84" i="11"/>
  <c r="N83" i="11"/>
  <c r="M83" i="11"/>
  <c r="L83" i="11"/>
  <c r="E83" i="11"/>
  <c r="D83" i="11"/>
  <c r="C83" i="11"/>
  <c r="B83" i="11"/>
  <c r="L82" i="11"/>
  <c r="M82" i="11" s="1"/>
  <c r="N82" i="11" s="1"/>
  <c r="E82" i="11"/>
  <c r="D82" i="11"/>
  <c r="C82" i="11"/>
  <c r="B82" i="11"/>
  <c r="M81" i="11"/>
  <c r="N81" i="11" s="1"/>
  <c r="L81" i="11"/>
  <c r="E81" i="11"/>
  <c r="D81" i="11"/>
  <c r="C81" i="11"/>
  <c r="B81" i="11"/>
  <c r="L80" i="11"/>
  <c r="M80" i="11" s="1"/>
  <c r="N80" i="11" s="1"/>
  <c r="E80" i="11"/>
  <c r="D80" i="11"/>
  <c r="C80" i="11"/>
  <c r="B80" i="11"/>
  <c r="L79" i="11"/>
  <c r="M79" i="11" s="1"/>
  <c r="N79" i="11" s="1"/>
  <c r="E79" i="11"/>
  <c r="D79" i="11"/>
  <c r="C79" i="11"/>
  <c r="B79" i="11"/>
  <c r="M78" i="11"/>
  <c r="N78" i="11" s="1"/>
  <c r="L78" i="11"/>
  <c r="E78" i="11"/>
  <c r="D78" i="11"/>
  <c r="C78" i="11"/>
  <c r="B78" i="11"/>
  <c r="L77" i="11"/>
  <c r="M77" i="11" s="1"/>
  <c r="N77" i="11" s="1"/>
  <c r="E77" i="11"/>
  <c r="D77" i="11"/>
  <c r="C77" i="11"/>
  <c r="B77" i="11"/>
  <c r="L76" i="11"/>
  <c r="M76" i="11" s="1"/>
  <c r="N76" i="11" s="1"/>
  <c r="E76" i="11"/>
  <c r="D76" i="11"/>
  <c r="C76" i="11"/>
  <c r="B76" i="11"/>
  <c r="M75" i="11"/>
  <c r="N75" i="11" s="1"/>
  <c r="L75" i="11"/>
  <c r="E75" i="11"/>
  <c r="D75" i="11"/>
  <c r="C75" i="11"/>
  <c r="B75" i="11"/>
  <c r="N74" i="11"/>
  <c r="M74" i="11"/>
  <c r="L74" i="11"/>
  <c r="E74" i="11"/>
  <c r="D74" i="11"/>
  <c r="C74" i="11"/>
  <c r="B74" i="11"/>
  <c r="L73" i="11"/>
  <c r="M73" i="11" s="1"/>
  <c r="N73" i="11" s="1"/>
  <c r="E73" i="11"/>
  <c r="D73" i="11"/>
  <c r="C73" i="11"/>
  <c r="B73" i="11"/>
  <c r="M72" i="11"/>
  <c r="N72" i="11" s="1"/>
  <c r="L72" i="11"/>
  <c r="E72" i="11"/>
  <c r="D72" i="11"/>
  <c r="C72" i="11"/>
  <c r="B72" i="11"/>
  <c r="N71" i="11"/>
  <c r="M71" i="11"/>
  <c r="L71" i="11"/>
  <c r="E71" i="11"/>
  <c r="D71" i="11"/>
  <c r="C71" i="11"/>
  <c r="B71" i="11"/>
  <c r="L70" i="11"/>
  <c r="M70" i="11" s="1"/>
  <c r="N70" i="11" s="1"/>
  <c r="E70" i="11"/>
  <c r="D70" i="11"/>
  <c r="C70" i="11"/>
  <c r="B70" i="11"/>
  <c r="M69" i="11"/>
  <c r="N69" i="11" s="1"/>
  <c r="L69" i="11"/>
  <c r="E69" i="11"/>
  <c r="D69" i="11"/>
  <c r="C69" i="11"/>
  <c r="B69" i="11"/>
  <c r="L68" i="11"/>
  <c r="M68" i="11" s="1"/>
  <c r="N68" i="11" s="1"/>
  <c r="E68" i="11"/>
  <c r="D68" i="11"/>
  <c r="C68" i="11"/>
  <c r="B68" i="11"/>
  <c r="L67" i="11"/>
  <c r="M67" i="11" s="1"/>
  <c r="N67" i="11" s="1"/>
  <c r="E67" i="11"/>
  <c r="D67" i="11"/>
  <c r="C67" i="11"/>
  <c r="B67" i="11"/>
  <c r="M66" i="11"/>
  <c r="N66" i="11" s="1"/>
  <c r="L66" i="11"/>
  <c r="E66" i="11"/>
  <c r="D66" i="11"/>
  <c r="C66" i="11"/>
  <c r="B66" i="11"/>
  <c r="L65" i="11"/>
  <c r="M65" i="11" s="1"/>
  <c r="N65" i="11" s="1"/>
  <c r="E65" i="11"/>
  <c r="D65" i="11"/>
  <c r="C65" i="11"/>
  <c r="B65" i="11"/>
  <c r="L64" i="11"/>
  <c r="M64" i="11" s="1"/>
  <c r="N64" i="11" s="1"/>
  <c r="E64" i="11"/>
  <c r="D64" i="11"/>
  <c r="C64" i="11"/>
  <c r="B64" i="11"/>
  <c r="M63" i="11"/>
  <c r="N63" i="11" s="1"/>
  <c r="L63" i="11"/>
  <c r="E63" i="11"/>
  <c r="D63" i="11"/>
  <c r="C63" i="11"/>
  <c r="B63" i="11"/>
  <c r="N62" i="11"/>
  <c r="M62" i="11"/>
  <c r="L62" i="11"/>
  <c r="E62" i="11"/>
  <c r="D62" i="11"/>
  <c r="C62" i="11"/>
  <c r="B62" i="11"/>
  <c r="L61" i="11"/>
  <c r="M61" i="11" s="1"/>
  <c r="N61" i="11" s="1"/>
  <c r="E61" i="11"/>
  <c r="D61" i="11"/>
  <c r="C61" i="11"/>
  <c r="B61" i="11"/>
  <c r="M60" i="11"/>
  <c r="N60" i="11" s="1"/>
  <c r="L60" i="11"/>
  <c r="E60" i="11"/>
  <c r="D60" i="11"/>
  <c r="C60" i="11"/>
  <c r="B60" i="11"/>
  <c r="N59" i="11"/>
  <c r="M59" i="11"/>
  <c r="L59" i="11"/>
  <c r="E59" i="11"/>
  <c r="D59" i="11"/>
  <c r="C59" i="11"/>
  <c r="B59" i="11"/>
  <c r="L58" i="11"/>
  <c r="M58" i="11" s="1"/>
  <c r="N58" i="11" s="1"/>
  <c r="E58" i="11"/>
  <c r="D58" i="11"/>
  <c r="C58" i="11"/>
  <c r="B58" i="11"/>
  <c r="M57" i="11"/>
  <c r="N57" i="11" s="1"/>
  <c r="L57" i="11"/>
  <c r="E57" i="11"/>
  <c r="D57" i="11"/>
  <c r="C57" i="11"/>
  <c r="B57" i="11"/>
  <c r="L56" i="11"/>
  <c r="M56" i="11" s="1"/>
  <c r="N56" i="11" s="1"/>
  <c r="E56" i="11"/>
  <c r="D56" i="11"/>
  <c r="C56" i="11"/>
  <c r="B56" i="11"/>
  <c r="L55" i="11"/>
  <c r="M55" i="11" s="1"/>
  <c r="N55" i="11" s="1"/>
  <c r="E55" i="11"/>
  <c r="D55" i="11"/>
  <c r="C55" i="11"/>
  <c r="B55" i="11"/>
  <c r="M54" i="11"/>
  <c r="N54" i="11" s="1"/>
  <c r="L54" i="11"/>
  <c r="E54" i="11"/>
  <c r="D54" i="11"/>
  <c r="C54" i="11"/>
  <c r="B54" i="11"/>
  <c r="L53" i="11"/>
  <c r="M53" i="11" s="1"/>
  <c r="N53" i="11" s="1"/>
  <c r="E53" i="11"/>
  <c r="D53" i="11"/>
  <c r="C53" i="11"/>
  <c r="B53" i="11"/>
  <c r="L52" i="11"/>
  <c r="M52" i="11" s="1"/>
  <c r="N52" i="11" s="1"/>
  <c r="E52" i="11"/>
  <c r="D52" i="11"/>
  <c r="C52" i="11"/>
  <c r="B52" i="11"/>
  <c r="M51" i="11"/>
  <c r="N51" i="11" s="1"/>
  <c r="L51" i="11"/>
  <c r="E51" i="11"/>
  <c r="D51" i="11"/>
  <c r="C51" i="11"/>
  <c r="B51" i="11"/>
  <c r="N50" i="11"/>
  <c r="M50" i="11"/>
  <c r="L50" i="11"/>
  <c r="E50" i="11"/>
  <c r="D50" i="11"/>
  <c r="C50" i="11"/>
  <c r="B50" i="11"/>
  <c r="L49" i="11"/>
  <c r="M49" i="11" s="1"/>
  <c r="N49" i="11" s="1"/>
  <c r="E49" i="11"/>
  <c r="D49" i="11"/>
  <c r="C49" i="11"/>
  <c r="B49" i="11"/>
  <c r="M48" i="11"/>
  <c r="N48" i="11" s="1"/>
  <c r="L48" i="11"/>
  <c r="E48" i="11"/>
  <c r="D48" i="11"/>
  <c r="C48" i="11"/>
  <c r="B48" i="11"/>
  <c r="N47" i="11"/>
  <c r="M47" i="11"/>
  <c r="L47" i="11"/>
  <c r="E47" i="11"/>
  <c r="D47" i="11"/>
  <c r="C47" i="11"/>
  <c r="B47" i="11"/>
  <c r="L46" i="11"/>
  <c r="M46" i="11" s="1"/>
  <c r="N46" i="11" s="1"/>
  <c r="E46" i="11"/>
  <c r="D46" i="11"/>
  <c r="C46" i="11"/>
  <c r="B46" i="11"/>
  <c r="M45" i="11"/>
  <c r="N45" i="11" s="1"/>
  <c r="L45" i="11"/>
  <c r="E45" i="11"/>
  <c r="D45" i="11"/>
  <c r="C45" i="11"/>
  <c r="B45" i="11"/>
  <c r="L44" i="11"/>
  <c r="M44" i="11" s="1"/>
  <c r="N44" i="11" s="1"/>
  <c r="E44" i="11"/>
  <c r="D44" i="11"/>
  <c r="C44" i="11"/>
  <c r="B44" i="11"/>
  <c r="L43" i="11"/>
  <c r="M43" i="11" s="1"/>
  <c r="N43" i="11" s="1"/>
  <c r="E43" i="11"/>
  <c r="D43" i="11"/>
  <c r="C43" i="11"/>
  <c r="B43" i="11"/>
  <c r="M42" i="11"/>
  <c r="N42" i="11" s="1"/>
  <c r="L42" i="11"/>
  <c r="E42" i="11"/>
  <c r="D42" i="11"/>
  <c r="C42" i="11"/>
  <c r="B42" i="11"/>
  <c r="L41" i="11"/>
  <c r="M41" i="11" s="1"/>
  <c r="N41" i="11" s="1"/>
  <c r="E41" i="11"/>
  <c r="D41" i="11"/>
  <c r="C41" i="11"/>
  <c r="B41" i="11"/>
  <c r="L40" i="11"/>
  <c r="M40" i="11" s="1"/>
  <c r="N40" i="11" s="1"/>
  <c r="E40" i="11"/>
  <c r="D40" i="11"/>
  <c r="C40" i="11"/>
  <c r="B40" i="11"/>
  <c r="M39" i="11"/>
  <c r="N39" i="11" s="1"/>
  <c r="L39" i="11"/>
  <c r="E39" i="11"/>
  <c r="D39" i="11"/>
  <c r="C39" i="11"/>
  <c r="B39" i="11"/>
  <c r="N38" i="11"/>
  <c r="M38" i="11"/>
  <c r="L38" i="11"/>
  <c r="E38" i="11"/>
  <c r="D38" i="11"/>
  <c r="C38" i="11"/>
  <c r="B38" i="11"/>
  <c r="L37" i="11"/>
  <c r="M37" i="11" s="1"/>
  <c r="N37" i="11" s="1"/>
  <c r="E37" i="11"/>
  <c r="D37" i="11"/>
  <c r="C37" i="11"/>
  <c r="B37" i="11"/>
  <c r="M36" i="11"/>
  <c r="N36" i="11" s="1"/>
  <c r="L36" i="11"/>
  <c r="E36" i="11"/>
  <c r="D36" i="11"/>
  <c r="C36" i="11"/>
  <c r="B36" i="11"/>
  <c r="N35" i="11"/>
  <c r="M35" i="11"/>
  <c r="L35" i="11"/>
  <c r="E35" i="11"/>
  <c r="D35" i="11"/>
  <c r="C35" i="11"/>
  <c r="B35" i="11"/>
  <c r="L34" i="11"/>
  <c r="M34" i="11" s="1"/>
  <c r="N34" i="11" s="1"/>
  <c r="E34" i="11"/>
  <c r="D34" i="11"/>
  <c r="C34" i="11"/>
  <c r="B34" i="11"/>
  <c r="M33" i="11"/>
  <c r="N33" i="11" s="1"/>
  <c r="L33" i="11"/>
  <c r="E33" i="11"/>
  <c r="D33" i="11"/>
  <c r="C33" i="11"/>
  <c r="B33" i="11"/>
  <c r="L32" i="11"/>
  <c r="M32" i="11" s="1"/>
  <c r="N32" i="11" s="1"/>
  <c r="E32" i="11"/>
  <c r="D32" i="11"/>
  <c r="C32" i="11"/>
  <c r="B32" i="11"/>
  <c r="L31" i="11"/>
  <c r="M31" i="11" s="1"/>
  <c r="N31" i="11" s="1"/>
  <c r="E31" i="11"/>
  <c r="D31" i="11"/>
  <c r="C31" i="11"/>
  <c r="B31" i="11"/>
  <c r="M30" i="11"/>
  <c r="N30" i="11" s="1"/>
  <c r="L30" i="11"/>
  <c r="E30" i="11"/>
  <c r="D30" i="11"/>
  <c r="C30" i="11"/>
  <c r="B30" i="11"/>
  <c r="L29" i="11"/>
  <c r="M29" i="11" s="1"/>
  <c r="N29" i="11" s="1"/>
  <c r="E29" i="11"/>
  <c r="D29" i="11"/>
  <c r="C29" i="11"/>
  <c r="B29" i="11"/>
  <c r="L28" i="11"/>
  <c r="M28" i="11" s="1"/>
  <c r="N28" i="11" s="1"/>
  <c r="E28" i="11"/>
  <c r="D28" i="11"/>
  <c r="C28" i="11"/>
  <c r="B28" i="11"/>
  <c r="M27" i="11"/>
  <c r="N27" i="11" s="1"/>
  <c r="L27" i="11"/>
  <c r="E27" i="11"/>
  <c r="D27" i="11"/>
  <c r="C27" i="11"/>
  <c r="B27" i="11"/>
  <c r="N26" i="11"/>
  <c r="M26" i="11"/>
  <c r="L26" i="11"/>
  <c r="E26" i="11"/>
  <c r="D26" i="11"/>
  <c r="C26" i="11"/>
  <c r="B26" i="11"/>
  <c r="L25" i="11"/>
  <c r="M25" i="11" s="1"/>
  <c r="N25" i="11" s="1"/>
  <c r="E25" i="11"/>
  <c r="D25" i="11"/>
  <c r="C25" i="11"/>
  <c r="B25" i="11"/>
  <c r="M24" i="11"/>
  <c r="N24" i="11" s="1"/>
  <c r="L24" i="11"/>
  <c r="E24" i="11"/>
  <c r="D24" i="11"/>
  <c r="C24" i="11"/>
  <c r="B24" i="11"/>
  <c r="N23" i="11"/>
  <c r="M23" i="11"/>
  <c r="L23" i="11"/>
  <c r="E23" i="11"/>
  <c r="D23" i="11"/>
  <c r="C23" i="11"/>
  <c r="B23" i="11"/>
  <c r="L22" i="11"/>
  <c r="M22" i="11" s="1"/>
  <c r="N22" i="11" s="1"/>
  <c r="E22" i="11"/>
  <c r="D22" i="11"/>
  <c r="C22" i="11"/>
  <c r="B22" i="11"/>
  <c r="M21" i="11"/>
  <c r="N21" i="11" s="1"/>
  <c r="L21" i="11"/>
  <c r="E21" i="11"/>
  <c r="D21" i="11"/>
  <c r="C21" i="11"/>
  <c r="B21" i="11"/>
  <c r="L20" i="11"/>
  <c r="M20" i="11" s="1"/>
  <c r="N20" i="11" s="1"/>
  <c r="E20" i="11"/>
  <c r="D20" i="11"/>
  <c r="C20" i="11"/>
  <c r="B20" i="11"/>
  <c r="L19" i="11"/>
  <c r="M19" i="11" s="1"/>
  <c r="N19" i="11" s="1"/>
  <c r="E19" i="11"/>
  <c r="D19" i="11"/>
  <c r="C19" i="11"/>
  <c r="B19" i="11"/>
  <c r="M18" i="11"/>
  <c r="N18" i="11" s="1"/>
  <c r="L18" i="11"/>
  <c r="E18" i="11"/>
  <c r="D18" i="11"/>
  <c r="C18" i="11"/>
  <c r="B18" i="11"/>
  <c r="L17" i="11"/>
  <c r="M17" i="11" s="1"/>
  <c r="N17" i="11" s="1"/>
  <c r="E17" i="11"/>
  <c r="D17" i="11"/>
  <c r="C17" i="11"/>
  <c r="B17" i="11"/>
  <c r="L16" i="11"/>
  <c r="M16" i="11" s="1"/>
  <c r="N16" i="11" s="1"/>
  <c r="E16" i="11"/>
  <c r="D16" i="11"/>
  <c r="C16" i="11"/>
  <c r="B16" i="11"/>
  <c r="M15" i="11"/>
  <c r="N15" i="11" s="1"/>
  <c r="L15" i="11"/>
  <c r="E15" i="11"/>
  <c r="D15" i="11"/>
  <c r="C15" i="11"/>
  <c r="B15" i="11"/>
  <c r="N14" i="11"/>
  <c r="M14" i="11"/>
  <c r="L14" i="11"/>
  <c r="E14" i="11"/>
  <c r="D14" i="11"/>
  <c r="C14" i="11"/>
  <c r="B14" i="11"/>
  <c r="L13" i="11"/>
  <c r="M13" i="11" s="1"/>
  <c r="N13" i="11" s="1"/>
  <c r="E13" i="11"/>
  <c r="D13" i="11"/>
  <c r="C13" i="11"/>
  <c r="B13" i="11"/>
  <c r="M12" i="11"/>
  <c r="N12" i="11" s="1"/>
  <c r="L12" i="11"/>
  <c r="E12" i="11"/>
  <c r="D12" i="11"/>
  <c r="C12" i="11"/>
  <c r="B12" i="11"/>
  <c r="N11" i="11"/>
  <c r="M11" i="11"/>
  <c r="L11" i="11"/>
  <c r="E11" i="11"/>
  <c r="D11" i="11"/>
  <c r="C11" i="11"/>
  <c r="B11" i="11"/>
  <c r="L10" i="11"/>
  <c r="M10" i="11" s="1"/>
  <c r="N10" i="11" s="1"/>
  <c r="E10" i="11"/>
  <c r="D10" i="11"/>
  <c r="C10" i="11"/>
  <c r="B10" i="11"/>
  <c r="M9" i="11"/>
  <c r="N9" i="11" s="1"/>
  <c r="L9" i="11"/>
  <c r="E9" i="11"/>
  <c r="D9" i="11"/>
  <c r="C9" i="11"/>
  <c r="B9" i="11"/>
  <c r="L8" i="11"/>
  <c r="M8" i="11" s="1"/>
  <c r="N8" i="11" s="1"/>
  <c r="E8" i="11"/>
  <c r="D8" i="11"/>
  <c r="C8" i="11"/>
  <c r="B8" i="11"/>
  <c r="L7" i="11"/>
  <c r="M7" i="11" s="1"/>
  <c r="N7" i="11" s="1"/>
  <c r="E7" i="11"/>
  <c r="D7" i="11"/>
  <c r="C7" i="11"/>
  <c r="B7" i="11"/>
  <c r="M6" i="11"/>
  <c r="N6" i="11" s="1"/>
  <c r="L6" i="11"/>
  <c r="E6" i="11"/>
  <c r="D6" i="11"/>
  <c r="C6" i="11"/>
  <c r="B6" i="11"/>
  <c r="L5" i="11"/>
  <c r="M5" i="11" s="1"/>
  <c r="N5" i="11" s="1"/>
  <c r="E5" i="11"/>
  <c r="D5" i="11"/>
  <c r="C5" i="11"/>
  <c r="B5" i="11"/>
  <c r="L4" i="11"/>
  <c r="M4" i="11" s="1"/>
  <c r="N4" i="11" s="1"/>
  <c r="E4" i="11"/>
  <c r="D4" i="11"/>
  <c r="C4" i="11"/>
  <c r="B4" i="1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S52" i="7"/>
  <c r="C52" i="7"/>
  <c r="B52" i="7"/>
  <c r="S51" i="7"/>
  <c r="C51" i="7"/>
  <c r="B51" i="7"/>
  <c r="S50" i="7"/>
  <c r="C50" i="7"/>
  <c r="B50" i="7"/>
  <c r="S49" i="7"/>
  <c r="C49" i="7"/>
  <c r="B49" i="7"/>
  <c r="S48" i="7"/>
  <c r="C48" i="7"/>
  <c r="B48" i="7"/>
  <c r="S47" i="7"/>
  <c r="C47" i="7"/>
  <c r="B47" i="7"/>
  <c r="S46" i="7"/>
  <c r="C46" i="7"/>
  <c r="B46" i="7"/>
  <c r="S45" i="7"/>
  <c r="C45" i="7"/>
  <c r="B45" i="7"/>
  <c r="S44" i="7"/>
  <c r="C44" i="7"/>
  <c r="B44" i="7"/>
  <c r="S43" i="7"/>
  <c r="C43" i="7"/>
  <c r="B43" i="7"/>
  <c r="S42" i="7"/>
  <c r="C42" i="7"/>
  <c r="B42" i="7"/>
  <c r="S41" i="7"/>
  <c r="C41" i="7"/>
  <c r="B41" i="7"/>
  <c r="S40" i="7"/>
  <c r="C40" i="7"/>
  <c r="B40" i="7"/>
  <c r="S39" i="7"/>
  <c r="C39" i="7"/>
  <c r="B39" i="7"/>
  <c r="S38" i="7"/>
  <c r="C38" i="7"/>
  <c r="B38" i="7"/>
  <c r="S37" i="7"/>
  <c r="C37" i="7"/>
  <c r="B37" i="7"/>
  <c r="S36" i="7"/>
  <c r="C36" i="7"/>
  <c r="B36" i="7"/>
  <c r="S35" i="7"/>
  <c r="H35" i="7"/>
  <c r="I35" i="7" s="1"/>
  <c r="C35" i="7"/>
  <c r="B35" i="7"/>
  <c r="S34" i="7"/>
  <c r="C34" i="7"/>
  <c r="B34" i="7"/>
  <c r="S33" i="7"/>
  <c r="C33" i="7"/>
  <c r="B33" i="7"/>
  <c r="S32" i="7"/>
  <c r="C32" i="7"/>
  <c r="B32" i="7"/>
  <c r="S31" i="7"/>
  <c r="C31" i="7"/>
  <c r="B31" i="7"/>
  <c r="S30" i="7"/>
  <c r="C30" i="7"/>
  <c r="B30" i="7"/>
  <c r="S29" i="7"/>
  <c r="C29" i="7"/>
  <c r="B29" i="7"/>
  <c r="S28" i="7"/>
  <c r="C28" i="7"/>
  <c r="B28" i="7"/>
  <c r="S27" i="7"/>
  <c r="C27" i="7"/>
  <c r="B27" i="7"/>
  <c r="S26" i="7"/>
  <c r="C26" i="7"/>
  <c r="B26" i="7"/>
  <c r="S25" i="7"/>
  <c r="C25" i="7"/>
  <c r="B25" i="7"/>
  <c r="S24" i="7"/>
  <c r="C24" i="7"/>
  <c r="B24" i="7"/>
  <c r="S23" i="7"/>
  <c r="C23" i="7"/>
  <c r="B23" i="7"/>
  <c r="S22" i="7"/>
  <c r="C22" i="7"/>
  <c r="B22" i="7"/>
  <c r="S21" i="7"/>
  <c r="C21" i="7"/>
  <c r="B21" i="7"/>
  <c r="S20" i="7"/>
  <c r="C20" i="7"/>
  <c r="B20" i="7"/>
  <c r="S19" i="7"/>
  <c r="C19" i="7"/>
  <c r="B19" i="7"/>
  <c r="S18" i="7"/>
  <c r="C18" i="7"/>
  <c r="B18" i="7"/>
  <c r="S17" i="7"/>
  <c r="H17" i="7"/>
  <c r="I17" i="7" s="1"/>
  <c r="C17" i="7"/>
  <c r="B17" i="7"/>
  <c r="S16" i="7"/>
  <c r="C16" i="7"/>
  <c r="B16" i="7"/>
  <c r="S15" i="7"/>
  <c r="C15" i="7"/>
  <c r="B15" i="7"/>
  <c r="S14" i="7"/>
  <c r="C14" i="7"/>
  <c r="B14" i="7"/>
  <c r="S13" i="7"/>
  <c r="C13" i="7"/>
  <c r="B13" i="7"/>
  <c r="S12" i="7"/>
  <c r="C12" i="7"/>
  <c r="B12" i="7"/>
  <c r="S11" i="7"/>
  <c r="H11" i="7"/>
  <c r="I11" i="7" s="1"/>
  <c r="C11" i="7"/>
  <c r="B11" i="7"/>
  <c r="S10" i="7"/>
  <c r="C10" i="7"/>
  <c r="B10" i="7"/>
  <c r="S9" i="7"/>
  <c r="C9" i="7"/>
  <c r="B9" i="7"/>
  <c r="S8" i="7"/>
  <c r="C8" i="7"/>
  <c r="B8" i="7"/>
  <c r="S7" i="7"/>
  <c r="C7" i="7"/>
  <c r="B7" i="7"/>
  <c r="S6" i="7"/>
  <c r="C6" i="7"/>
  <c r="B6" i="7"/>
  <c r="S5" i="7"/>
  <c r="H5" i="7"/>
  <c r="I5" i="7" s="1"/>
  <c r="C5" i="7"/>
  <c r="B5" i="7"/>
  <c r="S4" i="7"/>
  <c r="C4" i="7"/>
  <c r="B4" i="7"/>
  <c r="C53" i="9" s="1"/>
  <c r="E153" i="6"/>
  <c r="C153" i="6"/>
  <c r="E152" i="6"/>
  <c r="C152" i="6"/>
  <c r="E151" i="6"/>
  <c r="C151" i="6"/>
  <c r="E150" i="6"/>
  <c r="C150" i="6"/>
  <c r="E149" i="6"/>
  <c r="C149" i="6"/>
  <c r="E148" i="6"/>
  <c r="C148" i="6"/>
  <c r="E147" i="6"/>
  <c r="C147" i="6"/>
  <c r="E146" i="6"/>
  <c r="C146" i="6"/>
  <c r="E145" i="6"/>
  <c r="C145" i="6"/>
  <c r="E144" i="6"/>
  <c r="C144" i="6"/>
  <c r="E143" i="6"/>
  <c r="C143" i="6"/>
  <c r="E142" i="6"/>
  <c r="C142" i="6"/>
  <c r="E141" i="6"/>
  <c r="C141" i="6"/>
  <c r="E140" i="6"/>
  <c r="C140" i="6"/>
  <c r="E139" i="6"/>
  <c r="C139" i="6"/>
  <c r="E138" i="6"/>
  <c r="C138" i="6"/>
  <c r="E137" i="6"/>
  <c r="C137" i="6"/>
  <c r="E136" i="6"/>
  <c r="C136" i="6"/>
  <c r="E135" i="6"/>
  <c r="C135" i="6"/>
  <c r="E134" i="6"/>
  <c r="C134" i="6"/>
  <c r="E133" i="6"/>
  <c r="C133" i="6"/>
  <c r="E132" i="6"/>
  <c r="C132" i="6"/>
  <c r="E131" i="6"/>
  <c r="C131" i="6"/>
  <c r="E130" i="6"/>
  <c r="C130" i="6"/>
  <c r="E129" i="6"/>
  <c r="C129" i="6"/>
  <c r="E128" i="6"/>
  <c r="C128" i="6"/>
  <c r="E127" i="6"/>
  <c r="C127" i="6"/>
  <c r="E126" i="6"/>
  <c r="C126" i="6"/>
  <c r="E125" i="6"/>
  <c r="C125" i="6"/>
  <c r="E124" i="6"/>
  <c r="C124" i="6"/>
  <c r="E123" i="6"/>
  <c r="C123" i="6"/>
  <c r="E122" i="6"/>
  <c r="C122" i="6"/>
  <c r="E121" i="6"/>
  <c r="C121" i="6"/>
  <c r="E120" i="6"/>
  <c r="C120" i="6"/>
  <c r="E119" i="6"/>
  <c r="C119" i="6"/>
  <c r="E118" i="6"/>
  <c r="C118" i="6"/>
  <c r="E117" i="6"/>
  <c r="C117" i="6"/>
  <c r="E116" i="6"/>
  <c r="C116" i="6"/>
  <c r="E115" i="6"/>
  <c r="C115" i="6"/>
  <c r="E114" i="6"/>
  <c r="C114" i="6"/>
  <c r="E113" i="6"/>
  <c r="C113" i="6"/>
  <c r="E112" i="6"/>
  <c r="C112" i="6"/>
  <c r="E111" i="6"/>
  <c r="C111" i="6"/>
  <c r="E110" i="6"/>
  <c r="C110" i="6"/>
  <c r="E109" i="6"/>
  <c r="C109" i="6"/>
  <c r="E108" i="6"/>
  <c r="C108" i="6"/>
  <c r="E107" i="6"/>
  <c r="C107" i="6"/>
  <c r="E106" i="6"/>
  <c r="C106" i="6"/>
  <c r="E105" i="6"/>
  <c r="C105" i="6"/>
  <c r="E104" i="6"/>
  <c r="C104" i="6"/>
  <c r="E103" i="6"/>
  <c r="C103" i="6"/>
  <c r="E102" i="6"/>
  <c r="C102" i="6"/>
  <c r="E101" i="6"/>
  <c r="C101" i="6"/>
  <c r="E100" i="6"/>
  <c r="C100" i="6"/>
  <c r="E99" i="6"/>
  <c r="C99" i="6"/>
  <c r="E98" i="6"/>
  <c r="C98" i="6"/>
  <c r="E97" i="6"/>
  <c r="C97" i="6"/>
  <c r="E96" i="6"/>
  <c r="C96" i="6"/>
  <c r="E95" i="6"/>
  <c r="C95" i="6"/>
  <c r="E94" i="6"/>
  <c r="C94" i="6"/>
  <c r="E93" i="6"/>
  <c r="C93" i="6"/>
  <c r="E92" i="6"/>
  <c r="C92" i="6"/>
  <c r="E91" i="6"/>
  <c r="C91" i="6"/>
  <c r="E90" i="6"/>
  <c r="C90" i="6"/>
  <c r="E89" i="6"/>
  <c r="C89" i="6"/>
  <c r="E88" i="6"/>
  <c r="C88" i="6"/>
  <c r="E87" i="6"/>
  <c r="C87" i="6"/>
  <c r="E86" i="6"/>
  <c r="C86" i="6"/>
  <c r="E85" i="6"/>
  <c r="C85" i="6"/>
  <c r="E84" i="6"/>
  <c r="C84" i="6"/>
  <c r="E83" i="6"/>
  <c r="C83" i="6"/>
  <c r="E82" i="6"/>
  <c r="C82" i="6"/>
  <c r="E81" i="6"/>
  <c r="C81" i="6"/>
  <c r="E80" i="6"/>
  <c r="C80" i="6"/>
  <c r="E79" i="6"/>
  <c r="C79" i="6"/>
  <c r="E78" i="6"/>
  <c r="C78" i="6"/>
  <c r="E77" i="6"/>
  <c r="C77" i="6"/>
  <c r="E76" i="6"/>
  <c r="C76" i="6"/>
  <c r="E75" i="6"/>
  <c r="C75" i="6"/>
  <c r="E74" i="6"/>
  <c r="C74" i="6"/>
  <c r="E73" i="6"/>
  <c r="C73" i="6"/>
  <c r="E72" i="6"/>
  <c r="C72" i="6"/>
  <c r="E71" i="6"/>
  <c r="C71" i="6"/>
  <c r="E70" i="6"/>
  <c r="C70" i="6"/>
  <c r="E69" i="6"/>
  <c r="C69" i="6"/>
  <c r="E68" i="6"/>
  <c r="C68" i="6"/>
  <c r="E67" i="6"/>
  <c r="C67" i="6"/>
  <c r="E66" i="6"/>
  <c r="C66" i="6"/>
  <c r="E65" i="6"/>
  <c r="C65" i="6"/>
  <c r="E64" i="6"/>
  <c r="C64" i="6"/>
  <c r="E63" i="6"/>
  <c r="C63" i="6"/>
  <c r="E62" i="6"/>
  <c r="C62" i="6"/>
  <c r="E61" i="6"/>
  <c r="C61" i="6"/>
  <c r="E60" i="6"/>
  <c r="C60" i="6"/>
  <c r="E59" i="6"/>
  <c r="C59" i="6"/>
  <c r="E58" i="6"/>
  <c r="C58" i="6"/>
  <c r="E57" i="6"/>
  <c r="C57" i="6"/>
  <c r="E56" i="6"/>
  <c r="C56" i="6"/>
  <c r="E55" i="6"/>
  <c r="C55" i="6"/>
  <c r="E54" i="6"/>
  <c r="C54" i="6"/>
  <c r="E53" i="6"/>
  <c r="C53" i="6"/>
  <c r="E52" i="6"/>
  <c r="C52" i="6"/>
  <c r="E51" i="6"/>
  <c r="C51" i="6"/>
  <c r="E50" i="6"/>
  <c r="C50" i="6"/>
  <c r="E49" i="6"/>
  <c r="C49" i="6"/>
  <c r="E48" i="6"/>
  <c r="C48" i="6"/>
  <c r="E47" i="6"/>
  <c r="C47" i="6"/>
  <c r="E46" i="6"/>
  <c r="C46" i="6"/>
  <c r="E45" i="6"/>
  <c r="C45" i="6"/>
  <c r="E44" i="6"/>
  <c r="C44" i="6"/>
  <c r="E43" i="6"/>
  <c r="C43" i="6"/>
  <c r="E42" i="6"/>
  <c r="C42" i="6"/>
  <c r="E41" i="6"/>
  <c r="C41" i="6"/>
  <c r="E40" i="6"/>
  <c r="C40" i="6"/>
  <c r="E39" i="6"/>
  <c r="C39" i="6"/>
  <c r="E38" i="6"/>
  <c r="C38" i="6"/>
  <c r="E37" i="6"/>
  <c r="C37" i="6"/>
  <c r="E36" i="6"/>
  <c r="C36" i="6"/>
  <c r="E35" i="6"/>
  <c r="C35" i="6"/>
  <c r="E34" i="6"/>
  <c r="C34" i="6"/>
  <c r="E33" i="6"/>
  <c r="C33" i="6"/>
  <c r="E32" i="6"/>
  <c r="C32" i="6"/>
  <c r="E31" i="6"/>
  <c r="C31" i="6"/>
  <c r="E30" i="6"/>
  <c r="C30" i="6"/>
  <c r="E29" i="6"/>
  <c r="C29" i="6"/>
  <c r="E28" i="6"/>
  <c r="C28" i="6"/>
  <c r="E27" i="6"/>
  <c r="C27" i="6"/>
  <c r="E26" i="6"/>
  <c r="C26" i="6"/>
  <c r="E25" i="6"/>
  <c r="C25" i="6"/>
  <c r="E24" i="6"/>
  <c r="C24" i="6"/>
  <c r="E23" i="6"/>
  <c r="C23" i="6"/>
  <c r="E22" i="6"/>
  <c r="C22" i="6"/>
  <c r="E21" i="6"/>
  <c r="C21" i="6"/>
  <c r="E20" i="6"/>
  <c r="C20" i="6"/>
  <c r="E19" i="6"/>
  <c r="C19" i="6"/>
  <c r="E18" i="6"/>
  <c r="C18" i="6"/>
  <c r="E17" i="6"/>
  <c r="C17" i="6"/>
  <c r="E16" i="6"/>
  <c r="C16" i="6"/>
  <c r="E15" i="6"/>
  <c r="C15" i="6"/>
  <c r="E14" i="6"/>
  <c r="C14" i="6"/>
  <c r="E13" i="6"/>
  <c r="C13" i="6"/>
  <c r="E12" i="6"/>
  <c r="C12" i="6"/>
  <c r="E11" i="6"/>
  <c r="C11" i="6"/>
  <c r="E10" i="6"/>
  <c r="C10" i="6"/>
  <c r="E9" i="6"/>
  <c r="C9" i="6"/>
  <c r="E8" i="6"/>
  <c r="C8" i="6"/>
  <c r="E7" i="6"/>
  <c r="C7" i="6"/>
  <c r="E6" i="6"/>
  <c r="C6" i="6"/>
  <c r="E5" i="6"/>
  <c r="C5" i="6"/>
  <c r="E4" i="6"/>
  <c r="E52" i="5"/>
  <c r="D52" i="5"/>
  <c r="E51" i="5"/>
  <c r="D51" i="5"/>
  <c r="E50" i="5"/>
  <c r="D50" i="5"/>
  <c r="E49" i="5"/>
  <c r="D49" i="5"/>
  <c r="E48" i="5"/>
  <c r="D48" i="5"/>
  <c r="E47" i="5"/>
  <c r="D47" i="5"/>
  <c r="E46" i="5"/>
  <c r="D46" i="5"/>
  <c r="E45" i="5"/>
  <c r="D45" i="5"/>
  <c r="E44" i="5"/>
  <c r="D44" i="5"/>
  <c r="E43" i="5"/>
  <c r="D43" i="5"/>
  <c r="E42" i="5"/>
  <c r="D42" i="5"/>
  <c r="E41" i="5"/>
  <c r="D41" i="5"/>
  <c r="E40" i="5"/>
  <c r="D40" i="5"/>
  <c r="E39" i="5"/>
  <c r="D39" i="5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E6" i="5"/>
  <c r="D6" i="5"/>
  <c r="E5" i="5"/>
  <c r="D5" i="5"/>
  <c r="E4" i="5"/>
  <c r="D4" i="5"/>
  <c r="E11" i="4"/>
  <c r="E10" i="4"/>
  <c r="E9" i="4"/>
  <c r="E8" i="4"/>
  <c r="E7" i="4"/>
  <c r="E6" i="4"/>
  <c r="E5" i="4"/>
  <c r="E30" i="3"/>
  <c r="D30" i="3"/>
  <c r="E29" i="3"/>
  <c r="D29" i="3"/>
  <c r="E28" i="3"/>
  <c r="D28" i="3"/>
  <c r="E27" i="3"/>
  <c r="D27" i="3"/>
  <c r="E26" i="3"/>
  <c r="D26" i="3"/>
  <c r="C7" i="9" l="1"/>
  <c r="C19" i="9"/>
  <c r="C31" i="9"/>
  <c r="C43" i="9"/>
  <c r="C6" i="9"/>
  <c r="C18" i="9"/>
  <c r="C30" i="9"/>
  <c r="C42" i="9"/>
  <c r="C8" i="9"/>
  <c r="C20" i="9"/>
  <c r="C32" i="9"/>
  <c r="C44" i="9"/>
  <c r="C9" i="9"/>
  <c r="C21" i="9"/>
  <c r="C33" i="9"/>
  <c r="C45" i="9"/>
  <c r="C10" i="9"/>
  <c r="C22" i="9"/>
  <c r="C34" i="9"/>
  <c r="C46" i="9"/>
  <c r="C11" i="9"/>
  <c r="C23" i="9"/>
  <c r="C35" i="9"/>
  <c r="C47" i="9"/>
  <c r="C12" i="9"/>
  <c r="C24" i="9"/>
  <c r="C36" i="9"/>
  <c r="C48" i="9"/>
  <c r="C13" i="9"/>
  <c r="C25" i="9"/>
  <c r="C37" i="9"/>
  <c r="C49" i="9"/>
  <c r="C14" i="9"/>
  <c r="C26" i="9"/>
  <c r="C38" i="9"/>
  <c r="C50" i="9"/>
  <c r="C15" i="9"/>
  <c r="C27" i="9"/>
  <c r="C39" i="9"/>
  <c r="C51" i="9"/>
  <c r="C16" i="9"/>
  <c r="C28" i="9"/>
  <c r="C40" i="9"/>
  <c r="C52" i="9"/>
  <c r="C5" i="9"/>
  <c r="C17" i="9"/>
  <c r="C29" i="9"/>
  <c r="C41" i="9"/>
  <c r="T36" i="7"/>
  <c r="T18" i="7"/>
  <c r="T30" i="7"/>
  <c r="T48" i="7"/>
  <c r="E23" i="13"/>
  <c r="T24" i="7"/>
  <c r="T42" i="7"/>
  <c r="Q3" i="7"/>
  <c r="T4" i="7"/>
  <c r="T13" i="7"/>
  <c r="T22" i="7"/>
  <c r="T49" i="7"/>
  <c r="T44" i="7"/>
  <c r="T25" i="7"/>
  <c r="T43" i="7"/>
  <c r="T14" i="7"/>
  <c r="T28" i="7"/>
  <c r="T7" i="7"/>
  <c r="T16" i="7"/>
  <c r="T37" i="7"/>
  <c r="T32" i="7"/>
  <c r="T46" i="7"/>
  <c r="T6" i="7"/>
  <c r="T20" i="7"/>
  <c r="T34" i="7"/>
  <c r="T52" i="7"/>
  <c r="D14" i="13"/>
  <c r="F15" i="13"/>
  <c r="T8" i="7"/>
  <c r="T38" i="7"/>
  <c r="T12" i="7"/>
  <c r="T31" i="7"/>
  <c r="T10" i="7"/>
  <c r="T26" i="7"/>
  <c r="T40" i="7"/>
  <c r="T21" i="7"/>
  <c r="R21" i="7"/>
  <c r="R23" i="7"/>
  <c r="T23" i="7"/>
  <c r="R5" i="7"/>
  <c r="T5" i="7"/>
  <c r="T51" i="7"/>
  <c r="R51" i="7"/>
  <c r="T9" i="7"/>
  <c r="R9" i="7"/>
  <c r="R11" i="7"/>
  <c r="T11" i="7"/>
  <c r="T39" i="7"/>
  <c r="R39" i="7"/>
  <c r="R41" i="7"/>
  <c r="T41" i="7"/>
  <c r="T50" i="7"/>
  <c r="R50" i="7"/>
  <c r="T27" i="7"/>
  <c r="R27" i="7"/>
  <c r="R29" i="7"/>
  <c r="T29" i="7"/>
  <c r="T15" i="7"/>
  <c r="R15" i="7"/>
  <c r="R17" i="7"/>
  <c r="T17" i="7"/>
  <c r="T45" i="7"/>
  <c r="R45" i="7"/>
  <c r="R47" i="7"/>
  <c r="T47" i="7"/>
  <c r="T33" i="7"/>
  <c r="R33" i="7"/>
  <c r="R35" i="7"/>
  <c r="T35" i="7"/>
  <c r="R4" i="7"/>
  <c r="R10" i="7"/>
  <c r="R16" i="7"/>
  <c r="R22" i="7"/>
  <c r="R28" i="7"/>
  <c r="R34" i="7"/>
  <c r="R40" i="7"/>
  <c r="R46" i="7"/>
  <c r="R52" i="7"/>
  <c r="D21" i="13"/>
  <c r="F23" i="13"/>
  <c r="T19" i="7"/>
  <c r="F11" i="13"/>
  <c r="F14" i="13"/>
  <c r="E21" i="13"/>
  <c r="B24" i="13"/>
  <c r="C24" i="13"/>
  <c r="D12" i="13"/>
  <c r="D15" i="13"/>
  <c r="B22" i="13"/>
  <c r="D24" i="13"/>
  <c r="R8" i="7"/>
  <c r="R14" i="7"/>
  <c r="R20" i="7"/>
  <c r="R26" i="7"/>
  <c r="R32" i="7"/>
  <c r="R38" i="7"/>
  <c r="R44" i="7"/>
  <c r="E6" i="13"/>
  <c r="C22" i="13"/>
  <c r="E24" i="13"/>
  <c r="D22" i="13"/>
  <c r="F24" i="13"/>
  <c r="F12" i="13"/>
  <c r="R7" i="7"/>
  <c r="R13" i="7"/>
  <c r="R25" i="7"/>
  <c r="R31" i="7"/>
  <c r="R37" i="7"/>
  <c r="R43" i="7"/>
  <c r="R49" i="7"/>
  <c r="E22" i="13"/>
  <c r="B25" i="13"/>
  <c r="D10" i="13"/>
  <c r="D13" i="13"/>
  <c r="D16" i="13"/>
  <c r="F22" i="13"/>
  <c r="C25" i="13"/>
  <c r="B23" i="13"/>
  <c r="D25" i="13"/>
  <c r="F10" i="13"/>
  <c r="F13" i="13"/>
  <c r="F16" i="13"/>
  <c r="C23" i="13"/>
  <c r="E25" i="13"/>
  <c r="B21" i="13"/>
  <c r="D23" i="13"/>
  <c r="F25" i="13"/>
  <c r="C21" i="13"/>
  <c r="A4" i="8" l="1" a="1"/>
  <c r="A4" i="8" s="1"/>
  <c r="T3" i="7"/>
  <c r="R3" i="7"/>
  <c r="F21" i="13" s="1"/>
  <c r="C6" i="13" l="1"/>
  <c r="D11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<sst xmlns="http://schemas.openxmlformats.org/spreadsheetml/2006/main" count="2334" uniqueCount="2232">
  <si>
    <t>DOKUMEN MANAJEMEN RISIKO</t>
  </si>
  <si>
    <t>Mahkamah Agung Republik Indonesia — Risk-Sim</t>
  </si>
  <si>
    <t>Berbasis SPIP — PP No. 60 Tahun 2008</t>
  </si>
  <si>
    <t>Tab</t>
  </si>
  <si>
    <t>Nama Sheet</t>
  </si>
  <si>
    <t>Fungsi</t>
  </si>
  <si>
    <t>Diisi Oleh</t>
  </si>
  <si>
    <t>MASTER</t>
  </si>
  <si>
    <t>Master Data &amp; Referensi</t>
  </si>
  <si>
    <t>Data unit kerja, kategori, proses bisnis MA</t>
  </si>
  <si>
    <t>Admin Sistem</t>
  </si>
  <si>
    <t>KONTEKS</t>
  </si>
  <si>
    <t>Penetapan Konteks</t>
  </si>
  <si>
    <t>Kerangka MR: unit kerja, tahun, sasaran, proses bisnis</t>
  </si>
  <si>
    <t>Pengelola Risiko</t>
  </si>
  <si>
    <t>SELERA_RISIKO</t>
  </si>
  <si>
    <t>Penetapan Selera Risiko</t>
  </si>
  <si>
    <t>Threshold toleransi per 7 kategori risiko</t>
  </si>
  <si>
    <t>Pemilik Risiko</t>
  </si>
  <si>
    <t>IDENTIFIKASI</t>
  </si>
  <si>
    <t>Identifikasi Risiko (Lamp. 5)</t>
  </si>
  <si>
    <t>Daftar risiko + kode otomatis</t>
  </si>
  <si>
    <t>PENYEBAB</t>
  </si>
  <si>
    <t>Identifikasi Penyebab (Lamp. 9)</t>
  </si>
  <si>
    <t>5-Whys per risiko + kode penyebab otomatis</t>
  </si>
  <si>
    <t>ANALISIS</t>
  </si>
  <si>
    <t>Analisis Risiko</t>
  </si>
  <si>
    <t>Matriks 5×5, skor inheren &amp; residual</t>
  </si>
  <si>
    <t>EVALUASI</t>
  </si>
  <si>
    <t>Evaluasi Risiko</t>
  </si>
  <si>
    <t>Prioritas + heatmap 5×5 residual</t>
  </si>
  <si>
    <t>EVAL_PENG</t>
  </si>
  <si>
    <t>Evaluasi Pengendalian Utama</t>
  </si>
  <si>
    <t>Pengendalian kunci per risiko prioritas</t>
  </si>
  <si>
    <t>APIP</t>
  </si>
  <si>
    <t>PROGRAM_AUDIT</t>
  </si>
  <si>
    <t>Program Kerja Audit</t>
  </si>
  <si>
    <t>PKA per risiko kecukupan kurang/tidak memadai</t>
  </si>
  <si>
    <t>RTP</t>
  </si>
  <si>
    <t>Rencana Tindak Pengendalian (Lamp. 10)</t>
  </si>
  <si>
    <t>Mitigasi per penyebab risiko prioritas</t>
  </si>
  <si>
    <t>MATURITAS</t>
  </si>
  <si>
    <t>Maturitas Manajemen Risiko</t>
  </si>
  <si>
    <t>Penilaian kapabilitas MR level 1–5</t>
  </si>
  <si>
    <t>APIP / UMR</t>
  </si>
  <si>
    <t>LAPORAN</t>
  </si>
  <si>
    <t>Laporan Eksekutif</t>
  </si>
  <si>
    <t>Dashboard ringkasan lintas modul</t>
  </si>
  <si>
    <t>Unit MR MA</t>
  </si>
  <si>
    <t>⚠  Catatan Penggunaan: Workbook ini dirancang untuk SATU konteks (satu unit kerja × satu tahun). Isi sheet secara berurutan dari [1] KONTEKS hingga [9] RTP. Sheet EVALUASI, [7], [8], dan [9] otomatis menarik data — tidak perlu diisi manual selain kolom input berwarna putih.</t>
  </si>
  <si>
    <t>Kode Unit</t>
  </si>
  <si>
    <t>Nama Unit Kerja</t>
  </si>
  <si>
    <t>No</t>
  </si>
  <si>
    <t>Kategori Risiko</t>
  </si>
  <si>
    <t>Kode</t>
  </si>
  <si>
    <t>Kode 5M</t>
  </si>
  <si>
    <t>Kategori Penyebab</t>
  </si>
  <si>
    <t>Kode Proses</t>
  </si>
  <si>
    <t>Kelompok Proses</t>
  </si>
  <si>
    <t>Sub Proses</t>
  </si>
  <si>
    <t>Indikator Default</t>
  </si>
  <si>
    <t>Klasifikasi SPIP</t>
  </si>
  <si>
    <t>Besaran</t>
  </si>
  <si>
    <t>Level</t>
  </si>
  <si>
    <t>Label</t>
  </si>
  <si>
    <t>KMA</t>
  </si>
  <si>
    <t>Ketua Mahkamah Agung</t>
  </si>
  <si>
    <t>1</t>
  </si>
  <si>
    <t>Strategis</t>
  </si>
  <si>
    <t>STR</t>
  </si>
  <si>
    <t>MN</t>
  </si>
  <si>
    <t>Manusia (Man)</t>
  </si>
  <si>
    <t>MA-01.01</t>
  </si>
  <si>
    <t>MA-01 Pengelolaan Proses Peradilan</t>
  </si>
  <si>
    <t>Peningkatan Penyelesaian Perkara Tepat Waktu</t>
  </si>
  <si>
    <t>Persentase perkara diselesaikan tepat waktu</t>
  </si>
  <si>
    <t>Lingkungan Pengendalian — Komitmen terhadap kompetensi</t>
  </si>
  <si>
    <t>1–5</t>
  </si>
  <si>
    <t>Sangat Rendah</t>
  </si>
  <si>
    <t>SEKMA</t>
  </si>
  <si>
    <t>Sekretariat Mahkamah Agung</t>
  </si>
  <si>
    <t>2</t>
  </si>
  <si>
    <t>Kebijakan</t>
  </si>
  <si>
    <t>KBJ</t>
  </si>
  <si>
    <t>MY</t>
  </si>
  <si>
    <t>Dana (Money)</t>
  </si>
  <si>
    <t>MA-01.02</t>
  </si>
  <si>
    <t>Peningkatan putusan pendekatan keadilan restoratif</t>
  </si>
  <si>
    <t>Jumlah putusan restoratif</t>
  </si>
  <si>
    <t>Lingkungan Pengendalian — Kepemimpinan yang kondusif</t>
  </si>
  <si>
    <t>6–10</t>
  </si>
  <si>
    <t>Rendah</t>
  </si>
  <si>
    <t>Badan Pengawasan</t>
  </si>
  <si>
    <t>3</t>
  </si>
  <si>
    <t>Kecurangan</t>
  </si>
  <si>
    <t>KCR</t>
  </si>
  <si>
    <t>MD</t>
  </si>
  <si>
    <t>Metode (Method)</t>
  </si>
  <si>
    <t>MA-01.03</t>
  </si>
  <si>
    <t>Peningkatan perkara tidak mengajukan upaya hukum</t>
  </si>
  <si>
    <t>Persentase perkara inkracht</t>
  </si>
  <si>
    <t>Lingkungan Pengendalian — Struktur organisasi</t>
  </si>
  <si>
    <t>11–15</t>
  </si>
  <si>
    <t>Sedang</t>
  </si>
  <si>
    <t>Direktorat Jenderal Badan Peradilan Umum</t>
  </si>
  <si>
    <t>4</t>
  </si>
  <si>
    <t>Bencana</t>
  </si>
  <si>
    <t>BNC</t>
  </si>
  <si>
    <t>MR</t>
  </si>
  <si>
    <t>Bahan (Material)</t>
  </si>
  <si>
    <t>MA-01.04</t>
  </si>
  <si>
    <t>Peningkatan penyelesaian perkara pidana anak dengan diversi</t>
  </si>
  <si>
    <t>Jumlah perkara diversi</t>
  </si>
  <si>
    <t>Lingkungan Pengendalian — Pendelegasian wewenang dan tanggung jawab</t>
  </si>
  <si>
    <t>16–19</t>
  </si>
  <si>
    <t>Tinggi</t>
  </si>
  <si>
    <t>5</t>
  </si>
  <si>
    <t>Kepatuhan</t>
  </si>
  <si>
    <t>KPT</t>
  </si>
  <si>
    <t>MC</t>
  </si>
  <si>
    <t>Mesin (Machine)</t>
  </si>
  <si>
    <t>MA-02.01</t>
  </si>
  <si>
    <t>MA-02 Efektivitas Penyelesaian Perkara</t>
  </si>
  <si>
    <t>Pengiriman salinan putusan tepat waktu</t>
  </si>
  <si>
    <t>Persentase pengiriman tepat waktu</t>
  </si>
  <si>
    <t>Lingkungan Pengendalian — Kebijakan pembinaan SDM</t>
  </si>
  <si>
    <t>20–25</t>
  </si>
  <si>
    <t>Sangat Tinggi</t>
  </si>
  <si>
    <t>6</t>
  </si>
  <si>
    <t>Operasional</t>
  </si>
  <si>
    <t>OPS</t>
  </si>
  <si>
    <t>EX</t>
  </si>
  <si>
    <t>Eksternal</t>
  </si>
  <si>
    <t>MA-02.02</t>
  </si>
  <si>
    <t>Penyelesaian perkara melalui mediasi</t>
  </si>
  <si>
    <t>Jumlah perkara mediasi berhasil</t>
  </si>
  <si>
    <t>Penilaian Risiko — Identifikasi risiko</t>
  </si>
  <si>
    <t>Direktorat Jenderal Badan Peradilan Agama</t>
  </si>
  <si>
    <t>7</t>
  </si>
  <si>
    <t>Kemitraan</t>
  </si>
  <si>
    <t>KMT</t>
  </si>
  <si>
    <t>MA-03.01</t>
  </si>
  <si>
    <t>MA-03 Akses Peradilan</t>
  </si>
  <si>
    <t>Penyelesaian perkara prodeo</t>
  </si>
  <si>
    <t>Jumlah perkara prodeo diselesaikan</t>
  </si>
  <si>
    <t>Penilaian Risiko — Analisis risiko</t>
  </si>
  <si>
    <t>MA-03.02</t>
  </si>
  <si>
    <t>Penyelesaian perkara di luar gedung</t>
  </si>
  <si>
    <t>Jumlah sidang luar gedung</t>
  </si>
  <si>
    <t>Kegiatan Pengendalian — Review kinerja</t>
  </si>
  <si>
    <t>MA-03.03</t>
  </si>
  <si>
    <t>Perkara permohonan identitas hukum</t>
  </si>
  <si>
    <t>Jumlah permohonan identitas</t>
  </si>
  <si>
    <t>Kegiatan Pengendalian — Pengendalian atas pengelolaan sistem informasi</t>
  </si>
  <si>
    <t>Pengadilan Tinggi Jakarta</t>
  </si>
  <si>
    <t>MA-03.04</t>
  </si>
  <si>
    <t>Layanan bantuan hukum (Posbankum)</t>
  </si>
  <si>
    <t>Jumlah penerima bantuan hukum</t>
  </si>
  <si>
    <t>Kegiatan Pengendalian — Pengendalian fisik atas aset</t>
  </si>
  <si>
    <t>Pengadilan Tinggi Bandung</t>
  </si>
  <si>
    <t>MA-04.01</t>
  </si>
  <si>
    <t>MA-04 Kepatuhan Putusan</t>
  </si>
  <si>
    <t>Putusan perkara perdata dieksekusi</t>
  </si>
  <si>
    <t>Persentase putusan perdata dieksekusi</t>
  </si>
  <si>
    <t>Kegiatan Pengendalian — Penetapan dan reviu atas indikator kinerja</t>
  </si>
  <si>
    <t>Pengadilan Agama Jakarta Pusat</t>
  </si>
  <si>
    <t>MA-04.02</t>
  </si>
  <si>
    <t>Putusan perkara TUN dieksekusi</t>
  </si>
  <si>
    <t>Persentase putusan TUN dieksekusi</t>
  </si>
  <si>
    <t>Kegiatan Pengendalian — Pemisahan fungsi</t>
  </si>
  <si>
    <t>MA-05.01</t>
  </si>
  <si>
    <t>MA-05 Pembinaan SDM</t>
  </si>
  <si>
    <t>Pengadaan dan Rekrutmen Tenaga</t>
  </si>
  <si>
    <t>Jumlah tenaga rekrut</t>
  </si>
  <si>
    <t>Kegiatan Pengendalian — Otorisasi atas transaksi</t>
  </si>
  <si>
    <t>MA-05.02</t>
  </si>
  <si>
    <t>Pembinaan dan Pelatihan Tenaga Teknis</t>
  </si>
  <si>
    <t>Jumlah peserta diklat teknis</t>
  </si>
  <si>
    <t>Kegiatan Pengendalian — Pencatatan yang akurat dan tepat waktu</t>
  </si>
  <si>
    <t>MA-05.03</t>
  </si>
  <si>
    <t>Pembinaan dan Pelatihan Tenaga Non Teknis</t>
  </si>
  <si>
    <t>Jumlah peserta diklat non teknis</t>
  </si>
  <si>
    <t>Kegiatan Pengendalian — Pembatasan akses atas sumber daya</t>
  </si>
  <si>
    <t>MA-05.04</t>
  </si>
  <si>
    <t>Promosi dan Mutasi</t>
  </si>
  <si>
    <t>Jumlah SK promosi/mutasi</t>
  </si>
  <si>
    <t>Kegiatan Pengendalian — Akuntabilitas terhadap sumber daya</t>
  </si>
  <si>
    <t>MA-06.01</t>
  </si>
  <si>
    <t>MA-06 Pengembangan Kebijakan</t>
  </si>
  <si>
    <t>Pengembangan Peraturan Perundang-Undangan</t>
  </si>
  <si>
    <t>Jumlah peraturan diterbitkan</t>
  </si>
  <si>
    <t>Kegiatan Pengendalian — Dokumentasi atas sistem pengendalian intern</t>
  </si>
  <si>
    <t>MA-06.02</t>
  </si>
  <si>
    <t>Pengembangan SK Ketua MA</t>
  </si>
  <si>
    <t>Jumlah SKKMA diterbitkan</t>
  </si>
  <si>
    <t>Informasi dan Komunikasi — Informasi yang relevan</t>
  </si>
  <si>
    <t>MA-06.03</t>
  </si>
  <si>
    <t>Pengembangan Keputusan Pejabat Eselon I</t>
  </si>
  <si>
    <t>Jumlah SK Eselon I</t>
  </si>
  <si>
    <t>Informasi dan Komunikasi — Komunikasi yang efektif</t>
  </si>
  <si>
    <t>MA-07.01</t>
  </si>
  <si>
    <t>MA-07 Pengawasan Kinerja</t>
  </si>
  <si>
    <t>Pengembangan Sistem Pengawasan Berbasis TI</t>
  </si>
  <si>
    <t>Persentase sistem pengawasan TI terimplementasi</t>
  </si>
  <si>
    <t>Pemantauan — Pemantauan berkelanjutan</t>
  </si>
  <si>
    <t>MA-07.02</t>
  </si>
  <si>
    <t>Implementasi Pengawasan Internal</t>
  </si>
  <si>
    <t>Jumlah laporan pengawasan internal</t>
  </si>
  <si>
    <t>Pemantauan — Evaluasi terpisah</t>
  </si>
  <si>
    <t>MA-07.03</t>
  </si>
  <si>
    <t>Implementasi Pengawasan Eksternal</t>
  </si>
  <si>
    <t>Jumlah tindak lanjut pengawasan eksternal</t>
  </si>
  <si>
    <t>Pemantauan — Tindak lanjut rekomendasi</t>
  </si>
  <si>
    <t>MA-08.01</t>
  </si>
  <si>
    <t>MA-08 Administrasi</t>
  </si>
  <si>
    <t>Rencana Program dan Penganggaran</t>
  </si>
  <si>
    <t>Persentase realisasi anggaran</t>
  </si>
  <si>
    <t>MA-08.02</t>
  </si>
  <si>
    <t>Pengelolaan Organisasi dan Tata Laksana</t>
  </si>
  <si>
    <t>Jumlah dokumen tata laksana</t>
  </si>
  <si>
    <t>MA-08.03</t>
  </si>
  <si>
    <t>Pengelolaan Sarana dan Prasarana</t>
  </si>
  <si>
    <t>Persentase sapras terpelihara</t>
  </si>
  <si>
    <t>MA-08.04</t>
  </si>
  <si>
    <t>Layanan Kehumasan dan Informasi Publik</t>
  </si>
  <si>
    <t>Indeks kepuasan informasi publik</t>
  </si>
  <si>
    <t>MA-09.01</t>
  </si>
  <si>
    <t>MA-09 Teknologi Informasi</t>
  </si>
  <si>
    <t>Perencanaan Pembangunan TI</t>
  </si>
  <si>
    <t>Jumlah dokumen perencanaan TI</t>
  </si>
  <si>
    <t>MA-09.02</t>
  </si>
  <si>
    <t>Pembangunan dan Pengembangan TI</t>
  </si>
  <si>
    <t>Jumlah sistem TI dikembangkan</t>
  </si>
  <si>
    <t>MA-09.03</t>
  </si>
  <si>
    <t>Pengelolaan dan Pemeliharaan TI</t>
  </si>
  <si>
    <t>Persentase uptime sistem TI</t>
  </si>
  <si>
    <t>MA-10.01</t>
  </si>
  <si>
    <t>MA-10 Koordinasi K/L</t>
  </si>
  <si>
    <t>Rencana Program Sinergitas Antar Instansi</t>
  </si>
  <si>
    <t>Jumlah MoU/PKS aktif</t>
  </si>
  <si>
    <t>MA-10.02</t>
  </si>
  <si>
    <t>Pertukaran Data Peningkatan Layanan Peradilan</t>
  </si>
  <si>
    <t>Jumlah sistem data terintegrasi</t>
  </si>
  <si>
    <t>[1] PENETAPAN KONTEKS</t>
  </si>
  <si>
    <t>A. IDENTITAS KONTEKS</t>
  </si>
  <si>
    <t>Unit Kerja</t>
  </si>
  <si>
    <t>Tahun Penerapan</t>
  </si>
  <si>
    <t>Periode Mulai</t>
  </si>
  <si>
    <t>Periode Selesai</t>
  </si>
  <si>
    <t>B. PEJABAT PENANGGUNG JAWAB</t>
  </si>
  <si>
    <t>Nama Pemilik Risiko</t>
  </si>
  <si>
    <t>Jabatan Pemilik Risiko</t>
  </si>
  <si>
    <t>Nama Pengelola Risiko</t>
  </si>
  <si>
    <t>Jabatan Pengelola Risiko</t>
  </si>
  <si>
    <t>C. SASARAN STRATEGIS (maks. 5)</t>
  </si>
  <si>
    <t>Uraian Sasaran Strategis</t>
  </si>
  <si>
    <t>Indikator Kinerja</t>
  </si>
  <si>
    <t>Target</t>
  </si>
  <si>
    <t>D. PROSES BISNIS UTAMA (maks. 5)</t>
  </si>
  <si>
    <t>Kode Proses (pilih)</t>
  </si>
  <si>
    <t>Sub Proses (otomatis)</t>
  </si>
  <si>
    <t>Indikator Proses (otomatis)</t>
  </si>
  <si>
    <t>E. PEMANGKU KEPENTINGAN</t>
  </si>
  <si>
    <t>[2] PENETAPAN SELERA RISIKO</t>
  </si>
  <si>
    <t>Isi threshold 1–5 untuk setiap kategori. Risiko dengan level residual DI ATAS threshold = PRIORITAS.</t>
  </si>
  <si>
    <t>Threshold (1–5)</t>
  </si>
  <si>
    <t>Makna Threshold</t>
  </si>
  <si>
    <t>[3] IDENTIFIKASI RISIKO — Format Lampiran 5</t>
  </si>
  <si>
    <t>ID</t>
  </si>
  <si>
    <t>Kode Risiko</t>
  </si>
  <si>
    <t>Kode Proses Bisnis</t>
  </si>
  <si>
    <t>Indikator Konteks</t>
  </si>
  <si>
    <t>Sasaran Strategis</t>
  </si>
  <si>
    <t>Pernyataan Risiko</t>
  </si>
  <si>
    <t>Dampak Potensial</t>
  </si>
  <si>
    <t>Metode SPIP</t>
  </si>
  <si>
    <t>Sumber Risiko</t>
  </si>
  <si>
    <t>Keterangan</t>
  </si>
  <si>
    <t>[4] IDENTIFIKASI PENYEBAB RISIKO (5-WHYS) — Format Lampiran 9</t>
  </si>
  <si>
    <t>Penyebab ID</t>
  </si>
  <si>
    <t>Kode Risiko (pilih ID dari [3])</t>
  </si>
  <si>
    <t>Kat. Penyebab (5M+EX)</t>
  </si>
  <si>
    <t>Kode Penyebab</t>
  </si>
  <si>
    <t>Why 1</t>
  </si>
  <si>
    <t>Why 2</t>
  </si>
  <si>
    <t>Why 3</t>
  </si>
  <si>
    <t>Why 4</t>
  </si>
  <si>
    <t>Why 5</t>
  </si>
  <si>
    <t>Akar Penyebab</t>
  </si>
  <si>
    <t>Kegiatan Pengendalian Eksisting</t>
  </si>
  <si>
    <t>Kolom B: isi Kode Risiko (salin dari kolom B sheet [3] IDENTIFIKASI). Kolom D: pilih kategori 5M+EX dari dropdown. Kolom E: terisi otomatis.</t>
  </si>
  <si>
    <t>[5] ANALISIS RISIKO — Matriks 5×5 Kemungkinan × Dampak</t>
  </si>
  <si>
    <t>Kode Risiko
(dari [3])</t>
  </si>
  <si>
    <t>Kategori</t>
  </si>
  <si>
    <t>Kemungkinan
Inheren (1–5)</t>
  </si>
  <si>
    <t>Dampak
Inheren (1–5)</t>
  </si>
  <si>
    <t>Besaran
Inheren</t>
  </si>
  <si>
    <t>Level
Inheren</t>
  </si>
  <si>
    <t>Label
Inheren</t>
  </si>
  <si>
    <t>Ada
Pengendalian?</t>
  </si>
  <si>
    <t>Pengendalian Eksisting</t>
  </si>
  <si>
    <t>Efektivitas
Pengendalian</t>
  </si>
  <si>
    <t>Kecukupan
Pengendalian</t>
  </si>
  <si>
    <t>Kemungkinan
Residual (1–5)</t>
  </si>
  <si>
    <t>Dampak
Residual (1–5)</t>
  </si>
  <si>
    <t>Besaran
Residual</t>
  </si>
  <si>
    <t>Level
Residual</t>
  </si>
  <si>
    <t>Label
Residual</t>
  </si>
  <si>
    <t>Threshold
(dari [2])</t>
  </si>
  <si>
    <t>Di Atas
Selera?</t>
  </si>
  <si>
    <t>[6] EVALUASI RISIKO — Daftar Prioritas &amp; Heatmap 5×5</t>
  </si>
  <si>
    <t>A. RISIKO PRIORITAS (Di Atas Selera Risiko)</t>
  </si>
  <si>
    <t>Proses Bisnis</t>
  </si>
  <si>
    <t>Skor Inheren</t>
  </si>
  <si>
    <t>Level Inheren</t>
  </si>
  <si>
    <t>Skor Residual</t>
  </si>
  <si>
    <t>Level Residual</t>
  </si>
  <si>
    <t>Threshold</t>
  </si>
  <si>
    <t>Status</t>
  </si>
  <si>
    <t>B. HEATMAP 5×5 — RISIKO RESIDUAL</t>
  </si>
  <si>
    <t>K\D →</t>
  </si>
  <si>
    <t>Dampak 1</t>
  </si>
  <si>
    <t>Dampak 2</t>
  </si>
  <si>
    <t>Dampak 3</t>
  </si>
  <si>
    <t>Dampak 4</t>
  </si>
  <si>
    <t>Dampak 5</t>
  </si>
  <si>
    <t>K=5</t>
  </si>
  <si>
    <t>K=4</t>
  </si>
  <si>
    <t>K=3</t>
  </si>
  <si>
    <t>K=2</t>
  </si>
  <si>
    <t>K=1</t>
  </si>
  <si>
    <t>🔴 Sangat Tinggi (≥20)   🟠 Tinggi (16–19)   🟡 Sedang (11–15)   🟨 Rendah (6–10)   🟢 Sangat Rendah (1–5)</t>
  </si>
  <si>
    <t>[7] EVALUASI PENGENDALIAN UTAMA — Risiko Prioritas</t>
  </si>
  <si>
    <t>Isi kolom B (Kode Risiko) dengan kode dari risiko PRIORITAS (kolom S = "YA ⚠" di sheet [5] ANALISIS). Kolom lain terisi otomatis.</t>
  </si>
  <si>
    <t>Kode Risiko (prioritas)</t>
  </si>
  <si>
    <t>Pengendalian Eksisting
(dari [5] ANALISIS)</t>
  </si>
  <si>
    <t>Pengendalian Utama
(isi manual)</t>
  </si>
  <si>
    <t>Catatan APIP</t>
  </si>
  <si>
    <t>Catatan</t>
  </si>
  <si>
    <t>Isi kolom A (Kode Penyebab) dari penyebab risiko PRIORITAS. Salin dari kolom E sheet [4] PENYEBAB, hanya untuk penyebab dari risiko yang di_atas_selera = YA.</t>
  </si>
  <si>
    <t>Kode Penyebab
(dari [4])</t>
  </si>
  <si>
    <t>Kegiatan
Pengendalian
Eksisting</t>
  </si>
  <si>
    <t>Penanggung Jawab</t>
  </si>
  <si>
    <t>Indikator Keluaran</t>
  </si>
  <si>
    <t>Target Waktu</t>
  </si>
  <si>
    <t>Kemungkinan
Rencana (1–5)</t>
  </si>
  <si>
    <t>Dampak
Rencana (1–5)</t>
  </si>
  <si>
    <t>Besaran
RTP</t>
  </si>
  <si>
    <t>Level RTP</t>
  </si>
  <si>
    <t>Label RTP</t>
  </si>
  <si>
    <t>Pemantauan</t>
  </si>
  <si>
    <t>LAPORAN EKSEKUTIF — MANAJEMEN RISIKO</t>
  </si>
  <si>
    <t>INDIKATOR UTAMA</t>
  </si>
  <si>
    <t>Total Risiko Terdaftar</t>
  </si>
  <si>
    <t>Risiko Prioritas</t>
  </si>
  <si>
    <t>Risiko Ber-RTP</t>
  </si>
  <si>
    <t>Rerata Skor Residual</t>
  </si>
  <si>
    <t>DISTRIBUSI RISIKO PER KATEGORI</t>
  </si>
  <si>
    <t>Total Risiko</t>
  </si>
  <si>
    <t>Prioritas</t>
  </si>
  <si>
    <t>Ber-RTP</t>
  </si>
  <si>
    <t>TOP 5 RISIKO RESIDUAL TERTINGGI</t>
  </si>
  <si>
    <t>E1-U</t>
  </si>
  <si>
    <t>E1-A</t>
  </si>
  <si>
    <t>E1-MTUN</t>
  </si>
  <si>
    <t>E1-BSDK</t>
  </si>
  <si>
    <t>E1-BP</t>
  </si>
  <si>
    <t>E1-BUA</t>
  </si>
  <si>
    <t>E1-K</t>
  </si>
  <si>
    <t>Direktorat Jenderal Badan Peradilan Militer Dan Peradilan Tata Usaha Negara</t>
  </si>
  <si>
    <t>Badan Penelitian Dan Pengembangan Dan Pendidikan Dan Pelatihan Hukum Dan Peradilan</t>
  </si>
  <si>
    <t>Badan Urusan Administrasi</t>
  </si>
  <si>
    <t>Kepaniteraan</t>
  </si>
  <si>
    <t>Mahkamah Syar'iyah Aceh</t>
  </si>
  <si>
    <t>Mahkamah Syar'iyah Banda Aceh</t>
  </si>
  <si>
    <t>Mahkamah Syar'iyah Bireuen</t>
  </si>
  <si>
    <t>Mahkamah Syar'iyah Blangkajeren</t>
  </si>
  <si>
    <t>Mahkamah Syar'iyah Blangpidie</t>
  </si>
  <si>
    <t>Mahkamah Syar'iyah Calang</t>
  </si>
  <si>
    <t>Mahkamah Syar'iyah Idi</t>
  </si>
  <si>
    <t>Mahkamah Syar'iyah Jantho</t>
  </si>
  <si>
    <t>Mahkamah Syar'iyah Kota Subulussalam</t>
  </si>
  <si>
    <t>Mahkamah Syar'iyah Kuala Simpang</t>
  </si>
  <si>
    <t>Mahkamah Syar'iyah Kutacane</t>
  </si>
  <si>
    <t>Mahkamah Syar'iyah Langsa</t>
  </si>
  <si>
    <t>Mahkamah Syar'iyah Lhoksukon</t>
  </si>
  <si>
    <t>Mahkamah Syar'iyah Lhokseumawe</t>
  </si>
  <si>
    <t>Mahkamah Syar'iyah Meulaboh</t>
  </si>
  <si>
    <t>Mahkamah Syar'iyah Meureudu</t>
  </si>
  <si>
    <t>Mahkamah Syar'iyah Sabang</t>
  </si>
  <si>
    <t>Mahkamah Syar'iyah Sigli</t>
  </si>
  <si>
    <t>Mahkamah Syar'iyah Simpang Tiga Redelong</t>
  </si>
  <si>
    <t>Mahkamah Syar'iyah Sinabang</t>
  </si>
  <si>
    <t>Mahkamah Syar'iyah Singkil</t>
  </si>
  <si>
    <t>Mahkamah Syar'iyah Suka Makmue</t>
  </si>
  <si>
    <t>Mahkamah Syar'iyah Takengon</t>
  </si>
  <si>
    <t>Mahkamah Syar'iyah Tapak Tuan</t>
  </si>
  <si>
    <t>Pengadilan Agama Ambarawa</t>
  </si>
  <si>
    <t>Pengadilan Agama Ambon</t>
  </si>
  <si>
    <t>Pengadilan Agama Ampana</t>
  </si>
  <si>
    <t>Pengadilan Agama Amuntai</t>
  </si>
  <si>
    <t>Pengadilan Agama Amurang</t>
  </si>
  <si>
    <t>Pengadilan Agama Andoolo</t>
  </si>
  <si>
    <t>Pengadilan Agama Arga Makmur</t>
  </si>
  <si>
    <t>Pengadilan Agama Arso</t>
  </si>
  <si>
    <t>Pengadilan Agama Atambua</t>
  </si>
  <si>
    <t>Pengadilan Agama Badung</t>
  </si>
  <si>
    <t>Pengadilan Agama Bajawa</t>
  </si>
  <si>
    <t>Pengadilan Agama Balige</t>
  </si>
  <si>
    <t>Pengadilan Agama Balikpapan</t>
  </si>
  <si>
    <t>Pengadilan Agama Bandung</t>
  </si>
  <si>
    <t>Pengadilan Agama Banggai</t>
  </si>
  <si>
    <t>Pengadilan Agama Bangil</t>
  </si>
  <si>
    <t>Pengadilan Agama Bangkalan</t>
  </si>
  <si>
    <t>Pengadilan Agama Bangkinang</t>
  </si>
  <si>
    <t>Pengadilan Agama Bangko</t>
  </si>
  <si>
    <t>Pengadilan Agama Bangli</t>
  </si>
  <si>
    <t>Pengadilan Agama Banjar</t>
  </si>
  <si>
    <t>Pengadilan Agama Banjarbaru</t>
  </si>
  <si>
    <t>Pengadilan Agama Banjarmasin</t>
  </si>
  <si>
    <t>Pengadilan Agama Banjarnegara</t>
  </si>
  <si>
    <t>Pengadilan Agama Bantaeng</t>
  </si>
  <si>
    <t>Pengadilan Agama Bantul</t>
  </si>
  <si>
    <t>Pengadilan Agama Banyumas</t>
  </si>
  <si>
    <t>Pengadilan Agama Banyuwangi</t>
  </si>
  <si>
    <t>Pengadilan Agama Barabai</t>
  </si>
  <si>
    <t>Pengadilan Agama Barru</t>
  </si>
  <si>
    <t>Pengadilan Agama Batam</t>
  </si>
  <si>
    <t>Pengadilan Agama Batang</t>
  </si>
  <si>
    <t>Pengadilan Agama Batu Licin</t>
  </si>
  <si>
    <t>Pengadilan Agama Baturaja</t>
  </si>
  <si>
    <t>Pengadilan Agama Batusangkar</t>
  </si>
  <si>
    <t>Pengadilan Agama Bau</t>
  </si>
  <si>
    <t>Pengadilan Agama Bawean</t>
  </si>
  <si>
    <t>Pengadilan Agama Bekasi</t>
  </si>
  <si>
    <t>Pengadilan Agama Belopa</t>
  </si>
  <si>
    <t>Pengadilan Agama Bengkalis</t>
  </si>
  <si>
    <t>Pengadilan Agama Bengkayang</t>
  </si>
  <si>
    <t>Pengadilan Agama Bengkulu</t>
  </si>
  <si>
    <t>Pengadilan Agama Biak</t>
  </si>
  <si>
    <t>Pengadilan Agama Bima</t>
  </si>
  <si>
    <t>Pengadilan Agama Binjai</t>
  </si>
  <si>
    <t>Pengadilan Agama Bintuhan</t>
  </si>
  <si>
    <t>Pengadilan Agama Bitung</t>
  </si>
  <si>
    <t>Pengadilan Agama Blambangan Umpu</t>
  </si>
  <si>
    <t>Pengadilan Agama Blitar</t>
  </si>
  <si>
    <t>Pengadilan Agama Blora</t>
  </si>
  <si>
    <t>Pengadilan Agama Bogor</t>
  </si>
  <si>
    <t>Pengadilan Agama Bojonegoro</t>
  </si>
  <si>
    <t>Pengadilan Agama Bolaang Uki</t>
  </si>
  <si>
    <t>Pengadilan Agama Bondowoso</t>
  </si>
  <si>
    <t>Pengadilan Agama Bontang</t>
  </si>
  <si>
    <t>Pengadilan Agama Boroko</t>
  </si>
  <si>
    <t>Pengadilan Agama Boyolali</t>
  </si>
  <si>
    <t>Pengadilan Agama Brebes</t>
  </si>
  <si>
    <t>Pengadilan Agama Bukittinggi</t>
  </si>
  <si>
    <t>Pengadilan Agama Bulukumba</t>
  </si>
  <si>
    <t>Pengadilan Agama Bungku</t>
  </si>
  <si>
    <t>Pengadilan Agama Buntok</t>
  </si>
  <si>
    <t>Pengadilan Agama Buol</t>
  </si>
  <si>
    <t>Pengadilan Agama Ciamis</t>
  </si>
  <si>
    <t>Pengadilan Agama Cianjur</t>
  </si>
  <si>
    <t>Pengadilan Agama Cibadak</t>
  </si>
  <si>
    <t>Pengadilan Agama Cibinong</t>
  </si>
  <si>
    <t>Pengadilan Agama Cikarang</t>
  </si>
  <si>
    <t>Pengadilan Agama Cilacap</t>
  </si>
  <si>
    <t>Pengadilan Agama Cilegon</t>
  </si>
  <si>
    <t>Pengadilan Agama Cirebon</t>
  </si>
  <si>
    <t>Pengadilan Agama Curup</t>
  </si>
  <si>
    <t>Pengadilan Agama Dabo Singkep</t>
  </si>
  <si>
    <t>Pengadilan Agama Dataran Hunimoa</t>
  </si>
  <si>
    <t>Pengadilan Agama Dataran Hunipopu</t>
  </si>
  <si>
    <t>Pengadilan Agama Demak</t>
  </si>
  <si>
    <t>Pengadilan Agama Denpasar</t>
  </si>
  <si>
    <t>Pengadilan Agama Depok</t>
  </si>
  <si>
    <t>Pengadilan Agama Dompu</t>
  </si>
  <si>
    <t>Pengadilan Agama Donggala</t>
  </si>
  <si>
    <t>Pengadilan Agama Dumai</t>
  </si>
  <si>
    <t>Pengadilan Agama Ende</t>
  </si>
  <si>
    <t>Pengadilan Agama Enrekang</t>
  </si>
  <si>
    <t>Pengadilan Agama Fak</t>
  </si>
  <si>
    <t>Pengadilan Agama Garut</t>
  </si>
  <si>
    <t>Pengadilan Agama Gedong Tataan</t>
  </si>
  <si>
    <t>Pengadilan Agama Gianyar</t>
  </si>
  <si>
    <t>Pengadilan Agama Giri Menang</t>
  </si>
  <si>
    <t>Pengadilan Agama Gorontalo</t>
  </si>
  <si>
    <t>Pengadilan Agama Gresik</t>
  </si>
  <si>
    <t>Pengadilan Agama Gunung Sitoli</t>
  </si>
  <si>
    <t>Pengadilan Agama Gunung Sugih</t>
  </si>
  <si>
    <t>Pengadilan Agama Indramayu</t>
  </si>
  <si>
    <t>Pengadilan Agama Jakarta Barat</t>
  </si>
  <si>
    <t>Pengadilan Agama Jakarta Selatan</t>
  </si>
  <si>
    <t>Pengadilan Agama Jakarta Timur</t>
  </si>
  <si>
    <t>Pengadilan Agama Jakarta Utara</t>
  </si>
  <si>
    <t>Pengadilan Agama Jambi</t>
  </si>
  <si>
    <t>Pengadilan Agama Jayapura</t>
  </si>
  <si>
    <t>Pengadilan Agama Jember</t>
  </si>
  <si>
    <t>Pengadilan Agama Jeneponto</t>
  </si>
  <si>
    <t>Pengadilan Agama Jepara</t>
  </si>
  <si>
    <t>Pengadilan Agama Jombang</t>
  </si>
  <si>
    <t>Pengadilan Agama Kabanjahe</t>
  </si>
  <si>
    <t>Pengadilan Agama Kabupaten Kediri</t>
  </si>
  <si>
    <t>Pengadilan Agama Kabupaten Madiun</t>
  </si>
  <si>
    <t>Pengadilan Agama Kabupaten Malang</t>
  </si>
  <si>
    <t>Pengadilan Agama Kaimana</t>
  </si>
  <si>
    <t>Pengadilan Agama Kajen</t>
  </si>
  <si>
    <t>Pengadilan Agama Kalabahi</t>
  </si>
  <si>
    <t>Pengadilan Agama Kalianda</t>
  </si>
  <si>
    <t>Pengadilan Agama Kandangan</t>
  </si>
  <si>
    <t>Pengadilan Agama Kangean</t>
  </si>
  <si>
    <t>Pengadilan Agama Karanganyar</t>
  </si>
  <si>
    <t>Pengadilan Agama Karangasem</t>
  </si>
  <si>
    <t>Pengadilan Agama Karawang</t>
  </si>
  <si>
    <t>Pengadilan Agama Kasongan</t>
  </si>
  <si>
    <t>Pengadilan Agama Kayuagung</t>
  </si>
  <si>
    <t>Pengadilan Agama Kebumen</t>
  </si>
  <si>
    <t>Pengadilan Agama Kefamenanu</t>
  </si>
  <si>
    <t>Pengadilan Agama Kendal</t>
  </si>
  <si>
    <t>Pengadilan Agama Kendari</t>
  </si>
  <si>
    <t>Pengadilan Agama Kepahiang</t>
  </si>
  <si>
    <t>Pengadilan Agama Ketapang</t>
  </si>
  <si>
    <t>Pengadilan Agama Kisaran</t>
  </si>
  <si>
    <t>Pengadilan Agama Klaten</t>
  </si>
  <si>
    <t>Pengadilan Agama Klungkung</t>
  </si>
  <si>
    <t>Pengadilan Agama Kolaka</t>
  </si>
  <si>
    <t>Pengadilan Agama Kota Cimahi</t>
  </si>
  <si>
    <t>Pengadilan Agama Kota Kediri</t>
  </si>
  <si>
    <t>Pengadilan Agama Kota Madiun</t>
  </si>
  <si>
    <t>Pengadilan Agama Kota Malang</t>
  </si>
  <si>
    <t>Pengadilan Agama Kota Padang Sidempuan</t>
  </si>
  <si>
    <t>Pengadilan Agama Kota Tasikmalaya</t>
  </si>
  <si>
    <t>Pengadilan Agama Kotabaru</t>
  </si>
  <si>
    <t>Pengadilan Agama Kotabumi</t>
  </si>
  <si>
    <t>Pengadilan Agama Kotamobagu</t>
  </si>
  <si>
    <t>Pengadilan Agama Koto Baru</t>
  </si>
  <si>
    <t>Pengadilan Agama Kraksaan</t>
  </si>
  <si>
    <t>Pengadilan Agama Krui</t>
  </si>
  <si>
    <t>Pengadilan Agama Kuala Kapuas</t>
  </si>
  <si>
    <t>Pengadilan Agama Kuala Kurun</t>
  </si>
  <si>
    <t>Pengadilan Agama Kuala Pembuang</t>
  </si>
  <si>
    <t>Pengadilan Agama Kuala Tungkal</t>
  </si>
  <si>
    <t>Pengadilan Agama Kudus</t>
  </si>
  <si>
    <t>Pengadilan Agama Kuningan</t>
  </si>
  <si>
    <t>Pengadilan Agama Kupang</t>
  </si>
  <si>
    <t>Pengadilan Agama Kwandang</t>
  </si>
  <si>
    <t>Pengadilan Agama Labuan Bajo</t>
  </si>
  <si>
    <t>Pengadilan Agama Labuha</t>
  </si>
  <si>
    <t>Pengadilan Agama Lahat</t>
  </si>
  <si>
    <t>Pengadilan Agama Lamongan</t>
  </si>
  <si>
    <t>Pengadilan Agama Larantuka</t>
  </si>
  <si>
    <t>Pengadilan Agama Lasusua</t>
  </si>
  <si>
    <t>Pengadilan Agama Lebong</t>
  </si>
  <si>
    <t>Pengadilan Agama Lewoleba</t>
  </si>
  <si>
    <t>Pengadilan Agama Limboto</t>
  </si>
  <si>
    <t>Pengadilan Agama Lolak</t>
  </si>
  <si>
    <t>Pengadilan Agama Lubuk Basung</t>
  </si>
  <si>
    <t>Pengadilan Agama Lubuk Linggau</t>
  </si>
  <si>
    <t>Pengadilan Agama Lubuk Pakam</t>
  </si>
  <si>
    <t>Pengadilan Agama Lubuk Sikaping</t>
  </si>
  <si>
    <t>Pengadilan Agama Lumajang</t>
  </si>
  <si>
    <t>Pengadilan Agama Luwuk</t>
  </si>
  <si>
    <t>Pengadilan Agama Magelang</t>
  </si>
  <si>
    <t>Pengadilan Agama Magetan</t>
  </si>
  <si>
    <t>Pengadilan Agama Majalengka</t>
  </si>
  <si>
    <t>Pengadilan Agama Majene</t>
  </si>
  <si>
    <t>Pengadilan Agama Makale</t>
  </si>
  <si>
    <t>Pengadilan Agama Makassar</t>
  </si>
  <si>
    <t>Pengadilan Agama Malili</t>
  </si>
  <si>
    <t>Pengadilan Agama Mamuju</t>
  </si>
  <si>
    <t>Pengadilan Agama Manado</t>
  </si>
  <si>
    <t>Pengadilan Agama Maninjau</t>
  </si>
  <si>
    <t>Pengadilan Agama Manna</t>
  </si>
  <si>
    <t>Pengadilan Agama Manokwari</t>
  </si>
  <si>
    <t>Pengadilan Agama Marabahan</t>
  </si>
  <si>
    <t>Pengadilan Agama Marisa</t>
  </si>
  <si>
    <t>Pengadilan Agama Maros</t>
  </si>
  <si>
    <t>Pengadilan Agama Martapura (Sumsel)</t>
  </si>
  <si>
    <t>Pengadilan Agama Martapura (Kalsel)</t>
  </si>
  <si>
    <t>Pengadilan Agama Masamba</t>
  </si>
  <si>
    <t>Pengadilan Agama Masohi</t>
  </si>
  <si>
    <t>Pengadilan Agama Mataram</t>
  </si>
  <si>
    <t>Pengadilan Agama Maumere</t>
  </si>
  <si>
    <t>Pengadilan Agama Medan</t>
  </si>
  <si>
    <t>Pengadilan Agama Mempawah</t>
  </si>
  <si>
    <t>Pengadilan Agama Mentok</t>
  </si>
  <si>
    <t>Pengadilan Agama Merauke</t>
  </si>
  <si>
    <t>Pengadilan Agama Mesuji</t>
  </si>
  <si>
    <t>Pengadilan Agama Metro</t>
  </si>
  <si>
    <t>Pengadilan Agama Mimika</t>
  </si>
  <si>
    <t>Pengadilan Agama Mojokerto</t>
  </si>
  <si>
    <t>Pengadilan Agama Morotai</t>
  </si>
  <si>
    <t>Pengadilan Agama Muara Bulian</t>
  </si>
  <si>
    <t>Pengadilan Agama Muara Bungo</t>
  </si>
  <si>
    <t>Pengadilan Agama Muara Enim</t>
  </si>
  <si>
    <t>Pengadilan Agama Muara Labuh</t>
  </si>
  <si>
    <t>Pengadilan Agama Muara Sabak</t>
  </si>
  <si>
    <t>Pengadilan Agama Muara Tebo</t>
  </si>
  <si>
    <t>Pengadilan Agama Muara Teweh</t>
  </si>
  <si>
    <t>Pengadilan Agama Muaradua</t>
  </si>
  <si>
    <t>Pengadilan Agama Mukomuko</t>
  </si>
  <si>
    <t>Pengadilan Agama Mungkid</t>
  </si>
  <si>
    <t>Pengadilan Agama Nabire</t>
  </si>
  <si>
    <t>Pengadilan Agama Namlea</t>
  </si>
  <si>
    <t>Pengadilan Agama Nanga Bulik</t>
  </si>
  <si>
    <t>Pengadilan Agama Nanga Pinoh</t>
  </si>
  <si>
    <t>Pengadilan Agama Natuna</t>
  </si>
  <si>
    <t>Pengadilan Agama Negara</t>
  </si>
  <si>
    <t>Pengadilan Agama Negara (Kalsel)</t>
  </si>
  <si>
    <t>Pengadilan Agama Ngamprah</t>
  </si>
  <si>
    <t>Pengadilan Agama Nganjuk</t>
  </si>
  <si>
    <t>Pengadilan Agama Ngawi</t>
  </si>
  <si>
    <t>Pengadilan Agama Nunukan</t>
  </si>
  <si>
    <t>Pengadilan Agama Pacitan</t>
  </si>
  <si>
    <t>Pengadilan Agama Padang</t>
  </si>
  <si>
    <t>Pengadilan Agama Padang Panjang</t>
  </si>
  <si>
    <t>Pengadilan Agama Padang Sidempuan</t>
  </si>
  <si>
    <t>Pengadilan Agama Pagar Alam</t>
  </si>
  <si>
    <t>Pengadilan Agama Painan</t>
  </si>
  <si>
    <t>Pengadilan Agama Palangkaraya</t>
  </si>
  <si>
    <t>Pengadilan Agama Palembang</t>
  </si>
  <si>
    <t>Pengadilan Agama Palopo</t>
  </si>
  <si>
    <t>Pengadilan Agama Palu</t>
  </si>
  <si>
    <t>Pengadilan Agama Pamekasan</t>
  </si>
  <si>
    <t>Pengadilan Agama Pandan</t>
  </si>
  <si>
    <t>Pengadilan Agama Pandeglang</t>
  </si>
  <si>
    <t>Pengadilan Agama Pangkajene</t>
  </si>
  <si>
    <t>Pengadilan Agama Pangkalan Balai</t>
  </si>
  <si>
    <t>Pengadilan Agama Pangkalan Bun</t>
  </si>
  <si>
    <t>Pengadilan Agama Pangkalan Kerinci</t>
  </si>
  <si>
    <t>Pengadilan Agama Pangkalpinang</t>
  </si>
  <si>
    <t>Pengadilan Agama Paniai</t>
  </si>
  <si>
    <t>Pengadilan Agama Panyabungan</t>
  </si>
  <si>
    <t>Pengadilan Agama Parepare</t>
  </si>
  <si>
    <t>Pengadilan Agama Pariaman</t>
  </si>
  <si>
    <t>Pengadilan Agama Parigi</t>
  </si>
  <si>
    <t>Pengadilan Agama Pasangkayu</t>
  </si>
  <si>
    <t>Pengadilan Agama Pasarwajo</t>
  </si>
  <si>
    <t>Pengadilan Agama Pasir Pangaraian</t>
  </si>
  <si>
    <t>Pengadilan Agama Pasuruan</t>
  </si>
  <si>
    <t>Pengadilan Agama Pati</t>
  </si>
  <si>
    <t>Pengadilan Agama Payakumbuh</t>
  </si>
  <si>
    <t>Pengadilan Agama Pekalongan</t>
  </si>
  <si>
    <t>Pengadilan Agama Pekanbaru</t>
  </si>
  <si>
    <t>Pengadilan Agama Pelaihari</t>
  </si>
  <si>
    <t>Pengadilan Agama Pemalang</t>
  </si>
  <si>
    <t>Pengadilan Agama Pematang Siantar</t>
  </si>
  <si>
    <t>Pengadilan Agama Penajam</t>
  </si>
  <si>
    <t>Pengadilan Agama Pinrang</t>
  </si>
  <si>
    <t>Pengadilan Agama Polewali</t>
  </si>
  <si>
    <t>Pengadilan Agama Ponorogo</t>
  </si>
  <si>
    <t>Pengadilan Agama Pontianak</t>
  </si>
  <si>
    <t>Pengadilan Agama Poso</t>
  </si>
  <si>
    <t>Pengadilan Agama Prabumulih</t>
  </si>
  <si>
    <t>Pengadilan Agama Praya</t>
  </si>
  <si>
    <t>Pengadilan Agama Pringsewu</t>
  </si>
  <si>
    <t>Pengadilan Agama Probolinggo</t>
  </si>
  <si>
    <t>Pengadilan Agama Pulang Pisau</t>
  </si>
  <si>
    <t>Pengadilan Agama Pulau Punjung</t>
  </si>
  <si>
    <t>Pengadilan Agama Purbalingga</t>
  </si>
  <si>
    <t>Pengadilan Agama Purwakarta</t>
  </si>
  <si>
    <t>Pengadilan Agama Purwodadi</t>
  </si>
  <si>
    <t>Pengadilan Agama Purwokerto</t>
  </si>
  <si>
    <t>Pengadilan Agama Purworejo</t>
  </si>
  <si>
    <t>Pengadilan Agama Putusibau</t>
  </si>
  <si>
    <t>Pengadilan Agama Raha</t>
  </si>
  <si>
    <t>Pengadilan Agama Rangkasbitung</t>
  </si>
  <si>
    <t>Pengadilan Agama Rantau</t>
  </si>
  <si>
    <t>Pengadilan Agama Rantau Prapat</t>
  </si>
  <si>
    <t>Pengadilan Agama Rembang</t>
  </si>
  <si>
    <t>Pengadilan Agama Rengat</t>
  </si>
  <si>
    <t>Pengadilan Agama Rumbia</t>
  </si>
  <si>
    <t>Pengadilan Agama Ruteng</t>
  </si>
  <si>
    <t>Pengadilan Agama Salatiga</t>
  </si>
  <si>
    <t>Pengadilan Agama Samarinda</t>
  </si>
  <si>
    <t>Pengadilan Agama Sambas</t>
  </si>
  <si>
    <t>Pengadilan Agama Sampang</t>
  </si>
  <si>
    <t>Pengadilan Agama Sampit</t>
  </si>
  <si>
    <t>Pengadilan Agama Sangatta</t>
  </si>
  <si>
    <t>Pengadilan Agama Sanggau</t>
  </si>
  <si>
    <t>Pengadilan Agama Sarolangun</t>
  </si>
  <si>
    <t>Pengadilan Agama Sawahlunto</t>
  </si>
  <si>
    <t>Pengadilan Agama Sei Rampah</t>
  </si>
  <si>
    <t>Pengadilan Agama Sekayu</t>
  </si>
  <si>
    <t>Pengadilan Agama Selat Panjang</t>
  </si>
  <si>
    <t>Pengadilan Agama Selayar</t>
  </si>
  <si>
    <t>Pengadilan Agama Selong</t>
  </si>
  <si>
    <t>Pengadilan Agama Semarang</t>
  </si>
  <si>
    <t>Pengadilan Agama Sendawar</t>
  </si>
  <si>
    <t>Pengadilan Agama Sengeti</t>
  </si>
  <si>
    <t>Pengadilan Agama Sengkang</t>
  </si>
  <si>
    <t>Pengadilan Agama Sentani</t>
  </si>
  <si>
    <t>Pengadilan Agama Serang</t>
  </si>
  <si>
    <t>Pengadilan Agama Serui</t>
  </si>
  <si>
    <t>Pengadilan Agama Siak Sri Indrapura</t>
  </si>
  <si>
    <t>Pengadilan Agama Sibolga</t>
  </si>
  <si>
    <t>Pengadilan Agama Sibuhuan</t>
  </si>
  <si>
    <t>Pengadilan Agama Sidenreng Rappang</t>
  </si>
  <si>
    <t>Pengadilan Agama Sidikalang</t>
  </si>
  <si>
    <t>Pengadilan Agama Sidoarjo</t>
  </si>
  <si>
    <t>Pengadilan Agama Sijunjung</t>
  </si>
  <si>
    <t>Pengadilan Agama Simalungun</t>
  </si>
  <si>
    <t>Pengadilan Agama Singaraja</t>
  </si>
  <si>
    <t>Pengadilan Agama Singkawang</t>
  </si>
  <si>
    <t>Pengadilan Agama Sinjai</t>
  </si>
  <si>
    <t>Pengadilan Agama Sintang</t>
  </si>
  <si>
    <t>Pengadilan Agama Situbondo</t>
  </si>
  <si>
    <t>Pengadilan Agama Slawi</t>
  </si>
  <si>
    <t>Pengadilan Agama Sleman</t>
  </si>
  <si>
    <t>Pengadilan Agama Soa</t>
  </si>
  <si>
    <t>Pengadilan Agama Soe</t>
  </si>
  <si>
    <t>Pengadilan Agama Solok</t>
  </si>
  <si>
    <t>Pengadilan Agama Soreang</t>
  </si>
  <si>
    <t>Pengadilan Agama Sorong</t>
  </si>
  <si>
    <t>Pengadilan Agama Sragen</t>
  </si>
  <si>
    <t>Pengadilan Agama Stabat</t>
  </si>
  <si>
    <t>Pengadilan Agama Subang</t>
  </si>
  <si>
    <t>Pengadilan Agama Sukabumi</t>
  </si>
  <si>
    <t>Pengadilan Agama Sukadana</t>
  </si>
  <si>
    <t>Pengadilan Agama Sukamara</t>
  </si>
  <si>
    <t>Pengadilan Agama Sukoharjo</t>
  </si>
  <si>
    <t>Pengadilan Agama Sumbawa Besar</t>
  </si>
  <si>
    <t>Pengadilan Agama Sumber</t>
  </si>
  <si>
    <t>Pengadilan Agama Sumedang</t>
  </si>
  <si>
    <t>Pengadilan Agama Sumenep</t>
  </si>
  <si>
    <t>Pengadilan Agama Sungai Penuh</t>
  </si>
  <si>
    <t>Pengadilan Agama Sungai Raya</t>
  </si>
  <si>
    <t>Pengadilan Agama Sungailiat</t>
  </si>
  <si>
    <t>Pengadilan Agama Sungguminasa</t>
  </si>
  <si>
    <t>Pengadilan Agama Surabaya</t>
  </si>
  <si>
    <t>Pengadilan Agama Surakarta</t>
  </si>
  <si>
    <t>Pengadilan Agama Suwawa</t>
  </si>
  <si>
    <t>Pengadilan Agama Tabanan</t>
  </si>
  <si>
    <t>Pengadilan Agama Tahuna</t>
  </si>
  <si>
    <t>Pengadilan Agama Tais</t>
  </si>
  <si>
    <t>Pengadilan Agama Takalar</t>
  </si>
  <si>
    <t>Pengadilan Agama Taliwang</t>
  </si>
  <si>
    <t>Pengadilan Agama Talu</t>
  </si>
  <si>
    <t>Pengadilan Agama Tamiyang Layang</t>
  </si>
  <si>
    <t>Pengadilan Agama Tanah Grogot</t>
  </si>
  <si>
    <t>Pengadilan Agama Tangerang</t>
  </si>
  <si>
    <t>Pengadilan Agama Tanggamus</t>
  </si>
  <si>
    <t>Pengadilan Agama Tanjung</t>
  </si>
  <si>
    <t>Pengadilan Agama Tanjung Balai</t>
  </si>
  <si>
    <t>Pengadilan Agama Tanjung Balai Karimun</t>
  </si>
  <si>
    <t>Pengadilan Agama Tanjung Pandan</t>
  </si>
  <si>
    <t>Pengadilan Agama Tanjung Pati</t>
  </si>
  <si>
    <t>Pengadilan Agama Tanjung Pinang</t>
  </si>
  <si>
    <t>Pengadilan Agama Tanjung Redep</t>
  </si>
  <si>
    <t>Pengadilan Agama Tanjung Selor</t>
  </si>
  <si>
    <t>Pengadilan Agama Tanjungkarang</t>
  </si>
  <si>
    <t>Pengadilan Agama Tarakan</t>
  </si>
  <si>
    <t>Pengadilan Agama Tarempa</t>
  </si>
  <si>
    <t>Pengadilan Agama Tarutung</t>
  </si>
  <si>
    <t>Pengadilan Agama Tasikmalaya</t>
  </si>
  <si>
    <t>Pengadilan Agama Tebing Tinggi</t>
  </si>
  <si>
    <t>Pengadilan Agama Tegal</t>
  </si>
  <si>
    <t>Pengadilan Agama Teluk Kuantan</t>
  </si>
  <si>
    <t>Pengadilan Agama Temanggung</t>
  </si>
  <si>
    <t>Pengadilan Agama Tembilahan</t>
  </si>
  <si>
    <t>Pengadilan Agama Tenggarong</t>
  </si>
  <si>
    <t>Pengadilan Agama Ternate</t>
  </si>
  <si>
    <t>Pengadilan Agama Tigaraksa</t>
  </si>
  <si>
    <t>Pengadilan Agama Tilamuta</t>
  </si>
  <si>
    <t>Pengadilan Agama Toli</t>
  </si>
  <si>
    <t>Pengadilan Agama Tondano</t>
  </si>
  <si>
    <t>Pengadilan Agama Trenggalek</t>
  </si>
  <si>
    <t>Pengadilan Agama Tual</t>
  </si>
  <si>
    <t>Pengadilan Agama Tuban</t>
  </si>
  <si>
    <t>Pengadilan Agama Tulang Bawang</t>
  </si>
  <si>
    <t>Pengadilan Agama Tulang Bawang Tengah</t>
  </si>
  <si>
    <t>Pengadilan Agama Tulungagung</t>
  </si>
  <si>
    <t>Pengadilan Agama Tutuyan</t>
  </si>
  <si>
    <t>Pengadilan Agama Ujung Tanjung</t>
  </si>
  <si>
    <t>Pengadilan Agama Unaaha</t>
  </si>
  <si>
    <t>Pengadilan Agama Waikabubak</t>
  </si>
  <si>
    <t>Pengadilan Agama Waingapu</t>
  </si>
  <si>
    <t>Pengadilan Agama Wamena</t>
  </si>
  <si>
    <t>Pengadilan Agama Wangi Wangi</t>
  </si>
  <si>
    <t>Pengadilan Agama Watampone</t>
  </si>
  <si>
    <t>Pengadilan Agama Watansoppeng</t>
  </si>
  <si>
    <t>Pengadilan Agama Wates</t>
  </si>
  <si>
    <t>Pengadilan Agama Wonogiri</t>
  </si>
  <si>
    <t>Pengadilan Agama Wonosari</t>
  </si>
  <si>
    <t>Pengadilan Agama Wonosobo</t>
  </si>
  <si>
    <t>Pengadilan Agama Yogyakarta</t>
  </si>
  <si>
    <t>Pengadilan Tinggi Agama Ambon</t>
  </si>
  <si>
    <t>Pengadilan Tinggi Agama Bali</t>
  </si>
  <si>
    <t>Pengadilan Tinggi Agama Bandar Lampung</t>
  </si>
  <si>
    <t>Pengadilan Tinggi Agama Bandung</t>
  </si>
  <si>
    <t>Pengadilan Tinggi Agama Bangka Belitung</t>
  </si>
  <si>
    <t>Pengadilan Tinggi Agama Banjarmasin</t>
  </si>
  <si>
    <t>Pengadilan Tinggi Agama Banten</t>
  </si>
  <si>
    <t>Pengadilan Tinggi Agama Bengkulu</t>
  </si>
  <si>
    <t>Pengadilan Tinggi Agama Gorontalo</t>
  </si>
  <si>
    <t>Pengadilan Tinggi Agama Jakarta</t>
  </si>
  <si>
    <t>Pengadilan Tinggi Agama Jambi</t>
  </si>
  <si>
    <t>Pengadilan Tinggi Agama Jayapura</t>
  </si>
  <si>
    <t>Pengadilan Tinggi Agama Kalimantan Utara</t>
  </si>
  <si>
    <t>Pengadilan Tinggi Agama Kendari</t>
  </si>
  <si>
    <t>Pengadilan Tinggi Agama Kepulauan Riau</t>
  </si>
  <si>
    <t>Pengadilan Tinggi Agama Kupang</t>
  </si>
  <si>
    <t>Pengadilan Tinggi Agama Makassar</t>
  </si>
  <si>
    <t>Pengadilan Tinggi Agama Maluku Utara</t>
  </si>
  <si>
    <t>Pengadilan Tinggi Agama Manado</t>
  </si>
  <si>
    <t>Pengadilan Tinggi Agama Mataram</t>
  </si>
  <si>
    <t>Pengadilan Tinggi Agama Medan</t>
  </si>
  <si>
    <t>Pengadilan Tinggi Agama Padang</t>
  </si>
  <si>
    <t>Pengadilan Tinggi Agama Palangkaraya</t>
  </si>
  <si>
    <t>Pengadilan Tinggi Agama Palembang</t>
  </si>
  <si>
    <t>Pengadilan Tinggi Agama Palu</t>
  </si>
  <si>
    <t>Pengadilan Tinggi Agama Papua Barat</t>
  </si>
  <si>
    <t>Pengadilan Tinggi Agama Pekanbaru</t>
  </si>
  <si>
    <t>Pengadilan Tinggi Agama Pontianak</t>
  </si>
  <si>
    <t>Pengadilan Tinggi Agama Samarinda</t>
  </si>
  <si>
    <t>Pengadilan Tinggi Agama Semarang</t>
  </si>
  <si>
    <t>Pengadilan Tinggi Agama Sulawesi Barat</t>
  </si>
  <si>
    <t>Pengadilan Tinggi Agama Surabaya</t>
  </si>
  <si>
    <t>Pengadilan Tinggi Agama Yogyakarta</t>
  </si>
  <si>
    <t>PENGADILAN MILITER I - 01 BANDA ACEH</t>
  </si>
  <si>
    <t>PENGADILAN MILITER I - 02 MEDAN</t>
  </si>
  <si>
    <t>PENGADILAN MILITER I - 03 PADANG</t>
  </si>
  <si>
    <t>PENGADILAN MILITER I - 04 PALEMBANG</t>
  </si>
  <si>
    <t>PENGADILAN MILITER I - 05 PONTIANAK</t>
  </si>
  <si>
    <t>PENGADILAN MILITER I - 06 BANJARMASIN</t>
  </si>
  <si>
    <t>PENGADILAN MILITER I - 07 BALIKPAPAN</t>
  </si>
  <si>
    <t>PENGADILAN MILITER II - 08 JAKARTA</t>
  </si>
  <si>
    <t>PENGADILAN MILITER II - 09 BANDUNG</t>
  </si>
  <si>
    <t>PENGADILAN MILITER II - 10 SEMARANG</t>
  </si>
  <si>
    <t>PENGADILAN MILITER II - 11 YOGYAKARTA</t>
  </si>
  <si>
    <t>PENGADILAN MILITER III - 12 SURABAYA</t>
  </si>
  <si>
    <t>PENGADILAN MILITER III - 13 MADIUN</t>
  </si>
  <si>
    <t>PENGADILAN MILITER III - 14 DENPASAR</t>
  </si>
  <si>
    <t>PENGADILAN MILITER III - 15 KUPANG</t>
  </si>
  <si>
    <t>PENGADILAN MILITER III - 16 MAKASSAR</t>
  </si>
  <si>
    <t>PENGADILAN MILITER III - 17 MANADO</t>
  </si>
  <si>
    <t>PENGADILAN MILITER III - 18 AMBON</t>
  </si>
  <si>
    <t>PENGADILAN MILITER III - 19 JAYAPURA</t>
  </si>
  <si>
    <t>PENGADILAN MILITER TINGGI I MEDAN</t>
  </si>
  <si>
    <t>PENGADILAN MILITER TINGGI II JAKARTA</t>
  </si>
  <si>
    <t>PENGADILAN MILITER TINGGI III SURABAYA</t>
  </si>
  <si>
    <t>PENGADILAN MILITER UTAMA</t>
  </si>
  <si>
    <t>Pengadilan Tata Usaha Negara Aceh</t>
  </si>
  <si>
    <t>Pengadilan Tata Usaha Negara Ambon</t>
  </si>
  <si>
    <t>Pengadilan Tata Usaha Negara Bandar Lampung</t>
  </si>
  <si>
    <t>Pengadilan Tata Usaha Negara Bandung</t>
  </si>
  <si>
    <t>Pengadilan Tata Usaha Negara Banjarmasin</t>
  </si>
  <si>
    <t>Pengadilan Tata Usaha Negara Bengkulu</t>
  </si>
  <si>
    <t>Pengadilan Tata Usaha Negara Denpasar</t>
  </si>
  <si>
    <t>Pengadilan Tata Usaha Negara Gorontalo</t>
  </si>
  <si>
    <t>Pengadilan Tata Usaha Negara Jakarta</t>
  </si>
  <si>
    <t>Pengadilan Tata Usaha Negara Jambi</t>
  </si>
  <si>
    <t>Pengadilan Tata Usaha Negara Jayapura</t>
  </si>
  <si>
    <t>Pengadilan Tata Usaha Negara Kendari</t>
  </si>
  <si>
    <t>Pengadilan Tata Usaha Negara Kupang</t>
  </si>
  <si>
    <t>Pengadilan Tata Usaha Negara Makassar</t>
  </si>
  <si>
    <t>Pengadilan Tata Usaha Negara Manado</t>
  </si>
  <si>
    <t>Pengadilan Tata Usaha Negara Mataram</t>
  </si>
  <si>
    <t>Pengadilan Tata Usaha Negara Medan</t>
  </si>
  <si>
    <t>Pengadilan Tata Usaha Negara Padang</t>
  </si>
  <si>
    <t>Pengadilan Tata Usaha Negara Palangkaraya</t>
  </si>
  <si>
    <t>Pengadilan Tata Usaha Negara Palembang</t>
  </si>
  <si>
    <t>Pengadilan Tata Usaha Negara Palu</t>
  </si>
  <si>
    <t>Pengadilan Tata Usaha Negara Pangkal Pinang</t>
  </si>
  <si>
    <t>Pengadilan Tata Usaha Negara Pekanbaru</t>
  </si>
  <si>
    <t>Pengadilan Tata Usaha Negara Pontianak</t>
  </si>
  <si>
    <t>Pengadilan Tata Usaha Negara Samarinda</t>
  </si>
  <si>
    <t>Pengadilan Tata Usaha Negara Semarang</t>
  </si>
  <si>
    <t>Pengadilan Tata Usaha Negara Serang</t>
  </si>
  <si>
    <t>Pengadilan Tata Usaha Negara Surabaya</t>
  </si>
  <si>
    <t>Pengadilan Tata Usaha Negara Tanjung Pinang</t>
  </si>
  <si>
    <t>Pengadilan Tata Usaha Negara Yogyakarta</t>
  </si>
  <si>
    <t>Pengadilan Tinggi Tata Usaha Negara Banjarmasin</t>
  </si>
  <si>
    <t>Pengadilan Tinggi Tata Usaha Negara Jakarta</t>
  </si>
  <si>
    <t>Pengadilan Tinggi Tata Usaha Negara Makassar</t>
  </si>
  <si>
    <t>Pengadilan Tinggi Tata Usaha Negara Manado</t>
  </si>
  <si>
    <t>Pengadilan Tinggi Tata Usaha Negara Mataram</t>
  </si>
  <si>
    <t>Pengadilan Tinggi Tata Usaha Negara Medan</t>
  </si>
  <si>
    <t>Pengadilan Tinggi Tata Usaha Negara Palembang</t>
  </si>
  <si>
    <t>Pengadilan Tinggi Tata Usaha Negara Surabaya</t>
  </si>
  <si>
    <t>Pengadilan Negeri Airmadidi</t>
  </si>
  <si>
    <t>Pengadilan Negeri Ambon</t>
  </si>
  <si>
    <t>Pengadilan Negeri Amlapura</t>
  </si>
  <si>
    <t>Pengadilan Negeri Amuntai</t>
  </si>
  <si>
    <t>Pengadilan Negeri Amurang</t>
  </si>
  <si>
    <t>Pengadilan Negeri Andoolo</t>
  </si>
  <si>
    <t>Pengadilan Negeri Arga Makmur</t>
  </si>
  <si>
    <t>Pengadilan Negeri Atambua</t>
  </si>
  <si>
    <t>Pengadilan Negeri Bajawa</t>
  </si>
  <si>
    <t>Pengadilan Negeri Bale Bandung</t>
  </si>
  <si>
    <t>Pengadilan Negeri Balige</t>
  </si>
  <si>
    <t>Pengadilan Negeri Balikpapan</t>
  </si>
  <si>
    <t>Pengadilan Negeri Banda Aceh</t>
  </si>
  <si>
    <t>Pengadilan Negeri Bandung</t>
  </si>
  <si>
    <t>Pengadilan Negeri Bangil</t>
  </si>
  <si>
    <t>Pengadilan Negeri Bangkalan</t>
  </si>
  <si>
    <t>Pengadilan Negeri Bangkinang</t>
  </si>
  <si>
    <t>Pengadilan Negeri Bangko</t>
  </si>
  <si>
    <t>Pengadilan Negeri Bangli</t>
  </si>
  <si>
    <t>Pengadilan Negeri Banjar</t>
  </si>
  <si>
    <t>Pengadilan Negeri Banjarbaru</t>
  </si>
  <si>
    <t>Pengadilan Negeri Banjarmasin</t>
  </si>
  <si>
    <t>Pengadilan Negeri Banjarnegara</t>
  </si>
  <si>
    <t>Pengadilan Negeri Bantaeng</t>
  </si>
  <si>
    <t>Pengadilan Negeri Bantul</t>
  </si>
  <si>
    <t>Pengadilan Negeri Banyumas</t>
  </si>
  <si>
    <t>Pengadilan Negeri Banyuwangi</t>
  </si>
  <si>
    <t>Pengadilan Negeri Barabai</t>
  </si>
  <si>
    <t>Pengadilan Negeri Barru</t>
  </si>
  <si>
    <t>Pengadilan Negeri Batam</t>
  </si>
  <si>
    <t>Pengadilan Negeri Batang</t>
  </si>
  <si>
    <t>Pengadilan Negeri Batu Licin</t>
  </si>
  <si>
    <t>Pengadilan Negeri Baturaja</t>
  </si>
  <si>
    <t>Pengadilan Negeri Batusangkar</t>
  </si>
  <si>
    <t>Pengadilan Negeri Bau</t>
  </si>
  <si>
    <t>Pengadilan Negeri Bekasi</t>
  </si>
  <si>
    <t>Pengadilan Negeri Belopa</t>
  </si>
  <si>
    <t>Pengadilan Negeri Bengkalis</t>
  </si>
  <si>
    <t>Pengadilan Negeri Bengkayang</t>
  </si>
  <si>
    <t>Pengadilan Negeri Bengkulu</t>
  </si>
  <si>
    <t>Pengadilan Negeri Biak</t>
  </si>
  <si>
    <t>Pengadilan Negeri Binjai</t>
  </si>
  <si>
    <t>Pengadilan Negeri Bintuhan</t>
  </si>
  <si>
    <t>Pengadilan Negeri Bireuen</t>
  </si>
  <si>
    <t>Pengadilan Negeri Bitung</t>
  </si>
  <si>
    <t>Pengadilan Negeri Blambangan Umpu</t>
  </si>
  <si>
    <t>Pengadilan Negeri Blangkajeren</t>
  </si>
  <si>
    <t>Pengadilan Negeri Blangpidie</t>
  </si>
  <si>
    <t>Pengadilan Negeri Blitar</t>
  </si>
  <si>
    <t>Pengadilan Negeri Blora</t>
  </si>
  <si>
    <t>Pengadilan Negeri Bobong</t>
  </si>
  <si>
    <t>Pengadilan Negeri Bogor</t>
  </si>
  <si>
    <t>Pengadilan Negeri Bojonegoro</t>
  </si>
  <si>
    <t>Pengadilan Negeri Bondowoso</t>
  </si>
  <si>
    <t>Pengadilan Negeri Bontang</t>
  </si>
  <si>
    <t>Pengadilan Negeri Boyolali</t>
  </si>
  <si>
    <t>Pengadilan Negeri Brebes</t>
  </si>
  <si>
    <t>Pengadilan Negeri Bukittinggi</t>
  </si>
  <si>
    <t>Pengadilan Negeri Bulukumba</t>
  </si>
  <si>
    <t>Pengadilan Negeri Buntok</t>
  </si>
  <si>
    <t>Pengadilan Negeri Buol</t>
  </si>
  <si>
    <t>Pengadilan Negeri Calang</t>
  </si>
  <si>
    <t>Pengadilan Negeri Ciamis</t>
  </si>
  <si>
    <t>Pengadilan Negeri Cianjur</t>
  </si>
  <si>
    <t>Pengadilan Negeri Cibadak</t>
  </si>
  <si>
    <t>Pengadilan Negeri Cibinong</t>
  </si>
  <si>
    <t>Pengadilan Negeri Cikarang</t>
  </si>
  <si>
    <t>Pengadilan Negeri Cilacap</t>
  </si>
  <si>
    <t>Pengadilan Negeri Cirebon</t>
  </si>
  <si>
    <t>Pengadilan Negeri Curup</t>
  </si>
  <si>
    <t>Pengadilan Negeri Dataran Hunimoa</t>
  </si>
  <si>
    <t>Pengadilan Negeri Dataran Hunipopu</t>
  </si>
  <si>
    <t>Pengadilan Negeri Demak</t>
  </si>
  <si>
    <t>Pengadilan Negeri Denpasar</t>
  </si>
  <si>
    <t>Pengadilan Negeri Depok</t>
  </si>
  <si>
    <t>Pengadilan Negeri Dobo</t>
  </si>
  <si>
    <t>Pengadilan Negeri Dompu</t>
  </si>
  <si>
    <t>Pengadilan Negeri Donggala</t>
  </si>
  <si>
    <t>Pengadilan Negeri Dumai</t>
  </si>
  <si>
    <t>Pengadilan Negeri Ende</t>
  </si>
  <si>
    <t>Pengadilan Negeri Enrekang</t>
  </si>
  <si>
    <t>Pengadilan Negeri Fak</t>
  </si>
  <si>
    <t>Pengadilan Negeri Garut</t>
  </si>
  <si>
    <t>Pengadilan Negeri Gedong Tataan</t>
  </si>
  <si>
    <t>Pengadilan Negeri Gianyar</t>
  </si>
  <si>
    <t>Pengadilan Negeri Gorontalo</t>
  </si>
  <si>
    <t>Pengadilan Negeri Gresik</t>
  </si>
  <si>
    <t>Pengadilan Negeri Gunung Sitoli</t>
  </si>
  <si>
    <t>Pengadilan Negeri Gunung Sugih</t>
  </si>
  <si>
    <t>Pengadilan Negeri Idi</t>
  </si>
  <si>
    <t>Pengadilan Negeri Indramayu</t>
  </si>
  <si>
    <t>Pengadilan Negeri Jakarta Barat</t>
  </si>
  <si>
    <t>Pengadilan Negeri Jakarta Pusat</t>
  </si>
  <si>
    <t>Pengadilan Negeri Jakarta Selatan</t>
  </si>
  <si>
    <t>Pengadilan Negeri Jakarta Timur</t>
  </si>
  <si>
    <t>Pengadilan Negeri Jakarta Utara</t>
  </si>
  <si>
    <t>Pengadilan Negeri Jambi</t>
  </si>
  <si>
    <t>Pengadilan Negeri Jantho</t>
  </si>
  <si>
    <t>Pengadilan Negeri Jayapura</t>
  </si>
  <si>
    <t>Pengadilan Negeri Jember</t>
  </si>
  <si>
    <t>Pengadilan Negeri Jeneponto</t>
  </si>
  <si>
    <t>Pengadilan Negeri Jepara</t>
  </si>
  <si>
    <t>Pengadilan Negeri Jombang</t>
  </si>
  <si>
    <t>Pengadilan Negeri Kabanjahe</t>
  </si>
  <si>
    <t>Pengadilan Negeri Kabupaten Kediri</t>
  </si>
  <si>
    <t>Pengadilan Negeri Kabupaten Madiun</t>
  </si>
  <si>
    <t>Pengadilan Negeri Kaimana</t>
  </si>
  <si>
    <t>Pengadilan Negeri Kalabahi</t>
  </si>
  <si>
    <t>Pengadilan Negeri Kalianda</t>
  </si>
  <si>
    <t>Pengadilan Negeri Kandangan</t>
  </si>
  <si>
    <t>Pengadilan Negeri Karanganyar</t>
  </si>
  <si>
    <t>Pengadilan Negeri Karawang</t>
  </si>
  <si>
    <t>Pengadilan Negeri Kasongan</t>
  </si>
  <si>
    <t>Pengadilan Negeri Kayu Agung</t>
  </si>
  <si>
    <t>Pengadilan Negeri Kebumen</t>
  </si>
  <si>
    <t>Pengadilan Negeri Kediri</t>
  </si>
  <si>
    <t>Pengadilan Negeri Kefamenanu</t>
  </si>
  <si>
    <t>Pengadilan Negeri Kendal</t>
  </si>
  <si>
    <t>Pengadilan Negeri Kendari</t>
  </si>
  <si>
    <t>Pengadilan Negeri Kepahiang</t>
  </si>
  <si>
    <t>Pengadilan Negeri Kepanjen</t>
  </si>
  <si>
    <t>Pengadilan Negeri Ketapang</t>
  </si>
  <si>
    <t>Pengadilan Negeri Kisaran</t>
  </si>
  <si>
    <t>Pengadilan Negeri Klaten</t>
  </si>
  <si>
    <t>Pengadilan Negeri Koba</t>
  </si>
  <si>
    <t>Pengadilan Negeri Kolaka</t>
  </si>
  <si>
    <t>Pengadilan Negeri Kota Agung</t>
  </si>
  <si>
    <t>Pengadilan Negeri Kota Madiun</t>
  </si>
  <si>
    <t>Pengadilan Negeri Kotabaru</t>
  </si>
  <si>
    <t>Pengadilan Negeri Kotabumi</t>
  </si>
  <si>
    <t>Pengadilan Negeri Kotamobagu</t>
  </si>
  <si>
    <t>Pengadilan Negeri Koto Baru</t>
  </si>
  <si>
    <t>Pengadilan Negeri Kraksaan</t>
  </si>
  <si>
    <t>Pengadilan Negeri Kuala Kapuas</t>
  </si>
  <si>
    <t>Pengadilan Negeri Kuala Kurun</t>
  </si>
  <si>
    <t>Pengadilan Negeri Kuala Simpang</t>
  </si>
  <si>
    <t>Pengadilan Negeri Kuala Tungkal</t>
  </si>
  <si>
    <t>Pengadilan Negeri Kudus</t>
  </si>
  <si>
    <t>Pengadilan Negeri Kuningan</t>
  </si>
  <si>
    <t>Pengadilan Negeri Kupang</t>
  </si>
  <si>
    <t>Pengadilan Negeri Kutacane</t>
  </si>
  <si>
    <t>Pengadilan Negeri Kutai Barat</t>
  </si>
  <si>
    <t>Pengadilan Negeri Labuan Bajo</t>
  </si>
  <si>
    <t>Pengadilan Negeri Labuha</t>
  </si>
  <si>
    <t>Pengadilan Negeri Lahat</t>
  </si>
  <si>
    <t>Pengadilan Negeri Lamongan</t>
  </si>
  <si>
    <t>Pengadilan Negeri Langsa</t>
  </si>
  <si>
    <t>Pengadilan Negeri Larantuka</t>
  </si>
  <si>
    <t>Pengadilan Negeri Lasusua</t>
  </si>
  <si>
    <t>Pengadilan Negeri Lembata</t>
  </si>
  <si>
    <t>Pengadilan Negeri Lhokseumawe</t>
  </si>
  <si>
    <t>Pengadilan Negeri Lhoksukon</t>
  </si>
  <si>
    <t>Pengadilan Negeri Limboto</t>
  </si>
  <si>
    <t>Pengadilan Negeri Liwa</t>
  </si>
  <si>
    <t>Pengadilan Negeri Lubuk Basung</t>
  </si>
  <si>
    <t>Pengadilan Negeri Lubuk Linggau</t>
  </si>
  <si>
    <t>Pengadilan Negeri Lubuk Pakam</t>
  </si>
  <si>
    <t>Pengadilan Negeri Lubuk Sikaping</t>
  </si>
  <si>
    <t>Pengadilan Negeri Lumajang</t>
  </si>
  <si>
    <t>Pengadilan Negeri Luwuk</t>
  </si>
  <si>
    <t>Pengadilan Negeri Magelang</t>
  </si>
  <si>
    <t>Pengadilan Negeri Magetan</t>
  </si>
  <si>
    <t>Pengadilan Negeri Majalengka</t>
  </si>
  <si>
    <t>Pengadilan Negeri Majene</t>
  </si>
  <si>
    <t>Pengadilan Negeri Makale</t>
  </si>
  <si>
    <t>Pengadilan Negeri Makassar</t>
  </si>
  <si>
    <t>Pengadilan Negeri Malang</t>
  </si>
  <si>
    <t>Pengadilan Negeri Malili</t>
  </si>
  <si>
    <t>Pengadilan Negeri Malinau</t>
  </si>
  <si>
    <t>Pengadilan Negeri Mamuju</t>
  </si>
  <si>
    <t>Pengadilan Negeri Manado</t>
  </si>
  <si>
    <t>Pengadilan Negeri Mandailing Natal</t>
  </si>
  <si>
    <t>Pengadilan Negeri Manna</t>
  </si>
  <si>
    <t>Pengadilan Negeri Manokwari</t>
  </si>
  <si>
    <t>Pengadilan Negeri Marabahan</t>
  </si>
  <si>
    <t>Pengadilan Negeri Marisa</t>
  </si>
  <si>
    <t>Pengadilan Negeri Maros</t>
  </si>
  <si>
    <t>Pengadilan Negeri Martapura</t>
  </si>
  <si>
    <t>Pengadilan Negeri Masamba</t>
  </si>
  <si>
    <t>Pengadilan Negeri Masohi</t>
  </si>
  <si>
    <t>Pengadilan Negeri Mataram</t>
  </si>
  <si>
    <t>Pengadilan Negeri Maumere</t>
  </si>
  <si>
    <t>Pengadilan Negeri Medan</t>
  </si>
  <si>
    <t>Pengadilan Negeri Melonguane</t>
  </si>
  <si>
    <t>Pengadilan Negeri Mempawah</t>
  </si>
  <si>
    <t>Pengadilan Negeri Menggala</t>
  </si>
  <si>
    <t>Pengadilan Negeri Mentok</t>
  </si>
  <si>
    <t>Pengadilan Negeri Merauke</t>
  </si>
  <si>
    <t>Pengadilan Negeri Metro</t>
  </si>
  <si>
    <t>Pengadilan Negeri Meulaboh</t>
  </si>
  <si>
    <t>Pengadilan Negeri Meureudu</t>
  </si>
  <si>
    <t>Pengadilan Negeri Mojokerto</t>
  </si>
  <si>
    <t>Pengadilan Negeri Muara Bulian</t>
  </si>
  <si>
    <t>Pengadilan Negeri Muara Bungo</t>
  </si>
  <si>
    <t>Pengadilan Negeri Muara Enim</t>
  </si>
  <si>
    <t>Pengadilan Negeri Muara Teweh</t>
  </si>
  <si>
    <t>Pengadilan Negeri Muaro</t>
  </si>
  <si>
    <t>Pengadilan Negeri Mukomuko</t>
  </si>
  <si>
    <t>Pengadilan Negeri Mungkid</t>
  </si>
  <si>
    <t>Pengadilan Negeri Nabire</t>
  </si>
  <si>
    <t>Pengadilan Negeri Namlea</t>
  </si>
  <si>
    <t>Pengadilan Negeri Nanga Bulik</t>
  </si>
  <si>
    <t>Pengadilan Negeri Natuna</t>
  </si>
  <si>
    <t>Pengadilan Negeri Negara</t>
  </si>
  <si>
    <t>Pengadilan Negeri Ngabang</t>
  </si>
  <si>
    <t>Pengadilan Negeri Nganjuk</t>
  </si>
  <si>
    <t>Pengadilan Negeri Ngawi</t>
  </si>
  <si>
    <t>Pengadilan Negeri Nunukan</t>
  </si>
  <si>
    <t>Pengadilan Negeri Oelamasi</t>
  </si>
  <si>
    <t>Pengadilan Negeri Pacitan</t>
  </si>
  <si>
    <t>Pengadilan Negeri Padang</t>
  </si>
  <si>
    <t>Pengadilan Negeri Padang Panjang</t>
  </si>
  <si>
    <t>Pengadilan Negeri Padangsidimpuan</t>
  </si>
  <si>
    <t>Pengadilan Negeri Pagar Alam</t>
  </si>
  <si>
    <t>Pengadilan Negeri Painan</t>
  </si>
  <si>
    <t>Pengadilan Negeri Palangkaraya</t>
  </si>
  <si>
    <t>Pengadilan Negeri Palembang</t>
  </si>
  <si>
    <t>Pengadilan Negeri Palopo</t>
  </si>
  <si>
    <t>Pengadilan Negeri Palu</t>
  </si>
  <si>
    <t>Pengadilan Negeri Pamekasan</t>
  </si>
  <si>
    <t>Pengadilan Negeri Pandeglang</t>
  </si>
  <si>
    <t>Pengadilan Negeri Pangkajene</t>
  </si>
  <si>
    <t>Pengadilan Negeri Pangkal Pinang</t>
  </si>
  <si>
    <t>Pengadilan Negeri Pangkalan Balai</t>
  </si>
  <si>
    <t>Pengadilan Negeri Pangkalan Bun</t>
  </si>
  <si>
    <t>Pengadilan Negeri Pare</t>
  </si>
  <si>
    <t>Pengadilan Negeri Pariaman</t>
  </si>
  <si>
    <t>Pengadilan Negeri Parigi</t>
  </si>
  <si>
    <t>Pengadilan Negeri Paringin</t>
  </si>
  <si>
    <t>Pengadilan Negeri Pasaman Barat</t>
  </si>
  <si>
    <t>Pengadilan Negeri Pasangkayu</t>
  </si>
  <si>
    <t>Pengadilan Negeri Pasarwajo</t>
  </si>
  <si>
    <t>Pengadilan Negeri Pasir Pangaraian</t>
  </si>
  <si>
    <t>Pengadilan Negeri Pasuruan</t>
  </si>
  <si>
    <t>Pengadilan Negeri Pati</t>
  </si>
  <si>
    <t>Pengadilan Negeri Payakumbuh</t>
  </si>
  <si>
    <t>Pengadilan Negeri Pekalongan</t>
  </si>
  <si>
    <t>Pengadilan Negeri Pekanbaru</t>
  </si>
  <si>
    <t>Pengadilan Negeri Pelaihari</t>
  </si>
  <si>
    <t>Pengadilan Negeri Pelalawan</t>
  </si>
  <si>
    <t>Pengadilan Negeri Pemalang</t>
  </si>
  <si>
    <t>Pengadilan Negeri Pematang Siantar</t>
  </si>
  <si>
    <t>Pengadilan Negeri Penajam</t>
  </si>
  <si>
    <t>Pengadilan Negeri Pinrang</t>
  </si>
  <si>
    <t>Pengadilan Negeri Polewali</t>
  </si>
  <si>
    <t>Pengadilan Negeri Ponorogo</t>
  </si>
  <si>
    <t>Pengadilan Negeri Pontianak</t>
  </si>
  <si>
    <t>Pengadilan Negeri Poso</t>
  </si>
  <si>
    <t>Pengadilan Negeri Prabumulih</t>
  </si>
  <si>
    <t>Pengadilan Negeri Praya</t>
  </si>
  <si>
    <t>Pengadilan Negeri Probolinggo</t>
  </si>
  <si>
    <t>Pengadilan Negeri Pulang Pisau</t>
  </si>
  <si>
    <t>Pengadilan Negeri Pulau Punjung</t>
  </si>
  <si>
    <t>Pengadilan Negeri Purbalingga</t>
  </si>
  <si>
    <t>Pengadilan Negeri Purwakarta</t>
  </si>
  <si>
    <t>Pengadilan Negeri Purwodadi</t>
  </si>
  <si>
    <t>Pengadilan Negeri Purwokerto</t>
  </si>
  <si>
    <t>Pengadilan Negeri Purworejo</t>
  </si>
  <si>
    <t>Pengadilan Negeri Putussibau</t>
  </si>
  <si>
    <t>Pengadilan Negeri Raba Bima</t>
  </si>
  <si>
    <t>Pengadilan Negeri Raha</t>
  </si>
  <si>
    <t>Pengadilan Negeri Rangkasbitung</t>
  </si>
  <si>
    <t>Pengadilan Negeri Rantau</t>
  </si>
  <si>
    <t>Pengadilan Negeri Rantau Prapat</t>
  </si>
  <si>
    <t>Pengadilan Negeri Rembang</t>
  </si>
  <si>
    <t>Pengadilan Negeri Rengat</t>
  </si>
  <si>
    <t>Pengadilan Negeri Rokan Hilir</t>
  </si>
  <si>
    <t>Pengadilan Negeri Rote Ndao</t>
  </si>
  <si>
    <t>Pengadilan Negeri Ruteng</t>
  </si>
  <si>
    <t>Pengadilan Negeri Sabang</t>
  </si>
  <si>
    <t>Pengadilan Negeri Salatiga</t>
  </si>
  <si>
    <t>Pengadilan Negeri Samarinda</t>
  </si>
  <si>
    <t>Pengadilan Negeri Sambas</t>
  </si>
  <si>
    <t>Pengadilan Negeri Sampang</t>
  </si>
  <si>
    <t>Pengadilan Negeri Sampit</t>
  </si>
  <si>
    <t>Pengadilan Negeri Sanana</t>
  </si>
  <si>
    <t>Pengadilan Negeri Sangatta</t>
  </si>
  <si>
    <t>Pengadilan Negeri Sanggau</t>
  </si>
  <si>
    <t>Pengadilan Negeri Sarolangun</t>
  </si>
  <si>
    <t>Pengadilan Negeri Saumlaki</t>
  </si>
  <si>
    <t>Pengadilan Negeri Sawahlunto</t>
  </si>
  <si>
    <t>Pengadilan Negeri Sei Rampah</t>
  </si>
  <si>
    <t>Pengadilan Negeri Sekayu</t>
  </si>
  <si>
    <t>Pengadilan Negeri Selayar</t>
  </si>
  <si>
    <t>Pengadilan Negeri Selong</t>
  </si>
  <si>
    <t>Pengadilan Negeri Semarang</t>
  </si>
  <si>
    <t>Pengadilan Negeri Semarapura</t>
  </si>
  <si>
    <t>Pengadilan Negeri Sengeti</t>
  </si>
  <si>
    <t>Pengadilan Negeri Sengkang</t>
  </si>
  <si>
    <t>Pengadilan Negeri Serang</t>
  </si>
  <si>
    <t>Pengadilan Negeri Serui</t>
  </si>
  <si>
    <t>Pengadilan Negeri Siak Sri Indrapura</t>
  </si>
  <si>
    <t>Pengadilan Negeri Sibolga</t>
  </si>
  <si>
    <t>Pengadilan Negeri Sibuhuan</t>
  </si>
  <si>
    <t>Pengadilan Negeri Sidenreng Rappang</t>
  </si>
  <si>
    <t>Pengadilan Negeri Sidikalang</t>
  </si>
  <si>
    <t>Pengadilan Negeri Sidoarjo</t>
  </si>
  <si>
    <t>Pengadilan Negeri Sigli</t>
  </si>
  <si>
    <t>Pengadilan Negeri Simalungun</t>
  </si>
  <si>
    <t>Pengadilan Negeri Simpang Tiga Redelong</t>
  </si>
  <si>
    <t>Pengadilan Negeri Sinabang</t>
  </si>
  <si>
    <t>Pengadilan Negeri Singaraja</t>
  </si>
  <si>
    <t>Pengadilan Negeri Singkawang</t>
  </si>
  <si>
    <t>Pengadilan Negeri Singkil</t>
  </si>
  <si>
    <t>Pengadilan Negeri Sinjai</t>
  </si>
  <si>
    <t>Pengadilan Negeri Sintang</t>
  </si>
  <si>
    <t>Pengadilan Negeri Situbondo</t>
  </si>
  <si>
    <t>Pengadilan Negeri Slawi</t>
  </si>
  <si>
    <t>Pengadilan Negeri Sleman</t>
  </si>
  <si>
    <t>Pengadilan Negeri Soa</t>
  </si>
  <si>
    <t>Pengadilan Negeri Soe</t>
  </si>
  <si>
    <t>Pengadilan Negeri Solok</t>
  </si>
  <si>
    <t>Pengadilan Negeri Sorong</t>
  </si>
  <si>
    <t>Pengadilan Negeri Sragen</t>
  </si>
  <si>
    <t>Pengadilan Negeri Stabat</t>
  </si>
  <si>
    <t>Pengadilan Negeri Subang</t>
  </si>
  <si>
    <t>Pengadilan Negeri Suka Makmue</t>
  </si>
  <si>
    <t>Pengadilan Negeri Sukabumi</t>
  </si>
  <si>
    <t>Pengadilan Negeri Sukadana</t>
  </si>
  <si>
    <t>Pengadilan Negeri Sukoharjo</t>
  </si>
  <si>
    <t>Pengadilan Negeri Sumbawa Besar</t>
  </si>
  <si>
    <t>Pengadilan Negeri Sumber</t>
  </si>
  <si>
    <t>Pengadilan Negeri Sumedang</t>
  </si>
  <si>
    <t>Pengadilan Negeri Sumenep</t>
  </si>
  <si>
    <t>Pengadilan Negeri Sungai Penuh</t>
  </si>
  <si>
    <t>Pengadilan Negeri Sungailiat</t>
  </si>
  <si>
    <t>Pengadilan Negeri Sungguminasa</t>
  </si>
  <si>
    <t>Pengadilan Negeri Surabaya</t>
  </si>
  <si>
    <t>Pengadilan Negeri Surakarta</t>
  </si>
  <si>
    <t>Pengadilan Negeri Tabanan</t>
  </si>
  <si>
    <t>Pengadilan Negeri Tahuna</t>
  </si>
  <si>
    <t>Pengadilan Negeri Tais</t>
  </si>
  <si>
    <t>Pengadilan Negeri Takalar</t>
  </si>
  <si>
    <t>Pengadilan Negeri Takengon</t>
  </si>
  <si>
    <t>Pengadilan Negeri Tamiang Layang</t>
  </si>
  <si>
    <t>Pengadilan Negeri Tanah Grogot</t>
  </si>
  <si>
    <t>Pengadilan Negeri Tangerang</t>
  </si>
  <si>
    <t>Pengadilan Negeri Tanjung</t>
  </si>
  <si>
    <t>Pengadilan Negeri Tanjung Balai</t>
  </si>
  <si>
    <t>Pengadilan Negeri Tanjung Balai Karimun</t>
  </si>
  <si>
    <t>Pengadilan Negeri Tanjung Jabung Timur</t>
  </si>
  <si>
    <t>Pengadilan Negeri Tanjung Karang</t>
  </si>
  <si>
    <t>Pengadilan Negeri Tanjung Pandan</t>
  </si>
  <si>
    <t>Pengadilan Negeri Tanjung Pati</t>
  </si>
  <si>
    <t>Pengadilan Negeri Tanjung Pinang</t>
  </si>
  <si>
    <t>Pengadilan Negeri Tanjung Redeb</t>
  </si>
  <si>
    <t>Pengadilan Negeri Tanjung Selor</t>
  </si>
  <si>
    <t>Pengadilan Negeri Tapaktuan</t>
  </si>
  <si>
    <t>Pengadilan Negeri Tarakan</t>
  </si>
  <si>
    <t>Pengadilan Negeri Tarutung</t>
  </si>
  <si>
    <t>Pengadilan Negeri Tasikmalaya</t>
  </si>
  <si>
    <t>Pengadilan Negeri Tebing Tinggi</t>
  </si>
  <si>
    <t>Pengadilan Negeri Tebo</t>
  </si>
  <si>
    <t>Pengadilan Negeri Tegal</t>
  </si>
  <si>
    <t>Pengadilan Negeri Teluk Kuantan</t>
  </si>
  <si>
    <t>Pengadilan Negeri Temanggung</t>
  </si>
  <si>
    <t>Pengadilan Negeri Tembilahan</t>
  </si>
  <si>
    <t>Pengadilan Negeri Tenggarong</t>
  </si>
  <si>
    <t>Pengadilan Negeri Ternate</t>
  </si>
  <si>
    <t>Pengadilan Negeri Tilamuta</t>
  </si>
  <si>
    <t>Pengadilan Negeri Timika</t>
  </si>
  <si>
    <t>Pengadilan Negeri Tobelo</t>
  </si>
  <si>
    <t>Pengadilan Negeri Toli</t>
  </si>
  <si>
    <t>Pengadilan Negeri Tondano</t>
  </si>
  <si>
    <t>Pengadilan Negeri Trenggalek</t>
  </si>
  <si>
    <t>Pengadilan Negeri Tual</t>
  </si>
  <si>
    <t>Pengadilan Negeri Tuban</t>
  </si>
  <si>
    <t>Pengadilan Negeri Tubei</t>
  </si>
  <si>
    <t>Pengadilan Negeri Tulungagung</t>
  </si>
  <si>
    <t>Pengadilan Negeri Unaaha</t>
  </si>
  <si>
    <t>Pengadilan Negeri Ungaran</t>
  </si>
  <si>
    <t>Pengadilan Negeri Waikabubak</t>
  </si>
  <si>
    <t>Pengadilan Negeri Waingapu</t>
  </si>
  <si>
    <t>Pengadilan Negeri Wamena</t>
  </si>
  <si>
    <t>Pengadilan Negeri Wangi Wangi</t>
  </si>
  <si>
    <t>Pengadilan Negeri Watampone</t>
  </si>
  <si>
    <t>Pengadilan Negeri Watansoppeng</t>
  </si>
  <si>
    <t>Pengadilan Negeri Wates</t>
  </si>
  <si>
    <t>Pengadilan Negeri Wonogiri</t>
  </si>
  <si>
    <t>Pengadilan Negeri Wonosari</t>
  </si>
  <si>
    <t>Pengadilan Negeri Wonosobo</t>
  </si>
  <si>
    <t>Pengadilan Negeri Yogyakarta</t>
  </si>
  <si>
    <t>Pengadilan Tinggi Ambon</t>
  </si>
  <si>
    <t>Pengadilan Tinggi Banda Aceh</t>
  </si>
  <si>
    <t>Pengadilan Tinggi Bangka Belitung</t>
  </si>
  <si>
    <t>Pengadilan Tinggi Banjarmasin</t>
  </si>
  <si>
    <t>Pengadilan Tinggi Banten</t>
  </si>
  <si>
    <t>Pengadilan Tinggi Bengkulu</t>
  </si>
  <si>
    <t>Pengadilan Tinggi Denpasar</t>
  </si>
  <si>
    <t>Pengadilan Tinggi Gorontalo</t>
  </si>
  <si>
    <t>Pengadilan Tinggi Jambi</t>
  </si>
  <si>
    <t>Pengadilan Tinggi Jawa Tengah</t>
  </si>
  <si>
    <t>Pengadilan Tinggi Jayapura</t>
  </si>
  <si>
    <t>Pengadilan Tinggi Kalimantan Timur</t>
  </si>
  <si>
    <t>Pengadilan Tinggi Kalimantan Utara</t>
  </si>
  <si>
    <t>Pengadilan Tinggi Kepulauan Riau</t>
  </si>
  <si>
    <t>Pengadilan Tinggi Kupang</t>
  </si>
  <si>
    <t>Pengadilan Tinggi Makassar</t>
  </si>
  <si>
    <t>Pengadilan Tinggi Maluku Utara</t>
  </si>
  <si>
    <t>Pengadilan Tinggi Manado</t>
  </si>
  <si>
    <t>Pengadilan Tinggi Medan</t>
  </si>
  <si>
    <t>Pengadilan Tinggi Nusa Tenggara Barat</t>
  </si>
  <si>
    <t>Pengadilan Tinggi Padang</t>
  </si>
  <si>
    <t>Pengadilan Tinggi Palangkaraya</t>
  </si>
  <si>
    <t>Pengadilan Tinggi Palembang</t>
  </si>
  <si>
    <t>Pengadilan Tinggi Papua Barat</t>
  </si>
  <si>
    <t>Pengadilan Tinggi Pontianak</t>
  </si>
  <si>
    <t>Pengadilan Tinggi Riau</t>
  </si>
  <si>
    <t>Pengadilan Tinggi Sulawesi Barat</t>
  </si>
  <si>
    <t>Pengadilan Tinggi Sulawesi Tengah</t>
  </si>
  <si>
    <t>Pengadilan Tinggi Sulawesi Tenggara</t>
  </si>
  <si>
    <t>Pengadilan Tinggi Surabaya</t>
  </si>
  <si>
    <t>Pengadilan Tinggi Tanjung Karang</t>
  </si>
  <si>
    <t>Pengadilan Tinggi Yogyakarta</t>
  </si>
  <si>
    <t>401582</t>
  </si>
  <si>
    <t>401591</t>
  </si>
  <si>
    <t>401633</t>
  </si>
  <si>
    <t>401709</t>
  </si>
  <si>
    <t>401965</t>
  </si>
  <si>
    <t>401746</t>
  </si>
  <si>
    <t>401670</t>
  </si>
  <si>
    <t>402607</t>
  </si>
  <si>
    <t>401967</t>
  </si>
  <si>
    <t>401695</t>
  </si>
  <si>
    <t>401715</t>
  </si>
  <si>
    <t>401689</t>
  </si>
  <si>
    <t>401642</t>
  </si>
  <si>
    <t>401664</t>
  </si>
  <si>
    <t>401721</t>
  </si>
  <si>
    <t>401627</t>
  </si>
  <si>
    <t>401602</t>
  </si>
  <si>
    <t>401611</t>
  </si>
  <si>
    <t>682228</t>
  </si>
  <si>
    <t>401730</t>
  </si>
  <si>
    <t>401752</t>
  </si>
  <si>
    <t>401966</t>
  </si>
  <si>
    <t>401658</t>
  </si>
  <si>
    <t>401761</t>
  </si>
  <si>
    <t>402593</t>
  </si>
  <si>
    <t>307754</t>
  </si>
  <si>
    <t>401884</t>
  </si>
  <si>
    <t>402556</t>
  </si>
  <si>
    <t>682171</t>
  </si>
  <si>
    <t>682207</t>
  </si>
  <si>
    <t>308035</t>
  </si>
  <si>
    <t>682300</t>
  </si>
  <si>
    <t>402814</t>
  </si>
  <si>
    <t>614731</t>
  </si>
  <si>
    <t>402845</t>
  </si>
  <si>
    <t>401865</t>
  </si>
  <si>
    <t>307199</t>
  </si>
  <si>
    <t>400662</t>
  </si>
  <si>
    <t>652123</t>
  </si>
  <si>
    <t>401441</t>
  </si>
  <si>
    <t>401545</t>
  </si>
  <si>
    <t>402101</t>
  </si>
  <si>
    <t>402211</t>
  </si>
  <si>
    <t>402726</t>
  </si>
  <si>
    <t>682164</t>
  </si>
  <si>
    <t>632043</t>
  </si>
  <si>
    <t>402500</t>
  </si>
  <si>
    <t>401106</t>
  </si>
  <si>
    <t>307534</t>
  </si>
  <si>
    <t>401225</t>
  </si>
  <si>
    <t>401070</t>
  </si>
  <si>
    <t>401369</t>
  </si>
  <si>
    <t>402540</t>
  </si>
  <si>
    <t>307487</t>
  </si>
  <si>
    <t>547699</t>
  </si>
  <si>
    <t>400905</t>
  </si>
  <si>
    <t>682260</t>
  </si>
  <si>
    <t>402267</t>
  </si>
  <si>
    <t>401947</t>
  </si>
  <si>
    <t>307729</t>
  </si>
  <si>
    <t>401287</t>
  </si>
  <si>
    <t>400832</t>
  </si>
  <si>
    <t>401879</t>
  </si>
  <si>
    <t>402117</t>
  </si>
  <si>
    <t>632039</t>
  </si>
  <si>
    <t>308152</t>
  </si>
  <si>
    <t>402891</t>
  </si>
  <si>
    <t>307928</t>
  </si>
  <si>
    <t>401783</t>
  </si>
  <si>
    <t>401940</t>
  </si>
  <si>
    <t>604751</t>
  </si>
  <si>
    <t>652055</t>
  </si>
  <si>
    <t>401401</t>
  </si>
  <si>
    <t>401002</t>
  </si>
  <si>
    <t>400729</t>
  </si>
  <si>
    <t>401307</t>
  </si>
  <si>
    <t>401889</t>
  </si>
  <si>
    <t>401344</t>
  </si>
  <si>
    <t>652080</t>
  </si>
  <si>
    <t>401890</t>
  </si>
  <si>
    <t>401137</t>
  </si>
  <si>
    <t>400891</t>
  </si>
  <si>
    <t>402010</t>
  </si>
  <si>
    <t>307541</t>
  </si>
  <si>
    <t>652119</t>
  </si>
  <si>
    <t>402452</t>
  </si>
  <si>
    <t>652102</t>
  </si>
  <si>
    <t>400690</t>
  </si>
  <si>
    <t>400741</t>
  </si>
  <si>
    <t>402995</t>
  </si>
  <si>
    <t>604719</t>
  </si>
  <si>
    <t>614706</t>
  </si>
  <si>
    <t>401086</t>
  </si>
  <si>
    <t>652076</t>
  </si>
  <si>
    <t>400750</t>
  </si>
  <si>
    <t>308021</t>
  </si>
  <si>
    <t>402154</t>
  </si>
  <si>
    <t>401895</t>
  </si>
  <si>
    <t>401894</t>
  </si>
  <si>
    <t>400942</t>
  </si>
  <si>
    <t>307822</t>
  </si>
  <si>
    <t>652062</t>
  </si>
  <si>
    <t>307932</t>
  </si>
  <si>
    <t>604765</t>
  </si>
  <si>
    <t>402622</t>
  </si>
  <si>
    <t>307974</t>
  </si>
  <si>
    <t>307597</t>
  </si>
  <si>
    <t>402902</t>
  </si>
  <si>
    <t>400710</t>
  </si>
  <si>
    <t>401950</t>
  </si>
  <si>
    <t>402772</t>
  </si>
  <si>
    <t>614727</t>
  </si>
  <si>
    <t>307250</t>
  </si>
  <si>
    <t>401293</t>
  </si>
  <si>
    <t>401896</t>
  </si>
  <si>
    <t>652041</t>
  </si>
  <si>
    <t>400766</t>
  </si>
  <si>
    <t>400631</t>
  </si>
  <si>
    <t>400616</t>
  </si>
  <si>
    <t>400653</t>
  </si>
  <si>
    <t>400647</t>
  </si>
  <si>
    <t>400622</t>
  </si>
  <si>
    <t>402185</t>
  </si>
  <si>
    <t>402876</t>
  </si>
  <si>
    <t>401338</t>
  </si>
  <si>
    <t>307466</t>
  </si>
  <si>
    <t>400982</t>
  </si>
  <si>
    <t>401271</t>
  </si>
  <si>
    <t>401792</t>
  </si>
  <si>
    <t>401375</t>
  </si>
  <si>
    <t>403030</t>
  </si>
  <si>
    <t>604730</t>
  </si>
  <si>
    <t>401899</t>
  </si>
  <si>
    <t>614710</t>
  </si>
  <si>
    <t>307960</t>
  </si>
  <si>
    <t>402644</t>
  </si>
  <si>
    <t>402531</t>
  </si>
  <si>
    <t>401576</t>
  </si>
  <si>
    <t>401174</t>
  </si>
  <si>
    <t>402741</t>
  </si>
  <si>
    <t>400848</t>
  </si>
  <si>
    <t>401873</t>
  </si>
  <si>
    <t>402273</t>
  </si>
  <si>
    <t>401055</t>
  </si>
  <si>
    <t>402839</t>
  </si>
  <si>
    <t>400936</t>
  </si>
  <si>
    <t>307712</t>
  </si>
  <si>
    <t>401942</t>
  </si>
  <si>
    <t>402386</t>
  </si>
  <si>
    <t>403061</t>
  </si>
  <si>
    <t>401121</t>
  </si>
  <si>
    <t>402763</t>
  </si>
  <si>
    <t>307690</t>
  </si>
  <si>
    <t>401958</t>
  </si>
  <si>
    <t>403046</t>
  </si>
  <si>
    <t>401488</t>
  </si>
  <si>
    <t>401426</t>
  </si>
  <si>
    <t>682232</t>
  </si>
  <si>
    <t>682150</t>
  </si>
  <si>
    <t>307122</t>
  </si>
  <si>
    <t>402349</t>
  </si>
  <si>
    <t>307232</t>
  </si>
  <si>
    <t>401984</t>
  </si>
  <si>
    <t>401463</t>
  </si>
  <si>
    <t>402330</t>
  </si>
  <si>
    <t>402468</t>
  </si>
  <si>
    <t>401876</t>
  </si>
  <si>
    <t>401870</t>
  </si>
  <si>
    <t>402205</t>
  </si>
  <si>
    <t>400973</t>
  </si>
  <si>
    <t>400781</t>
  </si>
  <si>
    <t>307953</t>
  </si>
  <si>
    <t>401893</t>
  </si>
  <si>
    <t>682281</t>
  </si>
  <si>
    <t>307818</t>
  </si>
  <si>
    <t>402251</t>
  </si>
  <si>
    <t>401322</t>
  </si>
  <si>
    <t>402794</t>
  </si>
  <si>
    <t>401886</t>
  </si>
  <si>
    <t>682253</t>
  </si>
  <si>
    <t>632064</t>
  </si>
  <si>
    <t>402690</t>
  </si>
  <si>
    <t>401888</t>
  </si>
  <si>
    <t>402613</t>
  </si>
  <si>
    <t>402298</t>
  </si>
  <si>
    <t>403077</t>
  </si>
  <si>
    <t>402029</t>
  </si>
  <si>
    <t>401472</t>
  </si>
  <si>
    <t>307300</t>
  </si>
  <si>
    <t>401018</t>
  </si>
  <si>
    <t>401494</t>
  </si>
  <si>
    <t>400772</t>
  </si>
  <si>
    <t>307644</t>
  </si>
  <si>
    <t>307623</t>
  </si>
  <si>
    <t>307452</t>
  </si>
  <si>
    <t>401883</t>
  </si>
  <si>
    <t>307651</t>
  </si>
  <si>
    <t>307225</t>
  </si>
  <si>
    <t>402041</t>
  </si>
  <si>
    <t>308014</t>
  </si>
  <si>
    <t>402911</t>
  </si>
  <si>
    <t>307101</t>
  </si>
  <si>
    <t>682185</t>
  </si>
  <si>
    <t>307445</t>
  </si>
  <si>
    <t>401944</t>
  </si>
  <si>
    <t>402519</t>
  </si>
  <si>
    <t>632050</t>
  </si>
  <si>
    <t>307775</t>
  </si>
  <si>
    <t>307885</t>
  </si>
  <si>
    <t>402851</t>
  </si>
  <si>
    <t>401803</t>
  </si>
  <si>
    <t>402669</t>
  </si>
  <si>
    <t>682249</t>
  </si>
  <si>
    <t>402958</t>
  </si>
  <si>
    <t>401952</t>
  </si>
  <si>
    <t>402355</t>
  </si>
  <si>
    <t>614773</t>
  </si>
  <si>
    <t>401256</t>
  </si>
  <si>
    <t>307796</t>
  </si>
  <si>
    <t>403052</t>
  </si>
  <si>
    <t>402191</t>
  </si>
  <si>
    <t>402282</t>
  </si>
  <si>
    <t>401990</t>
  </si>
  <si>
    <t>632022</t>
  </si>
  <si>
    <t>652020</t>
  </si>
  <si>
    <t>402443</t>
  </si>
  <si>
    <t>401945</t>
  </si>
  <si>
    <t>401939</t>
  </si>
  <si>
    <t>403021</t>
  </si>
  <si>
    <t>402927</t>
  </si>
  <si>
    <t>401898</t>
  </si>
  <si>
    <t>401868</t>
  </si>
  <si>
    <t>401961</t>
  </si>
  <si>
    <t>614670</t>
  </si>
  <si>
    <t>402571</t>
  </si>
  <si>
    <t>402732</t>
  </si>
  <si>
    <t>401959</t>
  </si>
  <si>
    <t>401410</t>
  </si>
  <si>
    <t>401508</t>
  </si>
  <si>
    <t>682295</t>
  </si>
  <si>
    <t>401520</t>
  </si>
  <si>
    <t>401953</t>
  </si>
  <si>
    <t>401962</t>
  </si>
  <si>
    <t>401880</t>
  </si>
  <si>
    <t>401946</t>
  </si>
  <si>
    <t>402004</t>
  </si>
  <si>
    <t>402421</t>
  </si>
  <si>
    <t>402242</t>
  </si>
  <si>
    <t>307619</t>
  </si>
  <si>
    <t>307271</t>
  </si>
  <si>
    <t>401539</t>
  </si>
  <si>
    <t>604744</t>
  </si>
  <si>
    <t>417850</t>
  </si>
  <si>
    <t>307431</t>
  </si>
  <si>
    <t>401943</t>
  </si>
  <si>
    <t>402437</t>
  </si>
  <si>
    <t>631999</t>
  </si>
  <si>
    <t>402302</t>
  </si>
  <si>
    <t>614780</t>
  </si>
  <si>
    <t>631982</t>
  </si>
  <si>
    <t>307576</t>
  </si>
  <si>
    <t>401916</t>
  </si>
  <si>
    <t>682192</t>
  </si>
  <si>
    <t>401882</t>
  </si>
  <si>
    <t>682211</t>
  </si>
  <si>
    <t>402123</t>
  </si>
  <si>
    <t>401432</t>
  </si>
  <si>
    <t>400967</t>
  </si>
  <si>
    <t>402050</t>
  </si>
  <si>
    <t>400860</t>
  </si>
  <si>
    <t>402072</t>
  </si>
  <si>
    <t>307115</t>
  </si>
  <si>
    <t>400879</t>
  </si>
  <si>
    <t>401859</t>
  </si>
  <si>
    <t>401877</t>
  </si>
  <si>
    <t>307580</t>
  </si>
  <si>
    <t>307630</t>
  </si>
  <si>
    <t>401514</t>
  </si>
  <si>
    <t>402361</t>
  </si>
  <si>
    <t>307292</t>
  </si>
  <si>
    <t>401949</t>
  </si>
  <si>
    <t>307907</t>
  </si>
  <si>
    <t>401951</t>
  </si>
  <si>
    <t>401457</t>
  </si>
  <si>
    <t>401875</t>
  </si>
  <si>
    <t>401936</t>
  </si>
  <si>
    <t>401092</t>
  </si>
  <si>
    <t>400854</t>
  </si>
  <si>
    <t>400951</t>
  </si>
  <si>
    <t>401061</t>
  </si>
  <si>
    <t>401049</t>
  </si>
  <si>
    <t>402412</t>
  </si>
  <si>
    <t>307708</t>
  </si>
  <si>
    <t>400817</t>
  </si>
  <si>
    <t>402525</t>
  </si>
  <si>
    <t>401812</t>
  </si>
  <si>
    <t>400998</t>
  </si>
  <si>
    <t>402081</t>
  </si>
  <si>
    <t>401887</t>
  </si>
  <si>
    <t>402808</t>
  </si>
  <si>
    <t>400920</t>
  </si>
  <si>
    <t>307178</t>
  </si>
  <si>
    <t>402370</t>
  </si>
  <si>
    <t>401551</t>
  </si>
  <si>
    <t>402474</t>
  </si>
  <si>
    <t>652097</t>
  </si>
  <si>
    <t>402392</t>
  </si>
  <si>
    <t>632018</t>
  </si>
  <si>
    <t>401931</t>
  </si>
  <si>
    <t>401935</t>
  </si>
  <si>
    <t>402638</t>
  </si>
  <si>
    <t>402132</t>
  </si>
  <si>
    <t>307562</t>
  </si>
  <si>
    <t>307911</t>
  </si>
  <si>
    <t>400911</t>
  </si>
  <si>
    <t>401878</t>
  </si>
  <si>
    <t>652034</t>
  </si>
  <si>
    <t>307513</t>
  </si>
  <si>
    <t>614769</t>
  </si>
  <si>
    <t>400797</t>
  </si>
  <si>
    <t>402942</t>
  </si>
  <si>
    <t>401937</t>
  </si>
  <si>
    <t>401871</t>
  </si>
  <si>
    <t>401934</t>
  </si>
  <si>
    <t>307602</t>
  </si>
  <si>
    <t>401840</t>
  </si>
  <si>
    <t>401262</t>
  </si>
  <si>
    <t>401978</t>
  </si>
  <si>
    <t>403083</t>
  </si>
  <si>
    <t>307839</t>
  </si>
  <si>
    <t>401960</t>
  </si>
  <si>
    <t>307555</t>
  </si>
  <si>
    <t>402406</t>
  </si>
  <si>
    <t>401350</t>
  </si>
  <si>
    <t>403015</t>
  </si>
  <si>
    <t>401200</t>
  </si>
  <si>
    <t>307801</t>
  </si>
  <si>
    <t>402820</t>
  </si>
  <si>
    <t>401922</t>
  </si>
  <si>
    <t>401957</t>
  </si>
  <si>
    <t>402882</t>
  </si>
  <si>
    <t>401143</t>
  </si>
  <si>
    <t>547682</t>
  </si>
  <si>
    <t>402587</t>
  </si>
  <si>
    <t>400735</t>
  </si>
  <si>
    <t>401956</t>
  </si>
  <si>
    <t>401869</t>
  </si>
  <si>
    <t>401168</t>
  </si>
  <si>
    <t>307892</t>
  </si>
  <si>
    <t>403009</t>
  </si>
  <si>
    <t>400678</t>
  </si>
  <si>
    <t>401560</t>
  </si>
  <si>
    <t>402220</t>
  </si>
  <si>
    <t>401964</t>
  </si>
  <si>
    <t>403092</t>
  </si>
  <si>
    <t>307491</t>
  </si>
  <si>
    <t>401240</t>
  </si>
  <si>
    <t>401180</t>
  </si>
  <si>
    <t>401892</t>
  </si>
  <si>
    <t>402757</t>
  </si>
  <si>
    <t>307246</t>
  </si>
  <si>
    <t>401941</t>
  </si>
  <si>
    <t>307470</t>
  </si>
  <si>
    <t>682274</t>
  </si>
  <si>
    <t>402035</t>
  </si>
  <si>
    <t>401874</t>
  </si>
  <si>
    <t>307182</t>
  </si>
  <si>
    <t>400823</t>
  </si>
  <si>
    <t>614691</t>
  </si>
  <si>
    <t>402562</t>
  </si>
  <si>
    <t>401828</t>
  </si>
  <si>
    <t>402160</t>
  </si>
  <si>
    <t>402318</t>
  </si>
  <si>
    <t>402066</t>
  </si>
  <si>
    <t>402148</t>
  </si>
  <si>
    <t>307204</t>
  </si>
  <si>
    <t>417657</t>
  </si>
  <si>
    <t>402324</t>
  </si>
  <si>
    <t>402675</t>
  </si>
  <si>
    <t>402179</t>
  </si>
  <si>
    <t>631978</t>
  </si>
  <si>
    <t>400704</t>
  </si>
  <si>
    <t>401834</t>
  </si>
  <si>
    <t>400885</t>
  </si>
  <si>
    <t>401938</t>
  </si>
  <si>
    <t>401024</t>
  </si>
  <si>
    <t>402097</t>
  </si>
  <si>
    <t>307161</t>
  </si>
  <si>
    <t>307782</t>
  </si>
  <si>
    <t>604723</t>
  </si>
  <si>
    <t>652130</t>
  </si>
  <si>
    <t>307288</t>
  </si>
  <si>
    <t>402701</t>
  </si>
  <si>
    <t>401390</t>
  </si>
  <si>
    <t>307761</t>
  </si>
  <si>
    <t>450737</t>
  </si>
  <si>
    <t>614684</t>
  </si>
  <si>
    <t>401955</t>
  </si>
  <si>
    <t>401381</t>
  </si>
  <si>
    <t>401891</t>
  </si>
  <si>
    <t>632001</t>
  </si>
  <si>
    <t>604772</t>
  </si>
  <si>
    <t>307949</t>
  </si>
  <si>
    <t>307981</t>
  </si>
  <si>
    <t>402933</t>
  </si>
  <si>
    <t>401885</t>
  </si>
  <si>
    <t>307509</t>
  </si>
  <si>
    <t>307520</t>
  </si>
  <si>
    <t>401219</t>
  </si>
  <si>
    <t>401152</t>
  </si>
  <si>
    <t>401231</t>
  </si>
  <si>
    <t>401030</t>
  </si>
  <si>
    <t>401199</t>
  </si>
  <si>
    <t>402710</t>
  </si>
  <si>
    <t>526724</t>
  </si>
  <si>
    <t>547678</t>
  </si>
  <si>
    <t>308166</t>
  </si>
  <si>
    <t>440728</t>
  </si>
  <si>
    <t>402449</t>
  </si>
  <si>
    <t>440712</t>
  </si>
  <si>
    <t>576274</t>
  </si>
  <si>
    <t>440734</t>
  </si>
  <si>
    <t>401112</t>
  </si>
  <si>
    <t>547661</t>
  </si>
  <si>
    <t>402860</t>
  </si>
  <si>
    <t>526722</t>
  </si>
  <si>
    <t>576253</t>
  </si>
  <si>
    <t>526708</t>
  </si>
  <si>
    <t>576260</t>
  </si>
  <si>
    <t>307424</t>
  </si>
  <si>
    <t>440740</t>
  </si>
  <si>
    <t>402681</t>
  </si>
  <si>
    <t>402788</t>
  </si>
  <si>
    <t>401777</t>
  </si>
  <si>
    <t>401900</t>
  </si>
  <si>
    <t>402989</t>
  </si>
  <si>
    <t>402236</t>
  </si>
  <si>
    <t>576249</t>
  </si>
  <si>
    <t>526718</t>
  </si>
  <si>
    <t>402970</t>
  </si>
  <si>
    <t>402650</t>
  </si>
  <si>
    <t>402480</t>
  </si>
  <si>
    <t>402964</t>
  </si>
  <si>
    <t>526714</t>
  </si>
  <si>
    <t>308170</t>
  </si>
  <si>
    <t>547657</t>
  </si>
  <si>
    <t>663182</t>
  </si>
  <si>
    <t>663199</t>
  </si>
  <si>
    <t>663204</t>
  </si>
  <si>
    <t>663211</t>
  </si>
  <si>
    <t>663225</t>
  </si>
  <si>
    <t>663232</t>
  </si>
  <si>
    <t>663246</t>
  </si>
  <si>
    <t>663267</t>
  </si>
  <si>
    <t>663271</t>
  </si>
  <si>
    <t>663288</t>
  </si>
  <si>
    <t>663292</t>
  </si>
  <si>
    <t>663314</t>
  </si>
  <si>
    <t>663321</t>
  </si>
  <si>
    <t>663335</t>
  </si>
  <si>
    <t>663342</t>
  </si>
  <si>
    <t>663356</t>
  </si>
  <si>
    <t>663360</t>
  </si>
  <si>
    <t>663377</t>
  </si>
  <si>
    <t>663381</t>
  </si>
  <si>
    <t>663178</t>
  </si>
  <si>
    <t>663250</t>
  </si>
  <si>
    <t>663300</t>
  </si>
  <si>
    <t>663161</t>
  </si>
  <si>
    <t>578818</t>
  </si>
  <si>
    <t>539117</t>
  </si>
  <si>
    <t>559840</t>
  </si>
  <si>
    <t>531823</t>
  </si>
  <si>
    <t>531865</t>
  </si>
  <si>
    <t>578885</t>
  </si>
  <si>
    <t>559861</t>
  </si>
  <si>
    <t>401969</t>
  </si>
  <si>
    <t>526732</t>
  </si>
  <si>
    <t>578839</t>
  </si>
  <si>
    <t>539138</t>
  </si>
  <si>
    <t>578864</t>
  </si>
  <si>
    <t>539121</t>
  </si>
  <si>
    <t>526771</t>
  </si>
  <si>
    <t>531872</t>
  </si>
  <si>
    <t>578871</t>
  </si>
  <si>
    <t>526746</t>
  </si>
  <si>
    <t>531844</t>
  </si>
  <si>
    <t>578843</t>
  </si>
  <si>
    <t>526750</t>
  </si>
  <si>
    <t>578850</t>
  </si>
  <si>
    <t>401968</t>
  </si>
  <si>
    <t>578822</t>
  </si>
  <si>
    <t>531851</t>
  </si>
  <si>
    <t>559857</t>
  </si>
  <si>
    <t>531830</t>
  </si>
  <si>
    <t>689313</t>
  </si>
  <si>
    <t>526767</t>
  </si>
  <si>
    <t>689309</t>
  </si>
  <si>
    <t>578801</t>
  </si>
  <si>
    <t>526730</t>
  </si>
  <si>
    <t>526704</t>
  </si>
  <si>
    <t>526711</t>
  </si>
  <si>
    <t>526734</t>
  </si>
  <si>
    <t>526736</t>
  </si>
  <si>
    <t>526725</t>
  </si>
  <si>
    <t>526728</t>
  </si>
  <si>
    <t>548940</t>
  </si>
  <si>
    <t>670210</t>
  </si>
  <si>
    <t>099706</t>
  </si>
  <si>
    <t>099837</t>
  </si>
  <si>
    <t>099251</t>
  </si>
  <si>
    <t>673034</t>
  </si>
  <si>
    <t>681439</t>
  </si>
  <si>
    <t>400239</t>
  </si>
  <si>
    <t>099930</t>
  </si>
  <si>
    <t>400157</t>
  </si>
  <si>
    <t>400483</t>
  </si>
  <si>
    <t>672910</t>
  </si>
  <si>
    <t>099308</t>
  </si>
  <si>
    <t>098441</t>
  </si>
  <si>
    <t>097514</t>
  </si>
  <si>
    <t>098324</t>
  </si>
  <si>
    <t>098413</t>
  </si>
  <si>
    <t>400141</t>
  </si>
  <si>
    <t>400311</t>
  </si>
  <si>
    <t>099858</t>
  </si>
  <si>
    <t>401914</t>
  </si>
  <si>
    <t>653458</t>
  </si>
  <si>
    <t>099197</t>
  </si>
  <si>
    <t>098040</t>
  </si>
  <si>
    <t>099560</t>
  </si>
  <si>
    <t>400172</t>
  </si>
  <si>
    <t>098022</t>
  </si>
  <si>
    <t>098214</t>
  </si>
  <si>
    <t>099223</t>
  </si>
  <si>
    <t>099450</t>
  </si>
  <si>
    <t>108309</t>
  </si>
  <si>
    <t>097872</t>
  </si>
  <si>
    <t>670206</t>
  </si>
  <si>
    <t>098963</t>
  </si>
  <si>
    <t>098771</t>
  </si>
  <si>
    <t>099663</t>
  </si>
  <si>
    <t>097610</t>
  </si>
  <si>
    <t>401928</t>
  </si>
  <si>
    <t>098853</t>
  </si>
  <si>
    <t>670231</t>
  </si>
  <si>
    <t>400110</t>
  </si>
  <si>
    <t>400090</t>
  </si>
  <si>
    <t>098633</t>
  </si>
  <si>
    <t>672994</t>
  </si>
  <si>
    <t>098476</t>
  </si>
  <si>
    <t>568725</t>
  </si>
  <si>
    <t>663051</t>
  </si>
  <si>
    <t>098544</t>
  </si>
  <si>
    <t>401902</t>
  </si>
  <si>
    <t>098277</t>
  </si>
  <si>
    <t>097851</t>
  </si>
  <si>
    <t>401973</t>
  </si>
  <si>
    <t>097645</t>
  </si>
  <si>
    <t>098125</t>
  </si>
  <si>
    <t>098192</t>
  </si>
  <si>
    <t>662972</t>
  </si>
  <si>
    <t>097982</t>
  </si>
  <si>
    <t>097776</t>
  </si>
  <si>
    <t>098811</t>
  </si>
  <si>
    <t>099581</t>
  </si>
  <si>
    <t>099162</t>
  </si>
  <si>
    <t>670248</t>
  </si>
  <si>
    <t>098572</t>
  </si>
  <si>
    <t>097556</t>
  </si>
  <si>
    <t>097666</t>
  </si>
  <si>
    <t>400409</t>
  </si>
  <si>
    <t>613519</t>
  </si>
  <si>
    <t>401915</t>
  </si>
  <si>
    <t>098015</t>
  </si>
  <si>
    <t>097670</t>
  </si>
  <si>
    <t>400126</t>
  </si>
  <si>
    <t>401971</t>
  </si>
  <si>
    <t>401970</t>
  </si>
  <si>
    <t>097802</t>
  </si>
  <si>
    <t>099780</t>
  </si>
  <si>
    <t>477292</t>
  </si>
  <si>
    <t>401929</t>
  </si>
  <si>
    <t>099905</t>
  </si>
  <si>
    <t>477202</t>
  </si>
  <si>
    <t>400327</t>
  </si>
  <si>
    <t>099989</t>
  </si>
  <si>
    <t>099507</t>
  </si>
  <si>
    <t>400081</t>
  </si>
  <si>
    <t>097542</t>
  </si>
  <si>
    <t>401911</t>
  </si>
  <si>
    <t>099841</t>
  </si>
  <si>
    <t>099361</t>
  </si>
  <si>
    <t>098150</t>
  </si>
  <si>
    <t>098696</t>
  </si>
  <si>
    <t>663030</t>
  </si>
  <si>
    <t>098523</t>
  </si>
  <si>
    <t>097687</t>
  </si>
  <si>
    <t>097488</t>
  </si>
  <si>
    <t>097471</t>
  </si>
  <si>
    <t>400214</t>
  </si>
  <si>
    <t>097492</t>
  </si>
  <si>
    <t>400220</t>
  </si>
  <si>
    <t>098895</t>
  </si>
  <si>
    <t>400415</t>
  </si>
  <si>
    <t>400038</t>
  </si>
  <si>
    <t>098200</t>
  </si>
  <si>
    <t>099485</t>
  </si>
  <si>
    <t>097844</t>
  </si>
  <si>
    <t>098188</t>
  </si>
  <si>
    <t>098661</t>
  </si>
  <si>
    <t>400580</t>
  </si>
  <si>
    <t>400596</t>
  </si>
  <si>
    <t>401933</t>
  </si>
  <si>
    <t>400163</t>
  </si>
  <si>
    <t>400452</t>
  </si>
  <si>
    <t>099202</t>
  </si>
  <si>
    <t>097975</t>
  </si>
  <si>
    <t>097624</t>
  </si>
  <si>
    <t>672973</t>
  </si>
  <si>
    <t>098959</t>
  </si>
  <si>
    <t>097908</t>
  </si>
  <si>
    <t>098235</t>
  </si>
  <si>
    <t>099951</t>
  </si>
  <si>
    <t>097797</t>
  </si>
  <si>
    <t>099659</t>
  </si>
  <si>
    <t>673041</t>
  </si>
  <si>
    <t>626156</t>
  </si>
  <si>
    <t>099091</t>
  </si>
  <si>
    <t>400389</t>
  </si>
  <si>
    <t>097996</t>
  </si>
  <si>
    <t>401912</t>
  </si>
  <si>
    <t>099684</t>
  </si>
  <si>
    <t>477306</t>
  </si>
  <si>
    <t>098345</t>
  </si>
  <si>
    <t>099219</t>
  </si>
  <si>
    <t>099052</t>
  </si>
  <si>
    <t>099333</t>
  </si>
  <si>
    <t>400446</t>
  </si>
  <si>
    <t>098331</t>
  </si>
  <si>
    <t>099155</t>
  </si>
  <si>
    <t>401918</t>
  </si>
  <si>
    <t>098530</t>
  </si>
  <si>
    <t>098917</t>
  </si>
  <si>
    <t>097755</t>
  </si>
  <si>
    <t>097709</t>
  </si>
  <si>
    <t>099926</t>
  </si>
  <si>
    <t>098551</t>
  </si>
  <si>
    <t>477380</t>
  </si>
  <si>
    <t>673020</t>
  </si>
  <si>
    <t>099752</t>
  </si>
  <si>
    <t>098984</t>
  </si>
  <si>
    <t>098146</t>
  </si>
  <si>
    <t>098519</t>
  </si>
  <si>
    <t>400007</t>
  </si>
  <si>
    <t>401926</t>
  </si>
  <si>
    <t>477230</t>
  </si>
  <si>
    <t>098497</t>
  </si>
  <si>
    <t>098480</t>
  </si>
  <si>
    <t>400208</t>
  </si>
  <si>
    <t>614883</t>
  </si>
  <si>
    <t>400333</t>
  </si>
  <si>
    <t>098970</t>
  </si>
  <si>
    <t>400395</t>
  </si>
  <si>
    <t>098828</t>
  </si>
  <si>
    <t>098310</t>
  </si>
  <si>
    <t>099396</t>
  </si>
  <si>
    <t>097890</t>
  </si>
  <si>
    <t>098387</t>
  </si>
  <si>
    <t>097691</t>
  </si>
  <si>
    <t>099621</t>
  </si>
  <si>
    <t>099617</t>
  </si>
  <si>
    <t>099422</t>
  </si>
  <si>
    <t>098281</t>
  </si>
  <si>
    <t>673013</t>
  </si>
  <si>
    <t>417704</t>
  </si>
  <si>
    <t>099638</t>
  </si>
  <si>
    <t>099329</t>
  </si>
  <si>
    <t>477399</t>
  </si>
  <si>
    <t>400132</t>
  </si>
  <si>
    <t>400069</t>
  </si>
  <si>
    <t>400260</t>
  </si>
  <si>
    <t>670184</t>
  </si>
  <si>
    <t>099471</t>
  </si>
  <si>
    <t>099230</t>
  </si>
  <si>
    <t>672927</t>
  </si>
  <si>
    <t>099710</t>
  </si>
  <si>
    <t>099862</t>
  </si>
  <si>
    <t>099993</t>
  </si>
  <si>
    <t>098629</t>
  </si>
  <si>
    <t>401925</t>
  </si>
  <si>
    <t>099109</t>
  </si>
  <si>
    <t>663026</t>
  </si>
  <si>
    <t>401913</t>
  </si>
  <si>
    <t>400050</t>
  </si>
  <si>
    <t>099045</t>
  </si>
  <si>
    <t>098565</t>
  </si>
  <si>
    <t>401903</t>
  </si>
  <si>
    <t>098171</t>
  </si>
  <si>
    <t>400430</t>
  </si>
  <si>
    <t>098900</t>
  </si>
  <si>
    <t>098991</t>
  </si>
  <si>
    <t>099141</t>
  </si>
  <si>
    <t>400461</t>
  </si>
  <si>
    <t>401910</t>
  </si>
  <si>
    <t>400571</t>
  </si>
  <si>
    <t>400101</t>
  </si>
  <si>
    <t>401930</t>
  </si>
  <si>
    <t>401919</t>
  </si>
  <si>
    <t>672948</t>
  </si>
  <si>
    <t>099802</t>
  </si>
  <si>
    <t>681450</t>
  </si>
  <si>
    <t>098242</t>
  </si>
  <si>
    <t>098370</t>
  </si>
  <si>
    <t>477270</t>
  </si>
  <si>
    <t>681418</t>
  </si>
  <si>
    <t>098366</t>
  </si>
  <si>
    <t>098750</t>
  </si>
  <si>
    <t>400188</t>
  </si>
  <si>
    <t>098722</t>
  </si>
  <si>
    <t>672969</t>
  </si>
  <si>
    <t>098807</t>
  </si>
  <si>
    <t>099120</t>
  </si>
  <si>
    <t>098942</t>
  </si>
  <si>
    <t>099600</t>
  </si>
  <si>
    <t>099375</t>
  </si>
  <si>
    <t>098391</t>
  </si>
  <si>
    <t>417844</t>
  </si>
  <si>
    <t>099443</t>
  </si>
  <si>
    <t>099010</t>
  </si>
  <si>
    <t>401909</t>
  </si>
  <si>
    <t>099134</t>
  </si>
  <si>
    <t>099492</t>
  </si>
  <si>
    <t>098792</t>
  </si>
  <si>
    <t>672980</t>
  </si>
  <si>
    <t>401921</t>
  </si>
  <si>
    <t>477352</t>
  </si>
  <si>
    <t>681422</t>
  </si>
  <si>
    <t>681443</t>
  </si>
  <si>
    <t>662990</t>
  </si>
  <si>
    <t>098298</t>
  </si>
  <si>
    <t>097762</t>
  </si>
  <si>
    <t>098832</t>
  </si>
  <si>
    <t>097741</t>
  </si>
  <si>
    <t>098849</t>
  </si>
  <si>
    <t>400282</t>
  </si>
  <si>
    <t>477255</t>
  </si>
  <si>
    <t>097780</t>
  </si>
  <si>
    <t>098701</t>
  </si>
  <si>
    <t>401924</t>
  </si>
  <si>
    <t>099528</t>
  </si>
  <si>
    <t>099642</t>
  </si>
  <si>
    <t>098352</t>
  </si>
  <si>
    <t>099066</t>
  </si>
  <si>
    <t>099401</t>
  </si>
  <si>
    <t>672952</t>
  </si>
  <si>
    <t>099912</t>
  </si>
  <si>
    <t>098303</t>
  </si>
  <si>
    <t>401920</t>
  </si>
  <si>
    <t>401907</t>
  </si>
  <si>
    <t>098036</t>
  </si>
  <si>
    <t>097603</t>
  </si>
  <si>
    <t>097819</t>
  </si>
  <si>
    <t>098001</t>
  </si>
  <si>
    <t>097886</t>
  </si>
  <si>
    <t>400194</t>
  </si>
  <si>
    <t>099879</t>
  </si>
  <si>
    <t>099670</t>
  </si>
  <si>
    <t>097577</t>
  </si>
  <si>
    <t>099265</t>
  </si>
  <si>
    <t>098675</t>
  </si>
  <si>
    <t>097865</t>
  </si>
  <si>
    <t>098860</t>
  </si>
  <si>
    <t>477261</t>
  </si>
  <si>
    <t>477249</t>
  </si>
  <si>
    <t>400013</t>
  </si>
  <si>
    <t>098455</t>
  </si>
  <si>
    <t>097823</t>
  </si>
  <si>
    <t>099286</t>
  </si>
  <si>
    <t>670227</t>
  </si>
  <si>
    <t>098420</t>
  </si>
  <si>
    <t>099176</t>
  </si>
  <si>
    <t>401972</t>
  </si>
  <si>
    <t>662986</t>
  </si>
  <si>
    <t>099113</t>
  </si>
  <si>
    <t>477374</t>
  </si>
  <si>
    <t>672931</t>
  </si>
  <si>
    <t>098764</t>
  </si>
  <si>
    <t>401905</t>
  </si>
  <si>
    <t>099003</t>
  </si>
  <si>
    <t>099595</t>
  </si>
  <si>
    <t>099890</t>
  </si>
  <si>
    <t>097720</t>
  </si>
  <si>
    <t>099816</t>
  </si>
  <si>
    <t>663012</t>
  </si>
  <si>
    <t>099553</t>
  </si>
  <si>
    <t>097560</t>
  </si>
  <si>
    <t>400276</t>
  </si>
  <si>
    <t>477343</t>
  </si>
  <si>
    <t>098739</t>
  </si>
  <si>
    <t>401906</t>
  </si>
  <si>
    <t>099511</t>
  </si>
  <si>
    <t>098654</t>
  </si>
  <si>
    <t>098167</t>
  </si>
  <si>
    <t>098462</t>
  </si>
  <si>
    <t>400370</t>
  </si>
  <si>
    <t>673062</t>
  </si>
  <si>
    <t>098586</t>
  </si>
  <si>
    <t>099794</t>
  </si>
  <si>
    <t>099070</t>
  </si>
  <si>
    <t>098608</t>
  </si>
  <si>
    <t>099574</t>
  </si>
  <si>
    <t>099087</t>
  </si>
  <si>
    <t>098221</t>
  </si>
  <si>
    <t>400565</t>
  </si>
  <si>
    <t>098082</t>
  </si>
  <si>
    <t>099769</t>
  </si>
  <si>
    <t>099947</t>
  </si>
  <si>
    <t>098785</t>
  </si>
  <si>
    <t>400075</t>
  </si>
  <si>
    <t>097940</t>
  </si>
  <si>
    <t>108025</t>
  </si>
  <si>
    <t>097631</t>
  </si>
  <si>
    <t>401904</t>
  </si>
  <si>
    <t>097652</t>
  </si>
  <si>
    <t>663047</t>
  </si>
  <si>
    <t>097961</t>
  </si>
  <si>
    <t>099883</t>
  </si>
  <si>
    <t>400477</t>
  </si>
  <si>
    <t>097521</t>
  </si>
  <si>
    <t>098409</t>
  </si>
  <si>
    <t>098921</t>
  </si>
  <si>
    <t>099024</t>
  </si>
  <si>
    <t>099439</t>
  </si>
  <si>
    <t>098111</t>
  </si>
  <si>
    <t>097933</t>
  </si>
  <si>
    <t>099820</t>
  </si>
  <si>
    <t>099340</t>
  </si>
  <si>
    <t>673009</t>
  </si>
  <si>
    <t>099464</t>
  </si>
  <si>
    <t>098502</t>
  </si>
  <si>
    <t>670191</t>
  </si>
  <si>
    <t>400302</t>
  </si>
  <si>
    <t>097598</t>
  </si>
  <si>
    <t>099244</t>
  </si>
  <si>
    <t>098640</t>
  </si>
  <si>
    <t>663005</t>
  </si>
  <si>
    <t>477400</t>
  </si>
  <si>
    <t>099031</t>
  </si>
  <si>
    <t>400600</t>
  </si>
  <si>
    <t>400421</t>
  </si>
  <si>
    <t>098881</t>
  </si>
  <si>
    <t>400291</t>
  </si>
  <si>
    <t>417722</t>
  </si>
  <si>
    <t>098590</t>
  </si>
  <si>
    <t>099272</t>
  </si>
  <si>
    <t>098718</t>
  </si>
  <si>
    <t>097535</t>
  </si>
  <si>
    <t>098682</t>
  </si>
  <si>
    <t>477368</t>
  </si>
  <si>
    <t>097734</t>
  </si>
  <si>
    <t>401908</t>
  </si>
  <si>
    <t>097912</t>
  </si>
  <si>
    <t>098874</t>
  </si>
  <si>
    <t>099290</t>
  </si>
  <si>
    <t>099731</t>
  </si>
  <si>
    <t>477218</t>
  </si>
  <si>
    <t>614890</t>
  </si>
  <si>
    <t>099748</t>
  </si>
  <si>
    <t>099382</t>
  </si>
  <si>
    <t>099354</t>
  </si>
  <si>
    <t>098260</t>
  </si>
  <si>
    <t>099727</t>
  </si>
  <si>
    <t>098132</t>
  </si>
  <si>
    <t>673055</t>
  </si>
  <si>
    <t>098256</t>
  </si>
  <si>
    <t>477224</t>
  </si>
  <si>
    <t>097830</t>
  </si>
  <si>
    <t>099972</t>
  </si>
  <si>
    <t>099968</t>
  </si>
  <si>
    <t>400044</t>
  </si>
  <si>
    <t>401927</t>
  </si>
  <si>
    <t>099532</t>
  </si>
  <si>
    <t>099549</t>
  </si>
  <si>
    <t>098061</t>
  </si>
  <si>
    <t>097954</t>
  </si>
  <si>
    <t>098078</t>
  </si>
  <si>
    <t>097929</t>
  </si>
  <si>
    <t>098057</t>
  </si>
  <si>
    <t>099691</t>
  </si>
  <si>
    <t>098434</t>
  </si>
  <si>
    <t>097500</t>
  </si>
  <si>
    <t>663403</t>
  </si>
  <si>
    <t>099180</t>
  </si>
  <si>
    <t>663398</t>
  </si>
  <si>
    <t>400512</t>
  </si>
  <si>
    <t>099773</t>
  </si>
  <si>
    <t>664539</t>
  </si>
  <si>
    <t>097467</t>
  </si>
  <si>
    <t>400503</t>
  </si>
  <si>
    <t>097713</t>
  </si>
  <si>
    <t>400022</t>
  </si>
  <si>
    <t>400528</t>
  </si>
  <si>
    <t>526720</t>
  </si>
  <si>
    <t>526706</t>
  </si>
  <si>
    <t>400245</t>
  </si>
  <si>
    <t>099418</t>
  </si>
  <si>
    <t>664522</t>
  </si>
  <si>
    <t>099312</t>
  </si>
  <si>
    <t>098612</t>
  </si>
  <si>
    <t>400559</t>
  </si>
  <si>
    <t>098743</t>
  </si>
  <si>
    <t>400358</t>
  </si>
  <si>
    <t>098938</t>
  </si>
  <si>
    <t>526716</t>
  </si>
  <si>
    <t>400251</t>
  </si>
  <si>
    <t>400492</t>
  </si>
  <si>
    <t>526710</t>
  </si>
  <si>
    <t>400534</t>
  </si>
  <si>
    <t>400540</t>
  </si>
  <si>
    <t>098104</t>
  </si>
  <si>
    <t>400364</t>
  </si>
  <si>
    <t>400342</t>
  </si>
  <si>
    <t>Pernyataan 1</t>
  </si>
  <si>
    <t>Sasaran 1</t>
  </si>
  <si>
    <t>Sasaran 2</t>
  </si>
  <si>
    <t>Sasaran 3</t>
  </si>
  <si>
    <t>Larsson</t>
  </si>
  <si>
    <t>Ketua Pengadilan</t>
  </si>
  <si>
    <t>Adam</t>
  </si>
  <si>
    <t>Klerek-Pengelola Perkara</t>
  </si>
  <si>
    <t>Internal</t>
  </si>
  <si>
    <t>-</t>
  </si>
  <si>
    <t>E1-BSDK.KBJ.001</t>
  </si>
  <si>
    <t>Pengendalian Eksisting 1</t>
  </si>
  <si>
    <t>Ya</t>
  </si>
  <si>
    <t>Efektif</t>
  </si>
  <si>
    <t>Cukup</t>
  </si>
  <si>
    <t>[8] RENCANA TINDAK PENGENDALIAN — Format Lampiran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</si>
</sst>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20"/>
      <color rgb="FFFFFFFF"/>
      <name val="Calibri"/>
      <family val="2"/>
    </font>
    <font>
      <b/>
      <sz val="13"/>
      <color rgb="FFFFFFFF"/>
      <name val="Calibri"/>
      <family val="2"/>
    </font>
    <font>
      <i/>
      <sz val="11"/>
      <color rgb="FF2B6CB0"/>
      <name val="Calibri"/>
      <family val="2"/>
    </font>
    <font>
      <b/>
      <sz val="11"/>
      <color rgb="FFFFFFFF"/>
      <name val="Calibri"/>
      <family val="2"/>
    </font>
    <font>
      <sz val="10"/>
      <name val="Calibri"/>
      <family val="2"/>
    </font>
    <font>
      <i/>
      <sz val="10"/>
      <color rgb="FF744210"/>
      <name val="Calibri"/>
      <family val="2"/>
    </font>
    <font>
      <b/>
      <sz val="14"/>
      <color rgb="FFFFFFFF"/>
      <name val="Calibri"/>
      <family val="2"/>
    </font>
    <font>
      <b/>
      <sz val="10"/>
      <color rgb="FF1E3A5F"/>
      <name val="Calibri"/>
      <family val="2"/>
    </font>
    <font>
      <sz val="10"/>
      <color rgb="FF1D4ED8"/>
      <name val="Calibri"/>
      <family val="2"/>
    </font>
    <font>
      <b/>
      <sz val="10"/>
      <color rgb="FFFFFFFF"/>
      <name val="Calibri"/>
      <family val="2"/>
    </font>
    <font>
      <i/>
      <sz val="10"/>
      <color rgb="FF276749"/>
      <name val="Calibri"/>
      <family val="2"/>
    </font>
    <font>
      <b/>
      <sz val="12"/>
      <color rgb="FF276749"/>
      <name val="Calibri"/>
      <family val="2"/>
    </font>
    <font>
      <i/>
      <sz val="9"/>
      <color rgb="FF553C9A"/>
      <name val="Calibri"/>
      <family val="2"/>
    </font>
    <font>
      <b/>
      <sz val="9"/>
      <color rgb="FF276749"/>
      <name val="Calibri"/>
      <family val="2"/>
    </font>
    <font>
      <b/>
      <sz val="9"/>
      <color rgb="FFFFFFFF"/>
      <name val="Calibri"/>
      <family val="2"/>
    </font>
    <font>
      <b/>
      <sz val="8"/>
      <color rgb="FF1A202C"/>
      <name val="Calibri"/>
      <family val="2"/>
    </font>
    <font>
      <b/>
      <sz val="8"/>
      <color rgb="FFFFFFFF"/>
      <name val="Calibri"/>
      <family val="2"/>
    </font>
    <font>
      <i/>
      <sz val="9"/>
      <name val="Calibri"/>
      <family val="2"/>
    </font>
    <font>
      <i/>
      <sz val="10"/>
      <color rgb="FF2C7A7B"/>
      <name val="Calibri"/>
      <family val="2"/>
    </font>
    <font>
      <i/>
      <sz val="10"/>
      <color rgb="FF22543D"/>
      <name val="Calibri"/>
      <family val="2"/>
    </font>
    <font>
      <b/>
      <sz val="16"/>
      <color rgb="FFFFFFFF"/>
      <name val="Calibri"/>
      <family val="2"/>
    </font>
    <font>
      <b/>
      <sz val="9"/>
      <color rgb="FF2B6CB0"/>
      <name val="Calibri"/>
      <family val="2"/>
    </font>
    <font>
      <b/>
      <sz val="9"/>
      <color rgb="FFC53030"/>
      <name val="Calibri"/>
      <family val="2"/>
    </font>
    <font>
      <b/>
      <sz val="9"/>
      <color rgb="FFC05621"/>
      <name val="Calibri"/>
      <family val="2"/>
    </font>
    <font>
      <b/>
      <sz val="9"/>
      <color rgb="FF744210"/>
      <name val="Calibri"/>
      <family val="2"/>
    </font>
    <font>
      <b/>
      <sz val="22"/>
      <color rgb="FF2B6CB0"/>
      <name val="Calibri"/>
      <family val="2"/>
    </font>
    <font>
      <b/>
      <sz val="22"/>
      <color rgb="FFC53030"/>
      <name val="Calibri"/>
      <family val="2"/>
    </font>
    <font>
      <b/>
      <sz val="22"/>
      <color rgb="FF276749"/>
      <name val="Calibri"/>
      <family val="2"/>
    </font>
    <font>
      <b/>
      <sz val="22"/>
      <color rgb="FFC05621"/>
      <name val="Calibri"/>
      <family val="2"/>
    </font>
    <font>
      <b/>
      <sz val="22"/>
      <color rgb="FF744210"/>
      <name val="Calibri"/>
      <family val="2"/>
    </font>
    <font>
      <i/>
      <sz val="9"/>
      <color rgb="FF718096"/>
      <name val="Calibri"/>
      <family val="2"/>
    </font>
    <font>
      <b/>
      <sz val="11"/>
      <color rgb="FF2B6CB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1E3A5F"/>
      </patternFill>
    </fill>
    <fill>
      <patternFill patternType="solid">
        <fgColor rgb="FF2B6CB0"/>
      </patternFill>
    </fill>
    <fill>
      <patternFill patternType="solid">
        <fgColor rgb="FFEBF4FF"/>
      </patternFill>
    </fill>
    <fill>
      <patternFill patternType="solid">
        <fgColor rgb="FFF8FAFF"/>
      </patternFill>
    </fill>
    <fill>
      <patternFill patternType="solid">
        <fgColor rgb="FFFFFFFF"/>
      </patternFill>
    </fill>
    <fill>
      <patternFill patternType="solid">
        <fgColor rgb="FFFFFBEB"/>
      </patternFill>
    </fill>
    <fill>
      <patternFill patternType="solid">
        <fgColor rgb="FF374151"/>
      </patternFill>
    </fill>
    <fill>
      <patternFill patternType="solid">
        <fgColor rgb="FFEFF6FF"/>
      </patternFill>
    </fill>
    <fill>
      <patternFill patternType="solid">
        <fgColor rgb="FF4A5568"/>
      </patternFill>
    </fill>
    <fill>
      <patternFill patternType="solid">
        <fgColor rgb="FF276749"/>
      </patternFill>
    </fill>
    <fill>
      <patternFill patternType="solid">
        <fgColor rgb="FFF0FFF4"/>
      </patternFill>
    </fill>
    <fill>
      <patternFill patternType="solid">
        <fgColor rgb="FFECFDF5"/>
      </patternFill>
    </fill>
    <fill>
      <patternFill patternType="solid">
        <fgColor rgb="FF744210"/>
      </patternFill>
    </fill>
    <fill>
      <patternFill patternType="solid">
        <fgColor rgb="FF553C9A"/>
      </patternFill>
    </fill>
    <fill>
      <patternFill patternType="solid">
        <fgColor rgb="FFFAF5FF"/>
      </patternFill>
    </fill>
    <fill>
      <patternFill patternType="solid">
        <fgColor rgb="FFC05621"/>
      </patternFill>
    </fill>
    <fill>
      <patternFill patternType="solid">
        <fgColor rgb="FF702459"/>
      </patternFill>
    </fill>
    <fill>
      <patternFill patternType="solid">
        <fgColor rgb="FF48BB78"/>
      </patternFill>
    </fill>
    <fill>
      <patternFill patternType="solid">
        <fgColor rgb="FFECC94B"/>
      </patternFill>
    </fill>
    <fill>
      <patternFill patternType="solid">
        <fgColor rgb="FFED8936"/>
      </patternFill>
    </fill>
    <fill>
      <patternFill patternType="solid">
        <fgColor rgb="FFC53030"/>
      </patternFill>
    </fill>
    <fill>
      <patternFill patternType="solid">
        <fgColor rgb="FFE53E3E"/>
      </patternFill>
    </fill>
    <fill>
      <patternFill patternType="solid">
        <fgColor rgb="FF2C7A7B"/>
      </patternFill>
    </fill>
    <fill>
      <patternFill patternType="solid">
        <fgColor rgb="FFE6FFFA"/>
      </patternFill>
    </fill>
    <fill>
      <patternFill patternType="solid">
        <fgColor rgb="FF1A365D"/>
      </patternFill>
    </fill>
    <fill>
      <patternFill patternType="solid">
        <fgColor rgb="FF22543D"/>
      </patternFill>
    </fill>
    <fill>
      <patternFill patternType="solid">
        <fgColor rgb="FFF7FAFC"/>
      </patternFill>
    </fill>
  </fills>
  <borders count="18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BFDBFE"/>
      </left>
      <right style="thin">
        <color rgb="FFBFDBFE"/>
      </right>
      <top style="thin">
        <color rgb="FFBFDBFE"/>
      </top>
      <bottom style="thin">
        <color rgb="FFBFDBFE"/>
      </bottom>
      <diagonal/>
    </border>
    <border>
      <left style="medium">
        <color rgb="FF276749"/>
      </left>
      <right style="medium">
        <color rgb="FF276749"/>
      </right>
      <top style="medium">
        <color rgb="FF276749"/>
      </top>
      <bottom style="medium">
        <color rgb="FF27674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BD5E0"/>
      </left>
      <right style="thin">
        <color rgb="FFCBD5E0"/>
      </right>
      <top style="medium">
        <color rgb="FF2B6CB0"/>
      </top>
      <bottom style="thin">
        <color rgb="FFCBD5E0"/>
      </bottom>
      <diagonal/>
    </border>
    <border>
      <left style="thin">
        <color rgb="FFCBD5E0"/>
      </left>
      <right style="thin">
        <color rgb="FFCBD5E0"/>
      </right>
      <top style="medium">
        <color rgb="FFC53030"/>
      </top>
      <bottom style="thin">
        <color rgb="FFCBD5E0"/>
      </bottom>
      <diagonal/>
    </border>
    <border>
      <left style="thin">
        <color rgb="FFCBD5E0"/>
      </left>
      <right style="thin">
        <color rgb="FFCBD5E0"/>
      </right>
      <top style="medium">
        <color rgb="FF276749"/>
      </top>
      <bottom style="thin">
        <color rgb="FFCBD5E0"/>
      </bottom>
      <diagonal/>
    </border>
    <border>
      <left style="thin">
        <color rgb="FFCBD5E0"/>
      </left>
      <right style="thin">
        <color rgb="FFCBD5E0"/>
      </right>
      <top style="medium">
        <color rgb="FFC05621"/>
      </top>
      <bottom style="thin">
        <color rgb="FFCBD5E0"/>
      </bottom>
      <diagonal/>
    </border>
    <border>
      <left style="thin">
        <color rgb="FFCBD5E0"/>
      </left>
      <right style="thin">
        <color rgb="FFCBD5E0"/>
      </right>
      <top style="medium">
        <color rgb="FF744210"/>
      </top>
      <bottom style="thin">
        <color rgb="FFCBD5E0"/>
      </bottom>
      <diagonal/>
    </border>
    <border>
      <left style="thin">
        <color rgb="FFCBD5E0"/>
      </left>
      <right style="thin">
        <color rgb="FFCBD5E0"/>
      </right>
      <top style="thin">
        <color rgb="FFCBD5E0"/>
      </top>
      <bottom style="medium">
        <color rgb="FF2B6CB0"/>
      </bottom>
      <diagonal/>
    </border>
    <border>
      <left style="thin">
        <color rgb="FFCBD5E0"/>
      </left>
      <right style="thin">
        <color rgb="FFCBD5E0"/>
      </right>
      <top style="thin">
        <color rgb="FFCBD5E0"/>
      </top>
      <bottom style="medium">
        <color rgb="FFC53030"/>
      </bottom>
      <diagonal/>
    </border>
    <border>
      <left style="thin">
        <color rgb="FFCBD5E0"/>
      </left>
      <right style="thin">
        <color rgb="FFCBD5E0"/>
      </right>
      <top style="thin">
        <color rgb="FFCBD5E0"/>
      </top>
      <bottom style="medium">
        <color rgb="FF276749"/>
      </bottom>
      <diagonal/>
    </border>
    <border>
      <left style="thin">
        <color rgb="FFCBD5E0"/>
      </left>
      <right style="thin">
        <color rgb="FFCBD5E0"/>
      </right>
      <top style="thin">
        <color rgb="FFCBD5E0"/>
      </top>
      <bottom style="medium">
        <color rgb="FFC05621"/>
      </bottom>
      <diagonal/>
    </border>
    <border>
      <left style="thin">
        <color rgb="FFCBD5E0"/>
      </left>
      <right style="thin">
        <color rgb="FFCBD5E0"/>
      </right>
      <top style="thin">
        <color rgb="FFCBD5E0"/>
      </top>
      <bottom style="medium">
        <color rgb="FF744210"/>
      </bottom>
      <diagonal/>
    </border>
    <border>
      <left style="thin">
        <color rgb="FFCCCCCC"/>
      </left>
      <right style="thin">
        <color rgb="FFCCCCCC"/>
      </right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4" fillId="2" borderId="1" xfId="0" applyFont="1" applyFill="1" applyBorder="1" applyAlignment="1">
      <alignment vertical="center" wrapText="1"/>
    </xf>
    <xf numFmtId="0" fontId="5" fillId="5" borderId="2" xfId="0" applyFont="1" applyFill="1" applyBorder="1" applyAlignment="1">
      <alignment vertical="center" wrapText="1"/>
    </xf>
    <xf numFmtId="0" fontId="5" fillId="6" borderId="2" xfId="0" applyFont="1" applyFill="1" applyBorder="1" applyAlignment="1">
      <alignment vertical="center" wrapText="1"/>
    </xf>
    <xf numFmtId="0" fontId="4" fillId="8" borderId="1" xfId="0" applyFont="1" applyFill="1" applyBorder="1" applyAlignment="1">
      <alignment vertical="center" wrapText="1"/>
    </xf>
    <xf numFmtId="0" fontId="0" fillId="6" borderId="3" xfId="0" applyFill="1" applyBorder="1" applyAlignment="1">
      <alignment vertical="center" wrapText="1"/>
    </xf>
    <xf numFmtId="0" fontId="8" fillId="4" borderId="0" xfId="0" applyFont="1" applyFill="1" applyAlignment="1">
      <alignment vertical="center"/>
    </xf>
    <xf numFmtId="0" fontId="9" fillId="9" borderId="4" xfId="0" applyFont="1" applyFill="1" applyBorder="1" applyAlignment="1">
      <alignment vertical="center" wrapText="1"/>
    </xf>
    <xf numFmtId="0" fontId="10" fillId="10" borderId="1" xfId="0" applyFont="1" applyFill="1" applyBorder="1" applyAlignment="1">
      <alignment vertical="center" wrapText="1"/>
    </xf>
    <xf numFmtId="0" fontId="4" fillId="11" borderId="1" xfId="0" applyFont="1" applyFill="1" applyBorder="1" applyAlignment="1">
      <alignment vertical="center" wrapText="1"/>
    </xf>
    <xf numFmtId="0" fontId="0" fillId="6" borderId="3" xfId="0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vertical="center" wrapText="1"/>
    </xf>
    <xf numFmtId="0" fontId="4" fillId="15" borderId="1" xfId="0" applyFont="1" applyFill="1" applyBorder="1" applyAlignment="1">
      <alignment vertical="center" wrapText="1"/>
    </xf>
    <xf numFmtId="0" fontId="4" fillId="17" borderId="1" xfId="0" applyFont="1" applyFill="1" applyBorder="1" applyAlignment="1">
      <alignment vertical="center" wrapText="1"/>
    </xf>
    <xf numFmtId="0" fontId="4" fillId="18" borderId="1" xfId="0" applyFont="1" applyFill="1" applyBorder="1" applyAlignment="1">
      <alignment vertical="center" wrapText="1"/>
    </xf>
    <xf numFmtId="0" fontId="15" fillId="10" borderId="1" xfId="0" applyFont="1" applyFill="1" applyBorder="1" applyAlignment="1">
      <alignment vertical="center" wrapText="1"/>
    </xf>
    <xf numFmtId="0" fontId="15" fillId="10" borderId="0" xfId="0" applyFont="1" applyFill="1" applyAlignment="1">
      <alignment horizontal="center" vertical="center"/>
    </xf>
    <xf numFmtId="0" fontId="16" fillId="19" borderId="6" xfId="0" applyFont="1" applyFill="1" applyBorder="1" applyAlignment="1">
      <alignment horizontal="center" vertical="center" wrapText="1"/>
    </xf>
    <xf numFmtId="0" fontId="16" fillId="20" borderId="6" xfId="0" applyFont="1" applyFill="1" applyBorder="1" applyAlignment="1">
      <alignment horizontal="center" vertical="center" wrapText="1"/>
    </xf>
    <xf numFmtId="0" fontId="16" fillId="21" borderId="6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0" fontId="17" fillId="23" borderId="6" xfId="0" applyFont="1" applyFill="1" applyBorder="1" applyAlignment="1">
      <alignment horizontal="center" vertical="center" wrapText="1"/>
    </xf>
    <xf numFmtId="0" fontId="4" fillId="24" borderId="1" xfId="0" applyFont="1" applyFill="1" applyBorder="1" applyAlignment="1">
      <alignment vertical="center" wrapText="1"/>
    </xf>
    <xf numFmtId="0" fontId="4" fillId="27" borderId="1" xfId="0" applyFont="1" applyFill="1" applyBorder="1" applyAlignment="1">
      <alignment vertical="center" wrapText="1"/>
    </xf>
    <xf numFmtId="0" fontId="22" fillId="28" borderId="7" xfId="0" applyFont="1" applyFill="1" applyBorder="1" applyAlignment="1">
      <alignment horizontal="center" wrapText="1"/>
    </xf>
    <xf numFmtId="0" fontId="23" fillId="28" borderId="8" xfId="0" applyFont="1" applyFill="1" applyBorder="1" applyAlignment="1">
      <alignment horizontal="center" wrapText="1"/>
    </xf>
    <xf numFmtId="0" fontId="14" fillId="28" borderId="9" xfId="0" applyFont="1" applyFill="1" applyBorder="1" applyAlignment="1">
      <alignment horizontal="center" wrapText="1"/>
    </xf>
    <xf numFmtId="0" fontId="24" fillId="28" borderId="10" xfId="0" applyFont="1" applyFill="1" applyBorder="1" applyAlignment="1">
      <alignment horizontal="center" wrapText="1"/>
    </xf>
    <xf numFmtId="0" fontId="25" fillId="28" borderId="11" xfId="0" applyFont="1" applyFill="1" applyBorder="1" applyAlignment="1">
      <alignment horizontal="center" wrapText="1"/>
    </xf>
    <xf numFmtId="0" fontId="26" fillId="28" borderId="12" xfId="0" applyFont="1" applyFill="1" applyBorder="1" applyAlignment="1">
      <alignment horizontal="center" vertical="center"/>
    </xf>
    <xf numFmtId="0" fontId="27" fillId="28" borderId="13" xfId="0" applyFont="1" applyFill="1" applyBorder="1" applyAlignment="1">
      <alignment horizontal="center" vertical="center"/>
    </xf>
    <xf numFmtId="0" fontId="28" fillId="28" borderId="14" xfId="0" applyFont="1" applyFill="1" applyBorder="1" applyAlignment="1">
      <alignment horizontal="center" vertical="center"/>
    </xf>
    <xf numFmtId="0" fontId="29" fillId="28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6" fillId="7" borderId="0" xfId="0" applyFont="1" applyFill="1" applyAlignment="1">
      <alignment vertical="center" wrapText="1"/>
    </xf>
    <xf numFmtId="0" fontId="0" fillId="6" borderId="3" xfId="0" applyFill="1" applyBorder="1" applyAlignment="1">
      <alignment vertical="top" wrapText="1"/>
    </xf>
    <xf numFmtId="0" fontId="0" fillId="6" borderId="3" xfId="0" applyFill="1" applyBorder="1" applyAlignment="1">
      <alignment vertical="center" wrapText="1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9" fillId="9" borderId="4" xfId="0" applyFont="1" applyFill="1" applyBorder="1" applyAlignment="1">
      <alignment vertical="center" wrapText="1"/>
    </xf>
    <xf numFmtId="0" fontId="7" fillId="11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13" fillId="16" borderId="0" xfId="0" applyFont="1" applyFill="1" applyAlignment="1">
      <alignment vertical="center" wrapText="1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19" fillId="25" borderId="0" xfId="0" applyFont="1" applyFill="1" applyAlignment="1">
      <alignment vertical="center" wrapText="1"/>
    </xf>
    <xf numFmtId="0" fontId="2" fillId="27" borderId="0" xfId="0" applyFont="1" applyFill="1" applyAlignment="1">
      <alignment horizontal="center" vertical="center"/>
    </xf>
    <xf numFmtId="0" fontId="20" fillId="12" borderId="0" xfId="0" applyFont="1" applyFill="1" applyAlignment="1">
      <alignment vertical="center" wrapText="1"/>
    </xf>
    <xf numFmtId="0" fontId="31" fillId="0" borderId="0" xfId="0" applyFont="1" applyAlignment="1">
      <alignment horizontal="right"/>
    </xf>
    <xf numFmtId="0" fontId="21" fillId="26" borderId="0" xfId="0" applyFont="1" applyFill="1" applyAlignment="1">
      <alignment horizontal="center" vertical="center"/>
    </xf>
    <xf numFmtId="0" fontId="0" fillId="6" borderId="17" xfId="0" applyFill="1" applyBorder="1" applyAlignment="1">
      <alignment vertical="center" wrapText="1"/>
    </xf>
    <xf numFmtId="15" fontId="0" fillId="6" borderId="3" xfId="0" applyNumberFormat="1" applyFill="1" applyBorder="1" applyAlignment="1">
      <alignment vertical="center" wrapText="1"/>
    </xf>
    <xf numFmtId="0" fontId="9" fillId="9" borderId="0" xfId="0" applyFont="1" applyFill="1" applyBorder="1" applyAlignment="1">
      <alignment vertical="center" wrapText="1"/>
    </xf>
    <xf numFmtId="0" fontId="9" fillId="9" borderId="0" xfId="0" applyFont="1" applyFill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30" fillId="28" borderId="16" xfId="0" applyFont="1" applyFill="1" applyBorder="1" applyAlignment="1">
      <alignment horizontal="center" vertical="center" wrapText="1"/>
    </xf>
    <xf numFmtId="0" fontId="32" fillId="4" borderId="4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fill>
        <patternFill patternType="solid">
          <bgColor rgb="FF9AE6B4"/>
        </patternFill>
      </fill>
    </dxf>
    <dxf>
      <fill>
        <patternFill patternType="solid">
          <bgColor rgb="FFFAF089"/>
        </patternFill>
      </fill>
    </dxf>
    <dxf>
      <fill>
        <patternFill patternType="solid">
          <bgColor rgb="FFFBD38D"/>
        </patternFill>
      </fill>
    </dxf>
    <dxf>
      <fill>
        <patternFill patternType="solid">
          <bgColor rgb="FFFC8181"/>
        </patternFill>
      </fill>
    </dxf>
    <dxf>
      <font>
        <color rgb="FFFFFFFF"/>
      </font>
      <fill>
        <patternFill patternType="solid">
          <bgColor rgb="FFC53030"/>
        </patternFill>
      </fill>
    </dxf>
    <dxf>
      <font>
        <b/>
        <color rgb="FFC53030"/>
      </font>
      <fill>
        <patternFill patternType="solid">
          <bgColor rgb="FFFEB2B2"/>
        </patternFill>
      </fill>
    </dxf>
    <dxf>
      <fill>
        <patternFill patternType="solid">
          <bgColor rgb="FF9AE6B4"/>
        </patternFill>
      </fill>
    </dxf>
    <dxf>
      <fill>
        <patternFill patternType="solid">
          <bgColor rgb="FFFAF089"/>
        </patternFill>
      </fill>
    </dxf>
    <dxf>
      <fill>
        <patternFill patternType="solid">
          <bgColor rgb="FFFBD38D"/>
        </patternFill>
      </fill>
    </dxf>
    <dxf>
      <fill>
        <patternFill patternType="solid">
          <bgColor rgb="FFFC8181"/>
        </patternFill>
      </fill>
    </dxf>
    <dxf>
      <font>
        <color rgb="FFFFFFFF"/>
      </font>
      <fill>
        <patternFill patternType="solid">
          <bgColor rgb="FFC53030"/>
        </patternFill>
      </fill>
    </dxf>
    <dxf>
      <fill>
        <patternFill patternType="solid">
          <bgColor rgb="FF48BB78"/>
        </patternFill>
      </fill>
    </dxf>
    <dxf>
      <fill>
        <patternFill patternType="solid">
          <bgColor rgb="FF68D391"/>
        </patternFill>
      </fill>
    </dxf>
    <dxf>
      <fill>
        <patternFill patternType="solid">
          <bgColor rgb="FFECC94B"/>
        </patternFill>
      </fill>
    </dxf>
    <dxf>
      <font>
        <color rgb="FFFFFFFF"/>
      </font>
      <fill>
        <patternFill patternType="solid">
          <bgColor rgb="FFED8936"/>
        </patternFill>
      </fill>
    </dxf>
    <dxf>
      <font>
        <color rgb="FFFFFFFF"/>
      </font>
      <fill>
        <patternFill patternType="solid">
          <bgColor rgb="FFC5303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21"/>
  <sheetViews>
    <sheetView showGridLines="0" workbookViewId="0">
      <selection activeCell="B7" sqref="B7"/>
    </sheetView>
  </sheetViews>
  <sheetFormatPr defaultRowHeight="14.4" x14ac:dyDescent="0.3"/>
  <cols>
    <col min="1" max="1" width="4" customWidth="1"/>
    <col min="2" max="3" width="40" customWidth="1"/>
    <col min="4" max="4" width="20" customWidth="1"/>
    <col min="2000" max="2000" width="2.5546875" customWidth="1"/>
  </cols>
  <sheetData>
    <row r="2" spans="2:5" ht="40.049999999999997" customHeight="1" x14ac:dyDescent="0.3">
      <c r="B2" s="34" t="s">
        <v>0</v>
      </c>
      <c r="C2" s="34"/>
      <c r="D2" s="34"/>
    </row>
    <row r="3" spans="2:5" ht="28.05" customHeight="1" x14ac:dyDescent="0.3">
      <c r="B3" s="35" t="s">
        <v>1</v>
      </c>
      <c r="C3" s="35"/>
      <c r="D3" s="35"/>
    </row>
    <row r="4" spans="2:5" ht="24" customHeight="1" x14ac:dyDescent="0.3">
      <c r="B4" s="36" t="s">
        <v>2</v>
      </c>
      <c r="C4" s="36"/>
      <c r="D4" s="36"/>
    </row>
    <row r="6" spans="2:5" ht="19.95" customHeight="1" x14ac:dyDescent="0.3">
      <c r="B6" s="1" t="s">
        <v>3</v>
      </c>
      <c r="C6" s="1" t="s">
        <v>4</v>
      </c>
      <c r="D6" s="1" t="s">
        <v>5</v>
      </c>
      <c r="E6" s="1" t="s">
        <v>6</v>
      </c>
    </row>
    <row r="7" spans="2:5" ht="41.4" x14ac:dyDescent="0.3">
      <c r="B7" s="2" t="s">
        <v>7</v>
      </c>
      <c r="C7" s="2" t="s">
        <v>8</v>
      </c>
      <c r="D7" s="2" t="s">
        <v>9</v>
      </c>
      <c r="E7" s="2" t="s">
        <v>10</v>
      </c>
    </row>
    <row r="8" spans="2:5" ht="41.4" x14ac:dyDescent="0.3">
      <c r="B8" s="3" t="s">
        <v>11</v>
      </c>
      <c r="C8" s="3" t="s">
        <v>12</v>
      </c>
      <c r="D8" s="3" t="s">
        <v>13</v>
      </c>
      <c r="E8" s="3" t="s">
        <v>14</v>
      </c>
    </row>
    <row r="9" spans="2:5" ht="27.6" x14ac:dyDescent="0.3">
      <c r="B9" s="2" t="s">
        <v>15</v>
      </c>
      <c r="C9" s="2" t="s">
        <v>16</v>
      </c>
      <c r="D9" s="2" t="s">
        <v>17</v>
      </c>
      <c r="E9" s="2" t="s">
        <v>18</v>
      </c>
    </row>
    <row r="10" spans="2:5" ht="27.6" x14ac:dyDescent="0.3">
      <c r="B10" s="3" t="s">
        <v>19</v>
      </c>
      <c r="C10" s="3" t="s">
        <v>20</v>
      </c>
      <c r="D10" s="3" t="s">
        <v>21</v>
      </c>
      <c r="E10" s="3" t="s">
        <v>14</v>
      </c>
    </row>
    <row r="11" spans="2:5" ht="41.4" x14ac:dyDescent="0.3">
      <c r="B11" s="2" t="s">
        <v>22</v>
      </c>
      <c r="C11" s="2" t="s">
        <v>23</v>
      </c>
      <c r="D11" s="2" t="s">
        <v>24</v>
      </c>
      <c r="E11" s="2" t="s">
        <v>14</v>
      </c>
    </row>
    <row r="12" spans="2:5" ht="27.6" x14ac:dyDescent="0.3">
      <c r="B12" s="3" t="s">
        <v>25</v>
      </c>
      <c r="C12" s="3" t="s">
        <v>26</v>
      </c>
      <c r="D12" s="3" t="s">
        <v>27</v>
      </c>
      <c r="E12" s="3" t="s">
        <v>14</v>
      </c>
    </row>
    <row r="13" spans="2:5" ht="27.6" x14ac:dyDescent="0.3">
      <c r="B13" s="2" t="s">
        <v>28</v>
      </c>
      <c r="C13" s="2" t="s">
        <v>29</v>
      </c>
      <c r="D13" s="2" t="s">
        <v>30</v>
      </c>
      <c r="E13" s="2" t="s">
        <v>18</v>
      </c>
    </row>
    <row r="14" spans="2:5" ht="27.6" x14ac:dyDescent="0.3">
      <c r="B14" s="3" t="s">
        <v>31</v>
      </c>
      <c r="C14" s="3" t="s">
        <v>32</v>
      </c>
      <c r="D14" s="3" t="s">
        <v>33</v>
      </c>
      <c r="E14" s="3" t="s">
        <v>34</v>
      </c>
    </row>
    <row r="15" spans="2:5" ht="41.4" x14ac:dyDescent="0.3">
      <c r="B15" s="2" t="s">
        <v>35</v>
      </c>
      <c r="C15" s="2" t="s">
        <v>36</v>
      </c>
      <c r="D15" s="2" t="s">
        <v>37</v>
      </c>
      <c r="E15" s="2" t="s">
        <v>34</v>
      </c>
    </row>
    <row r="16" spans="2:5" ht="27.6" x14ac:dyDescent="0.3">
      <c r="B16" s="3" t="s">
        <v>38</v>
      </c>
      <c r="C16" s="3" t="s">
        <v>39</v>
      </c>
      <c r="D16" s="3" t="s">
        <v>40</v>
      </c>
      <c r="E16" s="3" t="s">
        <v>14</v>
      </c>
    </row>
    <row r="17" spans="2:5" ht="27.6" x14ac:dyDescent="0.3">
      <c r="B17" s="2" t="s">
        <v>41</v>
      </c>
      <c r="C17" s="2" t="s">
        <v>42</v>
      </c>
      <c r="D17" s="2" t="s">
        <v>43</v>
      </c>
      <c r="E17" s="2" t="s">
        <v>44</v>
      </c>
    </row>
    <row r="18" spans="2:5" ht="27.6" x14ac:dyDescent="0.3">
      <c r="B18" s="3" t="s">
        <v>45</v>
      </c>
      <c r="C18" s="3" t="s">
        <v>46</v>
      </c>
      <c r="D18" s="3" t="s">
        <v>47</v>
      </c>
      <c r="E18" s="3" t="s">
        <v>48</v>
      </c>
    </row>
    <row r="21" spans="2:5" ht="49.95" customHeight="1" x14ac:dyDescent="0.3">
      <c r="B21" s="37" t="s">
        <v>49</v>
      </c>
      <c r="C21" s="37"/>
      <c r="D21" s="37"/>
    </row>
  </sheetData>
  <mergeCells count="4">
    <mergeCell ref="B2:D2"/>
    <mergeCell ref="B3:D3"/>
    <mergeCell ref="B4:D4"/>
    <mergeCell ref="B21:D21"/>
  </mergeCells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933"/>
  <sheetViews>
    <sheetView topLeftCell="M1"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12" customWidth="1"/>
    <col min="2" max="2" width="40" customWidth="1"/>
    <col min="4" max="4" width="6" customWidth="1"/>
    <col min="5" max="5" width="20" customWidth="1"/>
    <col min="6" max="6" width="8" customWidth="1"/>
    <col min="8" max="8" width="10" customWidth="1"/>
    <col min="9" max="9" width="24" customWidth="1"/>
    <col min="11" max="11" width="12" customWidth="1"/>
    <col min="12" max="12" width="36" customWidth="1"/>
    <col min="13" max="13" width="46" customWidth="1"/>
    <col min="14" max="14" width="40" customWidth="1"/>
    <col min="16" max="16" width="6" customWidth="1"/>
    <col min="17" max="17" width="56" customWidth="1"/>
    <col min="19" max="19" width="10" customWidth="1"/>
    <col min="20" max="20" width="8" customWidth="1"/>
    <col min="21" max="21" width="16" customWidth="1"/>
  </cols>
  <sheetData>
    <row r="1" spans="1:21" x14ac:dyDescent="0.3">
      <c r="A1" s="4" t="s">
        <v>50</v>
      </c>
      <c r="B1" s="4" t="s">
        <v>51</v>
      </c>
      <c r="D1" s="4" t="s">
        <v>52</v>
      </c>
      <c r="E1" s="4" t="s">
        <v>53</v>
      </c>
      <c r="F1" s="4" t="s">
        <v>54</v>
      </c>
      <c r="H1" s="4" t="s">
        <v>55</v>
      </c>
      <c r="I1" s="4" t="s">
        <v>56</v>
      </c>
      <c r="K1" s="4" t="s">
        <v>57</v>
      </c>
      <c r="L1" s="4" t="s">
        <v>58</v>
      </c>
      <c r="M1" s="4" t="s">
        <v>59</v>
      </c>
      <c r="N1" s="4" t="s">
        <v>60</v>
      </c>
      <c r="P1" s="4" t="s">
        <v>52</v>
      </c>
      <c r="Q1" s="4" t="s">
        <v>61</v>
      </c>
      <c r="S1" s="4" t="s">
        <v>62</v>
      </c>
      <c r="T1" s="4" t="s">
        <v>63</v>
      </c>
      <c r="U1" s="4" t="s">
        <v>64</v>
      </c>
    </row>
    <row r="2" spans="1:21" x14ac:dyDescent="0.3">
      <c r="A2" s="5" t="s">
        <v>65</v>
      </c>
      <c r="B2" s="5" t="s">
        <v>66</v>
      </c>
      <c r="D2" s="5" t="s">
        <v>67</v>
      </c>
      <c r="E2" s="5" t="s">
        <v>68</v>
      </c>
      <c r="F2" s="5" t="s">
        <v>69</v>
      </c>
      <c r="H2" s="5" t="s">
        <v>70</v>
      </c>
      <c r="I2" s="5" t="s">
        <v>71</v>
      </c>
      <c r="K2" s="5" t="s">
        <v>72</v>
      </c>
      <c r="L2" s="5" t="s">
        <v>73</v>
      </c>
      <c r="M2" s="5" t="s">
        <v>74</v>
      </c>
      <c r="N2" s="5" t="s">
        <v>75</v>
      </c>
      <c r="P2" s="5">
        <v>1</v>
      </c>
      <c r="Q2" s="5" t="s">
        <v>76</v>
      </c>
      <c r="S2" s="5" t="s">
        <v>77</v>
      </c>
      <c r="T2" s="5">
        <v>1</v>
      </c>
      <c r="U2" s="5" t="s">
        <v>78</v>
      </c>
    </row>
    <row r="3" spans="1:21" x14ac:dyDescent="0.3">
      <c r="A3" s="5" t="s">
        <v>79</v>
      </c>
      <c r="B3" s="5" t="s">
        <v>80</v>
      </c>
      <c r="D3" s="5" t="s">
        <v>81</v>
      </c>
      <c r="E3" s="5" t="s">
        <v>82</v>
      </c>
      <c r="F3" s="5" t="s">
        <v>83</v>
      </c>
      <c r="H3" s="5" t="s">
        <v>84</v>
      </c>
      <c r="I3" s="5" t="s">
        <v>85</v>
      </c>
      <c r="K3" s="5" t="s">
        <v>86</v>
      </c>
      <c r="L3" s="5" t="s">
        <v>73</v>
      </c>
      <c r="M3" s="5" t="s">
        <v>87</v>
      </c>
      <c r="N3" s="5" t="s">
        <v>88</v>
      </c>
      <c r="P3" s="5">
        <v>2</v>
      </c>
      <c r="Q3" s="5" t="s">
        <v>89</v>
      </c>
      <c r="S3" s="5" t="s">
        <v>90</v>
      </c>
      <c r="T3" s="5">
        <v>2</v>
      </c>
      <c r="U3" s="5" t="s">
        <v>91</v>
      </c>
    </row>
    <row r="4" spans="1:21" x14ac:dyDescent="0.3">
      <c r="A4" s="5" t="s">
        <v>362</v>
      </c>
      <c r="B4" s="5" t="s">
        <v>104</v>
      </c>
      <c r="D4" s="5" t="s">
        <v>93</v>
      </c>
      <c r="E4" s="5" t="s">
        <v>94</v>
      </c>
      <c r="F4" s="5" t="s">
        <v>95</v>
      </c>
      <c r="H4" s="5" t="s">
        <v>96</v>
      </c>
      <c r="I4" s="5" t="s">
        <v>97</v>
      </c>
      <c r="K4" s="5" t="s">
        <v>98</v>
      </c>
      <c r="L4" s="5" t="s">
        <v>73</v>
      </c>
      <c r="M4" s="5" t="s">
        <v>99</v>
      </c>
      <c r="N4" s="5" t="s">
        <v>100</v>
      </c>
      <c r="P4" s="5">
        <v>3</v>
      </c>
      <c r="Q4" s="5" t="s">
        <v>101</v>
      </c>
      <c r="S4" s="5" t="s">
        <v>102</v>
      </c>
      <c r="T4" s="5">
        <v>3</v>
      </c>
      <c r="U4" s="5" t="s">
        <v>103</v>
      </c>
    </row>
    <row r="5" spans="1:21" ht="28.8" x14ac:dyDescent="0.3">
      <c r="A5" s="5" t="s">
        <v>363</v>
      </c>
      <c r="B5" s="5" t="s">
        <v>137</v>
      </c>
      <c r="D5" s="5" t="s">
        <v>105</v>
      </c>
      <c r="E5" s="5" t="s">
        <v>106</v>
      </c>
      <c r="F5" s="5" t="s">
        <v>107</v>
      </c>
      <c r="H5" s="5" t="s">
        <v>108</v>
      </c>
      <c r="I5" s="5" t="s">
        <v>109</v>
      </c>
      <c r="K5" s="5" t="s">
        <v>110</v>
      </c>
      <c r="L5" s="5" t="s">
        <v>73</v>
      </c>
      <c r="M5" s="5" t="s">
        <v>111</v>
      </c>
      <c r="N5" s="5" t="s">
        <v>112</v>
      </c>
      <c r="P5" s="5">
        <v>4</v>
      </c>
      <c r="Q5" s="5" t="s">
        <v>113</v>
      </c>
      <c r="S5" s="5" t="s">
        <v>114</v>
      </c>
      <c r="T5" s="5">
        <v>4</v>
      </c>
      <c r="U5" s="5" t="s">
        <v>115</v>
      </c>
    </row>
    <row r="6" spans="1:21" ht="28.8" x14ac:dyDescent="0.3">
      <c r="A6" s="5" t="s">
        <v>364</v>
      </c>
      <c r="B6" s="5" t="s">
        <v>369</v>
      </c>
      <c r="D6" s="5" t="s">
        <v>116</v>
      </c>
      <c r="E6" s="5" t="s">
        <v>117</v>
      </c>
      <c r="F6" s="5" t="s">
        <v>118</v>
      </c>
      <c r="H6" s="5" t="s">
        <v>119</v>
      </c>
      <c r="I6" s="5" t="s">
        <v>120</v>
      </c>
      <c r="K6" s="5" t="s">
        <v>121</v>
      </c>
      <c r="L6" s="5" t="s">
        <v>122</v>
      </c>
      <c r="M6" s="5" t="s">
        <v>123</v>
      </c>
      <c r="N6" s="5" t="s">
        <v>124</v>
      </c>
      <c r="P6" s="5">
        <v>5</v>
      </c>
      <c r="Q6" s="5" t="s">
        <v>125</v>
      </c>
      <c r="S6" s="5" t="s">
        <v>126</v>
      </c>
      <c r="T6" s="5">
        <v>5</v>
      </c>
      <c r="U6" s="5" t="s">
        <v>127</v>
      </c>
    </row>
    <row r="7" spans="1:21" ht="28.8" x14ac:dyDescent="0.3">
      <c r="A7" s="5" t="s">
        <v>365</v>
      </c>
      <c r="B7" s="5" t="s">
        <v>370</v>
      </c>
      <c r="D7" s="5" t="s">
        <v>128</v>
      </c>
      <c r="E7" s="5" t="s">
        <v>129</v>
      </c>
      <c r="F7" s="5" t="s">
        <v>130</v>
      </c>
      <c r="H7" s="5" t="s">
        <v>131</v>
      </c>
      <c r="I7" s="5" t="s">
        <v>132</v>
      </c>
      <c r="K7" s="5" t="s">
        <v>133</v>
      </c>
      <c r="L7" s="5" t="s">
        <v>122</v>
      </c>
      <c r="M7" s="5" t="s">
        <v>134</v>
      </c>
      <c r="N7" s="5" t="s">
        <v>135</v>
      </c>
      <c r="P7" s="5">
        <v>6</v>
      </c>
      <c r="Q7" s="5" t="s">
        <v>136</v>
      </c>
    </row>
    <row r="8" spans="1:21" x14ac:dyDescent="0.3">
      <c r="A8" s="5" t="s">
        <v>366</v>
      </c>
      <c r="B8" s="5" t="s">
        <v>92</v>
      </c>
      <c r="D8" s="5" t="s">
        <v>138</v>
      </c>
      <c r="E8" s="5" t="s">
        <v>139</v>
      </c>
      <c r="F8" s="5" t="s">
        <v>140</v>
      </c>
      <c r="K8" s="5" t="s">
        <v>141</v>
      </c>
      <c r="L8" s="5" t="s">
        <v>142</v>
      </c>
      <c r="M8" s="5" t="s">
        <v>143</v>
      </c>
      <c r="N8" s="5" t="s">
        <v>144</v>
      </c>
      <c r="P8" s="5">
        <v>7</v>
      </c>
      <c r="Q8" s="5" t="s">
        <v>145</v>
      </c>
    </row>
    <row r="9" spans="1:21" x14ac:dyDescent="0.3">
      <c r="A9" s="5" t="s">
        <v>367</v>
      </c>
      <c r="B9" s="5" t="s">
        <v>371</v>
      </c>
      <c r="K9" s="5" t="s">
        <v>146</v>
      </c>
      <c r="L9" s="5" t="s">
        <v>142</v>
      </c>
      <c r="M9" s="5" t="s">
        <v>147</v>
      </c>
      <c r="N9" s="5" t="s">
        <v>148</v>
      </c>
      <c r="P9" s="5">
        <v>8</v>
      </c>
      <c r="Q9" s="5" t="s">
        <v>149</v>
      </c>
    </row>
    <row r="10" spans="1:21" ht="28.8" x14ac:dyDescent="0.3">
      <c r="A10" s="5" t="s">
        <v>368</v>
      </c>
      <c r="B10" s="5" t="s">
        <v>372</v>
      </c>
      <c r="K10" s="5" t="s">
        <v>150</v>
      </c>
      <c r="L10" s="5" t="s">
        <v>142</v>
      </c>
      <c r="M10" s="5" t="s">
        <v>151</v>
      </c>
      <c r="N10" s="5" t="s">
        <v>152</v>
      </c>
      <c r="P10" s="5">
        <v>9</v>
      </c>
      <c r="Q10" s="5" t="s">
        <v>153</v>
      </c>
    </row>
    <row r="11" spans="1:21" x14ac:dyDescent="0.3">
      <c r="A11" s="5" t="s">
        <v>1293</v>
      </c>
      <c r="B11" s="5" t="s">
        <v>373</v>
      </c>
      <c r="K11" s="5" t="s">
        <v>155</v>
      </c>
      <c r="L11" s="5" t="s">
        <v>142</v>
      </c>
      <c r="M11" s="5" t="s">
        <v>156</v>
      </c>
      <c r="N11" s="5" t="s">
        <v>157</v>
      </c>
      <c r="P11" s="5">
        <v>10</v>
      </c>
      <c r="Q11" s="5" t="s">
        <v>158</v>
      </c>
    </row>
    <row r="12" spans="1:21" ht="28.8" x14ac:dyDescent="0.3">
      <c r="A12" s="5" t="s">
        <v>1294</v>
      </c>
      <c r="B12" s="5" t="s">
        <v>374</v>
      </c>
      <c r="K12" s="5" t="s">
        <v>160</v>
      </c>
      <c r="L12" s="5" t="s">
        <v>161</v>
      </c>
      <c r="M12" s="5" t="s">
        <v>162</v>
      </c>
      <c r="N12" s="5" t="s">
        <v>163</v>
      </c>
      <c r="P12" s="5">
        <v>11</v>
      </c>
      <c r="Q12" s="5" t="s">
        <v>164</v>
      </c>
    </row>
    <row r="13" spans="1:21" x14ac:dyDescent="0.3">
      <c r="A13" s="5" t="s">
        <v>1295</v>
      </c>
      <c r="B13" s="5" t="s">
        <v>375</v>
      </c>
      <c r="K13" s="5" t="s">
        <v>166</v>
      </c>
      <c r="L13" s="5" t="s">
        <v>161</v>
      </c>
      <c r="M13" s="5" t="s">
        <v>167</v>
      </c>
      <c r="N13" s="5" t="s">
        <v>168</v>
      </c>
      <c r="P13" s="5">
        <v>12</v>
      </c>
      <c r="Q13" s="5" t="s">
        <v>169</v>
      </c>
    </row>
    <row r="14" spans="1:21" x14ac:dyDescent="0.3">
      <c r="A14" s="57" t="s">
        <v>1296</v>
      </c>
      <c r="B14" t="s">
        <v>376</v>
      </c>
      <c r="K14" s="5" t="s">
        <v>170</v>
      </c>
      <c r="L14" s="5" t="s">
        <v>171</v>
      </c>
      <c r="M14" s="5" t="s">
        <v>172</v>
      </c>
      <c r="N14" s="5" t="s">
        <v>173</v>
      </c>
      <c r="P14" s="5">
        <v>13</v>
      </c>
      <c r="Q14" s="5" t="s">
        <v>174</v>
      </c>
    </row>
    <row r="15" spans="1:21" x14ac:dyDescent="0.3">
      <c r="A15" t="s">
        <v>1297</v>
      </c>
      <c r="B15" t="s">
        <v>377</v>
      </c>
      <c r="K15" s="5" t="s">
        <v>175</v>
      </c>
      <c r="L15" s="5" t="s">
        <v>171</v>
      </c>
      <c r="M15" s="5" t="s">
        <v>176</v>
      </c>
      <c r="N15" s="5" t="s">
        <v>177</v>
      </c>
      <c r="P15" s="5">
        <v>14</v>
      </c>
      <c r="Q15" s="5" t="s">
        <v>178</v>
      </c>
    </row>
    <row r="16" spans="1:21" x14ac:dyDescent="0.3">
      <c r="A16" t="s">
        <v>1298</v>
      </c>
      <c r="B16" t="s">
        <v>378</v>
      </c>
      <c r="K16" s="5" t="s">
        <v>179</v>
      </c>
      <c r="L16" s="5" t="s">
        <v>171</v>
      </c>
      <c r="M16" s="5" t="s">
        <v>180</v>
      </c>
      <c r="N16" s="5" t="s">
        <v>181</v>
      </c>
      <c r="P16" s="5">
        <v>15</v>
      </c>
      <c r="Q16" s="5" t="s">
        <v>182</v>
      </c>
    </row>
    <row r="17" spans="1:17" x14ac:dyDescent="0.3">
      <c r="A17" t="s">
        <v>1299</v>
      </c>
      <c r="B17" t="s">
        <v>379</v>
      </c>
      <c r="K17" s="5" t="s">
        <v>183</v>
      </c>
      <c r="L17" s="5" t="s">
        <v>171</v>
      </c>
      <c r="M17" s="5" t="s">
        <v>184</v>
      </c>
      <c r="N17" s="5" t="s">
        <v>185</v>
      </c>
      <c r="P17" s="5">
        <v>16</v>
      </c>
      <c r="Q17" s="5" t="s">
        <v>186</v>
      </c>
    </row>
    <row r="18" spans="1:17" ht="28.8" x14ac:dyDescent="0.3">
      <c r="A18" t="s">
        <v>1300</v>
      </c>
      <c r="B18" t="s">
        <v>380</v>
      </c>
      <c r="K18" s="5" t="s">
        <v>187</v>
      </c>
      <c r="L18" s="5" t="s">
        <v>188</v>
      </c>
      <c r="M18" s="5" t="s">
        <v>189</v>
      </c>
      <c r="N18" s="5" t="s">
        <v>190</v>
      </c>
      <c r="P18" s="5">
        <v>17</v>
      </c>
      <c r="Q18" s="5" t="s">
        <v>191</v>
      </c>
    </row>
    <row r="19" spans="1:17" x14ac:dyDescent="0.3">
      <c r="A19" t="s">
        <v>1301</v>
      </c>
      <c r="B19" t="s">
        <v>381</v>
      </c>
      <c r="K19" s="5" t="s">
        <v>192</v>
      </c>
      <c r="L19" s="5" t="s">
        <v>188</v>
      </c>
      <c r="M19" s="5" t="s">
        <v>193</v>
      </c>
      <c r="N19" s="5" t="s">
        <v>194</v>
      </c>
      <c r="P19" s="5">
        <v>18</v>
      </c>
      <c r="Q19" s="5" t="s">
        <v>195</v>
      </c>
    </row>
    <row r="20" spans="1:17" x14ac:dyDescent="0.3">
      <c r="A20" t="s">
        <v>1302</v>
      </c>
      <c r="B20" t="s">
        <v>382</v>
      </c>
      <c r="K20" s="5" t="s">
        <v>196</v>
      </c>
      <c r="L20" s="5" t="s">
        <v>188</v>
      </c>
      <c r="M20" s="5" t="s">
        <v>197</v>
      </c>
      <c r="N20" s="5" t="s">
        <v>198</v>
      </c>
      <c r="P20" s="5">
        <v>19</v>
      </c>
      <c r="Q20" s="5" t="s">
        <v>199</v>
      </c>
    </row>
    <row r="21" spans="1:17" ht="28.8" x14ac:dyDescent="0.3">
      <c r="A21" t="s">
        <v>1303</v>
      </c>
      <c r="B21" t="s">
        <v>383</v>
      </c>
      <c r="K21" s="5" t="s">
        <v>200</v>
      </c>
      <c r="L21" s="5" t="s">
        <v>201</v>
      </c>
      <c r="M21" s="5" t="s">
        <v>202</v>
      </c>
      <c r="N21" s="5" t="s">
        <v>203</v>
      </c>
      <c r="P21" s="5">
        <v>20</v>
      </c>
      <c r="Q21" s="5" t="s">
        <v>204</v>
      </c>
    </row>
    <row r="22" spans="1:17" x14ac:dyDescent="0.3">
      <c r="A22" t="s">
        <v>1304</v>
      </c>
      <c r="B22" t="s">
        <v>384</v>
      </c>
      <c r="K22" s="5" t="s">
        <v>205</v>
      </c>
      <c r="L22" s="5" t="s">
        <v>201</v>
      </c>
      <c r="M22" s="5" t="s">
        <v>206</v>
      </c>
      <c r="N22" s="5" t="s">
        <v>207</v>
      </c>
      <c r="P22" s="5">
        <v>21</v>
      </c>
      <c r="Q22" s="5" t="s">
        <v>208</v>
      </c>
    </row>
    <row r="23" spans="1:17" x14ac:dyDescent="0.3">
      <c r="A23" t="s">
        <v>1305</v>
      </c>
      <c r="B23" t="s">
        <v>385</v>
      </c>
      <c r="K23" s="5" t="s">
        <v>209</v>
      </c>
      <c r="L23" s="5" t="s">
        <v>201</v>
      </c>
      <c r="M23" s="5" t="s">
        <v>210</v>
      </c>
      <c r="N23" s="5" t="s">
        <v>211</v>
      </c>
      <c r="P23" s="5">
        <v>22</v>
      </c>
      <c r="Q23" s="5" t="s">
        <v>212</v>
      </c>
    </row>
    <row r="24" spans="1:17" x14ac:dyDescent="0.3">
      <c r="A24" t="s">
        <v>1306</v>
      </c>
      <c r="B24" t="s">
        <v>386</v>
      </c>
      <c r="K24" s="5" t="s">
        <v>213</v>
      </c>
      <c r="L24" s="5" t="s">
        <v>214</v>
      </c>
      <c r="M24" s="5" t="s">
        <v>215</v>
      </c>
      <c r="N24" s="5" t="s">
        <v>216</v>
      </c>
    </row>
    <row r="25" spans="1:17" x14ac:dyDescent="0.3">
      <c r="A25" t="s">
        <v>1307</v>
      </c>
      <c r="B25" t="s">
        <v>387</v>
      </c>
      <c r="K25" s="5" t="s">
        <v>217</v>
      </c>
      <c r="L25" s="5" t="s">
        <v>214</v>
      </c>
      <c r="M25" s="5" t="s">
        <v>218</v>
      </c>
      <c r="N25" s="5" t="s">
        <v>219</v>
      </c>
    </row>
    <row r="26" spans="1:17" x14ac:dyDescent="0.3">
      <c r="A26" t="s">
        <v>1308</v>
      </c>
      <c r="B26" t="s">
        <v>388</v>
      </c>
      <c r="K26" s="5" t="s">
        <v>220</v>
      </c>
      <c r="L26" s="5" t="s">
        <v>214</v>
      </c>
      <c r="M26" s="5" t="s">
        <v>221</v>
      </c>
      <c r="N26" s="5" t="s">
        <v>222</v>
      </c>
    </row>
    <row r="27" spans="1:17" x14ac:dyDescent="0.3">
      <c r="A27" t="s">
        <v>1309</v>
      </c>
      <c r="B27" t="s">
        <v>389</v>
      </c>
      <c r="K27" s="5" t="s">
        <v>223</v>
      </c>
      <c r="L27" s="5" t="s">
        <v>214</v>
      </c>
      <c r="M27" s="5" t="s">
        <v>224</v>
      </c>
      <c r="N27" s="5" t="s">
        <v>225</v>
      </c>
    </row>
    <row r="28" spans="1:17" x14ac:dyDescent="0.3">
      <c r="A28" t="s">
        <v>1310</v>
      </c>
      <c r="B28" t="s">
        <v>390</v>
      </c>
      <c r="K28" s="5" t="s">
        <v>226</v>
      </c>
      <c r="L28" s="5" t="s">
        <v>227</v>
      </c>
      <c r="M28" s="5" t="s">
        <v>228</v>
      </c>
      <c r="N28" s="5" t="s">
        <v>229</v>
      </c>
    </row>
    <row r="29" spans="1:17" x14ac:dyDescent="0.3">
      <c r="A29" t="s">
        <v>1311</v>
      </c>
      <c r="B29" t="s">
        <v>391</v>
      </c>
      <c r="K29" s="5" t="s">
        <v>230</v>
      </c>
      <c r="L29" s="5" t="s">
        <v>227</v>
      </c>
      <c r="M29" s="5" t="s">
        <v>231</v>
      </c>
      <c r="N29" s="5" t="s">
        <v>232</v>
      </c>
    </row>
    <row r="30" spans="1:17" x14ac:dyDescent="0.3">
      <c r="A30" t="s">
        <v>1312</v>
      </c>
      <c r="B30" t="s">
        <v>392</v>
      </c>
      <c r="K30" s="5" t="s">
        <v>233</v>
      </c>
      <c r="L30" s="5" t="s">
        <v>227</v>
      </c>
      <c r="M30" s="5" t="s">
        <v>234</v>
      </c>
      <c r="N30" s="5" t="s">
        <v>235</v>
      </c>
    </row>
    <row r="31" spans="1:17" x14ac:dyDescent="0.3">
      <c r="A31" t="s">
        <v>1313</v>
      </c>
      <c r="B31" t="s">
        <v>393</v>
      </c>
      <c r="K31" s="5" t="s">
        <v>236</v>
      </c>
      <c r="L31" s="5" t="s">
        <v>237</v>
      </c>
      <c r="M31" s="5" t="s">
        <v>238</v>
      </c>
      <c r="N31" s="5" t="s">
        <v>239</v>
      </c>
    </row>
    <row r="32" spans="1:17" x14ac:dyDescent="0.3">
      <c r="A32" t="s">
        <v>1314</v>
      </c>
      <c r="B32" t="s">
        <v>394</v>
      </c>
      <c r="K32" s="5" t="s">
        <v>240</v>
      </c>
      <c r="L32" s="5" t="s">
        <v>237</v>
      </c>
      <c r="M32" s="5" t="s">
        <v>241</v>
      </c>
      <c r="N32" s="5" t="s">
        <v>242</v>
      </c>
    </row>
    <row r="33" spans="1:2" x14ac:dyDescent="0.3">
      <c r="A33" t="s">
        <v>1315</v>
      </c>
      <c r="B33" t="s">
        <v>395</v>
      </c>
    </row>
    <row r="34" spans="1:2" x14ac:dyDescent="0.3">
      <c r="A34" t="s">
        <v>1316</v>
      </c>
      <c r="B34" t="s">
        <v>396</v>
      </c>
    </row>
    <row r="35" spans="1:2" x14ac:dyDescent="0.3">
      <c r="A35" t="s">
        <v>1317</v>
      </c>
      <c r="B35" t="s">
        <v>397</v>
      </c>
    </row>
    <row r="36" spans="1:2" x14ac:dyDescent="0.3">
      <c r="A36" t="s">
        <v>1318</v>
      </c>
      <c r="B36" t="s">
        <v>398</v>
      </c>
    </row>
    <row r="37" spans="1:2" x14ac:dyDescent="0.3">
      <c r="A37" t="s">
        <v>1319</v>
      </c>
      <c r="B37" t="s">
        <v>399</v>
      </c>
    </row>
    <row r="38" spans="1:2" x14ac:dyDescent="0.3">
      <c r="A38" t="s">
        <v>1320</v>
      </c>
      <c r="B38" t="s">
        <v>400</v>
      </c>
    </row>
    <row r="39" spans="1:2" x14ac:dyDescent="0.3">
      <c r="A39" t="s">
        <v>1321</v>
      </c>
      <c r="B39" t="s">
        <v>401</v>
      </c>
    </row>
    <row r="40" spans="1:2" x14ac:dyDescent="0.3">
      <c r="A40" t="s">
        <v>1322</v>
      </c>
      <c r="B40" t="s">
        <v>402</v>
      </c>
    </row>
    <row r="41" spans="1:2" x14ac:dyDescent="0.3">
      <c r="A41" t="s">
        <v>1323</v>
      </c>
      <c r="B41" t="s">
        <v>403</v>
      </c>
    </row>
    <row r="42" spans="1:2" x14ac:dyDescent="0.3">
      <c r="A42" t="s">
        <v>1324</v>
      </c>
      <c r="B42" t="s">
        <v>404</v>
      </c>
    </row>
    <row r="43" spans="1:2" x14ac:dyDescent="0.3">
      <c r="A43" t="s">
        <v>1325</v>
      </c>
      <c r="B43" t="s">
        <v>405</v>
      </c>
    </row>
    <row r="44" spans="1:2" x14ac:dyDescent="0.3">
      <c r="A44" t="s">
        <v>1326</v>
      </c>
      <c r="B44" t="s">
        <v>406</v>
      </c>
    </row>
    <row r="45" spans="1:2" x14ac:dyDescent="0.3">
      <c r="A45" t="s">
        <v>1327</v>
      </c>
      <c r="B45" t="s">
        <v>407</v>
      </c>
    </row>
    <row r="46" spans="1:2" x14ac:dyDescent="0.3">
      <c r="A46" t="s">
        <v>1328</v>
      </c>
      <c r="B46" t="s">
        <v>408</v>
      </c>
    </row>
    <row r="47" spans="1:2" x14ac:dyDescent="0.3">
      <c r="A47" t="s">
        <v>1329</v>
      </c>
      <c r="B47" t="s">
        <v>409</v>
      </c>
    </row>
    <row r="48" spans="1:2" x14ac:dyDescent="0.3">
      <c r="A48" t="s">
        <v>1330</v>
      </c>
      <c r="B48" t="s">
        <v>410</v>
      </c>
    </row>
    <row r="49" spans="1:2" x14ac:dyDescent="0.3">
      <c r="A49" t="s">
        <v>1331</v>
      </c>
      <c r="B49" t="s">
        <v>411</v>
      </c>
    </row>
    <row r="50" spans="1:2" x14ac:dyDescent="0.3">
      <c r="A50" t="s">
        <v>1332</v>
      </c>
      <c r="B50" t="s">
        <v>412</v>
      </c>
    </row>
    <row r="51" spans="1:2" x14ac:dyDescent="0.3">
      <c r="A51" t="s">
        <v>1333</v>
      </c>
      <c r="B51" t="s">
        <v>413</v>
      </c>
    </row>
    <row r="52" spans="1:2" x14ac:dyDescent="0.3">
      <c r="A52" t="s">
        <v>1334</v>
      </c>
      <c r="B52" t="s">
        <v>414</v>
      </c>
    </row>
    <row r="53" spans="1:2" x14ac:dyDescent="0.3">
      <c r="A53" t="s">
        <v>1335</v>
      </c>
      <c r="B53" t="s">
        <v>415</v>
      </c>
    </row>
    <row r="54" spans="1:2" x14ac:dyDescent="0.3">
      <c r="A54" t="s">
        <v>1336</v>
      </c>
      <c r="B54" t="s">
        <v>416</v>
      </c>
    </row>
    <row r="55" spans="1:2" x14ac:dyDescent="0.3">
      <c r="A55" t="s">
        <v>1337</v>
      </c>
      <c r="B55" t="s">
        <v>417</v>
      </c>
    </row>
    <row r="56" spans="1:2" x14ac:dyDescent="0.3">
      <c r="A56" t="s">
        <v>1338</v>
      </c>
      <c r="B56" t="s">
        <v>418</v>
      </c>
    </row>
    <row r="57" spans="1:2" x14ac:dyDescent="0.3">
      <c r="A57" t="s">
        <v>1339</v>
      </c>
      <c r="B57" t="s">
        <v>419</v>
      </c>
    </row>
    <row r="58" spans="1:2" x14ac:dyDescent="0.3">
      <c r="A58" t="s">
        <v>1340</v>
      </c>
      <c r="B58" t="s">
        <v>420</v>
      </c>
    </row>
    <row r="59" spans="1:2" x14ac:dyDescent="0.3">
      <c r="A59" t="s">
        <v>1341</v>
      </c>
      <c r="B59" t="s">
        <v>421</v>
      </c>
    </row>
    <row r="60" spans="1:2" x14ac:dyDescent="0.3">
      <c r="A60" t="s">
        <v>1342</v>
      </c>
      <c r="B60" t="s">
        <v>422</v>
      </c>
    </row>
    <row r="61" spans="1:2" x14ac:dyDescent="0.3">
      <c r="A61" t="s">
        <v>1343</v>
      </c>
      <c r="B61" t="s">
        <v>423</v>
      </c>
    </row>
    <row r="62" spans="1:2" x14ac:dyDescent="0.3">
      <c r="A62" t="s">
        <v>1344</v>
      </c>
      <c r="B62" t="s">
        <v>424</v>
      </c>
    </row>
    <row r="63" spans="1:2" x14ac:dyDescent="0.3">
      <c r="A63" t="s">
        <v>1345</v>
      </c>
      <c r="B63" t="s">
        <v>425</v>
      </c>
    </row>
    <row r="64" spans="1:2" x14ac:dyDescent="0.3">
      <c r="A64" t="s">
        <v>1346</v>
      </c>
      <c r="B64" t="s">
        <v>426</v>
      </c>
    </row>
    <row r="65" spans="1:2" x14ac:dyDescent="0.3">
      <c r="A65" t="s">
        <v>1347</v>
      </c>
      <c r="B65" t="s">
        <v>427</v>
      </c>
    </row>
    <row r="66" spans="1:2" x14ac:dyDescent="0.3">
      <c r="A66" t="s">
        <v>1348</v>
      </c>
      <c r="B66" t="s">
        <v>428</v>
      </c>
    </row>
    <row r="67" spans="1:2" x14ac:dyDescent="0.3">
      <c r="A67" t="s">
        <v>1349</v>
      </c>
      <c r="B67" t="s">
        <v>429</v>
      </c>
    </row>
    <row r="68" spans="1:2" x14ac:dyDescent="0.3">
      <c r="A68" t="s">
        <v>1350</v>
      </c>
      <c r="B68" t="s">
        <v>430</v>
      </c>
    </row>
    <row r="69" spans="1:2" x14ac:dyDescent="0.3">
      <c r="A69" t="s">
        <v>1351</v>
      </c>
      <c r="B69" t="s">
        <v>431</v>
      </c>
    </row>
    <row r="70" spans="1:2" x14ac:dyDescent="0.3">
      <c r="A70" t="s">
        <v>1352</v>
      </c>
      <c r="B70" t="s">
        <v>432</v>
      </c>
    </row>
    <row r="71" spans="1:2" x14ac:dyDescent="0.3">
      <c r="A71" t="s">
        <v>1353</v>
      </c>
      <c r="B71" t="s">
        <v>433</v>
      </c>
    </row>
    <row r="72" spans="1:2" x14ac:dyDescent="0.3">
      <c r="A72" t="s">
        <v>1354</v>
      </c>
      <c r="B72" t="s">
        <v>434</v>
      </c>
    </row>
    <row r="73" spans="1:2" x14ac:dyDescent="0.3">
      <c r="A73" t="s">
        <v>1355</v>
      </c>
      <c r="B73" t="s">
        <v>435</v>
      </c>
    </row>
    <row r="74" spans="1:2" x14ac:dyDescent="0.3">
      <c r="A74" t="s">
        <v>1356</v>
      </c>
      <c r="B74" t="s">
        <v>436</v>
      </c>
    </row>
    <row r="75" spans="1:2" x14ac:dyDescent="0.3">
      <c r="A75" t="s">
        <v>1357</v>
      </c>
      <c r="B75" t="s">
        <v>437</v>
      </c>
    </row>
    <row r="76" spans="1:2" x14ac:dyDescent="0.3">
      <c r="A76" t="s">
        <v>1358</v>
      </c>
      <c r="B76" t="s">
        <v>438</v>
      </c>
    </row>
    <row r="77" spans="1:2" x14ac:dyDescent="0.3">
      <c r="A77" t="s">
        <v>1359</v>
      </c>
      <c r="B77" t="s">
        <v>439</v>
      </c>
    </row>
    <row r="78" spans="1:2" x14ac:dyDescent="0.3">
      <c r="A78" t="s">
        <v>1360</v>
      </c>
      <c r="B78" t="s">
        <v>440</v>
      </c>
    </row>
    <row r="79" spans="1:2" x14ac:dyDescent="0.3">
      <c r="A79" t="s">
        <v>1361</v>
      </c>
      <c r="B79" t="s">
        <v>441</v>
      </c>
    </row>
    <row r="80" spans="1:2" x14ac:dyDescent="0.3">
      <c r="A80" t="s">
        <v>1362</v>
      </c>
      <c r="B80" t="s">
        <v>442</v>
      </c>
    </row>
    <row r="81" spans="1:2" x14ac:dyDescent="0.3">
      <c r="A81" t="s">
        <v>1363</v>
      </c>
      <c r="B81" t="s">
        <v>443</v>
      </c>
    </row>
    <row r="82" spans="1:2" x14ac:dyDescent="0.3">
      <c r="A82" t="s">
        <v>1364</v>
      </c>
      <c r="B82" t="s">
        <v>444</v>
      </c>
    </row>
    <row r="83" spans="1:2" x14ac:dyDescent="0.3">
      <c r="A83" t="s">
        <v>1365</v>
      </c>
      <c r="B83" t="s">
        <v>445</v>
      </c>
    </row>
    <row r="84" spans="1:2" x14ac:dyDescent="0.3">
      <c r="A84" t="s">
        <v>1366</v>
      </c>
      <c r="B84" t="s">
        <v>446</v>
      </c>
    </row>
    <row r="85" spans="1:2" x14ac:dyDescent="0.3">
      <c r="A85" t="s">
        <v>1367</v>
      </c>
      <c r="B85" t="s">
        <v>447</v>
      </c>
    </row>
    <row r="86" spans="1:2" x14ac:dyDescent="0.3">
      <c r="A86" t="s">
        <v>1368</v>
      </c>
      <c r="B86" t="s">
        <v>448</v>
      </c>
    </row>
    <row r="87" spans="1:2" x14ac:dyDescent="0.3">
      <c r="A87" t="s">
        <v>1369</v>
      </c>
      <c r="B87" t="s">
        <v>449</v>
      </c>
    </row>
    <row r="88" spans="1:2" x14ac:dyDescent="0.3">
      <c r="A88" t="s">
        <v>1370</v>
      </c>
      <c r="B88" t="s">
        <v>450</v>
      </c>
    </row>
    <row r="89" spans="1:2" x14ac:dyDescent="0.3">
      <c r="A89" t="s">
        <v>1371</v>
      </c>
      <c r="B89" t="s">
        <v>451</v>
      </c>
    </row>
    <row r="90" spans="1:2" x14ac:dyDescent="0.3">
      <c r="A90" t="s">
        <v>1372</v>
      </c>
      <c r="B90" t="s">
        <v>452</v>
      </c>
    </row>
    <row r="91" spans="1:2" x14ac:dyDescent="0.3">
      <c r="A91" t="s">
        <v>1373</v>
      </c>
      <c r="B91" t="s">
        <v>453</v>
      </c>
    </row>
    <row r="92" spans="1:2" x14ac:dyDescent="0.3">
      <c r="A92" t="s">
        <v>1374</v>
      </c>
      <c r="B92" t="s">
        <v>454</v>
      </c>
    </row>
    <row r="93" spans="1:2" x14ac:dyDescent="0.3">
      <c r="A93" t="s">
        <v>1375</v>
      </c>
      <c r="B93" t="s">
        <v>455</v>
      </c>
    </row>
    <row r="94" spans="1:2" x14ac:dyDescent="0.3">
      <c r="A94" t="s">
        <v>1376</v>
      </c>
      <c r="B94" t="s">
        <v>456</v>
      </c>
    </row>
    <row r="95" spans="1:2" x14ac:dyDescent="0.3">
      <c r="A95" t="s">
        <v>1377</v>
      </c>
      <c r="B95" t="s">
        <v>457</v>
      </c>
    </row>
    <row r="96" spans="1:2" x14ac:dyDescent="0.3">
      <c r="A96" t="s">
        <v>1378</v>
      </c>
      <c r="B96" t="s">
        <v>458</v>
      </c>
    </row>
    <row r="97" spans="1:2" x14ac:dyDescent="0.3">
      <c r="A97" t="s">
        <v>1379</v>
      </c>
      <c r="B97" t="s">
        <v>459</v>
      </c>
    </row>
    <row r="98" spans="1:2" x14ac:dyDescent="0.3">
      <c r="A98" t="s">
        <v>1380</v>
      </c>
      <c r="B98" t="s">
        <v>460</v>
      </c>
    </row>
    <row r="99" spans="1:2" x14ac:dyDescent="0.3">
      <c r="A99" t="s">
        <v>1381</v>
      </c>
      <c r="B99" t="s">
        <v>461</v>
      </c>
    </row>
    <row r="100" spans="1:2" x14ac:dyDescent="0.3">
      <c r="A100" t="s">
        <v>1382</v>
      </c>
      <c r="B100" t="s">
        <v>462</v>
      </c>
    </row>
    <row r="101" spans="1:2" x14ac:dyDescent="0.3">
      <c r="A101" t="s">
        <v>1383</v>
      </c>
      <c r="B101" t="s">
        <v>463</v>
      </c>
    </row>
    <row r="102" spans="1:2" x14ac:dyDescent="0.3">
      <c r="A102" t="s">
        <v>1384</v>
      </c>
      <c r="B102" t="s">
        <v>464</v>
      </c>
    </row>
    <row r="103" spans="1:2" x14ac:dyDescent="0.3">
      <c r="A103" t="s">
        <v>1385</v>
      </c>
      <c r="B103" t="s">
        <v>465</v>
      </c>
    </row>
    <row r="104" spans="1:2" x14ac:dyDescent="0.3">
      <c r="A104" t="s">
        <v>1386</v>
      </c>
      <c r="B104" t="s">
        <v>466</v>
      </c>
    </row>
    <row r="105" spans="1:2" x14ac:dyDescent="0.3">
      <c r="A105" t="s">
        <v>1387</v>
      </c>
      <c r="B105" t="s">
        <v>467</v>
      </c>
    </row>
    <row r="106" spans="1:2" x14ac:dyDescent="0.3">
      <c r="A106" t="s">
        <v>1388</v>
      </c>
      <c r="B106" t="s">
        <v>468</v>
      </c>
    </row>
    <row r="107" spans="1:2" x14ac:dyDescent="0.3">
      <c r="A107" t="s">
        <v>1389</v>
      </c>
      <c r="B107" t="s">
        <v>469</v>
      </c>
    </row>
    <row r="108" spans="1:2" x14ac:dyDescent="0.3">
      <c r="A108" t="s">
        <v>1390</v>
      </c>
      <c r="B108" t="s">
        <v>470</v>
      </c>
    </row>
    <row r="109" spans="1:2" x14ac:dyDescent="0.3">
      <c r="A109" t="s">
        <v>1391</v>
      </c>
      <c r="B109" t="s">
        <v>471</v>
      </c>
    </row>
    <row r="110" spans="1:2" x14ac:dyDescent="0.3">
      <c r="A110" t="s">
        <v>1392</v>
      </c>
      <c r="B110" t="s">
        <v>472</v>
      </c>
    </row>
    <row r="111" spans="1:2" x14ac:dyDescent="0.3">
      <c r="A111" t="s">
        <v>1393</v>
      </c>
      <c r="B111" t="s">
        <v>473</v>
      </c>
    </row>
    <row r="112" spans="1:2" x14ac:dyDescent="0.3">
      <c r="A112" t="s">
        <v>1394</v>
      </c>
      <c r="B112" t="s">
        <v>474</v>
      </c>
    </row>
    <row r="113" spans="1:2" x14ac:dyDescent="0.3">
      <c r="A113" t="s">
        <v>1395</v>
      </c>
      <c r="B113" t="s">
        <v>475</v>
      </c>
    </row>
    <row r="114" spans="1:2" x14ac:dyDescent="0.3">
      <c r="A114" t="s">
        <v>1396</v>
      </c>
      <c r="B114" t="s">
        <v>476</v>
      </c>
    </row>
    <row r="115" spans="1:2" x14ac:dyDescent="0.3">
      <c r="A115" t="s">
        <v>1397</v>
      </c>
      <c r="B115" t="s">
        <v>477</v>
      </c>
    </row>
    <row r="116" spans="1:2" x14ac:dyDescent="0.3">
      <c r="A116" t="s">
        <v>1398</v>
      </c>
      <c r="B116" t="s">
        <v>478</v>
      </c>
    </row>
    <row r="117" spans="1:2" x14ac:dyDescent="0.3">
      <c r="A117" t="s">
        <v>1399</v>
      </c>
      <c r="B117" t="s">
        <v>479</v>
      </c>
    </row>
    <row r="118" spans="1:2" x14ac:dyDescent="0.3">
      <c r="A118" t="s">
        <v>1400</v>
      </c>
      <c r="B118" t="s">
        <v>480</v>
      </c>
    </row>
    <row r="119" spans="1:2" x14ac:dyDescent="0.3">
      <c r="A119" t="s">
        <v>1401</v>
      </c>
      <c r="B119" t="s">
        <v>481</v>
      </c>
    </row>
    <row r="120" spans="1:2" x14ac:dyDescent="0.3">
      <c r="A120" t="s">
        <v>1402</v>
      </c>
      <c r="B120" t="s">
        <v>482</v>
      </c>
    </row>
    <row r="121" spans="1:2" x14ac:dyDescent="0.3">
      <c r="A121" t="s">
        <v>1403</v>
      </c>
      <c r="B121" t="s">
        <v>483</v>
      </c>
    </row>
    <row r="122" spans="1:2" x14ac:dyDescent="0.3">
      <c r="A122" t="s">
        <v>1404</v>
      </c>
      <c r="B122" t="s">
        <v>484</v>
      </c>
    </row>
    <row r="123" spans="1:2" x14ac:dyDescent="0.3">
      <c r="A123" t="s">
        <v>1405</v>
      </c>
      <c r="B123" t="s">
        <v>485</v>
      </c>
    </row>
    <row r="124" spans="1:2" x14ac:dyDescent="0.3">
      <c r="A124" t="s">
        <v>1406</v>
      </c>
      <c r="B124" t="s">
        <v>486</v>
      </c>
    </row>
    <row r="125" spans="1:2" x14ac:dyDescent="0.3">
      <c r="A125" t="s">
        <v>1407</v>
      </c>
      <c r="B125" t="s">
        <v>487</v>
      </c>
    </row>
    <row r="126" spans="1:2" x14ac:dyDescent="0.3">
      <c r="A126" t="s">
        <v>1408</v>
      </c>
      <c r="B126" t="s">
        <v>488</v>
      </c>
    </row>
    <row r="127" spans="1:2" x14ac:dyDescent="0.3">
      <c r="A127" t="s">
        <v>1409</v>
      </c>
      <c r="B127" t="s">
        <v>489</v>
      </c>
    </row>
    <row r="128" spans="1:2" x14ac:dyDescent="0.3">
      <c r="A128" t="s">
        <v>1410</v>
      </c>
      <c r="B128" t="s">
        <v>490</v>
      </c>
    </row>
    <row r="129" spans="1:2" x14ac:dyDescent="0.3">
      <c r="A129" t="s">
        <v>1411</v>
      </c>
      <c r="B129" t="s">
        <v>165</v>
      </c>
    </row>
    <row r="130" spans="1:2" x14ac:dyDescent="0.3">
      <c r="A130" t="s">
        <v>1412</v>
      </c>
      <c r="B130" t="s">
        <v>491</v>
      </c>
    </row>
    <row r="131" spans="1:2" x14ac:dyDescent="0.3">
      <c r="A131" t="s">
        <v>1413</v>
      </c>
      <c r="B131" t="s">
        <v>492</v>
      </c>
    </row>
    <row r="132" spans="1:2" x14ac:dyDescent="0.3">
      <c r="A132" t="s">
        <v>1414</v>
      </c>
      <c r="B132" t="s">
        <v>493</v>
      </c>
    </row>
    <row r="133" spans="1:2" x14ac:dyDescent="0.3">
      <c r="A133" t="s">
        <v>1415</v>
      </c>
      <c r="B133" t="s">
        <v>494</v>
      </c>
    </row>
    <row r="134" spans="1:2" x14ac:dyDescent="0.3">
      <c r="A134" t="s">
        <v>1416</v>
      </c>
      <c r="B134" t="s">
        <v>495</v>
      </c>
    </row>
    <row r="135" spans="1:2" x14ac:dyDescent="0.3">
      <c r="A135" t="s">
        <v>1417</v>
      </c>
      <c r="B135" t="s">
        <v>496</v>
      </c>
    </row>
    <row r="136" spans="1:2" x14ac:dyDescent="0.3">
      <c r="A136" t="s">
        <v>1418</v>
      </c>
      <c r="B136" t="s">
        <v>497</v>
      </c>
    </row>
    <row r="137" spans="1:2" x14ac:dyDescent="0.3">
      <c r="A137" t="s">
        <v>1419</v>
      </c>
      <c r="B137" t="s">
        <v>498</v>
      </c>
    </row>
    <row r="138" spans="1:2" x14ac:dyDescent="0.3">
      <c r="A138" t="s">
        <v>1420</v>
      </c>
      <c r="B138" t="s">
        <v>499</v>
      </c>
    </row>
    <row r="139" spans="1:2" x14ac:dyDescent="0.3">
      <c r="A139" t="s">
        <v>1421</v>
      </c>
      <c r="B139" t="s">
        <v>500</v>
      </c>
    </row>
    <row r="140" spans="1:2" x14ac:dyDescent="0.3">
      <c r="A140" t="s">
        <v>1422</v>
      </c>
      <c r="B140" t="s">
        <v>501</v>
      </c>
    </row>
    <row r="141" spans="1:2" x14ac:dyDescent="0.3">
      <c r="A141" t="s">
        <v>1423</v>
      </c>
      <c r="B141" t="s">
        <v>502</v>
      </c>
    </row>
    <row r="142" spans="1:2" x14ac:dyDescent="0.3">
      <c r="A142" t="s">
        <v>1424</v>
      </c>
      <c r="B142" t="s">
        <v>503</v>
      </c>
    </row>
    <row r="143" spans="1:2" x14ac:dyDescent="0.3">
      <c r="A143" t="s">
        <v>1425</v>
      </c>
      <c r="B143" t="s">
        <v>504</v>
      </c>
    </row>
    <row r="144" spans="1:2" x14ac:dyDescent="0.3">
      <c r="A144" t="s">
        <v>1426</v>
      </c>
      <c r="B144" t="s">
        <v>505</v>
      </c>
    </row>
    <row r="145" spans="1:2" x14ac:dyDescent="0.3">
      <c r="A145" t="s">
        <v>1427</v>
      </c>
      <c r="B145" t="s">
        <v>506</v>
      </c>
    </row>
    <row r="146" spans="1:2" x14ac:dyDescent="0.3">
      <c r="A146" t="s">
        <v>1428</v>
      </c>
      <c r="B146" t="s">
        <v>507</v>
      </c>
    </row>
    <row r="147" spans="1:2" x14ac:dyDescent="0.3">
      <c r="A147" t="s">
        <v>1429</v>
      </c>
      <c r="B147" t="s">
        <v>508</v>
      </c>
    </row>
    <row r="148" spans="1:2" x14ac:dyDescent="0.3">
      <c r="A148" t="s">
        <v>1430</v>
      </c>
      <c r="B148" t="s">
        <v>509</v>
      </c>
    </row>
    <row r="149" spans="1:2" x14ac:dyDescent="0.3">
      <c r="A149" t="s">
        <v>1431</v>
      </c>
      <c r="B149" t="s">
        <v>510</v>
      </c>
    </row>
    <row r="150" spans="1:2" x14ac:dyDescent="0.3">
      <c r="A150" t="s">
        <v>1432</v>
      </c>
      <c r="B150" t="s">
        <v>511</v>
      </c>
    </row>
    <row r="151" spans="1:2" x14ac:dyDescent="0.3">
      <c r="A151" t="s">
        <v>1433</v>
      </c>
      <c r="B151" t="s">
        <v>512</v>
      </c>
    </row>
    <row r="152" spans="1:2" x14ac:dyDescent="0.3">
      <c r="A152" t="s">
        <v>1434</v>
      </c>
      <c r="B152" t="s">
        <v>513</v>
      </c>
    </row>
    <row r="153" spans="1:2" x14ac:dyDescent="0.3">
      <c r="A153" t="s">
        <v>1435</v>
      </c>
      <c r="B153" t="s">
        <v>514</v>
      </c>
    </row>
    <row r="154" spans="1:2" x14ac:dyDescent="0.3">
      <c r="A154" t="s">
        <v>1436</v>
      </c>
      <c r="B154" t="s">
        <v>515</v>
      </c>
    </row>
    <row r="155" spans="1:2" x14ac:dyDescent="0.3">
      <c r="A155" t="s">
        <v>1437</v>
      </c>
      <c r="B155" t="s">
        <v>516</v>
      </c>
    </row>
    <row r="156" spans="1:2" x14ac:dyDescent="0.3">
      <c r="A156" t="s">
        <v>1438</v>
      </c>
      <c r="B156" t="s">
        <v>517</v>
      </c>
    </row>
    <row r="157" spans="1:2" x14ac:dyDescent="0.3">
      <c r="A157" t="s">
        <v>1439</v>
      </c>
      <c r="B157" t="s">
        <v>518</v>
      </c>
    </row>
    <row r="158" spans="1:2" x14ac:dyDescent="0.3">
      <c r="A158" t="s">
        <v>1440</v>
      </c>
      <c r="B158" t="s">
        <v>519</v>
      </c>
    </row>
    <row r="159" spans="1:2" x14ac:dyDescent="0.3">
      <c r="A159" t="s">
        <v>1441</v>
      </c>
      <c r="B159" t="s">
        <v>520</v>
      </c>
    </row>
    <row r="160" spans="1:2" x14ac:dyDescent="0.3">
      <c r="A160" t="s">
        <v>1442</v>
      </c>
      <c r="B160" t="s">
        <v>521</v>
      </c>
    </row>
    <row r="161" spans="1:2" x14ac:dyDescent="0.3">
      <c r="A161" t="s">
        <v>1443</v>
      </c>
      <c r="B161" t="s">
        <v>522</v>
      </c>
    </row>
    <row r="162" spans="1:2" x14ac:dyDescent="0.3">
      <c r="A162" t="s">
        <v>1444</v>
      </c>
      <c r="B162" t="s">
        <v>523</v>
      </c>
    </row>
    <row r="163" spans="1:2" x14ac:dyDescent="0.3">
      <c r="A163" t="s">
        <v>1445</v>
      </c>
      <c r="B163" t="s">
        <v>524</v>
      </c>
    </row>
    <row r="164" spans="1:2" x14ac:dyDescent="0.3">
      <c r="A164" t="s">
        <v>1446</v>
      </c>
      <c r="B164" t="s">
        <v>525</v>
      </c>
    </row>
    <row r="165" spans="1:2" x14ac:dyDescent="0.3">
      <c r="A165" t="s">
        <v>1447</v>
      </c>
      <c r="B165" t="s">
        <v>526</v>
      </c>
    </row>
    <row r="166" spans="1:2" x14ac:dyDescent="0.3">
      <c r="A166" t="s">
        <v>1448</v>
      </c>
      <c r="B166" t="s">
        <v>527</v>
      </c>
    </row>
    <row r="167" spans="1:2" x14ac:dyDescent="0.3">
      <c r="A167" t="s">
        <v>1449</v>
      </c>
      <c r="B167" t="s">
        <v>528</v>
      </c>
    </row>
    <row r="168" spans="1:2" x14ac:dyDescent="0.3">
      <c r="A168" t="s">
        <v>1450</v>
      </c>
      <c r="B168" t="s">
        <v>529</v>
      </c>
    </row>
    <row r="169" spans="1:2" x14ac:dyDescent="0.3">
      <c r="A169" t="s">
        <v>1451</v>
      </c>
      <c r="B169" t="s">
        <v>530</v>
      </c>
    </row>
    <row r="170" spans="1:2" x14ac:dyDescent="0.3">
      <c r="A170" t="s">
        <v>1452</v>
      </c>
      <c r="B170" t="s">
        <v>531</v>
      </c>
    </row>
    <row r="171" spans="1:2" x14ac:dyDescent="0.3">
      <c r="A171" t="s">
        <v>1453</v>
      </c>
      <c r="B171" t="s">
        <v>532</v>
      </c>
    </row>
    <row r="172" spans="1:2" x14ac:dyDescent="0.3">
      <c r="A172" t="s">
        <v>1454</v>
      </c>
      <c r="B172" t="s">
        <v>533</v>
      </c>
    </row>
    <row r="173" spans="1:2" x14ac:dyDescent="0.3">
      <c r="A173" t="s">
        <v>1455</v>
      </c>
      <c r="B173" t="s">
        <v>534</v>
      </c>
    </row>
    <row r="174" spans="1:2" x14ac:dyDescent="0.3">
      <c r="A174" t="s">
        <v>1456</v>
      </c>
      <c r="B174" t="s">
        <v>535</v>
      </c>
    </row>
    <row r="175" spans="1:2" x14ac:dyDescent="0.3">
      <c r="A175" t="s">
        <v>1457</v>
      </c>
      <c r="B175" t="s">
        <v>536</v>
      </c>
    </row>
    <row r="176" spans="1:2" x14ac:dyDescent="0.3">
      <c r="A176" t="s">
        <v>1458</v>
      </c>
      <c r="B176" t="s">
        <v>537</v>
      </c>
    </row>
    <row r="177" spans="1:2" x14ac:dyDescent="0.3">
      <c r="A177" t="s">
        <v>1459</v>
      </c>
      <c r="B177" t="s">
        <v>538</v>
      </c>
    </row>
    <row r="178" spans="1:2" x14ac:dyDescent="0.3">
      <c r="A178" t="s">
        <v>1460</v>
      </c>
      <c r="B178" t="s">
        <v>539</v>
      </c>
    </row>
    <row r="179" spans="1:2" x14ac:dyDescent="0.3">
      <c r="A179" t="s">
        <v>1461</v>
      </c>
      <c r="B179" t="s">
        <v>540</v>
      </c>
    </row>
    <row r="180" spans="1:2" x14ac:dyDescent="0.3">
      <c r="A180" t="s">
        <v>1462</v>
      </c>
      <c r="B180" t="s">
        <v>541</v>
      </c>
    </row>
    <row r="181" spans="1:2" x14ac:dyDescent="0.3">
      <c r="A181" t="s">
        <v>1463</v>
      </c>
      <c r="B181" t="s">
        <v>542</v>
      </c>
    </row>
    <row r="182" spans="1:2" x14ac:dyDescent="0.3">
      <c r="A182" t="s">
        <v>1464</v>
      </c>
      <c r="B182" t="s">
        <v>543</v>
      </c>
    </row>
    <row r="183" spans="1:2" x14ac:dyDescent="0.3">
      <c r="A183" t="s">
        <v>1465</v>
      </c>
      <c r="B183" t="s">
        <v>544</v>
      </c>
    </row>
    <row r="184" spans="1:2" x14ac:dyDescent="0.3">
      <c r="A184" t="s">
        <v>1466</v>
      </c>
      <c r="B184" t="s">
        <v>545</v>
      </c>
    </row>
    <row r="185" spans="1:2" x14ac:dyDescent="0.3">
      <c r="A185" t="s">
        <v>1467</v>
      </c>
      <c r="B185" t="s">
        <v>546</v>
      </c>
    </row>
    <row r="186" spans="1:2" x14ac:dyDescent="0.3">
      <c r="A186" t="s">
        <v>1468</v>
      </c>
      <c r="B186" t="s">
        <v>547</v>
      </c>
    </row>
    <row r="187" spans="1:2" x14ac:dyDescent="0.3">
      <c r="A187" t="s">
        <v>1469</v>
      </c>
      <c r="B187" t="s">
        <v>548</v>
      </c>
    </row>
    <row r="188" spans="1:2" x14ac:dyDescent="0.3">
      <c r="A188" t="s">
        <v>1470</v>
      </c>
      <c r="B188" t="s">
        <v>549</v>
      </c>
    </row>
    <row r="189" spans="1:2" x14ac:dyDescent="0.3">
      <c r="A189" t="s">
        <v>1471</v>
      </c>
      <c r="B189" t="s">
        <v>550</v>
      </c>
    </row>
    <row r="190" spans="1:2" x14ac:dyDescent="0.3">
      <c r="A190" t="s">
        <v>1472</v>
      </c>
      <c r="B190" t="s">
        <v>551</v>
      </c>
    </row>
    <row r="191" spans="1:2" x14ac:dyDescent="0.3">
      <c r="A191" t="s">
        <v>1473</v>
      </c>
      <c r="B191" t="s">
        <v>552</v>
      </c>
    </row>
    <row r="192" spans="1:2" x14ac:dyDescent="0.3">
      <c r="A192" t="s">
        <v>1474</v>
      </c>
      <c r="B192" t="s">
        <v>553</v>
      </c>
    </row>
    <row r="193" spans="1:2" x14ac:dyDescent="0.3">
      <c r="A193" t="s">
        <v>1475</v>
      </c>
      <c r="B193" t="s">
        <v>554</v>
      </c>
    </row>
    <row r="194" spans="1:2" x14ac:dyDescent="0.3">
      <c r="A194" t="s">
        <v>1476</v>
      </c>
      <c r="B194" t="s">
        <v>555</v>
      </c>
    </row>
    <row r="195" spans="1:2" x14ac:dyDescent="0.3">
      <c r="A195" t="s">
        <v>1477</v>
      </c>
      <c r="B195" t="s">
        <v>556</v>
      </c>
    </row>
    <row r="196" spans="1:2" x14ac:dyDescent="0.3">
      <c r="A196" t="s">
        <v>1478</v>
      </c>
      <c r="B196" t="s">
        <v>557</v>
      </c>
    </row>
    <row r="197" spans="1:2" x14ac:dyDescent="0.3">
      <c r="A197" t="s">
        <v>1479</v>
      </c>
      <c r="B197" t="s">
        <v>558</v>
      </c>
    </row>
    <row r="198" spans="1:2" x14ac:dyDescent="0.3">
      <c r="A198" t="s">
        <v>1480</v>
      </c>
      <c r="B198" t="s">
        <v>559</v>
      </c>
    </row>
    <row r="199" spans="1:2" x14ac:dyDescent="0.3">
      <c r="A199" t="s">
        <v>1481</v>
      </c>
      <c r="B199" t="s">
        <v>560</v>
      </c>
    </row>
    <row r="200" spans="1:2" x14ac:dyDescent="0.3">
      <c r="A200" t="s">
        <v>1482</v>
      </c>
      <c r="B200" t="s">
        <v>561</v>
      </c>
    </row>
    <row r="201" spans="1:2" x14ac:dyDescent="0.3">
      <c r="A201" t="s">
        <v>1483</v>
      </c>
      <c r="B201" t="s">
        <v>562</v>
      </c>
    </row>
    <row r="202" spans="1:2" x14ac:dyDescent="0.3">
      <c r="A202" t="s">
        <v>1484</v>
      </c>
      <c r="B202" t="s">
        <v>563</v>
      </c>
    </row>
    <row r="203" spans="1:2" x14ac:dyDescent="0.3">
      <c r="A203" t="s">
        <v>1485</v>
      </c>
      <c r="B203" t="s">
        <v>564</v>
      </c>
    </row>
    <row r="204" spans="1:2" x14ac:dyDescent="0.3">
      <c r="A204" t="s">
        <v>1486</v>
      </c>
      <c r="B204" t="s">
        <v>565</v>
      </c>
    </row>
    <row r="205" spans="1:2" x14ac:dyDescent="0.3">
      <c r="A205" t="s">
        <v>1487</v>
      </c>
      <c r="B205" t="s">
        <v>566</v>
      </c>
    </row>
    <row r="206" spans="1:2" x14ac:dyDescent="0.3">
      <c r="A206" t="s">
        <v>1488</v>
      </c>
      <c r="B206" t="s">
        <v>567</v>
      </c>
    </row>
    <row r="207" spans="1:2" x14ac:dyDescent="0.3">
      <c r="A207" t="s">
        <v>1489</v>
      </c>
      <c r="B207" t="s">
        <v>568</v>
      </c>
    </row>
    <row r="208" spans="1:2" x14ac:dyDescent="0.3">
      <c r="A208" t="s">
        <v>1490</v>
      </c>
      <c r="B208" t="s">
        <v>569</v>
      </c>
    </row>
    <row r="209" spans="1:2" x14ac:dyDescent="0.3">
      <c r="A209" t="s">
        <v>1491</v>
      </c>
      <c r="B209" t="s">
        <v>570</v>
      </c>
    </row>
    <row r="210" spans="1:2" x14ac:dyDescent="0.3">
      <c r="A210" t="s">
        <v>1492</v>
      </c>
      <c r="B210" t="s">
        <v>571</v>
      </c>
    </row>
    <row r="211" spans="1:2" x14ac:dyDescent="0.3">
      <c r="A211" t="s">
        <v>1493</v>
      </c>
      <c r="B211" t="s">
        <v>572</v>
      </c>
    </row>
    <row r="212" spans="1:2" x14ac:dyDescent="0.3">
      <c r="A212" t="s">
        <v>1494</v>
      </c>
      <c r="B212" t="s">
        <v>573</v>
      </c>
    </row>
    <row r="213" spans="1:2" x14ac:dyDescent="0.3">
      <c r="A213" t="s">
        <v>1495</v>
      </c>
      <c r="B213" t="s">
        <v>574</v>
      </c>
    </row>
    <row r="214" spans="1:2" x14ac:dyDescent="0.3">
      <c r="A214" t="s">
        <v>1496</v>
      </c>
      <c r="B214" t="s">
        <v>575</v>
      </c>
    </row>
    <row r="215" spans="1:2" x14ac:dyDescent="0.3">
      <c r="A215" t="s">
        <v>1497</v>
      </c>
      <c r="B215" t="s">
        <v>576</v>
      </c>
    </row>
    <row r="216" spans="1:2" x14ac:dyDescent="0.3">
      <c r="A216" t="s">
        <v>1498</v>
      </c>
      <c r="B216" t="s">
        <v>577</v>
      </c>
    </row>
    <row r="217" spans="1:2" x14ac:dyDescent="0.3">
      <c r="A217" t="s">
        <v>1499</v>
      </c>
      <c r="B217" t="s">
        <v>578</v>
      </c>
    </row>
    <row r="218" spans="1:2" x14ac:dyDescent="0.3">
      <c r="A218" t="s">
        <v>1500</v>
      </c>
      <c r="B218" t="s">
        <v>579</v>
      </c>
    </row>
    <row r="219" spans="1:2" x14ac:dyDescent="0.3">
      <c r="A219" t="s">
        <v>1501</v>
      </c>
      <c r="B219" t="s">
        <v>580</v>
      </c>
    </row>
    <row r="220" spans="1:2" x14ac:dyDescent="0.3">
      <c r="A220" t="s">
        <v>1502</v>
      </c>
      <c r="B220" t="s">
        <v>581</v>
      </c>
    </row>
    <row r="221" spans="1:2" x14ac:dyDescent="0.3">
      <c r="A221" t="s">
        <v>1503</v>
      </c>
      <c r="B221" t="s">
        <v>582</v>
      </c>
    </row>
    <row r="222" spans="1:2" x14ac:dyDescent="0.3">
      <c r="A222" t="s">
        <v>1504</v>
      </c>
      <c r="B222" t="s">
        <v>583</v>
      </c>
    </row>
    <row r="223" spans="1:2" x14ac:dyDescent="0.3">
      <c r="A223" t="s">
        <v>1505</v>
      </c>
      <c r="B223" t="s">
        <v>584</v>
      </c>
    </row>
    <row r="224" spans="1:2" x14ac:dyDescent="0.3">
      <c r="A224" t="s">
        <v>1506</v>
      </c>
      <c r="B224" t="s">
        <v>585</v>
      </c>
    </row>
    <row r="225" spans="1:2" x14ac:dyDescent="0.3">
      <c r="A225" t="s">
        <v>1507</v>
      </c>
      <c r="B225" t="s">
        <v>586</v>
      </c>
    </row>
    <row r="226" spans="1:2" x14ac:dyDescent="0.3">
      <c r="A226" t="s">
        <v>1508</v>
      </c>
      <c r="B226" t="s">
        <v>587</v>
      </c>
    </row>
    <row r="227" spans="1:2" x14ac:dyDescent="0.3">
      <c r="A227" t="s">
        <v>1509</v>
      </c>
      <c r="B227" t="s">
        <v>588</v>
      </c>
    </row>
    <row r="228" spans="1:2" x14ac:dyDescent="0.3">
      <c r="A228" t="s">
        <v>1510</v>
      </c>
      <c r="B228" t="s">
        <v>589</v>
      </c>
    </row>
    <row r="229" spans="1:2" x14ac:dyDescent="0.3">
      <c r="A229" t="s">
        <v>1511</v>
      </c>
      <c r="B229" t="s">
        <v>590</v>
      </c>
    </row>
    <row r="230" spans="1:2" x14ac:dyDescent="0.3">
      <c r="A230" t="s">
        <v>1512</v>
      </c>
      <c r="B230" t="s">
        <v>591</v>
      </c>
    </row>
    <row r="231" spans="1:2" x14ac:dyDescent="0.3">
      <c r="A231" t="s">
        <v>1513</v>
      </c>
      <c r="B231" t="s">
        <v>592</v>
      </c>
    </row>
    <row r="232" spans="1:2" x14ac:dyDescent="0.3">
      <c r="A232" t="s">
        <v>1514</v>
      </c>
      <c r="B232" t="s">
        <v>593</v>
      </c>
    </row>
    <row r="233" spans="1:2" x14ac:dyDescent="0.3">
      <c r="A233" t="s">
        <v>1515</v>
      </c>
      <c r="B233" t="s">
        <v>594</v>
      </c>
    </row>
    <row r="234" spans="1:2" x14ac:dyDescent="0.3">
      <c r="A234" t="s">
        <v>1516</v>
      </c>
      <c r="B234" t="s">
        <v>595</v>
      </c>
    </row>
    <row r="235" spans="1:2" x14ac:dyDescent="0.3">
      <c r="A235" t="s">
        <v>1517</v>
      </c>
      <c r="B235" t="s">
        <v>596</v>
      </c>
    </row>
    <row r="236" spans="1:2" x14ac:dyDescent="0.3">
      <c r="A236" t="s">
        <v>1518</v>
      </c>
      <c r="B236" t="s">
        <v>597</v>
      </c>
    </row>
    <row r="237" spans="1:2" x14ac:dyDescent="0.3">
      <c r="A237" t="s">
        <v>1519</v>
      </c>
      <c r="B237" t="s">
        <v>598</v>
      </c>
    </row>
    <row r="238" spans="1:2" x14ac:dyDescent="0.3">
      <c r="A238" t="s">
        <v>1520</v>
      </c>
      <c r="B238" t="s">
        <v>599</v>
      </c>
    </row>
    <row r="239" spans="1:2" x14ac:dyDescent="0.3">
      <c r="A239" t="s">
        <v>1521</v>
      </c>
      <c r="B239" t="s">
        <v>600</v>
      </c>
    </row>
    <row r="240" spans="1:2" x14ac:dyDescent="0.3">
      <c r="A240" t="s">
        <v>1522</v>
      </c>
      <c r="B240" t="s">
        <v>601</v>
      </c>
    </row>
    <row r="241" spans="1:2" x14ac:dyDescent="0.3">
      <c r="A241" t="s">
        <v>1523</v>
      </c>
      <c r="B241" t="s">
        <v>602</v>
      </c>
    </row>
    <row r="242" spans="1:2" x14ac:dyDescent="0.3">
      <c r="A242" t="s">
        <v>1524</v>
      </c>
      <c r="B242" t="s">
        <v>603</v>
      </c>
    </row>
    <row r="243" spans="1:2" x14ac:dyDescent="0.3">
      <c r="A243" t="s">
        <v>1525</v>
      </c>
      <c r="B243" t="s">
        <v>604</v>
      </c>
    </row>
    <row r="244" spans="1:2" x14ac:dyDescent="0.3">
      <c r="A244" t="s">
        <v>1526</v>
      </c>
      <c r="B244" t="s">
        <v>605</v>
      </c>
    </row>
    <row r="245" spans="1:2" x14ac:dyDescent="0.3">
      <c r="A245" t="s">
        <v>1527</v>
      </c>
      <c r="B245" t="s">
        <v>606</v>
      </c>
    </row>
    <row r="246" spans="1:2" x14ac:dyDescent="0.3">
      <c r="A246" t="s">
        <v>1528</v>
      </c>
      <c r="B246" t="s">
        <v>607</v>
      </c>
    </row>
    <row r="247" spans="1:2" x14ac:dyDescent="0.3">
      <c r="A247" t="s">
        <v>1529</v>
      </c>
      <c r="B247" t="s">
        <v>608</v>
      </c>
    </row>
    <row r="248" spans="1:2" x14ac:dyDescent="0.3">
      <c r="A248" t="s">
        <v>1530</v>
      </c>
      <c r="B248" t="s">
        <v>609</v>
      </c>
    </row>
    <row r="249" spans="1:2" x14ac:dyDescent="0.3">
      <c r="A249" t="s">
        <v>1531</v>
      </c>
      <c r="B249" t="s">
        <v>610</v>
      </c>
    </row>
    <row r="250" spans="1:2" x14ac:dyDescent="0.3">
      <c r="A250" t="s">
        <v>1532</v>
      </c>
      <c r="B250" t="s">
        <v>611</v>
      </c>
    </row>
    <row r="251" spans="1:2" x14ac:dyDescent="0.3">
      <c r="A251" t="s">
        <v>1533</v>
      </c>
      <c r="B251" t="s">
        <v>612</v>
      </c>
    </row>
    <row r="252" spans="1:2" x14ac:dyDescent="0.3">
      <c r="A252" t="s">
        <v>1534</v>
      </c>
      <c r="B252" t="s">
        <v>613</v>
      </c>
    </row>
    <row r="253" spans="1:2" x14ac:dyDescent="0.3">
      <c r="A253" t="s">
        <v>1535</v>
      </c>
      <c r="B253" t="s">
        <v>614</v>
      </c>
    </row>
    <row r="254" spans="1:2" x14ac:dyDescent="0.3">
      <c r="A254" t="s">
        <v>1536</v>
      </c>
      <c r="B254" t="s">
        <v>615</v>
      </c>
    </row>
    <row r="255" spans="1:2" x14ac:dyDescent="0.3">
      <c r="A255" t="s">
        <v>1537</v>
      </c>
      <c r="B255" t="s">
        <v>616</v>
      </c>
    </row>
    <row r="256" spans="1:2" x14ac:dyDescent="0.3">
      <c r="A256" t="s">
        <v>1538</v>
      </c>
      <c r="B256" t="s">
        <v>617</v>
      </c>
    </row>
    <row r="257" spans="1:2" x14ac:dyDescent="0.3">
      <c r="A257" t="s">
        <v>1539</v>
      </c>
      <c r="B257" t="s">
        <v>618</v>
      </c>
    </row>
    <row r="258" spans="1:2" x14ac:dyDescent="0.3">
      <c r="A258" t="s">
        <v>1540</v>
      </c>
      <c r="B258" t="s">
        <v>619</v>
      </c>
    </row>
    <row r="259" spans="1:2" x14ac:dyDescent="0.3">
      <c r="A259" t="s">
        <v>1541</v>
      </c>
      <c r="B259" t="s">
        <v>620</v>
      </c>
    </row>
    <row r="260" spans="1:2" x14ac:dyDescent="0.3">
      <c r="A260" t="s">
        <v>1542</v>
      </c>
      <c r="B260" t="s">
        <v>621</v>
      </c>
    </row>
    <row r="261" spans="1:2" x14ac:dyDescent="0.3">
      <c r="A261" t="s">
        <v>1543</v>
      </c>
      <c r="B261" t="s">
        <v>622</v>
      </c>
    </row>
    <row r="262" spans="1:2" x14ac:dyDescent="0.3">
      <c r="A262" t="s">
        <v>1544</v>
      </c>
      <c r="B262" t="s">
        <v>623</v>
      </c>
    </row>
    <row r="263" spans="1:2" x14ac:dyDescent="0.3">
      <c r="A263" t="s">
        <v>1545</v>
      </c>
      <c r="B263" t="s">
        <v>624</v>
      </c>
    </row>
    <row r="264" spans="1:2" x14ac:dyDescent="0.3">
      <c r="A264" t="s">
        <v>1546</v>
      </c>
      <c r="B264" t="s">
        <v>625</v>
      </c>
    </row>
    <row r="265" spans="1:2" x14ac:dyDescent="0.3">
      <c r="A265" t="s">
        <v>1547</v>
      </c>
      <c r="B265" t="s">
        <v>626</v>
      </c>
    </row>
    <row r="266" spans="1:2" x14ac:dyDescent="0.3">
      <c r="A266" t="s">
        <v>1548</v>
      </c>
      <c r="B266" t="s">
        <v>627</v>
      </c>
    </row>
    <row r="267" spans="1:2" x14ac:dyDescent="0.3">
      <c r="A267" t="s">
        <v>1549</v>
      </c>
      <c r="B267" t="s">
        <v>628</v>
      </c>
    </row>
    <row r="268" spans="1:2" x14ac:dyDescent="0.3">
      <c r="A268" t="s">
        <v>1550</v>
      </c>
      <c r="B268" t="s">
        <v>629</v>
      </c>
    </row>
    <row r="269" spans="1:2" x14ac:dyDescent="0.3">
      <c r="A269" t="s">
        <v>1551</v>
      </c>
      <c r="B269" t="s">
        <v>630</v>
      </c>
    </row>
    <row r="270" spans="1:2" x14ac:dyDescent="0.3">
      <c r="A270" t="s">
        <v>1552</v>
      </c>
      <c r="B270" t="s">
        <v>631</v>
      </c>
    </row>
    <row r="271" spans="1:2" x14ac:dyDescent="0.3">
      <c r="A271" t="s">
        <v>1553</v>
      </c>
      <c r="B271" t="s">
        <v>632</v>
      </c>
    </row>
    <row r="272" spans="1:2" x14ac:dyDescent="0.3">
      <c r="A272" t="s">
        <v>1554</v>
      </c>
      <c r="B272" t="s">
        <v>633</v>
      </c>
    </row>
    <row r="273" spans="1:2" x14ac:dyDescent="0.3">
      <c r="A273" t="s">
        <v>1555</v>
      </c>
      <c r="B273" t="s">
        <v>634</v>
      </c>
    </row>
    <row r="274" spans="1:2" x14ac:dyDescent="0.3">
      <c r="A274" t="s">
        <v>1556</v>
      </c>
      <c r="B274" t="s">
        <v>635</v>
      </c>
    </row>
    <row r="275" spans="1:2" x14ac:dyDescent="0.3">
      <c r="A275" t="s">
        <v>1557</v>
      </c>
      <c r="B275" t="s">
        <v>636</v>
      </c>
    </row>
    <row r="276" spans="1:2" x14ac:dyDescent="0.3">
      <c r="A276" t="s">
        <v>1558</v>
      </c>
      <c r="B276" t="s">
        <v>637</v>
      </c>
    </row>
    <row r="277" spans="1:2" x14ac:dyDescent="0.3">
      <c r="A277" t="s">
        <v>1559</v>
      </c>
      <c r="B277" t="s">
        <v>638</v>
      </c>
    </row>
    <row r="278" spans="1:2" x14ac:dyDescent="0.3">
      <c r="A278" t="s">
        <v>1560</v>
      </c>
      <c r="B278" t="s">
        <v>639</v>
      </c>
    </row>
    <row r="279" spans="1:2" x14ac:dyDescent="0.3">
      <c r="A279" t="s">
        <v>1561</v>
      </c>
      <c r="B279" t="s">
        <v>640</v>
      </c>
    </row>
    <row r="280" spans="1:2" x14ac:dyDescent="0.3">
      <c r="A280" t="s">
        <v>1562</v>
      </c>
      <c r="B280" t="s">
        <v>641</v>
      </c>
    </row>
    <row r="281" spans="1:2" x14ac:dyDescent="0.3">
      <c r="A281" t="s">
        <v>1563</v>
      </c>
      <c r="B281" t="s">
        <v>642</v>
      </c>
    </row>
    <row r="282" spans="1:2" x14ac:dyDescent="0.3">
      <c r="A282" t="s">
        <v>1564</v>
      </c>
      <c r="B282" t="s">
        <v>643</v>
      </c>
    </row>
    <row r="283" spans="1:2" x14ac:dyDescent="0.3">
      <c r="A283" t="s">
        <v>1565</v>
      </c>
      <c r="B283" t="s">
        <v>644</v>
      </c>
    </row>
    <row r="284" spans="1:2" x14ac:dyDescent="0.3">
      <c r="A284" t="s">
        <v>1566</v>
      </c>
      <c r="B284" t="s">
        <v>645</v>
      </c>
    </row>
    <row r="285" spans="1:2" x14ac:dyDescent="0.3">
      <c r="A285" t="s">
        <v>1567</v>
      </c>
      <c r="B285" t="s">
        <v>646</v>
      </c>
    </row>
    <row r="286" spans="1:2" x14ac:dyDescent="0.3">
      <c r="A286" t="s">
        <v>1568</v>
      </c>
      <c r="B286" t="s">
        <v>647</v>
      </c>
    </row>
    <row r="287" spans="1:2" x14ac:dyDescent="0.3">
      <c r="A287" t="s">
        <v>1569</v>
      </c>
      <c r="B287" t="s">
        <v>648</v>
      </c>
    </row>
    <row r="288" spans="1:2" x14ac:dyDescent="0.3">
      <c r="A288" t="s">
        <v>1570</v>
      </c>
      <c r="B288" t="s">
        <v>649</v>
      </c>
    </row>
    <row r="289" spans="1:2" x14ac:dyDescent="0.3">
      <c r="A289" t="s">
        <v>1571</v>
      </c>
      <c r="B289" t="s">
        <v>650</v>
      </c>
    </row>
    <row r="290" spans="1:2" x14ac:dyDescent="0.3">
      <c r="A290" t="s">
        <v>1572</v>
      </c>
      <c r="B290" t="s">
        <v>651</v>
      </c>
    </row>
    <row r="291" spans="1:2" x14ac:dyDescent="0.3">
      <c r="A291" t="s">
        <v>1573</v>
      </c>
      <c r="B291" t="s">
        <v>652</v>
      </c>
    </row>
    <row r="292" spans="1:2" x14ac:dyDescent="0.3">
      <c r="A292" t="s">
        <v>1574</v>
      </c>
      <c r="B292" t="s">
        <v>653</v>
      </c>
    </row>
    <row r="293" spans="1:2" x14ac:dyDescent="0.3">
      <c r="A293" t="s">
        <v>1575</v>
      </c>
      <c r="B293" t="s">
        <v>654</v>
      </c>
    </row>
    <row r="294" spans="1:2" x14ac:dyDescent="0.3">
      <c r="A294" t="s">
        <v>1576</v>
      </c>
      <c r="B294" t="s">
        <v>655</v>
      </c>
    </row>
    <row r="295" spans="1:2" x14ac:dyDescent="0.3">
      <c r="A295" t="s">
        <v>1577</v>
      </c>
      <c r="B295" t="s">
        <v>656</v>
      </c>
    </row>
    <row r="296" spans="1:2" x14ac:dyDescent="0.3">
      <c r="A296" t="s">
        <v>1578</v>
      </c>
      <c r="B296" t="s">
        <v>657</v>
      </c>
    </row>
    <row r="297" spans="1:2" x14ac:dyDescent="0.3">
      <c r="A297" t="s">
        <v>1579</v>
      </c>
      <c r="B297" t="s">
        <v>658</v>
      </c>
    </row>
    <row r="298" spans="1:2" x14ac:dyDescent="0.3">
      <c r="A298" t="s">
        <v>1580</v>
      </c>
      <c r="B298" t="s">
        <v>659</v>
      </c>
    </row>
    <row r="299" spans="1:2" x14ac:dyDescent="0.3">
      <c r="A299" t="s">
        <v>1581</v>
      </c>
      <c r="B299" t="s">
        <v>660</v>
      </c>
    </row>
    <row r="300" spans="1:2" x14ac:dyDescent="0.3">
      <c r="A300" t="s">
        <v>1582</v>
      </c>
      <c r="B300" t="s">
        <v>661</v>
      </c>
    </row>
    <row r="301" spans="1:2" x14ac:dyDescent="0.3">
      <c r="A301" t="s">
        <v>1583</v>
      </c>
      <c r="B301" t="s">
        <v>662</v>
      </c>
    </row>
    <row r="302" spans="1:2" x14ac:dyDescent="0.3">
      <c r="A302" t="s">
        <v>1584</v>
      </c>
      <c r="B302" t="s">
        <v>663</v>
      </c>
    </row>
    <row r="303" spans="1:2" x14ac:dyDescent="0.3">
      <c r="A303" t="s">
        <v>1585</v>
      </c>
      <c r="B303" t="s">
        <v>664</v>
      </c>
    </row>
    <row r="304" spans="1:2" x14ac:dyDescent="0.3">
      <c r="A304" t="s">
        <v>1586</v>
      </c>
      <c r="B304" t="s">
        <v>665</v>
      </c>
    </row>
    <row r="305" spans="1:2" x14ac:dyDescent="0.3">
      <c r="A305" t="s">
        <v>1587</v>
      </c>
      <c r="B305" t="s">
        <v>666</v>
      </c>
    </row>
    <row r="306" spans="1:2" x14ac:dyDescent="0.3">
      <c r="A306" t="s">
        <v>1588</v>
      </c>
      <c r="B306" t="s">
        <v>667</v>
      </c>
    </row>
    <row r="307" spans="1:2" x14ac:dyDescent="0.3">
      <c r="A307" t="s">
        <v>1589</v>
      </c>
      <c r="B307" t="s">
        <v>668</v>
      </c>
    </row>
    <row r="308" spans="1:2" x14ac:dyDescent="0.3">
      <c r="A308" t="s">
        <v>1590</v>
      </c>
      <c r="B308" t="s">
        <v>669</v>
      </c>
    </row>
    <row r="309" spans="1:2" x14ac:dyDescent="0.3">
      <c r="A309" t="s">
        <v>1591</v>
      </c>
      <c r="B309" t="s">
        <v>670</v>
      </c>
    </row>
    <row r="310" spans="1:2" x14ac:dyDescent="0.3">
      <c r="A310" t="s">
        <v>1592</v>
      </c>
      <c r="B310" t="s">
        <v>671</v>
      </c>
    </row>
    <row r="311" spans="1:2" x14ac:dyDescent="0.3">
      <c r="A311" t="s">
        <v>1593</v>
      </c>
      <c r="B311" t="s">
        <v>672</v>
      </c>
    </row>
    <row r="312" spans="1:2" x14ac:dyDescent="0.3">
      <c r="A312" t="s">
        <v>1594</v>
      </c>
      <c r="B312" t="s">
        <v>673</v>
      </c>
    </row>
    <row r="313" spans="1:2" x14ac:dyDescent="0.3">
      <c r="A313" t="s">
        <v>1595</v>
      </c>
      <c r="B313" t="s">
        <v>674</v>
      </c>
    </row>
    <row r="314" spans="1:2" x14ac:dyDescent="0.3">
      <c r="A314" t="s">
        <v>1596</v>
      </c>
      <c r="B314" t="s">
        <v>675</v>
      </c>
    </row>
    <row r="315" spans="1:2" x14ac:dyDescent="0.3">
      <c r="A315" t="s">
        <v>1597</v>
      </c>
      <c r="B315" t="s">
        <v>676</v>
      </c>
    </row>
    <row r="316" spans="1:2" x14ac:dyDescent="0.3">
      <c r="A316" t="s">
        <v>1598</v>
      </c>
      <c r="B316" t="s">
        <v>677</v>
      </c>
    </row>
    <row r="317" spans="1:2" x14ac:dyDescent="0.3">
      <c r="A317" t="s">
        <v>1599</v>
      </c>
      <c r="B317" t="s">
        <v>678</v>
      </c>
    </row>
    <row r="318" spans="1:2" x14ac:dyDescent="0.3">
      <c r="A318" t="s">
        <v>1600</v>
      </c>
      <c r="B318" t="s">
        <v>679</v>
      </c>
    </row>
    <row r="319" spans="1:2" x14ac:dyDescent="0.3">
      <c r="A319" t="s">
        <v>1601</v>
      </c>
      <c r="B319" t="s">
        <v>680</v>
      </c>
    </row>
    <row r="320" spans="1:2" x14ac:dyDescent="0.3">
      <c r="A320" t="s">
        <v>1602</v>
      </c>
      <c r="B320" t="s">
        <v>681</v>
      </c>
    </row>
    <row r="321" spans="1:2" x14ac:dyDescent="0.3">
      <c r="A321" t="s">
        <v>1603</v>
      </c>
      <c r="B321" t="s">
        <v>682</v>
      </c>
    </row>
    <row r="322" spans="1:2" x14ac:dyDescent="0.3">
      <c r="A322" t="s">
        <v>1604</v>
      </c>
      <c r="B322" t="s">
        <v>683</v>
      </c>
    </row>
    <row r="323" spans="1:2" x14ac:dyDescent="0.3">
      <c r="A323" t="s">
        <v>1605</v>
      </c>
      <c r="B323" t="s">
        <v>684</v>
      </c>
    </row>
    <row r="324" spans="1:2" x14ac:dyDescent="0.3">
      <c r="A324" t="s">
        <v>1606</v>
      </c>
      <c r="B324" t="s">
        <v>685</v>
      </c>
    </row>
    <row r="325" spans="1:2" x14ac:dyDescent="0.3">
      <c r="A325" t="s">
        <v>1607</v>
      </c>
      <c r="B325" t="s">
        <v>686</v>
      </c>
    </row>
    <row r="326" spans="1:2" x14ac:dyDescent="0.3">
      <c r="A326" t="s">
        <v>1608</v>
      </c>
      <c r="B326" t="s">
        <v>687</v>
      </c>
    </row>
    <row r="327" spans="1:2" x14ac:dyDescent="0.3">
      <c r="A327" t="s">
        <v>1609</v>
      </c>
      <c r="B327" t="s">
        <v>688</v>
      </c>
    </row>
    <row r="328" spans="1:2" x14ac:dyDescent="0.3">
      <c r="A328" t="s">
        <v>1610</v>
      </c>
      <c r="B328" t="s">
        <v>689</v>
      </c>
    </row>
    <row r="329" spans="1:2" x14ac:dyDescent="0.3">
      <c r="A329" t="s">
        <v>1611</v>
      </c>
      <c r="B329" t="s">
        <v>690</v>
      </c>
    </row>
    <row r="330" spans="1:2" x14ac:dyDescent="0.3">
      <c r="A330" t="s">
        <v>1612</v>
      </c>
      <c r="B330" t="s">
        <v>691</v>
      </c>
    </row>
    <row r="331" spans="1:2" x14ac:dyDescent="0.3">
      <c r="A331" t="s">
        <v>1613</v>
      </c>
      <c r="B331" t="s">
        <v>692</v>
      </c>
    </row>
    <row r="332" spans="1:2" x14ac:dyDescent="0.3">
      <c r="A332" t="s">
        <v>1614</v>
      </c>
      <c r="B332" t="s">
        <v>693</v>
      </c>
    </row>
    <row r="333" spans="1:2" x14ac:dyDescent="0.3">
      <c r="A333" t="s">
        <v>1615</v>
      </c>
      <c r="B333" t="s">
        <v>694</v>
      </c>
    </row>
    <row r="334" spans="1:2" x14ac:dyDescent="0.3">
      <c r="A334" t="s">
        <v>1616</v>
      </c>
      <c r="B334" t="s">
        <v>695</v>
      </c>
    </row>
    <row r="335" spans="1:2" x14ac:dyDescent="0.3">
      <c r="A335" t="s">
        <v>1617</v>
      </c>
      <c r="B335" t="s">
        <v>696</v>
      </c>
    </row>
    <row r="336" spans="1:2" x14ac:dyDescent="0.3">
      <c r="A336" t="s">
        <v>1618</v>
      </c>
      <c r="B336" t="s">
        <v>697</v>
      </c>
    </row>
    <row r="337" spans="1:2" x14ac:dyDescent="0.3">
      <c r="A337" t="s">
        <v>1619</v>
      </c>
      <c r="B337" t="s">
        <v>698</v>
      </c>
    </row>
    <row r="338" spans="1:2" x14ac:dyDescent="0.3">
      <c r="A338" t="s">
        <v>1620</v>
      </c>
      <c r="B338" t="s">
        <v>699</v>
      </c>
    </row>
    <row r="339" spans="1:2" x14ac:dyDescent="0.3">
      <c r="A339" t="s">
        <v>1621</v>
      </c>
      <c r="B339" t="s">
        <v>700</v>
      </c>
    </row>
    <row r="340" spans="1:2" x14ac:dyDescent="0.3">
      <c r="A340" t="s">
        <v>1622</v>
      </c>
      <c r="B340" t="s">
        <v>701</v>
      </c>
    </row>
    <row r="341" spans="1:2" x14ac:dyDescent="0.3">
      <c r="A341" t="s">
        <v>1623</v>
      </c>
      <c r="B341" t="s">
        <v>702</v>
      </c>
    </row>
    <row r="342" spans="1:2" x14ac:dyDescent="0.3">
      <c r="A342" t="s">
        <v>1624</v>
      </c>
      <c r="B342" t="s">
        <v>703</v>
      </c>
    </row>
    <row r="343" spans="1:2" x14ac:dyDescent="0.3">
      <c r="A343" t="s">
        <v>1625</v>
      </c>
      <c r="B343" t="s">
        <v>704</v>
      </c>
    </row>
    <row r="344" spans="1:2" x14ac:dyDescent="0.3">
      <c r="A344" t="s">
        <v>1626</v>
      </c>
      <c r="B344" t="s">
        <v>705</v>
      </c>
    </row>
    <row r="345" spans="1:2" x14ac:dyDescent="0.3">
      <c r="A345" t="s">
        <v>1627</v>
      </c>
      <c r="B345" t="s">
        <v>706</v>
      </c>
    </row>
    <row r="346" spans="1:2" x14ac:dyDescent="0.3">
      <c r="A346" t="s">
        <v>1628</v>
      </c>
      <c r="B346" t="s">
        <v>707</v>
      </c>
    </row>
    <row r="347" spans="1:2" x14ac:dyDescent="0.3">
      <c r="A347" t="s">
        <v>1629</v>
      </c>
      <c r="B347" t="s">
        <v>708</v>
      </c>
    </row>
    <row r="348" spans="1:2" x14ac:dyDescent="0.3">
      <c r="A348" t="s">
        <v>1630</v>
      </c>
      <c r="B348" t="s">
        <v>709</v>
      </c>
    </row>
    <row r="349" spans="1:2" x14ac:dyDescent="0.3">
      <c r="A349" t="s">
        <v>1631</v>
      </c>
      <c r="B349" t="s">
        <v>710</v>
      </c>
    </row>
    <row r="350" spans="1:2" x14ac:dyDescent="0.3">
      <c r="A350" t="s">
        <v>1632</v>
      </c>
      <c r="B350" t="s">
        <v>711</v>
      </c>
    </row>
    <row r="351" spans="1:2" x14ac:dyDescent="0.3">
      <c r="A351" t="s">
        <v>1633</v>
      </c>
      <c r="B351" t="s">
        <v>712</v>
      </c>
    </row>
    <row r="352" spans="1:2" x14ac:dyDescent="0.3">
      <c r="A352" t="s">
        <v>1634</v>
      </c>
      <c r="B352" t="s">
        <v>713</v>
      </c>
    </row>
    <row r="353" spans="1:2" x14ac:dyDescent="0.3">
      <c r="A353" t="s">
        <v>1635</v>
      </c>
      <c r="B353" t="s">
        <v>714</v>
      </c>
    </row>
    <row r="354" spans="1:2" x14ac:dyDescent="0.3">
      <c r="A354" t="s">
        <v>1636</v>
      </c>
      <c r="B354" t="s">
        <v>715</v>
      </c>
    </row>
    <row r="355" spans="1:2" x14ac:dyDescent="0.3">
      <c r="A355" t="s">
        <v>1637</v>
      </c>
      <c r="B355" t="s">
        <v>716</v>
      </c>
    </row>
    <row r="356" spans="1:2" x14ac:dyDescent="0.3">
      <c r="A356" t="s">
        <v>1638</v>
      </c>
      <c r="B356" t="s">
        <v>717</v>
      </c>
    </row>
    <row r="357" spans="1:2" x14ac:dyDescent="0.3">
      <c r="A357" t="s">
        <v>1639</v>
      </c>
      <c r="B357" t="s">
        <v>718</v>
      </c>
    </row>
    <row r="358" spans="1:2" x14ac:dyDescent="0.3">
      <c r="A358" t="s">
        <v>1640</v>
      </c>
      <c r="B358" t="s">
        <v>719</v>
      </c>
    </row>
    <row r="359" spans="1:2" x14ac:dyDescent="0.3">
      <c r="A359" t="s">
        <v>1641</v>
      </c>
      <c r="B359" t="s">
        <v>720</v>
      </c>
    </row>
    <row r="360" spans="1:2" x14ac:dyDescent="0.3">
      <c r="A360" t="s">
        <v>1642</v>
      </c>
      <c r="B360" t="s">
        <v>721</v>
      </c>
    </row>
    <row r="361" spans="1:2" x14ac:dyDescent="0.3">
      <c r="A361" t="s">
        <v>1643</v>
      </c>
      <c r="B361" t="s">
        <v>722</v>
      </c>
    </row>
    <row r="362" spans="1:2" x14ac:dyDescent="0.3">
      <c r="A362" t="s">
        <v>1644</v>
      </c>
      <c r="B362" t="s">
        <v>723</v>
      </c>
    </row>
    <row r="363" spans="1:2" x14ac:dyDescent="0.3">
      <c r="A363" t="s">
        <v>1645</v>
      </c>
      <c r="B363" t="s">
        <v>724</v>
      </c>
    </row>
    <row r="364" spans="1:2" x14ac:dyDescent="0.3">
      <c r="A364" t="s">
        <v>1646</v>
      </c>
      <c r="B364" t="s">
        <v>725</v>
      </c>
    </row>
    <row r="365" spans="1:2" x14ac:dyDescent="0.3">
      <c r="A365" t="s">
        <v>1647</v>
      </c>
      <c r="B365" t="s">
        <v>726</v>
      </c>
    </row>
    <row r="366" spans="1:2" x14ac:dyDescent="0.3">
      <c r="A366" t="s">
        <v>1648</v>
      </c>
      <c r="B366" t="s">
        <v>727</v>
      </c>
    </row>
    <row r="367" spans="1:2" x14ac:dyDescent="0.3">
      <c r="A367" t="s">
        <v>1649</v>
      </c>
      <c r="B367" t="s">
        <v>728</v>
      </c>
    </row>
    <row r="368" spans="1:2" x14ac:dyDescent="0.3">
      <c r="A368" t="s">
        <v>1650</v>
      </c>
      <c r="B368" t="s">
        <v>729</v>
      </c>
    </row>
    <row r="369" spans="1:2" x14ac:dyDescent="0.3">
      <c r="A369" t="s">
        <v>1651</v>
      </c>
      <c r="B369" t="s">
        <v>730</v>
      </c>
    </row>
    <row r="370" spans="1:2" x14ac:dyDescent="0.3">
      <c r="A370" t="s">
        <v>1652</v>
      </c>
      <c r="B370" t="s">
        <v>731</v>
      </c>
    </row>
    <row r="371" spans="1:2" x14ac:dyDescent="0.3">
      <c r="A371" t="s">
        <v>1653</v>
      </c>
      <c r="B371" t="s">
        <v>732</v>
      </c>
    </row>
    <row r="372" spans="1:2" x14ac:dyDescent="0.3">
      <c r="A372" t="s">
        <v>1654</v>
      </c>
      <c r="B372" t="s">
        <v>733</v>
      </c>
    </row>
    <row r="373" spans="1:2" x14ac:dyDescent="0.3">
      <c r="A373" t="s">
        <v>1655</v>
      </c>
      <c r="B373" t="s">
        <v>734</v>
      </c>
    </row>
    <row r="374" spans="1:2" x14ac:dyDescent="0.3">
      <c r="A374" t="s">
        <v>1656</v>
      </c>
      <c r="B374" t="s">
        <v>735</v>
      </c>
    </row>
    <row r="375" spans="1:2" x14ac:dyDescent="0.3">
      <c r="A375" t="s">
        <v>1657</v>
      </c>
      <c r="B375" t="s">
        <v>736</v>
      </c>
    </row>
    <row r="376" spans="1:2" x14ac:dyDescent="0.3">
      <c r="A376" t="s">
        <v>1658</v>
      </c>
      <c r="B376" t="s">
        <v>737</v>
      </c>
    </row>
    <row r="377" spans="1:2" x14ac:dyDescent="0.3">
      <c r="A377" t="s">
        <v>1659</v>
      </c>
      <c r="B377" t="s">
        <v>738</v>
      </c>
    </row>
    <row r="378" spans="1:2" x14ac:dyDescent="0.3">
      <c r="A378" t="s">
        <v>1660</v>
      </c>
      <c r="B378" t="s">
        <v>739</v>
      </c>
    </row>
    <row r="379" spans="1:2" x14ac:dyDescent="0.3">
      <c r="A379" t="s">
        <v>1661</v>
      </c>
      <c r="B379" t="s">
        <v>740</v>
      </c>
    </row>
    <row r="380" spans="1:2" x14ac:dyDescent="0.3">
      <c r="A380" t="s">
        <v>1662</v>
      </c>
      <c r="B380" t="s">
        <v>741</v>
      </c>
    </row>
    <row r="381" spans="1:2" x14ac:dyDescent="0.3">
      <c r="A381" t="s">
        <v>1663</v>
      </c>
      <c r="B381" t="s">
        <v>742</v>
      </c>
    </row>
    <row r="382" spans="1:2" x14ac:dyDescent="0.3">
      <c r="A382" t="s">
        <v>1664</v>
      </c>
      <c r="B382" t="s">
        <v>743</v>
      </c>
    </row>
    <row r="383" spans="1:2" x14ac:dyDescent="0.3">
      <c r="A383" t="s">
        <v>1665</v>
      </c>
      <c r="B383" t="s">
        <v>744</v>
      </c>
    </row>
    <row r="384" spans="1:2" x14ac:dyDescent="0.3">
      <c r="A384" t="s">
        <v>1666</v>
      </c>
      <c r="B384" t="s">
        <v>745</v>
      </c>
    </row>
    <row r="385" spans="1:2" x14ac:dyDescent="0.3">
      <c r="A385" t="s">
        <v>1667</v>
      </c>
      <c r="B385" t="s">
        <v>746</v>
      </c>
    </row>
    <row r="386" spans="1:2" x14ac:dyDescent="0.3">
      <c r="A386" t="s">
        <v>1668</v>
      </c>
      <c r="B386" t="s">
        <v>747</v>
      </c>
    </row>
    <row r="387" spans="1:2" x14ac:dyDescent="0.3">
      <c r="A387" t="s">
        <v>1669</v>
      </c>
      <c r="B387" t="s">
        <v>748</v>
      </c>
    </row>
    <row r="388" spans="1:2" x14ac:dyDescent="0.3">
      <c r="A388" t="s">
        <v>1670</v>
      </c>
      <c r="B388" t="s">
        <v>749</v>
      </c>
    </row>
    <row r="389" spans="1:2" x14ac:dyDescent="0.3">
      <c r="A389" t="s">
        <v>1671</v>
      </c>
      <c r="B389" t="s">
        <v>750</v>
      </c>
    </row>
    <row r="390" spans="1:2" x14ac:dyDescent="0.3">
      <c r="A390" t="s">
        <v>1672</v>
      </c>
      <c r="B390" t="s">
        <v>751</v>
      </c>
    </row>
    <row r="391" spans="1:2" x14ac:dyDescent="0.3">
      <c r="A391" t="s">
        <v>1673</v>
      </c>
      <c r="B391" t="s">
        <v>752</v>
      </c>
    </row>
    <row r="392" spans="1:2" x14ac:dyDescent="0.3">
      <c r="A392" t="s">
        <v>1674</v>
      </c>
      <c r="B392" t="s">
        <v>753</v>
      </c>
    </row>
    <row r="393" spans="1:2" x14ac:dyDescent="0.3">
      <c r="A393" t="s">
        <v>1675</v>
      </c>
      <c r="B393" t="s">
        <v>754</v>
      </c>
    </row>
    <row r="394" spans="1:2" x14ac:dyDescent="0.3">
      <c r="A394" t="s">
        <v>1676</v>
      </c>
      <c r="B394" t="s">
        <v>755</v>
      </c>
    </row>
    <row r="395" spans="1:2" x14ac:dyDescent="0.3">
      <c r="A395" t="s">
        <v>1677</v>
      </c>
      <c r="B395" t="s">
        <v>756</v>
      </c>
    </row>
    <row r="396" spans="1:2" x14ac:dyDescent="0.3">
      <c r="A396" t="s">
        <v>1678</v>
      </c>
      <c r="B396" t="s">
        <v>757</v>
      </c>
    </row>
    <row r="397" spans="1:2" x14ac:dyDescent="0.3">
      <c r="A397" t="s">
        <v>1679</v>
      </c>
      <c r="B397" t="s">
        <v>758</v>
      </c>
    </row>
    <row r="398" spans="1:2" x14ac:dyDescent="0.3">
      <c r="A398" t="s">
        <v>1680</v>
      </c>
      <c r="B398" t="s">
        <v>759</v>
      </c>
    </row>
    <row r="399" spans="1:2" x14ac:dyDescent="0.3">
      <c r="A399" t="s">
        <v>1681</v>
      </c>
      <c r="B399" t="s">
        <v>760</v>
      </c>
    </row>
    <row r="400" spans="1:2" x14ac:dyDescent="0.3">
      <c r="A400" t="s">
        <v>1682</v>
      </c>
      <c r="B400" t="s">
        <v>761</v>
      </c>
    </row>
    <row r="401" spans="1:2" x14ac:dyDescent="0.3">
      <c r="A401" t="s">
        <v>1683</v>
      </c>
      <c r="B401" t="s">
        <v>762</v>
      </c>
    </row>
    <row r="402" spans="1:2" x14ac:dyDescent="0.3">
      <c r="A402" t="s">
        <v>1684</v>
      </c>
      <c r="B402" t="s">
        <v>763</v>
      </c>
    </row>
    <row r="403" spans="1:2" x14ac:dyDescent="0.3">
      <c r="A403" t="s">
        <v>1685</v>
      </c>
      <c r="B403" t="s">
        <v>764</v>
      </c>
    </row>
    <row r="404" spans="1:2" x14ac:dyDescent="0.3">
      <c r="A404" t="s">
        <v>1686</v>
      </c>
      <c r="B404" t="s">
        <v>765</v>
      </c>
    </row>
    <row r="405" spans="1:2" x14ac:dyDescent="0.3">
      <c r="A405" t="s">
        <v>1687</v>
      </c>
      <c r="B405" t="s">
        <v>766</v>
      </c>
    </row>
    <row r="406" spans="1:2" x14ac:dyDescent="0.3">
      <c r="A406" t="s">
        <v>1688</v>
      </c>
      <c r="B406" t="s">
        <v>767</v>
      </c>
    </row>
    <row r="407" spans="1:2" x14ac:dyDescent="0.3">
      <c r="A407" t="s">
        <v>1689</v>
      </c>
      <c r="B407" t="s">
        <v>768</v>
      </c>
    </row>
    <row r="408" spans="1:2" x14ac:dyDescent="0.3">
      <c r="A408" t="s">
        <v>1690</v>
      </c>
      <c r="B408" t="s">
        <v>769</v>
      </c>
    </row>
    <row r="409" spans="1:2" x14ac:dyDescent="0.3">
      <c r="A409" t="s">
        <v>1691</v>
      </c>
      <c r="B409" t="s">
        <v>770</v>
      </c>
    </row>
    <row r="410" spans="1:2" x14ac:dyDescent="0.3">
      <c r="A410" t="s">
        <v>1692</v>
      </c>
      <c r="B410" t="s">
        <v>771</v>
      </c>
    </row>
    <row r="411" spans="1:2" x14ac:dyDescent="0.3">
      <c r="A411" t="s">
        <v>1693</v>
      </c>
      <c r="B411" t="s">
        <v>772</v>
      </c>
    </row>
    <row r="412" spans="1:2" x14ac:dyDescent="0.3">
      <c r="A412" t="s">
        <v>1694</v>
      </c>
      <c r="B412" t="s">
        <v>773</v>
      </c>
    </row>
    <row r="413" spans="1:2" x14ac:dyDescent="0.3">
      <c r="A413" t="s">
        <v>1695</v>
      </c>
      <c r="B413" t="s">
        <v>774</v>
      </c>
    </row>
    <row r="414" spans="1:2" x14ac:dyDescent="0.3">
      <c r="A414" t="s">
        <v>1696</v>
      </c>
      <c r="B414" t="s">
        <v>775</v>
      </c>
    </row>
    <row r="415" spans="1:2" x14ac:dyDescent="0.3">
      <c r="A415" t="s">
        <v>1697</v>
      </c>
      <c r="B415" t="s">
        <v>776</v>
      </c>
    </row>
    <row r="416" spans="1:2" x14ac:dyDescent="0.3">
      <c r="A416" t="s">
        <v>1698</v>
      </c>
      <c r="B416" t="s">
        <v>777</v>
      </c>
    </row>
    <row r="417" spans="1:2" x14ac:dyDescent="0.3">
      <c r="A417" t="s">
        <v>1699</v>
      </c>
      <c r="B417" t="s">
        <v>778</v>
      </c>
    </row>
    <row r="418" spans="1:2" x14ac:dyDescent="0.3">
      <c r="A418" t="s">
        <v>1700</v>
      </c>
      <c r="B418" t="s">
        <v>779</v>
      </c>
    </row>
    <row r="419" spans="1:2" x14ac:dyDescent="0.3">
      <c r="A419" t="s">
        <v>1701</v>
      </c>
      <c r="B419" t="s">
        <v>780</v>
      </c>
    </row>
    <row r="420" spans="1:2" x14ac:dyDescent="0.3">
      <c r="A420" t="s">
        <v>1702</v>
      </c>
      <c r="B420" t="s">
        <v>781</v>
      </c>
    </row>
    <row r="421" spans="1:2" x14ac:dyDescent="0.3">
      <c r="A421" t="s">
        <v>1703</v>
      </c>
      <c r="B421" t="s">
        <v>782</v>
      </c>
    </row>
    <row r="422" spans="1:2" x14ac:dyDescent="0.3">
      <c r="A422" t="s">
        <v>1704</v>
      </c>
      <c r="B422" t="s">
        <v>783</v>
      </c>
    </row>
    <row r="423" spans="1:2" x14ac:dyDescent="0.3">
      <c r="A423" t="s">
        <v>1705</v>
      </c>
      <c r="B423" t="s">
        <v>784</v>
      </c>
    </row>
    <row r="424" spans="1:2" x14ac:dyDescent="0.3">
      <c r="A424" t="s">
        <v>1706</v>
      </c>
      <c r="B424" t="s">
        <v>785</v>
      </c>
    </row>
    <row r="425" spans="1:2" x14ac:dyDescent="0.3">
      <c r="A425" t="s">
        <v>1707</v>
      </c>
      <c r="B425" t="s">
        <v>786</v>
      </c>
    </row>
    <row r="426" spans="1:2" x14ac:dyDescent="0.3">
      <c r="A426" t="s">
        <v>1708</v>
      </c>
      <c r="B426" t="s">
        <v>787</v>
      </c>
    </row>
    <row r="427" spans="1:2" x14ac:dyDescent="0.3">
      <c r="A427" t="s">
        <v>1709</v>
      </c>
      <c r="B427" t="s">
        <v>788</v>
      </c>
    </row>
    <row r="428" spans="1:2" x14ac:dyDescent="0.3">
      <c r="A428" t="s">
        <v>1710</v>
      </c>
      <c r="B428" t="s">
        <v>789</v>
      </c>
    </row>
    <row r="429" spans="1:2" x14ac:dyDescent="0.3">
      <c r="A429" t="s">
        <v>1711</v>
      </c>
      <c r="B429" t="s">
        <v>790</v>
      </c>
    </row>
    <row r="430" spans="1:2" x14ac:dyDescent="0.3">
      <c r="A430" t="s">
        <v>1712</v>
      </c>
      <c r="B430" t="s">
        <v>791</v>
      </c>
    </row>
    <row r="431" spans="1:2" x14ac:dyDescent="0.3">
      <c r="A431" t="s">
        <v>1713</v>
      </c>
      <c r="B431" t="s">
        <v>792</v>
      </c>
    </row>
    <row r="432" spans="1:2" x14ac:dyDescent="0.3">
      <c r="A432" t="s">
        <v>1714</v>
      </c>
      <c r="B432" t="s">
        <v>793</v>
      </c>
    </row>
    <row r="433" spans="1:2" x14ac:dyDescent="0.3">
      <c r="A433" t="s">
        <v>1715</v>
      </c>
      <c r="B433" t="s">
        <v>794</v>
      </c>
    </row>
    <row r="434" spans="1:2" x14ac:dyDescent="0.3">
      <c r="A434" t="s">
        <v>1716</v>
      </c>
      <c r="B434" t="s">
        <v>795</v>
      </c>
    </row>
    <row r="435" spans="1:2" x14ac:dyDescent="0.3">
      <c r="A435" t="s">
        <v>1717</v>
      </c>
      <c r="B435" t="s">
        <v>796</v>
      </c>
    </row>
    <row r="436" spans="1:2" x14ac:dyDescent="0.3">
      <c r="A436" t="s">
        <v>1718</v>
      </c>
      <c r="B436" t="s">
        <v>797</v>
      </c>
    </row>
    <row r="437" spans="1:2" x14ac:dyDescent="0.3">
      <c r="A437" t="s">
        <v>1719</v>
      </c>
      <c r="B437" t="s">
        <v>798</v>
      </c>
    </row>
    <row r="438" spans="1:2" x14ac:dyDescent="0.3">
      <c r="A438" t="s">
        <v>1720</v>
      </c>
      <c r="B438" t="s">
        <v>799</v>
      </c>
    </row>
    <row r="439" spans="1:2" x14ac:dyDescent="0.3">
      <c r="A439" t="s">
        <v>1721</v>
      </c>
      <c r="B439" t="s">
        <v>800</v>
      </c>
    </row>
    <row r="440" spans="1:2" x14ac:dyDescent="0.3">
      <c r="A440" t="s">
        <v>1722</v>
      </c>
      <c r="B440" t="s">
        <v>801</v>
      </c>
    </row>
    <row r="441" spans="1:2" x14ac:dyDescent="0.3">
      <c r="A441" t="s">
        <v>1723</v>
      </c>
      <c r="B441" t="s">
        <v>802</v>
      </c>
    </row>
    <row r="442" spans="1:2" x14ac:dyDescent="0.3">
      <c r="A442" t="s">
        <v>1724</v>
      </c>
      <c r="B442" t="s">
        <v>803</v>
      </c>
    </row>
    <row r="443" spans="1:2" x14ac:dyDescent="0.3">
      <c r="A443" t="s">
        <v>1725</v>
      </c>
      <c r="B443" t="s">
        <v>804</v>
      </c>
    </row>
    <row r="444" spans="1:2" x14ac:dyDescent="0.3">
      <c r="A444" t="s">
        <v>1726</v>
      </c>
      <c r="B444" t="s">
        <v>805</v>
      </c>
    </row>
    <row r="445" spans="1:2" x14ac:dyDescent="0.3">
      <c r="A445" t="s">
        <v>1727</v>
      </c>
      <c r="B445" t="s">
        <v>806</v>
      </c>
    </row>
    <row r="446" spans="1:2" x14ac:dyDescent="0.3">
      <c r="A446" t="s">
        <v>1728</v>
      </c>
      <c r="B446" t="s">
        <v>807</v>
      </c>
    </row>
    <row r="447" spans="1:2" x14ac:dyDescent="0.3">
      <c r="A447" t="s">
        <v>1729</v>
      </c>
      <c r="B447" t="s">
        <v>808</v>
      </c>
    </row>
    <row r="448" spans="1:2" x14ac:dyDescent="0.3">
      <c r="A448" t="s">
        <v>1730</v>
      </c>
      <c r="B448" t="s">
        <v>809</v>
      </c>
    </row>
    <row r="449" spans="1:2" x14ac:dyDescent="0.3">
      <c r="A449" t="s">
        <v>1731</v>
      </c>
      <c r="B449" t="s">
        <v>810</v>
      </c>
    </row>
    <row r="450" spans="1:2" x14ac:dyDescent="0.3">
      <c r="A450" t="s">
        <v>1732</v>
      </c>
      <c r="B450" t="s">
        <v>811</v>
      </c>
    </row>
    <row r="451" spans="1:2" x14ac:dyDescent="0.3">
      <c r="A451" t="s">
        <v>1733</v>
      </c>
      <c r="B451" t="s">
        <v>812</v>
      </c>
    </row>
    <row r="452" spans="1:2" x14ac:dyDescent="0.3">
      <c r="A452" t="s">
        <v>1734</v>
      </c>
      <c r="B452" t="s">
        <v>813</v>
      </c>
    </row>
    <row r="453" spans="1:2" x14ac:dyDescent="0.3">
      <c r="A453" t="s">
        <v>1735</v>
      </c>
      <c r="B453" t="s">
        <v>814</v>
      </c>
    </row>
    <row r="454" spans="1:2" x14ac:dyDescent="0.3">
      <c r="A454" t="s">
        <v>1736</v>
      </c>
      <c r="B454" t="s">
        <v>815</v>
      </c>
    </row>
    <row r="455" spans="1:2" x14ac:dyDescent="0.3">
      <c r="A455" t="s">
        <v>1737</v>
      </c>
      <c r="B455" t="s">
        <v>816</v>
      </c>
    </row>
    <row r="456" spans="1:2" x14ac:dyDescent="0.3">
      <c r="A456" t="s">
        <v>1738</v>
      </c>
      <c r="B456" t="s">
        <v>817</v>
      </c>
    </row>
    <row r="457" spans="1:2" x14ac:dyDescent="0.3">
      <c r="A457" t="s">
        <v>1739</v>
      </c>
      <c r="B457" t="s">
        <v>818</v>
      </c>
    </row>
    <row r="458" spans="1:2" x14ac:dyDescent="0.3">
      <c r="A458" t="s">
        <v>1740</v>
      </c>
      <c r="B458" t="s">
        <v>819</v>
      </c>
    </row>
    <row r="459" spans="1:2" x14ac:dyDescent="0.3">
      <c r="A459" t="s">
        <v>1741</v>
      </c>
      <c r="B459" t="s">
        <v>820</v>
      </c>
    </row>
    <row r="460" spans="1:2" x14ac:dyDescent="0.3">
      <c r="A460" t="s">
        <v>1742</v>
      </c>
      <c r="B460" t="s">
        <v>821</v>
      </c>
    </row>
    <row r="461" spans="1:2" x14ac:dyDescent="0.3">
      <c r="A461" t="s">
        <v>1743</v>
      </c>
      <c r="B461" t="s">
        <v>822</v>
      </c>
    </row>
    <row r="462" spans="1:2" x14ac:dyDescent="0.3">
      <c r="A462" t="s">
        <v>1744</v>
      </c>
      <c r="B462" t="s">
        <v>823</v>
      </c>
    </row>
    <row r="463" spans="1:2" x14ac:dyDescent="0.3">
      <c r="A463" t="s">
        <v>1745</v>
      </c>
      <c r="B463" t="s">
        <v>824</v>
      </c>
    </row>
    <row r="464" spans="1:2" x14ac:dyDescent="0.3">
      <c r="A464" t="s">
        <v>1746</v>
      </c>
      <c r="B464" t="s">
        <v>825</v>
      </c>
    </row>
    <row r="465" spans="1:2" x14ac:dyDescent="0.3">
      <c r="A465" t="s">
        <v>1747</v>
      </c>
      <c r="B465" t="s">
        <v>826</v>
      </c>
    </row>
    <row r="466" spans="1:2" x14ac:dyDescent="0.3">
      <c r="A466" t="s">
        <v>1748</v>
      </c>
      <c r="B466" t="s">
        <v>827</v>
      </c>
    </row>
    <row r="467" spans="1:2" x14ac:dyDescent="0.3">
      <c r="A467" t="s">
        <v>1749</v>
      </c>
      <c r="B467" t="s">
        <v>828</v>
      </c>
    </row>
    <row r="468" spans="1:2" x14ac:dyDescent="0.3">
      <c r="A468" t="s">
        <v>1750</v>
      </c>
      <c r="B468" t="s">
        <v>829</v>
      </c>
    </row>
    <row r="469" spans="1:2" x14ac:dyDescent="0.3">
      <c r="A469" t="s">
        <v>1751</v>
      </c>
      <c r="B469" t="s">
        <v>830</v>
      </c>
    </row>
    <row r="470" spans="1:2" x14ac:dyDescent="0.3">
      <c r="A470" t="s">
        <v>1752</v>
      </c>
      <c r="B470" t="s">
        <v>831</v>
      </c>
    </row>
    <row r="471" spans="1:2" x14ac:dyDescent="0.3">
      <c r="A471" t="s">
        <v>1753</v>
      </c>
      <c r="B471" t="s">
        <v>832</v>
      </c>
    </row>
    <row r="472" spans="1:2" x14ac:dyDescent="0.3">
      <c r="A472" t="s">
        <v>1754</v>
      </c>
      <c r="B472" t="s">
        <v>833</v>
      </c>
    </row>
    <row r="473" spans="1:2" x14ac:dyDescent="0.3">
      <c r="A473" t="s">
        <v>1755</v>
      </c>
      <c r="B473" t="s">
        <v>834</v>
      </c>
    </row>
    <row r="474" spans="1:2" x14ac:dyDescent="0.3">
      <c r="A474" t="s">
        <v>1756</v>
      </c>
      <c r="B474" t="s">
        <v>835</v>
      </c>
    </row>
    <row r="475" spans="1:2" x14ac:dyDescent="0.3">
      <c r="A475" t="s">
        <v>1757</v>
      </c>
      <c r="B475" t="s">
        <v>836</v>
      </c>
    </row>
    <row r="476" spans="1:2" x14ac:dyDescent="0.3">
      <c r="A476" t="s">
        <v>1758</v>
      </c>
      <c r="B476" t="s">
        <v>837</v>
      </c>
    </row>
    <row r="477" spans="1:2" x14ac:dyDescent="0.3">
      <c r="A477" t="s">
        <v>1759</v>
      </c>
      <c r="B477" t="s">
        <v>838</v>
      </c>
    </row>
    <row r="478" spans="1:2" x14ac:dyDescent="0.3">
      <c r="A478" t="s">
        <v>1760</v>
      </c>
      <c r="B478" t="s">
        <v>839</v>
      </c>
    </row>
    <row r="479" spans="1:2" x14ac:dyDescent="0.3">
      <c r="A479" t="s">
        <v>1761</v>
      </c>
      <c r="B479" t="s">
        <v>840</v>
      </c>
    </row>
    <row r="480" spans="1:2" x14ac:dyDescent="0.3">
      <c r="A480" t="s">
        <v>1762</v>
      </c>
      <c r="B480" t="s">
        <v>841</v>
      </c>
    </row>
    <row r="481" spans="1:2" x14ac:dyDescent="0.3">
      <c r="A481" t="s">
        <v>1763</v>
      </c>
      <c r="B481" t="s">
        <v>842</v>
      </c>
    </row>
    <row r="482" spans="1:2" x14ac:dyDescent="0.3">
      <c r="A482" t="s">
        <v>1764</v>
      </c>
      <c r="B482" t="s">
        <v>843</v>
      </c>
    </row>
    <row r="483" spans="1:2" x14ac:dyDescent="0.3">
      <c r="A483" t="s">
        <v>1765</v>
      </c>
      <c r="B483" t="s">
        <v>844</v>
      </c>
    </row>
    <row r="484" spans="1:2" x14ac:dyDescent="0.3">
      <c r="A484" t="s">
        <v>1766</v>
      </c>
      <c r="B484" t="s">
        <v>845</v>
      </c>
    </row>
    <row r="485" spans="1:2" x14ac:dyDescent="0.3">
      <c r="A485" t="s">
        <v>1767</v>
      </c>
      <c r="B485" t="s">
        <v>846</v>
      </c>
    </row>
    <row r="486" spans="1:2" x14ac:dyDescent="0.3">
      <c r="A486" t="s">
        <v>1768</v>
      </c>
      <c r="B486" t="s">
        <v>847</v>
      </c>
    </row>
    <row r="487" spans="1:2" x14ac:dyDescent="0.3">
      <c r="A487" t="s">
        <v>1769</v>
      </c>
      <c r="B487" t="s">
        <v>848</v>
      </c>
    </row>
    <row r="488" spans="1:2" x14ac:dyDescent="0.3">
      <c r="A488" t="s">
        <v>1770</v>
      </c>
      <c r="B488" t="s">
        <v>849</v>
      </c>
    </row>
    <row r="489" spans="1:2" x14ac:dyDescent="0.3">
      <c r="A489" t="s">
        <v>1771</v>
      </c>
      <c r="B489" t="s">
        <v>850</v>
      </c>
    </row>
    <row r="490" spans="1:2" x14ac:dyDescent="0.3">
      <c r="A490" t="s">
        <v>1772</v>
      </c>
      <c r="B490" t="s">
        <v>851</v>
      </c>
    </row>
    <row r="491" spans="1:2" x14ac:dyDescent="0.3">
      <c r="A491" t="s">
        <v>1773</v>
      </c>
      <c r="B491" t="s">
        <v>852</v>
      </c>
    </row>
    <row r="492" spans="1:2" x14ac:dyDescent="0.3">
      <c r="A492" t="s">
        <v>1774</v>
      </c>
      <c r="B492" t="s">
        <v>853</v>
      </c>
    </row>
    <row r="493" spans="1:2" x14ac:dyDescent="0.3">
      <c r="A493" t="s">
        <v>1775</v>
      </c>
      <c r="B493" t="s">
        <v>854</v>
      </c>
    </row>
    <row r="494" spans="1:2" x14ac:dyDescent="0.3">
      <c r="A494" t="s">
        <v>1776</v>
      </c>
      <c r="B494" t="s">
        <v>855</v>
      </c>
    </row>
    <row r="495" spans="1:2" x14ac:dyDescent="0.3">
      <c r="A495" t="s">
        <v>1777</v>
      </c>
      <c r="B495" t="s">
        <v>856</v>
      </c>
    </row>
    <row r="496" spans="1:2" x14ac:dyDescent="0.3">
      <c r="A496" t="s">
        <v>1778</v>
      </c>
      <c r="B496" t="s">
        <v>857</v>
      </c>
    </row>
    <row r="497" spans="1:2" x14ac:dyDescent="0.3">
      <c r="A497" t="s">
        <v>1779</v>
      </c>
      <c r="B497" t="s">
        <v>858</v>
      </c>
    </row>
    <row r="498" spans="1:2" x14ac:dyDescent="0.3">
      <c r="A498" t="s">
        <v>1780</v>
      </c>
      <c r="B498" t="s">
        <v>859</v>
      </c>
    </row>
    <row r="499" spans="1:2" x14ac:dyDescent="0.3">
      <c r="A499" t="s">
        <v>1781</v>
      </c>
      <c r="B499" t="s">
        <v>860</v>
      </c>
    </row>
    <row r="500" spans="1:2" x14ac:dyDescent="0.3">
      <c r="A500" t="s">
        <v>1782</v>
      </c>
      <c r="B500" t="s">
        <v>861</v>
      </c>
    </row>
    <row r="501" spans="1:2" x14ac:dyDescent="0.3">
      <c r="A501" t="s">
        <v>1783</v>
      </c>
      <c r="B501" t="s">
        <v>862</v>
      </c>
    </row>
    <row r="502" spans="1:2" x14ac:dyDescent="0.3">
      <c r="A502" t="s">
        <v>1784</v>
      </c>
      <c r="B502" t="s">
        <v>863</v>
      </c>
    </row>
    <row r="503" spans="1:2" x14ac:dyDescent="0.3">
      <c r="A503" t="s">
        <v>1785</v>
      </c>
      <c r="B503" t="s">
        <v>864</v>
      </c>
    </row>
    <row r="504" spans="1:2" x14ac:dyDescent="0.3">
      <c r="A504" t="s">
        <v>1786</v>
      </c>
      <c r="B504" t="s">
        <v>865</v>
      </c>
    </row>
    <row r="505" spans="1:2" x14ac:dyDescent="0.3">
      <c r="A505" t="s">
        <v>1787</v>
      </c>
      <c r="B505" t="s">
        <v>866</v>
      </c>
    </row>
    <row r="506" spans="1:2" x14ac:dyDescent="0.3">
      <c r="A506" t="s">
        <v>1788</v>
      </c>
      <c r="B506" t="s">
        <v>867</v>
      </c>
    </row>
    <row r="507" spans="1:2" x14ac:dyDescent="0.3">
      <c r="A507" t="s">
        <v>1789</v>
      </c>
      <c r="B507" t="s">
        <v>868</v>
      </c>
    </row>
    <row r="508" spans="1:2" x14ac:dyDescent="0.3">
      <c r="A508" t="s">
        <v>1790</v>
      </c>
      <c r="B508" t="s">
        <v>869</v>
      </c>
    </row>
    <row r="509" spans="1:2" x14ac:dyDescent="0.3">
      <c r="A509" t="s">
        <v>1791</v>
      </c>
      <c r="B509" t="s">
        <v>870</v>
      </c>
    </row>
    <row r="510" spans="1:2" x14ac:dyDescent="0.3">
      <c r="A510" t="s">
        <v>1792</v>
      </c>
      <c r="B510" t="s">
        <v>871</v>
      </c>
    </row>
    <row r="511" spans="1:2" x14ac:dyDescent="0.3">
      <c r="A511" t="s">
        <v>1793</v>
      </c>
      <c r="B511" t="s">
        <v>872</v>
      </c>
    </row>
    <row r="512" spans="1:2" x14ac:dyDescent="0.3">
      <c r="A512" t="s">
        <v>1794</v>
      </c>
      <c r="B512" t="s">
        <v>873</v>
      </c>
    </row>
    <row r="513" spans="1:2" x14ac:dyDescent="0.3">
      <c r="A513" t="s">
        <v>1795</v>
      </c>
      <c r="B513" t="s">
        <v>874</v>
      </c>
    </row>
    <row r="514" spans="1:2" x14ac:dyDescent="0.3">
      <c r="A514" t="s">
        <v>1796</v>
      </c>
      <c r="B514" t="s">
        <v>875</v>
      </c>
    </row>
    <row r="515" spans="1:2" x14ac:dyDescent="0.3">
      <c r="A515" t="s">
        <v>1797</v>
      </c>
      <c r="B515" t="s">
        <v>876</v>
      </c>
    </row>
    <row r="516" spans="1:2" x14ac:dyDescent="0.3">
      <c r="A516" t="s">
        <v>1798</v>
      </c>
      <c r="B516" t="s">
        <v>877</v>
      </c>
    </row>
    <row r="517" spans="1:2" x14ac:dyDescent="0.3">
      <c r="A517" t="s">
        <v>1799</v>
      </c>
      <c r="B517" t="s">
        <v>878</v>
      </c>
    </row>
    <row r="518" spans="1:2" x14ac:dyDescent="0.3">
      <c r="A518" t="s">
        <v>1800</v>
      </c>
      <c r="B518" t="s">
        <v>879</v>
      </c>
    </row>
    <row r="519" spans="1:2" x14ac:dyDescent="0.3">
      <c r="A519" t="s">
        <v>1801</v>
      </c>
      <c r="B519" t="s">
        <v>880</v>
      </c>
    </row>
    <row r="520" spans="1:2" x14ac:dyDescent="0.3">
      <c r="A520" t="s">
        <v>1802</v>
      </c>
      <c r="B520" t="s">
        <v>881</v>
      </c>
    </row>
    <row r="521" spans="1:2" x14ac:dyDescent="0.3">
      <c r="A521" t="s">
        <v>1803</v>
      </c>
      <c r="B521" t="s">
        <v>882</v>
      </c>
    </row>
    <row r="522" spans="1:2" x14ac:dyDescent="0.3">
      <c r="A522" t="s">
        <v>1804</v>
      </c>
      <c r="B522" t="s">
        <v>883</v>
      </c>
    </row>
    <row r="523" spans="1:2" x14ac:dyDescent="0.3">
      <c r="A523" t="s">
        <v>1805</v>
      </c>
      <c r="B523" t="s">
        <v>884</v>
      </c>
    </row>
    <row r="524" spans="1:2" x14ac:dyDescent="0.3">
      <c r="A524" t="s">
        <v>1806</v>
      </c>
      <c r="B524" t="s">
        <v>885</v>
      </c>
    </row>
    <row r="525" spans="1:2" x14ac:dyDescent="0.3">
      <c r="A525" t="s">
        <v>1807</v>
      </c>
      <c r="B525" t="s">
        <v>886</v>
      </c>
    </row>
    <row r="526" spans="1:2" x14ac:dyDescent="0.3">
      <c r="A526" t="s">
        <v>1808</v>
      </c>
      <c r="B526" t="s">
        <v>887</v>
      </c>
    </row>
    <row r="527" spans="1:2" x14ac:dyDescent="0.3">
      <c r="A527" t="s">
        <v>1809</v>
      </c>
      <c r="B527" t="s">
        <v>888</v>
      </c>
    </row>
    <row r="528" spans="1:2" x14ac:dyDescent="0.3">
      <c r="A528" t="s">
        <v>1810</v>
      </c>
      <c r="B528" t="s">
        <v>889</v>
      </c>
    </row>
    <row r="529" spans="1:2" x14ac:dyDescent="0.3">
      <c r="A529" t="s">
        <v>1811</v>
      </c>
      <c r="B529" t="s">
        <v>890</v>
      </c>
    </row>
    <row r="530" spans="1:2" x14ac:dyDescent="0.3">
      <c r="A530" t="s">
        <v>1812</v>
      </c>
      <c r="B530" t="s">
        <v>891</v>
      </c>
    </row>
    <row r="531" spans="1:2" x14ac:dyDescent="0.3">
      <c r="A531" t="s">
        <v>1813</v>
      </c>
      <c r="B531" t="s">
        <v>892</v>
      </c>
    </row>
    <row r="532" spans="1:2" x14ac:dyDescent="0.3">
      <c r="A532" t="s">
        <v>1814</v>
      </c>
      <c r="B532" t="s">
        <v>893</v>
      </c>
    </row>
    <row r="533" spans="1:2" x14ac:dyDescent="0.3">
      <c r="A533" t="s">
        <v>1815</v>
      </c>
      <c r="B533" t="s">
        <v>894</v>
      </c>
    </row>
    <row r="534" spans="1:2" x14ac:dyDescent="0.3">
      <c r="A534" t="s">
        <v>1816</v>
      </c>
      <c r="B534" t="s">
        <v>895</v>
      </c>
    </row>
    <row r="535" spans="1:2" x14ac:dyDescent="0.3">
      <c r="A535" t="s">
        <v>1817</v>
      </c>
      <c r="B535" t="s">
        <v>896</v>
      </c>
    </row>
    <row r="536" spans="1:2" x14ac:dyDescent="0.3">
      <c r="A536" t="s">
        <v>1818</v>
      </c>
      <c r="B536" t="s">
        <v>897</v>
      </c>
    </row>
    <row r="537" spans="1:2" x14ac:dyDescent="0.3">
      <c r="A537" t="s">
        <v>1819</v>
      </c>
      <c r="B537" t="s">
        <v>898</v>
      </c>
    </row>
    <row r="538" spans="1:2" x14ac:dyDescent="0.3">
      <c r="A538" t="s">
        <v>1820</v>
      </c>
      <c r="B538" t="s">
        <v>899</v>
      </c>
    </row>
    <row r="539" spans="1:2" x14ac:dyDescent="0.3">
      <c r="A539" t="s">
        <v>1821</v>
      </c>
      <c r="B539" t="s">
        <v>900</v>
      </c>
    </row>
    <row r="540" spans="1:2" x14ac:dyDescent="0.3">
      <c r="A540" t="s">
        <v>1822</v>
      </c>
      <c r="B540" t="s">
        <v>901</v>
      </c>
    </row>
    <row r="541" spans="1:2" x14ac:dyDescent="0.3">
      <c r="A541" t="s">
        <v>1823</v>
      </c>
      <c r="B541" t="s">
        <v>902</v>
      </c>
    </row>
    <row r="542" spans="1:2" x14ac:dyDescent="0.3">
      <c r="A542" t="s">
        <v>1824</v>
      </c>
      <c r="B542" t="s">
        <v>903</v>
      </c>
    </row>
    <row r="543" spans="1:2" x14ac:dyDescent="0.3">
      <c r="A543" t="s">
        <v>1825</v>
      </c>
      <c r="B543" t="s">
        <v>904</v>
      </c>
    </row>
    <row r="544" spans="1:2" x14ac:dyDescent="0.3">
      <c r="A544" t="s">
        <v>1826</v>
      </c>
      <c r="B544" t="s">
        <v>905</v>
      </c>
    </row>
    <row r="545" spans="1:2" x14ac:dyDescent="0.3">
      <c r="A545" t="s">
        <v>1827</v>
      </c>
      <c r="B545" t="s">
        <v>906</v>
      </c>
    </row>
    <row r="546" spans="1:2" x14ac:dyDescent="0.3">
      <c r="A546" t="s">
        <v>1828</v>
      </c>
      <c r="B546" t="s">
        <v>907</v>
      </c>
    </row>
    <row r="547" spans="1:2" x14ac:dyDescent="0.3">
      <c r="A547" t="s">
        <v>1829</v>
      </c>
      <c r="B547" t="s">
        <v>908</v>
      </c>
    </row>
    <row r="548" spans="1:2" x14ac:dyDescent="0.3">
      <c r="A548" t="s">
        <v>1830</v>
      </c>
      <c r="B548" t="s">
        <v>909</v>
      </c>
    </row>
    <row r="549" spans="1:2" x14ac:dyDescent="0.3">
      <c r="A549" t="s">
        <v>1831</v>
      </c>
      <c r="B549" t="s">
        <v>910</v>
      </c>
    </row>
    <row r="550" spans="1:2" x14ac:dyDescent="0.3">
      <c r="A550" t="s">
        <v>1832</v>
      </c>
      <c r="B550" t="s">
        <v>911</v>
      </c>
    </row>
    <row r="551" spans="1:2" x14ac:dyDescent="0.3">
      <c r="A551" t="s">
        <v>1833</v>
      </c>
      <c r="B551" t="s">
        <v>912</v>
      </c>
    </row>
    <row r="552" spans="1:2" x14ac:dyDescent="0.3">
      <c r="A552" t="s">
        <v>1834</v>
      </c>
      <c r="B552" t="s">
        <v>913</v>
      </c>
    </row>
    <row r="553" spans="1:2" x14ac:dyDescent="0.3">
      <c r="A553" t="s">
        <v>1835</v>
      </c>
      <c r="B553" t="s">
        <v>914</v>
      </c>
    </row>
    <row r="554" spans="1:2" x14ac:dyDescent="0.3">
      <c r="A554" t="s">
        <v>1836</v>
      </c>
      <c r="B554" t="s">
        <v>915</v>
      </c>
    </row>
    <row r="555" spans="1:2" x14ac:dyDescent="0.3">
      <c r="A555" t="s">
        <v>1837</v>
      </c>
      <c r="B555" t="s">
        <v>916</v>
      </c>
    </row>
    <row r="556" spans="1:2" x14ac:dyDescent="0.3">
      <c r="A556" t="s">
        <v>1838</v>
      </c>
      <c r="B556" t="s">
        <v>917</v>
      </c>
    </row>
    <row r="557" spans="1:2" x14ac:dyDescent="0.3">
      <c r="A557" t="s">
        <v>1839</v>
      </c>
      <c r="B557" t="s">
        <v>918</v>
      </c>
    </row>
    <row r="558" spans="1:2" x14ac:dyDescent="0.3">
      <c r="A558" t="s">
        <v>1840</v>
      </c>
      <c r="B558" t="s">
        <v>919</v>
      </c>
    </row>
    <row r="559" spans="1:2" x14ac:dyDescent="0.3">
      <c r="A559" t="s">
        <v>1841</v>
      </c>
      <c r="B559" t="s">
        <v>920</v>
      </c>
    </row>
    <row r="560" spans="1:2" x14ac:dyDescent="0.3">
      <c r="A560" t="s">
        <v>1842</v>
      </c>
      <c r="B560" t="s">
        <v>921</v>
      </c>
    </row>
    <row r="561" spans="1:2" x14ac:dyDescent="0.3">
      <c r="A561" t="s">
        <v>1843</v>
      </c>
      <c r="B561" t="s">
        <v>922</v>
      </c>
    </row>
    <row r="562" spans="1:2" x14ac:dyDescent="0.3">
      <c r="A562" t="s">
        <v>1844</v>
      </c>
      <c r="B562" t="s">
        <v>923</v>
      </c>
    </row>
    <row r="563" spans="1:2" x14ac:dyDescent="0.3">
      <c r="A563" t="s">
        <v>1845</v>
      </c>
      <c r="B563" t="s">
        <v>924</v>
      </c>
    </row>
    <row r="564" spans="1:2" x14ac:dyDescent="0.3">
      <c r="A564" t="s">
        <v>1846</v>
      </c>
      <c r="B564" t="s">
        <v>925</v>
      </c>
    </row>
    <row r="565" spans="1:2" x14ac:dyDescent="0.3">
      <c r="A565" t="s">
        <v>1847</v>
      </c>
      <c r="B565" t="s">
        <v>926</v>
      </c>
    </row>
    <row r="566" spans="1:2" x14ac:dyDescent="0.3">
      <c r="A566" t="s">
        <v>1848</v>
      </c>
      <c r="B566" t="s">
        <v>927</v>
      </c>
    </row>
    <row r="567" spans="1:2" x14ac:dyDescent="0.3">
      <c r="A567" t="s">
        <v>1849</v>
      </c>
      <c r="B567" t="s">
        <v>928</v>
      </c>
    </row>
    <row r="568" spans="1:2" x14ac:dyDescent="0.3">
      <c r="A568" t="s">
        <v>1850</v>
      </c>
      <c r="B568" t="s">
        <v>929</v>
      </c>
    </row>
    <row r="569" spans="1:2" x14ac:dyDescent="0.3">
      <c r="A569" t="s">
        <v>1851</v>
      </c>
      <c r="B569" t="s">
        <v>930</v>
      </c>
    </row>
    <row r="570" spans="1:2" x14ac:dyDescent="0.3">
      <c r="A570" t="s">
        <v>1852</v>
      </c>
      <c r="B570" t="s">
        <v>931</v>
      </c>
    </row>
    <row r="571" spans="1:2" x14ac:dyDescent="0.3">
      <c r="A571" t="s">
        <v>1853</v>
      </c>
      <c r="B571" t="s">
        <v>932</v>
      </c>
    </row>
    <row r="572" spans="1:2" x14ac:dyDescent="0.3">
      <c r="A572" t="s">
        <v>1854</v>
      </c>
      <c r="B572" t="s">
        <v>933</v>
      </c>
    </row>
    <row r="573" spans="1:2" x14ac:dyDescent="0.3">
      <c r="A573" t="s">
        <v>1855</v>
      </c>
      <c r="B573" t="s">
        <v>934</v>
      </c>
    </row>
    <row r="574" spans="1:2" x14ac:dyDescent="0.3">
      <c r="A574" t="s">
        <v>1856</v>
      </c>
      <c r="B574" t="s">
        <v>935</v>
      </c>
    </row>
    <row r="575" spans="1:2" x14ac:dyDescent="0.3">
      <c r="A575" t="s">
        <v>1857</v>
      </c>
      <c r="B575" t="s">
        <v>936</v>
      </c>
    </row>
    <row r="576" spans="1:2" x14ac:dyDescent="0.3">
      <c r="A576" t="s">
        <v>1858</v>
      </c>
      <c r="B576" t="s">
        <v>937</v>
      </c>
    </row>
    <row r="577" spans="1:2" x14ac:dyDescent="0.3">
      <c r="A577" t="s">
        <v>1859</v>
      </c>
      <c r="B577" t="s">
        <v>938</v>
      </c>
    </row>
    <row r="578" spans="1:2" x14ac:dyDescent="0.3">
      <c r="A578" t="s">
        <v>1860</v>
      </c>
      <c r="B578" t="s">
        <v>939</v>
      </c>
    </row>
    <row r="579" spans="1:2" x14ac:dyDescent="0.3">
      <c r="A579" t="s">
        <v>1861</v>
      </c>
      <c r="B579" t="s">
        <v>940</v>
      </c>
    </row>
    <row r="580" spans="1:2" x14ac:dyDescent="0.3">
      <c r="A580" t="s">
        <v>1862</v>
      </c>
      <c r="B580" t="s">
        <v>941</v>
      </c>
    </row>
    <row r="581" spans="1:2" x14ac:dyDescent="0.3">
      <c r="A581" t="s">
        <v>1863</v>
      </c>
      <c r="B581" t="s">
        <v>942</v>
      </c>
    </row>
    <row r="582" spans="1:2" x14ac:dyDescent="0.3">
      <c r="A582" t="s">
        <v>1864</v>
      </c>
      <c r="B582" t="s">
        <v>943</v>
      </c>
    </row>
    <row r="583" spans="1:2" x14ac:dyDescent="0.3">
      <c r="A583" t="s">
        <v>1865</v>
      </c>
      <c r="B583" t="s">
        <v>944</v>
      </c>
    </row>
    <row r="584" spans="1:2" x14ac:dyDescent="0.3">
      <c r="A584" t="s">
        <v>1866</v>
      </c>
      <c r="B584" t="s">
        <v>945</v>
      </c>
    </row>
    <row r="585" spans="1:2" x14ac:dyDescent="0.3">
      <c r="A585" t="s">
        <v>1867</v>
      </c>
      <c r="B585" t="s">
        <v>946</v>
      </c>
    </row>
    <row r="586" spans="1:2" x14ac:dyDescent="0.3">
      <c r="A586" t="s">
        <v>1868</v>
      </c>
      <c r="B586" t="s">
        <v>947</v>
      </c>
    </row>
    <row r="587" spans="1:2" x14ac:dyDescent="0.3">
      <c r="A587" t="s">
        <v>1869</v>
      </c>
      <c r="B587" t="s">
        <v>948</v>
      </c>
    </row>
    <row r="588" spans="1:2" x14ac:dyDescent="0.3">
      <c r="A588" t="s">
        <v>1870</v>
      </c>
      <c r="B588" t="s">
        <v>949</v>
      </c>
    </row>
    <row r="589" spans="1:2" x14ac:dyDescent="0.3">
      <c r="A589" t="s">
        <v>1871</v>
      </c>
      <c r="B589" t="s">
        <v>950</v>
      </c>
    </row>
    <row r="590" spans="1:2" x14ac:dyDescent="0.3">
      <c r="A590" t="s">
        <v>1872</v>
      </c>
      <c r="B590" t="s">
        <v>951</v>
      </c>
    </row>
    <row r="591" spans="1:2" x14ac:dyDescent="0.3">
      <c r="A591" t="s">
        <v>1873</v>
      </c>
      <c r="B591" t="s">
        <v>952</v>
      </c>
    </row>
    <row r="592" spans="1:2" x14ac:dyDescent="0.3">
      <c r="A592" t="s">
        <v>1874</v>
      </c>
      <c r="B592" t="s">
        <v>953</v>
      </c>
    </row>
    <row r="593" spans="1:2" x14ac:dyDescent="0.3">
      <c r="A593" t="s">
        <v>1875</v>
      </c>
      <c r="B593" t="s">
        <v>954</v>
      </c>
    </row>
    <row r="594" spans="1:2" x14ac:dyDescent="0.3">
      <c r="A594" t="s">
        <v>1876</v>
      </c>
      <c r="B594" t="s">
        <v>955</v>
      </c>
    </row>
    <row r="595" spans="1:2" x14ac:dyDescent="0.3">
      <c r="A595" t="s">
        <v>1877</v>
      </c>
      <c r="B595" t="s">
        <v>956</v>
      </c>
    </row>
    <row r="596" spans="1:2" x14ac:dyDescent="0.3">
      <c r="A596" t="s">
        <v>1878</v>
      </c>
      <c r="B596" t="s">
        <v>957</v>
      </c>
    </row>
    <row r="597" spans="1:2" x14ac:dyDescent="0.3">
      <c r="A597" t="s">
        <v>1879</v>
      </c>
      <c r="B597" t="s">
        <v>958</v>
      </c>
    </row>
    <row r="598" spans="1:2" x14ac:dyDescent="0.3">
      <c r="A598" t="s">
        <v>1880</v>
      </c>
      <c r="B598" t="s">
        <v>959</v>
      </c>
    </row>
    <row r="599" spans="1:2" x14ac:dyDescent="0.3">
      <c r="A599" t="s">
        <v>1881</v>
      </c>
      <c r="B599" t="s">
        <v>960</v>
      </c>
    </row>
    <row r="600" spans="1:2" x14ac:dyDescent="0.3">
      <c r="A600" t="s">
        <v>1882</v>
      </c>
      <c r="B600" t="s">
        <v>961</v>
      </c>
    </row>
    <row r="601" spans="1:2" x14ac:dyDescent="0.3">
      <c r="A601" t="s">
        <v>1883</v>
      </c>
      <c r="B601" t="s">
        <v>962</v>
      </c>
    </row>
    <row r="602" spans="1:2" x14ac:dyDescent="0.3">
      <c r="A602" t="s">
        <v>1884</v>
      </c>
      <c r="B602" t="s">
        <v>963</v>
      </c>
    </row>
    <row r="603" spans="1:2" x14ac:dyDescent="0.3">
      <c r="A603" t="s">
        <v>1885</v>
      </c>
      <c r="B603" t="s">
        <v>964</v>
      </c>
    </row>
    <row r="604" spans="1:2" x14ac:dyDescent="0.3">
      <c r="A604" t="s">
        <v>1886</v>
      </c>
      <c r="B604" t="s">
        <v>965</v>
      </c>
    </row>
    <row r="605" spans="1:2" x14ac:dyDescent="0.3">
      <c r="A605" t="s">
        <v>1887</v>
      </c>
      <c r="B605" t="s">
        <v>966</v>
      </c>
    </row>
    <row r="606" spans="1:2" x14ac:dyDescent="0.3">
      <c r="A606" t="s">
        <v>1888</v>
      </c>
      <c r="B606" t="s">
        <v>967</v>
      </c>
    </row>
    <row r="607" spans="1:2" x14ac:dyDescent="0.3">
      <c r="A607" t="s">
        <v>1889</v>
      </c>
      <c r="B607" t="s">
        <v>968</v>
      </c>
    </row>
    <row r="608" spans="1:2" x14ac:dyDescent="0.3">
      <c r="A608" t="s">
        <v>1890</v>
      </c>
      <c r="B608" t="s">
        <v>969</v>
      </c>
    </row>
    <row r="609" spans="1:2" x14ac:dyDescent="0.3">
      <c r="A609" t="s">
        <v>1891</v>
      </c>
      <c r="B609" t="s">
        <v>970</v>
      </c>
    </row>
    <row r="610" spans="1:2" x14ac:dyDescent="0.3">
      <c r="A610" t="s">
        <v>1892</v>
      </c>
      <c r="B610" t="s">
        <v>971</v>
      </c>
    </row>
    <row r="611" spans="1:2" x14ac:dyDescent="0.3">
      <c r="A611" t="s">
        <v>1893</v>
      </c>
      <c r="B611" t="s">
        <v>972</v>
      </c>
    </row>
    <row r="612" spans="1:2" x14ac:dyDescent="0.3">
      <c r="A612" t="s">
        <v>1894</v>
      </c>
      <c r="B612" t="s">
        <v>973</v>
      </c>
    </row>
    <row r="613" spans="1:2" x14ac:dyDescent="0.3">
      <c r="A613" t="s">
        <v>1895</v>
      </c>
      <c r="B613" t="s">
        <v>974</v>
      </c>
    </row>
    <row r="614" spans="1:2" x14ac:dyDescent="0.3">
      <c r="A614" t="s">
        <v>1896</v>
      </c>
      <c r="B614" t="s">
        <v>975</v>
      </c>
    </row>
    <row r="615" spans="1:2" x14ac:dyDescent="0.3">
      <c r="A615" t="s">
        <v>1897</v>
      </c>
      <c r="B615" t="s">
        <v>976</v>
      </c>
    </row>
    <row r="616" spans="1:2" x14ac:dyDescent="0.3">
      <c r="A616" t="s">
        <v>1898</v>
      </c>
      <c r="B616" t="s">
        <v>977</v>
      </c>
    </row>
    <row r="617" spans="1:2" x14ac:dyDescent="0.3">
      <c r="A617" t="s">
        <v>1899</v>
      </c>
      <c r="B617" t="s">
        <v>978</v>
      </c>
    </row>
    <row r="618" spans="1:2" x14ac:dyDescent="0.3">
      <c r="A618" t="s">
        <v>1900</v>
      </c>
      <c r="B618" t="s">
        <v>979</v>
      </c>
    </row>
    <row r="619" spans="1:2" x14ac:dyDescent="0.3">
      <c r="A619" t="s">
        <v>1901</v>
      </c>
      <c r="B619" t="s">
        <v>980</v>
      </c>
    </row>
    <row r="620" spans="1:2" x14ac:dyDescent="0.3">
      <c r="A620" t="s">
        <v>1902</v>
      </c>
      <c r="B620" t="s">
        <v>981</v>
      </c>
    </row>
    <row r="621" spans="1:2" x14ac:dyDescent="0.3">
      <c r="A621" t="s">
        <v>1903</v>
      </c>
      <c r="B621" t="s">
        <v>982</v>
      </c>
    </row>
    <row r="622" spans="1:2" x14ac:dyDescent="0.3">
      <c r="A622" t="s">
        <v>1904</v>
      </c>
      <c r="B622" t="s">
        <v>983</v>
      </c>
    </row>
    <row r="623" spans="1:2" x14ac:dyDescent="0.3">
      <c r="A623" t="s">
        <v>1905</v>
      </c>
      <c r="B623" t="s">
        <v>984</v>
      </c>
    </row>
    <row r="624" spans="1:2" x14ac:dyDescent="0.3">
      <c r="A624" t="s">
        <v>1906</v>
      </c>
      <c r="B624" t="s">
        <v>985</v>
      </c>
    </row>
    <row r="625" spans="1:2" x14ac:dyDescent="0.3">
      <c r="A625" t="s">
        <v>1907</v>
      </c>
      <c r="B625" t="s">
        <v>986</v>
      </c>
    </row>
    <row r="626" spans="1:2" x14ac:dyDescent="0.3">
      <c r="A626" t="s">
        <v>1908</v>
      </c>
      <c r="B626" t="s">
        <v>987</v>
      </c>
    </row>
    <row r="627" spans="1:2" x14ac:dyDescent="0.3">
      <c r="A627" t="s">
        <v>1909</v>
      </c>
      <c r="B627" t="s">
        <v>988</v>
      </c>
    </row>
    <row r="628" spans="1:2" x14ac:dyDescent="0.3">
      <c r="A628" t="s">
        <v>1910</v>
      </c>
      <c r="B628" t="s">
        <v>989</v>
      </c>
    </row>
    <row r="629" spans="1:2" x14ac:dyDescent="0.3">
      <c r="A629" t="s">
        <v>1911</v>
      </c>
      <c r="B629" t="s">
        <v>990</v>
      </c>
    </row>
    <row r="630" spans="1:2" x14ac:dyDescent="0.3">
      <c r="A630" t="s">
        <v>1912</v>
      </c>
      <c r="B630" t="s">
        <v>991</v>
      </c>
    </row>
    <row r="631" spans="1:2" x14ac:dyDescent="0.3">
      <c r="A631" t="s">
        <v>1913</v>
      </c>
      <c r="B631" t="s">
        <v>992</v>
      </c>
    </row>
    <row r="632" spans="1:2" x14ac:dyDescent="0.3">
      <c r="A632" t="s">
        <v>1914</v>
      </c>
      <c r="B632" t="s">
        <v>993</v>
      </c>
    </row>
    <row r="633" spans="1:2" x14ac:dyDescent="0.3">
      <c r="A633" t="s">
        <v>1915</v>
      </c>
      <c r="B633" t="s">
        <v>994</v>
      </c>
    </row>
    <row r="634" spans="1:2" x14ac:dyDescent="0.3">
      <c r="A634" t="s">
        <v>1916</v>
      </c>
      <c r="B634" t="s">
        <v>995</v>
      </c>
    </row>
    <row r="635" spans="1:2" x14ac:dyDescent="0.3">
      <c r="A635" t="s">
        <v>1917</v>
      </c>
      <c r="B635" t="s">
        <v>996</v>
      </c>
    </row>
    <row r="636" spans="1:2" x14ac:dyDescent="0.3">
      <c r="A636" t="s">
        <v>1918</v>
      </c>
      <c r="B636" t="s">
        <v>997</v>
      </c>
    </row>
    <row r="637" spans="1:2" x14ac:dyDescent="0.3">
      <c r="A637" t="s">
        <v>1919</v>
      </c>
      <c r="B637" t="s">
        <v>998</v>
      </c>
    </row>
    <row r="638" spans="1:2" x14ac:dyDescent="0.3">
      <c r="A638" t="s">
        <v>1920</v>
      </c>
      <c r="B638" t="s">
        <v>999</v>
      </c>
    </row>
    <row r="639" spans="1:2" x14ac:dyDescent="0.3">
      <c r="A639" t="s">
        <v>1921</v>
      </c>
      <c r="B639" t="s">
        <v>1000</v>
      </c>
    </row>
    <row r="640" spans="1:2" x14ac:dyDescent="0.3">
      <c r="A640" t="s">
        <v>1922</v>
      </c>
      <c r="B640" t="s">
        <v>1001</v>
      </c>
    </row>
    <row r="641" spans="1:2" x14ac:dyDescent="0.3">
      <c r="A641" t="s">
        <v>1923</v>
      </c>
      <c r="B641" t="s">
        <v>1002</v>
      </c>
    </row>
    <row r="642" spans="1:2" x14ac:dyDescent="0.3">
      <c r="A642" t="s">
        <v>1924</v>
      </c>
      <c r="B642" t="s">
        <v>1003</v>
      </c>
    </row>
    <row r="643" spans="1:2" x14ac:dyDescent="0.3">
      <c r="A643" t="s">
        <v>1925</v>
      </c>
      <c r="B643" t="s">
        <v>1004</v>
      </c>
    </row>
    <row r="644" spans="1:2" x14ac:dyDescent="0.3">
      <c r="A644" t="s">
        <v>1926</v>
      </c>
      <c r="B644" t="s">
        <v>1005</v>
      </c>
    </row>
    <row r="645" spans="1:2" x14ac:dyDescent="0.3">
      <c r="A645" t="s">
        <v>1927</v>
      </c>
      <c r="B645" t="s">
        <v>1006</v>
      </c>
    </row>
    <row r="646" spans="1:2" x14ac:dyDescent="0.3">
      <c r="A646" t="s">
        <v>1928</v>
      </c>
      <c r="B646" t="s">
        <v>1007</v>
      </c>
    </row>
    <row r="647" spans="1:2" x14ac:dyDescent="0.3">
      <c r="A647" t="s">
        <v>1929</v>
      </c>
      <c r="B647" t="s">
        <v>1008</v>
      </c>
    </row>
    <row r="648" spans="1:2" x14ac:dyDescent="0.3">
      <c r="A648" t="s">
        <v>1930</v>
      </c>
      <c r="B648" t="s">
        <v>1009</v>
      </c>
    </row>
    <row r="649" spans="1:2" x14ac:dyDescent="0.3">
      <c r="A649" t="s">
        <v>1931</v>
      </c>
      <c r="B649" t="s">
        <v>1010</v>
      </c>
    </row>
    <row r="650" spans="1:2" x14ac:dyDescent="0.3">
      <c r="A650" t="s">
        <v>1932</v>
      </c>
      <c r="B650" t="s">
        <v>1011</v>
      </c>
    </row>
    <row r="651" spans="1:2" x14ac:dyDescent="0.3">
      <c r="A651" t="s">
        <v>1933</v>
      </c>
      <c r="B651" t="s">
        <v>1012</v>
      </c>
    </row>
    <row r="652" spans="1:2" x14ac:dyDescent="0.3">
      <c r="A652" t="s">
        <v>1934</v>
      </c>
      <c r="B652" t="s">
        <v>1013</v>
      </c>
    </row>
    <row r="653" spans="1:2" x14ac:dyDescent="0.3">
      <c r="A653" t="s">
        <v>1935</v>
      </c>
      <c r="B653" t="s">
        <v>1014</v>
      </c>
    </row>
    <row r="654" spans="1:2" x14ac:dyDescent="0.3">
      <c r="A654" t="s">
        <v>1936</v>
      </c>
      <c r="B654" t="s">
        <v>1015</v>
      </c>
    </row>
    <row r="655" spans="1:2" x14ac:dyDescent="0.3">
      <c r="A655" t="s">
        <v>1937</v>
      </c>
      <c r="B655" t="s">
        <v>1016</v>
      </c>
    </row>
    <row r="656" spans="1:2" x14ac:dyDescent="0.3">
      <c r="A656" t="s">
        <v>1938</v>
      </c>
      <c r="B656" t="s">
        <v>1017</v>
      </c>
    </row>
    <row r="657" spans="1:2" x14ac:dyDescent="0.3">
      <c r="A657" t="s">
        <v>1939</v>
      </c>
      <c r="B657" t="s">
        <v>1018</v>
      </c>
    </row>
    <row r="658" spans="1:2" x14ac:dyDescent="0.3">
      <c r="A658" t="s">
        <v>1940</v>
      </c>
      <c r="B658" t="s">
        <v>1019</v>
      </c>
    </row>
    <row r="659" spans="1:2" x14ac:dyDescent="0.3">
      <c r="A659" t="s">
        <v>1941</v>
      </c>
      <c r="B659" t="s">
        <v>1020</v>
      </c>
    </row>
    <row r="660" spans="1:2" x14ac:dyDescent="0.3">
      <c r="A660" t="s">
        <v>1942</v>
      </c>
      <c r="B660" t="s">
        <v>1021</v>
      </c>
    </row>
    <row r="661" spans="1:2" x14ac:dyDescent="0.3">
      <c r="A661" t="s">
        <v>1943</v>
      </c>
      <c r="B661" t="s">
        <v>1022</v>
      </c>
    </row>
    <row r="662" spans="1:2" x14ac:dyDescent="0.3">
      <c r="A662" t="s">
        <v>1944</v>
      </c>
      <c r="B662" t="s">
        <v>1023</v>
      </c>
    </row>
    <row r="663" spans="1:2" x14ac:dyDescent="0.3">
      <c r="A663" t="s">
        <v>1945</v>
      </c>
      <c r="B663" t="s">
        <v>1024</v>
      </c>
    </row>
    <row r="664" spans="1:2" x14ac:dyDescent="0.3">
      <c r="A664" t="s">
        <v>1946</v>
      </c>
      <c r="B664" t="s">
        <v>1025</v>
      </c>
    </row>
    <row r="665" spans="1:2" x14ac:dyDescent="0.3">
      <c r="A665" t="s">
        <v>1947</v>
      </c>
      <c r="B665" t="s">
        <v>1026</v>
      </c>
    </row>
    <row r="666" spans="1:2" x14ac:dyDescent="0.3">
      <c r="A666" t="s">
        <v>1948</v>
      </c>
      <c r="B666" t="s">
        <v>1027</v>
      </c>
    </row>
    <row r="667" spans="1:2" x14ac:dyDescent="0.3">
      <c r="A667" t="s">
        <v>1949</v>
      </c>
      <c r="B667" t="s">
        <v>1028</v>
      </c>
    </row>
    <row r="668" spans="1:2" x14ac:dyDescent="0.3">
      <c r="A668" t="s">
        <v>1950</v>
      </c>
      <c r="B668" t="s">
        <v>1029</v>
      </c>
    </row>
    <row r="669" spans="1:2" x14ac:dyDescent="0.3">
      <c r="A669" t="s">
        <v>1951</v>
      </c>
      <c r="B669" t="s">
        <v>1030</v>
      </c>
    </row>
    <row r="670" spans="1:2" x14ac:dyDescent="0.3">
      <c r="A670" t="s">
        <v>1952</v>
      </c>
      <c r="B670" t="s">
        <v>1031</v>
      </c>
    </row>
    <row r="671" spans="1:2" x14ac:dyDescent="0.3">
      <c r="A671" t="s">
        <v>1953</v>
      </c>
      <c r="B671" t="s">
        <v>1032</v>
      </c>
    </row>
    <row r="672" spans="1:2" x14ac:dyDescent="0.3">
      <c r="A672" t="s">
        <v>1954</v>
      </c>
      <c r="B672" t="s">
        <v>1033</v>
      </c>
    </row>
    <row r="673" spans="1:2" x14ac:dyDescent="0.3">
      <c r="A673" t="s">
        <v>1955</v>
      </c>
      <c r="B673" t="s">
        <v>1034</v>
      </c>
    </row>
    <row r="674" spans="1:2" x14ac:dyDescent="0.3">
      <c r="A674" t="s">
        <v>1956</v>
      </c>
      <c r="B674" t="s">
        <v>1035</v>
      </c>
    </row>
    <row r="675" spans="1:2" x14ac:dyDescent="0.3">
      <c r="A675" t="s">
        <v>1957</v>
      </c>
      <c r="B675" t="s">
        <v>1036</v>
      </c>
    </row>
    <row r="676" spans="1:2" x14ac:dyDescent="0.3">
      <c r="A676" t="s">
        <v>1958</v>
      </c>
      <c r="B676" t="s">
        <v>1037</v>
      </c>
    </row>
    <row r="677" spans="1:2" x14ac:dyDescent="0.3">
      <c r="A677" t="s">
        <v>1959</v>
      </c>
      <c r="B677" t="s">
        <v>1038</v>
      </c>
    </row>
    <row r="678" spans="1:2" x14ac:dyDescent="0.3">
      <c r="A678" t="s">
        <v>1960</v>
      </c>
      <c r="B678" t="s">
        <v>1039</v>
      </c>
    </row>
    <row r="679" spans="1:2" x14ac:dyDescent="0.3">
      <c r="A679" t="s">
        <v>1961</v>
      </c>
      <c r="B679" t="s">
        <v>1040</v>
      </c>
    </row>
    <row r="680" spans="1:2" x14ac:dyDescent="0.3">
      <c r="A680" t="s">
        <v>1962</v>
      </c>
      <c r="B680" t="s">
        <v>1041</v>
      </c>
    </row>
    <row r="681" spans="1:2" x14ac:dyDescent="0.3">
      <c r="A681" t="s">
        <v>1963</v>
      </c>
      <c r="B681" t="s">
        <v>1042</v>
      </c>
    </row>
    <row r="682" spans="1:2" x14ac:dyDescent="0.3">
      <c r="A682" t="s">
        <v>1964</v>
      </c>
      <c r="B682" t="s">
        <v>1043</v>
      </c>
    </row>
    <row r="683" spans="1:2" x14ac:dyDescent="0.3">
      <c r="A683" t="s">
        <v>1965</v>
      </c>
      <c r="B683" t="s">
        <v>1044</v>
      </c>
    </row>
    <row r="684" spans="1:2" x14ac:dyDescent="0.3">
      <c r="A684" t="s">
        <v>1966</v>
      </c>
      <c r="B684" t="s">
        <v>1045</v>
      </c>
    </row>
    <row r="685" spans="1:2" x14ac:dyDescent="0.3">
      <c r="A685" t="s">
        <v>1967</v>
      </c>
      <c r="B685" t="s">
        <v>1046</v>
      </c>
    </row>
    <row r="686" spans="1:2" x14ac:dyDescent="0.3">
      <c r="A686" t="s">
        <v>1968</v>
      </c>
      <c r="B686" t="s">
        <v>1047</v>
      </c>
    </row>
    <row r="687" spans="1:2" x14ac:dyDescent="0.3">
      <c r="A687" t="s">
        <v>1969</v>
      </c>
      <c r="B687" t="s">
        <v>1048</v>
      </c>
    </row>
    <row r="688" spans="1:2" x14ac:dyDescent="0.3">
      <c r="A688" t="s">
        <v>1970</v>
      </c>
      <c r="B688" t="s">
        <v>1049</v>
      </c>
    </row>
    <row r="689" spans="1:2" x14ac:dyDescent="0.3">
      <c r="A689" t="s">
        <v>1971</v>
      </c>
      <c r="B689" t="s">
        <v>1050</v>
      </c>
    </row>
    <row r="690" spans="1:2" x14ac:dyDescent="0.3">
      <c r="A690" t="s">
        <v>1972</v>
      </c>
      <c r="B690" t="s">
        <v>1051</v>
      </c>
    </row>
    <row r="691" spans="1:2" x14ac:dyDescent="0.3">
      <c r="A691" t="s">
        <v>1973</v>
      </c>
      <c r="B691" t="s">
        <v>1052</v>
      </c>
    </row>
    <row r="692" spans="1:2" x14ac:dyDescent="0.3">
      <c r="A692" t="s">
        <v>1974</v>
      </c>
      <c r="B692" t="s">
        <v>1053</v>
      </c>
    </row>
    <row r="693" spans="1:2" x14ac:dyDescent="0.3">
      <c r="A693" t="s">
        <v>1975</v>
      </c>
      <c r="B693" t="s">
        <v>1054</v>
      </c>
    </row>
    <row r="694" spans="1:2" x14ac:dyDescent="0.3">
      <c r="A694" t="s">
        <v>1976</v>
      </c>
      <c r="B694" t="s">
        <v>1055</v>
      </c>
    </row>
    <row r="695" spans="1:2" x14ac:dyDescent="0.3">
      <c r="A695" t="s">
        <v>1977</v>
      </c>
      <c r="B695" t="s">
        <v>1056</v>
      </c>
    </row>
    <row r="696" spans="1:2" x14ac:dyDescent="0.3">
      <c r="A696" t="s">
        <v>1978</v>
      </c>
      <c r="B696" t="s">
        <v>1057</v>
      </c>
    </row>
    <row r="697" spans="1:2" x14ac:dyDescent="0.3">
      <c r="A697" t="s">
        <v>1979</v>
      </c>
      <c r="B697" t="s">
        <v>1058</v>
      </c>
    </row>
    <row r="698" spans="1:2" x14ac:dyDescent="0.3">
      <c r="A698" t="s">
        <v>1980</v>
      </c>
      <c r="B698" t="s">
        <v>1059</v>
      </c>
    </row>
    <row r="699" spans="1:2" x14ac:dyDescent="0.3">
      <c r="A699" t="s">
        <v>1981</v>
      </c>
      <c r="B699" t="s">
        <v>1060</v>
      </c>
    </row>
    <row r="700" spans="1:2" x14ac:dyDescent="0.3">
      <c r="A700" t="s">
        <v>1982</v>
      </c>
      <c r="B700" t="s">
        <v>1061</v>
      </c>
    </row>
    <row r="701" spans="1:2" x14ac:dyDescent="0.3">
      <c r="A701" t="s">
        <v>1983</v>
      </c>
      <c r="B701" t="s">
        <v>1062</v>
      </c>
    </row>
    <row r="702" spans="1:2" x14ac:dyDescent="0.3">
      <c r="A702" t="s">
        <v>1984</v>
      </c>
      <c r="B702" t="s">
        <v>1063</v>
      </c>
    </row>
    <row r="703" spans="1:2" x14ac:dyDescent="0.3">
      <c r="A703" t="s">
        <v>1985</v>
      </c>
      <c r="B703" t="s">
        <v>1064</v>
      </c>
    </row>
    <row r="704" spans="1:2" x14ac:dyDescent="0.3">
      <c r="A704" t="s">
        <v>1986</v>
      </c>
      <c r="B704" t="s">
        <v>1065</v>
      </c>
    </row>
    <row r="705" spans="1:2" x14ac:dyDescent="0.3">
      <c r="A705" t="s">
        <v>1987</v>
      </c>
      <c r="B705" t="s">
        <v>1066</v>
      </c>
    </row>
    <row r="706" spans="1:2" x14ac:dyDescent="0.3">
      <c r="A706" t="s">
        <v>1988</v>
      </c>
      <c r="B706" t="s">
        <v>1067</v>
      </c>
    </row>
    <row r="707" spans="1:2" x14ac:dyDescent="0.3">
      <c r="A707" t="s">
        <v>1989</v>
      </c>
      <c r="B707" t="s">
        <v>1068</v>
      </c>
    </row>
    <row r="708" spans="1:2" x14ac:dyDescent="0.3">
      <c r="A708" t="s">
        <v>1990</v>
      </c>
      <c r="B708" t="s">
        <v>1069</v>
      </c>
    </row>
    <row r="709" spans="1:2" x14ac:dyDescent="0.3">
      <c r="A709" t="s">
        <v>1991</v>
      </c>
      <c r="B709" t="s">
        <v>1070</v>
      </c>
    </row>
    <row r="710" spans="1:2" x14ac:dyDescent="0.3">
      <c r="A710" t="s">
        <v>1992</v>
      </c>
      <c r="B710" t="s">
        <v>1071</v>
      </c>
    </row>
    <row r="711" spans="1:2" x14ac:dyDescent="0.3">
      <c r="A711" t="s">
        <v>1993</v>
      </c>
      <c r="B711" t="s">
        <v>1072</v>
      </c>
    </row>
    <row r="712" spans="1:2" x14ac:dyDescent="0.3">
      <c r="A712" t="s">
        <v>1994</v>
      </c>
      <c r="B712" t="s">
        <v>1073</v>
      </c>
    </row>
    <row r="713" spans="1:2" x14ac:dyDescent="0.3">
      <c r="A713" t="s">
        <v>1995</v>
      </c>
      <c r="B713" t="s">
        <v>1074</v>
      </c>
    </row>
    <row r="714" spans="1:2" x14ac:dyDescent="0.3">
      <c r="A714" t="s">
        <v>1996</v>
      </c>
      <c r="B714" t="s">
        <v>1075</v>
      </c>
    </row>
    <row r="715" spans="1:2" x14ac:dyDescent="0.3">
      <c r="A715" t="s">
        <v>1997</v>
      </c>
      <c r="B715" t="s">
        <v>1076</v>
      </c>
    </row>
    <row r="716" spans="1:2" x14ac:dyDescent="0.3">
      <c r="A716" t="s">
        <v>1998</v>
      </c>
      <c r="B716" t="s">
        <v>1077</v>
      </c>
    </row>
    <row r="717" spans="1:2" x14ac:dyDescent="0.3">
      <c r="A717" t="s">
        <v>1999</v>
      </c>
      <c r="B717" t="s">
        <v>1078</v>
      </c>
    </row>
    <row r="718" spans="1:2" x14ac:dyDescent="0.3">
      <c r="A718" t="s">
        <v>2000</v>
      </c>
      <c r="B718" t="s">
        <v>1079</v>
      </c>
    </row>
    <row r="719" spans="1:2" x14ac:dyDescent="0.3">
      <c r="A719" t="s">
        <v>2001</v>
      </c>
      <c r="B719" t="s">
        <v>1080</v>
      </c>
    </row>
    <row r="720" spans="1:2" x14ac:dyDescent="0.3">
      <c r="A720" t="s">
        <v>2002</v>
      </c>
      <c r="B720" t="s">
        <v>1081</v>
      </c>
    </row>
    <row r="721" spans="1:2" x14ac:dyDescent="0.3">
      <c r="A721" t="s">
        <v>2003</v>
      </c>
      <c r="B721" t="s">
        <v>1082</v>
      </c>
    </row>
    <row r="722" spans="1:2" x14ac:dyDescent="0.3">
      <c r="A722" t="s">
        <v>2004</v>
      </c>
      <c r="B722" t="s">
        <v>1083</v>
      </c>
    </row>
    <row r="723" spans="1:2" x14ac:dyDescent="0.3">
      <c r="A723" t="s">
        <v>2005</v>
      </c>
      <c r="B723" t="s">
        <v>1084</v>
      </c>
    </row>
    <row r="724" spans="1:2" x14ac:dyDescent="0.3">
      <c r="A724" t="s">
        <v>2006</v>
      </c>
      <c r="B724" t="s">
        <v>1085</v>
      </c>
    </row>
    <row r="725" spans="1:2" x14ac:dyDescent="0.3">
      <c r="A725" t="s">
        <v>2007</v>
      </c>
      <c r="B725" t="s">
        <v>1086</v>
      </c>
    </row>
    <row r="726" spans="1:2" x14ac:dyDescent="0.3">
      <c r="A726" t="s">
        <v>2008</v>
      </c>
      <c r="B726" t="s">
        <v>1087</v>
      </c>
    </row>
    <row r="727" spans="1:2" x14ac:dyDescent="0.3">
      <c r="A727" t="s">
        <v>2009</v>
      </c>
      <c r="B727" t="s">
        <v>1088</v>
      </c>
    </row>
    <row r="728" spans="1:2" x14ac:dyDescent="0.3">
      <c r="A728" t="s">
        <v>2010</v>
      </c>
      <c r="B728" t="s">
        <v>1089</v>
      </c>
    </row>
    <row r="729" spans="1:2" x14ac:dyDescent="0.3">
      <c r="A729" t="s">
        <v>2011</v>
      </c>
      <c r="B729" t="s">
        <v>1090</v>
      </c>
    </row>
    <row r="730" spans="1:2" x14ac:dyDescent="0.3">
      <c r="A730" t="s">
        <v>2012</v>
      </c>
      <c r="B730" t="s">
        <v>1091</v>
      </c>
    </row>
    <row r="731" spans="1:2" x14ac:dyDescent="0.3">
      <c r="A731" t="s">
        <v>2013</v>
      </c>
      <c r="B731" t="s">
        <v>1092</v>
      </c>
    </row>
    <row r="732" spans="1:2" x14ac:dyDescent="0.3">
      <c r="A732" t="s">
        <v>2014</v>
      </c>
      <c r="B732" t="s">
        <v>1093</v>
      </c>
    </row>
    <row r="733" spans="1:2" x14ac:dyDescent="0.3">
      <c r="A733" t="s">
        <v>2015</v>
      </c>
      <c r="B733" t="s">
        <v>1094</v>
      </c>
    </row>
    <row r="734" spans="1:2" x14ac:dyDescent="0.3">
      <c r="A734" t="s">
        <v>2016</v>
      </c>
      <c r="B734" t="s">
        <v>1095</v>
      </c>
    </row>
    <row r="735" spans="1:2" x14ac:dyDescent="0.3">
      <c r="A735" t="s">
        <v>2017</v>
      </c>
      <c r="B735" t="s">
        <v>1096</v>
      </c>
    </row>
    <row r="736" spans="1:2" x14ac:dyDescent="0.3">
      <c r="A736" t="s">
        <v>2018</v>
      </c>
      <c r="B736" t="s">
        <v>1097</v>
      </c>
    </row>
    <row r="737" spans="1:2" x14ac:dyDescent="0.3">
      <c r="A737" t="s">
        <v>2019</v>
      </c>
      <c r="B737" t="s">
        <v>1098</v>
      </c>
    </row>
    <row r="738" spans="1:2" x14ac:dyDescent="0.3">
      <c r="A738" t="s">
        <v>2020</v>
      </c>
      <c r="B738" t="s">
        <v>1099</v>
      </c>
    </row>
    <row r="739" spans="1:2" x14ac:dyDescent="0.3">
      <c r="A739" t="s">
        <v>2021</v>
      </c>
      <c r="B739" t="s">
        <v>1100</v>
      </c>
    </row>
    <row r="740" spans="1:2" x14ac:dyDescent="0.3">
      <c r="A740" t="s">
        <v>2022</v>
      </c>
      <c r="B740" t="s">
        <v>1101</v>
      </c>
    </row>
    <row r="741" spans="1:2" x14ac:dyDescent="0.3">
      <c r="A741" t="s">
        <v>2023</v>
      </c>
      <c r="B741" t="s">
        <v>1102</v>
      </c>
    </row>
    <row r="742" spans="1:2" x14ac:dyDescent="0.3">
      <c r="A742" t="s">
        <v>2024</v>
      </c>
      <c r="B742" t="s">
        <v>1103</v>
      </c>
    </row>
    <row r="743" spans="1:2" x14ac:dyDescent="0.3">
      <c r="A743" t="s">
        <v>2025</v>
      </c>
      <c r="B743" t="s">
        <v>1104</v>
      </c>
    </row>
    <row r="744" spans="1:2" x14ac:dyDescent="0.3">
      <c r="A744" t="s">
        <v>2026</v>
      </c>
      <c r="B744" t="s">
        <v>1105</v>
      </c>
    </row>
    <row r="745" spans="1:2" x14ac:dyDescent="0.3">
      <c r="A745" t="s">
        <v>2027</v>
      </c>
      <c r="B745" t="s">
        <v>1106</v>
      </c>
    </row>
    <row r="746" spans="1:2" x14ac:dyDescent="0.3">
      <c r="A746" t="s">
        <v>2028</v>
      </c>
      <c r="B746" t="s">
        <v>1107</v>
      </c>
    </row>
    <row r="747" spans="1:2" x14ac:dyDescent="0.3">
      <c r="A747" t="s">
        <v>2029</v>
      </c>
      <c r="B747" t="s">
        <v>1108</v>
      </c>
    </row>
    <row r="748" spans="1:2" x14ac:dyDescent="0.3">
      <c r="A748" t="s">
        <v>2030</v>
      </c>
      <c r="B748" t="s">
        <v>1109</v>
      </c>
    </row>
    <row r="749" spans="1:2" x14ac:dyDescent="0.3">
      <c r="A749" t="s">
        <v>2031</v>
      </c>
      <c r="B749" t="s">
        <v>1110</v>
      </c>
    </row>
    <row r="750" spans="1:2" x14ac:dyDescent="0.3">
      <c r="A750" t="s">
        <v>2032</v>
      </c>
      <c r="B750" t="s">
        <v>1111</v>
      </c>
    </row>
    <row r="751" spans="1:2" x14ac:dyDescent="0.3">
      <c r="A751" t="s">
        <v>2033</v>
      </c>
      <c r="B751" t="s">
        <v>1112</v>
      </c>
    </row>
    <row r="752" spans="1:2" x14ac:dyDescent="0.3">
      <c r="A752" t="s">
        <v>2034</v>
      </c>
      <c r="B752" t="s">
        <v>1113</v>
      </c>
    </row>
    <row r="753" spans="1:2" x14ac:dyDescent="0.3">
      <c r="A753" t="s">
        <v>2035</v>
      </c>
      <c r="B753" t="s">
        <v>1114</v>
      </c>
    </row>
    <row r="754" spans="1:2" x14ac:dyDescent="0.3">
      <c r="A754" t="s">
        <v>2036</v>
      </c>
      <c r="B754" t="s">
        <v>1115</v>
      </c>
    </row>
    <row r="755" spans="1:2" x14ac:dyDescent="0.3">
      <c r="A755" t="s">
        <v>2037</v>
      </c>
      <c r="B755" t="s">
        <v>1116</v>
      </c>
    </row>
    <row r="756" spans="1:2" x14ac:dyDescent="0.3">
      <c r="A756" t="s">
        <v>2038</v>
      </c>
      <c r="B756" t="s">
        <v>1117</v>
      </c>
    </row>
    <row r="757" spans="1:2" x14ac:dyDescent="0.3">
      <c r="A757" t="s">
        <v>2039</v>
      </c>
      <c r="B757" t="s">
        <v>1118</v>
      </c>
    </row>
    <row r="758" spans="1:2" x14ac:dyDescent="0.3">
      <c r="A758" t="s">
        <v>2040</v>
      </c>
      <c r="B758" t="s">
        <v>1119</v>
      </c>
    </row>
    <row r="759" spans="1:2" x14ac:dyDescent="0.3">
      <c r="A759" t="s">
        <v>2041</v>
      </c>
      <c r="B759" t="s">
        <v>1120</v>
      </c>
    </row>
    <row r="760" spans="1:2" x14ac:dyDescent="0.3">
      <c r="A760" t="s">
        <v>2042</v>
      </c>
      <c r="B760" t="s">
        <v>1121</v>
      </c>
    </row>
    <row r="761" spans="1:2" x14ac:dyDescent="0.3">
      <c r="A761" t="s">
        <v>2043</v>
      </c>
      <c r="B761" t="s">
        <v>1122</v>
      </c>
    </row>
    <row r="762" spans="1:2" x14ac:dyDescent="0.3">
      <c r="A762" t="s">
        <v>2044</v>
      </c>
      <c r="B762" t="s">
        <v>1123</v>
      </c>
    </row>
    <row r="763" spans="1:2" x14ac:dyDescent="0.3">
      <c r="A763" t="s">
        <v>2045</v>
      </c>
      <c r="B763" t="s">
        <v>1124</v>
      </c>
    </row>
    <row r="764" spans="1:2" x14ac:dyDescent="0.3">
      <c r="A764" t="s">
        <v>2046</v>
      </c>
      <c r="B764" t="s">
        <v>1125</v>
      </c>
    </row>
    <row r="765" spans="1:2" x14ac:dyDescent="0.3">
      <c r="A765" t="s">
        <v>2047</v>
      </c>
      <c r="B765" t="s">
        <v>1126</v>
      </c>
    </row>
    <row r="766" spans="1:2" x14ac:dyDescent="0.3">
      <c r="A766" t="s">
        <v>2048</v>
      </c>
      <c r="B766" t="s">
        <v>1127</v>
      </c>
    </row>
    <row r="767" spans="1:2" x14ac:dyDescent="0.3">
      <c r="A767" t="s">
        <v>2049</v>
      </c>
      <c r="B767" t="s">
        <v>1128</v>
      </c>
    </row>
    <row r="768" spans="1:2" x14ac:dyDescent="0.3">
      <c r="A768" t="s">
        <v>2050</v>
      </c>
      <c r="B768" t="s">
        <v>1129</v>
      </c>
    </row>
    <row r="769" spans="1:2" x14ac:dyDescent="0.3">
      <c r="A769" t="s">
        <v>2051</v>
      </c>
      <c r="B769" t="s">
        <v>1130</v>
      </c>
    </row>
    <row r="770" spans="1:2" x14ac:dyDescent="0.3">
      <c r="A770" t="s">
        <v>2052</v>
      </c>
      <c r="B770" t="s">
        <v>1131</v>
      </c>
    </row>
    <row r="771" spans="1:2" x14ac:dyDescent="0.3">
      <c r="A771" t="s">
        <v>2053</v>
      </c>
      <c r="B771" t="s">
        <v>1132</v>
      </c>
    </row>
    <row r="772" spans="1:2" x14ac:dyDescent="0.3">
      <c r="A772" t="s">
        <v>2054</v>
      </c>
      <c r="B772" t="s">
        <v>1133</v>
      </c>
    </row>
    <row r="773" spans="1:2" x14ac:dyDescent="0.3">
      <c r="A773" t="s">
        <v>2055</v>
      </c>
      <c r="B773" t="s">
        <v>1134</v>
      </c>
    </row>
    <row r="774" spans="1:2" x14ac:dyDescent="0.3">
      <c r="A774" t="s">
        <v>2056</v>
      </c>
      <c r="B774" t="s">
        <v>1135</v>
      </c>
    </row>
    <row r="775" spans="1:2" x14ac:dyDescent="0.3">
      <c r="A775" t="s">
        <v>2057</v>
      </c>
      <c r="B775" t="s">
        <v>1136</v>
      </c>
    </row>
    <row r="776" spans="1:2" x14ac:dyDescent="0.3">
      <c r="A776" t="s">
        <v>2058</v>
      </c>
      <c r="B776" t="s">
        <v>1137</v>
      </c>
    </row>
    <row r="777" spans="1:2" x14ac:dyDescent="0.3">
      <c r="A777" t="s">
        <v>2059</v>
      </c>
      <c r="B777" t="s">
        <v>1138</v>
      </c>
    </row>
    <row r="778" spans="1:2" x14ac:dyDescent="0.3">
      <c r="A778" t="s">
        <v>2060</v>
      </c>
      <c r="B778" t="s">
        <v>1139</v>
      </c>
    </row>
    <row r="779" spans="1:2" x14ac:dyDescent="0.3">
      <c r="A779" t="s">
        <v>2061</v>
      </c>
      <c r="B779" t="s">
        <v>1140</v>
      </c>
    </row>
    <row r="780" spans="1:2" x14ac:dyDescent="0.3">
      <c r="A780" t="s">
        <v>2062</v>
      </c>
      <c r="B780" t="s">
        <v>1141</v>
      </c>
    </row>
    <row r="781" spans="1:2" x14ac:dyDescent="0.3">
      <c r="A781" t="s">
        <v>2063</v>
      </c>
      <c r="B781" t="s">
        <v>1142</v>
      </c>
    </row>
    <row r="782" spans="1:2" x14ac:dyDescent="0.3">
      <c r="A782" t="s">
        <v>2064</v>
      </c>
      <c r="B782" t="s">
        <v>1143</v>
      </c>
    </row>
    <row r="783" spans="1:2" x14ac:dyDescent="0.3">
      <c r="A783" t="s">
        <v>2065</v>
      </c>
      <c r="B783" t="s">
        <v>1144</v>
      </c>
    </row>
    <row r="784" spans="1:2" x14ac:dyDescent="0.3">
      <c r="A784" t="s">
        <v>2066</v>
      </c>
      <c r="B784" t="s">
        <v>1145</v>
      </c>
    </row>
    <row r="785" spans="1:2" x14ac:dyDescent="0.3">
      <c r="A785" t="s">
        <v>2067</v>
      </c>
      <c r="B785" t="s">
        <v>1146</v>
      </c>
    </row>
    <row r="786" spans="1:2" x14ac:dyDescent="0.3">
      <c r="A786" t="s">
        <v>2068</v>
      </c>
      <c r="B786" t="s">
        <v>1147</v>
      </c>
    </row>
    <row r="787" spans="1:2" x14ac:dyDescent="0.3">
      <c r="A787" t="s">
        <v>2069</v>
      </c>
      <c r="B787" t="s">
        <v>1148</v>
      </c>
    </row>
    <row r="788" spans="1:2" x14ac:dyDescent="0.3">
      <c r="A788" t="s">
        <v>2070</v>
      </c>
      <c r="B788" t="s">
        <v>1149</v>
      </c>
    </row>
    <row r="789" spans="1:2" x14ac:dyDescent="0.3">
      <c r="A789" t="s">
        <v>2071</v>
      </c>
      <c r="B789" t="s">
        <v>1150</v>
      </c>
    </row>
    <row r="790" spans="1:2" x14ac:dyDescent="0.3">
      <c r="A790" t="s">
        <v>2072</v>
      </c>
      <c r="B790" t="s">
        <v>1151</v>
      </c>
    </row>
    <row r="791" spans="1:2" x14ac:dyDescent="0.3">
      <c r="A791" t="s">
        <v>2073</v>
      </c>
      <c r="B791" t="s">
        <v>1152</v>
      </c>
    </row>
    <row r="792" spans="1:2" x14ac:dyDescent="0.3">
      <c r="A792" t="s">
        <v>2074</v>
      </c>
      <c r="B792" t="s">
        <v>1153</v>
      </c>
    </row>
    <row r="793" spans="1:2" x14ac:dyDescent="0.3">
      <c r="A793" t="s">
        <v>2075</v>
      </c>
      <c r="B793" t="s">
        <v>1154</v>
      </c>
    </row>
    <row r="794" spans="1:2" x14ac:dyDescent="0.3">
      <c r="A794" t="s">
        <v>2076</v>
      </c>
      <c r="B794" t="s">
        <v>1155</v>
      </c>
    </row>
    <row r="795" spans="1:2" x14ac:dyDescent="0.3">
      <c r="A795" t="s">
        <v>2077</v>
      </c>
      <c r="B795" t="s">
        <v>1156</v>
      </c>
    </row>
    <row r="796" spans="1:2" x14ac:dyDescent="0.3">
      <c r="A796" t="s">
        <v>2078</v>
      </c>
      <c r="B796" t="s">
        <v>1157</v>
      </c>
    </row>
    <row r="797" spans="1:2" x14ac:dyDescent="0.3">
      <c r="A797" t="s">
        <v>2079</v>
      </c>
      <c r="B797" t="s">
        <v>1158</v>
      </c>
    </row>
    <row r="798" spans="1:2" x14ac:dyDescent="0.3">
      <c r="A798" t="s">
        <v>2080</v>
      </c>
      <c r="B798" t="s">
        <v>1159</v>
      </c>
    </row>
    <row r="799" spans="1:2" x14ac:dyDescent="0.3">
      <c r="A799" t="s">
        <v>2081</v>
      </c>
      <c r="B799" t="s">
        <v>1160</v>
      </c>
    </row>
    <row r="800" spans="1:2" x14ac:dyDescent="0.3">
      <c r="A800" t="s">
        <v>2082</v>
      </c>
      <c r="B800" t="s">
        <v>1161</v>
      </c>
    </row>
    <row r="801" spans="1:2" x14ac:dyDescent="0.3">
      <c r="A801" t="s">
        <v>2083</v>
      </c>
      <c r="B801" t="s">
        <v>1162</v>
      </c>
    </row>
    <row r="802" spans="1:2" x14ac:dyDescent="0.3">
      <c r="A802" t="s">
        <v>2084</v>
      </c>
      <c r="B802" t="s">
        <v>1163</v>
      </c>
    </row>
    <row r="803" spans="1:2" x14ac:dyDescent="0.3">
      <c r="A803" t="s">
        <v>2085</v>
      </c>
      <c r="B803" t="s">
        <v>1164</v>
      </c>
    </row>
    <row r="804" spans="1:2" x14ac:dyDescent="0.3">
      <c r="A804" t="s">
        <v>2086</v>
      </c>
      <c r="B804" t="s">
        <v>1165</v>
      </c>
    </row>
    <row r="805" spans="1:2" x14ac:dyDescent="0.3">
      <c r="A805" t="s">
        <v>2087</v>
      </c>
      <c r="B805" t="s">
        <v>1166</v>
      </c>
    </row>
    <row r="806" spans="1:2" x14ac:dyDescent="0.3">
      <c r="A806" t="s">
        <v>2088</v>
      </c>
      <c r="B806" t="s">
        <v>1167</v>
      </c>
    </row>
    <row r="807" spans="1:2" x14ac:dyDescent="0.3">
      <c r="A807" t="s">
        <v>2089</v>
      </c>
      <c r="B807" t="s">
        <v>1168</v>
      </c>
    </row>
    <row r="808" spans="1:2" x14ac:dyDescent="0.3">
      <c r="A808" t="s">
        <v>2090</v>
      </c>
      <c r="B808" t="s">
        <v>1169</v>
      </c>
    </row>
    <row r="809" spans="1:2" x14ac:dyDescent="0.3">
      <c r="A809" t="s">
        <v>2091</v>
      </c>
      <c r="B809" t="s">
        <v>1170</v>
      </c>
    </row>
    <row r="810" spans="1:2" x14ac:dyDescent="0.3">
      <c r="A810" t="s">
        <v>2092</v>
      </c>
      <c r="B810" t="s">
        <v>1171</v>
      </c>
    </row>
    <row r="811" spans="1:2" x14ac:dyDescent="0.3">
      <c r="A811" t="s">
        <v>2093</v>
      </c>
      <c r="B811" t="s">
        <v>1172</v>
      </c>
    </row>
    <row r="812" spans="1:2" x14ac:dyDescent="0.3">
      <c r="A812" t="s">
        <v>2094</v>
      </c>
      <c r="B812" t="s">
        <v>1173</v>
      </c>
    </row>
    <row r="813" spans="1:2" x14ac:dyDescent="0.3">
      <c r="A813" t="s">
        <v>2095</v>
      </c>
      <c r="B813" t="s">
        <v>1174</v>
      </c>
    </row>
    <row r="814" spans="1:2" x14ac:dyDescent="0.3">
      <c r="A814" t="s">
        <v>2096</v>
      </c>
      <c r="B814" t="s">
        <v>1175</v>
      </c>
    </row>
    <row r="815" spans="1:2" x14ac:dyDescent="0.3">
      <c r="A815" t="s">
        <v>2097</v>
      </c>
      <c r="B815" t="s">
        <v>1176</v>
      </c>
    </row>
    <row r="816" spans="1:2" x14ac:dyDescent="0.3">
      <c r="A816" t="s">
        <v>2098</v>
      </c>
      <c r="B816" t="s">
        <v>1177</v>
      </c>
    </row>
    <row r="817" spans="1:2" x14ac:dyDescent="0.3">
      <c r="A817" t="s">
        <v>2099</v>
      </c>
      <c r="B817" t="s">
        <v>1178</v>
      </c>
    </row>
    <row r="818" spans="1:2" x14ac:dyDescent="0.3">
      <c r="A818" t="s">
        <v>2100</v>
      </c>
      <c r="B818" t="s">
        <v>1179</v>
      </c>
    </row>
    <row r="819" spans="1:2" x14ac:dyDescent="0.3">
      <c r="A819" t="s">
        <v>2101</v>
      </c>
      <c r="B819" t="s">
        <v>1180</v>
      </c>
    </row>
    <row r="820" spans="1:2" x14ac:dyDescent="0.3">
      <c r="A820" t="s">
        <v>2102</v>
      </c>
      <c r="B820" t="s">
        <v>1181</v>
      </c>
    </row>
    <row r="821" spans="1:2" x14ac:dyDescent="0.3">
      <c r="A821" t="s">
        <v>2103</v>
      </c>
      <c r="B821" t="s">
        <v>1182</v>
      </c>
    </row>
    <row r="822" spans="1:2" x14ac:dyDescent="0.3">
      <c r="A822" t="s">
        <v>2104</v>
      </c>
      <c r="B822" t="s">
        <v>1183</v>
      </c>
    </row>
    <row r="823" spans="1:2" x14ac:dyDescent="0.3">
      <c r="A823" t="s">
        <v>2105</v>
      </c>
      <c r="B823" t="s">
        <v>1184</v>
      </c>
    </row>
    <row r="824" spans="1:2" x14ac:dyDescent="0.3">
      <c r="A824" t="s">
        <v>2106</v>
      </c>
      <c r="B824" t="s">
        <v>1185</v>
      </c>
    </row>
    <row r="825" spans="1:2" x14ac:dyDescent="0.3">
      <c r="A825" t="s">
        <v>2107</v>
      </c>
      <c r="B825" t="s">
        <v>1186</v>
      </c>
    </row>
    <row r="826" spans="1:2" x14ac:dyDescent="0.3">
      <c r="A826" t="s">
        <v>2108</v>
      </c>
      <c r="B826" t="s">
        <v>1187</v>
      </c>
    </row>
    <row r="827" spans="1:2" x14ac:dyDescent="0.3">
      <c r="A827" t="s">
        <v>2109</v>
      </c>
      <c r="B827" t="s">
        <v>1188</v>
      </c>
    </row>
    <row r="828" spans="1:2" x14ac:dyDescent="0.3">
      <c r="A828" t="s">
        <v>2110</v>
      </c>
      <c r="B828" t="s">
        <v>1189</v>
      </c>
    </row>
    <row r="829" spans="1:2" x14ac:dyDescent="0.3">
      <c r="A829" t="s">
        <v>2111</v>
      </c>
      <c r="B829" t="s">
        <v>1190</v>
      </c>
    </row>
    <row r="830" spans="1:2" x14ac:dyDescent="0.3">
      <c r="A830" t="s">
        <v>2112</v>
      </c>
      <c r="B830" t="s">
        <v>1191</v>
      </c>
    </row>
    <row r="831" spans="1:2" x14ac:dyDescent="0.3">
      <c r="A831" t="s">
        <v>2113</v>
      </c>
      <c r="B831" t="s">
        <v>1192</v>
      </c>
    </row>
    <row r="832" spans="1:2" x14ac:dyDescent="0.3">
      <c r="A832" t="s">
        <v>2114</v>
      </c>
      <c r="B832" t="s">
        <v>1193</v>
      </c>
    </row>
    <row r="833" spans="1:2" x14ac:dyDescent="0.3">
      <c r="A833" t="s">
        <v>2115</v>
      </c>
      <c r="B833" t="s">
        <v>1194</v>
      </c>
    </row>
    <row r="834" spans="1:2" x14ac:dyDescent="0.3">
      <c r="A834" t="s">
        <v>2116</v>
      </c>
      <c r="B834" t="s">
        <v>1195</v>
      </c>
    </row>
    <row r="835" spans="1:2" x14ac:dyDescent="0.3">
      <c r="A835" t="s">
        <v>2117</v>
      </c>
      <c r="B835" t="s">
        <v>1196</v>
      </c>
    </row>
    <row r="836" spans="1:2" x14ac:dyDescent="0.3">
      <c r="A836" t="s">
        <v>2118</v>
      </c>
      <c r="B836" t="s">
        <v>1197</v>
      </c>
    </row>
    <row r="837" spans="1:2" x14ac:dyDescent="0.3">
      <c r="A837" t="s">
        <v>2119</v>
      </c>
      <c r="B837" t="s">
        <v>1198</v>
      </c>
    </row>
    <row r="838" spans="1:2" x14ac:dyDescent="0.3">
      <c r="A838" t="s">
        <v>2120</v>
      </c>
      <c r="B838" t="s">
        <v>1199</v>
      </c>
    </row>
    <row r="839" spans="1:2" x14ac:dyDescent="0.3">
      <c r="A839" t="s">
        <v>2121</v>
      </c>
      <c r="B839" t="s">
        <v>1200</v>
      </c>
    </row>
    <row r="840" spans="1:2" x14ac:dyDescent="0.3">
      <c r="A840" t="s">
        <v>2122</v>
      </c>
      <c r="B840" t="s">
        <v>1201</v>
      </c>
    </row>
    <row r="841" spans="1:2" x14ac:dyDescent="0.3">
      <c r="A841" t="s">
        <v>2123</v>
      </c>
      <c r="B841" t="s">
        <v>1202</v>
      </c>
    </row>
    <row r="842" spans="1:2" x14ac:dyDescent="0.3">
      <c r="A842" t="s">
        <v>2124</v>
      </c>
      <c r="B842" t="s">
        <v>1203</v>
      </c>
    </row>
    <row r="843" spans="1:2" x14ac:dyDescent="0.3">
      <c r="A843" t="s">
        <v>2125</v>
      </c>
      <c r="B843" t="s">
        <v>1204</v>
      </c>
    </row>
    <row r="844" spans="1:2" x14ac:dyDescent="0.3">
      <c r="A844" t="s">
        <v>2126</v>
      </c>
      <c r="B844" t="s">
        <v>1205</v>
      </c>
    </row>
    <row r="845" spans="1:2" x14ac:dyDescent="0.3">
      <c r="A845" t="s">
        <v>2127</v>
      </c>
      <c r="B845" t="s">
        <v>1206</v>
      </c>
    </row>
    <row r="846" spans="1:2" x14ac:dyDescent="0.3">
      <c r="A846" t="s">
        <v>2128</v>
      </c>
      <c r="B846" t="s">
        <v>1207</v>
      </c>
    </row>
    <row r="847" spans="1:2" x14ac:dyDescent="0.3">
      <c r="A847" t="s">
        <v>2129</v>
      </c>
      <c r="B847" t="s">
        <v>1208</v>
      </c>
    </row>
    <row r="848" spans="1:2" x14ac:dyDescent="0.3">
      <c r="A848" t="s">
        <v>2130</v>
      </c>
      <c r="B848" t="s">
        <v>1209</v>
      </c>
    </row>
    <row r="849" spans="1:2" x14ac:dyDescent="0.3">
      <c r="A849" t="s">
        <v>2131</v>
      </c>
      <c r="B849" t="s">
        <v>1210</v>
      </c>
    </row>
    <row r="850" spans="1:2" x14ac:dyDescent="0.3">
      <c r="A850" t="s">
        <v>2132</v>
      </c>
      <c r="B850" t="s">
        <v>1211</v>
      </c>
    </row>
    <row r="851" spans="1:2" x14ac:dyDescent="0.3">
      <c r="A851" t="s">
        <v>2133</v>
      </c>
      <c r="B851" t="s">
        <v>1212</v>
      </c>
    </row>
    <row r="852" spans="1:2" x14ac:dyDescent="0.3">
      <c r="A852" t="s">
        <v>2134</v>
      </c>
      <c r="B852" t="s">
        <v>1213</v>
      </c>
    </row>
    <row r="853" spans="1:2" x14ac:dyDescent="0.3">
      <c r="A853" t="s">
        <v>2135</v>
      </c>
      <c r="B853" t="s">
        <v>1214</v>
      </c>
    </row>
    <row r="854" spans="1:2" x14ac:dyDescent="0.3">
      <c r="A854" t="s">
        <v>2136</v>
      </c>
      <c r="B854" t="s">
        <v>1215</v>
      </c>
    </row>
    <row r="855" spans="1:2" x14ac:dyDescent="0.3">
      <c r="A855" t="s">
        <v>2137</v>
      </c>
      <c r="B855" t="s">
        <v>1216</v>
      </c>
    </row>
    <row r="856" spans="1:2" x14ac:dyDescent="0.3">
      <c r="A856" t="s">
        <v>2138</v>
      </c>
      <c r="B856" t="s">
        <v>1217</v>
      </c>
    </row>
    <row r="857" spans="1:2" x14ac:dyDescent="0.3">
      <c r="A857" t="s">
        <v>2139</v>
      </c>
      <c r="B857" t="s">
        <v>1218</v>
      </c>
    </row>
    <row r="858" spans="1:2" x14ac:dyDescent="0.3">
      <c r="A858" t="s">
        <v>2140</v>
      </c>
      <c r="B858" t="s">
        <v>1219</v>
      </c>
    </row>
    <row r="859" spans="1:2" x14ac:dyDescent="0.3">
      <c r="A859" t="s">
        <v>2141</v>
      </c>
      <c r="B859" t="s">
        <v>1220</v>
      </c>
    </row>
    <row r="860" spans="1:2" x14ac:dyDescent="0.3">
      <c r="A860" t="s">
        <v>2142</v>
      </c>
      <c r="B860" t="s">
        <v>1221</v>
      </c>
    </row>
    <row r="861" spans="1:2" x14ac:dyDescent="0.3">
      <c r="A861" t="s">
        <v>2143</v>
      </c>
      <c r="B861" t="s">
        <v>1222</v>
      </c>
    </row>
    <row r="862" spans="1:2" x14ac:dyDescent="0.3">
      <c r="A862" t="s">
        <v>2144</v>
      </c>
      <c r="B862" t="s">
        <v>1223</v>
      </c>
    </row>
    <row r="863" spans="1:2" x14ac:dyDescent="0.3">
      <c r="A863" t="s">
        <v>2145</v>
      </c>
      <c r="B863" t="s">
        <v>1224</v>
      </c>
    </row>
    <row r="864" spans="1:2" x14ac:dyDescent="0.3">
      <c r="A864" t="s">
        <v>2146</v>
      </c>
      <c r="B864" t="s">
        <v>1225</v>
      </c>
    </row>
    <row r="865" spans="1:2" x14ac:dyDescent="0.3">
      <c r="A865" t="s">
        <v>2147</v>
      </c>
      <c r="B865" t="s">
        <v>1226</v>
      </c>
    </row>
    <row r="866" spans="1:2" x14ac:dyDescent="0.3">
      <c r="A866" t="s">
        <v>2148</v>
      </c>
      <c r="B866" t="s">
        <v>1227</v>
      </c>
    </row>
    <row r="867" spans="1:2" x14ac:dyDescent="0.3">
      <c r="A867" t="s">
        <v>2149</v>
      </c>
      <c r="B867" t="s">
        <v>1228</v>
      </c>
    </row>
    <row r="868" spans="1:2" x14ac:dyDescent="0.3">
      <c r="A868" t="s">
        <v>2150</v>
      </c>
      <c r="B868" t="s">
        <v>1229</v>
      </c>
    </row>
    <row r="869" spans="1:2" x14ac:dyDescent="0.3">
      <c r="A869" t="s">
        <v>2151</v>
      </c>
      <c r="B869" t="s">
        <v>1230</v>
      </c>
    </row>
    <row r="870" spans="1:2" x14ac:dyDescent="0.3">
      <c r="A870" t="s">
        <v>2152</v>
      </c>
      <c r="B870" t="s">
        <v>1231</v>
      </c>
    </row>
    <row r="871" spans="1:2" x14ac:dyDescent="0.3">
      <c r="A871" t="s">
        <v>2153</v>
      </c>
      <c r="B871" t="s">
        <v>1232</v>
      </c>
    </row>
    <row r="872" spans="1:2" x14ac:dyDescent="0.3">
      <c r="A872" t="s">
        <v>2154</v>
      </c>
      <c r="B872" t="s">
        <v>1233</v>
      </c>
    </row>
    <row r="873" spans="1:2" x14ac:dyDescent="0.3">
      <c r="A873" t="s">
        <v>2155</v>
      </c>
      <c r="B873" t="s">
        <v>1234</v>
      </c>
    </row>
    <row r="874" spans="1:2" x14ac:dyDescent="0.3">
      <c r="A874" t="s">
        <v>2156</v>
      </c>
      <c r="B874" t="s">
        <v>1235</v>
      </c>
    </row>
    <row r="875" spans="1:2" x14ac:dyDescent="0.3">
      <c r="A875" t="s">
        <v>2157</v>
      </c>
      <c r="B875" t="s">
        <v>1236</v>
      </c>
    </row>
    <row r="876" spans="1:2" x14ac:dyDescent="0.3">
      <c r="A876" t="s">
        <v>2158</v>
      </c>
      <c r="B876" t="s">
        <v>1237</v>
      </c>
    </row>
    <row r="877" spans="1:2" x14ac:dyDescent="0.3">
      <c r="A877" t="s">
        <v>2159</v>
      </c>
      <c r="B877" t="s">
        <v>1238</v>
      </c>
    </row>
    <row r="878" spans="1:2" x14ac:dyDescent="0.3">
      <c r="A878" t="s">
        <v>2160</v>
      </c>
      <c r="B878" t="s">
        <v>1239</v>
      </c>
    </row>
    <row r="879" spans="1:2" x14ac:dyDescent="0.3">
      <c r="A879" t="s">
        <v>2161</v>
      </c>
      <c r="B879" t="s">
        <v>1240</v>
      </c>
    </row>
    <row r="880" spans="1:2" x14ac:dyDescent="0.3">
      <c r="A880" t="s">
        <v>2162</v>
      </c>
      <c r="B880" t="s">
        <v>1241</v>
      </c>
    </row>
    <row r="881" spans="1:2" x14ac:dyDescent="0.3">
      <c r="A881" t="s">
        <v>2163</v>
      </c>
      <c r="B881" t="s">
        <v>1242</v>
      </c>
    </row>
    <row r="882" spans="1:2" x14ac:dyDescent="0.3">
      <c r="A882" t="s">
        <v>2164</v>
      </c>
      <c r="B882" t="s">
        <v>1243</v>
      </c>
    </row>
    <row r="883" spans="1:2" x14ac:dyDescent="0.3">
      <c r="A883" t="s">
        <v>2165</v>
      </c>
      <c r="B883" t="s">
        <v>1244</v>
      </c>
    </row>
    <row r="884" spans="1:2" x14ac:dyDescent="0.3">
      <c r="A884" t="s">
        <v>2166</v>
      </c>
      <c r="B884" t="s">
        <v>1245</v>
      </c>
    </row>
    <row r="885" spans="1:2" x14ac:dyDescent="0.3">
      <c r="A885" t="s">
        <v>2167</v>
      </c>
      <c r="B885" t="s">
        <v>1246</v>
      </c>
    </row>
    <row r="886" spans="1:2" x14ac:dyDescent="0.3">
      <c r="A886" t="s">
        <v>2168</v>
      </c>
      <c r="B886" t="s">
        <v>1247</v>
      </c>
    </row>
    <row r="887" spans="1:2" x14ac:dyDescent="0.3">
      <c r="A887" t="s">
        <v>2169</v>
      </c>
      <c r="B887" t="s">
        <v>1248</v>
      </c>
    </row>
    <row r="888" spans="1:2" x14ac:dyDescent="0.3">
      <c r="A888" t="s">
        <v>2170</v>
      </c>
      <c r="B888" t="s">
        <v>1249</v>
      </c>
    </row>
    <row r="889" spans="1:2" x14ac:dyDescent="0.3">
      <c r="A889" t="s">
        <v>2171</v>
      </c>
      <c r="B889" t="s">
        <v>1250</v>
      </c>
    </row>
    <row r="890" spans="1:2" x14ac:dyDescent="0.3">
      <c r="A890" t="s">
        <v>2172</v>
      </c>
      <c r="B890" t="s">
        <v>1251</v>
      </c>
    </row>
    <row r="891" spans="1:2" x14ac:dyDescent="0.3">
      <c r="A891" t="s">
        <v>2173</v>
      </c>
      <c r="B891" t="s">
        <v>1252</v>
      </c>
    </row>
    <row r="892" spans="1:2" x14ac:dyDescent="0.3">
      <c r="A892" t="s">
        <v>2174</v>
      </c>
      <c r="B892" t="s">
        <v>1253</v>
      </c>
    </row>
    <row r="893" spans="1:2" x14ac:dyDescent="0.3">
      <c r="A893" t="s">
        <v>2175</v>
      </c>
      <c r="B893" t="s">
        <v>1254</v>
      </c>
    </row>
    <row r="894" spans="1:2" x14ac:dyDescent="0.3">
      <c r="A894" t="s">
        <v>2176</v>
      </c>
      <c r="B894" t="s">
        <v>1255</v>
      </c>
    </row>
    <row r="895" spans="1:2" x14ac:dyDescent="0.3">
      <c r="A895" t="s">
        <v>2177</v>
      </c>
      <c r="B895" t="s">
        <v>1256</v>
      </c>
    </row>
    <row r="896" spans="1:2" x14ac:dyDescent="0.3">
      <c r="A896" t="s">
        <v>2178</v>
      </c>
      <c r="B896" t="s">
        <v>1257</v>
      </c>
    </row>
    <row r="897" spans="1:2" x14ac:dyDescent="0.3">
      <c r="A897" t="s">
        <v>2179</v>
      </c>
      <c r="B897" t="s">
        <v>1258</v>
      </c>
    </row>
    <row r="898" spans="1:2" x14ac:dyDescent="0.3">
      <c r="A898" t="s">
        <v>2180</v>
      </c>
      <c r="B898" t="s">
        <v>1259</v>
      </c>
    </row>
    <row r="899" spans="1:2" x14ac:dyDescent="0.3">
      <c r="A899" t="s">
        <v>2181</v>
      </c>
      <c r="B899" t="s">
        <v>1260</v>
      </c>
    </row>
    <row r="900" spans="1:2" x14ac:dyDescent="0.3">
      <c r="A900" t="s">
        <v>2182</v>
      </c>
      <c r="B900" t="s">
        <v>1261</v>
      </c>
    </row>
    <row r="901" spans="1:2" x14ac:dyDescent="0.3">
      <c r="A901" t="s">
        <v>2183</v>
      </c>
      <c r="B901" t="s">
        <v>1262</v>
      </c>
    </row>
    <row r="902" spans="1:2" x14ac:dyDescent="0.3">
      <c r="A902" t="s">
        <v>2184</v>
      </c>
      <c r="B902" t="s">
        <v>159</v>
      </c>
    </row>
    <row r="903" spans="1:2" x14ac:dyDescent="0.3">
      <c r="A903" t="s">
        <v>2185</v>
      </c>
      <c r="B903" t="s">
        <v>1263</v>
      </c>
    </row>
    <row r="904" spans="1:2" x14ac:dyDescent="0.3">
      <c r="A904" t="s">
        <v>2186</v>
      </c>
      <c r="B904" t="s">
        <v>1264</v>
      </c>
    </row>
    <row r="905" spans="1:2" x14ac:dyDescent="0.3">
      <c r="A905" t="s">
        <v>2187</v>
      </c>
      <c r="B905" t="s">
        <v>1265</v>
      </c>
    </row>
    <row r="906" spans="1:2" x14ac:dyDescent="0.3">
      <c r="A906" t="s">
        <v>2188</v>
      </c>
      <c r="B906" t="s">
        <v>1266</v>
      </c>
    </row>
    <row r="907" spans="1:2" x14ac:dyDescent="0.3">
      <c r="A907" t="s">
        <v>2189</v>
      </c>
      <c r="B907" t="s">
        <v>1267</v>
      </c>
    </row>
    <row r="908" spans="1:2" x14ac:dyDescent="0.3">
      <c r="A908" t="s">
        <v>2190</v>
      </c>
      <c r="B908" t="s">
        <v>1268</v>
      </c>
    </row>
    <row r="909" spans="1:2" x14ac:dyDescent="0.3">
      <c r="A909" t="s">
        <v>2191</v>
      </c>
      <c r="B909" t="s">
        <v>154</v>
      </c>
    </row>
    <row r="910" spans="1:2" x14ac:dyDescent="0.3">
      <c r="A910" t="s">
        <v>2192</v>
      </c>
      <c r="B910" t="s">
        <v>1269</v>
      </c>
    </row>
    <row r="911" spans="1:2" x14ac:dyDescent="0.3">
      <c r="A911" t="s">
        <v>2193</v>
      </c>
      <c r="B911" t="s">
        <v>1270</v>
      </c>
    </row>
    <row r="912" spans="1:2" x14ac:dyDescent="0.3">
      <c r="A912" t="s">
        <v>2194</v>
      </c>
      <c r="B912" t="s">
        <v>1271</v>
      </c>
    </row>
    <row r="913" spans="1:2" x14ac:dyDescent="0.3">
      <c r="A913" t="s">
        <v>2195</v>
      </c>
      <c r="B913" t="s">
        <v>1272</v>
      </c>
    </row>
    <row r="914" spans="1:2" x14ac:dyDescent="0.3">
      <c r="A914" t="s">
        <v>2196</v>
      </c>
      <c r="B914" t="s">
        <v>1273</v>
      </c>
    </row>
    <row r="915" spans="1:2" x14ac:dyDescent="0.3">
      <c r="A915" t="s">
        <v>2197</v>
      </c>
      <c r="B915" t="s">
        <v>1274</v>
      </c>
    </row>
    <row r="916" spans="1:2" x14ac:dyDescent="0.3">
      <c r="A916" t="s">
        <v>2198</v>
      </c>
      <c r="B916" t="s">
        <v>1275</v>
      </c>
    </row>
    <row r="917" spans="1:2" x14ac:dyDescent="0.3">
      <c r="A917" t="s">
        <v>2199</v>
      </c>
      <c r="B917" t="s">
        <v>1276</v>
      </c>
    </row>
    <row r="918" spans="1:2" x14ac:dyDescent="0.3">
      <c r="A918" t="s">
        <v>2200</v>
      </c>
      <c r="B918" t="s">
        <v>1277</v>
      </c>
    </row>
    <row r="919" spans="1:2" x14ac:dyDescent="0.3">
      <c r="A919" t="s">
        <v>2201</v>
      </c>
      <c r="B919" t="s">
        <v>1278</v>
      </c>
    </row>
    <row r="920" spans="1:2" x14ac:dyDescent="0.3">
      <c r="A920" t="s">
        <v>2202</v>
      </c>
      <c r="B920" t="s">
        <v>1279</v>
      </c>
    </row>
    <row r="921" spans="1:2" x14ac:dyDescent="0.3">
      <c r="A921" t="s">
        <v>2203</v>
      </c>
      <c r="B921" t="s">
        <v>1280</v>
      </c>
    </row>
    <row r="922" spans="1:2" x14ac:dyDescent="0.3">
      <c r="A922" t="s">
        <v>2204</v>
      </c>
      <c r="B922" t="s">
        <v>1281</v>
      </c>
    </row>
    <row r="923" spans="1:2" x14ac:dyDescent="0.3">
      <c r="A923" t="s">
        <v>2205</v>
      </c>
      <c r="B923" t="s">
        <v>1282</v>
      </c>
    </row>
    <row r="924" spans="1:2" x14ac:dyDescent="0.3">
      <c r="A924" t="s">
        <v>2206</v>
      </c>
      <c r="B924" t="s">
        <v>1283</v>
      </c>
    </row>
    <row r="925" spans="1:2" x14ac:dyDescent="0.3">
      <c r="A925" t="s">
        <v>2207</v>
      </c>
      <c r="B925" t="s">
        <v>1284</v>
      </c>
    </row>
    <row r="926" spans="1:2" x14ac:dyDescent="0.3">
      <c r="A926" t="s">
        <v>2208</v>
      </c>
      <c r="B926" t="s">
        <v>1285</v>
      </c>
    </row>
    <row r="927" spans="1:2" x14ac:dyDescent="0.3">
      <c r="A927" t="s">
        <v>2209</v>
      </c>
      <c r="B927" t="s">
        <v>1286</v>
      </c>
    </row>
    <row r="928" spans="1:2" x14ac:dyDescent="0.3">
      <c r="A928" t="s">
        <v>2210</v>
      </c>
      <c r="B928" t="s">
        <v>1287</v>
      </c>
    </row>
    <row r="929" spans="1:2" x14ac:dyDescent="0.3">
      <c r="A929" t="s">
        <v>2211</v>
      </c>
      <c r="B929" t="s">
        <v>1288</v>
      </c>
    </row>
    <row r="930" spans="1:2" x14ac:dyDescent="0.3">
      <c r="A930" t="s">
        <v>2212</v>
      </c>
      <c r="B930" t="s">
        <v>1289</v>
      </c>
    </row>
    <row r="931" spans="1:2" x14ac:dyDescent="0.3">
      <c r="A931" t="s">
        <v>2213</v>
      </c>
      <c r="B931" t="s">
        <v>1290</v>
      </c>
    </row>
    <row r="932" spans="1:2" x14ac:dyDescent="0.3">
      <c r="A932" t="s">
        <v>2214</v>
      </c>
      <c r="B932" t="s">
        <v>1291</v>
      </c>
    </row>
    <row r="933" spans="1:2" x14ac:dyDescent="0.3">
      <c r="A933" t="s">
        <v>2215</v>
      </c>
      <c r="B933" t="s">
        <v>1292</v>
      </c>
    </row>
  </sheetData>
  <pageMargins left="0.7" right="0.7" top="0.75" bottom="0.75" header="0.3" footer="0.3"/>
  <pageSetup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E35"/>
  <sheetViews>
    <sheetView showGridLines="0" topLeftCell="A2" workbookViewId="0">
      <selection activeCell="C15" sqref="C15"/>
    </sheetView>
  </sheetViews>
  <sheetFormatPr defaultRowHeight="14.4" x14ac:dyDescent="0.3"/>
  <cols>
    <col min="1" max="1" width="4" customWidth="1"/>
    <col min="2" max="2" width="36" customWidth="1"/>
    <col min="3" max="3" width="40" customWidth="1"/>
    <col min="4" max="5" width="20" customWidth="1"/>
  </cols>
  <sheetData>
    <row r="1" spans="2:5" ht="31.95" customHeight="1" x14ac:dyDescent="0.3">
      <c r="B1" s="41" t="s">
        <v>243</v>
      </c>
      <c r="C1" s="41"/>
      <c r="D1" s="41"/>
      <c r="E1" s="41"/>
    </row>
    <row r="3" spans="2:5" x14ac:dyDescent="0.3">
      <c r="B3" s="40" t="s">
        <v>244</v>
      </c>
      <c r="C3" s="40"/>
      <c r="D3" s="40"/>
      <c r="E3" s="40"/>
    </row>
    <row r="4" spans="2:5" ht="22.05" customHeight="1" x14ac:dyDescent="0.3">
      <c r="B4" s="6" t="s">
        <v>245</v>
      </c>
      <c r="C4" s="39" t="s">
        <v>370</v>
      </c>
      <c r="D4" s="39"/>
      <c r="E4" s="39"/>
    </row>
    <row r="5" spans="2:5" ht="22.05" customHeight="1" x14ac:dyDescent="0.3">
      <c r="B5" s="6" t="s">
        <v>50</v>
      </c>
      <c r="C5" s="42" t="str">
        <f>IFERROR(_xlfn.XLOOKUP(C4,MASTER!$B:$B,MASTER!$A:$A),"")</f>
        <v>E1-BSDK</v>
      </c>
      <c r="D5" s="42"/>
      <c r="E5" s="42"/>
    </row>
    <row r="6" spans="2:5" ht="22.05" customHeight="1" x14ac:dyDescent="0.3">
      <c r="B6" s="6" t="s">
        <v>246</v>
      </c>
      <c r="C6" s="39">
        <v>2026</v>
      </c>
      <c r="D6" s="39"/>
      <c r="E6" s="39"/>
    </row>
    <row r="7" spans="2:5" ht="22.05" customHeight="1" x14ac:dyDescent="0.3">
      <c r="B7" s="6" t="s">
        <v>247</v>
      </c>
      <c r="C7" s="58">
        <v>46023</v>
      </c>
      <c r="D7" s="39"/>
      <c r="E7" s="39"/>
    </row>
    <row r="8" spans="2:5" ht="22.05" customHeight="1" x14ac:dyDescent="0.3">
      <c r="B8" s="6" t="s">
        <v>248</v>
      </c>
      <c r="C8" s="58">
        <v>46387</v>
      </c>
      <c r="D8" s="39"/>
      <c r="E8" s="39"/>
    </row>
    <row r="10" spans="2:5" x14ac:dyDescent="0.3">
      <c r="B10" s="40" t="s">
        <v>249</v>
      </c>
      <c r="C10" s="40"/>
      <c r="D10" s="40"/>
      <c r="E10" s="40"/>
    </row>
    <row r="11" spans="2:5" ht="22.05" customHeight="1" x14ac:dyDescent="0.3">
      <c r="B11" s="6" t="s">
        <v>250</v>
      </c>
      <c r="C11" s="39" t="s">
        <v>2220</v>
      </c>
      <c r="D11" s="39"/>
      <c r="E11" s="39"/>
    </row>
    <row r="12" spans="2:5" ht="22.05" customHeight="1" x14ac:dyDescent="0.3">
      <c r="B12" s="6" t="s">
        <v>251</v>
      </c>
      <c r="C12" s="39" t="s">
        <v>2221</v>
      </c>
      <c r="D12" s="39"/>
      <c r="E12" s="39"/>
    </row>
    <row r="13" spans="2:5" ht="22.05" customHeight="1" x14ac:dyDescent="0.3">
      <c r="B13" s="6" t="s">
        <v>252</v>
      </c>
      <c r="C13" s="39" t="s">
        <v>2222</v>
      </c>
      <c r="D13" s="39"/>
      <c r="E13" s="39"/>
    </row>
    <row r="14" spans="2:5" ht="22.05" customHeight="1" x14ac:dyDescent="0.3">
      <c r="B14" s="6" t="s">
        <v>253</v>
      </c>
      <c r="C14" s="39" t="s">
        <v>2223</v>
      </c>
      <c r="D14" s="39"/>
      <c r="E14" s="39"/>
    </row>
    <row r="16" spans="2:5" x14ac:dyDescent="0.3">
      <c r="B16" s="40" t="s">
        <v>254</v>
      </c>
      <c r="C16" s="40"/>
      <c r="D16" s="40"/>
      <c r="E16" s="40"/>
    </row>
    <row r="17" spans="2:5" x14ac:dyDescent="0.3">
      <c r="B17" s="8" t="s">
        <v>52</v>
      </c>
      <c r="C17" s="8" t="s">
        <v>255</v>
      </c>
      <c r="D17" s="8" t="s">
        <v>256</v>
      </c>
      <c r="E17" s="8" t="s">
        <v>257</v>
      </c>
    </row>
    <row r="18" spans="2:5" ht="22.05" customHeight="1" x14ac:dyDescent="0.3">
      <c r="B18" s="6" t="s">
        <v>67</v>
      </c>
      <c r="C18" s="5" t="s">
        <v>2217</v>
      </c>
      <c r="D18" s="5"/>
      <c r="E18" s="5"/>
    </row>
    <row r="19" spans="2:5" ht="22.05" customHeight="1" x14ac:dyDescent="0.3">
      <c r="B19" s="6" t="s">
        <v>81</v>
      </c>
      <c r="C19" s="5" t="s">
        <v>2218</v>
      </c>
      <c r="D19" s="5"/>
      <c r="E19" s="5"/>
    </row>
    <row r="20" spans="2:5" ht="22.05" customHeight="1" x14ac:dyDescent="0.3">
      <c r="B20" s="6" t="s">
        <v>93</v>
      </c>
      <c r="C20" s="5" t="s">
        <v>2219</v>
      </c>
      <c r="D20" s="5"/>
      <c r="E20" s="5"/>
    </row>
    <row r="21" spans="2:5" ht="22.05" customHeight="1" x14ac:dyDescent="0.3">
      <c r="B21" s="6" t="s">
        <v>105</v>
      </c>
      <c r="C21" s="5"/>
      <c r="D21" s="5"/>
      <c r="E21" s="5"/>
    </row>
    <row r="22" spans="2:5" ht="22.05" customHeight="1" x14ac:dyDescent="0.3">
      <c r="B22" s="6" t="s">
        <v>116</v>
      </c>
      <c r="C22" s="5"/>
      <c r="D22" s="5"/>
      <c r="E22" s="5"/>
    </row>
    <row r="24" spans="2:5" x14ac:dyDescent="0.3">
      <c r="B24" s="40" t="s">
        <v>258</v>
      </c>
      <c r="C24" s="40"/>
      <c r="D24" s="40"/>
      <c r="E24" s="40"/>
    </row>
    <row r="25" spans="2:5" ht="27.6" x14ac:dyDescent="0.3">
      <c r="B25" s="8" t="s">
        <v>52</v>
      </c>
      <c r="C25" s="8" t="s">
        <v>259</v>
      </c>
      <c r="D25" s="8" t="s">
        <v>260</v>
      </c>
      <c r="E25" s="8" t="s">
        <v>261</v>
      </c>
    </row>
    <row r="26" spans="2:5" ht="24" customHeight="1" x14ac:dyDescent="0.3">
      <c r="B26" s="6" t="s">
        <v>67</v>
      </c>
      <c r="C26" s="5"/>
      <c r="D26" s="7" t="str">
        <f ca="1">IFERROR(_xludf.XLOOKUP(C26,MASTER!$K:$K,MASTER!$M:$M),"")</f>
        <v/>
      </c>
      <c r="E26" s="7" t="str">
        <f ca="1">IFERROR(_xludf.XLOOKUP(C26,MASTER!$K:$K,MASTER!$N:$N),"")</f>
        <v/>
      </c>
    </row>
    <row r="27" spans="2:5" ht="24" customHeight="1" x14ac:dyDescent="0.3">
      <c r="B27" s="6" t="s">
        <v>81</v>
      </c>
      <c r="C27" s="5"/>
      <c r="D27" s="7" t="str">
        <f ca="1">IFERROR(_xludf.XLOOKUP(C27,MASTER!$K:$K,MASTER!$M:$M),"")</f>
        <v/>
      </c>
      <c r="E27" s="7" t="str">
        <f ca="1">IFERROR(_xludf.XLOOKUP(C27,MASTER!$K:$K,MASTER!$N:$N),"")</f>
        <v/>
      </c>
    </row>
    <row r="28" spans="2:5" ht="24" customHeight="1" x14ac:dyDescent="0.3">
      <c r="B28" s="6" t="s">
        <v>93</v>
      </c>
      <c r="C28" s="5"/>
      <c r="D28" s="7" t="str">
        <f ca="1">IFERROR(_xludf.XLOOKUP(C28,MASTER!$K:$K,MASTER!$M:$M),"")</f>
        <v/>
      </c>
      <c r="E28" s="7" t="str">
        <f ca="1">IFERROR(_xludf.XLOOKUP(C28,MASTER!$K:$K,MASTER!$N:$N),"")</f>
        <v/>
      </c>
    </row>
    <row r="29" spans="2:5" ht="24" customHeight="1" x14ac:dyDescent="0.3">
      <c r="B29" s="6" t="s">
        <v>105</v>
      </c>
      <c r="C29" s="5"/>
      <c r="D29" s="7" t="str">
        <f ca="1">IFERROR(_xludf.XLOOKUP(C29,MASTER!$K:$K,MASTER!$M:$M),"")</f>
        <v/>
      </c>
      <c r="E29" s="7" t="str">
        <f ca="1">IFERROR(_xludf.XLOOKUP(C29,MASTER!$K:$K,MASTER!$N:$N),"")</f>
        <v/>
      </c>
    </row>
    <row r="30" spans="2:5" ht="24" customHeight="1" x14ac:dyDescent="0.3">
      <c r="B30" s="6" t="s">
        <v>116</v>
      </c>
      <c r="C30" s="5"/>
      <c r="D30" s="7" t="str">
        <f ca="1">IFERROR(_xludf.XLOOKUP(C30,MASTER!$K:$K,MASTER!$M:$M),"")</f>
        <v/>
      </c>
      <c r="E30" s="7" t="str">
        <f ca="1">IFERROR(_xludf.XLOOKUP(C30,MASTER!$K:$K,MASTER!$N:$N),"")</f>
        <v/>
      </c>
    </row>
    <row r="32" spans="2:5" x14ac:dyDescent="0.3">
      <c r="B32" s="40" t="s">
        <v>262</v>
      </c>
      <c r="C32" s="40"/>
      <c r="D32" s="40"/>
      <c r="E32" s="40"/>
    </row>
    <row r="33" spans="2:5" ht="60" customHeight="1" x14ac:dyDescent="0.3">
      <c r="B33" s="38"/>
      <c r="C33" s="38"/>
      <c r="D33" s="38"/>
      <c r="E33" s="38"/>
    </row>
    <row r="34" spans="2:5" x14ac:dyDescent="0.3">
      <c r="B34" s="38"/>
      <c r="C34" s="38"/>
      <c r="D34" s="38"/>
      <c r="E34" s="38"/>
    </row>
    <row r="35" spans="2:5" x14ac:dyDescent="0.3">
      <c r="B35" s="38"/>
      <c r="C35" s="38"/>
      <c r="D35" s="38"/>
      <c r="E35" s="38"/>
    </row>
  </sheetData>
  <mergeCells count="16">
    <mergeCell ref="B1:E1"/>
    <mergeCell ref="B3:E3"/>
    <mergeCell ref="C4:E4"/>
    <mergeCell ref="C5:E5"/>
    <mergeCell ref="C6:E6"/>
    <mergeCell ref="C7:E7"/>
    <mergeCell ref="C8:E8"/>
    <mergeCell ref="B10:E10"/>
    <mergeCell ref="C11:E11"/>
    <mergeCell ref="C12:E12"/>
    <mergeCell ref="B33:E35"/>
    <mergeCell ref="C13:E13"/>
    <mergeCell ref="C14:E14"/>
    <mergeCell ref="B16:E16"/>
    <mergeCell ref="B24:E24"/>
    <mergeCell ref="B32:E32"/>
  </mergeCell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Nilai tidak valid" error="Pilih dari daftar yang tersedia." xr:uid="{00000000-0002-0000-0200-000000000000}">
          <x14:formula1>
            <xm:f>MASTER!$K$2:$K$32</xm:f>
          </x14:formula1>
          <xm:sqref>C26:C30</xm:sqref>
        </x14:dataValidation>
        <x14:dataValidation type="list" allowBlank="1" showInputMessage="1" showErrorMessage="1" xr:uid="{505F9251-BC05-4E23-98A5-94DEB9467156}">
          <x14:formula1>
            <xm:f>MASTER!$B$2:$B$933</xm:f>
          </x14:formula1>
          <xm:sqref>C4:E4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E11"/>
  <sheetViews>
    <sheetView showGridLines="0" workbookViewId="0">
      <selection activeCell="E22" sqref="E22"/>
    </sheetView>
  </sheetViews>
  <sheetFormatPr defaultRowHeight="14.4" x14ac:dyDescent="0.3"/>
  <cols>
    <col min="1" max="1" width="4" customWidth="1"/>
    <col min="2" max="2" width="8" customWidth="1"/>
    <col min="3" max="3" width="22" customWidth="1"/>
    <col min="4" max="4" width="18" customWidth="1"/>
    <col min="5" max="5" width="52" customWidth="1"/>
  </cols>
  <sheetData>
    <row r="1" spans="2:5" ht="31.95" customHeight="1" x14ac:dyDescent="0.3">
      <c r="B1" s="43" t="s">
        <v>263</v>
      </c>
      <c r="C1" s="43"/>
      <c r="D1" s="43"/>
      <c r="E1" s="43"/>
    </row>
    <row r="2" spans="2:5" ht="19.95" customHeight="1" x14ac:dyDescent="0.3">
      <c r="B2" s="44" t="s">
        <v>264</v>
      </c>
      <c r="C2" s="44"/>
      <c r="D2" s="44"/>
      <c r="E2" s="44"/>
    </row>
    <row r="4" spans="2:5" ht="22.05" customHeight="1" x14ac:dyDescent="0.3">
      <c r="B4" s="9" t="s">
        <v>52</v>
      </c>
      <c r="C4" s="9" t="s">
        <v>53</v>
      </c>
      <c r="D4" s="9" t="s">
        <v>265</v>
      </c>
      <c r="E4" s="9" t="s">
        <v>266</v>
      </c>
    </row>
    <row r="5" spans="2:5" ht="22.05" customHeight="1" x14ac:dyDescent="0.3">
      <c r="B5" s="10">
        <v>1</v>
      </c>
      <c r="C5" s="5" t="s">
        <v>68</v>
      </c>
      <c r="D5" s="11">
        <v>4</v>
      </c>
      <c r="E5" s="7" t="str">
        <f>IFERROR(INDEX({"1 = Nol toleransi — sekecil apapun harus dimitigasi","2 = Toleransi sangat rendah — risiko rendah pun perlu perhatian","3 = Toleransi sedang — risiko di atas sedang harus dimitigasi","4 = Toleransi tinggi — hanya risiko sangat tinggi yang diprioritaskan","5 = Risiko apapun dapat diterima (tidak disarankan)"},D5),"")</f>
        <v>4 = Toleransi tinggi — hanya risiko sangat tinggi yang diprioritaskan</v>
      </c>
    </row>
    <row r="6" spans="2:5" ht="22.05" customHeight="1" x14ac:dyDescent="0.3">
      <c r="B6" s="10">
        <v>2</v>
      </c>
      <c r="C6" s="5" t="s">
        <v>82</v>
      </c>
      <c r="D6" s="11">
        <v>3</v>
      </c>
      <c r="E6" s="7" t="str">
        <f>IFERROR(INDEX({"1 = Nol toleransi — sekecil apapun harus dimitigasi","2 = Toleransi sangat rendah — risiko rendah pun perlu perhatian","3 = Toleransi sedang — risiko di atas sedang harus dimitigasi","4 = Toleransi tinggi — hanya risiko sangat tinggi yang diprioritaskan","5 = Risiko apapun dapat diterima (tidak disarankan)"},D6),"")</f>
        <v>3 = Toleransi sedang — risiko di atas sedang harus dimitigasi</v>
      </c>
    </row>
    <row r="7" spans="2:5" ht="22.05" customHeight="1" x14ac:dyDescent="0.3">
      <c r="B7" s="10">
        <v>3</v>
      </c>
      <c r="C7" s="5" t="s">
        <v>94</v>
      </c>
      <c r="D7" s="11">
        <v>1</v>
      </c>
      <c r="E7" s="7" t="str">
        <f>IFERROR(INDEX({"1 = Nol toleransi — sekecil apapun harus dimitigasi","2 = Toleransi sangat rendah — risiko rendah pun perlu perhatian","3 = Toleransi sedang — risiko di atas sedang harus dimitigasi","4 = Toleransi tinggi — hanya risiko sangat tinggi yang diprioritaskan","5 = Risiko apapun dapat diterima (tidak disarankan)"},D7),"")</f>
        <v>1 = Nol toleransi — sekecil apapun harus dimitigasi</v>
      </c>
    </row>
    <row r="8" spans="2:5" ht="22.05" customHeight="1" x14ac:dyDescent="0.3">
      <c r="B8" s="10">
        <v>4</v>
      </c>
      <c r="C8" s="5" t="s">
        <v>106</v>
      </c>
      <c r="D8" s="11">
        <v>2</v>
      </c>
      <c r="E8" s="7" t="str">
        <f>IFERROR(INDEX({"1 = Nol toleransi — sekecil apapun harus dimitigasi","2 = Toleransi sangat rendah — risiko rendah pun perlu perhatian","3 = Toleransi sedang — risiko di atas sedang harus dimitigasi","4 = Toleransi tinggi — hanya risiko sangat tinggi yang diprioritaskan","5 = Risiko apapun dapat diterima (tidak disarankan)"},D8),"")</f>
        <v>2 = Toleransi sangat rendah — risiko rendah pun perlu perhatian</v>
      </c>
    </row>
    <row r="9" spans="2:5" ht="22.05" customHeight="1" x14ac:dyDescent="0.3">
      <c r="B9" s="10">
        <v>5</v>
      </c>
      <c r="C9" s="5" t="s">
        <v>117</v>
      </c>
      <c r="D9" s="11">
        <v>2</v>
      </c>
      <c r="E9" s="7" t="str">
        <f>IFERROR(INDEX({"1 = Nol toleransi — sekecil apapun harus dimitigasi","2 = Toleransi sangat rendah — risiko rendah pun perlu perhatian","3 = Toleransi sedang — risiko di atas sedang harus dimitigasi","4 = Toleransi tinggi — hanya risiko sangat tinggi yang diprioritaskan","5 = Risiko apapun dapat diterima (tidak disarankan)"},D9),"")</f>
        <v>2 = Toleransi sangat rendah — risiko rendah pun perlu perhatian</v>
      </c>
    </row>
    <row r="10" spans="2:5" ht="22.05" customHeight="1" x14ac:dyDescent="0.3">
      <c r="B10" s="10">
        <v>6</v>
      </c>
      <c r="C10" s="5" t="s">
        <v>129</v>
      </c>
      <c r="D10" s="11">
        <v>3</v>
      </c>
      <c r="E10" s="7" t="str">
        <f>IFERROR(INDEX({"1 = Nol toleransi — sekecil apapun harus dimitigasi","2 = Toleransi sangat rendah — risiko rendah pun perlu perhatian","3 = Toleransi sedang — risiko di atas sedang harus dimitigasi","4 = Toleransi tinggi — hanya risiko sangat tinggi yang diprioritaskan","5 = Risiko apapun dapat diterima (tidak disarankan)"},D10),"")</f>
        <v>3 = Toleransi sedang — risiko di atas sedang harus dimitigasi</v>
      </c>
    </row>
    <row r="11" spans="2:5" ht="22.05" customHeight="1" x14ac:dyDescent="0.3">
      <c r="B11" s="10">
        <v>7</v>
      </c>
      <c r="C11" s="5" t="s">
        <v>139</v>
      </c>
      <c r="D11" s="11">
        <v>4</v>
      </c>
      <c r="E11" s="7" t="str">
        <f>IFERROR(INDEX({"1 = Nol toleransi — sekecil apapun harus dimitigasi","2 = Toleransi sangat rendah — risiko rendah pun perlu perhatian","3 = Toleransi sedang — risiko di atas sedang harus dimitigasi","4 = Toleransi tinggi — hanya risiko sangat tinggi yang diprioritaskan","5 = Risiko apapun dapat diterima (tidak disarankan)"},D11),"")</f>
        <v>4 = Toleransi tinggi — hanya risiko sangat tinggi yang diprioritaskan</v>
      </c>
    </row>
  </sheetData>
  <mergeCells count="2">
    <mergeCell ref="B1:E1"/>
    <mergeCell ref="B2:E2"/>
  </mergeCells>
  <conditionalFormatting sqref="D5:D11">
    <cfRule type="cellIs" dxfId="15" priority="1" operator="equal">
      <formula>1</formula>
    </cfRule>
    <cfRule type="cellIs" dxfId="14" priority="2" operator="equal">
      <formula>2</formula>
    </cfRule>
    <cfRule type="cellIs" dxfId="13" priority="3" operator="equal">
      <formula>3</formula>
    </cfRule>
    <cfRule type="cellIs" dxfId="12" priority="4" operator="equal">
      <formula>4</formula>
    </cfRule>
    <cfRule type="cellIs" dxfId="11" priority="5" operator="equal">
      <formula>5</formula>
    </cfRule>
  </conditionalFormatting>
  <dataValidations count="1">
    <dataValidation type="list" allowBlank="1" showErrorMessage="1" errorTitle="Nilai tidak valid" error="Pilih dari daftar yang tersedia." sqref="D5:D11" xr:uid="{00000000-0002-0000-0300-000000000000}">
      <formula1>"1,2,3,4,5"</formula1>
    </dataValidation>
  </dataValidations>
  <pageMargins left="0.7" right="0.7" top="0.75" bottom="0.75" header="0.3" footer="0.3"/>
  <pageSetup orientation="portrait" horizontalDpi="4294967295" verticalDpi="4294967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52"/>
  <sheetViews>
    <sheetView workbookViewId="0">
      <pane xSplit="2" ySplit="2" topLeftCell="C1048554" activePane="bottomRight" state="frozen"/>
      <selection pane="topRight"/>
      <selection pane="bottomLeft"/>
      <selection pane="bottomRight" activeCell="A9" sqref="A9"/>
    </sheetView>
  </sheetViews>
  <sheetFormatPr defaultRowHeight="14.4" x14ac:dyDescent="0.3"/>
  <cols>
    <col min="1" max="1" width="6" customWidth="1"/>
    <col min="2" max="2" width="18" customWidth="1"/>
    <col min="3" max="3" width="14" customWidth="1"/>
    <col min="4" max="4" width="36" customWidth="1"/>
    <col min="5" max="5" width="30" customWidth="1"/>
    <col min="6" max="6" width="36" customWidth="1"/>
    <col min="7" max="7" width="44" customWidth="1"/>
    <col min="8" max="8" width="16" customWidth="1"/>
    <col min="9" max="9" width="36" customWidth="1"/>
    <col min="10" max="10" width="16" customWidth="1"/>
    <col min="11" max="11" width="20" customWidth="1"/>
    <col min="12" max="15" width="28" customWidth="1"/>
    <col min="16" max="16" width="24" customWidth="1"/>
  </cols>
  <sheetData>
    <row r="1" spans="1:16" ht="28.05" customHeight="1" x14ac:dyDescent="0.3">
      <c r="A1" s="45" t="s">
        <v>267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</row>
    <row r="2" spans="1:16" ht="36" customHeight="1" x14ac:dyDescent="0.3">
      <c r="A2" s="12" t="s">
        <v>268</v>
      </c>
      <c r="B2" s="12" t="s">
        <v>269</v>
      </c>
      <c r="C2" s="12" t="s">
        <v>270</v>
      </c>
      <c r="D2" s="12" t="s">
        <v>59</v>
      </c>
      <c r="E2" s="12" t="s">
        <v>271</v>
      </c>
      <c r="F2" s="12" t="s">
        <v>272</v>
      </c>
      <c r="G2" s="12" t="s">
        <v>273</v>
      </c>
      <c r="H2" s="12" t="s">
        <v>53</v>
      </c>
      <c r="I2" s="12" t="s">
        <v>274</v>
      </c>
      <c r="J2" s="12" t="s">
        <v>275</v>
      </c>
      <c r="K2" s="12" t="s">
        <v>276</v>
      </c>
      <c r="L2" s="12" t="s">
        <v>250</v>
      </c>
      <c r="M2" s="12" t="s">
        <v>251</v>
      </c>
      <c r="N2" s="12" t="s">
        <v>252</v>
      </c>
      <c r="O2" s="12" t="s">
        <v>253</v>
      </c>
      <c r="P2" s="12" t="s">
        <v>277</v>
      </c>
    </row>
    <row r="3" spans="1:16" ht="27.6" x14ac:dyDescent="0.3">
      <c r="A3" s="7" t="str">
        <f>IF(G3&lt;&gt;"", TEXT(ROW()-2, "000"), "")</f>
        <v>001</v>
      </c>
      <c r="B3" s="7" t="str">
        <f>KONTEKS!$C$5&amp;"."&amp;_xlfn.XLOOKUP(H3,MASTER!$E$2:$E$8,MASTER!$F$2:$F$8)&amp;"."&amp;A3</f>
        <v>E1-BSDK.KBJ.001</v>
      </c>
      <c r="C3" s="5" t="s">
        <v>72</v>
      </c>
      <c r="D3" s="7" t="str">
        <f>IFERROR(_xlfn.XLOOKUP(C3,MASTER!$K:$K,MASTER!$M:$M),"")</f>
        <v>Peningkatan Penyelesaian Perkara Tepat Waktu</v>
      </c>
      <c r="E3" s="7" t="str">
        <f>IFERROR(_xlfn.XLOOKUP(C3,MASTER!$K:$K,MASTER!$N:$N),"")</f>
        <v>Persentase perkara diselesaikan tepat waktu</v>
      </c>
      <c r="F3" s="5" t="s">
        <v>2217</v>
      </c>
      <c r="G3" s="5" t="s">
        <v>2216</v>
      </c>
      <c r="H3" s="5" t="s">
        <v>82</v>
      </c>
      <c r="I3" s="5" t="s">
        <v>321</v>
      </c>
      <c r="J3" s="5" t="s">
        <v>350</v>
      </c>
      <c r="K3" s="5" t="s">
        <v>2224</v>
      </c>
      <c r="L3" s="5" t="s">
        <v>2220</v>
      </c>
      <c r="M3" s="5" t="s">
        <v>2221</v>
      </c>
      <c r="N3" s="5" t="s">
        <v>2222</v>
      </c>
      <c r="O3" s="5" t="s">
        <v>2223</v>
      </c>
      <c r="P3" s="5" t="s">
        <v>2225</v>
      </c>
    </row>
    <row r="4" spans="1:16" ht="19.95" customHeight="1" x14ac:dyDescent="0.3">
      <c r="A4" s="7" t="str">
        <f t="shared" ref="A4:A52" si="0">IF(G4&lt;&gt;"", TEXT(ROW()-2, "000"), "")</f>
        <v/>
      </c>
      <c r="B4" s="7"/>
      <c r="C4" s="5"/>
      <c r="D4" s="7" t="str">
        <f ca="1">IFERROR(_xludf.XLOOKUP(C4,MASTER!$K:$K,MASTER!$M:$M),"")</f>
        <v/>
      </c>
      <c r="E4" s="7" t="str">
        <f ca="1">IFERROR(_xludf.XLOOKUP(C4,MASTER!$K:$K,MASTER!$N:$N),"")</f>
        <v/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19.95" customHeight="1" x14ac:dyDescent="0.3">
      <c r="A5" s="7" t="str">
        <f t="shared" si="0"/>
        <v/>
      </c>
      <c r="B5" s="7"/>
      <c r="C5" s="5"/>
      <c r="D5" s="7" t="str">
        <f ca="1">IFERROR(_xludf.XLOOKUP(C5,MASTER!$K:$K,MASTER!$M:$M),"")</f>
        <v/>
      </c>
      <c r="E5" s="7" t="str">
        <f ca="1">IFERROR(_xludf.XLOOKUP(C5,MASTER!$K:$K,MASTER!$N:$N),"")</f>
        <v/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16" ht="19.95" customHeight="1" x14ac:dyDescent="0.3">
      <c r="A6" s="7" t="str">
        <f t="shared" si="0"/>
        <v/>
      </c>
      <c r="B6" s="7"/>
      <c r="C6" s="5"/>
      <c r="D6" s="7" t="str">
        <f ca="1">IFERROR(_xludf.XLOOKUP(C6,MASTER!$K:$K,MASTER!$M:$M),"")</f>
        <v/>
      </c>
      <c r="E6" s="7" t="str">
        <f ca="1">IFERROR(_xludf.XLOOKUP(C6,MASTER!$K:$K,MASTER!$N:$N),"")</f>
        <v/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1:16" ht="19.95" customHeight="1" x14ac:dyDescent="0.3">
      <c r="A7" s="7" t="str">
        <f t="shared" si="0"/>
        <v/>
      </c>
      <c r="B7" s="7"/>
      <c r="C7" s="5"/>
      <c r="D7" s="7" t="str">
        <f ca="1">IFERROR(_xludf.XLOOKUP(C7,MASTER!$K:$K,MASTER!$M:$M),"")</f>
        <v/>
      </c>
      <c r="E7" s="7" t="str">
        <f ca="1">IFERROR(_xludf.XLOOKUP(C7,MASTER!$K:$K,MASTER!$N:$N),"")</f>
        <v/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1:16" ht="19.95" customHeight="1" x14ac:dyDescent="0.3">
      <c r="A8" s="7" t="str">
        <f t="shared" si="0"/>
        <v/>
      </c>
      <c r="B8" s="7"/>
      <c r="C8" s="5"/>
      <c r="D8" s="7" t="str">
        <f ca="1">IFERROR(_xludf.XLOOKUP(C8,MASTER!$K:$K,MASTER!$M:$M),"")</f>
        <v/>
      </c>
      <c r="E8" s="7" t="str">
        <f ca="1">IFERROR(_xludf.XLOOKUP(C8,MASTER!$K:$K,MASTER!$N:$N),"")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spans="1:16" ht="19.95" customHeight="1" x14ac:dyDescent="0.3">
      <c r="A9" s="7" t="str">
        <f t="shared" si="0"/>
        <v/>
      </c>
      <c r="B9" s="7"/>
      <c r="C9" s="5"/>
      <c r="D9" s="7" t="str">
        <f ca="1">IFERROR(_xludf.XLOOKUP(C9,MASTER!$K:$K,MASTER!$M:$M),"")</f>
        <v/>
      </c>
      <c r="E9" s="7" t="str">
        <f ca="1">IFERROR(_xludf.XLOOKUP(C9,MASTER!$K:$K,MASTER!$N:$N),"")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1:16" ht="19.95" customHeight="1" x14ac:dyDescent="0.3">
      <c r="A10" s="7" t="str">
        <f t="shared" si="0"/>
        <v/>
      </c>
      <c r="B10" s="7"/>
      <c r="C10" s="5"/>
      <c r="D10" s="7" t="str">
        <f ca="1">IFERROR(_xludf.XLOOKUP(C10,MASTER!$K:$K,MASTER!$M:$M),"")</f>
        <v/>
      </c>
      <c r="E10" s="7" t="str">
        <f ca="1">IFERROR(_xludf.XLOOKUP(C10,MASTER!$K:$K,MASTER!$N:$N),"")</f>
        <v/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spans="1:16" ht="19.95" customHeight="1" x14ac:dyDescent="0.3">
      <c r="A11" s="7" t="str">
        <f t="shared" si="0"/>
        <v/>
      </c>
      <c r="B11" s="7"/>
      <c r="C11" s="5"/>
      <c r="D11" s="7" t="str">
        <f ca="1">IFERROR(_xludf.XLOOKUP(C11,MASTER!$K:$K,MASTER!$M:$M),"")</f>
        <v/>
      </c>
      <c r="E11" s="7" t="str">
        <f ca="1">IFERROR(_xludf.XLOOKUP(C11,MASTER!$K:$K,MASTER!$N:$N),"")</f>
        <v/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spans="1:16" ht="19.95" customHeight="1" x14ac:dyDescent="0.3">
      <c r="A12" s="7" t="str">
        <f t="shared" si="0"/>
        <v/>
      </c>
      <c r="B12" s="7"/>
      <c r="C12" s="5"/>
      <c r="D12" s="7" t="str">
        <f ca="1">IFERROR(_xludf.XLOOKUP(C12,MASTER!$K:$K,MASTER!$M:$M),"")</f>
        <v/>
      </c>
      <c r="E12" s="7" t="str">
        <f ca="1">IFERROR(_xludf.XLOOKUP(C12,MASTER!$K:$K,MASTER!$N:$N),"")</f>
        <v/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ht="19.95" customHeight="1" x14ac:dyDescent="0.3">
      <c r="A13" s="7" t="str">
        <f t="shared" si="0"/>
        <v/>
      </c>
      <c r="B13" s="7"/>
      <c r="C13" s="5"/>
      <c r="D13" s="7" t="str">
        <f ca="1">IFERROR(_xludf.XLOOKUP(C13,MASTER!$K:$K,MASTER!$M:$M),"")</f>
        <v/>
      </c>
      <c r="E13" s="7" t="str">
        <f ca="1">IFERROR(_xludf.XLOOKUP(C13,MASTER!$K:$K,MASTER!$N:$N),"")</f>
        <v/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ht="19.95" customHeight="1" x14ac:dyDescent="0.3">
      <c r="A14" s="7" t="str">
        <f t="shared" si="0"/>
        <v/>
      </c>
      <c r="B14" s="7"/>
      <c r="C14" s="5"/>
      <c r="D14" s="7" t="str">
        <f ca="1">IFERROR(_xludf.XLOOKUP(C14,MASTER!$K:$K,MASTER!$M:$M),"")</f>
        <v/>
      </c>
      <c r="E14" s="7" t="str">
        <f ca="1">IFERROR(_xludf.XLOOKUP(C14,MASTER!$K:$K,MASTER!$N:$N),"")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ht="19.95" customHeight="1" x14ac:dyDescent="0.3">
      <c r="A15" s="7" t="str">
        <f t="shared" si="0"/>
        <v/>
      </c>
      <c r="B15" s="7"/>
      <c r="C15" s="5"/>
      <c r="D15" s="7" t="str">
        <f ca="1">IFERROR(_xludf.XLOOKUP(C15,MASTER!$K:$K,MASTER!$M:$M),"")</f>
        <v/>
      </c>
      <c r="E15" s="7" t="str">
        <f ca="1">IFERROR(_xludf.XLOOKUP(C15,MASTER!$K:$K,MASTER!$N:$N),"")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ht="19.95" customHeight="1" x14ac:dyDescent="0.3">
      <c r="A16" s="7" t="str">
        <f t="shared" si="0"/>
        <v/>
      </c>
      <c r="B16" s="7"/>
      <c r="C16" s="5"/>
      <c r="D16" s="7" t="str">
        <f ca="1">IFERROR(_xludf.XLOOKUP(C16,MASTER!$K:$K,MASTER!$M:$M),"")</f>
        <v/>
      </c>
      <c r="E16" s="7" t="str">
        <f ca="1">IFERROR(_xludf.XLOOKUP(C16,MASTER!$K:$K,MASTER!$N:$N),"")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ht="19.95" customHeight="1" x14ac:dyDescent="0.3">
      <c r="A17" s="7" t="str">
        <f t="shared" si="0"/>
        <v/>
      </c>
      <c r="B17" s="7"/>
      <c r="C17" s="5"/>
      <c r="D17" s="7" t="str">
        <f ca="1">IFERROR(_xludf.XLOOKUP(C17,MASTER!$K:$K,MASTER!$M:$M),"")</f>
        <v/>
      </c>
      <c r="E17" s="7" t="str">
        <f ca="1">IFERROR(_xludf.XLOOKUP(C17,MASTER!$K:$K,MASTER!$N:$N),"")</f>
        <v/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ht="19.95" customHeight="1" x14ac:dyDescent="0.3">
      <c r="A18" s="7" t="str">
        <f t="shared" si="0"/>
        <v/>
      </c>
      <c r="B18" s="7"/>
      <c r="C18" s="5"/>
      <c r="D18" s="7" t="str">
        <f ca="1">IFERROR(_xludf.XLOOKUP(C18,MASTER!$K:$K,MASTER!$M:$M),"")</f>
        <v/>
      </c>
      <c r="E18" s="7" t="str">
        <f ca="1">IFERROR(_xludf.XLOOKUP(C18,MASTER!$K:$K,MASTER!$N:$N),"")</f>
        <v/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ht="19.95" customHeight="1" x14ac:dyDescent="0.3">
      <c r="A19" s="7" t="str">
        <f t="shared" si="0"/>
        <v/>
      </c>
      <c r="B19" s="7"/>
      <c r="C19" s="5"/>
      <c r="D19" s="7" t="str">
        <f ca="1">IFERROR(_xludf.XLOOKUP(C19,MASTER!$K:$K,MASTER!$M:$M),"")</f>
        <v/>
      </c>
      <c r="E19" s="7" t="str">
        <f ca="1">IFERROR(_xludf.XLOOKUP(C19,MASTER!$K:$K,MASTER!$N:$N),"")</f>
        <v/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19.95" customHeight="1" x14ac:dyDescent="0.3">
      <c r="A20" s="7" t="str">
        <f t="shared" si="0"/>
        <v/>
      </c>
      <c r="B20" s="7"/>
      <c r="C20" s="5"/>
      <c r="D20" s="7" t="str">
        <f ca="1">IFERROR(_xludf.XLOOKUP(C20,MASTER!$K:$K,MASTER!$M:$M),"")</f>
        <v/>
      </c>
      <c r="E20" s="7" t="str">
        <f ca="1">IFERROR(_xludf.XLOOKUP(C20,MASTER!$K:$K,MASTER!$N:$N),"")</f>
        <v/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19.95" customHeight="1" x14ac:dyDescent="0.3">
      <c r="A21" s="7" t="str">
        <f t="shared" si="0"/>
        <v/>
      </c>
      <c r="B21" s="7"/>
      <c r="C21" s="5"/>
      <c r="D21" s="7" t="str">
        <f ca="1">IFERROR(_xludf.XLOOKUP(C21,MASTER!$K:$K,MASTER!$M:$M),"")</f>
        <v/>
      </c>
      <c r="E21" s="7" t="str">
        <f ca="1">IFERROR(_xludf.XLOOKUP(C21,MASTER!$K:$K,MASTER!$N:$N),"")</f>
        <v/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ht="19.95" customHeight="1" x14ac:dyDescent="0.3">
      <c r="A22" s="7" t="str">
        <f t="shared" si="0"/>
        <v/>
      </c>
      <c r="B22" s="7"/>
      <c r="C22" s="5"/>
      <c r="D22" s="7" t="str">
        <f ca="1">IFERROR(_xludf.XLOOKUP(C22,MASTER!$K:$K,MASTER!$M:$M),"")</f>
        <v/>
      </c>
      <c r="E22" s="7" t="str">
        <f ca="1">IFERROR(_xludf.XLOOKUP(C22,MASTER!$K:$K,MASTER!$N:$N),"")</f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ht="19.95" customHeight="1" x14ac:dyDescent="0.3">
      <c r="A23" s="7" t="str">
        <f t="shared" si="0"/>
        <v/>
      </c>
      <c r="B23" s="7"/>
      <c r="C23" s="5"/>
      <c r="D23" s="7" t="str">
        <f ca="1">IFERROR(_xludf.XLOOKUP(C23,MASTER!$K:$K,MASTER!$M:$M),"")</f>
        <v/>
      </c>
      <c r="E23" s="7" t="str">
        <f ca="1">IFERROR(_xludf.XLOOKUP(C23,MASTER!$K:$K,MASTER!$N:$N),"")</f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ht="19.95" customHeight="1" x14ac:dyDescent="0.3">
      <c r="A24" s="7" t="str">
        <f t="shared" si="0"/>
        <v/>
      </c>
      <c r="B24" s="7"/>
      <c r="C24" s="5"/>
      <c r="D24" s="7" t="str">
        <f ca="1">IFERROR(_xludf.XLOOKUP(C24,MASTER!$K:$K,MASTER!$M:$M),"")</f>
        <v/>
      </c>
      <c r="E24" s="7" t="str">
        <f ca="1">IFERROR(_xludf.XLOOKUP(C24,MASTER!$K:$K,MASTER!$N:$N),"")</f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ht="19.95" customHeight="1" x14ac:dyDescent="0.3">
      <c r="A25" s="7" t="str">
        <f t="shared" si="0"/>
        <v/>
      </c>
      <c r="B25" s="7"/>
      <c r="C25" s="5"/>
      <c r="D25" s="7" t="str">
        <f ca="1">IFERROR(_xludf.XLOOKUP(C25,MASTER!$K:$K,MASTER!$M:$M),"")</f>
        <v/>
      </c>
      <c r="E25" s="7" t="str">
        <f ca="1">IFERROR(_xludf.XLOOKUP(C25,MASTER!$K:$K,MASTER!$N:$N),"")</f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19.95" customHeight="1" x14ac:dyDescent="0.3">
      <c r="A26" s="7" t="str">
        <f t="shared" si="0"/>
        <v/>
      </c>
      <c r="B26" s="7"/>
      <c r="C26" s="5"/>
      <c r="D26" s="7" t="str">
        <f ca="1">IFERROR(_xludf.XLOOKUP(C26,MASTER!$K:$K,MASTER!$M:$M),"")</f>
        <v/>
      </c>
      <c r="E26" s="7" t="str">
        <f ca="1">IFERROR(_xludf.XLOOKUP(C26,MASTER!$K:$K,MASTER!$N:$N),"")</f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19.95" customHeight="1" x14ac:dyDescent="0.3">
      <c r="A27" s="7" t="str">
        <f t="shared" si="0"/>
        <v/>
      </c>
      <c r="B27" s="7"/>
      <c r="C27" s="5"/>
      <c r="D27" s="7" t="str">
        <f ca="1">IFERROR(_xludf.XLOOKUP(C27,MASTER!$K:$K,MASTER!$M:$M),"")</f>
        <v/>
      </c>
      <c r="E27" s="7" t="str">
        <f ca="1">IFERROR(_xludf.XLOOKUP(C27,MASTER!$K:$K,MASTER!$N:$N),"")</f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ht="19.95" customHeight="1" x14ac:dyDescent="0.3">
      <c r="A28" s="7" t="str">
        <f t="shared" si="0"/>
        <v/>
      </c>
      <c r="B28" s="7"/>
      <c r="C28" s="5"/>
      <c r="D28" s="7" t="str">
        <f ca="1">IFERROR(_xludf.XLOOKUP(C28,MASTER!$K:$K,MASTER!$M:$M),"")</f>
        <v/>
      </c>
      <c r="E28" s="7" t="str">
        <f ca="1">IFERROR(_xludf.XLOOKUP(C28,MASTER!$K:$K,MASTER!$N:$N),"")</f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ht="19.95" customHeight="1" x14ac:dyDescent="0.3">
      <c r="A29" s="7" t="str">
        <f t="shared" si="0"/>
        <v/>
      </c>
      <c r="B29" s="7"/>
      <c r="C29" s="5"/>
      <c r="D29" s="7" t="str">
        <f ca="1">IFERROR(_xludf.XLOOKUP(C29,MASTER!$K:$K,MASTER!$M:$M),"")</f>
        <v/>
      </c>
      <c r="E29" s="7" t="str">
        <f ca="1">IFERROR(_xludf.XLOOKUP(C29,MASTER!$K:$K,MASTER!$N:$N),"")</f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ht="19.95" customHeight="1" x14ac:dyDescent="0.3">
      <c r="A30" s="7" t="str">
        <f t="shared" si="0"/>
        <v/>
      </c>
      <c r="B30" s="7"/>
      <c r="C30" s="5"/>
      <c r="D30" s="7" t="str">
        <f ca="1">IFERROR(_xludf.XLOOKUP(C30,MASTER!$K:$K,MASTER!$M:$M),"")</f>
        <v/>
      </c>
      <c r="E30" s="7" t="str">
        <f ca="1">IFERROR(_xludf.XLOOKUP(C30,MASTER!$K:$K,MASTER!$N:$N),"")</f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ht="19.95" customHeight="1" x14ac:dyDescent="0.3">
      <c r="A31" s="7" t="str">
        <f t="shared" si="0"/>
        <v/>
      </c>
      <c r="B31" s="7"/>
      <c r="C31" s="5"/>
      <c r="D31" s="7" t="str">
        <f ca="1">IFERROR(_xludf.XLOOKUP(C31,MASTER!$K:$K,MASTER!$M:$M),"")</f>
        <v/>
      </c>
      <c r="E31" s="7" t="str">
        <f ca="1">IFERROR(_xludf.XLOOKUP(C31,MASTER!$K:$K,MASTER!$N:$N),"")</f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ht="19.95" customHeight="1" x14ac:dyDescent="0.3">
      <c r="A32" s="7" t="str">
        <f t="shared" si="0"/>
        <v/>
      </c>
      <c r="B32" s="7"/>
      <c r="C32" s="5"/>
      <c r="D32" s="7" t="str">
        <f ca="1">IFERROR(_xludf.XLOOKUP(C32,MASTER!$K:$K,MASTER!$M:$M),"")</f>
        <v/>
      </c>
      <c r="E32" s="7" t="str">
        <f ca="1">IFERROR(_xludf.XLOOKUP(C32,MASTER!$K:$K,MASTER!$N:$N),"")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1:16" ht="19.95" customHeight="1" x14ac:dyDescent="0.3">
      <c r="A33" s="7" t="str">
        <f t="shared" si="0"/>
        <v/>
      </c>
      <c r="B33" s="7"/>
      <c r="C33" s="5"/>
      <c r="D33" s="7" t="str">
        <f ca="1">IFERROR(_xludf.XLOOKUP(C33,MASTER!$K:$K,MASTER!$M:$M),"")</f>
        <v/>
      </c>
      <c r="E33" s="7" t="str">
        <f ca="1">IFERROR(_xludf.XLOOKUP(C33,MASTER!$K:$K,MASTER!$N:$N),"")</f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1:16" ht="19.95" customHeight="1" x14ac:dyDescent="0.3">
      <c r="A34" s="7" t="str">
        <f t="shared" si="0"/>
        <v/>
      </c>
      <c r="B34" s="7"/>
      <c r="C34" s="5"/>
      <c r="D34" s="7" t="str">
        <f ca="1">IFERROR(_xludf.XLOOKUP(C34,MASTER!$K:$K,MASTER!$M:$M),"")</f>
        <v/>
      </c>
      <c r="E34" s="7" t="str">
        <f ca="1">IFERROR(_xludf.XLOOKUP(C34,MASTER!$K:$K,MASTER!$N:$N),"")</f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1:16" ht="19.95" customHeight="1" x14ac:dyDescent="0.3">
      <c r="A35" s="7" t="str">
        <f t="shared" si="0"/>
        <v/>
      </c>
      <c r="B35" s="7"/>
      <c r="C35" s="5"/>
      <c r="D35" s="7" t="str">
        <f ca="1">IFERROR(_xludf.XLOOKUP(C35,MASTER!$K:$K,MASTER!$M:$M),"")</f>
        <v/>
      </c>
      <c r="E35" s="7" t="str">
        <f ca="1">IFERROR(_xludf.XLOOKUP(C35,MASTER!$K:$K,MASTER!$N:$N),"")</f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1:16" ht="19.95" customHeight="1" x14ac:dyDescent="0.3">
      <c r="A36" s="7" t="str">
        <f t="shared" si="0"/>
        <v/>
      </c>
      <c r="B36" s="7"/>
      <c r="C36" s="5"/>
      <c r="D36" s="7" t="str">
        <f ca="1">IFERROR(_xludf.XLOOKUP(C36,MASTER!$K:$K,MASTER!$M:$M),"")</f>
        <v/>
      </c>
      <c r="E36" s="7" t="str">
        <f ca="1">IFERROR(_xludf.XLOOKUP(C36,MASTER!$K:$K,MASTER!$N:$N),"")</f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1:16" ht="19.95" customHeight="1" x14ac:dyDescent="0.3">
      <c r="A37" s="7" t="str">
        <f t="shared" si="0"/>
        <v/>
      </c>
      <c r="B37" s="7"/>
      <c r="C37" s="5"/>
      <c r="D37" s="7" t="str">
        <f ca="1">IFERROR(_xludf.XLOOKUP(C37,MASTER!$K:$K,MASTER!$M:$M),"")</f>
        <v/>
      </c>
      <c r="E37" s="7" t="str">
        <f ca="1">IFERROR(_xludf.XLOOKUP(C37,MASTER!$K:$K,MASTER!$N:$N),"")</f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1:16" ht="19.95" customHeight="1" x14ac:dyDescent="0.3">
      <c r="A38" s="7" t="str">
        <f t="shared" si="0"/>
        <v/>
      </c>
      <c r="B38" s="7"/>
      <c r="C38" s="5"/>
      <c r="D38" s="7" t="str">
        <f ca="1">IFERROR(_xludf.XLOOKUP(C38,MASTER!$K:$K,MASTER!$M:$M),"")</f>
        <v/>
      </c>
      <c r="E38" s="7" t="str">
        <f ca="1">IFERROR(_xludf.XLOOKUP(C38,MASTER!$K:$K,MASTER!$N:$N),"")</f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1:16" ht="19.95" customHeight="1" x14ac:dyDescent="0.3">
      <c r="A39" s="7" t="str">
        <f t="shared" si="0"/>
        <v/>
      </c>
      <c r="B39" s="7"/>
      <c r="C39" s="5"/>
      <c r="D39" s="7" t="str">
        <f ca="1">IFERROR(_xludf.XLOOKUP(C39,MASTER!$K:$K,MASTER!$M:$M),"")</f>
        <v/>
      </c>
      <c r="E39" s="7" t="str">
        <f ca="1">IFERROR(_xludf.XLOOKUP(C39,MASTER!$K:$K,MASTER!$N:$N),"")</f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1:16" ht="19.95" customHeight="1" x14ac:dyDescent="0.3">
      <c r="A40" s="7" t="str">
        <f t="shared" si="0"/>
        <v/>
      </c>
      <c r="B40" s="7"/>
      <c r="C40" s="5"/>
      <c r="D40" s="7" t="str">
        <f ca="1">IFERROR(_xludf.XLOOKUP(C40,MASTER!$K:$K,MASTER!$M:$M),"")</f>
        <v/>
      </c>
      <c r="E40" s="7" t="str">
        <f ca="1">IFERROR(_xludf.XLOOKUP(C40,MASTER!$K:$K,MASTER!$N:$N),"")</f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1:16" ht="19.95" customHeight="1" x14ac:dyDescent="0.3">
      <c r="A41" s="7" t="str">
        <f t="shared" si="0"/>
        <v/>
      </c>
      <c r="B41" s="7"/>
      <c r="C41" s="5"/>
      <c r="D41" s="7" t="str">
        <f ca="1">IFERROR(_xludf.XLOOKUP(C41,MASTER!$K:$K,MASTER!$M:$M),"")</f>
        <v/>
      </c>
      <c r="E41" s="7" t="str">
        <f ca="1">IFERROR(_xludf.XLOOKUP(C41,MASTER!$K:$K,MASTER!$N:$N),"")</f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r="42" spans="1:16" ht="19.95" customHeight="1" x14ac:dyDescent="0.3">
      <c r="A42" s="7" t="str">
        <f t="shared" si="0"/>
        <v/>
      </c>
      <c r="B42" s="7"/>
      <c r="C42" s="5"/>
      <c r="D42" s="7" t="str">
        <f ca="1">IFERROR(_xludf.XLOOKUP(C42,MASTER!$K:$K,MASTER!$M:$M),"")</f>
        <v/>
      </c>
      <c r="E42" s="7" t="str">
        <f ca="1">IFERROR(_xludf.XLOOKUP(C42,MASTER!$K:$K,MASTER!$N:$N),"")</f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r="43" spans="1:16" ht="19.95" customHeight="1" x14ac:dyDescent="0.3">
      <c r="A43" s="7" t="str">
        <f t="shared" si="0"/>
        <v/>
      </c>
      <c r="B43" s="7"/>
      <c r="C43" s="5"/>
      <c r="D43" s="7" t="str">
        <f ca="1">IFERROR(_xludf.XLOOKUP(C43,MASTER!$K:$K,MASTER!$M:$M),"")</f>
        <v/>
      </c>
      <c r="E43" s="7" t="str">
        <f ca="1">IFERROR(_xludf.XLOOKUP(C43,MASTER!$K:$K,MASTER!$N:$N),"")</f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spans="1:16" ht="19.95" customHeight="1" x14ac:dyDescent="0.3">
      <c r="A44" s="7" t="str">
        <f t="shared" si="0"/>
        <v/>
      </c>
      <c r="B44" s="7"/>
      <c r="C44" s="5"/>
      <c r="D44" s="7" t="str">
        <f ca="1">IFERROR(_xludf.XLOOKUP(C44,MASTER!$K:$K,MASTER!$M:$M),"")</f>
        <v/>
      </c>
      <c r="E44" s="7" t="str">
        <f ca="1">IFERROR(_xludf.XLOOKUP(C44,MASTER!$K:$K,MASTER!$N:$N),"")</f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1:16" ht="19.95" customHeight="1" x14ac:dyDescent="0.3">
      <c r="A45" s="7" t="str">
        <f t="shared" si="0"/>
        <v/>
      </c>
      <c r="B45" s="7"/>
      <c r="C45" s="5"/>
      <c r="D45" s="7" t="str">
        <f ca="1">IFERROR(_xludf.XLOOKUP(C45,MASTER!$K:$K,MASTER!$M:$M),"")</f>
        <v/>
      </c>
      <c r="E45" s="7" t="str">
        <f ca="1">IFERROR(_xludf.XLOOKUP(C45,MASTER!$K:$K,MASTER!$N:$N),"")</f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spans="1:16" ht="19.95" customHeight="1" x14ac:dyDescent="0.3">
      <c r="A46" s="7" t="str">
        <f t="shared" si="0"/>
        <v/>
      </c>
      <c r="B46" s="7"/>
      <c r="C46" s="5"/>
      <c r="D46" s="7" t="str">
        <f ca="1">IFERROR(_xludf.XLOOKUP(C46,MASTER!$K:$K,MASTER!$M:$M),"")</f>
        <v/>
      </c>
      <c r="E46" s="7" t="str">
        <f ca="1">IFERROR(_xludf.XLOOKUP(C46,MASTER!$K:$K,MASTER!$N:$N),"")</f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spans="1:16" ht="19.95" customHeight="1" x14ac:dyDescent="0.3">
      <c r="A47" s="7" t="str">
        <f t="shared" si="0"/>
        <v/>
      </c>
      <c r="B47" s="7"/>
      <c r="C47" s="5"/>
      <c r="D47" s="7" t="str">
        <f ca="1">IFERROR(_xludf.XLOOKUP(C47,MASTER!$K:$K,MASTER!$M:$M),"")</f>
        <v/>
      </c>
      <c r="E47" s="7" t="str">
        <f ca="1">IFERROR(_xludf.XLOOKUP(C47,MASTER!$K:$K,MASTER!$N:$N),"")</f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r="48" spans="1:16" ht="19.95" customHeight="1" x14ac:dyDescent="0.3">
      <c r="A48" s="7" t="str">
        <f t="shared" si="0"/>
        <v/>
      </c>
      <c r="B48" s="7"/>
      <c r="C48" s="5"/>
      <c r="D48" s="7" t="str">
        <f ca="1">IFERROR(_xludf.XLOOKUP(C48,MASTER!$K:$K,MASTER!$M:$M),"")</f>
        <v/>
      </c>
      <c r="E48" s="7" t="str">
        <f ca="1">IFERROR(_xludf.XLOOKUP(C48,MASTER!$K:$K,MASTER!$N:$N),"")</f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r="49" spans="1:16" ht="19.95" customHeight="1" x14ac:dyDescent="0.3">
      <c r="A49" s="7" t="str">
        <f t="shared" si="0"/>
        <v/>
      </c>
      <c r="B49" s="7"/>
      <c r="C49" s="5"/>
      <c r="D49" s="7" t="str">
        <f ca="1">IFERROR(_xludf.XLOOKUP(C49,MASTER!$K:$K,MASTER!$M:$M),"")</f>
        <v/>
      </c>
      <c r="E49" s="7" t="str">
        <f ca="1">IFERROR(_xludf.XLOOKUP(C49,MASTER!$K:$K,MASTER!$N:$N),"")</f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1:16" ht="19.95" customHeight="1" x14ac:dyDescent="0.3">
      <c r="A50" s="7" t="str">
        <f t="shared" si="0"/>
        <v/>
      </c>
      <c r="B50" s="7"/>
      <c r="C50" s="5"/>
      <c r="D50" s="7" t="str">
        <f ca="1">IFERROR(_xludf.XLOOKUP(C50,MASTER!$K:$K,MASTER!$M:$M),"")</f>
        <v/>
      </c>
      <c r="E50" s="7" t="str">
        <f ca="1">IFERROR(_xludf.XLOOKUP(C50,MASTER!$K:$K,MASTER!$N:$N),"")</f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spans="1:16" ht="19.95" customHeight="1" x14ac:dyDescent="0.3">
      <c r="A51" s="7" t="str">
        <f t="shared" si="0"/>
        <v/>
      </c>
      <c r="B51" s="7"/>
      <c r="C51" s="5"/>
      <c r="D51" s="7" t="str">
        <f ca="1">IFERROR(_xludf.XLOOKUP(C51,MASTER!$K:$K,MASTER!$M:$M),"")</f>
        <v/>
      </c>
      <c r="E51" s="7" t="str">
        <f ca="1">IFERROR(_xludf.XLOOKUP(C51,MASTER!$K:$K,MASTER!$N:$N),"")</f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spans="1:16" ht="19.95" customHeight="1" x14ac:dyDescent="0.3">
      <c r="A52" s="7" t="str">
        <f t="shared" si="0"/>
        <v/>
      </c>
      <c r="B52" s="7"/>
      <c r="C52" s="5"/>
      <c r="D52" s="7" t="str">
        <f ca="1">IFERROR(_xludf.XLOOKUP(C52,MASTER!$K:$K,MASTER!$M:$M),"")</f>
        <v/>
      </c>
      <c r="E52" s="7" t="str">
        <f ca="1">IFERROR(_xludf.XLOOKUP(C52,MASTER!$K:$K,MASTER!$N:$N),"")</f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</sheetData>
  <mergeCells count="1">
    <mergeCell ref="A1:P1"/>
  </mergeCells>
  <dataValidations count="2">
    <dataValidation type="list" allowBlank="1" showErrorMessage="1" errorTitle="Nilai tidak valid" error="Pilih dari daftar yang tersedia." sqref="J3:J52" xr:uid="{00000000-0002-0000-0400-000064000000}">
      <formula1>"Evaluasi,Audit,Reviu,Pemantauan"</formula1>
    </dataValidation>
    <dataValidation type="list" allowBlank="1" showErrorMessage="1" errorTitle="Nilai tidak valid" error="Pilih dari daftar yang tersedia." sqref="K3:K52" xr:uid="{00000000-0002-0000-0400-000096000000}">
      <formula1>"Internal,Eksternal,Internal &amp; Eksternal"</formula1>
    </dataValidation>
  </dataValidation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Nilai tidak valid" error="Pilih dari daftar yang tersedia." xr:uid="{00000000-0002-0000-0400-000000000000}">
          <x14:formula1>
            <xm:f>MASTER!$K$2:$K$32</xm:f>
          </x14:formula1>
          <xm:sqref>C3:C52</xm:sqref>
        </x14:dataValidation>
        <x14:dataValidation type="list" allowBlank="1" showErrorMessage="1" errorTitle="Nilai tidak valid" error="Pilih dari daftar yang tersedia." xr:uid="{00000000-0002-0000-0400-000032000000}">
          <x14:formula1>
            <xm:f>MASTER!$E$2:$E$8</xm:f>
          </x14:formula1>
          <xm:sqref>H3:H52</xm:sqref>
        </x14:dataValidation>
        <x14:dataValidation type="list" allowBlank="1" showInputMessage="1" showErrorMessage="1" xr:uid="{5AA2EFF6-B252-488F-AA7B-5D86FBE3F05B}">
          <x14:formula1>
            <xm:f>KONTEKS!$C$18:$C$22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53"/>
  <sheetViews>
    <sheetView workbookViewId="0">
      <pane xSplit="2" ySplit="2" topLeftCell="J3" activePane="bottomRight" state="frozen"/>
      <selection pane="topRight"/>
      <selection pane="bottomLeft"/>
      <selection pane="bottomRight" activeCell="M4" sqref="M4"/>
    </sheetView>
  </sheetViews>
  <sheetFormatPr defaultRowHeight="14.4" x14ac:dyDescent="0.3"/>
  <cols>
    <col min="1" max="1" width="12" customWidth="1"/>
    <col min="2" max="2" width="20" customWidth="1"/>
    <col min="3" max="3" width="36" customWidth="1"/>
    <col min="4" max="4" width="18" customWidth="1"/>
    <col min="5" max="5" width="22" customWidth="1"/>
    <col min="6" max="10" width="36" customWidth="1"/>
    <col min="11" max="11" width="40" customWidth="1"/>
    <col min="12" max="12" width="44" customWidth="1"/>
    <col min="13" max="13" width="24" customWidth="1"/>
  </cols>
  <sheetData>
    <row r="1" spans="1:13" ht="28.05" customHeight="1" x14ac:dyDescent="0.3">
      <c r="A1" s="46" t="s">
        <v>278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3" ht="36" customHeight="1" x14ac:dyDescent="0.3">
      <c r="A2" s="13" t="s">
        <v>279</v>
      </c>
      <c r="B2" s="13" t="s">
        <v>280</v>
      </c>
      <c r="C2" s="13" t="s">
        <v>273</v>
      </c>
      <c r="D2" s="13" t="s">
        <v>281</v>
      </c>
      <c r="E2" s="13" t="s">
        <v>282</v>
      </c>
      <c r="F2" s="13" t="s">
        <v>283</v>
      </c>
      <c r="G2" s="13" t="s">
        <v>284</v>
      </c>
      <c r="H2" s="13" t="s">
        <v>285</v>
      </c>
      <c r="I2" s="13" t="s">
        <v>286</v>
      </c>
      <c r="J2" s="13" t="s">
        <v>287</v>
      </c>
      <c r="K2" s="13" t="s">
        <v>288</v>
      </c>
      <c r="L2" s="13" t="s">
        <v>289</v>
      </c>
      <c r="M2" s="13" t="s">
        <v>277</v>
      </c>
    </row>
    <row r="3" spans="1:13" ht="18" customHeight="1" x14ac:dyDescent="0.3">
      <c r="A3" s="47" t="s">
        <v>290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3" ht="19.95" customHeight="1" x14ac:dyDescent="0.3">
      <c r="A4" s="7" t="str">
        <f>IF(B4&lt;&gt;"",TEXT(ROW()-3,"000"),"")</f>
        <v>001</v>
      </c>
      <c r="B4" s="5" t="s">
        <v>2226</v>
      </c>
      <c r="C4" s="7" t="str">
        <f>IFERROR(_xlfn.XLOOKUP(B4,IDENTIFIKASI!$B:$B,IDENTIFIKASI!$G:$G),"")</f>
        <v>Pernyataan 1</v>
      </c>
      <c r="D4" s="5" t="s">
        <v>70</v>
      </c>
      <c r="E4" s="7" t="str">
        <f>IF(B4="","",B4&amp;"."&amp;IF(D4&lt;&gt;"",D4,"XX")&amp;"."&amp;TEXT(COUNTIFS($B$4:B4,B4,$D$4:D4,D4),"00"))</f>
        <v>E1-BSDK.KBJ.001.MN.01</v>
      </c>
      <c r="F4" s="5" t="s">
        <v>283</v>
      </c>
      <c r="G4" s="5" t="s">
        <v>284</v>
      </c>
      <c r="H4" s="5"/>
      <c r="I4" s="5"/>
      <c r="J4" s="5"/>
      <c r="K4" s="5" t="s">
        <v>284</v>
      </c>
      <c r="L4" s="5" t="s">
        <v>2227</v>
      </c>
      <c r="M4" s="5" t="s">
        <v>2225</v>
      </c>
    </row>
    <row r="5" spans="1:13" ht="19.95" customHeight="1" x14ac:dyDescent="0.3">
      <c r="A5" s="7" t="str">
        <f t="shared" ref="A5:A68" si="0">IF(B5&lt;&gt;"",TEXT(ROW()-3,"000"),"")</f>
        <v/>
      </c>
      <c r="B5" s="5"/>
      <c r="C5" s="7" t="str">
        <f ca="1">IFERROR(_xludf.XLOOKUP(B5,IDENTIFIKASI!$B:$B,IDENTIFIKASI!$G:$G),"")</f>
        <v/>
      </c>
      <c r="D5" s="5"/>
      <c r="E5" s="7" t="str">
        <f>IF(B5="","",B5&amp;"."&amp;IF(D5&lt;&gt;"",D5,"XX")&amp;"."&amp;TEXT(COUNTIFS($B$4:B5,B5,$D$4:D5,D5),"00"))</f>
        <v/>
      </c>
      <c r="F5" s="5"/>
      <c r="G5" s="5"/>
      <c r="H5" s="5"/>
      <c r="I5" s="5"/>
      <c r="J5" s="5"/>
      <c r="K5" s="5"/>
      <c r="L5" s="5"/>
      <c r="M5" s="5"/>
    </row>
    <row r="6" spans="1:13" ht="19.95" customHeight="1" x14ac:dyDescent="0.3">
      <c r="A6" s="7" t="str">
        <f t="shared" si="0"/>
        <v/>
      </c>
      <c r="B6" s="5"/>
      <c r="C6" s="7" t="str">
        <f ca="1">IFERROR(_xludf.XLOOKUP(B6,IDENTIFIKASI!$B:$B,IDENTIFIKASI!$G:$G),"")</f>
        <v/>
      </c>
      <c r="D6" s="5"/>
      <c r="E6" s="7" t="str">
        <f>IF(B6="","",B6&amp;"."&amp;IF(D6&lt;&gt;"",D6,"XX")&amp;"."&amp;TEXT(COUNTIFS($B$4:B6,B6,$D$4:D6,D6),"00"))</f>
        <v/>
      </c>
      <c r="F6" s="5"/>
      <c r="G6" s="5"/>
      <c r="H6" s="5"/>
      <c r="I6" s="5"/>
      <c r="J6" s="5"/>
      <c r="K6" s="5"/>
      <c r="L6" s="5"/>
      <c r="M6" s="5"/>
    </row>
    <row r="7" spans="1:13" ht="19.95" customHeight="1" x14ac:dyDescent="0.3">
      <c r="A7" s="7" t="str">
        <f t="shared" si="0"/>
        <v/>
      </c>
      <c r="B7" s="5"/>
      <c r="C7" s="7" t="str">
        <f ca="1">IFERROR(_xludf.XLOOKUP(B7,IDENTIFIKASI!$B:$B,IDENTIFIKASI!$G:$G),"")</f>
        <v/>
      </c>
      <c r="D7" s="5"/>
      <c r="E7" s="7" t="str">
        <f>IF(B7="","",B7&amp;"."&amp;IF(D7&lt;&gt;"",D7,"XX")&amp;"."&amp;TEXT(COUNTIFS($B$4:B7,B7,$D$4:D7,D7),"00"))</f>
        <v/>
      </c>
      <c r="F7" s="5"/>
      <c r="G7" s="5"/>
      <c r="H7" s="5"/>
      <c r="I7" s="5"/>
      <c r="J7" s="5"/>
      <c r="K7" s="5"/>
      <c r="L7" s="5"/>
      <c r="M7" s="5"/>
    </row>
    <row r="8" spans="1:13" ht="19.95" customHeight="1" x14ac:dyDescent="0.3">
      <c r="A8" s="7" t="str">
        <f t="shared" si="0"/>
        <v/>
      </c>
      <c r="B8" s="5"/>
      <c r="C8" s="7" t="str">
        <f ca="1">IFERROR(_xludf.XLOOKUP(B8,IDENTIFIKASI!$B:$B,IDENTIFIKASI!$G:$G),"")</f>
        <v/>
      </c>
      <c r="D8" s="5"/>
      <c r="E8" s="7" t="str">
        <f>IF(B8="","",B8&amp;"."&amp;IF(D8&lt;&gt;"",D8,"XX")&amp;"."&amp;TEXT(COUNTIFS($B$4:B8,B8,$D$4:D8,D8),"00"))</f>
        <v/>
      </c>
      <c r="F8" s="5"/>
      <c r="G8" s="5"/>
      <c r="H8" s="5"/>
      <c r="I8" s="5"/>
      <c r="J8" s="5"/>
      <c r="K8" s="5"/>
      <c r="L8" s="5"/>
      <c r="M8" s="5"/>
    </row>
    <row r="9" spans="1:13" ht="19.95" customHeight="1" x14ac:dyDescent="0.3">
      <c r="A9" s="7" t="str">
        <f t="shared" si="0"/>
        <v/>
      </c>
      <c r="B9" s="5"/>
      <c r="C9" s="7" t="str">
        <f ca="1">IFERROR(_xludf.XLOOKUP(B9,IDENTIFIKASI!$B:$B,IDENTIFIKASI!$G:$G),"")</f>
        <v/>
      </c>
      <c r="D9" s="5"/>
      <c r="E9" s="7" t="str">
        <f>IF(B9="","",B9&amp;"."&amp;IF(D9&lt;&gt;"",D9,"XX")&amp;"."&amp;TEXT(COUNTIFS($B$4:B9,B9,$D$4:D9,D9),"00"))</f>
        <v/>
      </c>
      <c r="F9" s="5"/>
      <c r="G9" s="5"/>
      <c r="H9" s="5"/>
      <c r="I9" s="5"/>
      <c r="J9" s="5"/>
      <c r="K9" s="5"/>
      <c r="L9" s="5"/>
      <c r="M9" s="5"/>
    </row>
    <row r="10" spans="1:13" ht="19.95" customHeight="1" x14ac:dyDescent="0.3">
      <c r="A10" s="7" t="str">
        <f t="shared" si="0"/>
        <v/>
      </c>
      <c r="B10" s="5"/>
      <c r="C10" s="7" t="str">
        <f ca="1">IFERROR(_xludf.XLOOKUP(B10,IDENTIFIKASI!$B:$B,IDENTIFIKASI!$G:$G),"")</f>
        <v/>
      </c>
      <c r="D10" s="5"/>
      <c r="E10" s="7" t="str">
        <f>IF(B10="","",B10&amp;"."&amp;IF(D10&lt;&gt;"",D10,"XX")&amp;"."&amp;TEXT(COUNTIFS($B$4:B10,B10,$D$4:D10,D10),"00"))</f>
        <v/>
      </c>
      <c r="F10" s="5"/>
      <c r="G10" s="5"/>
      <c r="H10" s="5"/>
      <c r="I10" s="5"/>
      <c r="J10" s="5"/>
      <c r="K10" s="5"/>
      <c r="L10" s="5"/>
      <c r="M10" s="5"/>
    </row>
    <row r="11" spans="1:13" ht="19.95" customHeight="1" x14ac:dyDescent="0.3">
      <c r="A11" s="7" t="str">
        <f t="shared" si="0"/>
        <v/>
      </c>
      <c r="B11" s="5"/>
      <c r="C11" s="7" t="str">
        <f ca="1">IFERROR(_xludf.XLOOKUP(B11,IDENTIFIKASI!$B:$B,IDENTIFIKASI!$G:$G),"")</f>
        <v/>
      </c>
      <c r="D11" s="5"/>
      <c r="E11" s="7" t="str">
        <f>IF(B11="","",B11&amp;"."&amp;IF(D11&lt;&gt;"",D11,"XX")&amp;"."&amp;TEXT(COUNTIFS($B$4:B11,B11,$D$4:D11,D11),"00"))</f>
        <v/>
      </c>
      <c r="F11" s="5"/>
      <c r="G11" s="5"/>
      <c r="H11" s="5"/>
      <c r="I11" s="5"/>
      <c r="J11" s="5"/>
      <c r="K11" s="5"/>
      <c r="L11" s="5"/>
      <c r="M11" s="5"/>
    </row>
    <row r="12" spans="1:13" ht="19.95" customHeight="1" x14ac:dyDescent="0.3">
      <c r="A12" s="7" t="str">
        <f t="shared" si="0"/>
        <v/>
      </c>
      <c r="B12" s="5"/>
      <c r="C12" s="7" t="str">
        <f ca="1">IFERROR(_xludf.XLOOKUP(B12,IDENTIFIKASI!$B:$B,IDENTIFIKASI!$G:$G),"")</f>
        <v/>
      </c>
      <c r="D12" s="5"/>
      <c r="E12" s="7" t="str">
        <f>IF(B12="","",B12&amp;"."&amp;IF(D12&lt;&gt;"",D12,"XX")&amp;"."&amp;TEXT(COUNTIFS($B$4:B12,B12,$D$4:D12,D12),"00"))</f>
        <v/>
      </c>
      <c r="F12" s="5"/>
      <c r="G12" s="5"/>
      <c r="H12" s="5"/>
      <c r="I12" s="5"/>
      <c r="J12" s="5"/>
      <c r="K12" s="5"/>
      <c r="L12" s="5"/>
      <c r="M12" s="5"/>
    </row>
    <row r="13" spans="1:13" ht="19.95" customHeight="1" x14ac:dyDescent="0.3">
      <c r="A13" s="7" t="str">
        <f t="shared" si="0"/>
        <v/>
      </c>
      <c r="B13" s="5"/>
      <c r="C13" s="7" t="str">
        <f ca="1">IFERROR(_xludf.XLOOKUP(B13,IDENTIFIKASI!$B:$B,IDENTIFIKASI!$G:$G),"")</f>
        <v/>
      </c>
      <c r="D13" s="5"/>
      <c r="E13" s="7" t="str">
        <f>IF(B13="","",B13&amp;"."&amp;IF(D13&lt;&gt;"",D13,"XX")&amp;"."&amp;TEXT(COUNTIFS($B$4:B13,B13,$D$4:D13,D13),"00"))</f>
        <v/>
      </c>
      <c r="F13" s="5"/>
      <c r="G13" s="5"/>
      <c r="H13" s="5"/>
      <c r="I13" s="5"/>
      <c r="J13" s="5"/>
      <c r="K13" s="5"/>
      <c r="L13" s="5"/>
      <c r="M13" s="5"/>
    </row>
    <row r="14" spans="1:13" ht="19.95" customHeight="1" x14ac:dyDescent="0.3">
      <c r="A14" s="7" t="str">
        <f t="shared" si="0"/>
        <v/>
      </c>
      <c r="B14" s="5"/>
      <c r="C14" s="7" t="str">
        <f ca="1">IFERROR(_xludf.XLOOKUP(B14,IDENTIFIKASI!$B:$B,IDENTIFIKASI!$G:$G),"")</f>
        <v/>
      </c>
      <c r="D14" s="5"/>
      <c r="E14" s="7" t="str">
        <f>IF(B14="","",B14&amp;"."&amp;IF(D14&lt;&gt;"",D14,"XX")&amp;"."&amp;TEXT(COUNTIFS($B$4:B14,B14,$D$4:D14,D14),"00"))</f>
        <v/>
      </c>
      <c r="F14" s="5"/>
      <c r="G14" s="5"/>
      <c r="H14" s="5"/>
      <c r="I14" s="5"/>
      <c r="J14" s="5"/>
      <c r="K14" s="5"/>
      <c r="L14" s="5"/>
      <c r="M14" s="5"/>
    </row>
    <row r="15" spans="1:13" ht="19.95" customHeight="1" x14ac:dyDescent="0.3">
      <c r="A15" s="7" t="str">
        <f t="shared" si="0"/>
        <v/>
      </c>
      <c r="B15" s="5"/>
      <c r="C15" s="7" t="str">
        <f ca="1">IFERROR(_xludf.XLOOKUP(B15,IDENTIFIKASI!$B:$B,IDENTIFIKASI!$G:$G),"")</f>
        <v/>
      </c>
      <c r="D15" s="5"/>
      <c r="E15" s="7" t="str">
        <f>IF(B15="","",B15&amp;"."&amp;IF(D15&lt;&gt;"",D15,"XX")&amp;"."&amp;TEXT(COUNTIFS($B$4:B15,B15,$D$4:D15,D15),"00"))</f>
        <v/>
      </c>
      <c r="F15" s="5"/>
      <c r="G15" s="5"/>
      <c r="H15" s="5"/>
      <c r="I15" s="5"/>
      <c r="J15" s="5"/>
      <c r="K15" s="5"/>
      <c r="L15" s="5"/>
      <c r="M15" s="5"/>
    </row>
    <row r="16" spans="1:13" ht="19.95" customHeight="1" x14ac:dyDescent="0.3">
      <c r="A16" s="7" t="str">
        <f t="shared" si="0"/>
        <v/>
      </c>
      <c r="B16" s="5"/>
      <c r="C16" s="7" t="str">
        <f ca="1">IFERROR(_xludf.XLOOKUP(B16,IDENTIFIKASI!$B:$B,IDENTIFIKASI!$G:$G),"")</f>
        <v/>
      </c>
      <c r="D16" s="5"/>
      <c r="E16" s="7" t="str">
        <f>IF(B16="","",B16&amp;"."&amp;IF(D16&lt;&gt;"",D16,"XX")&amp;"."&amp;TEXT(COUNTIFS($B$4:B16,B16,$D$4:D16,D16),"00"))</f>
        <v/>
      </c>
      <c r="F16" s="5"/>
      <c r="G16" s="5"/>
      <c r="H16" s="5"/>
      <c r="I16" s="5"/>
      <c r="J16" s="5"/>
      <c r="K16" s="5"/>
      <c r="L16" s="5"/>
      <c r="M16" s="5"/>
    </row>
    <row r="17" spans="1:13" ht="19.95" customHeight="1" x14ac:dyDescent="0.3">
      <c r="A17" s="7" t="str">
        <f t="shared" si="0"/>
        <v/>
      </c>
      <c r="B17" s="5"/>
      <c r="C17" s="7" t="str">
        <f ca="1">IFERROR(_xludf.XLOOKUP(B17,IDENTIFIKASI!$B:$B,IDENTIFIKASI!$G:$G),"")</f>
        <v/>
      </c>
      <c r="D17" s="5"/>
      <c r="E17" s="7" t="str">
        <f>IF(B17="","",B17&amp;"."&amp;IF(D17&lt;&gt;"",D17,"XX")&amp;"."&amp;TEXT(COUNTIFS($B$4:B17,B17,$D$4:D17,D17),"00"))</f>
        <v/>
      </c>
      <c r="F17" s="5"/>
      <c r="G17" s="5"/>
      <c r="H17" s="5"/>
      <c r="I17" s="5"/>
      <c r="J17" s="5"/>
      <c r="K17" s="5"/>
      <c r="L17" s="5"/>
      <c r="M17" s="5"/>
    </row>
    <row r="18" spans="1:13" ht="19.95" customHeight="1" x14ac:dyDescent="0.3">
      <c r="A18" s="7" t="str">
        <f t="shared" si="0"/>
        <v/>
      </c>
      <c r="B18" s="5"/>
      <c r="C18" s="7" t="str">
        <f ca="1">IFERROR(_xludf.XLOOKUP(B18,IDENTIFIKASI!$B:$B,IDENTIFIKASI!$G:$G),"")</f>
        <v/>
      </c>
      <c r="D18" s="5"/>
      <c r="E18" s="7" t="str">
        <f>IF(B18="","",B18&amp;"."&amp;IF(D18&lt;&gt;"",D18,"XX")&amp;"."&amp;TEXT(COUNTIFS($B$4:B18,B18,$D$4:D18,D18),"00"))</f>
        <v/>
      </c>
      <c r="F18" s="5"/>
      <c r="G18" s="5"/>
      <c r="H18" s="5"/>
      <c r="I18" s="5"/>
      <c r="J18" s="5"/>
      <c r="K18" s="5"/>
      <c r="L18" s="5"/>
      <c r="M18" s="5"/>
    </row>
    <row r="19" spans="1:13" ht="19.95" customHeight="1" x14ac:dyDescent="0.3">
      <c r="A19" s="7" t="str">
        <f t="shared" si="0"/>
        <v/>
      </c>
      <c r="B19" s="5"/>
      <c r="C19" s="7" t="str">
        <f ca="1">IFERROR(_xludf.XLOOKUP(B19,IDENTIFIKASI!$B:$B,IDENTIFIKASI!$G:$G),"")</f>
        <v/>
      </c>
      <c r="D19" s="5"/>
      <c r="E19" s="7" t="str">
        <f>IF(B19="","",B19&amp;"."&amp;IF(D19&lt;&gt;"",D19,"XX")&amp;"."&amp;TEXT(COUNTIFS($B$4:B19,B19,$D$4:D19,D19),"00"))</f>
        <v/>
      </c>
      <c r="F19" s="5"/>
      <c r="G19" s="5"/>
      <c r="H19" s="5"/>
      <c r="I19" s="5"/>
      <c r="J19" s="5"/>
      <c r="K19" s="5"/>
      <c r="L19" s="5"/>
      <c r="M19" s="5"/>
    </row>
    <row r="20" spans="1:13" ht="19.95" customHeight="1" x14ac:dyDescent="0.3">
      <c r="A20" s="7" t="str">
        <f t="shared" si="0"/>
        <v/>
      </c>
      <c r="B20" s="5"/>
      <c r="C20" s="7" t="str">
        <f ca="1">IFERROR(_xludf.XLOOKUP(B20,IDENTIFIKASI!$B:$B,IDENTIFIKASI!$G:$G),"")</f>
        <v/>
      </c>
      <c r="D20" s="5"/>
      <c r="E20" s="7" t="str">
        <f>IF(B20="","",B20&amp;"."&amp;IF(D20&lt;&gt;"",D20,"XX")&amp;"."&amp;TEXT(COUNTIFS($B$4:B20,B20,$D$4:D20,D20),"00"))</f>
        <v/>
      </c>
      <c r="F20" s="5"/>
      <c r="G20" s="5"/>
      <c r="H20" s="5"/>
      <c r="I20" s="5"/>
      <c r="J20" s="5"/>
      <c r="K20" s="5"/>
      <c r="L20" s="5"/>
      <c r="M20" s="5"/>
    </row>
    <row r="21" spans="1:13" ht="19.95" customHeight="1" x14ac:dyDescent="0.3">
      <c r="A21" s="7" t="str">
        <f t="shared" si="0"/>
        <v/>
      </c>
      <c r="B21" s="5"/>
      <c r="C21" s="7" t="str">
        <f ca="1">IFERROR(_xludf.XLOOKUP(B21,IDENTIFIKASI!$B:$B,IDENTIFIKASI!$G:$G),"")</f>
        <v/>
      </c>
      <c r="D21" s="5"/>
      <c r="E21" s="7" t="str">
        <f>IF(B21="","",B21&amp;"."&amp;IF(D21&lt;&gt;"",D21,"XX")&amp;"."&amp;TEXT(COUNTIFS($B$4:B21,B21,$D$4:D21,D21),"00"))</f>
        <v/>
      </c>
      <c r="F21" s="5"/>
      <c r="G21" s="5"/>
      <c r="H21" s="5"/>
      <c r="I21" s="5"/>
      <c r="J21" s="5"/>
      <c r="K21" s="5"/>
      <c r="L21" s="5"/>
      <c r="M21" s="5"/>
    </row>
    <row r="22" spans="1:13" ht="19.95" customHeight="1" x14ac:dyDescent="0.3">
      <c r="A22" s="7" t="str">
        <f t="shared" si="0"/>
        <v/>
      </c>
      <c r="B22" s="5"/>
      <c r="C22" s="7" t="str">
        <f ca="1">IFERROR(_xludf.XLOOKUP(B22,IDENTIFIKASI!$B:$B,IDENTIFIKASI!$G:$G),"")</f>
        <v/>
      </c>
      <c r="D22" s="5"/>
      <c r="E22" s="7" t="str">
        <f>IF(B22="","",B22&amp;"."&amp;IF(D22&lt;&gt;"",D22,"XX")&amp;"."&amp;TEXT(COUNTIFS($B$4:B22,B22,$D$4:D22,D22),"00"))</f>
        <v/>
      </c>
      <c r="F22" s="5"/>
      <c r="G22" s="5"/>
      <c r="H22" s="5"/>
      <c r="I22" s="5"/>
      <c r="J22" s="5"/>
      <c r="K22" s="5"/>
      <c r="L22" s="5"/>
      <c r="M22" s="5"/>
    </row>
    <row r="23" spans="1:13" ht="19.95" customHeight="1" x14ac:dyDescent="0.3">
      <c r="A23" s="7" t="str">
        <f t="shared" si="0"/>
        <v/>
      </c>
      <c r="B23" s="5"/>
      <c r="C23" s="7" t="str">
        <f ca="1">IFERROR(_xludf.XLOOKUP(B23,IDENTIFIKASI!$B:$B,IDENTIFIKASI!$G:$G),"")</f>
        <v/>
      </c>
      <c r="D23" s="5"/>
      <c r="E23" s="7" t="str">
        <f>IF(B23="","",B23&amp;"."&amp;IF(D23&lt;&gt;"",D23,"XX")&amp;"."&amp;TEXT(COUNTIFS($B$4:B23,B23,$D$4:D23,D23),"00"))</f>
        <v/>
      </c>
      <c r="F23" s="5"/>
      <c r="G23" s="5"/>
      <c r="H23" s="5"/>
      <c r="I23" s="5"/>
      <c r="J23" s="5"/>
      <c r="K23" s="5"/>
      <c r="L23" s="5"/>
      <c r="M23" s="5"/>
    </row>
    <row r="24" spans="1:13" ht="19.95" customHeight="1" x14ac:dyDescent="0.3">
      <c r="A24" s="7" t="str">
        <f t="shared" si="0"/>
        <v/>
      </c>
      <c r="B24" s="5"/>
      <c r="C24" s="7" t="str">
        <f ca="1">IFERROR(_xludf.XLOOKUP(B24,IDENTIFIKASI!$B:$B,IDENTIFIKASI!$G:$G),"")</f>
        <v/>
      </c>
      <c r="D24" s="5"/>
      <c r="E24" s="7" t="str">
        <f>IF(B24="","",B24&amp;"."&amp;IF(D24&lt;&gt;"",D24,"XX")&amp;"."&amp;TEXT(COUNTIFS($B$4:B24,B24,$D$4:D24,D24),"00"))</f>
        <v/>
      </c>
      <c r="F24" s="5"/>
      <c r="G24" s="5"/>
      <c r="H24" s="5"/>
      <c r="I24" s="5"/>
      <c r="J24" s="5"/>
      <c r="K24" s="5"/>
      <c r="L24" s="5"/>
      <c r="M24" s="5"/>
    </row>
    <row r="25" spans="1:13" ht="19.95" customHeight="1" x14ac:dyDescent="0.3">
      <c r="A25" s="7" t="str">
        <f t="shared" si="0"/>
        <v/>
      </c>
      <c r="B25" s="5"/>
      <c r="C25" s="7" t="str">
        <f ca="1">IFERROR(_xludf.XLOOKUP(B25,IDENTIFIKASI!$B:$B,IDENTIFIKASI!$G:$G),"")</f>
        <v/>
      </c>
      <c r="D25" s="5"/>
      <c r="E25" s="7" t="str">
        <f>IF(B25="","",B25&amp;"."&amp;IF(D25&lt;&gt;"",D25,"XX")&amp;"."&amp;TEXT(COUNTIFS($B$4:B25,B25,$D$4:D25,D25),"00"))</f>
        <v/>
      </c>
      <c r="F25" s="5"/>
      <c r="G25" s="5"/>
      <c r="H25" s="5"/>
      <c r="I25" s="5"/>
      <c r="J25" s="5"/>
      <c r="K25" s="5"/>
      <c r="L25" s="5"/>
      <c r="M25" s="5"/>
    </row>
    <row r="26" spans="1:13" ht="19.95" customHeight="1" x14ac:dyDescent="0.3">
      <c r="A26" s="7" t="str">
        <f t="shared" si="0"/>
        <v/>
      </c>
      <c r="B26" s="5"/>
      <c r="C26" s="7" t="str">
        <f ca="1">IFERROR(_xludf.XLOOKUP(B26,IDENTIFIKASI!$B:$B,IDENTIFIKASI!$G:$G),"")</f>
        <v/>
      </c>
      <c r="D26" s="5"/>
      <c r="E26" s="7" t="str">
        <f>IF(B26="","",B26&amp;"."&amp;IF(D26&lt;&gt;"",D26,"XX")&amp;"."&amp;TEXT(COUNTIFS($B$4:B26,B26,$D$4:D26,D26),"00"))</f>
        <v/>
      </c>
      <c r="F26" s="5"/>
      <c r="G26" s="5"/>
      <c r="H26" s="5"/>
      <c r="I26" s="5"/>
      <c r="J26" s="5"/>
      <c r="K26" s="5"/>
      <c r="L26" s="5"/>
      <c r="M26" s="5"/>
    </row>
    <row r="27" spans="1:13" ht="19.95" customHeight="1" x14ac:dyDescent="0.3">
      <c r="A27" s="7" t="str">
        <f t="shared" si="0"/>
        <v/>
      </c>
      <c r="B27" s="5"/>
      <c r="C27" s="7" t="str">
        <f ca="1">IFERROR(_xludf.XLOOKUP(B27,IDENTIFIKASI!$B:$B,IDENTIFIKASI!$G:$G),"")</f>
        <v/>
      </c>
      <c r="D27" s="5"/>
      <c r="E27" s="7" t="str">
        <f>IF(B27="","",B27&amp;"."&amp;IF(D27&lt;&gt;"",D27,"XX")&amp;"."&amp;TEXT(COUNTIFS($B$4:B27,B27,$D$4:D27,D27),"00"))</f>
        <v/>
      </c>
      <c r="F27" s="5"/>
      <c r="G27" s="5"/>
      <c r="H27" s="5"/>
      <c r="I27" s="5"/>
      <c r="J27" s="5"/>
      <c r="K27" s="5"/>
      <c r="L27" s="5"/>
      <c r="M27" s="5"/>
    </row>
    <row r="28" spans="1:13" ht="19.95" customHeight="1" x14ac:dyDescent="0.3">
      <c r="A28" s="7" t="str">
        <f t="shared" si="0"/>
        <v/>
      </c>
      <c r="B28" s="5"/>
      <c r="C28" s="7" t="str">
        <f ca="1">IFERROR(_xludf.XLOOKUP(B28,IDENTIFIKASI!$B:$B,IDENTIFIKASI!$G:$G),"")</f>
        <v/>
      </c>
      <c r="D28" s="5"/>
      <c r="E28" s="7" t="str">
        <f>IF(B28="","",B28&amp;"."&amp;IF(D28&lt;&gt;"",D28,"XX")&amp;"."&amp;TEXT(COUNTIFS($B$4:B28,B28,$D$4:D28,D28),"00"))</f>
        <v/>
      </c>
      <c r="F28" s="5"/>
      <c r="G28" s="5"/>
      <c r="H28" s="5"/>
      <c r="I28" s="5"/>
      <c r="J28" s="5"/>
      <c r="K28" s="5"/>
      <c r="L28" s="5"/>
      <c r="M28" s="5"/>
    </row>
    <row r="29" spans="1:13" ht="19.95" customHeight="1" x14ac:dyDescent="0.3">
      <c r="A29" s="7" t="str">
        <f t="shared" si="0"/>
        <v/>
      </c>
      <c r="B29" s="5"/>
      <c r="C29" s="7" t="str">
        <f ca="1">IFERROR(_xludf.XLOOKUP(B29,IDENTIFIKASI!$B:$B,IDENTIFIKASI!$G:$G),"")</f>
        <v/>
      </c>
      <c r="D29" s="5"/>
      <c r="E29" s="7" t="str">
        <f>IF(B29="","",B29&amp;"."&amp;IF(D29&lt;&gt;"",D29,"XX")&amp;"."&amp;TEXT(COUNTIFS($B$4:B29,B29,$D$4:D29,D29),"00"))</f>
        <v/>
      </c>
      <c r="F29" s="5"/>
      <c r="G29" s="5"/>
      <c r="H29" s="5"/>
      <c r="I29" s="5"/>
      <c r="J29" s="5"/>
      <c r="K29" s="5"/>
      <c r="L29" s="5"/>
      <c r="M29" s="5"/>
    </row>
    <row r="30" spans="1:13" ht="19.95" customHeight="1" x14ac:dyDescent="0.3">
      <c r="A30" s="7" t="str">
        <f t="shared" si="0"/>
        <v/>
      </c>
      <c r="B30" s="5"/>
      <c r="C30" s="7" t="str">
        <f ca="1">IFERROR(_xludf.XLOOKUP(B30,IDENTIFIKASI!$B:$B,IDENTIFIKASI!$G:$G),"")</f>
        <v/>
      </c>
      <c r="D30" s="5"/>
      <c r="E30" s="7" t="str">
        <f>IF(B30="","",B30&amp;"."&amp;IF(D30&lt;&gt;"",D30,"XX")&amp;"."&amp;TEXT(COUNTIFS($B$4:B30,B30,$D$4:D30,D30),"00"))</f>
        <v/>
      </c>
      <c r="F30" s="5"/>
      <c r="G30" s="5"/>
      <c r="H30" s="5"/>
      <c r="I30" s="5"/>
      <c r="J30" s="5"/>
      <c r="K30" s="5"/>
      <c r="L30" s="5"/>
      <c r="M30" s="5"/>
    </row>
    <row r="31" spans="1:13" ht="19.95" customHeight="1" x14ac:dyDescent="0.3">
      <c r="A31" s="7" t="str">
        <f t="shared" si="0"/>
        <v/>
      </c>
      <c r="B31" s="5"/>
      <c r="C31" s="7" t="str">
        <f ca="1">IFERROR(_xludf.XLOOKUP(B31,IDENTIFIKASI!$B:$B,IDENTIFIKASI!$G:$G),"")</f>
        <v/>
      </c>
      <c r="D31" s="5"/>
      <c r="E31" s="7" t="str">
        <f>IF(B31="","",B31&amp;"."&amp;IF(D31&lt;&gt;"",D31,"XX")&amp;"."&amp;TEXT(COUNTIFS($B$4:B31,B31,$D$4:D31,D31),"00"))</f>
        <v/>
      </c>
      <c r="F31" s="5"/>
      <c r="G31" s="5"/>
      <c r="H31" s="5"/>
      <c r="I31" s="5"/>
      <c r="J31" s="5"/>
      <c r="K31" s="5"/>
      <c r="L31" s="5"/>
      <c r="M31" s="5"/>
    </row>
    <row r="32" spans="1:13" ht="19.95" customHeight="1" x14ac:dyDescent="0.3">
      <c r="A32" s="7" t="str">
        <f t="shared" si="0"/>
        <v/>
      </c>
      <c r="B32" s="5"/>
      <c r="C32" s="7" t="str">
        <f ca="1">IFERROR(_xludf.XLOOKUP(B32,IDENTIFIKASI!$B:$B,IDENTIFIKASI!$G:$G),"")</f>
        <v/>
      </c>
      <c r="D32" s="5"/>
      <c r="E32" s="7" t="str">
        <f>IF(B32="","",B32&amp;"."&amp;IF(D32&lt;&gt;"",D32,"XX")&amp;"."&amp;TEXT(COUNTIFS($B$4:B32,B32,$D$4:D32,D32),"00"))</f>
        <v/>
      </c>
      <c r="F32" s="5"/>
      <c r="G32" s="5"/>
      <c r="H32" s="5"/>
      <c r="I32" s="5"/>
      <c r="J32" s="5"/>
      <c r="K32" s="5"/>
      <c r="L32" s="5"/>
      <c r="M32" s="5"/>
    </row>
    <row r="33" spans="1:13" ht="19.95" customHeight="1" x14ac:dyDescent="0.3">
      <c r="A33" s="7" t="str">
        <f t="shared" si="0"/>
        <v/>
      </c>
      <c r="B33" s="5"/>
      <c r="C33" s="7" t="str">
        <f ca="1">IFERROR(_xludf.XLOOKUP(B33,IDENTIFIKASI!$B:$B,IDENTIFIKASI!$G:$G),"")</f>
        <v/>
      </c>
      <c r="D33" s="5"/>
      <c r="E33" s="7" t="str">
        <f>IF(B33="","",B33&amp;"."&amp;IF(D33&lt;&gt;"",D33,"XX")&amp;"."&amp;TEXT(COUNTIFS($B$4:B33,B33,$D$4:D33,D33),"00"))</f>
        <v/>
      </c>
      <c r="F33" s="5"/>
      <c r="G33" s="5"/>
      <c r="H33" s="5"/>
      <c r="I33" s="5"/>
      <c r="J33" s="5"/>
      <c r="K33" s="5"/>
      <c r="L33" s="5"/>
      <c r="M33" s="5"/>
    </row>
    <row r="34" spans="1:13" ht="19.95" customHeight="1" x14ac:dyDescent="0.3">
      <c r="A34" s="7" t="str">
        <f t="shared" si="0"/>
        <v/>
      </c>
      <c r="B34" s="5"/>
      <c r="C34" s="7" t="str">
        <f ca="1">IFERROR(_xludf.XLOOKUP(B34,IDENTIFIKASI!$B:$B,IDENTIFIKASI!$G:$G),"")</f>
        <v/>
      </c>
      <c r="D34" s="5"/>
      <c r="E34" s="7" t="str">
        <f>IF(B34="","",B34&amp;"."&amp;IF(D34&lt;&gt;"",D34,"XX")&amp;"."&amp;TEXT(COUNTIFS($B$4:B34,B34,$D$4:D34,D34),"00"))</f>
        <v/>
      </c>
      <c r="F34" s="5"/>
      <c r="G34" s="5"/>
      <c r="H34" s="5"/>
      <c r="I34" s="5"/>
      <c r="J34" s="5"/>
      <c r="K34" s="5"/>
      <c r="L34" s="5"/>
      <c r="M34" s="5"/>
    </row>
    <row r="35" spans="1:13" ht="19.95" customHeight="1" x14ac:dyDescent="0.3">
      <c r="A35" s="7" t="str">
        <f t="shared" si="0"/>
        <v/>
      </c>
      <c r="B35" s="5"/>
      <c r="C35" s="7" t="str">
        <f ca="1">IFERROR(_xludf.XLOOKUP(B35,IDENTIFIKASI!$B:$B,IDENTIFIKASI!$G:$G),"")</f>
        <v/>
      </c>
      <c r="D35" s="5"/>
      <c r="E35" s="7" t="str">
        <f>IF(B35="","",B35&amp;"."&amp;IF(D35&lt;&gt;"",D35,"XX")&amp;"."&amp;TEXT(COUNTIFS($B$4:B35,B35,$D$4:D35,D35),"00"))</f>
        <v/>
      </c>
      <c r="F35" s="5"/>
      <c r="G35" s="5"/>
      <c r="H35" s="5"/>
      <c r="I35" s="5"/>
      <c r="J35" s="5"/>
      <c r="K35" s="5"/>
      <c r="L35" s="5"/>
      <c r="M35" s="5"/>
    </row>
    <row r="36" spans="1:13" ht="19.95" customHeight="1" x14ac:dyDescent="0.3">
      <c r="A36" s="7" t="str">
        <f t="shared" si="0"/>
        <v/>
      </c>
      <c r="B36" s="5"/>
      <c r="C36" s="7" t="str">
        <f ca="1">IFERROR(_xludf.XLOOKUP(B36,IDENTIFIKASI!$B:$B,IDENTIFIKASI!$G:$G),"")</f>
        <v/>
      </c>
      <c r="D36" s="5"/>
      <c r="E36" s="7" t="str">
        <f>IF(B36="","",B36&amp;"."&amp;IF(D36&lt;&gt;"",D36,"XX")&amp;"."&amp;TEXT(COUNTIFS($B$4:B36,B36,$D$4:D36,D36),"00"))</f>
        <v/>
      </c>
      <c r="F36" s="5"/>
      <c r="G36" s="5"/>
      <c r="H36" s="5"/>
      <c r="I36" s="5"/>
      <c r="J36" s="5"/>
      <c r="K36" s="5"/>
      <c r="L36" s="5"/>
      <c r="M36" s="5"/>
    </row>
    <row r="37" spans="1:13" ht="19.95" customHeight="1" x14ac:dyDescent="0.3">
      <c r="A37" s="7" t="str">
        <f t="shared" si="0"/>
        <v/>
      </c>
      <c r="B37" s="5"/>
      <c r="C37" s="7" t="str">
        <f ca="1">IFERROR(_xludf.XLOOKUP(B37,IDENTIFIKASI!$B:$B,IDENTIFIKASI!$G:$G),"")</f>
        <v/>
      </c>
      <c r="D37" s="5"/>
      <c r="E37" s="7" t="str">
        <f>IF(B37="","",B37&amp;"."&amp;IF(D37&lt;&gt;"",D37,"XX")&amp;"."&amp;TEXT(COUNTIFS($B$4:B37,B37,$D$4:D37,D37),"00"))</f>
        <v/>
      </c>
      <c r="F37" s="5"/>
      <c r="G37" s="5"/>
      <c r="H37" s="5"/>
      <c r="I37" s="5"/>
      <c r="J37" s="5"/>
      <c r="K37" s="5"/>
      <c r="L37" s="5"/>
      <c r="M37" s="5"/>
    </row>
    <row r="38" spans="1:13" ht="19.95" customHeight="1" x14ac:dyDescent="0.3">
      <c r="A38" s="7" t="str">
        <f t="shared" si="0"/>
        <v/>
      </c>
      <c r="B38" s="5"/>
      <c r="C38" s="7" t="str">
        <f ca="1">IFERROR(_xludf.XLOOKUP(B38,IDENTIFIKASI!$B:$B,IDENTIFIKASI!$G:$G),"")</f>
        <v/>
      </c>
      <c r="D38" s="5"/>
      <c r="E38" s="7" t="str">
        <f>IF(B38="","",B38&amp;"."&amp;IF(D38&lt;&gt;"",D38,"XX")&amp;"."&amp;TEXT(COUNTIFS($B$4:B38,B38,$D$4:D38,D38),"00"))</f>
        <v/>
      </c>
      <c r="F38" s="5"/>
      <c r="G38" s="5"/>
      <c r="H38" s="5"/>
      <c r="I38" s="5"/>
      <c r="J38" s="5"/>
      <c r="K38" s="5"/>
      <c r="L38" s="5"/>
      <c r="M38" s="5"/>
    </row>
    <row r="39" spans="1:13" ht="19.95" customHeight="1" x14ac:dyDescent="0.3">
      <c r="A39" s="7" t="str">
        <f t="shared" si="0"/>
        <v/>
      </c>
      <c r="B39" s="5"/>
      <c r="C39" s="7" t="str">
        <f ca="1">IFERROR(_xludf.XLOOKUP(B39,IDENTIFIKASI!$B:$B,IDENTIFIKASI!$G:$G),"")</f>
        <v/>
      </c>
      <c r="D39" s="5"/>
      <c r="E39" s="7" t="str">
        <f>IF(B39="","",B39&amp;"."&amp;IF(D39&lt;&gt;"",D39,"XX")&amp;"."&amp;TEXT(COUNTIFS($B$4:B39,B39,$D$4:D39,D39),"00"))</f>
        <v/>
      </c>
      <c r="F39" s="5"/>
      <c r="G39" s="5"/>
      <c r="H39" s="5"/>
      <c r="I39" s="5"/>
      <c r="J39" s="5"/>
      <c r="K39" s="5"/>
      <c r="L39" s="5"/>
      <c r="M39" s="5"/>
    </row>
    <row r="40" spans="1:13" ht="19.95" customHeight="1" x14ac:dyDescent="0.3">
      <c r="A40" s="7" t="str">
        <f t="shared" si="0"/>
        <v/>
      </c>
      <c r="B40" s="5"/>
      <c r="C40" s="7" t="str">
        <f ca="1">IFERROR(_xludf.XLOOKUP(B40,IDENTIFIKASI!$B:$B,IDENTIFIKASI!$G:$G),"")</f>
        <v/>
      </c>
      <c r="D40" s="5"/>
      <c r="E40" s="7" t="str">
        <f>IF(B40="","",B40&amp;"."&amp;IF(D40&lt;&gt;"",D40,"XX")&amp;"."&amp;TEXT(COUNTIFS($B$4:B40,B40,$D$4:D40,D40),"00"))</f>
        <v/>
      </c>
      <c r="F40" s="5"/>
      <c r="G40" s="5"/>
      <c r="H40" s="5"/>
      <c r="I40" s="5"/>
      <c r="J40" s="5"/>
      <c r="K40" s="5"/>
      <c r="L40" s="5"/>
      <c r="M40" s="5"/>
    </row>
    <row r="41" spans="1:13" ht="19.95" customHeight="1" x14ac:dyDescent="0.3">
      <c r="A41" s="7" t="str">
        <f t="shared" si="0"/>
        <v/>
      </c>
      <c r="B41" s="5"/>
      <c r="C41" s="7" t="str">
        <f ca="1">IFERROR(_xludf.XLOOKUP(B41,IDENTIFIKASI!$B:$B,IDENTIFIKASI!$G:$G),"")</f>
        <v/>
      </c>
      <c r="D41" s="5"/>
      <c r="E41" s="7" t="str">
        <f>IF(B41="","",B41&amp;"."&amp;IF(D41&lt;&gt;"",D41,"XX")&amp;"."&amp;TEXT(COUNTIFS($B$4:B41,B41,$D$4:D41,D41),"00"))</f>
        <v/>
      </c>
      <c r="F41" s="5"/>
      <c r="G41" s="5"/>
      <c r="H41" s="5"/>
      <c r="I41" s="5"/>
      <c r="J41" s="5"/>
      <c r="K41" s="5"/>
      <c r="L41" s="5"/>
      <c r="M41" s="5"/>
    </row>
    <row r="42" spans="1:13" ht="19.95" customHeight="1" x14ac:dyDescent="0.3">
      <c r="A42" s="7" t="str">
        <f t="shared" si="0"/>
        <v/>
      </c>
      <c r="B42" s="5"/>
      <c r="C42" s="7" t="str">
        <f ca="1">IFERROR(_xludf.XLOOKUP(B42,IDENTIFIKASI!$B:$B,IDENTIFIKASI!$G:$G),"")</f>
        <v/>
      </c>
      <c r="D42" s="5"/>
      <c r="E42" s="7" t="str">
        <f>IF(B42="","",B42&amp;"."&amp;IF(D42&lt;&gt;"",D42,"XX")&amp;"."&amp;TEXT(COUNTIFS($B$4:B42,B42,$D$4:D42,D42),"00"))</f>
        <v/>
      </c>
      <c r="F42" s="5"/>
      <c r="G42" s="5"/>
      <c r="H42" s="5"/>
      <c r="I42" s="5"/>
      <c r="J42" s="5"/>
      <c r="K42" s="5"/>
      <c r="L42" s="5"/>
      <c r="M42" s="5"/>
    </row>
    <row r="43" spans="1:13" ht="19.95" customHeight="1" x14ac:dyDescent="0.3">
      <c r="A43" s="7" t="str">
        <f t="shared" si="0"/>
        <v/>
      </c>
      <c r="B43" s="5"/>
      <c r="C43" s="7" t="str">
        <f ca="1">IFERROR(_xludf.XLOOKUP(B43,IDENTIFIKASI!$B:$B,IDENTIFIKASI!$G:$G),"")</f>
        <v/>
      </c>
      <c r="D43" s="5"/>
      <c r="E43" s="7" t="str">
        <f>IF(B43="","",B43&amp;"."&amp;IF(D43&lt;&gt;"",D43,"XX")&amp;"."&amp;TEXT(COUNTIFS($B$4:B43,B43,$D$4:D43,D43),"00"))</f>
        <v/>
      </c>
      <c r="F43" s="5"/>
      <c r="G43" s="5"/>
      <c r="H43" s="5"/>
      <c r="I43" s="5"/>
      <c r="J43" s="5"/>
      <c r="K43" s="5"/>
      <c r="L43" s="5"/>
      <c r="M43" s="5"/>
    </row>
    <row r="44" spans="1:13" ht="19.95" customHeight="1" x14ac:dyDescent="0.3">
      <c r="A44" s="7" t="str">
        <f t="shared" si="0"/>
        <v/>
      </c>
      <c r="B44" s="5"/>
      <c r="C44" s="7" t="str">
        <f ca="1">IFERROR(_xludf.XLOOKUP(B44,IDENTIFIKASI!$B:$B,IDENTIFIKASI!$G:$G),"")</f>
        <v/>
      </c>
      <c r="D44" s="5"/>
      <c r="E44" s="7" t="str">
        <f>IF(B44="","",B44&amp;"."&amp;IF(D44&lt;&gt;"",D44,"XX")&amp;"."&amp;TEXT(COUNTIFS($B$4:B44,B44,$D$4:D44,D44),"00"))</f>
        <v/>
      </c>
      <c r="F44" s="5"/>
      <c r="G44" s="5"/>
      <c r="H44" s="5"/>
      <c r="I44" s="5"/>
      <c r="J44" s="5"/>
      <c r="K44" s="5"/>
      <c r="L44" s="5"/>
      <c r="M44" s="5"/>
    </row>
    <row r="45" spans="1:13" ht="19.95" customHeight="1" x14ac:dyDescent="0.3">
      <c r="A45" s="7" t="str">
        <f t="shared" si="0"/>
        <v/>
      </c>
      <c r="B45" s="5"/>
      <c r="C45" s="7" t="str">
        <f ca="1">IFERROR(_xludf.XLOOKUP(B45,IDENTIFIKASI!$B:$B,IDENTIFIKASI!$G:$G),"")</f>
        <v/>
      </c>
      <c r="D45" s="5"/>
      <c r="E45" s="7" t="str">
        <f>IF(B45="","",B45&amp;"."&amp;IF(D45&lt;&gt;"",D45,"XX")&amp;"."&amp;TEXT(COUNTIFS($B$4:B45,B45,$D$4:D45,D45),"00"))</f>
        <v/>
      </c>
      <c r="F45" s="5"/>
      <c r="G45" s="5"/>
      <c r="H45" s="5"/>
      <c r="I45" s="5"/>
      <c r="J45" s="5"/>
      <c r="K45" s="5"/>
      <c r="L45" s="5"/>
      <c r="M45" s="5"/>
    </row>
    <row r="46" spans="1:13" ht="19.95" customHeight="1" x14ac:dyDescent="0.3">
      <c r="A46" s="7" t="str">
        <f t="shared" si="0"/>
        <v/>
      </c>
      <c r="B46" s="5"/>
      <c r="C46" s="7" t="str">
        <f ca="1">IFERROR(_xludf.XLOOKUP(B46,IDENTIFIKASI!$B:$B,IDENTIFIKASI!$G:$G),"")</f>
        <v/>
      </c>
      <c r="D46" s="5"/>
      <c r="E46" s="7" t="str">
        <f>IF(B46="","",B46&amp;"."&amp;IF(D46&lt;&gt;"",D46,"XX")&amp;"."&amp;TEXT(COUNTIFS($B$4:B46,B46,$D$4:D46,D46),"00"))</f>
        <v/>
      </c>
      <c r="F46" s="5"/>
      <c r="G46" s="5"/>
      <c r="H46" s="5"/>
      <c r="I46" s="5"/>
      <c r="J46" s="5"/>
      <c r="K46" s="5"/>
      <c r="L46" s="5"/>
      <c r="M46" s="5"/>
    </row>
    <row r="47" spans="1:13" ht="19.95" customHeight="1" x14ac:dyDescent="0.3">
      <c r="A47" s="7" t="str">
        <f t="shared" si="0"/>
        <v/>
      </c>
      <c r="B47" s="5"/>
      <c r="C47" s="7" t="str">
        <f ca="1">IFERROR(_xludf.XLOOKUP(B47,IDENTIFIKASI!$B:$B,IDENTIFIKASI!$G:$G),"")</f>
        <v/>
      </c>
      <c r="D47" s="5"/>
      <c r="E47" s="7" t="str">
        <f>IF(B47="","",B47&amp;"."&amp;IF(D47&lt;&gt;"",D47,"XX")&amp;"."&amp;TEXT(COUNTIFS($B$4:B47,B47,$D$4:D47,D47),"00"))</f>
        <v/>
      </c>
      <c r="F47" s="5"/>
      <c r="G47" s="5"/>
      <c r="H47" s="5"/>
      <c r="I47" s="5"/>
      <c r="J47" s="5"/>
      <c r="K47" s="5"/>
      <c r="L47" s="5"/>
      <c r="M47" s="5"/>
    </row>
    <row r="48" spans="1:13" ht="19.95" customHeight="1" x14ac:dyDescent="0.3">
      <c r="A48" s="7" t="str">
        <f t="shared" si="0"/>
        <v/>
      </c>
      <c r="B48" s="5"/>
      <c r="C48" s="7" t="str">
        <f ca="1">IFERROR(_xludf.XLOOKUP(B48,IDENTIFIKASI!$B:$B,IDENTIFIKASI!$G:$G),"")</f>
        <v/>
      </c>
      <c r="D48" s="5"/>
      <c r="E48" s="7" t="str">
        <f>IF(B48="","",B48&amp;"."&amp;IF(D48&lt;&gt;"",D48,"XX")&amp;"."&amp;TEXT(COUNTIFS($B$4:B48,B48,$D$4:D48,D48),"00"))</f>
        <v/>
      </c>
      <c r="F48" s="5"/>
      <c r="G48" s="5"/>
      <c r="H48" s="5"/>
      <c r="I48" s="5"/>
      <c r="J48" s="5"/>
      <c r="K48" s="5"/>
      <c r="L48" s="5"/>
      <c r="M48" s="5"/>
    </row>
    <row r="49" spans="1:13" ht="19.95" customHeight="1" x14ac:dyDescent="0.3">
      <c r="A49" s="7" t="str">
        <f t="shared" si="0"/>
        <v/>
      </c>
      <c r="B49" s="5"/>
      <c r="C49" s="7" t="str">
        <f ca="1">IFERROR(_xludf.XLOOKUP(B49,IDENTIFIKASI!$B:$B,IDENTIFIKASI!$G:$G),"")</f>
        <v/>
      </c>
      <c r="D49" s="5"/>
      <c r="E49" s="7" t="str">
        <f>IF(B49="","",B49&amp;"."&amp;IF(D49&lt;&gt;"",D49,"XX")&amp;"."&amp;TEXT(COUNTIFS($B$4:B49,B49,$D$4:D49,D49),"00"))</f>
        <v/>
      </c>
      <c r="F49" s="5"/>
      <c r="G49" s="5"/>
      <c r="H49" s="5"/>
      <c r="I49" s="5"/>
      <c r="J49" s="5"/>
      <c r="K49" s="5"/>
      <c r="L49" s="5"/>
      <c r="M49" s="5"/>
    </row>
    <row r="50" spans="1:13" ht="19.95" customHeight="1" x14ac:dyDescent="0.3">
      <c r="A50" s="7" t="str">
        <f t="shared" si="0"/>
        <v/>
      </c>
      <c r="B50" s="5"/>
      <c r="C50" s="7" t="str">
        <f ca="1">IFERROR(_xludf.XLOOKUP(B50,IDENTIFIKASI!$B:$B,IDENTIFIKASI!$G:$G),"")</f>
        <v/>
      </c>
      <c r="D50" s="5"/>
      <c r="E50" s="7" t="str">
        <f>IF(B50="","",B50&amp;"."&amp;IF(D50&lt;&gt;"",D50,"XX")&amp;"."&amp;TEXT(COUNTIFS($B$4:B50,B50,$D$4:D50,D50),"00"))</f>
        <v/>
      </c>
      <c r="F50" s="5"/>
      <c r="G50" s="5"/>
      <c r="H50" s="5"/>
      <c r="I50" s="5"/>
      <c r="J50" s="5"/>
      <c r="K50" s="5"/>
      <c r="L50" s="5"/>
      <c r="M50" s="5"/>
    </row>
    <row r="51" spans="1:13" ht="19.95" customHeight="1" x14ac:dyDescent="0.3">
      <c r="A51" s="7" t="str">
        <f t="shared" si="0"/>
        <v/>
      </c>
      <c r="B51" s="5"/>
      <c r="C51" s="7" t="str">
        <f ca="1">IFERROR(_xludf.XLOOKUP(B51,IDENTIFIKASI!$B:$B,IDENTIFIKASI!$G:$G),"")</f>
        <v/>
      </c>
      <c r="D51" s="5"/>
      <c r="E51" s="7" t="str">
        <f>IF(B51="","",B51&amp;"."&amp;IF(D51&lt;&gt;"",D51,"XX")&amp;"."&amp;TEXT(COUNTIFS($B$4:B51,B51,$D$4:D51,D51),"00"))</f>
        <v/>
      </c>
      <c r="F51" s="5"/>
      <c r="G51" s="5"/>
      <c r="H51" s="5"/>
      <c r="I51" s="5"/>
      <c r="J51" s="5"/>
      <c r="K51" s="5"/>
      <c r="L51" s="5"/>
      <c r="M51" s="5"/>
    </row>
    <row r="52" spans="1:13" ht="19.95" customHeight="1" x14ac:dyDescent="0.3">
      <c r="A52" s="7" t="str">
        <f t="shared" si="0"/>
        <v/>
      </c>
      <c r="B52" s="5"/>
      <c r="C52" s="7" t="str">
        <f ca="1">IFERROR(_xludf.XLOOKUP(B52,IDENTIFIKASI!$B:$B,IDENTIFIKASI!$G:$G),"")</f>
        <v/>
      </c>
      <c r="D52" s="5"/>
      <c r="E52" s="7" t="str">
        <f>IF(B52="","",B52&amp;"."&amp;IF(D52&lt;&gt;"",D52,"XX")&amp;"."&amp;TEXT(COUNTIFS($B$4:B52,B52,$D$4:D52,D52),"00"))</f>
        <v/>
      </c>
      <c r="F52" s="5"/>
      <c r="G52" s="5"/>
      <c r="H52" s="5"/>
      <c r="I52" s="5"/>
      <c r="J52" s="5"/>
      <c r="K52" s="5"/>
      <c r="L52" s="5"/>
      <c r="M52" s="5"/>
    </row>
    <row r="53" spans="1:13" ht="19.95" customHeight="1" x14ac:dyDescent="0.3">
      <c r="A53" s="7" t="str">
        <f t="shared" si="0"/>
        <v/>
      </c>
      <c r="B53" s="5"/>
      <c r="C53" s="7" t="str">
        <f ca="1">IFERROR(_xludf.XLOOKUP(B53,IDENTIFIKASI!$B:$B,IDENTIFIKASI!$G:$G),"")</f>
        <v/>
      </c>
      <c r="D53" s="5"/>
      <c r="E53" s="7" t="str">
        <f>IF(B53="","",B53&amp;"."&amp;IF(D53&lt;&gt;"",D53,"XX")&amp;"."&amp;TEXT(COUNTIFS($B$4:B53,B53,$D$4:D53,D53),"00"))</f>
        <v/>
      </c>
      <c r="F53" s="5"/>
      <c r="G53" s="5"/>
      <c r="H53" s="5"/>
      <c r="I53" s="5"/>
      <c r="J53" s="5"/>
      <c r="K53" s="5"/>
      <c r="L53" s="5"/>
      <c r="M53" s="5"/>
    </row>
    <row r="54" spans="1:13" ht="19.95" customHeight="1" x14ac:dyDescent="0.3">
      <c r="A54" s="7" t="str">
        <f t="shared" si="0"/>
        <v/>
      </c>
      <c r="B54" s="5"/>
      <c r="C54" s="7" t="str">
        <f ca="1">IFERROR(_xludf.XLOOKUP(B54,IDENTIFIKASI!$B:$B,IDENTIFIKASI!$G:$G),"")</f>
        <v/>
      </c>
      <c r="D54" s="5"/>
      <c r="E54" s="7" t="str">
        <f>IF(B54="","",B54&amp;"."&amp;IF(D54&lt;&gt;"",D54,"XX")&amp;"."&amp;TEXT(COUNTIFS($B$4:B54,B54,$D$4:D54,D54),"00"))</f>
        <v/>
      </c>
      <c r="F54" s="5"/>
      <c r="G54" s="5"/>
      <c r="H54" s="5"/>
      <c r="I54" s="5"/>
      <c r="J54" s="5"/>
      <c r="K54" s="5"/>
      <c r="L54" s="5"/>
      <c r="M54" s="5"/>
    </row>
    <row r="55" spans="1:13" ht="19.95" customHeight="1" x14ac:dyDescent="0.3">
      <c r="A55" s="7" t="str">
        <f t="shared" si="0"/>
        <v/>
      </c>
      <c r="B55" s="5"/>
      <c r="C55" s="7" t="str">
        <f ca="1">IFERROR(_xludf.XLOOKUP(B55,IDENTIFIKASI!$B:$B,IDENTIFIKASI!$G:$G),"")</f>
        <v/>
      </c>
      <c r="D55" s="5"/>
      <c r="E55" s="7" t="str">
        <f>IF(B55="","",B55&amp;"."&amp;IF(D55&lt;&gt;"",D55,"XX")&amp;"."&amp;TEXT(COUNTIFS($B$4:B55,B55,$D$4:D55,D55),"00"))</f>
        <v/>
      </c>
      <c r="F55" s="5"/>
      <c r="G55" s="5"/>
      <c r="H55" s="5"/>
      <c r="I55" s="5"/>
      <c r="J55" s="5"/>
      <c r="K55" s="5"/>
      <c r="L55" s="5"/>
      <c r="M55" s="5"/>
    </row>
    <row r="56" spans="1:13" ht="19.95" customHeight="1" x14ac:dyDescent="0.3">
      <c r="A56" s="7" t="str">
        <f t="shared" si="0"/>
        <v/>
      </c>
      <c r="B56" s="5"/>
      <c r="C56" s="7" t="str">
        <f ca="1">IFERROR(_xludf.XLOOKUP(B56,IDENTIFIKASI!$B:$B,IDENTIFIKASI!$G:$G),"")</f>
        <v/>
      </c>
      <c r="D56" s="5"/>
      <c r="E56" s="7" t="str">
        <f>IF(B56="","",B56&amp;"."&amp;IF(D56&lt;&gt;"",D56,"XX")&amp;"."&amp;TEXT(COUNTIFS($B$4:B56,B56,$D$4:D56,D56),"00"))</f>
        <v/>
      </c>
      <c r="F56" s="5"/>
      <c r="G56" s="5"/>
      <c r="H56" s="5"/>
      <c r="I56" s="5"/>
      <c r="J56" s="5"/>
      <c r="K56" s="5"/>
      <c r="L56" s="5"/>
      <c r="M56" s="5"/>
    </row>
    <row r="57" spans="1:13" ht="19.95" customHeight="1" x14ac:dyDescent="0.3">
      <c r="A57" s="7" t="str">
        <f t="shared" si="0"/>
        <v/>
      </c>
      <c r="B57" s="5"/>
      <c r="C57" s="7" t="str">
        <f ca="1">IFERROR(_xludf.XLOOKUP(B57,IDENTIFIKASI!$B:$B,IDENTIFIKASI!$G:$G),"")</f>
        <v/>
      </c>
      <c r="D57" s="5"/>
      <c r="E57" s="7" t="str">
        <f>IF(B57="","",B57&amp;"."&amp;IF(D57&lt;&gt;"",D57,"XX")&amp;"."&amp;TEXT(COUNTIFS($B$4:B57,B57,$D$4:D57,D57),"00"))</f>
        <v/>
      </c>
      <c r="F57" s="5"/>
      <c r="G57" s="5"/>
      <c r="H57" s="5"/>
      <c r="I57" s="5"/>
      <c r="J57" s="5"/>
      <c r="K57" s="5"/>
      <c r="L57" s="5"/>
      <c r="M57" s="5"/>
    </row>
    <row r="58" spans="1:13" ht="19.95" customHeight="1" x14ac:dyDescent="0.3">
      <c r="A58" s="7" t="str">
        <f t="shared" si="0"/>
        <v/>
      </c>
      <c r="B58" s="5"/>
      <c r="C58" s="7" t="str">
        <f ca="1">IFERROR(_xludf.XLOOKUP(B58,IDENTIFIKASI!$B:$B,IDENTIFIKASI!$G:$G),"")</f>
        <v/>
      </c>
      <c r="D58" s="5"/>
      <c r="E58" s="7" t="str">
        <f>IF(B58="","",B58&amp;"."&amp;IF(D58&lt;&gt;"",D58,"XX")&amp;"."&amp;TEXT(COUNTIFS($B$4:B58,B58,$D$4:D58,D58),"00"))</f>
        <v/>
      </c>
      <c r="F58" s="5"/>
      <c r="G58" s="5"/>
      <c r="H58" s="5"/>
      <c r="I58" s="5"/>
      <c r="J58" s="5"/>
      <c r="K58" s="5"/>
      <c r="L58" s="5"/>
      <c r="M58" s="5"/>
    </row>
    <row r="59" spans="1:13" ht="19.95" customHeight="1" x14ac:dyDescent="0.3">
      <c r="A59" s="7" t="str">
        <f t="shared" si="0"/>
        <v/>
      </c>
      <c r="B59" s="5"/>
      <c r="C59" s="7" t="str">
        <f ca="1">IFERROR(_xludf.XLOOKUP(B59,IDENTIFIKASI!$B:$B,IDENTIFIKASI!$G:$G),"")</f>
        <v/>
      </c>
      <c r="D59" s="5"/>
      <c r="E59" s="7" t="str">
        <f>IF(B59="","",B59&amp;"."&amp;IF(D59&lt;&gt;"",D59,"XX")&amp;"."&amp;TEXT(COUNTIFS($B$4:B59,B59,$D$4:D59,D59),"00"))</f>
        <v/>
      </c>
      <c r="F59" s="5"/>
      <c r="G59" s="5"/>
      <c r="H59" s="5"/>
      <c r="I59" s="5"/>
      <c r="J59" s="5"/>
      <c r="K59" s="5"/>
      <c r="L59" s="5"/>
      <c r="M59" s="5"/>
    </row>
    <row r="60" spans="1:13" ht="19.95" customHeight="1" x14ac:dyDescent="0.3">
      <c r="A60" s="7" t="str">
        <f t="shared" si="0"/>
        <v/>
      </c>
      <c r="B60" s="5"/>
      <c r="C60" s="7" t="str">
        <f ca="1">IFERROR(_xludf.XLOOKUP(B60,IDENTIFIKASI!$B:$B,IDENTIFIKASI!$G:$G),"")</f>
        <v/>
      </c>
      <c r="D60" s="5"/>
      <c r="E60" s="7" t="str">
        <f>IF(B60="","",B60&amp;"."&amp;IF(D60&lt;&gt;"",D60,"XX")&amp;"."&amp;TEXT(COUNTIFS($B$4:B60,B60,$D$4:D60,D60),"00"))</f>
        <v/>
      </c>
      <c r="F60" s="5"/>
      <c r="G60" s="5"/>
      <c r="H60" s="5"/>
      <c r="I60" s="5"/>
      <c r="J60" s="5"/>
      <c r="K60" s="5"/>
      <c r="L60" s="5"/>
      <c r="M60" s="5"/>
    </row>
    <row r="61" spans="1:13" ht="19.95" customHeight="1" x14ac:dyDescent="0.3">
      <c r="A61" s="7" t="str">
        <f t="shared" si="0"/>
        <v/>
      </c>
      <c r="B61" s="5"/>
      <c r="C61" s="7" t="str">
        <f ca="1">IFERROR(_xludf.XLOOKUP(B61,IDENTIFIKASI!$B:$B,IDENTIFIKASI!$G:$G),"")</f>
        <v/>
      </c>
      <c r="D61" s="5"/>
      <c r="E61" s="7" t="str">
        <f>IF(B61="","",B61&amp;"."&amp;IF(D61&lt;&gt;"",D61,"XX")&amp;"."&amp;TEXT(COUNTIFS($B$4:B61,B61,$D$4:D61,D61),"00"))</f>
        <v/>
      </c>
      <c r="F61" s="5"/>
      <c r="G61" s="5"/>
      <c r="H61" s="5"/>
      <c r="I61" s="5"/>
      <c r="J61" s="5"/>
      <c r="K61" s="5"/>
      <c r="L61" s="5"/>
      <c r="M61" s="5"/>
    </row>
    <row r="62" spans="1:13" ht="19.95" customHeight="1" x14ac:dyDescent="0.3">
      <c r="A62" s="7" t="str">
        <f t="shared" si="0"/>
        <v/>
      </c>
      <c r="B62" s="5"/>
      <c r="C62" s="7" t="str">
        <f ca="1">IFERROR(_xludf.XLOOKUP(B62,IDENTIFIKASI!$B:$B,IDENTIFIKASI!$G:$G),"")</f>
        <v/>
      </c>
      <c r="D62" s="5"/>
      <c r="E62" s="7" t="str">
        <f>IF(B62="","",B62&amp;"."&amp;IF(D62&lt;&gt;"",D62,"XX")&amp;"."&amp;TEXT(COUNTIFS($B$4:B62,B62,$D$4:D62,D62),"00"))</f>
        <v/>
      </c>
      <c r="F62" s="5"/>
      <c r="G62" s="5"/>
      <c r="H62" s="5"/>
      <c r="I62" s="5"/>
      <c r="J62" s="5"/>
      <c r="K62" s="5"/>
      <c r="L62" s="5"/>
      <c r="M62" s="5"/>
    </row>
    <row r="63" spans="1:13" ht="19.95" customHeight="1" x14ac:dyDescent="0.3">
      <c r="A63" s="7" t="str">
        <f t="shared" si="0"/>
        <v/>
      </c>
      <c r="B63" s="5"/>
      <c r="C63" s="7" t="str">
        <f ca="1">IFERROR(_xludf.XLOOKUP(B63,IDENTIFIKASI!$B:$B,IDENTIFIKASI!$G:$G),"")</f>
        <v/>
      </c>
      <c r="D63" s="5"/>
      <c r="E63" s="7" t="str">
        <f>IF(B63="","",B63&amp;"."&amp;IF(D63&lt;&gt;"",D63,"XX")&amp;"."&amp;TEXT(COUNTIFS($B$4:B63,B63,$D$4:D63,D63),"00"))</f>
        <v/>
      </c>
      <c r="F63" s="5"/>
      <c r="G63" s="5"/>
      <c r="H63" s="5"/>
      <c r="I63" s="5"/>
      <c r="J63" s="5"/>
      <c r="K63" s="5"/>
      <c r="L63" s="5"/>
      <c r="M63" s="5"/>
    </row>
    <row r="64" spans="1:13" ht="19.95" customHeight="1" x14ac:dyDescent="0.3">
      <c r="A64" s="7" t="str">
        <f t="shared" si="0"/>
        <v/>
      </c>
      <c r="B64" s="5"/>
      <c r="C64" s="7" t="str">
        <f ca="1">IFERROR(_xludf.XLOOKUP(B64,IDENTIFIKASI!$B:$B,IDENTIFIKASI!$G:$G),"")</f>
        <v/>
      </c>
      <c r="D64" s="5"/>
      <c r="E64" s="7" t="str">
        <f>IF(B64="","",B64&amp;"."&amp;IF(D64&lt;&gt;"",D64,"XX")&amp;"."&amp;TEXT(COUNTIFS($B$4:B64,B64,$D$4:D64,D64),"00"))</f>
        <v/>
      </c>
      <c r="F64" s="5"/>
      <c r="G64" s="5"/>
      <c r="H64" s="5"/>
      <c r="I64" s="5"/>
      <c r="J64" s="5"/>
      <c r="K64" s="5"/>
      <c r="L64" s="5"/>
      <c r="M64" s="5"/>
    </row>
    <row r="65" spans="1:13" ht="19.95" customHeight="1" x14ac:dyDescent="0.3">
      <c r="A65" s="7" t="str">
        <f t="shared" si="0"/>
        <v/>
      </c>
      <c r="B65" s="5"/>
      <c r="C65" s="7" t="str">
        <f ca="1">IFERROR(_xludf.XLOOKUP(B65,IDENTIFIKASI!$B:$B,IDENTIFIKASI!$G:$G),"")</f>
        <v/>
      </c>
      <c r="D65" s="5"/>
      <c r="E65" s="7" t="str">
        <f>IF(B65="","",B65&amp;"."&amp;IF(D65&lt;&gt;"",D65,"XX")&amp;"."&amp;TEXT(COUNTIFS($B$4:B65,B65,$D$4:D65,D65),"00"))</f>
        <v/>
      </c>
      <c r="F65" s="5"/>
      <c r="G65" s="5"/>
      <c r="H65" s="5"/>
      <c r="I65" s="5"/>
      <c r="J65" s="5"/>
      <c r="K65" s="5"/>
      <c r="L65" s="5"/>
      <c r="M65" s="5"/>
    </row>
    <row r="66" spans="1:13" ht="19.95" customHeight="1" x14ac:dyDescent="0.3">
      <c r="A66" s="7" t="str">
        <f t="shared" si="0"/>
        <v/>
      </c>
      <c r="B66" s="5"/>
      <c r="C66" s="7" t="str">
        <f ca="1">IFERROR(_xludf.XLOOKUP(B66,IDENTIFIKASI!$B:$B,IDENTIFIKASI!$G:$G),"")</f>
        <v/>
      </c>
      <c r="D66" s="5"/>
      <c r="E66" s="7" t="str">
        <f>IF(B66="","",B66&amp;"."&amp;IF(D66&lt;&gt;"",D66,"XX")&amp;"."&amp;TEXT(COUNTIFS($B$4:B66,B66,$D$4:D66,D66),"00"))</f>
        <v/>
      </c>
      <c r="F66" s="5"/>
      <c r="G66" s="5"/>
      <c r="H66" s="5"/>
      <c r="I66" s="5"/>
      <c r="J66" s="5"/>
      <c r="K66" s="5"/>
      <c r="L66" s="5"/>
      <c r="M66" s="5"/>
    </row>
    <row r="67" spans="1:13" ht="19.95" customHeight="1" x14ac:dyDescent="0.3">
      <c r="A67" s="7" t="str">
        <f t="shared" si="0"/>
        <v/>
      </c>
      <c r="B67" s="5"/>
      <c r="C67" s="7" t="str">
        <f ca="1">IFERROR(_xludf.XLOOKUP(B67,IDENTIFIKASI!$B:$B,IDENTIFIKASI!$G:$G),"")</f>
        <v/>
      </c>
      <c r="D67" s="5"/>
      <c r="E67" s="7" t="str">
        <f>IF(B67="","",B67&amp;"."&amp;IF(D67&lt;&gt;"",D67,"XX")&amp;"."&amp;TEXT(COUNTIFS($B$4:B67,B67,$D$4:D67,D67),"00"))</f>
        <v/>
      </c>
      <c r="F67" s="5"/>
      <c r="G67" s="5"/>
      <c r="H67" s="5"/>
      <c r="I67" s="5"/>
      <c r="J67" s="5"/>
      <c r="K67" s="5"/>
      <c r="L67" s="5"/>
      <c r="M67" s="5"/>
    </row>
    <row r="68" spans="1:13" ht="19.95" customHeight="1" x14ac:dyDescent="0.3">
      <c r="A68" s="7" t="str">
        <f t="shared" si="0"/>
        <v/>
      </c>
      <c r="B68" s="5"/>
      <c r="C68" s="7" t="str">
        <f ca="1">IFERROR(_xludf.XLOOKUP(B68,IDENTIFIKASI!$B:$B,IDENTIFIKASI!$G:$G),"")</f>
        <v/>
      </c>
      <c r="D68" s="5"/>
      <c r="E68" s="7" t="str">
        <f>IF(B68="","",B68&amp;"."&amp;IF(D68&lt;&gt;"",D68,"XX")&amp;"."&amp;TEXT(COUNTIFS($B$4:B68,B68,$D$4:D68,D68),"00"))</f>
        <v/>
      </c>
      <c r="F68" s="5"/>
      <c r="G68" s="5"/>
      <c r="H68" s="5"/>
      <c r="I68" s="5"/>
      <c r="J68" s="5"/>
      <c r="K68" s="5"/>
      <c r="L68" s="5"/>
      <c r="M68" s="5"/>
    </row>
    <row r="69" spans="1:13" ht="19.95" customHeight="1" x14ac:dyDescent="0.3">
      <c r="A69" s="7" t="str">
        <f t="shared" ref="A69:A132" si="1">IF(B69&lt;&gt;"",TEXT(ROW()-3,"000"),"")</f>
        <v/>
      </c>
      <c r="B69" s="5"/>
      <c r="C69" s="7" t="str">
        <f ca="1">IFERROR(_xludf.XLOOKUP(B69,IDENTIFIKASI!$B:$B,IDENTIFIKASI!$G:$G),"")</f>
        <v/>
      </c>
      <c r="D69" s="5"/>
      <c r="E69" s="7" t="str">
        <f>IF(B69="","",B69&amp;"."&amp;IF(D69&lt;&gt;"",D69,"XX")&amp;"."&amp;TEXT(COUNTIFS($B$4:B69,B69,$D$4:D69,D69),"00"))</f>
        <v/>
      </c>
      <c r="F69" s="5"/>
      <c r="G69" s="5"/>
      <c r="H69" s="5"/>
      <c r="I69" s="5"/>
      <c r="J69" s="5"/>
      <c r="K69" s="5"/>
      <c r="L69" s="5"/>
      <c r="M69" s="5"/>
    </row>
    <row r="70" spans="1:13" ht="19.95" customHeight="1" x14ac:dyDescent="0.3">
      <c r="A70" s="7" t="str">
        <f t="shared" si="1"/>
        <v/>
      </c>
      <c r="B70" s="5"/>
      <c r="C70" s="7" t="str">
        <f ca="1">IFERROR(_xludf.XLOOKUP(B70,IDENTIFIKASI!$B:$B,IDENTIFIKASI!$G:$G),"")</f>
        <v/>
      </c>
      <c r="D70" s="5"/>
      <c r="E70" s="7" t="str">
        <f>IF(B70="","",B70&amp;"."&amp;IF(D70&lt;&gt;"",D70,"XX")&amp;"."&amp;TEXT(COUNTIFS($B$4:B70,B70,$D$4:D70,D70),"00"))</f>
        <v/>
      </c>
      <c r="F70" s="5"/>
      <c r="G70" s="5"/>
      <c r="H70" s="5"/>
      <c r="I70" s="5"/>
      <c r="J70" s="5"/>
      <c r="K70" s="5"/>
      <c r="L70" s="5"/>
      <c r="M70" s="5"/>
    </row>
    <row r="71" spans="1:13" ht="19.95" customHeight="1" x14ac:dyDescent="0.3">
      <c r="A71" s="7" t="str">
        <f t="shared" si="1"/>
        <v/>
      </c>
      <c r="B71" s="5"/>
      <c r="C71" s="7" t="str">
        <f ca="1">IFERROR(_xludf.XLOOKUP(B71,IDENTIFIKASI!$B:$B,IDENTIFIKASI!$G:$G),"")</f>
        <v/>
      </c>
      <c r="D71" s="5"/>
      <c r="E71" s="7" t="str">
        <f>IF(B71="","",B71&amp;"."&amp;IF(D71&lt;&gt;"",D71,"XX")&amp;"."&amp;TEXT(COUNTIFS($B$4:B71,B71,$D$4:D71,D71),"00"))</f>
        <v/>
      </c>
      <c r="F71" s="5"/>
      <c r="G71" s="5"/>
      <c r="H71" s="5"/>
      <c r="I71" s="5"/>
      <c r="J71" s="5"/>
      <c r="K71" s="5"/>
      <c r="L71" s="5"/>
      <c r="M71" s="5"/>
    </row>
    <row r="72" spans="1:13" ht="19.95" customHeight="1" x14ac:dyDescent="0.3">
      <c r="A72" s="7" t="str">
        <f t="shared" si="1"/>
        <v/>
      </c>
      <c r="B72" s="5"/>
      <c r="C72" s="7" t="str">
        <f ca="1">IFERROR(_xludf.XLOOKUP(B72,IDENTIFIKASI!$B:$B,IDENTIFIKASI!$G:$G),"")</f>
        <v/>
      </c>
      <c r="D72" s="5"/>
      <c r="E72" s="7" t="str">
        <f>IF(B72="","",B72&amp;"."&amp;IF(D72&lt;&gt;"",D72,"XX")&amp;"."&amp;TEXT(COUNTIFS($B$4:B72,B72,$D$4:D72,D72),"00"))</f>
        <v/>
      </c>
      <c r="F72" s="5"/>
      <c r="G72" s="5"/>
      <c r="H72" s="5"/>
      <c r="I72" s="5"/>
      <c r="J72" s="5"/>
      <c r="K72" s="5"/>
      <c r="L72" s="5"/>
      <c r="M72" s="5"/>
    </row>
    <row r="73" spans="1:13" ht="19.95" customHeight="1" x14ac:dyDescent="0.3">
      <c r="A73" s="7" t="str">
        <f t="shared" si="1"/>
        <v/>
      </c>
      <c r="B73" s="5"/>
      <c r="C73" s="7" t="str">
        <f ca="1">IFERROR(_xludf.XLOOKUP(B73,IDENTIFIKASI!$B:$B,IDENTIFIKASI!$G:$G),"")</f>
        <v/>
      </c>
      <c r="D73" s="5"/>
      <c r="E73" s="7" t="str">
        <f>IF(B73="","",B73&amp;"."&amp;IF(D73&lt;&gt;"",D73,"XX")&amp;"."&amp;TEXT(COUNTIFS($B$4:B73,B73,$D$4:D73,D73),"00"))</f>
        <v/>
      </c>
      <c r="F73" s="5"/>
      <c r="G73" s="5"/>
      <c r="H73" s="5"/>
      <c r="I73" s="5"/>
      <c r="J73" s="5"/>
      <c r="K73" s="5"/>
      <c r="L73" s="5"/>
      <c r="M73" s="5"/>
    </row>
    <row r="74" spans="1:13" ht="19.95" customHeight="1" x14ac:dyDescent="0.3">
      <c r="A74" s="7" t="str">
        <f t="shared" si="1"/>
        <v/>
      </c>
      <c r="B74" s="5"/>
      <c r="C74" s="7" t="str">
        <f ca="1">IFERROR(_xludf.XLOOKUP(B74,IDENTIFIKASI!$B:$B,IDENTIFIKASI!$G:$G),"")</f>
        <v/>
      </c>
      <c r="D74" s="5"/>
      <c r="E74" s="7" t="str">
        <f>IF(B74="","",B74&amp;"."&amp;IF(D74&lt;&gt;"",D74,"XX")&amp;"."&amp;TEXT(COUNTIFS($B$4:B74,B74,$D$4:D74,D74),"00"))</f>
        <v/>
      </c>
      <c r="F74" s="5"/>
      <c r="G74" s="5"/>
      <c r="H74" s="5"/>
      <c r="I74" s="5"/>
      <c r="J74" s="5"/>
      <c r="K74" s="5"/>
      <c r="L74" s="5"/>
      <c r="M74" s="5"/>
    </row>
    <row r="75" spans="1:13" ht="19.95" customHeight="1" x14ac:dyDescent="0.3">
      <c r="A75" s="7" t="str">
        <f t="shared" si="1"/>
        <v/>
      </c>
      <c r="B75" s="5"/>
      <c r="C75" s="7" t="str">
        <f ca="1">IFERROR(_xludf.XLOOKUP(B75,IDENTIFIKASI!$B:$B,IDENTIFIKASI!$G:$G),"")</f>
        <v/>
      </c>
      <c r="D75" s="5"/>
      <c r="E75" s="7" t="str">
        <f>IF(B75="","",B75&amp;"."&amp;IF(D75&lt;&gt;"",D75,"XX")&amp;"."&amp;TEXT(COUNTIFS($B$4:B75,B75,$D$4:D75,D75),"00"))</f>
        <v/>
      </c>
      <c r="F75" s="5"/>
      <c r="G75" s="5"/>
      <c r="H75" s="5"/>
      <c r="I75" s="5"/>
      <c r="J75" s="5"/>
      <c r="K75" s="5"/>
      <c r="L75" s="5"/>
      <c r="M75" s="5"/>
    </row>
    <row r="76" spans="1:13" ht="19.95" customHeight="1" x14ac:dyDescent="0.3">
      <c r="A76" s="7" t="str">
        <f t="shared" si="1"/>
        <v/>
      </c>
      <c r="B76" s="5"/>
      <c r="C76" s="7" t="str">
        <f ca="1">IFERROR(_xludf.XLOOKUP(B76,IDENTIFIKASI!$B:$B,IDENTIFIKASI!$G:$G),"")</f>
        <v/>
      </c>
      <c r="D76" s="5"/>
      <c r="E76" s="7" t="str">
        <f>IF(B76="","",B76&amp;"."&amp;IF(D76&lt;&gt;"",D76,"XX")&amp;"."&amp;TEXT(COUNTIFS($B$4:B76,B76,$D$4:D76,D76),"00"))</f>
        <v/>
      </c>
      <c r="F76" s="5"/>
      <c r="G76" s="5"/>
      <c r="H76" s="5"/>
      <c r="I76" s="5"/>
      <c r="J76" s="5"/>
      <c r="K76" s="5"/>
      <c r="L76" s="5"/>
      <c r="M76" s="5"/>
    </row>
    <row r="77" spans="1:13" ht="19.95" customHeight="1" x14ac:dyDescent="0.3">
      <c r="A77" s="7" t="str">
        <f t="shared" si="1"/>
        <v/>
      </c>
      <c r="B77" s="5"/>
      <c r="C77" s="7" t="str">
        <f ca="1">IFERROR(_xludf.XLOOKUP(B77,IDENTIFIKASI!$B:$B,IDENTIFIKASI!$G:$G),"")</f>
        <v/>
      </c>
      <c r="D77" s="5"/>
      <c r="E77" s="7" t="str">
        <f>IF(B77="","",B77&amp;"."&amp;IF(D77&lt;&gt;"",D77,"XX")&amp;"."&amp;TEXT(COUNTIFS($B$4:B77,B77,$D$4:D77,D77),"00"))</f>
        <v/>
      </c>
      <c r="F77" s="5"/>
      <c r="G77" s="5"/>
      <c r="H77" s="5"/>
      <c r="I77" s="5"/>
      <c r="J77" s="5"/>
      <c r="K77" s="5"/>
      <c r="L77" s="5"/>
      <c r="M77" s="5"/>
    </row>
    <row r="78" spans="1:13" ht="19.95" customHeight="1" x14ac:dyDescent="0.3">
      <c r="A78" s="7" t="str">
        <f t="shared" si="1"/>
        <v/>
      </c>
      <c r="B78" s="5"/>
      <c r="C78" s="7" t="str">
        <f ca="1">IFERROR(_xludf.XLOOKUP(B78,IDENTIFIKASI!$B:$B,IDENTIFIKASI!$G:$G),"")</f>
        <v/>
      </c>
      <c r="D78" s="5"/>
      <c r="E78" s="7" t="str">
        <f>IF(B78="","",B78&amp;"."&amp;IF(D78&lt;&gt;"",D78,"XX")&amp;"."&amp;TEXT(COUNTIFS($B$4:B78,B78,$D$4:D78,D78),"00"))</f>
        <v/>
      </c>
      <c r="F78" s="5"/>
      <c r="G78" s="5"/>
      <c r="H78" s="5"/>
      <c r="I78" s="5"/>
      <c r="J78" s="5"/>
      <c r="K78" s="5"/>
      <c r="L78" s="5"/>
      <c r="M78" s="5"/>
    </row>
    <row r="79" spans="1:13" ht="19.95" customHeight="1" x14ac:dyDescent="0.3">
      <c r="A79" s="7" t="str">
        <f t="shared" si="1"/>
        <v/>
      </c>
      <c r="B79" s="5"/>
      <c r="C79" s="7" t="str">
        <f ca="1">IFERROR(_xludf.XLOOKUP(B79,IDENTIFIKASI!$B:$B,IDENTIFIKASI!$G:$G),"")</f>
        <v/>
      </c>
      <c r="D79" s="5"/>
      <c r="E79" s="7" t="str">
        <f>IF(B79="","",B79&amp;"."&amp;IF(D79&lt;&gt;"",D79,"XX")&amp;"."&amp;TEXT(COUNTIFS($B$4:B79,B79,$D$4:D79,D79),"00"))</f>
        <v/>
      </c>
      <c r="F79" s="5"/>
      <c r="G79" s="5"/>
      <c r="H79" s="5"/>
      <c r="I79" s="5"/>
      <c r="J79" s="5"/>
      <c r="K79" s="5"/>
      <c r="L79" s="5"/>
      <c r="M79" s="5"/>
    </row>
    <row r="80" spans="1:13" ht="19.95" customHeight="1" x14ac:dyDescent="0.3">
      <c r="A80" s="7" t="str">
        <f t="shared" si="1"/>
        <v/>
      </c>
      <c r="B80" s="5"/>
      <c r="C80" s="7" t="str">
        <f ca="1">IFERROR(_xludf.XLOOKUP(B80,IDENTIFIKASI!$B:$B,IDENTIFIKASI!$G:$G),"")</f>
        <v/>
      </c>
      <c r="D80" s="5"/>
      <c r="E80" s="7" t="str">
        <f>IF(B80="","",B80&amp;"."&amp;IF(D80&lt;&gt;"",D80,"XX")&amp;"."&amp;TEXT(COUNTIFS($B$4:B80,B80,$D$4:D80,D80),"00"))</f>
        <v/>
      </c>
      <c r="F80" s="5"/>
      <c r="G80" s="5"/>
      <c r="H80" s="5"/>
      <c r="I80" s="5"/>
      <c r="J80" s="5"/>
      <c r="K80" s="5"/>
      <c r="L80" s="5"/>
      <c r="M80" s="5"/>
    </row>
    <row r="81" spans="1:13" ht="19.95" customHeight="1" x14ac:dyDescent="0.3">
      <c r="A81" s="7" t="str">
        <f t="shared" si="1"/>
        <v/>
      </c>
      <c r="B81" s="5"/>
      <c r="C81" s="7" t="str">
        <f ca="1">IFERROR(_xludf.XLOOKUP(B81,IDENTIFIKASI!$B:$B,IDENTIFIKASI!$G:$G),"")</f>
        <v/>
      </c>
      <c r="D81" s="5"/>
      <c r="E81" s="7" t="str">
        <f>IF(B81="","",B81&amp;"."&amp;IF(D81&lt;&gt;"",D81,"XX")&amp;"."&amp;TEXT(COUNTIFS($B$4:B81,B81,$D$4:D81,D81),"00"))</f>
        <v/>
      </c>
      <c r="F81" s="5"/>
      <c r="G81" s="5"/>
      <c r="H81" s="5"/>
      <c r="I81" s="5"/>
      <c r="J81" s="5"/>
      <c r="K81" s="5"/>
      <c r="L81" s="5"/>
      <c r="M81" s="5"/>
    </row>
    <row r="82" spans="1:13" ht="19.95" customHeight="1" x14ac:dyDescent="0.3">
      <c r="A82" s="7" t="str">
        <f t="shared" si="1"/>
        <v/>
      </c>
      <c r="B82" s="5"/>
      <c r="C82" s="7" t="str">
        <f ca="1">IFERROR(_xludf.XLOOKUP(B82,IDENTIFIKASI!$B:$B,IDENTIFIKASI!$G:$G),"")</f>
        <v/>
      </c>
      <c r="D82" s="5"/>
      <c r="E82" s="7" t="str">
        <f>IF(B82="","",B82&amp;"."&amp;IF(D82&lt;&gt;"",D82,"XX")&amp;"."&amp;TEXT(COUNTIFS($B$4:B82,B82,$D$4:D82,D82),"00"))</f>
        <v/>
      </c>
      <c r="F82" s="5"/>
      <c r="G82" s="5"/>
      <c r="H82" s="5"/>
      <c r="I82" s="5"/>
      <c r="J82" s="5"/>
      <c r="K82" s="5"/>
      <c r="L82" s="5"/>
      <c r="M82" s="5"/>
    </row>
    <row r="83" spans="1:13" ht="19.95" customHeight="1" x14ac:dyDescent="0.3">
      <c r="A83" s="7" t="str">
        <f t="shared" si="1"/>
        <v/>
      </c>
      <c r="B83" s="5"/>
      <c r="C83" s="7" t="str">
        <f ca="1">IFERROR(_xludf.XLOOKUP(B83,IDENTIFIKASI!$B:$B,IDENTIFIKASI!$G:$G),"")</f>
        <v/>
      </c>
      <c r="D83" s="5"/>
      <c r="E83" s="7" t="str">
        <f>IF(B83="","",B83&amp;"."&amp;IF(D83&lt;&gt;"",D83,"XX")&amp;"."&amp;TEXT(COUNTIFS($B$4:B83,B83,$D$4:D83,D83),"00"))</f>
        <v/>
      </c>
      <c r="F83" s="5"/>
      <c r="G83" s="5"/>
      <c r="H83" s="5"/>
      <c r="I83" s="5"/>
      <c r="J83" s="5"/>
      <c r="K83" s="5"/>
      <c r="L83" s="5"/>
      <c r="M83" s="5"/>
    </row>
    <row r="84" spans="1:13" ht="19.95" customHeight="1" x14ac:dyDescent="0.3">
      <c r="A84" s="7" t="str">
        <f t="shared" si="1"/>
        <v/>
      </c>
      <c r="B84" s="5"/>
      <c r="C84" s="7" t="str">
        <f ca="1">IFERROR(_xludf.XLOOKUP(B84,IDENTIFIKASI!$B:$B,IDENTIFIKASI!$G:$G),"")</f>
        <v/>
      </c>
      <c r="D84" s="5"/>
      <c r="E84" s="7" t="str">
        <f>IF(B84="","",B84&amp;"."&amp;IF(D84&lt;&gt;"",D84,"XX")&amp;"."&amp;TEXT(COUNTIFS($B$4:B84,B84,$D$4:D84,D84),"00"))</f>
        <v/>
      </c>
      <c r="F84" s="5"/>
      <c r="G84" s="5"/>
      <c r="H84" s="5"/>
      <c r="I84" s="5"/>
      <c r="J84" s="5"/>
      <c r="K84" s="5"/>
      <c r="L84" s="5"/>
      <c r="M84" s="5"/>
    </row>
    <row r="85" spans="1:13" ht="19.95" customHeight="1" x14ac:dyDescent="0.3">
      <c r="A85" s="7" t="str">
        <f t="shared" si="1"/>
        <v/>
      </c>
      <c r="B85" s="5"/>
      <c r="C85" s="7" t="str">
        <f ca="1">IFERROR(_xludf.XLOOKUP(B85,IDENTIFIKASI!$B:$B,IDENTIFIKASI!$G:$G),"")</f>
        <v/>
      </c>
      <c r="D85" s="5"/>
      <c r="E85" s="7" t="str">
        <f>IF(B85="","",B85&amp;"."&amp;IF(D85&lt;&gt;"",D85,"XX")&amp;"."&amp;TEXT(COUNTIFS($B$4:B85,B85,$D$4:D85,D85),"00"))</f>
        <v/>
      </c>
      <c r="F85" s="5"/>
      <c r="G85" s="5"/>
      <c r="H85" s="5"/>
      <c r="I85" s="5"/>
      <c r="J85" s="5"/>
      <c r="K85" s="5"/>
      <c r="L85" s="5"/>
      <c r="M85" s="5"/>
    </row>
    <row r="86" spans="1:13" ht="19.95" customHeight="1" x14ac:dyDescent="0.3">
      <c r="A86" s="7" t="str">
        <f t="shared" si="1"/>
        <v/>
      </c>
      <c r="B86" s="5"/>
      <c r="C86" s="7" t="str">
        <f ca="1">IFERROR(_xludf.XLOOKUP(B86,IDENTIFIKASI!$B:$B,IDENTIFIKASI!$G:$G),"")</f>
        <v/>
      </c>
      <c r="D86" s="5"/>
      <c r="E86" s="7" t="str">
        <f>IF(B86="","",B86&amp;"."&amp;IF(D86&lt;&gt;"",D86,"XX")&amp;"."&amp;TEXT(COUNTIFS($B$4:B86,B86,$D$4:D86,D86),"00"))</f>
        <v/>
      </c>
      <c r="F86" s="5"/>
      <c r="G86" s="5"/>
      <c r="H86" s="5"/>
      <c r="I86" s="5"/>
      <c r="J86" s="5"/>
      <c r="K86" s="5"/>
      <c r="L86" s="5"/>
      <c r="M86" s="5"/>
    </row>
    <row r="87" spans="1:13" ht="19.95" customHeight="1" x14ac:dyDescent="0.3">
      <c r="A87" s="7" t="str">
        <f t="shared" si="1"/>
        <v/>
      </c>
      <c r="B87" s="5"/>
      <c r="C87" s="7" t="str">
        <f ca="1">IFERROR(_xludf.XLOOKUP(B87,IDENTIFIKASI!$B:$B,IDENTIFIKASI!$G:$G),"")</f>
        <v/>
      </c>
      <c r="D87" s="5"/>
      <c r="E87" s="7" t="str">
        <f>IF(B87="","",B87&amp;"."&amp;IF(D87&lt;&gt;"",D87,"XX")&amp;"."&amp;TEXT(COUNTIFS($B$4:B87,B87,$D$4:D87,D87),"00"))</f>
        <v/>
      </c>
      <c r="F87" s="5"/>
      <c r="G87" s="5"/>
      <c r="H87" s="5"/>
      <c r="I87" s="5"/>
      <c r="J87" s="5"/>
      <c r="K87" s="5"/>
      <c r="L87" s="5"/>
      <c r="M87" s="5"/>
    </row>
    <row r="88" spans="1:13" ht="19.95" customHeight="1" x14ac:dyDescent="0.3">
      <c r="A88" s="7" t="str">
        <f t="shared" si="1"/>
        <v/>
      </c>
      <c r="B88" s="5"/>
      <c r="C88" s="7" t="str">
        <f ca="1">IFERROR(_xludf.XLOOKUP(B88,IDENTIFIKASI!$B:$B,IDENTIFIKASI!$G:$G),"")</f>
        <v/>
      </c>
      <c r="D88" s="5"/>
      <c r="E88" s="7" t="str">
        <f>IF(B88="","",B88&amp;"."&amp;IF(D88&lt;&gt;"",D88,"XX")&amp;"."&amp;TEXT(COUNTIFS($B$4:B88,B88,$D$4:D88,D88),"00"))</f>
        <v/>
      </c>
      <c r="F88" s="5"/>
      <c r="G88" s="5"/>
      <c r="H88" s="5"/>
      <c r="I88" s="5"/>
      <c r="J88" s="5"/>
      <c r="K88" s="5"/>
      <c r="L88" s="5"/>
      <c r="M88" s="5"/>
    </row>
    <row r="89" spans="1:13" ht="19.95" customHeight="1" x14ac:dyDescent="0.3">
      <c r="A89" s="7" t="str">
        <f t="shared" si="1"/>
        <v/>
      </c>
      <c r="B89" s="5"/>
      <c r="C89" s="7" t="str">
        <f ca="1">IFERROR(_xludf.XLOOKUP(B89,IDENTIFIKASI!$B:$B,IDENTIFIKASI!$G:$G),"")</f>
        <v/>
      </c>
      <c r="D89" s="5"/>
      <c r="E89" s="7" t="str">
        <f>IF(B89="","",B89&amp;"."&amp;IF(D89&lt;&gt;"",D89,"XX")&amp;"."&amp;TEXT(COUNTIFS($B$4:B89,B89,$D$4:D89,D89),"00"))</f>
        <v/>
      </c>
      <c r="F89" s="5"/>
      <c r="G89" s="5"/>
      <c r="H89" s="5"/>
      <c r="I89" s="5"/>
      <c r="J89" s="5"/>
      <c r="K89" s="5"/>
      <c r="L89" s="5"/>
      <c r="M89" s="5"/>
    </row>
    <row r="90" spans="1:13" ht="19.95" customHeight="1" x14ac:dyDescent="0.3">
      <c r="A90" s="7" t="str">
        <f t="shared" si="1"/>
        <v/>
      </c>
      <c r="B90" s="5"/>
      <c r="C90" s="7" t="str">
        <f ca="1">IFERROR(_xludf.XLOOKUP(B90,IDENTIFIKASI!$B:$B,IDENTIFIKASI!$G:$G),"")</f>
        <v/>
      </c>
      <c r="D90" s="5"/>
      <c r="E90" s="7" t="str">
        <f>IF(B90="","",B90&amp;"."&amp;IF(D90&lt;&gt;"",D90,"XX")&amp;"."&amp;TEXT(COUNTIFS($B$4:B90,B90,$D$4:D90,D90),"00"))</f>
        <v/>
      </c>
      <c r="F90" s="5"/>
      <c r="G90" s="5"/>
      <c r="H90" s="5"/>
      <c r="I90" s="5"/>
      <c r="J90" s="5"/>
      <c r="K90" s="5"/>
      <c r="L90" s="5"/>
      <c r="M90" s="5"/>
    </row>
    <row r="91" spans="1:13" ht="19.95" customHeight="1" x14ac:dyDescent="0.3">
      <c r="A91" s="7" t="str">
        <f t="shared" si="1"/>
        <v/>
      </c>
      <c r="B91" s="5"/>
      <c r="C91" s="7" t="str">
        <f ca="1">IFERROR(_xludf.XLOOKUP(B91,IDENTIFIKASI!$B:$B,IDENTIFIKASI!$G:$G),"")</f>
        <v/>
      </c>
      <c r="D91" s="5"/>
      <c r="E91" s="7" t="str">
        <f>IF(B91="","",B91&amp;"."&amp;IF(D91&lt;&gt;"",D91,"XX")&amp;"."&amp;TEXT(COUNTIFS($B$4:B91,B91,$D$4:D91,D91),"00"))</f>
        <v/>
      </c>
      <c r="F91" s="5"/>
      <c r="G91" s="5"/>
      <c r="H91" s="5"/>
      <c r="I91" s="5"/>
      <c r="J91" s="5"/>
      <c r="K91" s="5"/>
      <c r="L91" s="5"/>
      <c r="M91" s="5"/>
    </row>
    <row r="92" spans="1:13" ht="19.95" customHeight="1" x14ac:dyDescent="0.3">
      <c r="A92" s="7" t="str">
        <f t="shared" si="1"/>
        <v/>
      </c>
      <c r="B92" s="5"/>
      <c r="C92" s="7" t="str">
        <f ca="1">IFERROR(_xludf.XLOOKUP(B92,IDENTIFIKASI!$B:$B,IDENTIFIKASI!$G:$G),"")</f>
        <v/>
      </c>
      <c r="D92" s="5"/>
      <c r="E92" s="7" t="str">
        <f>IF(B92="","",B92&amp;"."&amp;IF(D92&lt;&gt;"",D92,"XX")&amp;"."&amp;TEXT(COUNTIFS($B$4:B92,B92,$D$4:D92,D92),"00"))</f>
        <v/>
      </c>
      <c r="F92" s="5"/>
      <c r="G92" s="5"/>
      <c r="H92" s="5"/>
      <c r="I92" s="5"/>
      <c r="J92" s="5"/>
      <c r="K92" s="5"/>
      <c r="L92" s="5"/>
      <c r="M92" s="5"/>
    </row>
    <row r="93" spans="1:13" ht="19.95" customHeight="1" x14ac:dyDescent="0.3">
      <c r="A93" s="7" t="str">
        <f t="shared" si="1"/>
        <v/>
      </c>
      <c r="B93" s="5"/>
      <c r="C93" s="7" t="str">
        <f ca="1">IFERROR(_xludf.XLOOKUP(B93,IDENTIFIKASI!$B:$B,IDENTIFIKASI!$G:$G),"")</f>
        <v/>
      </c>
      <c r="D93" s="5"/>
      <c r="E93" s="7" t="str">
        <f>IF(B93="","",B93&amp;"."&amp;IF(D93&lt;&gt;"",D93,"XX")&amp;"."&amp;TEXT(COUNTIFS($B$4:B93,B93,$D$4:D93,D93),"00"))</f>
        <v/>
      </c>
      <c r="F93" s="5"/>
      <c r="G93" s="5"/>
      <c r="H93" s="5"/>
      <c r="I93" s="5"/>
      <c r="J93" s="5"/>
      <c r="K93" s="5"/>
      <c r="L93" s="5"/>
      <c r="M93" s="5"/>
    </row>
    <row r="94" spans="1:13" ht="19.95" customHeight="1" x14ac:dyDescent="0.3">
      <c r="A94" s="7" t="str">
        <f t="shared" si="1"/>
        <v/>
      </c>
      <c r="B94" s="5"/>
      <c r="C94" s="7" t="str">
        <f ca="1">IFERROR(_xludf.XLOOKUP(B94,IDENTIFIKASI!$B:$B,IDENTIFIKASI!$G:$G),"")</f>
        <v/>
      </c>
      <c r="D94" s="5"/>
      <c r="E94" s="7" t="str">
        <f>IF(B94="","",B94&amp;"."&amp;IF(D94&lt;&gt;"",D94,"XX")&amp;"."&amp;TEXT(COUNTIFS($B$4:B94,B94,$D$4:D94,D94),"00"))</f>
        <v/>
      </c>
      <c r="F94" s="5"/>
      <c r="G94" s="5"/>
      <c r="H94" s="5"/>
      <c r="I94" s="5"/>
      <c r="J94" s="5"/>
      <c r="K94" s="5"/>
      <c r="L94" s="5"/>
      <c r="M94" s="5"/>
    </row>
    <row r="95" spans="1:13" ht="19.95" customHeight="1" x14ac:dyDescent="0.3">
      <c r="A95" s="7" t="str">
        <f t="shared" si="1"/>
        <v/>
      </c>
      <c r="B95" s="5"/>
      <c r="C95" s="7" t="str">
        <f ca="1">IFERROR(_xludf.XLOOKUP(B95,IDENTIFIKASI!$B:$B,IDENTIFIKASI!$G:$G),"")</f>
        <v/>
      </c>
      <c r="D95" s="5"/>
      <c r="E95" s="7" t="str">
        <f>IF(B95="","",B95&amp;"."&amp;IF(D95&lt;&gt;"",D95,"XX")&amp;"."&amp;TEXT(COUNTIFS($B$4:B95,B95,$D$4:D95,D95),"00"))</f>
        <v/>
      </c>
      <c r="F95" s="5"/>
      <c r="G95" s="5"/>
      <c r="H95" s="5"/>
      <c r="I95" s="5"/>
      <c r="J95" s="5"/>
      <c r="K95" s="5"/>
      <c r="L95" s="5"/>
      <c r="M95" s="5"/>
    </row>
    <row r="96" spans="1:13" ht="19.95" customHeight="1" x14ac:dyDescent="0.3">
      <c r="A96" s="7" t="str">
        <f t="shared" si="1"/>
        <v/>
      </c>
      <c r="B96" s="5"/>
      <c r="C96" s="7" t="str">
        <f ca="1">IFERROR(_xludf.XLOOKUP(B96,IDENTIFIKASI!$B:$B,IDENTIFIKASI!$G:$G),"")</f>
        <v/>
      </c>
      <c r="D96" s="5"/>
      <c r="E96" s="7" t="str">
        <f>IF(B96="","",B96&amp;"."&amp;IF(D96&lt;&gt;"",D96,"XX")&amp;"."&amp;TEXT(COUNTIFS($B$4:B96,B96,$D$4:D96,D96),"00"))</f>
        <v/>
      </c>
      <c r="F96" s="5"/>
      <c r="G96" s="5"/>
      <c r="H96" s="5"/>
      <c r="I96" s="5"/>
      <c r="J96" s="5"/>
      <c r="K96" s="5"/>
      <c r="L96" s="5"/>
      <c r="M96" s="5"/>
    </row>
    <row r="97" spans="1:13" ht="19.95" customHeight="1" x14ac:dyDescent="0.3">
      <c r="A97" s="7" t="str">
        <f t="shared" si="1"/>
        <v/>
      </c>
      <c r="B97" s="5"/>
      <c r="C97" s="7" t="str">
        <f ca="1">IFERROR(_xludf.XLOOKUP(B97,IDENTIFIKASI!$B:$B,IDENTIFIKASI!$G:$G),"")</f>
        <v/>
      </c>
      <c r="D97" s="5"/>
      <c r="E97" s="7" t="str">
        <f>IF(B97="","",B97&amp;"."&amp;IF(D97&lt;&gt;"",D97,"XX")&amp;"."&amp;TEXT(COUNTIFS($B$4:B97,B97,$D$4:D97,D97),"00"))</f>
        <v/>
      </c>
      <c r="F97" s="5"/>
      <c r="G97" s="5"/>
      <c r="H97" s="5"/>
      <c r="I97" s="5"/>
      <c r="J97" s="5"/>
      <c r="K97" s="5"/>
      <c r="L97" s="5"/>
      <c r="M97" s="5"/>
    </row>
    <row r="98" spans="1:13" ht="19.95" customHeight="1" x14ac:dyDescent="0.3">
      <c r="A98" s="7" t="str">
        <f t="shared" si="1"/>
        <v/>
      </c>
      <c r="B98" s="5"/>
      <c r="C98" s="7" t="str">
        <f ca="1">IFERROR(_xludf.XLOOKUP(B98,IDENTIFIKASI!$B:$B,IDENTIFIKASI!$G:$G),"")</f>
        <v/>
      </c>
      <c r="D98" s="5"/>
      <c r="E98" s="7" t="str">
        <f>IF(B98="","",B98&amp;"."&amp;IF(D98&lt;&gt;"",D98,"XX")&amp;"."&amp;TEXT(COUNTIFS($B$4:B98,B98,$D$4:D98,D98),"00"))</f>
        <v/>
      </c>
      <c r="F98" s="5"/>
      <c r="G98" s="5"/>
      <c r="H98" s="5"/>
      <c r="I98" s="5"/>
      <c r="J98" s="5"/>
      <c r="K98" s="5"/>
      <c r="L98" s="5"/>
      <c r="M98" s="5"/>
    </row>
    <row r="99" spans="1:13" ht="19.95" customHeight="1" x14ac:dyDescent="0.3">
      <c r="A99" s="7" t="str">
        <f t="shared" si="1"/>
        <v/>
      </c>
      <c r="B99" s="5"/>
      <c r="C99" s="7" t="str">
        <f ca="1">IFERROR(_xludf.XLOOKUP(B99,IDENTIFIKASI!$B:$B,IDENTIFIKASI!$G:$G),"")</f>
        <v/>
      </c>
      <c r="D99" s="5"/>
      <c r="E99" s="7" t="str">
        <f>IF(B99="","",B99&amp;"."&amp;IF(D99&lt;&gt;"",D99,"XX")&amp;"."&amp;TEXT(COUNTIFS($B$4:B99,B99,$D$4:D99,D99),"00"))</f>
        <v/>
      </c>
      <c r="F99" s="5"/>
      <c r="G99" s="5"/>
      <c r="H99" s="5"/>
      <c r="I99" s="5"/>
      <c r="J99" s="5"/>
      <c r="K99" s="5"/>
      <c r="L99" s="5"/>
      <c r="M99" s="5"/>
    </row>
    <row r="100" spans="1:13" ht="19.95" customHeight="1" x14ac:dyDescent="0.3">
      <c r="A100" s="7" t="str">
        <f t="shared" si="1"/>
        <v/>
      </c>
      <c r="B100" s="5"/>
      <c r="C100" s="7" t="str">
        <f ca="1">IFERROR(_xludf.XLOOKUP(B100,IDENTIFIKASI!$B:$B,IDENTIFIKASI!$G:$G),"")</f>
        <v/>
      </c>
      <c r="D100" s="5"/>
      <c r="E100" s="7" t="str">
        <f>IF(B100="","",B100&amp;"."&amp;IF(D100&lt;&gt;"",D100,"XX")&amp;"."&amp;TEXT(COUNTIFS($B$4:B100,B100,$D$4:D100,D100),"00"))</f>
        <v/>
      </c>
      <c r="F100" s="5"/>
      <c r="G100" s="5"/>
      <c r="H100" s="5"/>
      <c r="I100" s="5"/>
      <c r="J100" s="5"/>
      <c r="K100" s="5"/>
      <c r="L100" s="5"/>
      <c r="M100" s="5"/>
    </row>
    <row r="101" spans="1:13" ht="19.95" customHeight="1" x14ac:dyDescent="0.3">
      <c r="A101" s="7" t="str">
        <f t="shared" si="1"/>
        <v/>
      </c>
      <c r="B101" s="5"/>
      <c r="C101" s="7" t="str">
        <f ca="1">IFERROR(_xludf.XLOOKUP(B101,IDENTIFIKASI!$B:$B,IDENTIFIKASI!$G:$G),"")</f>
        <v/>
      </c>
      <c r="D101" s="5"/>
      <c r="E101" s="7" t="str">
        <f>IF(B101="","",B101&amp;"."&amp;IF(D101&lt;&gt;"",D101,"XX")&amp;"."&amp;TEXT(COUNTIFS($B$4:B101,B101,$D$4:D101,D101),"00"))</f>
        <v/>
      </c>
      <c r="F101" s="5"/>
      <c r="G101" s="5"/>
      <c r="H101" s="5"/>
      <c r="I101" s="5"/>
      <c r="J101" s="5"/>
      <c r="K101" s="5"/>
      <c r="L101" s="5"/>
      <c r="M101" s="5"/>
    </row>
    <row r="102" spans="1:13" ht="19.95" customHeight="1" x14ac:dyDescent="0.3">
      <c r="A102" s="7" t="str">
        <f t="shared" si="1"/>
        <v/>
      </c>
      <c r="B102" s="5"/>
      <c r="C102" s="7" t="str">
        <f ca="1">IFERROR(_xludf.XLOOKUP(B102,IDENTIFIKASI!$B:$B,IDENTIFIKASI!$G:$G),"")</f>
        <v/>
      </c>
      <c r="D102" s="5"/>
      <c r="E102" s="7" t="str">
        <f>IF(B102="","",B102&amp;"."&amp;IF(D102&lt;&gt;"",D102,"XX")&amp;"."&amp;TEXT(COUNTIFS($B$4:B102,B102,$D$4:D102,D102),"00"))</f>
        <v/>
      </c>
      <c r="F102" s="5"/>
      <c r="G102" s="5"/>
      <c r="H102" s="5"/>
      <c r="I102" s="5"/>
      <c r="J102" s="5"/>
      <c r="K102" s="5"/>
      <c r="L102" s="5"/>
      <c r="M102" s="5"/>
    </row>
    <row r="103" spans="1:13" ht="19.95" customHeight="1" x14ac:dyDescent="0.3">
      <c r="A103" s="7" t="str">
        <f t="shared" si="1"/>
        <v/>
      </c>
      <c r="B103" s="5"/>
      <c r="C103" s="7" t="str">
        <f ca="1">IFERROR(_xludf.XLOOKUP(B103,IDENTIFIKASI!$B:$B,IDENTIFIKASI!$G:$G),"")</f>
        <v/>
      </c>
      <c r="D103" s="5"/>
      <c r="E103" s="7" t="str">
        <f>IF(B103="","",B103&amp;"."&amp;IF(D103&lt;&gt;"",D103,"XX")&amp;"."&amp;TEXT(COUNTIFS($B$4:B103,B103,$D$4:D103,D103),"00"))</f>
        <v/>
      </c>
      <c r="F103" s="5"/>
      <c r="G103" s="5"/>
      <c r="H103" s="5"/>
      <c r="I103" s="5"/>
      <c r="J103" s="5"/>
      <c r="K103" s="5"/>
      <c r="L103" s="5"/>
      <c r="M103" s="5"/>
    </row>
    <row r="104" spans="1:13" ht="19.95" customHeight="1" x14ac:dyDescent="0.3">
      <c r="A104" s="7" t="str">
        <f t="shared" si="1"/>
        <v/>
      </c>
      <c r="B104" s="5"/>
      <c r="C104" s="7" t="str">
        <f ca="1">IFERROR(_xludf.XLOOKUP(B104,IDENTIFIKASI!$B:$B,IDENTIFIKASI!$G:$G),"")</f>
        <v/>
      </c>
      <c r="D104" s="5"/>
      <c r="E104" s="7" t="str">
        <f>IF(B104="","",B104&amp;"."&amp;IF(D104&lt;&gt;"",D104,"XX")&amp;"."&amp;TEXT(COUNTIFS($B$4:B104,B104,$D$4:D104,D104),"00"))</f>
        <v/>
      </c>
      <c r="F104" s="5"/>
      <c r="G104" s="5"/>
      <c r="H104" s="5"/>
      <c r="I104" s="5"/>
      <c r="J104" s="5"/>
      <c r="K104" s="5"/>
      <c r="L104" s="5"/>
      <c r="M104" s="5"/>
    </row>
    <row r="105" spans="1:13" ht="19.95" customHeight="1" x14ac:dyDescent="0.3">
      <c r="A105" s="7" t="str">
        <f t="shared" si="1"/>
        <v/>
      </c>
      <c r="B105" s="5"/>
      <c r="C105" s="7" t="str">
        <f ca="1">IFERROR(_xludf.XLOOKUP(B105,IDENTIFIKASI!$B:$B,IDENTIFIKASI!$G:$G),"")</f>
        <v/>
      </c>
      <c r="D105" s="5"/>
      <c r="E105" s="7" t="str">
        <f>IF(B105="","",B105&amp;"."&amp;IF(D105&lt;&gt;"",D105,"XX")&amp;"."&amp;TEXT(COUNTIFS($B$4:B105,B105,$D$4:D105,D105),"00"))</f>
        <v/>
      </c>
      <c r="F105" s="5"/>
      <c r="G105" s="5"/>
      <c r="H105" s="5"/>
      <c r="I105" s="5"/>
      <c r="J105" s="5"/>
      <c r="K105" s="5"/>
      <c r="L105" s="5"/>
      <c r="M105" s="5"/>
    </row>
    <row r="106" spans="1:13" ht="19.95" customHeight="1" x14ac:dyDescent="0.3">
      <c r="A106" s="7" t="str">
        <f t="shared" si="1"/>
        <v/>
      </c>
      <c r="B106" s="5"/>
      <c r="C106" s="7" t="str">
        <f ca="1">IFERROR(_xludf.XLOOKUP(B106,IDENTIFIKASI!$B:$B,IDENTIFIKASI!$G:$G),"")</f>
        <v/>
      </c>
      <c r="D106" s="5"/>
      <c r="E106" s="7" t="str">
        <f>IF(B106="","",B106&amp;"."&amp;IF(D106&lt;&gt;"",D106,"XX")&amp;"."&amp;TEXT(COUNTIFS($B$4:B106,B106,$D$4:D106,D106),"00"))</f>
        <v/>
      </c>
      <c r="F106" s="5"/>
      <c r="G106" s="5"/>
      <c r="H106" s="5"/>
      <c r="I106" s="5"/>
      <c r="J106" s="5"/>
      <c r="K106" s="5"/>
      <c r="L106" s="5"/>
      <c r="M106" s="5"/>
    </row>
    <row r="107" spans="1:13" ht="19.95" customHeight="1" x14ac:dyDescent="0.3">
      <c r="A107" s="7" t="str">
        <f t="shared" si="1"/>
        <v/>
      </c>
      <c r="B107" s="5"/>
      <c r="C107" s="7" t="str">
        <f ca="1">IFERROR(_xludf.XLOOKUP(B107,IDENTIFIKASI!$B:$B,IDENTIFIKASI!$G:$G),"")</f>
        <v/>
      </c>
      <c r="D107" s="5"/>
      <c r="E107" s="7" t="str">
        <f>IF(B107="","",B107&amp;"."&amp;IF(D107&lt;&gt;"",D107,"XX")&amp;"."&amp;TEXT(COUNTIFS($B$4:B107,B107,$D$4:D107,D107),"00"))</f>
        <v/>
      </c>
      <c r="F107" s="5"/>
      <c r="G107" s="5"/>
      <c r="H107" s="5"/>
      <c r="I107" s="5"/>
      <c r="J107" s="5"/>
      <c r="K107" s="5"/>
      <c r="L107" s="5"/>
      <c r="M107" s="5"/>
    </row>
    <row r="108" spans="1:13" ht="19.95" customHeight="1" x14ac:dyDescent="0.3">
      <c r="A108" s="7" t="str">
        <f t="shared" si="1"/>
        <v/>
      </c>
      <c r="B108" s="5"/>
      <c r="C108" s="7" t="str">
        <f ca="1">IFERROR(_xludf.XLOOKUP(B108,IDENTIFIKASI!$B:$B,IDENTIFIKASI!$G:$G),"")</f>
        <v/>
      </c>
      <c r="D108" s="5"/>
      <c r="E108" s="7" t="str">
        <f>IF(B108="","",B108&amp;"."&amp;IF(D108&lt;&gt;"",D108,"XX")&amp;"."&amp;TEXT(COUNTIFS($B$4:B108,B108,$D$4:D108,D108),"00"))</f>
        <v/>
      </c>
      <c r="F108" s="5"/>
      <c r="G108" s="5"/>
      <c r="H108" s="5"/>
      <c r="I108" s="5"/>
      <c r="J108" s="5"/>
      <c r="K108" s="5"/>
      <c r="L108" s="5"/>
      <c r="M108" s="5"/>
    </row>
    <row r="109" spans="1:13" ht="19.95" customHeight="1" x14ac:dyDescent="0.3">
      <c r="A109" s="7" t="str">
        <f t="shared" si="1"/>
        <v/>
      </c>
      <c r="B109" s="5"/>
      <c r="C109" s="7" t="str">
        <f ca="1">IFERROR(_xludf.XLOOKUP(B109,IDENTIFIKASI!$B:$B,IDENTIFIKASI!$G:$G),"")</f>
        <v/>
      </c>
      <c r="D109" s="5"/>
      <c r="E109" s="7" t="str">
        <f>IF(B109="","",B109&amp;"."&amp;IF(D109&lt;&gt;"",D109,"XX")&amp;"."&amp;TEXT(COUNTIFS($B$4:B109,B109,$D$4:D109,D109),"00"))</f>
        <v/>
      </c>
      <c r="F109" s="5"/>
      <c r="G109" s="5"/>
      <c r="H109" s="5"/>
      <c r="I109" s="5"/>
      <c r="J109" s="5"/>
      <c r="K109" s="5"/>
      <c r="L109" s="5"/>
      <c r="M109" s="5"/>
    </row>
    <row r="110" spans="1:13" ht="19.95" customHeight="1" x14ac:dyDescent="0.3">
      <c r="A110" s="7" t="str">
        <f t="shared" si="1"/>
        <v/>
      </c>
      <c r="B110" s="5"/>
      <c r="C110" s="7" t="str">
        <f ca="1">IFERROR(_xludf.XLOOKUP(B110,IDENTIFIKASI!$B:$B,IDENTIFIKASI!$G:$G),"")</f>
        <v/>
      </c>
      <c r="D110" s="5"/>
      <c r="E110" s="7" t="str">
        <f>IF(B110="","",B110&amp;"."&amp;IF(D110&lt;&gt;"",D110,"XX")&amp;"."&amp;TEXT(COUNTIFS($B$4:B110,B110,$D$4:D110,D110),"00"))</f>
        <v/>
      </c>
      <c r="F110" s="5"/>
      <c r="G110" s="5"/>
      <c r="H110" s="5"/>
      <c r="I110" s="5"/>
      <c r="J110" s="5"/>
      <c r="K110" s="5"/>
      <c r="L110" s="5"/>
      <c r="M110" s="5"/>
    </row>
    <row r="111" spans="1:13" ht="19.95" customHeight="1" x14ac:dyDescent="0.3">
      <c r="A111" s="7" t="str">
        <f t="shared" si="1"/>
        <v/>
      </c>
      <c r="B111" s="5"/>
      <c r="C111" s="7" t="str">
        <f ca="1">IFERROR(_xludf.XLOOKUP(B111,IDENTIFIKASI!$B:$B,IDENTIFIKASI!$G:$G),"")</f>
        <v/>
      </c>
      <c r="D111" s="5"/>
      <c r="E111" s="7" t="str">
        <f>IF(B111="","",B111&amp;"."&amp;IF(D111&lt;&gt;"",D111,"XX")&amp;"."&amp;TEXT(COUNTIFS($B$4:B111,B111,$D$4:D111,D111),"00"))</f>
        <v/>
      </c>
      <c r="F111" s="5"/>
      <c r="G111" s="5"/>
      <c r="H111" s="5"/>
      <c r="I111" s="5"/>
      <c r="J111" s="5"/>
      <c r="K111" s="5"/>
      <c r="L111" s="5"/>
      <c r="M111" s="5"/>
    </row>
    <row r="112" spans="1:13" ht="19.95" customHeight="1" x14ac:dyDescent="0.3">
      <c r="A112" s="7" t="str">
        <f t="shared" si="1"/>
        <v/>
      </c>
      <c r="B112" s="5"/>
      <c r="C112" s="7" t="str">
        <f ca="1">IFERROR(_xludf.XLOOKUP(B112,IDENTIFIKASI!$B:$B,IDENTIFIKASI!$G:$G),"")</f>
        <v/>
      </c>
      <c r="D112" s="5"/>
      <c r="E112" s="7" t="str">
        <f>IF(B112="","",B112&amp;"."&amp;IF(D112&lt;&gt;"",D112,"XX")&amp;"."&amp;TEXT(COUNTIFS($B$4:B112,B112,$D$4:D112,D112),"00"))</f>
        <v/>
      </c>
      <c r="F112" s="5"/>
      <c r="G112" s="5"/>
      <c r="H112" s="5"/>
      <c r="I112" s="5"/>
      <c r="J112" s="5"/>
      <c r="K112" s="5"/>
      <c r="L112" s="5"/>
      <c r="M112" s="5"/>
    </row>
    <row r="113" spans="1:13" ht="19.95" customHeight="1" x14ac:dyDescent="0.3">
      <c r="A113" s="7" t="str">
        <f t="shared" si="1"/>
        <v/>
      </c>
      <c r="B113" s="5"/>
      <c r="C113" s="7" t="str">
        <f ca="1">IFERROR(_xludf.XLOOKUP(B113,IDENTIFIKASI!$B:$B,IDENTIFIKASI!$G:$G),"")</f>
        <v/>
      </c>
      <c r="D113" s="5"/>
      <c r="E113" s="7" t="str">
        <f>IF(B113="","",B113&amp;"."&amp;IF(D113&lt;&gt;"",D113,"XX")&amp;"."&amp;TEXT(COUNTIFS($B$4:B113,B113,$D$4:D113,D113),"00"))</f>
        <v/>
      </c>
      <c r="F113" s="5"/>
      <c r="G113" s="5"/>
      <c r="H113" s="5"/>
      <c r="I113" s="5"/>
      <c r="J113" s="5"/>
      <c r="K113" s="5"/>
      <c r="L113" s="5"/>
      <c r="M113" s="5"/>
    </row>
    <row r="114" spans="1:13" ht="19.95" customHeight="1" x14ac:dyDescent="0.3">
      <c r="A114" s="7" t="str">
        <f t="shared" si="1"/>
        <v/>
      </c>
      <c r="B114" s="5"/>
      <c r="C114" s="7" t="str">
        <f ca="1">IFERROR(_xludf.XLOOKUP(B114,IDENTIFIKASI!$B:$B,IDENTIFIKASI!$G:$G),"")</f>
        <v/>
      </c>
      <c r="D114" s="5"/>
      <c r="E114" s="7" t="str">
        <f>IF(B114="","",B114&amp;"."&amp;IF(D114&lt;&gt;"",D114,"XX")&amp;"."&amp;TEXT(COUNTIFS($B$4:B114,B114,$D$4:D114,D114),"00"))</f>
        <v/>
      </c>
      <c r="F114" s="5"/>
      <c r="G114" s="5"/>
      <c r="H114" s="5"/>
      <c r="I114" s="5"/>
      <c r="J114" s="5"/>
      <c r="K114" s="5"/>
      <c r="L114" s="5"/>
      <c r="M114" s="5"/>
    </row>
    <row r="115" spans="1:13" ht="19.95" customHeight="1" x14ac:dyDescent="0.3">
      <c r="A115" s="7" t="str">
        <f t="shared" si="1"/>
        <v/>
      </c>
      <c r="B115" s="5"/>
      <c r="C115" s="7" t="str">
        <f ca="1">IFERROR(_xludf.XLOOKUP(B115,IDENTIFIKASI!$B:$B,IDENTIFIKASI!$G:$G),"")</f>
        <v/>
      </c>
      <c r="D115" s="5"/>
      <c r="E115" s="7" t="str">
        <f>IF(B115="","",B115&amp;"."&amp;IF(D115&lt;&gt;"",D115,"XX")&amp;"."&amp;TEXT(COUNTIFS($B$4:B115,B115,$D$4:D115,D115),"00"))</f>
        <v/>
      </c>
      <c r="F115" s="5"/>
      <c r="G115" s="5"/>
      <c r="H115" s="5"/>
      <c r="I115" s="5"/>
      <c r="J115" s="5"/>
      <c r="K115" s="5"/>
      <c r="L115" s="5"/>
      <c r="M115" s="5"/>
    </row>
    <row r="116" spans="1:13" ht="19.95" customHeight="1" x14ac:dyDescent="0.3">
      <c r="A116" s="7" t="str">
        <f t="shared" si="1"/>
        <v/>
      </c>
      <c r="B116" s="5"/>
      <c r="C116" s="7" t="str">
        <f ca="1">IFERROR(_xludf.XLOOKUP(B116,IDENTIFIKASI!$B:$B,IDENTIFIKASI!$G:$G),"")</f>
        <v/>
      </c>
      <c r="D116" s="5"/>
      <c r="E116" s="7" t="str">
        <f>IF(B116="","",B116&amp;"."&amp;IF(D116&lt;&gt;"",D116,"XX")&amp;"."&amp;TEXT(COUNTIFS($B$4:B116,B116,$D$4:D116,D116),"00"))</f>
        <v/>
      </c>
      <c r="F116" s="5"/>
      <c r="G116" s="5"/>
      <c r="H116" s="5"/>
      <c r="I116" s="5"/>
      <c r="J116" s="5"/>
      <c r="K116" s="5"/>
      <c r="L116" s="5"/>
      <c r="M116" s="5"/>
    </row>
    <row r="117" spans="1:13" ht="19.95" customHeight="1" x14ac:dyDescent="0.3">
      <c r="A117" s="7" t="str">
        <f t="shared" si="1"/>
        <v/>
      </c>
      <c r="B117" s="5"/>
      <c r="C117" s="7" t="str">
        <f ca="1">IFERROR(_xludf.XLOOKUP(B117,IDENTIFIKASI!$B:$B,IDENTIFIKASI!$G:$G),"")</f>
        <v/>
      </c>
      <c r="D117" s="5"/>
      <c r="E117" s="7" t="str">
        <f>IF(B117="","",B117&amp;"."&amp;IF(D117&lt;&gt;"",D117,"XX")&amp;"."&amp;TEXT(COUNTIFS($B$4:B117,B117,$D$4:D117,D117),"00"))</f>
        <v/>
      </c>
      <c r="F117" s="5"/>
      <c r="G117" s="5"/>
      <c r="H117" s="5"/>
      <c r="I117" s="5"/>
      <c r="J117" s="5"/>
      <c r="K117" s="5"/>
      <c r="L117" s="5"/>
      <c r="M117" s="5"/>
    </row>
    <row r="118" spans="1:13" ht="19.95" customHeight="1" x14ac:dyDescent="0.3">
      <c r="A118" s="7" t="str">
        <f t="shared" si="1"/>
        <v/>
      </c>
      <c r="B118" s="5"/>
      <c r="C118" s="7" t="str">
        <f ca="1">IFERROR(_xludf.XLOOKUP(B118,IDENTIFIKASI!$B:$B,IDENTIFIKASI!$G:$G),"")</f>
        <v/>
      </c>
      <c r="D118" s="5"/>
      <c r="E118" s="7" t="str">
        <f>IF(B118="","",B118&amp;"."&amp;IF(D118&lt;&gt;"",D118,"XX")&amp;"."&amp;TEXT(COUNTIFS($B$4:B118,B118,$D$4:D118,D118),"00"))</f>
        <v/>
      </c>
      <c r="F118" s="5"/>
      <c r="G118" s="5"/>
      <c r="H118" s="5"/>
      <c r="I118" s="5"/>
      <c r="J118" s="5"/>
      <c r="K118" s="5"/>
      <c r="L118" s="5"/>
      <c r="M118" s="5"/>
    </row>
    <row r="119" spans="1:13" ht="19.95" customHeight="1" x14ac:dyDescent="0.3">
      <c r="A119" s="7" t="str">
        <f t="shared" si="1"/>
        <v/>
      </c>
      <c r="B119" s="5"/>
      <c r="C119" s="7" t="str">
        <f ca="1">IFERROR(_xludf.XLOOKUP(B119,IDENTIFIKASI!$B:$B,IDENTIFIKASI!$G:$G),"")</f>
        <v/>
      </c>
      <c r="D119" s="5"/>
      <c r="E119" s="7" t="str">
        <f>IF(B119="","",B119&amp;"."&amp;IF(D119&lt;&gt;"",D119,"XX")&amp;"."&amp;TEXT(COUNTIFS($B$4:B119,B119,$D$4:D119,D119),"00"))</f>
        <v/>
      </c>
      <c r="F119" s="5"/>
      <c r="G119" s="5"/>
      <c r="H119" s="5"/>
      <c r="I119" s="5"/>
      <c r="J119" s="5"/>
      <c r="K119" s="5"/>
      <c r="L119" s="5"/>
      <c r="M119" s="5"/>
    </row>
    <row r="120" spans="1:13" ht="19.95" customHeight="1" x14ac:dyDescent="0.3">
      <c r="A120" s="7" t="str">
        <f t="shared" si="1"/>
        <v/>
      </c>
      <c r="B120" s="5"/>
      <c r="C120" s="7" t="str">
        <f ca="1">IFERROR(_xludf.XLOOKUP(B120,IDENTIFIKASI!$B:$B,IDENTIFIKASI!$G:$G),"")</f>
        <v/>
      </c>
      <c r="D120" s="5"/>
      <c r="E120" s="7" t="str">
        <f>IF(B120="","",B120&amp;"."&amp;IF(D120&lt;&gt;"",D120,"XX")&amp;"."&amp;TEXT(COUNTIFS($B$4:B120,B120,$D$4:D120,D120),"00"))</f>
        <v/>
      </c>
      <c r="F120" s="5"/>
      <c r="G120" s="5"/>
      <c r="H120" s="5"/>
      <c r="I120" s="5"/>
      <c r="J120" s="5"/>
      <c r="K120" s="5"/>
      <c r="L120" s="5"/>
      <c r="M120" s="5"/>
    </row>
    <row r="121" spans="1:13" ht="19.95" customHeight="1" x14ac:dyDescent="0.3">
      <c r="A121" s="7" t="str">
        <f t="shared" si="1"/>
        <v/>
      </c>
      <c r="B121" s="5"/>
      <c r="C121" s="7" t="str">
        <f ca="1">IFERROR(_xludf.XLOOKUP(B121,IDENTIFIKASI!$B:$B,IDENTIFIKASI!$G:$G),"")</f>
        <v/>
      </c>
      <c r="D121" s="5"/>
      <c r="E121" s="7" t="str">
        <f>IF(B121="","",B121&amp;"."&amp;IF(D121&lt;&gt;"",D121,"XX")&amp;"."&amp;TEXT(COUNTIFS($B$4:B121,B121,$D$4:D121,D121),"00"))</f>
        <v/>
      </c>
      <c r="F121" s="5"/>
      <c r="G121" s="5"/>
      <c r="H121" s="5"/>
      <c r="I121" s="5"/>
      <c r="J121" s="5"/>
      <c r="K121" s="5"/>
      <c r="L121" s="5"/>
      <c r="M121" s="5"/>
    </row>
    <row r="122" spans="1:13" ht="19.95" customHeight="1" x14ac:dyDescent="0.3">
      <c r="A122" s="7" t="str">
        <f t="shared" si="1"/>
        <v/>
      </c>
      <c r="B122" s="5"/>
      <c r="C122" s="7" t="str">
        <f ca="1">IFERROR(_xludf.XLOOKUP(B122,IDENTIFIKASI!$B:$B,IDENTIFIKASI!$G:$G),"")</f>
        <v/>
      </c>
      <c r="D122" s="5"/>
      <c r="E122" s="7" t="str">
        <f>IF(B122="","",B122&amp;"."&amp;IF(D122&lt;&gt;"",D122,"XX")&amp;"."&amp;TEXT(COUNTIFS($B$4:B122,B122,$D$4:D122,D122),"00"))</f>
        <v/>
      </c>
      <c r="F122" s="5"/>
      <c r="G122" s="5"/>
      <c r="H122" s="5"/>
      <c r="I122" s="5"/>
      <c r="J122" s="5"/>
      <c r="K122" s="5"/>
      <c r="L122" s="5"/>
      <c r="M122" s="5"/>
    </row>
    <row r="123" spans="1:13" ht="19.95" customHeight="1" x14ac:dyDescent="0.3">
      <c r="A123" s="7" t="str">
        <f t="shared" si="1"/>
        <v/>
      </c>
      <c r="B123" s="5"/>
      <c r="C123" s="7" t="str">
        <f ca="1">IFERROR(_xludf.XLOOKUP(B123,IDENTIFIKASI!$B:$B,IDENTIFIKASI!$G:$G),"")</f>
        <v/>
      </c>
      <c r="D123" s="5"/>
      <c r="E123" s="7" t="str">
        <f>IF(B123="","",B123&amp;"."&amp;IF(D123&lt;&gt;"",D123,"XX")&amp;"."&amp;TEXT(COUNTIFS($B$4:B123,B123,$D$4:D123,D123),"00"))</f>
        <v/>
      </c>
      <c r="F123" s="5"/>
      <c r="G123" s="5"/>
      <c r="H123" s="5"/>
      <c r="I123" s="5"/>
      <c r="J123" s="5"/>
      <c r="K123" s="5"/>
      <c r="L123" s="5"/>
      <c r="M123" s="5"/>
    </row>
    <row r="124" spans="1:13" ht="19.95" customHeight="1" x14ac:dyDescent="0.3">
      <c r="A124" s="7" t="str">
        <f t="shared" si="1"/>
        <v/>
      </c>
      <c r="B124" s="5"/>
      <c r="C124" s="7" t="str">
        <f ca="1">IFERROR(_xludf.XLOOKUP(B124,IDENTIFIKASI!$B:$B,IDENTIFIKASI!$G:$G),"")</f>
        <v/>
      </c>
      <c r="D124" s="5"/>
      <c r="E124" s="7" t="str">
        <f>IF(B124="","",B124&amp;"."&amp;IF(D124&lt;&gt;"",D124,"XX")&amp;"."&amp;TEXT(COUNTIFS($B$4:B124,B124,$D$4:D124,D124),"00"))</f>
        <v/>
      </c>
      <c r="F124" s="5"/>
      <c r="G124" s="5"/>
      <c r="H124" s="5"/>
      <c r="I124" s="5"/>
      <c r="J124" s="5"/>
      <c r="K124" s="5"/>
      <c r="L124" s="5"/>
      <c r="M124" s="5"/>
    </row>
    <row r="125" spans="1:13" ht="19.95" customHeight="1" x14ac:dyDescent="0.3">
      <c r="A125" s="7" t="str">
        <f t="shared" si="1"/>
        <v/>
      </c>
      <c r="B125" s="5"/>
      <c r="C125" s="7" t="str">
        <f ca="1">IFERROR(_xludf.XLOOKUP(B125,IDENTIFIKASI!$B:$B,IDENTIFIKASI!$G:$G),"")</f>
        <v/>
      </c>
      <c r="D125" s="5"/>
      <c r="E125" s="7" t="str">
        <f>IF(B125="","",B125&amp;"."&amp;IF(D125&lt;&gt;"",D125,"XX")&amp;"."&amp;TEXT(COUNTIFS($B$4:B125,B125,$D$4:D125,D125),"00"))</f>
        <v/>
      </c>
      <c r="F125" s="5"/>
      <c r="G125" s="5"/>
      <c r="H125" s="5"/>
      <c r="I125" s="5"/>
      <c r="J125" s="5"/>
      <c r="K125" s="5"/>
      <c r="L125" s="5"/>
      <c r="M125" s="5"/>
    </row>
    <row r="126" spans="1:13" ht="19.95" customHeight="1" x14ac:dyDescent="0.3">
      <c r="A126" s="7" t="str">
        <f t="shared" si="1"/>
        <v/>
      </c>
      <c r="B126" s="5"/>
      <c r="C126" s="7" t="str">
        <f ca="1">IFERROR(_xludf.XLOOKUP(B126,IDENTIFIKASI!$B:$B,IDENTIFIKASI!$G:$G),"")</f>
        <v/>
      </c>
      <c r="D126" s="5"/>
      <c r="E126" s="7" t="str">
        <f>IF(B126="","",B126&amp;"."&amp;IF(D126&lt;&gt;"",D126,"XX")&amp;"."&amp;TEXT(COUNTIFS($B$4:B126,B126,$D$4:D126,D126),"00"))</f>
        <v/>
      </c>
      <c r="F126" s="5"/>
      <c r="G126" s="5"/>
      <c r="H126" s="5"/>
      <c r="I126" s="5"/>
      <c r="J126" s="5"/>
      <c r="K126" s="5"/>
      <c r="L126" s="5"/>
      <c r="M126" s="5"/>
    </row>
    <row r="127" spans="1:13" ht="19.95" customHeight="1" x14ac:dyDescent="0.3">
      <c r="A127" s="7" t="str">
        <f t="shared" si="1"/>
        <v/>
      </c>
      <c r="B127" s="5"/>
      <c r="C127" s="7" t="str">
        <f ca="1">IFERROR(_xludf.XLOOKUP(B127,IDENTIFIKASI!$B:$B,IDENTIFIKASI!$G:$G),"")</f>
        <v/>
      </c>
      <c r="D127" s="5"/>
      <c r="E127" s="7" t="str">
        <f>IF(B127="","",B127&amp;"."&amp;IF(D127&lt;&gt;"",D127,"XX")&amp;"."&amp;TEXT(COUNTIFS($B$4:B127,B127,$D$4:D127,D127),"00"))</f>
        <v/>
      </c>
      <c r="F127" s="5"/>
      <c r="G127" s="5"/>
      <c r="H127" s="5"/>
      <c r="I127" s="5"/>
      <c r="J127" s="5"/>
      <c r="K127" s="5"/>
      <c r="L127" s="5"/>
      <c r="M127" s="5"/>
    </row>
    <row r="128" spans="1:13" ht="19.95" customHeight="1" x14ac:dyDescent="0.3">
      <c r="A128" s="7" t="str">
        <f t="shared" si="1"/>
        <v/>
      </c>
      <c r="B128" s="5"/>
      <c r="C128" s="7" t="str">
        <f ca="1">IFERROR(_xludf.XLOOKUP(B128,IDENTIFIKASI!$B:$B,IDENTIFIKASI!$G:$G),"")</f>
        <v/>
      </c>
      <c r="D128" s="5"/>
      <c r="E128" s="7" t="str">
        <f>IF(B128="","",B128&amp;"."&amp;IF(D128&lt;&gt;"",D128,"XX")&amp;"."&amp;TEXT(COUNTIFS($B$4:B128,B128,$D$4:D128,D128),"00"))</f>
        <v/>
      </c>
      <c r="F128" s="5"/>
      <c r="G128" s="5"/>
      <c r="H128" s="5"/>
      <c r="I128" s="5"/>
      <c r="J128" s="5"/>
      <c r="K128" s="5"/>
      <c r="L128" s="5"/>
      <c r="M128" s="5"/>
    </row>
    <row r="129" spans="1:13" ht="19.95" customHeight="1" x14ac:dyDescent="0.3">
      <c r="A129" s="7" t="str">
        <f t="shared" si="1"/>
        <v/>
      </c>
      <c r="B129" s="5"/>
      <c r="C129" s="7" t="str">
        <f ca="1">IFERROR(_xludf.XLOOKUP(B129,IDENTIFIKASI!$B:$B,IDENTIFIKASI!$G:$G),"")</f>
        <v/>
      </c>
      <c r="D129" s="5"/>
      <c r="E129" s="7" t="str">
        <f>IF(B129="","",B129&amp;"."&amp;IF(D129&lt;&gt;"",D129,"XX")&amp;"."&amp;TEXT(COUNTIFS($B$4:B129,B129,$D$4:D129,D129),"00"))</f>
        <v/>
      </c>
      <c r="F129" s="5"/>
      <c r="G129" s="5"/>
      <c r="H129" s="5"/>
      <c r="I129" s="5"/>
      <c r="J129" s="5"/>
      <c r="K129" s="5"/>
      <c r="L129" s="5"/>
      <c r="M129" s="5"/>
    </row>
    <row r="130" spans="1:13" ht="19.95" customHeight="1" x14ac:dyDescent="0.3">
      <c r="A130" s="7" t="str">
        <f t="shared" si="1"/>
        <v/>
      </c>
      <c r="B130" s="5"/>
      <c r="C130" s="7" t="str">
        <f ca="1">IFERROR(_xludf.XLOOKUP(B130,IDENTIFIKASI!$B:$B,IDENTIFIKASI!$G:$G),"")</f>
        <v/>
      </c>
      <c r="D130" s="5"/>
      <c r="E130" s="7" t="str">
        <f>IF(B130="","",B130&amp;"."&amp;IF(D130&lt;&gt;"",D130,"XX")&amp;"."&amp;TEXT(COUNTIFS($B$4:B130,B130,$D$4:D130,D130),"00"))</f>
        <v/>
      </c>
      <c r="F130" s="5"/>
      <c r="G130" s="5"/>
      <c r="H130" s="5"/>
      <c r="I130" s="5"/>
      <c r="J130" s="5"/>
      <c r="K130" s="5"/>
      <c r="L130" s="5"/>
      <c r="M130" s="5"/>
    </row>
    <row r="131" spans="1:13" ht="19.95" customHeight="1" x14ac:dyDescent="0.3">
      <c r="A131" s="7" t="str">
        <f t="shared" si="1"/>
        <v/>
      </c>
      <c r="B131" s="5"/>
      <c r="C131" s="7" t="str">
        <f ca="1">IFERROR(_xludf.XLOOKUP(B131,IDENTIFIKASI!$B:$B,IDENTIFIKASI!$G:$G),"")</f>
        <v/>
      </c>
      <c r="D131" s="5"/>
      <c r="E131" s="7" t="str">
        <f>IF(B131="","",B131&amp;"."&amp;IF(D131&lt;&gt;"",D131,"XX")&amp;"."&amp;TEXT(COUNTIFS($B$4:B131,B131,$D$4:D131,D131),"00"))</f>
        <v/>
      </c>
      <c r="F131" s="5"/>
      <c r="G131" s="5"/>
      <c r="H131" s="5"/>
      <c r="I131" s="5"/>
      <c r="J131" s="5"/>
      <c r="K131" s="5"/>
      <c r="L131" s="5"/>
      <c r="M131" s="5"/>
    </row>
    <row r="132" spans="1:13" ht="19.95" customHeight="1" x14ac:dyDescent="0.3">
      <c r="A132" s="7" t="str">
        <f t="shared" si="1"/>
        <v/>
      </c>
      <c r="B132" s="5"/>
      <c r="C132" s="7" t="str">
        <f ca="1">IFERROR(_xludf.XLOOKUP(B132,IDENTIFIKASI!$B:$B,IDENTIFIKASI!$G:$G),"")</f>
        <v/>
      </c>
      <c r="D132" s="5"/>
      <c r="E132" s="7" t="str">
        <f>IF(B132="","",B132&amp;"."&amp;IF(D132&lt;&gt;"",D132,"XX")&amp;"."&amp;TEXT(COUNTIFS($B$4:B132,B132,$D$4:D132,D132),"00"))</f>
        <v/>
      </c>
      <c r="F132" s="5"/>
      <c r="G132" s="5"/>
      <c r="H132" s="5"/>
      <c r="I132" s="5"/>
      <c r="J132" s="5"/>
      <c r="K132" s="5"/>
      <c r="L132" s="5"/>
      <c r="M132" s="5"/>
    </row>
    <row r="133" spans="1:13" ht="19.95" customHeight="1" x14ac:dyDescent="0.3">
      <c r="A133" s="7" t="str">
        <f t="shared" ref="A133:A153" si="2">IF(B133&lt;&gt;"",TEXT(ROW()-3,"000"),"")</f>
        <v/>
      </c>
      <c r="B133" s="5"/>
      <c r="C133" s="7" t="str">
        <f ca="1">IFERROR(_xludf.XLOOKUP(B133,IDENTIFIKASI!$B:$B,IDENTIFIKASI!$G:$G),"")</f>
        <v/>
      </c>
      <c r="D133" s="5"/>
      <c r="E133" s="7" t="str">
        <f>IF(B133="","",B133&amp;"."&amp;IF(D133&lt;&gt;"",D133,"XX")&amp;"."&amp;TEXT(COUNTIFS($B$4:B133,B133,$D$4:D133,D133),"00"))</f>
        <v/>
      </c>
      <c r="F133" s="5"/>
      <c r="G133" s="5"/>
      <c r="H133" s="5"/>
      <c r="I133" s="5"/>
      <c r="J133" s="5"/>
      <c r="K133" s="5"/>
      <c r="L133" s="5"/>
      <c r="M133" s="5"/>
    </row>
    <row r="134" spans="1:13" ht="19.95" customHeight="1" x14ac:dyDescent="0.3">
      <c r="A134" s="7" t="str">
        <f t="shared" si="2"/>
        <v/>
      </c>
      <c r="B134" s="5"/>
      <c r="C134" s="7" t="str">
        <f ca="1">IFERROR(_xludf.XLOOKUP(B134,IDENTIFIKASI!$B:$B,IDENTIFIKASI!$G:$G),"")</f>
        <v/>
      </c>
      <c r="D134" s="5"/>
      <c r="E134" s="7" t="str">
        <f>IF(B134="","",B134&amp;"."&amp;IF(D134&lt;&gt;"",D134,"XX")&amp;"."&amp;TEXT(COUNTIFS($B$4:B134,B134,$D$4:D134,D134),"00"))</f>
        <v/>
      </c>
      <c r="F134" s="5"/>
      <c r="G134" s="5"/>
      <c r="H134" s="5"/>
      <c r="I134" s="5"/>
      <c r="J134" s="5"/>
      <c r="K134" s="5"/>
      <c r="L134" s="5"/>
      <c r="M134" s="5"/>
    </row>
    <row r="135" spans="1:13" ht="19.95" customHeight="1" x14ac:dyDescent="0.3">
      <c r="A135" s="7" t="str">
        <f t="shared" si="2"/>
        <v/>
      </c>
      <c r="B135" s="5"/>
      <c r="C135" s="7" t="str">
        <f ca="1">IFERROR(_xludf.XLOOKUP(B135,IDENTIFIKASI!$B:$B,IDENTIFIKASI!$G:$G),"")</f>
        <v/>
      </c>
      <c r="D135" s="5"/>
      <c r="E135" s="7" t="str">
        <f>IF(B135="","",B135&amp;"."&amp;IF(D135&lt;&gt;"",D135,"XX")&amp;"."&amp;TEXT(COUNTIFS($B$4:B135,B135,$D$4:D135,D135),"00"))</f>
        <v/>
      </c>
      <c r="F135" s="5"/>
      <c r="G135" s="5"/>
      <c r="H135" s="5"/>
      <c r="I135" s="5"/>
      <c r="J135" s="5"/>
      <c r="K135" s="5"/>
      <c r="L135" s="5"/>
      <c r="M135" s="5"/>
    </row>
    <row r="136" spans="1:13" ht="19.95" customHeight="1" x14ac:dyDescent="0.3">
      <c r="A136" s="7" t="str">
        <f t="shared" si="2"/>
        <v/>
      </c>
      <c r="B136" s="5"/>
      <c r="C136" s="7" t="str">
        <f ca="1">IFERROR(_xludf.XLOOKUP(B136,IDENTIFIKASI!$B:$B,IDENTIFIKASI!$G:$G),"")</f>
        <v/>
      </c>
      <c r="D136" s="5"/>
      <c r="E136" s="7" t="str">
        <f>IF(B136="","",B136&amp;"."&amp;IF(D136&lt;&gt;"",D136,"XX")&amp;"."&amp;TEXT(COUNTIFS($B$4:B136,B136,$D$4:D136,D136),"00"))</f>
        <v/>
      </c>
      <c r="F136" s="5"/>
      <c r="G136" s="5"/>
      <c r="H136" s="5"/>
      <c r="I136" s="5"/>
      <c r="J136" s="5"/>
      <c r="K136" s="5"/>
      <c r="L136" s="5"/>
      <c r="M136" s="5"/>
    </row>
    <row r="137" spans="1:13" ht="19.95" customHeight="1" x14ac:dyDescent="0.3">
      <c r="A137" s="7" t="str">
        <f t="shared" si="2"/>
        <v/>
      </c>
      <c r="B137" s="5"/>
      <c r="C137" s="7" t="str">
        <f ca="1">IFERROR(_xludf.XLOOKUP(B137,IDENTIFIKASI!$B:$B,IDENTIFIKASI!$G:$G),"")</f>
        <v/>
      </c>
      <c r="D137" s="5"/>
      <c r="E137" s="7" t="str">
        <f>IF(B137="","",B137&amp;"."&amp;IF(D137&lt;&gt;"",D137,"XX")&amp;"."&amp;TEXT(COUNTIFS($B$4:B137,B137,$D$4:D137,D137),"00"))</f>
        <v/>
      </c>
      <c r="F137" s="5"/>
      <c r="G137" s="5"/>
      <c r="H137" s="5"/>
      <c r="I137" s="5"/>
      <c r="J137" s="5"/>
      <c r="K137" s="5"/>
      <c r="L137" s="5"/>
      <c r="M137" s="5"/>
    </row>
    <row r="138" spans="1:13" ht="19.95" customHeight="1" x14ac:dyDescent="0.3">
      <c r="A138" s="7" t="str">
        <f t="shared" si="2"/>
        <v/>
      </c>
      <c r="B138" s="5"/>
      <c r="C138" s="7" t="str">
        <f ca="1">IFERROR(_xludf.XLOOKUP(B138,IDENTIFIKASI!$B:$B,IDENTIFIKASI!$G:$G),"")</f>
        <v/>
      </c>
      <c r="D138" s="5"/>
      <c r="E138" s="7" t="str">
        <f>IF(B138="","",B138&amp;"."&amp;IF(D138&lt;&gt;"",D138,"XX")&amp;"."&amp;TEXT(COUNTIFS($B$4:B138,B138,$D$4:D138,D138),"00"))</f>
        <v/>
      </c>
      <c r="F138" s="5"/>
      <c r="G138" s="5"/>
      <c r="H138" s="5"/>
      <c r="I138" s="5"/>
      <c r="J138" s="5"/>
      <c r="K138" s="5"/>
      <c r="L138" s="5"/>
      <c r="M138" s="5"/>
    </row>
    <row r="139" spans="1:13" ht="19.95" customHeight="1" x14ac:dyDescent="0.3">
      <c r="A139" s="7" t="str">
        <f t="shared" si="2"/>
        <v/>
      </c>
      <c r="B139" s="5"/>
      <c r="C139" s="7" t="str">
        <f ca="1">IFERROR(_xludf.XLOOKUP(B139,IDENTIFIKASI!$B:$B,IDENTIFIKASI!$G:$G),"")</f>
        <v/>
      </c>
      <c r="D139" s="5"/>
      <c r="E139" s="7" t="str">
        <f>IF(B139="","",B139&amp;"."&amp;IF(D139&lt;&gt;"",D139,"XX")&amp;"."&amp;TEXT(COUNTIFS($B$4:B139,B139,$D$4:D139,D139),"00"))</f>
        <v/>
      </c>
      <c r="F139" s="5"/>
      <c r="G139" s="5"/>
      <c r="H139" s="5"/>
      <c r="I139" s="5"/>
      <c r="J139" s="5"/>
      <c r="K139" s="5"/>
      <c r="L139" s="5"/>
      <c r="M139" s="5"/>
    </row>
    <row r="140" spans="1:13" ht="19.95" customHeight="1" x14ac:dyDescent="0.3">
      <c r="A140" s="7" t="str">
        <f t="shared" si="2"/>
        <v/>
      </c>
      <c r="B140" s="5"/>
      <c r="C140" s="7" t="str">
        <f ca="1">IFERROR(_xludf.XLOOKUP(B140,IDENTIFIKASI!$B:$B,IDENTIFIKASI!$G:$G),"")</f>
        <v/>
      </c>
      <c r="D140" s="5"/>
      <c r="E140" s="7" t="str">
        <f>IF(B140="","",B140&amp;"."&amp;IF(D140&lt;&gt;"",D140,"XX")&amp;"."&amp;TEXT(COUNTIFS($B$4:B140,B140,$D$4:D140,D140),"00"))</f>
        <v/>
      </c>
      <c r="F140" s="5"/>
      <c r="G140" s="5"/>
      <c r="H140" s="5"/>
      <c r="I140" s="5"/>
      <c r="J140" s="5"/>
      <c r="K140" s="5"/>
      <c r="L140" s="5"/>
      <c r="M140" s="5"/>
    </row>
    <row r="141" spans="1:13" ht="19.95" customHeight="1" x14ac:dyDescent="0.3">
      <c r="A141" s="7" t="str">
        <f t="shared" si="2"/>
        <v/>
      </c>
      <c r="B141" s="5"/>
      <c r="C141" s="7" t="str">
        <f ca="1">IFERROR(_xludf.XLOOKUP(B141,IDENTIFIKASI!$B:$B,IDENTIFIKASI!$G:$G),"")</f>
        <v/>
      </c>
      <c r="D141" s="5"/>
      <c r="E141" s="7" t="str">
        <f>IF(B141="","",B141&amp;"."&amp;IF(D141&lt;&gt;"",D141,"XX")&amp;"."&amp;TEXT(COUNTIFS($B$4:B141,B141,$D$4:D141,D141),"00"))</f>
        <v/>
      </c>
      <c r="F141" s="5"/>
      <c r="G141" s="5"/>
      <c r="H141" s="5"/>
      <c r="I141" s="5"/>
      <c r="J141" s="5"/>
      <c r="K141" s="5"/>
      <c r="L141" s="5"/>
      <c r="M141" s="5"/>
    </row>
    <row r="142" spans="1:13" ht="19.95" customHeight="1" x14ac:dyDescent="0.3">
      <c r="A142" s="7" t="str">
        <f t="shared" si="2"/>
        <v/>
      </c>
      <c r="B142" s="5"/>
      <c r="C142" s="7" t="str">
        <f ca="1">IFERROR(_xludf.XLOOKUP(B142,IDENTIFIKASI!$B:$B,IDENTIFIKASI!$G:$G),"")</f>
        <v/>
      </c>
      <c r="D142" s="5"/>
      <c r="E142" s="7" t="str">
        <f>IF(B142="","",B142&amp;"."&amp;IF(D142&lt;&gt;"",D142,"XX")&amp;"."&amp;TEXT(COUNTIFS($B$4:B142,B142,$D$4:D142,D142),"00"))</f>
        <v/>
      </c>
      <c r="F142" s="5"/>
      <c r="G142" s="5"/>
      <c r="H142" s="5"/>
      <c r="I142" s="5"/>
      <c r="J142" s="5"/>
      <c r="K142" s="5"/>
      <c r="L142" s="5"/>
      <c r="M142" s="5"/>
    </row>
    <row r="143" spans="1:13" ht="19.95" customHeight="1" x14ac:dyDescent="0.3">
      <c r="A143" s="7" t="str">
        <f t="shared" si="2"/>
        <v/>
      </c>
      <c r="B143" s="5"/>
      <c r="C143" s="7" t="str">
        <f ca="1">IFERROR(_xludf.XLOOKUP(B143,IDENTIFIKASI!$B:$B,IDENTIFIKASI!$G:$G),"")</f>
        <v/>
      </c>
      <c r="D143" s="5"/>
      <c r="E143" s="7" t="str">
        <f>IF(B143="","",B143&amp;"."&amp;IF(D143&lt;&gt;"",D143,"XX")&amp;"."&amp;TEXT(COUNTIFS($B$4:B143,B143,$D$4:D143,D143),"00"))</f>
        <v/>
      </c>
      <c r="F143" s="5"/>
      <c r="G143" s="5"/>
      <c r="H143" s="5"/>
      <c r="I143" s="5"/>
      <c r="J143" s="5"/>
      <c r="K143" s="5"/>
      <c r="L143" s="5"/>
      <c r="M143" s="5"/>
    </row>
    <row r="144" spans="1:13" ht="19.95" customHeight="1" x14ac:dyDescent="0.3">
      <c r="A144" s="7" t="str">
        <f t="shared" si="2"/>
        <v/>
      </c>
      <c r="B144" s="5"/>
      <c r="C144" s="7" t="str">
        <f ca="1">IFERROR(_xludf.XLOOKUP(B144,IDENTIFIKASI!$B:$B,IDENTIFIKASI!$G:$G),"")</f>
        <v/>
      </c>
      <c r="D144" s="5"/>
      <c r="E144" s="7" t="str">
        <f>IF(B144="","",B144&amp;"."&amp;IF(D144&lt;&gt;"",D144,"XX")&amp;"."&amp;TEXT(COUNTIFS($B$4:B144,B144,$D$4:D144,D144),"00"))</f>
        <v/>
      </c>
      <c r="F144" s="5"/>
      <c r="G144" s="5"/>
      <c r="H144" s="5"/>
      <c r="I144" s="5"/>
      <c r="J144" s="5"/>
      <c r="K144" s="5"/>
      <c r="L144" s="5"/>
      <c r="M144" s="5"/>
    </row>
    <row r="145" spans="1:13" ht="19.95" customHeight="1" x14ac:dyDescent="0.3">
      <c r="A145" s="7" t="str">
        <f t="shared" si="2"/>
        <v/>
      </c>
      <c r="B145" s="5"/>
      <c r="C145" s="7" t="str">
        <f ca="1">IFERROR(_xludf.XLOOKUP(B145,IDENTIFIKASI!$B:$B,IDENTIFIKASI!$G:$G),"")</f>
        <v/>
      </c>
      <c r="D145" s="5"/>
      <c r="E145" s="7" t="str">
        <f>IF(B145="","",B145&amp;"."&amp;IF(D145&lt;&gt;"",D145,"XX")&amp;"."&amp;TEXT(COUNTIFS($B$4:B145,B145,$D$4:D145,D145),"00"))</f>
        <v/>
      </c>
      <c r="F145" s="5"/>
      <c r="G145" s="5"/>
      <c r="H145" s="5"/>
      <c r="I145" s="5"/>
      <c r="J145" s="5"/>
      <c r="K145" s="5"/>
      <c r="L145" s="5"/>
      <c r="M145" s="5"/>
    </row>
    <row r="146" spans="1:13" ht="19.95" customHeight="1" x14ac:dyDescent="0.3">
      <c r="A146" s="7" t="str">
        <f t="shared" si="2"/>
        <v/>
      </c>
      <c r="B146" s="5"/>
      <c r="C146" s="7" t="str">
        <f ca="1">IFERROR(_xludf.XLOOKUP(B146,IDENTIFIKASI!$B:$B,IDENTIFIKASI!$G:$G),"")</f>
        <v/>
      </c>
      <c r="D146" s="5"/>
      <c r="E146" s="7" t="str">
        <f>IF(B146="","",B146&amp;"."&amp;IF(D146&lt;&gt;"",D146,"XX")&amp;"."&amp;TEXT(COUNTIFS($B$4:B146,B146,$D$4:D146,D146),"00"))</f>
        <v/>
      </c>
      <c r="F146" s="5"/>
      <c r="G146" s="5"/>
      <c r="H146" s="5"/>
      <c r="I146" s="5"/>
      <c r="J146" s="5"/>
      <c r="K146" s="5"/>
      <c r="L146" s="5"/>
      <c r="M146" s="5"/>
    </row>
    <row r="147" spans="1:13" ht="19.95" customHeight="1" x14ac:dyDescent="0.3">
      <c r="A147" s="7" t="str">
        <f t="shared" si="2"/>
        <v/>
      </c>
      <c r="B147" s="5"/>
      <c r="C147" s="7" t="str">
        <f ca="1">IFERROR(_xludf.XLOOKUP(B147,IDENTIFIKASI!$B:$B,IDENTIFIKASI!$G:$G),"")</f>
        <v/>
      </c>
      <c r="D147" s="5"/>
      <c r="E147" s="7" t="str">
        <f>IF(B147="","",B147&amp;"."&amp;IF(D147&lt;&gt;"",D147,"XX")&amp;"."&amp;TEXT(COUNTIFS($B$4:B147,B147,$D$4:D147,D147),"00"))</f>
        <v/>
      </c>
      <c r="F147" s="5"/>
      <c r="G147" s="5"/>
      <c r="H147" s="5"/>
      <c r="I147" s="5"/>
      <c r="J147" s="5"/>
      <c r="K147" s="5"/>
      <c r="L147" s="5"/>
      <c r="M147" s="5"/>
    </row>
    <row r="148" spans="1:13" ht="19.95" customHeight="1" x14ac:dyDescent="0.3">
      <c r="A148" s="7" t="str">
        <f t="shared" si="2"/>
        <v/>
      </c>
      <c r="B148" s="5"/>
      <c r="C148" s="7" t="str">
        <f ca="1">IFERROR(_xludf.XLOOKUP(B148,IDENTIFIKASI!$B:$B,IDENTIFIKASI!$G:$G),"")</f>
        <v/>
      </c>
      <c r="D148" s="5"/>
      <c r="E148" s="7" t="str">
        <f>IF(B148="","",B148&amp;"."&amp;IF(D148&lt;&gt;"",D148,"XX")&amp;"."&amp;TEXT(COUNTIFS($B$4:B148,B148,$D$4:D148,D148),"00"))</f>
        <v/>
      </c>
      <c r="F148" s="5"/>
      <c r="G148" s="5"/>
      <c r="H148" s="5"/>
      <c r="I148" s="5"/>
      <c r="J148" s="5"/>
      <c r="K148" s="5"/>
      <c r="L148" s="5"/>
      <c r="M148" s="5"/>
    </row>
    <row r="149" spans="1:13" ht="19.95" customHeight="1" x14ac:dyDescent="0.3">
      <c r="A149" s="7" t="str">
        <f t="shared" si="2"/>
        <v/>
      </c>
      <c r="B149" s="5"/>
      <c r="C149" s="7" t="str">
        <f ca="1">IFERROR(_xludf.XLOOKUP(B149,IDENTIFIKASI!$B:$B,IDENTIFIKASI!$G:$G),"")</f>
        <v/>
      </c>
      <c r="D149" s="5"/>
      <c r="E149" s="7" t="str">
        <f>IF(B149="","",B149&amp;"."&amp;IF(D149&lt;&gt;"",D149,"XX")&amp;"."&amp;TEXT(COUNTIFS($B$4:B149,B149,$D$4:D149,D149),"00"))</f>
        <v/>
      </c>
      <c r="F149" s="5"/>
      <c r="G149" s="5"/>
      <c r="H149" s="5"/>
      <c r="I149" s="5"/>
      <c r="J149" s="5"/>
      <c r="K149" s="5"/>
      <c r="L149" s="5"/>
      <c r="M149" s="5"/>
    </row>
    <row r="150" spans="1:13" ht="19.95" customHeight="1" x14ac:dyDescent="0.3">
      <c r="A150" s="7" t="str">
        <f t="shared" si="2"/>
        <v/>
      </c>
      <c r="B150" s="5"/>
      <c r="C150" s="7" t="str">
        <f ca="1">IFERROR(_xludf.XLOOKUP(B150,IDENTIFIKASI!$B:$B,IDENTIFIKASI!$G:$G),"")</f>
        <v/>
      </c>
      <c r="D150" s="5"/>
      <c r="E150" s="7" t="str">
        <f>IF(B150="","",B150&amp;"."&amp;IF(D150&lt;&gt;"",D150,"XX")&amp;"."&amp;TEXT(COUNTIFS($B$4:B150,B150,$D$4:D150,D150),"00"))</f>
        <v/>
      </c>
      <c r="F150" s="5"/>
      <c r="G150" s="5"/>
      <c r="H150" s="5"/>
      <c r="I150" s="5"/>
      <c r="J150" s="5"/>
      <c r="K150" s="5"/>
      <c r="L150" s="5"/>
      <c r="M150" s="5"/>
    </row>
    <row r="151" spans="1:13" ht="19.95" customHeight="1" x14ac:dyDescent="0.3">
      <c r="A151" s="7" t="str">
        <f t="shared" si="2"/>
        <v/>
      </c>
      <c r="B151" s="5"/>
      <c r="C151" s="7" t="str">
        <f ca="1">IFERROR(_xludf.XLOOKUP(B151,IDENTIFIKASI!$B:$B,IDENTIFIKASI!$G:$G),"")</f>
        <v/>
      </c>
      <c r="D151" s="5"/>
      <c r="E151" s="7" t="str">
        <f>IF(B151="","",B151&amp;"."&amp;IF(D151&lt;&gt;"",D151,"XX")&amp;"."&amp;TEXT(COUNTIFS($B$4:B151,B151,$D$4:D151,D151),"00"))</f>
        <v/>
      </c>
      <c r="F151" s="5"/>
      <c r="G151" s="5"/>
      <c r="H151" s="5"/>
      <c r="I151" s="5"/>
      <c r="J151" s="5"/>
      <c r="K151" s="5"/>
      <c r="L151" s="5"/>
      <c r="M151" s="5"/>
    </row>
    <row r="152" spans="1:13" ht="19.95" customHeight="1" x14ac:dyDescent="0.3">
      <c r="A152" s="7" t="str">
        <f t="shared" si="2"/>
        <v/>
      </c>
      <c r="B152" s="5"/>
      <c r="C152" s="7" t="str">
        <f ca="1">IFERROR(_xludf.XLOOKUP(B152,IDENTIFIKASI!$B:$B,IDENTIFIKASI!$G:$G),"")</f>
        <v/>
      </c>
      <c r="D152" s="5"/>
      <c r="E152" s="7" t="str">
        <f>IF(B152="","",B152&amp;"."&amp;IF(D152&lt;&gt;"",D152,"XX")&amp;"."&amp;TEXT(COUNTIFS($B$4:B152,B152,$D$4:D152,D152),"00"))</f>
        <v/>
      </c>
      <c r="F152" s="5"/>
      <c r="G152" s="5"/>
      <c r="H152" s="5"/>
      <c r="I152" s="5"/>
      <c r="J152" s="5"/>
      <c r="K152" s="5"/>
      <c r="L152" s="5"/>
      <c r="M152" s="5"/>
    </row>
    <row r="153" spans="1:13" ht="19.95" customHeight="1" x14ac:dyDescent="0.3">
      <c r="A153" s="7" t="str">
        <f t="shared" si="2"/>
        <v/>
      </c>
      <c r="B153" s="5"/>
      <c r="C153" s="7" t="str">
        <f ca="1">IFERROR(_xludf.XLOOKUP(B153,IDENTIFIKASI!$B:$B,IDENTIFIKASI!$G:$G),"")</f>
        <v/>
      </c>
      <c r="D153" s="5"/>
      <c r="E153" s="7" t="str">
        <f>IF(B153="","",B153&amp;"."&amp;IF(D153&lt;&gt;"",D153,"XX")&amp;"."&amp;TEXT(COUNTIFS($B$4:B153,B153,$D$4:D153,D153),"00"))</f>
        <v/>
      </c>
      <c r="F153" s="5"/>
      <c r="G153" s="5"/>
      <c r="H153" s="5"/>
      <c r="I153" s="5"/>
      <c r="J153" s="5"/>
      <c r="K153" s="5"/>
      <c r="L153" s="5"/>
      <c r="M153" s="5"/>
    </row>
  </sheetData>
  <mergeCells count="2">
    <mergeCell ref="A1:M1"/>
    <mergeCell ref="A3:M3"/>
  </mergeCell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Nilai tidak valid" error="Pilih dari daftar yang tersedia." xr:uid="{00000000-0002-0000-0500-000000000000}">
          <x14:formula1>
            <xm:f>MASTER!$H$2:$H$7</xm:f>
          </x14:formula1>
          <xm:sqref>D4:D153</xm:sqref>
        </x14:dataValidation>
        <x14:dataValidation type="list" allowBlank="1" showInputMessage="1" showErrorMessage="1" xr:uid="{096FFD65-91BD-4DC0-8B6A-EC908D7F13A7}">
          <x14:formula1>
            <xm:f>IDENTIFIKASI!$B$3:$B$52</xm:f>
          </x14:formula1>
          <xm:sqref>B4:B153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U52"/>
  <sheetViews>
    <sheetView workbookViewId="0">
      <pane xSplit="2" ySplit="2" topLeftCell="L3" activePane="bottomRight" state="frozen"/>
      <selection pane="topRight"/>
      <selection pane="bottomLeft"/>
      <selection pane="bottomRight" activeCell="Q3" sqref="Q3"/>
    </sheetView>
  </sheetViews>
  <sheetFormatPr defaultRowHeight="14.4" x14ac:dyDescent="0.3"/>
  <cols>
    <col min="1" max="1" width="18" customWidth="1"/>
    <col min="2" max="2" width="36" customWidth="1"/>
    <col min="3" max="4" width="16" customWidth="1"/>
    <col min="5" max="6" width="14" customWidth="1"/>
    <col min="7" max="8" width="10" customWidth="1"/>
    <col min="9" max="10" width="14" customWidth="1"/>
    <col min="11" max="11" width="40" customWidth="1"/>
    <col min="12" max="12" width="14" customWidth="1"/>
    <col min="13" max="13" width="16" customWidth="1"/>
    <col min="14" max="15" width="14" customWidth="1"/>
    <col min="16" max="16" width="12" customWidth="1"/>
    <col min="17" max="17" width="10" customWidth="1"/>
    <col min="18" max="19" width="14" customWidth="1"/>
    <col min="20" max="20" width="12" customWidth="1"/>
    <col min="21" max="21" width="24" customWidth="1"/>
  </cols>
  <sheetData>
    <row r="1" spans="1:21" ht="28.05" customHeight="1" x14ac:dyDescent="0.3">
      <c r="A1" s="48" t="s">
        <v>291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</row>
    <row r="2" spans="1:21" ht="43.95" customHeight="1" x14ac:dyDescent="0.3">
      <c r="A2" s="14" t="s">
        <v>292</v>
      </c>
      <c r="B2" s="14" t="s">
        <v>273</v>
      </c>
      <c r="C2" s="14" t="s">
        <v>293</v>
      </c>
      <c r="D2" s="14"/>
      <c r="E2" s="14" t="s">
        <v>294</v>
      </c>
      <c r="F2" s="14" t="s">
        <v>295</v>
      </c>
      <c r="G2" s="14" t="s">
        <v>296</v>
      </c>
      <c r="H2" s="14" t="s">
        <v>297</v>
      </c>
      <c r="I2" s="14" t="s">
        <v>298</v>
      </c>
      <c r="J2" s="14" t="s">
        <v>299</v>
      </c>
      <c r="K2" s="14" t="s">
        <v>300</v>
      </c>
      <c r="L2" s="14" t="s">
        <v>301</v>
      </c>
      <c r="M2" s="14" t="s">
        <v>302</v>
      </c>
      <c r="N2" s="14" t="s">
        <v>303</v>
      </c>
      <c r="O2" s="14" t="s">
        <v>304</v>
      </c>
      <c r="P2" s="14" t="s">
        <v>305</v>
      </c>
      <c r="Q2" s="14" t="s">
        <v>306</v>
      </c>
      <c r="R2" s="14" t="s">
        <v>307</v>
      </c>
      <c r="S2" s="14" t="s">
        <v>308</v>
      </c>
      <c r="T2" s="14" t="s">
        <v>309</v>
      </c>
      <c r="U2" s="14" t="s">
        <v>277</v>
      </c>
    </row>
    <row r="3" spans="1:21" ht="19.95" customHeight="1" x14ac:dyDescent="0.3">
      <c r="A3" s="5" t="s">
        <v>2226</v>
      </c>
      <c r="B3" s="7" t="str">
        <f>IFERROR(_xlfn.XLOOKUP(A3,IDENTIFIKASI!$B:$B,IDENTIFIKASI!$G:$G),"")</f>
        <v>Pernyataan 1</v>
      </c>
      <c r="C3" s="7" t="str">
        <f>IFERROR(_xlfn.XLOOKUP(A3,IDENTIFIKASI!$B:$B,IDENTIFIKASI!$H:$H),"")</f>
        <v>Kebijakan</v>
      </c>
      <c r="D3" s="59" t="str">
        <f>_xlfn.XLOOKUP(A3,IDENTIFIKASI!$B$3:$B$150,IDENTIFIKASI!$C$3:$C$150)</f>
        <v>MA-01.01</v>
      </c>
      <c r="E3" s="5">
        <v>4</v>
      </c>
      <c r="F3" s="5">
        <v>5</v>
      </c>
      <c r="G3" s="7" cm="1">
        <f t="array" ref="G3">IF(OR(E3="", F3=""), "", INDEX({9,15,18,23,25;6,12,16,19,24;4,8,14,17,22;2,7,10,13,21;1,3,5,11,20}, 6-E3, F3))</f>
        <v>24</v>
      </c>
      <c r="H3" s="7">
        <f>IF(G3="","",_xlfn.IFS(G3&gt;=20,5,G3&gt;=16,4,G3&gt;=11,3,G3&gt;=6,2,G3&gt;0,1,TRUE,""))</f>
        <v>5</v>
      </c>
      <c r="I3" s="7" t="str">
        <f>IFERROR(INDEX({"","Sangat Rendah","Rendah","Sedang","Tinggi","Sangat Tinggi"},H3+1),"")</f>
        <v>Sangat Tinggi</v>
      </c>
      <c r="J3" s="5" t="s">
        <v>2228</v>
      </c>
      <c r="K3" s="5" t="str">
        <f>_xlfn.XLOOKUP(A3,PENYEBAB!$B$4:$B$153,PENYEBAB!$L$4:$L$153)</f>
        <v>Pengendalian Eksisting 1</v>
      </c>
      <c r="L3" s="5" t="s">
        <v>2229</v>
      </c>
      <c r="M3" s="5" t="s">
        <v>2230</v>
      </c>
      <c r="N3" s="5">
        <v>4</v>
      </c>
      <c r="O3" s="5">
        <v>4</v>
      </c>
      <c r="P3" s="7" cm="1">
        <f t="array" ref="P3">IF(OR(N3="", O3=""), "", INDEX({9,15,18,23,25;6,12,16,19,24;4,8,14,17,22;2,7,10,13,21;1,3,5,11,20}, 6-N3, O3))</f>
        <v>19</v>
      </c>
      <c r="Q3" s="7">
        <f>IF(P3="","",_xlfn.IFS(P3&gt;=20,5,P3&gt;=16,4,P3&gt;=11,3,P3&gt;=6,2,P3&gt;0,1,TRUE,""))</f>
        <v>4</v>
      </c>
      <c r="R3" s="7" t="str">
        <f>IFERROR(INDEX({"","Sangat Rendah","Rendah","Sedang","Tinggi","Sangat Tinggi"},Q3+1),"")</f>
        <v>Tinggi</v>
      </c>
      <c r="S3" s="7">
        <f>IFERROR(_xlfn.XLOOKUP(C3,SELERA_RISIKO!$C$5:$C$11,SELERA_RISIKO!$D$5:$D$11),"")</f>
        <v>3</v>
      </c>
      <c r="T3" s="7" t="str">
        <f t="shared" ref="T3:T34" si="0">IF(AND(Q3&lt;&gt;"",S3&lt;&gt;""),IF(Q3&gt;S3,"YA ⚠","tidak"),"")</f>
        <v>YA ⚠</v>
      </c>
      <c r="U3" s="5" t="s">
        <v>2225</v>
      </c>
    </row>
    <row r="4" spans="1:21" ht="19.95" customHeight="1" x14ac:dyDescent="0.3">
      <c r="A4" s="5"/>
      <c r="B4" s="7" t="str">
        <f ca="1">IFERROR(_xludf.XLOOKUP(A4,IDENTIFIKASI!$B:$B,IDENTIFIKASI!$G:$G),"")</f>
        <v/>
      </c>
      <c r="C4" s="7" t="str">
        <f ca="1">IFERROR(_xludf.XLOOKUP(A4,IDENTIFIKASI!$B:$B,IDENTIFIKASI!$H:$H),"")</f>
        <v/>
      </c>
      <c r="D4" s="59"/>
      <c r="E4" s="5"/>
      <c r="F4" s="5"/>
      <c r="G4" s="7" t="str" cm="1">
        <f t="array" ref="G4">IF(OR(E4="", F4=""), "", INDEX({9,15,18,23,25;6,12,16,19,24;4,8,14,17,22;2,7,10,13,21;1,3,5,11,20}, 6-E4, F4))</f>
        <v/>
      </c>
      <c r="H4" s="7" t="str">
        <f>IF(G4="","",_xludf.IFS(G4&gt;=20,5,G4&gt;=16,4,G4&gt;=11,3,G4&gt;=6,2,G4&gt;0,1,TRUE,""))</f>
        <v/>
      </c>
      <c r="I4" s="7" t="str">
        <f>IFERROR(INDEX({"","Sangat Rendah","Rendah","Sedang","Tinggi","Sangat Tinggi"},H4+1),"")</f>
        <v/>
      </c>
      <c r="J4" s="5"/>
      <c r="K4" s="5"/>
      <c r="L4" s="5"/>
      <c r="M4" s="5"/>
      <c r="N4" s="5"/>
      <c r="O4" s="5"/>
      <c r="P4" s="7" t="str" cm="1">
        <f t="array" ref="P4">IF(OR(N4="", O4=""), "", INDEX({9,15,18,23,25;6,12,16,19,24;4,8,14,17,22;2,7,10,13,21;1,3,5,11,20}, 6-N4, O4))</f>
        <v/>
      </c>
      <c r="Q4" s="7" t="str">
        <f>IF(P4="","",_xludf.IFS(P4&gt;=20,5,P4&gt;=16,4,P4&gt;=11,3,P4&gt;=6,2,P4&gt;0,1,TRUE,""))</f>
        <v/>
      </c>
      <c r="R4" s="7" t="str">
        <f>IFERROR(INDEX({"","Sangat Rendah","Rendah","Sedang","Tinggi","Sangat Tinggi"},Q4+1),"")</f>
        <v/>
      </c>
      <c r="S4" s="7" t="str">
        <f ca="1">IFERROR(_xludf.XLOOKUP(C4,SELERA_RISIKO!$C$5:$C$11,SELERA_RISIKO!$D$5:$D$11),"")</f>
        <v/>
      </c>
      <c r="T4" s="7" t="str">
        <f t="shared" ca="1" si="0"/>
        <v/>
      </c>
      <c r="U4" s="5"/>
    </row>
    <row r="5" spans="1:21" ht="19.95" customHeight="1" x14ac:dyDescent="0.3">
      <c r="A5" s="5"/>
      <c r="B5" s="7" t="str">
        <f ca="1">IFERROR(_xludf.XLOOKUP(A5,IDENTIFIKASI!$B:$B,IDENTIFIKASI!$G:$G),"")</f>
        <v/>
      </c>
      <c r="C5" s="7" t="str">
        <f ca="1">IFERROR(_xludf.XLOOKUP(A5,IDENTIFIKASI!$B:$B,IDENTIFIKASI!$H:$H),"")</f>
        <v/>
      </c>
      <c r="D5" s="59"/>
      <c r="E5" s="5"/>
      <c r="F5" s="5"/>
      <c r="G5" s="7" t="str" cm="1">
        <f t="array" ref="G5">IF(OR(E5="", F5=""), "", INDEX({9,15,18,23,25;6,12,16,19,24;4,8,14,17,22;2,7,10,13,21;1,3,5,11,20}, 6-E5, F5))</f>
        <v/>
      </c>
      <c r="H5" s="7" t="str">
        <f>IF(G5="","",_xludf.IFS(G5&gt;=20,5,G5&gt;=16,4,G5&gt;=11,3,G5&gt;=6,2,G5&gt;0,1,TRUE,""))</f>
        <v/>
      </c>
      <c r="I5" s="7" t="str">
        <f>IFERROR(INDEX({"","Sangat Rendah","Rendah","Sedang","Tinggi","Sangat Tinggi"},H5+1),"")</f>
        <v/>
      </c>
      <c r="J5" s="5"/>
      <c r="K5" s="5"/>
      <c r="L5" s="5"/>
      <c r="M5" s="5"/>
      <c r="N5" s="5"/>
      <c r="O5" s="5"/>
      <c r="P5" s="7" t="str" cm="1">
        <f t="array" ref="P5">IF(OR(N5="", O5=""), "", INDEX({9,15,18,23,25;6,12,16,19,24;4,8,14,17,22;2,7,10,13,21;1,3,5,11,20}, 6-N5, O5))</f>
        <v/>
      </c>
      <c r="Q5" s="7" t="str">
        <f>IF(P5="","",_xludf.IFS(P5&gt;=20,5,P5&gt;=16,4,P5&gt;=11,3,P5&gt;=6,2,P5&gt;0,1,TRUE,""))</f>
        <v/>
      </c>
      <c r="R5" s="7" t="str">
        <f>IFERROR(INDEX({"","Sangat Rendah","Rendah","Sedang","Tinggi","Sangat Tinggi"},Q5+1),"")</f>
        <v/>
      </c>
      <c r="S5" s="7" t="str">
        <f ca="1">IFERROR(_xludf.XLOOKUP(C5,SELERA_RISIKO!$C$5:$C$11,SELERA_RISIKO!$D$5:$D$11),"")</f>
        <v/>
      </c>
      <c r="T5" s="7" t="str">
        <f t="shared" ca="1" si="0"/>
        <v/>
      </c>
      <c r="U5" s="5"/>
    </row>
    <row r="6" spans="1:21" ht="19.95" customHeight="1" x14ac:dyDescent="0.3">
      <c r="A6" s="5"/>
      <c r="B6" s="7" t="str">
        <f ca="1">IFERROR(_xludf.XLOOKUP(A6,IDENTIFIKASI!$B:$B,IDENTIFIKASI!$G:$G),"")</f>
        <v/>
      </c>
      <c r="C6" s="7" t="str">
        <f ca="1">IFERROR(_xludf.XLOOKUP(A6,IDENTIFIKASI!$B:$B,IDENTIFIKASI!$H:$H),"")</f>
        <v/>
      </c>
      <c r="D6" s="59"/>
      <c r="E6" s="5"/>
      <c r="F6" s="5"/>
      <c r="G6" s="7" t="str" cm="1">
        <f t="array" ref="G6">IF(OR(E6="", F6=""), "", INDEX({9,15,18,23,25;6,12,16,19,24;4,8,14,17,22;2,7,10,13,21;1,3,5,11,20}, 6-E6, F6))</f>
        <v/>
      </c>
      <c r="H6" s="7" t="str">
        <f>IF(G6="","",_xludf.IFS(G6&gt;=20,5,G6&gt;=16,4,G6&gt;=11,3,G6&gt;=6,2,G6&gt;0,1,TRUE,""))</f>
        <v/>
      </c>
      <c r="I6" s="7" t="str">
        <f>IFERROR(INDEX({"","Sangat Rendah","Rendah","Sedang","Tinggi","Sangat Tinggi"},H6+1),"")</f>
        <v/>
      </c>
      <c r="J6" s="5"/>
      <c r="K6" s="5"/>
      <c r="L6" s="5"/>
      <c r="M6" s="5"/>
      <c r="N6" s="5"/>
      <c r="O6" s="5"/>
      <c r="P6" s="7" t="str" cm="1">
        <f t="array" ref="P6">IF(OR(N6="", O6=""), "", INDEX({9,15,18,23,25;6,12,16,19,24;4,8,14,17,22;2,7,10,13,21;1,3,5,11,20}, 6-N6, O6))</f>
        <v/>
      </c>
      <c r="Q6" s="7" t="str">
        <f>IF(P6="","",_xludf.IFS(P6&gt;=20,5,P6&gt;=16,4,P6&gt;=11,3,P6&gt;=6,2,P6&gt;0,1,TRUE,""))</f>
        <v/>
      </c>
      <c r="R6" s="7" t="str">
        <f>IFERROR(INDEX({"","Sangat Rendah","Rendah","Sedang","Tinggi","Sangat Tinggi"},Q6+1),"")</f>
        <v/>
      </c>
      <c r="S6" s="7" t="str">
        <f ca="1">IFERROR(_xludf.XLOOKUP(C6,SELERA_RISIKO!$C$5:$C$11,SELERA_RISIKO!$D$5:$D$11),"")</f>
        <v/>
      </c>
      <c r="T6" s="7" t="str">
        <f t="shared" ca="1" si="0"/>
        <v/>
      </c>
      <c r="U6" s="5"/>
    </row>
    <row r="7" spans="1:21" ht="19.95" customHeight="1" x14ac:dyDescent="0.3">
      <c r="A7" s="5"/>
      <c r="B7" s="7" t="str">
        <f ca="1">IFERROR(_xludf.XLOOKUP(A7,IDENTIFIKASI!$B:$B,IDENTIFIKASI!$G:$G),"")</f>
        <v/>
      </c>
      <c r="C7" s="7" t="str">
        <f ca="1">IFERROR(_xludf.XLOOKUP(A7,IDENTIFIKASI!$B:$B,IDENTIFIKASI!$H:$H),"")</f>
        <v/>
      </c>
      <c r="D7" s="59"/>
      <c r="E7" s="5"/>
      <c r="F7" s="5"/>
      <c r="G7" s="7" t="str" cm="1">
        <f t="array" ref="G7">IF(OR(E7="", F7=""), "", INDEX({9,15,18,23,25;6,12,16,19,24;4,8,14,17,22;2,7,10,13,21;1,3,5,11,20}, 6-E7, F7))</f>
        <v/>
      </c>
      <c r="H7" s="7" t="str">
        <f>IF(G7="","",_xludf.IFS(G7&gt;=20,5,G7&gt;=16,4,G7&gt;=11,3,G7&gt;=6,2,G7&gt;0,1,TRUE,""))</f>
        <v/>
      </c>
      <c r="I7" s="7" t="str">
        <f>IFERROR(INDEX({"","Sangat Rendah","Rendah","Sedang","Tinggi","Sangat Tinggi"},H7+1),"")</f>
        <v/>
      </c>
      <c r="J7" s="5"/>
      <c r="K7" s="5"/>
      <c r="L7" s="5"/>
      <c r="M7" s="5"/>
      <c r="N7" s="5"/>
      <c r="O7" s="5"/>
      <c r="P7" s="7" t="str" cm="1">
        <f t="array" ref="P7">IF(OR(N7="", O7=""), "", INDEX({9,15,18,23,25;6,12,16,19,24;4,8,14,17,22;2,7,10,13,21;1,3,5,11,20}, 6-N7, O7))</f>
        <v/>
      </c>
      <c r="Q7" s="7" t="str">
        <f>IF(P7="","",_xludf.IFS(P7&gt;=20,5,P7&gt;=16,4,P7&gt;=11,3,P7&gt;=6,2,P7&gt;0,1,TRUE,""))</f>
        <v/>
      </c>
      <c r="R7" s="7" t="str">
        <f>IFERROR(INDEX({"","Sangat Rendah","Rendah","Sedang","Tinggi","Sangat Tinggi"},Q7+1),"")</f>
        <v/>
      </c>
      <c r="S7" s="7" t="str">
        <f ca="1">IFERROR(_xludf.XLOOKUP(C7,SELERA_RISIKO!$C$5:$C$11,SELERA_RISIKO!$D$5:$D$11),"")</f>
        <v/>
      </c>
      <c r="T7" s="7" t="str">
        <f t="shared" ca="1" si="0"/>
        <v/>
      </c>
      <c r="U7" s="5"/>
    </row>
    <row r="8" spans="1:21" ht="19.95" customHeight="1" x14ac:dyDescent="0.3">
      <c r="A8" s="5"/>
      <c r="B8" s="7" t="str">
        <f ca="1">IFERROR(_xludf.XLOOKUP(A8,IDENTIFIKASI!$B:$B,IDENTIFIKASI!$G:$G),"")</f>
        <v/>
      </c>
      <c r="C8" s="7" t="str">
        <f ca="1">IFERROR(_xludf.XLOOKUP(A8,IDENTIFIKASI!$B:$B,IDENTIFIKASI!$H:$H),"")</f>
        <v/>
      </c>
      <c r="D8" s="59"/>
      <c r="E8" s="5"/>
      <c r="F8" s="5"/>
      <c r="G8" s="7" t="str" cm="1">
        <f t="array" ref="G8">IF(OR(E8="", F8=""), "", INDEX({9,15,18,23,25;6,12,16,19,24;4,8,14,17,22;2,7,10,13,21;1,3,5,11,20}, 6-E8, F8))</f>
        <v/>
      </c>
      <c r="H8" s="7" t="str">
        <f>IF(G8="","",_xludf.IFS(G8&gt;=20,5,G8&gt;=16,4,G8&gt;=11,3,G8&gt;=6,2,G8&gt;0,1,TRUE,""))</f>
        <v/>
      </c>
      <c r="I8" s="7" t="str">
        <f>IFERROR(INDEX({"","Sangat Rendah","Rendah","Sedang","Tinggi","Sangat Tinggi"},H8+1),"")</f>
        <v/>
      </c>
      <c r="J8" s="5"/>
      <c r="K8" s="5"/>
      <c r="L8" s="5"/>
      <c r="M8" s="5"/>
      <c r="N8" s="5"/>
      <c r="O8" s="5"/>
      <c r="P8" s="7" t="str" cm="1">
        <f t="array" ref="P8">IF(OR(N8="", O8=""), "", INDEX({9,15,18,23,25;6,12,16,19,24;4,8,14,17,22;2,7,10,13,21;1,3,5,11,20}, 6-N8, O8))</f>
        <v/>
      </c>
      <c r="Q8" s="7" t="str">
        <f>IF(P8="","",_xludf.IFS(P8&gt;=20,5,P8&gt;=16,4,P8&gt;=11,3,P8&gt;=6,2,P8&gt;0,1,TRUE,""))</f>
        <v/>
      </c>
      <c r="R8" s="7" t="str">
        <f>IFERROR(INDEX({"","Sangat Rendah","Rendah","Sedang","Tinggi","Sangat Tinggi"},Q8+1),"")</f>
        <v/>
      </c>
      <c r="S8" s="7" t="str">
        <f ca="1">IFERROR(_xludf.XLOOKUP(C8,SELERA_RISIKO!$C$5:$C$11,SELERA_RISIKO!$D$5:$D$11),"")</f>
        <v/>
      </c>
      <c r="T8" s="7" t="str">
        <f t="shared" ca="1" si="0"/>
        <v/>
      </c>
      <c r="U8" s="5"/>
    </row>
    <row r="9" spans="1:21" ht="19.95" customHeight="1" x14ac:dyDescent="0.3">
      <c r="A9" s="5"/>
      <c r="B9" s="7" t="str">
        <f ca="1">IFERROR(_xludf.XLOOKUP(A9,IDENTIFIKASI!$B:$B,IDENTIFIKASI!$G:$G),"")</f>
        <v/>
      </c>
      <c r="C9" s="7" t="str">
        <f ca="1">IFERROR(_xludf.XLOOKUP(A9,IDENTIFIKASI!$B:$B,IDENTIFIKASI!$H:$H),"")</f>
        <v/>
      </c>
      <c r="D9" s="59"/>
      <c r="E9" s="5"/>
      <c r="F9" s="5"/>
      <c r="G9" s="7" t="str" cm="1">
        <f t="array" ref="G9">IF(OR(E9="", F9=""), "", INDEX({9,15,18,23,25;6,12,16,19,24;4,8,14,17,22;2,7,10,13,21;1,3,5,11,20}, 6-E9, F9))</f>
        <v/>
      </c>
      <c r="H9" s="7" t="str">
        <f>IF(G9="","",_xludf.IFS(G9&gt;=20,5,G9&gt;=16,4,G9&gt;=11,3,G9&gt;=6,2,G9&gt;0,1,TRUE,""))</f>
        <v/>
      </c>
      <c r="I9" s="7" t="str">
        <f>IFERROR(INDEX({"","Sangat Rendah","Rendah","Sedang","Tinggi","Sangat Tinggi"},H9+1),"")</f>
        <v/>
      </c>
      <c r="J9" s="5"/>
      <c r="K9" s="5"/>
      <c r="L9" s="5"/>
      <c r="M9" s="5"/>
      <c r="N9" s="5"/>
      <c r="O9" s="5"/>
      <c r="P9" s="7" t="str" cm="1">
        <f t="array" ref="P9">IF(OR(N9="", O9=""), "", INDEX({9,15,18,23,25;6,12,16,19,24;4,8,14,17,22;2,7,10,13,21;1,3,5,11,20}, 6-N9, O9))</f>
        <v/>
      </c>
      <c r="Q9" s="7" t="str">
        <f>IF(P9="","",_xludf.IFS(P9&gt;=20,5,P9&gt;=16,4,P9&gt;=11,3,P9&gt;=6,2,P9&gt;0,1,TRUE,""))</f>
        <v/>
      </c>
      <c r="R9" s="7" t="str">
        <f>IFERROR(INDEX({"","Sangat Rendah","Rendah","Sedang","Tinggi","Sangat Tinggi"},Q9+1),"")</f>
        <v/>
      </c>
      <c r="S9" s="7" t="str">
        <f ca="1">IFERROR(_xludf.XLOOKUP(C9,SELERA_RISIKO!$C$5:$C$11,SELERA_RISIKO!$D$5:$D$11),"")</f>
        <v/>
      </c>
      <c r="T9" s="7" t="str">
        <f t="shared" ca="1" si="0"/>
        <v/>
      </c>
      <c r="U9" s="5"/>
    </row>
    <row r="10" spans="1:21" ht="19.95" customHeight="1" x14ac:dyDescent="0.3">
      <c r="A10" s="5"/>
      <c r="B10" s="7" t="str">
        <f ca="1">IFERROR(_xludf.XLOOKUP(A10,IDENTIFIKASI!$B:$B,IDENTIFIKASI!$G:$G),"")</f>
        <v/>
      </c>
      <c r="C10" s="7" t="str">
        <f ca="1">IFERROR(_xludf.XLOOKUP(A10,IDENTIFIKASI!$B:$B,IDENTIFIKASI!$H:$H),"")</f>
        <v/>
      </c>
      <c r="D10" s="59"/>
      <c r="E10" s="5"/>
      <c r="F10" s="5"/>
      <c r="G10" s="7" t="str" cm="1">
        <f t="array" ref="G10">IF(OR(E10="", F10=""), "", INDEX({9,15,18,23,25;6,12,16,19,24;4,8,14,17,22;2,7,10,13,21;1,3,5,11,20}, 6-E10, F10))</f>
        <v/>
      </c>
      <c r="H10" s="7" t="str">
        <f>IF(G10="","",_xludf.IFS(G10&gt;=20,5,G10&gt;=16,4,G10&gt;=11,3,G10&gt;=6,2,G10&gt;0,1,TRUE,""))</f>
        <v/>
      </c>
      <c r="I10" s="7" t="str">
        <f>IFERROR(INDEX({"","Sangat Rendah","Rendah","Sedang","Tinggi","Sangat Tinggi"},H10+1),"")</f>
        <v/>
      </c>
      <c r="J10" s="5"/>
      <c r="K10" s="5"/>
      <c r="L10" s="5"/>
      <c r="M10" s="5"/>
      <c r="N10" s="5"/>
      <c r="O10" s="5"/>
      <c r="P10" s="7" t="str" cm="1">
        <f t="array" ref="P10">IF(OR(N10="", O10=""), "", INDEX({9,15,18,23,25;6,12,16,19,24;4,8,14,17,22;2,7,10,13,21;1,3,5,11,20}, 6-N10, O10))</f>
        <v/>
      </c>
      <c r="Q10" s="7" t="str">
        <f>IF(P10="","",_xludf.IFS(P10&gt;=20,5,P10&gt;=16,4,P10&gt;=11,3,P10&gt;=6,2,P10&gt;0,1,TRUE,""))</f>
        <v/>
      </c>
      <c r="R10" s="7" t="str">
        <f>IFERROR(INDEX({"","Sangat Rendah","Rendah","Sedang","Tinggi","Sangat Tinggi"},Q10+1),"")</f>
        <v/>
      </c>
      <c r="S10" s="7" t="str">
        <f ca="1">IFERROR(_xludf.XLOOKUP(C10,SELERA_RISIKO!$C$5:$C$11,SELERA_RISIKO!$D$5:$D$11),"")</f>
        <v/>
      </c>
      <c r="T10" s="7" t="str">
        <f t="shared" ca="1" si="0"/>
        <v/>
      </c>
      <c r="U10" s="5"/>
    </row>
    <row r="11" spans="1:21" ht="19.95" customHeight="1" x14ac:dyDescent="0.3">
      <c r="A11" s="5"/>
      <c r="B11" s="7" t="str">
        <f ca="1">IFERROR(_xludf.XLOOKUP(A11,IDENTIFIKASI!$B:$B,IDENTIFIKASI!$G:$G),"")</f>
        <v/>
      </c>
      <c r="C11" s="7" t="str">
        <f ca="1">IFERROR(_xludf.XLOOKUP(A11,IDENTIFIKASI!$B:$B,IDENTIFIKASI!$H:$H),"")</f>
        <v/>
      </c>
      <c r="D11" s="59"/>
      <c r="E11" s="5"/>
      <c r="F11" s="5"/>
      <c r="G11" s="7" t="str" cm="1">
        <f t="array" ref="G11">IF(OR(E11="", F11=""), "", INDEX({9,15,18,23,25;6,12,16,19,24;4,8,14,17,22;2,7,10,13,21;1,3,5,11,20}, 6-E11, F11))</f>
        <v/>
      </c>
      <c r="H11" s="7" t="str">
        <f>IF(G11="","",_xludf.IFS(G11&gt;=20,5,G11&gt;=16,4,G11&gt;=11,3,G11&gt;=6,2,G11&gt;0,1,TRUE,""))</f>
        <v/>
      </c>
      <c r="I11" s="7" t="str">
        <f>IFERROR(INDEX({"","Sangat Rendah","Rendah","Sedang","Tinggi","Sangat Tinggi"},H11+1),"")</f>
        <v/>
      </c>
      <c r="J11" s="5"/>
      <c r="K11" s="5"/>
      <c r="L11" s="5"/>
      <c r="M11" s="5"/>
      <c r="N11" s="5"/>
      <c r="O11" s="5"/>
      <c r="P11" s="7" t="str" cm="1">
        <f t="array" ref="P11">IF(OR(N11="", O11=""), "", INDEX({9,15,18,23,25;6,12,16,19,24;4,8,14,17,22;2,7,10,13,21;1,3,5,11,20}, 6-N11, O11))</f>
        <v/>
      </c>
      <c r="Q11" s="7" t="str">
        <f>IF(P11="","",_xludf.IFS(P11&gt;=20,5,P11&gt;=16,4,P11&gt;=11,3,P11&gt;=6,2,P11&gt;0,1,TRUE,""))</f>
        <v/>
      </c>
      <c r="R11" s="7" t="str">
        <f>IFERROR(INDEX({"","Sangat Rendah","Rendah","Sedang","Tinggi","Sangat Tinggi"},Q11+1),"")</f>
        <v/>
      </c>
      <c r="S11" s="7" t="str">
        <f ca="1">IFERROR(_xludf.XLOOKUP(C11,SELERA_RISIKO!$C$5:$C$11,SELERA_RISIKO!$D$5:$D$11),"")</f>
        <v/>
      </c>
      <c r="T11" s="7" t="str">
        <f t="shared" ca="1" si="0"/>
        <v/>
      </c>
      <c r="U11" s="5"/>
    </row>
    <row r="12" spans="1:21" ht="19.95" customHeight="1" x14ac:dyDescent="0.3">
      <c r="A12" s="5"/>
      <c r="B12" s="7" t="str">
        <f ca="1">IFERROR(_xludf.XLOOKUP(A12,IDENTIFIKASI!$B:$B,IDENTIFIKASI!$G:$G),"")</f>
        <v/>
      </c>
      <c r="C12" s="7" t="str">
        <f ca="1">IFERROR(_xludf.XLOOKUP(A12,IDENTIFIKASI!$B:$B,IDENTIFIKASI!$H:$H),"")</f>
        <v/>
      </c>
      <c r="D12" s="59"/>
      <c r="E12" s="5"/>
      <c r="F12" s="5"/>
      <c r="G12" s="7" t="str" cm="1">
        <f t="array" ref="G12">IF(OR(E12="", F12=""), "", INDEX({9,15,18,23,25;6,12,16,19,24;4,8,14,17,22;2,7,10,13,21;1,3,5,11,20}, 6-E12, F12))</f>
        <v/>
      </c>
      <c r="H12" s="7" t="str">
        <f>IF(G12="","",_xludf.IFS(G12&gt;=20,5,G12&gt;=16,4,G12&gt;=11,3,G12&gt;=6,2,G12&gt;0,1,TRUE,""))</f>
        <v/>
      </c>
      <c r="I12" s="7" t="str">
        <f>IFERROR(INDEX({"","Sangat Rendah","Rendah","Sedang","Tinggi","Sangat Tinggi"},H12+1),"")</f>
        <v/>
      </c>
      <c r="J12" s="5"/>
      <c r="K12" s="5"/>
      <c r="L12" s="5"/>
      <c r="M12" s="5"/>
      <c r="N12" s="5"/>
      <c r="O12" s="5"/>
      <c r="P12" s="7" t="str" cm="1">
        <f t="array" ref="P12">IF(OR(N12="", O12=""), "", INDEX({9,15,18,23,25;6,12,16,19,24;4,8,14,17,22;2,7,10,13,21;1,3,5,11,20}, 6-N12, O12))</f>
        <v/>
      </c>
      <c r="Q12" s="7" t="str">
        <f>IF(P12="","",_xludf.IFS(P12&gt;=20,5,P12&gt;=16,4,P12&gt;=11,3,P12&gt;=6,2,P12&gt;0,1,TRUE,""))</f>
        <v/>
      </c>
      <c r="R12" s="7" t="str">
        <f>IFERROR(INDEX({"","Sangat Rendah","Rendah","Sedang","Tinggi","Sangat Tinggi"},Q12+1),"")</f>
        <v/>
      </c>
      <c r="S12" s="7" t="str">
        <f ca="1">IFERROR(_xludf.XLOOKUP(C12,SELERA_RISIKO!$C$5:$C$11,SELERA_RISIKO!$D$5:$D$11),"")</f>
        <v/>
      </c>
      <c r="T12" s="7" t="str">
        <f t="shared" ca="1" si="0"/>
        <v/>
      </c>
      <c r="U12" s="5"/>
    </row>
    <row r="13" spans="1:21" ht="19.95" customHeight="1" x14ac:dyDescent="0.3">
      <c r="A13" s="5"/>
      <c r="B13" s="7" t="str">
        <f ca="1">IFERROR(_xludf.XLOOKUP(A13,IDENTIFIKASI!$B:$B,IDENTIFIKASI!$G:$G),"")</f>
        <v/>
      </c>
      <c r="C13" s="7" t="str">
        <f ca="1">IFERROR(_xludf.XLOOKUP(A13,IDENTIFIKASI!$B:$B,IDENTIFIKASI!$H:$H),"")</f>
        <v/>
      </c>
      <c r="D13" s="59"/>
      <c r="E13" s="5"/>
      <c r="F13" s="5"/>
      <c r="G13" s="7" t="str" cm="1">
        <f t="array" ref="G13">IF(OR(E13="", F13=""), "", INDEX({9,15,18,23,25;6,12,16,19,24;4,8,14,17,22;2,7,10,13,21;1,3,5,11,20}, 6-E13, F13))</f>
        <v/>
      </c>
      <c r="H13" s="7" t="str">
        <f>IF(G13="","",_xludf.IFS(G13&gt;=20,5,G13&gt;=16,4,G13&gt;=11,3,G13&gt;=6,2,G13&gt;0,1,TRUE,""))</f>
        <v/>
      </c>
      <c r="I13" s="7" t="str">
        <f>IFERROR(INDEX({"","Sangat Rendah","Rendah","Sedang","Tinggi","Sangat Tinggi"},H13+1),"")</f>
        <v/>
      </c>
      <c r="J13" s="5"/>
      <c r="K13" s="5"/>
      <c r="L13" s="5"/>
      <c r="M13" s="5"/>
      <c r="N13" s="5"/>
      <c r="O13" s="5"/>
      <c r="P13" s="7" t="str" cm="1">
        <f t="array" ref="P13">IF(OR(N13="", O13=""), "", INDEX({9,15,18,23,25;6,12,16,19,24;4,8,14,17,22;2,7,10,13,21;1,3,5,11,20}, 6-N13, O13))</f>
        <v/>
      </c>
      <c r="Q13" s="7" t="str">
        <f>IF(P13="","",_xludf.IFS(P13&gt;=20,5,P13&gt;=16,4,P13&gt;=11,3,P13&gt;=6,2,P13&gt;0,1,TRUE,""))</f>
        <v/>
      </c>
      <c r="R13" s="7" t="str">
        <f>IFERROR(INDEX({"","Sangat Rendah","Rendah","Sedang","Tinggi","Sangat Tinggi"},Q13+1),"")</f>
        <v/>
      </c>
      <c r="S13" s="7" t="str">
        <f ca="1">IFERROR(_xludf.XLOOKUP(C13,SELERA_RISIKO!$C$5:$C$11,SELERA_RISIKO!$D$5:$D$11),"")</f>
        <v/>
      </c>
      <c r="T13" s="7" t="str">
        <f t="shared" ca="1" si="0"/>
        <v/>
      </c>
      <c r="U13" s="5"/>
    </row>
    <row r="14" spans="1:21" ht="19.95" customHeight="1" x14ac:dyDescent="0.3">
      <c r="A14" s="5"/>
      <c r="B14" s="7" t="str">
        <f ca="1">IFERROR(_xludf.XLOOKUP(A14,IDENTIFIKASI!$B:$B,IDENTIFIKASI!$G:$G),"")</f>
        <v/>
      </c>
      <c r="C14" s="7" t="str">
        <f ca="1">IFERROR(_xludf.XLOOKUP(A14,IDENTIFIKASI!$B:$B,IDENTIFIKASI!$H:$H),"")</f>
        <v/>
      </c>
      <c r="D14" s="59"/>
      <c r="E14" s="5"/>
      <c r="F14" s="5"/>
      <c r="G14" s="7" t="str" cm="1">
        <f t="array" ref="G14">IF(OR(E14="", F14=""), "", INDEX({9,15,18,23,25;6,12,16,19,24;4,8,14,17,22;2,7,10,13,21;1,3,5,11,20}, 6-E14, F14))</f>
        <v/>
      </c>
      <c r="H14" s="7" t="str">
        <f>IF(G14="","",_xludf.IFS(G14&gt;=20,5,G14&gt;=16,4,G14&gt;=11,3,G14&gt;=6,2,G14&gt;0,1,TRUE,""))</f>
        <v/>
      </c>
      <c r="I14" s="7" t="str">
        <f>IFERROR(INDEX({"","Sangat Rendah","Rendah","Sedang","Tinggi","Sangat Tinggi"},H14+1),"")</f>
        <v/>
      </c>
      <c r="J14" s="5"/>
      <c r="K14" s="5"/>
      <c r="L14" s="5"/>
      <c r="M14" s="5"/>
      <c r="N14" s="5"/>
      <c r="O14" s="5"/>
      <c r="P14" s="7" t="str" cm="1">
        <f t="array" ref="P14">IF(OR(N14="", O14=""), "", INDEX({9,15,18,23,25;6,12,16,19,24;4,8,14,17,22;2,7,10,13,21;1,3,5,11,20}, 6-N14, O14))</f>
        <v/>
      </c>
      <c r="Q14" s="7" t="str">
        <f>IF(P14="","",_xludf.IFS(P14&gt;=20,5,P14&gt;=16,4,P14&gt;=11,3,P14&gt;=6,2,P14&gt;0,1,TRUE,""))</f>
        <v/>
      </c>
      <c r="R14" s="7" t="str">
        <f>IFERROR(INDEX({"","Sangat Rendah","Rendah","Sedang","Tinggi","Sangat Tinggi"},Q14+1),"")</f>
        <v/>
      </c>
      <c r="S14" s="7" t="str">
        <f ca="1">IFERROR(_xludf.XLOOKUP(C14,SELERA_RISIKO!$C$5:$C$11,SELERA_RISIKO!$D$5:$D$11),"")</f>
        <v/>
      </c>
      <c r="T14" s="7" t="str">
        <f t="shared" ca="1" si="0"/>
        <v/>
      </c>
      <c r="U14" s="5"/>
    </row>
    <row r="15" spans="1:21" ht="19.95" customHeight="1" x14ac:dyDescent="0.3">
      <c r="A15" s="5"/>
      <c r="B15" s="7" t="str">
        <f ca="1">IFERROR(_xludf.XLOOKUP(A15,IDENTIFIKASI!$B:$B,IDENTIFIKASI!$G:$G),"")</f>
        <v/>
      </c>
      <c r="C15" s="7" t="str">
        <f ca="1">IFERROR(_xludf.XLOOKUP(A15,IDENTIFIKASI!$B:$B,IDENTIFIKASI!$H:$H),"")</f>
        <v/>
      </c>
      <c r="D15" s="59"/>
      <c r="E15" s="5"/>
      <c r="F15" s="5"/>
      <c r="G15" s="7" t="str" cm="1">
        <f t="array" ref="G15">IF(OR(E15="", F15=""), "", INDEX({9,15,18,23,25;6,12,16,19,24;4,8,14,17,22;2,7,10,13,21;1,3,5,11,20}, 6-E15, F15))</f>
        <v/>
      </c>
      <c r="H15" s="7" t="str">
        <f>IF(G15="","",_xludf.IFS(G15&gt;=20,5,G15&gt;=16,4,G15&gt;=11,3,G15&gt;=6,2,G15&gt;0,1,TRUE,""))</f>
        <v/>
      </c>
      <c r="I15" s="7" t="str">
        <f>IFERROR(INDEX({"","Sangat Rendah","Rendah","Sedang","Tinggi","Sangat Tinggi"},H15+1),"")</f>
        <v/>
      </c>
      <c r="J15" s="5"/>
      <c r="K15" s="5"/>
      <c r="L15" s="5"/>
      <c r="M15" s="5"/>
      <c r="N15" s="5"/>
      <c r="O15" s="5"/>
      <c r="P15" s="7" t="str" cm="1">
        <f t="array" ref="P15">IF(OR(N15="", O15=""), "", INDEX({9,15,18,23,25;6,12,16,19,24;4,8,14,17,22;2,7,10,13,21;1,3,5,11,20}, 6-N15, O15))</f>
        <v/>
      </c>
      <c r="Q15" s="7" t="str">
        <f>IF(P15="","",_xludf.IFS(P15&gt;=20,5,P15&gt;=16,4,P15&gt;=11,3,P15&gt;=6,2,P15&gt;0,1,TRUE,""))</f>
        <v/>
      </c>
      <c r="R15" s="7" t="str">
        <f>IFERROR(INDEX({"","Sangat Rendah","Rendah","Sedang","Tinggi","Sangat Tinggi"},Q15+1),"")</f>
        <v/>
      </c>
      <c r="S15" s="7" t="str">
        <f ca="1">IFERROR(_xludf.XLOOKUP(C15,SELERA_RISIKO!$C$5:$C$11,SELERA_RISIKO!$D$5:$D$11),"")</f>
        <v/>
      </c>
      <c r="T15" s="7" t="str">
        <f t="shared" ca="1" si="0"/>
        <v/>
      </c>
      <c r="U15" s="5"/>
    </row>
    <row r="16" spans="1:21" ht="19.95" customHeight="1" x14ac:dyDescent="0.3">
      <c r="A16" s="5"/>
      <c r="B16" s="7" t="str">
        <f ca="1">IFERROR(_xludf.XLOOKUP(A16,IDENTIFIKASI!$B:$B,IDENTIFIKASI!$G:$G),"")</f>
        <v/>
      </c>
      <c r="C16" s="7" t="str">
        <f ca="1">IFERROR(_xludf.XLOOKUP(A16,IDENTIFIKASI!$B:$B,IDENTIFIKASI!$H:$H),"")</f>
        <v/>
      </c>
      <c r="D16" s="59"/>
      <c r="E16" s="5"/>
      <c r="F16" s="5"/>
      <c r="G16" s="7" t="str" cm="1">
        <f t="array" ref="G16">IF(OR(E16="", F16=""), "", INDEX({9,15,18,23,25;6,12,16,19,24;4,8,14,17,22;2,7,10,13,21;1,3,5,11,20}, 6-E16, F16))</f>
        <v/>
      </c>
      <c r="H16" s="7" t="str">
        <f>IF(G16="","",_xludf.IFS(G16&gt;=20,5,G16&gt;=16,4,G16&gt;=11,3,G16&gt;=6,2,G16&gt;0,1,TRUE,""))</f>
        <v/>
      </c>
      <c r="I16" s="7" t="str">
        <f>IFERROR(INDEX({"","Sangat Rendah","Rendah","Sedang","Tinggi","Sangat Tinggi"},H16+1),"")</f>
        <v/>
      </c>
      <c r="J16" s="5"/>
      <c r="K16" s="5"/>
      <c r="L16" s="5"/>
      <c r="M16" s="5"/>
      <c r="N16" s="5"/>
      <c r="O16" s="5"/>
      <c r="P16" s="7" t="str" cm="1">
        <f t="array" ref="P16">IF(OR(N16="", O16=""), "", INDEX({9,15,18,23,25;6,12,16,19,24;4,8,14,17,22;2,7,10,13,21;1,3,5,11,20}, 6-N16, O16))</f>
        <v/>
      </c>
      <c r="Q16" s="7" t="str">
        <f>IF(P16="","",_xludf.IFS(P16&gt;=20,5,P16&gt;=16,4,P16&gt;=11,3,P16&gt;=6,2,P16&gt;0,1,TRUE,""))</f>
        <v/>
      </c>
      <c r="R16" s="7" t="str">
        <f>IFERROR(INDEX({"","Sangat Rendah","Rendah","Sedang","Tinggi","Sangat Tinggi"},Q16+1),"")</f>
        <v/>
      </c>
      <c r="S16" s="7" t="str">
        <f ca="1">IFERROR(_xludf.XLOOKUP(C16,SELERA_RISIKO!$C$5:$C$11,SELERA_RISIKO!$D$5:$D$11),"")</f>
        <v/>
      </c>
      <c r="T16" s="7" t="str">
        <f t="shared" ca="1" si="0"/>
        <v/>
      </c>
      <c r="U16" s="5"/>
    </row>
    <row r="17" spans="1:21" ht="19.95" customHeight="1" x14ac:dyDescent="0.3">
      <c r="A17" s="5"/>
      <c r="B17" s="7" t="str">
        <f ca="1">IFERROR(_xludf.XLOOKUP(A17,IDENTIFIKASI!$B:$B,IDENTIFIKASI!$G:$G),"")</f>
        <v/>
      </c>
      <c r="C17" s="7" t="str">
        <f ca="1">IFERROR(_xludf.XLOOKUP(A17,IDENTIFIKASI!$B:$B,IDENTIFIKASI!$H:$H),"")</f>
        <v/>
      </c>
      <c r="D17" s="59"/>
      <c r="E17" s="5"/>
      <c r="F17" s="5"/>
      <c r="G17" s="7" t="str" cm="1">
        <f t="array" ref="G17">IF(OR(E17="", F17=""), "", INDEX({9,15,18,23,25;6,12,16,19,24;4,8,14,17,22;2,7,10,13,21;1,3,5,11,20}, 6-E17, F17))</f>
        <v/>
      </c>
      <c r="H17" s="7" t="str">
        <f>IF(G17="","",_xludf.IFS(G17&gt;=20,5,G17&gt;=16,4,G17&gt;=11,3,G17&gt;=6,2,G17&gt;0,1,TRUE,""))</f>
        <v/>
      </c>
      <c r="I17" s="7" t="str">
        <f>IFERROR(INDEX({"","Sangat Rendah","Rendah","Sedang","Tinggi","Sangat Tinggi"},H17+1),"")</f>
        <v/>
      </c>
      <c r="J17" s="5"/>
      <c r="K17" s="5"/>
      <c r="L17" s="5"/>
      <c r="M17" s="5"/>
      <c r="N17" s="5"/>
      <c r="O17" s="5"/>
      <c r="P17" s="7" t="str" cm="1">
        <f t="array" ref="P17">IF(OR(N17="", O17=""), "", INDEX({9,15,18,23,25;6,12,16,19,24;4,8,14,17,22;2,7,10,13,21;1,3,5,11,20}, 6-N17, O17))</f>
        <v/>
      </c>
      <c r="Q17" s="7" t="str">
        <f>IF(P17="","",_xludf.IFS(P17&gt;=20,5,P17&gt;=16,4,P17&gt;=11,3,P17&gt;=6,2,P17&gt;0,1,TRUE,""))</f>
        <v/>
      </c>
      <c r="R17" s="7" t="str">
        <f>IFERROR(INDEX({"","Sangat Rendah","Rendah","Sedang","Tinggi","Sangat Tinggi"},Q17+1),"")</f>
        <v/>
      </c>
      <c r="S17" s="7" t="str">
        <f ca="1">IFERROR(_xludf.XLOOKUP(C17,SELERA_RISIKO!$C$5:$C$11,SELERA_RISIKO!$D$5:$D$11),"")</f>
        <v/>
      </c>
      <c r="T17" s="7" t="str">
        <f t="shared" ca="1" si="0"/>
        <v/>
      </c>
      <c r="U17" s="5"/>
    </row>
    <row r="18" spans="1:21" ht="19.95" customHeight="1" x14ac:dyDescent="0.3">
      <c r="A18" s="5"/>
      <c r="B18" s="7" t="str">
        <f ca="1">IFERROR(_xludf.XLOOKUP(A18,IDENTIFIKASI!$B:$B,IDENTIFIKASI!$G:$G),"")</f>
        <v/>
      </c>
      <c r="C18" s="7" t="str">
        <f ca="1">IFERROR(_xludf.XLOOKUP(A18,IDENTIFIKASI!$B:$B,IDENTIFIKASI!$H:$H),"")</f>
        <v/>
      </c>
      <c r="D18" s="59"/>
      <c r="E18" s="5"/>
      <c r="F18" s="5"/>
      <c r="G18" s="7" t="str" cm="1">
        <f t="array" ref="G18">IF(OR(E18="", F18=""), "", INDEX({9,15,18,23,25;6,12,16,19,24;4,8,14,17,22;2,7,10,13,21;1,3,5,11,20}, 6-E18, F18))</f>
        <v/>
      </c>
      <c r="H18" s="7" t="str">
        <f>IF(G18="","",_xludf.IFS(G18&gt;=20,5,G18&gt;=16,4,G18&gt;=11,3,G18&gt;=6,2,G18&gt;0,1,TRUE,""))</f>
        <v/>
      </c>
      <c r="I18" s="7" t="str">
        <f>IFERROR(INDEX({"","Sangat Rendah","Rendah","Sedang","Tinggi","Sangat Tinggi"},H18+1),"")</f>
        <v/>
      </c>
      <c r="J18" s="5"/>
      <c r="K18" s="5"/>
      <c r="L18" s="5"/>
      <c r="M18" s="5"/>
      <c r="N18" s="5"/>
      <c r="O18" s="5"/>
      <c r="P18" s="7" t="str" cm="1">
        <f t="array" ref="P18">IF(OR(N18="", O18=""), "", INDEX({9,15,18,23,25;6,12,16,19,24;4,8,14,17,22;2,7,10,13,21;1,3,5,11,20}, 6-N18, O18))</f>
        <v/>
      </c>
      <c r="Q18" s="7" t="str">
        <f>IF(P18="","",_xludf.IFS(P18&gt;=20,5,P18&gt;=16,4,P18&gt;=11,3,P18&gt;=6,2,P18&gt;0,1,TRUE,""))</f>
        <v/>
      </c>
      <c r="R18" s="7" t="str">
        <f>IFERROR(INDEX({"","Sangat Rendah","Rendah","Sedang","Tinggi","Sangat Tinggi"},Q18+1),"")</f>
        <v/>
      </c>
      <c r="S18" s="7" t="str">
        <f ca="1">IFERROR(_xludf.XLOOKUP(C18,SELERA_RISIKO!$C$5:$C$11,SELERA_RISIKO!$D$5:$D$11),"")</f>
        <v/>
      </c>
      <c r="T18" s="7" t="str">
        <f t="shared" ca="1" si="0"/>
        <v/>
      </c>
      <c r="U18" s="5"/>
    </row>
    <row r="19" spans="1:21" ht="19.95" customHeight="1" x14ac:dyDescent="0.3">
      <c r="A19" s="5"/>
      <c r="B19" s="7" t="str">
        <f ca="1">IFERROR(_xludf.XLOOKUP(A19,IDENTIFIKASI!$B:$B,IDENTIFIKASI!$G:$G),"")</f>
        <v/>
      </c>
      <c r="C19" s="7" t="str">
        <f ca="1">IFERROR(_xludf.XLOOKUP(A19,IDENTIFIKASI!$B:$B,IDENTIFIKASI!$H:$H),"")</f>
        <v/>
      </c>
      <c r="D19" s="59"/>
      <c r="E19" s="5"/>
      <c r="F19" s="5"/>
      <c r="G19" s="7" t="str" cm="1">
        <f t="array" ref="G19">IF(OR(E19="", F19=""), "", INDEX({9,15,18,23,25;6,12,16,19,24;4,8,14,17,22;2,7,10,13,21;1,3,5,11,20}, 6-E19, F19))</f>
        <v/>
      </c>
      <c r="H19" s="7" t="str">
        <f>IF(G19="","",_xludf.IFS(G19&gt;=20,5,G19&gt;=16,4,G19&gt;=11,3,G19&gt;=6,2,G19&gt;0,1,TRUE,""))</f>
        <v/>
      </c>
      <c r="I19" s="7" t="str">
        <f>IFERROR(INDEX({"","Sangat Rendah","Rendah","Sedang","Tinggi","Sangat Tinggi"},H19+1),"")</f>
        <v/>
      </c>
      <c r="J19" s="5"/>
      <c r="K19" s="5"/>
      <c r="L19" s="5"/>
      <c r="M19" s="5"/>
      <c r="N19" s="5"/>
      <c r="O19" s="5"/>
      <c r="P19" s="7" t="str" cm="1">
        <f t="array" ref="P19">IF(OR(N19="", O19=""), "", INDEX({9,15,18,23,25;6,12,16,19,24;4,8,14,17,22;2,7,10,13,21;1,3,5,11,20}, 6-N19, O19))</f>
        <v/>
      </c>
      <c r="Q19" s="7" t="str">
        <f>IF(P19="","",_xludf.IFS(P19&gt;=20,5,P19&gt;=16,4,P19&gt;=11,3,P19&gt;=6,2,P19&gt;0,1,TRUE,""))</f>
        <v/>
      </c>
      <c r="R19" s="7" t="str">
        <f>IFERROR(INDEX({"","Sangat Rendah","Rendah","Sedang","Tinggi","Sangat Tinggi"},Q19+1),"")</f>
        <v/>
      </c>
      <c r="S19" s="7" t="str">
        <f ca="1">IFERROR(_xludf.XLOOKUP(C19,SELERA_RISIKO!$C$5:$C$11,SELERA_RISIKO!$D$5:$D$11),"")</f>
        <v/>
      </c>
      <c r="T19" s="7" t="str">
        <f t="shared" ca="1" si="0"/>
        <v/>
      </c>
      <c r="U19" s="5"/>
    </row>
    <row r="20" spans="1:21" ht="19.95" customHeight="1" x14ac:dyDescent="0.3">
      <c r="A20" s="5"/>
      <c r="B20" s="7" t="str">
        <f ca="1">IFERROR(_xludf.XLOOKUP(A20,IDENTIFIKASI!$B:$B,IDENTIFIKASI!$G:$G),"")</f>
        <v/>
      </c>
      <c r="C20" s="7" t="str">
        <f ca="1">IFERROR(_xludf.XLOOKUP(A20,IDENTIFIKASI!$B:$B,IDENTIFIKASI!$H:$H),"")</f>
        <v/>
      </c>
      <c r="D20" s="59"/>
      <c r="E20" s="5"/>
      <c r="F20" s="5"/>
      <c r="G20" s="7" t="str" cm="1">
        <f t="array" ref="G20">IF(OR(E20="", F20=""), "", INDEX({9,15,18,23,25;6,12,16,19,24;4,8,14,17,22;2,7,10,13,21;1,3,5,11,20}, 6-E20, F20))</f>
        <v/>
      </c>
      <c r="H20" s="7" t="str">
        <f>IF(G20="","",_xludf.IFS(G20&gt;=20,5,G20&gt;=16,4,G20&gt;=11,3,G20&gt;=6,2,G20&gt;0,1,TRUE,""))</f>
        <v/>
      </c>
      <c r="I20" s="7" t="str">
        <f>IFERROR(INDEX({"","Sangat Rendah","Rendah","Sedang","Tinggi","Sangat Tinggi"},H20+1),"")</f>
        <v/>
      </c>
      <c r="J20" s="5"/>
      <c r="K20" s="5"/>
      <c r="L20" s="5"/>
      <c r="M20" s="5"/>
      <c r="N20" s="5"/>
      <c r="O20" s="5"/>
      <c r="P20" s="7" t="str" cm="1">
        <f t="array" ref="P20">IF(OR(N20="", O20=""), "", INDEX({9,15,18,23,25;6,12,16,19,24;4,8,14,17,22;2,7,10,13,21;1,3,5,11,20}, 6-N20, O20))</f>
        <v/>
      </c>
      <c r="Q20" s="7" t="str">
        <f>IF(P20="","",_xludf.IFS(P20&gt;=20,5,P20&gt;=16,4,P20&gt;=11,3,P20&gt;=6,2,P20&gt;0,1,TRUE,""))</f>
        <v/>
      </c>
      <c r="R20" s="7" t="str">
        <f>IFERROR(INDEX({"","Sangat Rendah","Rendah","Sedang","Tinggi","Sangat Tinggi"},Q20+1),"")</f>
        <v/>
      </c>
      <c r="S20" s="7" t="str">
        <f ca="1">IFERROR(_xludf.XLOOKUP(C20,SELERA_RISIKO!$C$5:$C$11,SELERA_RISIKO!$D$5:$D$11),"")</f>
        <v/>
      </c>
      <c r="T20" s="7" t="str">
        <f t="shared" ca="1" si="0"/>
        <v/>
      </c>
      <c r="U20" s="5"/>
    </row>
    <row r="21" spans="1:21" ht="19.95" customHeight="1" x14ac:dyDescent="0.3">
      <c r="A21" s="5"/>
      <c r="B21" s="7" t="str">
        <f ca="1">IFERROR(_xludf.XLOOKUP(A21,IDENTIFIKASI!$B:$B,IDENTIFIKASI!$G:$G),"")</f>
        <v/>
      </c>
      <c r="C21" s="7" t="str">
        <f ca="1">IFERROR(_xludf.XLOOKUP(A21,IDENTIFIKASI!$B:$B,IDENTIFIKASI!$H:$H),"")</f>
        <v/>
      </c>
      <c r="D21" s="59"/>
      <c r="E21" s="5"/>
      <c r="F21" s="5"/>
      <c r="G21" s="7" t="str" cm="1">
        <f t="array" ref="G21">IF(OR(E21="", F21=""), "", INDEX({9,15,18,23,25;6,12,16,19,24;4,8,14,17,22;2,7,10,13,21;1,3,5,11,20}, 6-E21, F21))</f>
        <v/>
      </c>
      <c r="H21" s="7" t="str">
        <f>IF(G21="","",_xludf.IFS(G21&gt;=20,5,G21&gt;=16,4,G21&gt;=11,3,G21&gt;=6,2,G21&gt;0,1,TRUE,""))</f>
        <v/>
      </c>
      <c r="I21" s="7" t="str">
        <f>IFERROR(INDEX({"","Sangat Rendah","Rendah","Sedang","Tinggi","Sangat Tinggi"},H21+1),"")</f>
        <v/>
      </c>
      <c r="J21" s="5"/>
      <c r="K21" s="5"/>
      <c r="L21" s="5"/>
      <c r="M21" s="5"/>
      <c r="N21" s="5"/>
      <c r="O21" s="5"/>
      <c r="P21" s="7" t="str" cm="1">
        <f t="array" ref="P21">IF(OR(N21="", O21=""), "", INDEX({9,15,18,23,25;6,12,16,19,24;4,8,14,17,22;2,7,10,13,21;1,3,5,11,20}, 6-N21, O21))</f>
        <v/>
      </c>
      <c r="Q21" s="7" t="str">
        <f>IF(P21="","",_xludf.IFS(P21&gt;=20,5,P21&gt;=16,4,P21&gt;=11,3,P21&gt;=6,2,P21&gt;0,1,TRUE,""))</f>
        <v/>
      </c>
      <c r="R21" s="7" t="str">
        <f>IFERROR(INDEX({"","Sangat Rendah","Rendah","Sedang","Tinggi","Sangat Tinggi"},Q21+1),"")</f>
        <v/>
      </c>
      <c r="S21" s="7" t="str">
        <f ca="1">IFERROR(_xludf.XLOOKUP(C21,SELERA_RISIKO!$C$5:$C$11,SELERA_RISIKO!$D$5:$D$11),"")</f>
        <v/>
      </c>
      <c r="T21" s="7" t="str">
        <f t="shared" ca="1" si="0"/>
        <v/>
      </c>
      <c r="U21" s="5"/>
    </row>
    <row r="22" spans="1:21" ht="19.95" customHeight="1" x14ac:dyDescent="0.3">
      <c r="A22" s="5"/>
      <c r="B22" s="7" t="str">
        <f ca="1">IFERROR(_xludf.XLOOKUP(A22,IDENTIFIKASI!$B:$B,IDENTIFIKASI!$G:$G),"")</f>
        <v/>
      </c>
      <c r="C22" s="7" t="str">
        <f ca="1">IFERROR(_xludf.XLOOKUP(A22,IDENTIFIKASI!$B:$B,IDENTIFIKASI!$H:$H),"")</f>
        <v/>
      </c>
      <c r="D22" s="59"/>
      <c r="E22" s="5"/>
      <c r="F22" s="5"/>
      <c r="G22" s="7" t="str" cm="1">
        <f t="array" ref="G22">IF(OR(E22="", F22=""), "", INDEX({9,15,18,23,25;6,12,16,19,24;4,8,14,17,22;2,7,10,13,21;1,3,5,11,20}, 6-E22, F22))</f>
        <v/>
      </c>
      <c r="H22" s="7" t="str">
        <f>IF(G22="","",_xludf.IFS(G22&gt;=20,5,G22&gt;=16,4,G22&gt;=11,3,G22&gt;=6,2,G22&gt;0,1,TRUE,""))</f>
        <v/>
      </c>
      <c r="I22" s="7" t="str">
        <f>IFERROR(INDEX({"","Sangat Rendah","Rendah","Sedang","Tinggi","Sangat Tinggi"},H22+1),"")</f>
        <v/>
      </c>
      <c r="J22" s="5"/>
      <c r="K22" s="5"/>
      <c r="L22" s="5"/>
      <c r="M22" s="5"/>
      <c r="N22" s="5"/>
      <c r="O22" s="5"/>
      <c r="P22" s="7" t="str" cm="1">
        <f t="array" ref="P22">IF(OR(N22="", O22=""), "", INDEX({9,15,18,23,25;6,12,16,19,24;4,8,14,17,22;2,7,10,13,21;1,3,5,11,20}, 6-N22, O22))</f>
        <v/>
      </c>
      <c r="Q22" s="7" t="str">
        <f>IF(P22="","",_xludf.IFS(P22&gt;=20,5,P22&gt;=16,4,P22&gt;=11,3,P22&gt;=6,2,P22&gt;0,1,TRUE,""))</f>
        <v/>
      </c>
      <c r="R22" s="7" t="str">
        <f>IFERROR(INDEX({"","Sangat Rendah","Rendah","Sedang","Tinggi","Sangat Tinggi"},Q22+1),"")</f>
        <v/>
      </c>
      <c r="S22" s="7" t="str">
        <f ca="1">IFERROR(_xludf.XLOOKUP(C22,SELERA_RISIKO!$C$5:$C$11,SELERA_RISIKO!$D$5:$D$11),"")</f>
        <v/>
      </c>
      <c r="T22" s="7" t="str">
        <f t="shared" ca="1" si="0"/>
        <v/>
      </c>
      <c r="U22" s="5"/>
    </row>
    <row r="23" spans="1:21" ht="19.95" customHeight="1" x14ac:dyDescent="0.3">
      <c r="A23" s="5"/>
      <c r="B23" s="7" t="str">
        <f ca="1">IFERROR(_xludf.XLOOKUP(A23,IDENTIFIKASI!$B:$B,IDENTIFIKASI!$G:$G),"")</f>
        <v/>
      </c>
      <c r="C23" s="7" t="str">
        <f ca="1">IFERROR(_xludf.XLOOKUP(A23,IDENTIFIKASI!$B:$B,IDENTIFIKASI!$H:$H),"")</f>
        <v/>
      </c>
      <c r="D23" s="59"/>
      <c r="E23" s="5"/>
      <c r="F23" s="5"/>
      <c r="G23" s="7" t="str" cm="1">
        <f t="array" ref="G23">IF(OR(E23="", F23=""), "", INDEX({9,15,18,23,25;6,12,16,19,24;4,8,14,17,22;2,7,10,13,21;1,3,5,11,20}, 6-E23, F23))</f>
        <v/>
      </c>
      <c r="H23" s="7" t="str">
        <f>IF(G23="","",_xludf.IFS(G23&gt;=20,5,G23&gt;=16,4,G23&gt;=11,3,G23&gt;=6,2,G23&gt;0,1,TRUE,""))</f>
        <v/>
      </c>
      <c r="I23" s="7" t="str">
        <f>IFERROR(INDEX({"","Sangat Rendah","Rendah","Sedang","Tinggi","Sangat Tinggi"},H23+1),"")</f>
        <v/>
      </c>
      <c r="J23" s="5"/>
      <c r="K23" s="5"/>
      <c r="L23" s="5"/>
      <c r="M23" s="5"/>
      <c r="N23" s="5"/>
      <c r="O23" s="5"/>
      <c r="P23" s="7" t="str" cm="1">
        <f t="array" ref="P23">IF(OR(N23="", O23=""), "", INDEX({9,15,18,23,25;6,12,16,19,24;4,8,14,17,22;2,7,10,13,21;1,3,5,11,20}, 6-N23, O23))</f>
        <v/>
      </c>
      <c r="Q23" s="7" t="str">
        <f>IF(P23="","",_xludf.IFS(P23&gt;=20,5,P23&gt;=16,4,P23&gt;=11,3,P23&gt;=6,2,P23&gt;0,1,TRUE,""))</f>
        <v/>
      </c>
      <c r="R23" s="7" t="str">
        <f>IFERROR(INDEX({"","Sangat Rendah","Rendah","Sedang","Tinggi","Sangat Tinggi"},Q23+1),"")</f>
        <v/>
      </c>
      <c r="S23" s="7" t="str">
        <f ca="1">IFERROR(_xludf.XLOOKUP(C23,SELERA_RISIKO!$C$5:$C$11,SELERA_RISIKO!$D$5:$D$11),"")</f>
        <v/>
      </c>
      <c r="T23" s="7" t="str">
        <f t="shared" ca="1" si="0"/>
        <v/>
      </c>
      <c r="U23" s="5"/>
    </row>
    <row r="24" spans="1:21" ht="19.95" customHeight="1" x14ac:dyDescent="0.3">
      <c r="A24" s="5"/>
      <c r="B24" s="7" t="str">
        <f ca="1">IFERROR(_xludf.XLOOKUP(A24,IDENTIFIKASI!$B:$B,IDENTIFIKASI!$G:$G),"")</f>
        <v/>
      </c>
      <c r="C24" s="7" t="str">
        <f ca="1">IFERROR(_xludf.XLOOKUP(A24,IDENTIFIKASI!$B:$B,IDENTIFIKASI!$H:$H),"")</f>
        <v/>
      </c>
      <c r="D24" s="59"/>
      <c r="E24" s="5"/>
      <c r="F24" s="5"/>
      <c r="G24" s="7" t="str" cm="1">
        <f t="array" ref="G24">IF(OR(E24="", F24=""), "", INDEX({9,15,18,23,25;6,12,16,19,24;4,8,14,17,22;2,7,10,13,21;1,3,5,11,20}, 6-E24, F24))</f>
        <v/>
      </c>
      <c r="H24" s="7" t="str">
        <f>IF(G24="","",_xludf.IFS(G24&gt;=20,5,G24&gt;=16,4,G24&gt;=11,3,G24&gt;=6,2,G24&gt;0,1,TRUE,""))</f>
        <v/>
      </c>
      <c r="I24" s="7" t="str">
        <f>IFERROR(INDEX({"","Sangat Rendah","Rendah","Sedang","Tinggi","Sangat Tinggi"},H24+1),"")</f>
        <v/>
      </c>
      <c r="J24" s="5"/>
      <c r="K24" s="5"/>
      <c r="L24" s="5"/>
      <c r="M24" s="5"/>
      <c r="N24" s="5"/>
      <c r="O24" s="5"/>
      <c r="P24" s="7" t="str" cm="1">
        <f t="array" ref="P24">IF(OR(N24="", O24=""), "", INDEX({9,15,18,23,25;6,12,16,19,24;4,8,14,17,22;2,7,10,13,21;1,3,5,11,20}, 6-N24, O24))</f>
        <v/>
      </c>
      <c r="Q24" s="7" t="str">
        <f>IF(P24="","",_xludf.IFS(P24&gt;=20,5,P24&gt;=16,4,P24&gt;=11,3,P24&gt;=6,2,P24&gt;0,1,TRUE,""))</f>
        <v/>
      </c>
      <c r="R24" s="7" t="str">
        <f>IFERROR(INDEX({"","Sangat Rendah","Rendah","Sedang","Tinggi","Sangat Tinggi"},Q24+1),"")</f>
        <v/>
      </c>
      <c r="S24" s="7" t="str">
        <f ca="1">IFERROR(_xludf.XLOOKUP(C24,SELERA_RISIKO!$C$5:$C$11,SELERA_RISIKO!$D$5:$D$11),"")</f>
        <v/>
      </c>
      <c r="T24" s="7" t="str">
        <f t="shared" ca="1" si="0"/>
        <v/>
      </c>
      <c r="U24" s="5"/>
    </row>
    <row r="25" spans="1:21" ht="19.95" customHeight="1" x14ac:dyDescent="0.3">
      <c r="A25" s="5"/>
      <c r="B25" s="7" t="str">
        <f ca="1">IFERROR(_xludf.XLOOKUP(A25,IDENTIFIKASI!$B:$B,IDENTIFIKASI!$G:$G),"")</f>
        <v/>
      </c>
      <c r="C25" s="7" t="str">
        <f ca="1">IFERROR(_xludf.XLOOKUP(A25,IDENTIFIKASI!$B:$B,IDENTIFIKASI!$H:$H),"")</f>
        <v/>
      </c>
      <c r="D25" s="59"/>
      <c r="E25" s="5"/>
      <c r="F25" s="5"/>
      <c r="G25" s="7" t="str" cm="1">
        <f t="array" ref="G25">IF(OR(E25="", F25=""), "", INDEX({9,15,18,23,25;6,12,16,19,24;4,8,14,17,22;2,7,10,13,21;1,3,5,11,20}, 6-E25, F25))</f>
        <v/>
      </c>
      <c r="H25" s="7" t="str">
        <f>IF(G25="","",_xludf.IFS(G25&gt;=20,5,G25&gt;=16,4,G25&gt;=11,3,G25&gt;=6,2,G25&gt;0,1,TRUE,""))</f>
        <v/>
      </c>
      <c r="I25" s="7" t="str">
        <f>IFERROR(INDEX({"","Sangat Rendah","Rendah","Sedang","Tinggi","Sangat Tinggi"},H25+1),"")</f>
        <v/>
      </c>
      <c r="J25" s="5"/>
      <c r="K25" s="5"/>
      <c r="L25" s="5"/>
      <c r="M25" s="5"/>
      <c r="N25" s="5"/>
      <c r="O25" s="5"/>
      <c r="P25" s="7" t="str" cm="1">
        <f t="array" ref="P25">IF(OR(N25="", O25=""), "", INDEX({9,15,18,23,25;6,12,16,19,24;4,8,14,17,22;2,7,10,13,21;1,3,5,11,20}, 6-N25, O25))</f>
        <v/>
      </c>
      <c r="Q25" s="7" t="str">
        <f>IF(P25="","",_xludf.IFS(P25&gt;=20,5,P25&gt;=16,4,P25&gt;=11,3,P25&gt;=6,2,P25&gt;0,1,TRUE,""))</f>
        <v/>
      </c>
      <c r="R25" s="7" t="str">
        <f>IFERROR(INDEX({"","Sangat Rendah","Rendah","Sedang","Tinggi","Sangat Tinggi"},Q25+1),"")</f>
        <v/>
      </c>
      <c r="S25" s="7" t="str">
        <f ca="1">IFERROR(_xludf.XLOOKUP(C25,SELERA_RISIKO!$C$5:$C$11,SELERA_RISIKO!$D$5:$D$11),"")</f>
        <v/>
      </c>
      <c r="T25" s="7" t="str">
        <f t="shared" ca="1" si="0"/>
        <v/>
      </c>
      <c r="U25" s="5"/>
    </row>
    <row r="26" spans="1:21" ht="19.95" customHeight="1" x14ac:dyDescent="0.3">
      <c r="A26" s="5"/>
      <c r="B26" s="7" t="str">
        <f ca="1">IFERROR(_xludf.XLOOKUP(A26,IDENTIFIKASI!$B:$B,IDENTIFIKASI!$G:$G),"")</f>
        <v/>
      </c>
      <c r="C26" s="7" t="str">
        <f ca="1">IFERROR(_xludf.XLOOKUP(A26,IDENTIFIKASI!$B:$B,IDENTIFIKASI!$H:$H),"")</f>
        <v/>
      </c>
      <c r="D26" s="59"/>
      <c r="E26" s="5"/>
      <c r="F26" s="5"/>
      <c r="G26" s="7" t="str" cm="1">
        <f t="array" ref="G26">IF(OR(E26="", F26=""), "", INDEX({9,15,18,23,25;6,12,16,19,24;4,8,14,17,22;2,7,10,13,21;1,3,5,11,20}, 6-E26, F26))</f>
        <v/>
      </c>
      <c r="H26" s="7" t="str">
        <f>IF(G26="","",_xludf.IFS(G26&gt;=20,5,G26&gt;=16,4,G26&gt;=11,3,G26&gt;=6,2,G26&gt;0,1,TRUE,""))</f>
        <v/>
      </c>
      <c r="I26" s="7" t="str">
        <f>IFERROR(INDEX({"","Sangat Rendah","Rendah","Sedang","Tinggi","Sangat Tinggi"},H26+1),"")</f>
        <v/>
      </c>
      <c r="J26" s="5"/>
      <c r="K26" s="5"/>
      <c r="L26" s="5"/>
      <c r="M26" s="5"/>
      <c r="N26" s="5"/>
      <c r="O26" s="5"/>
      <c r="P26" s="7" t="str" cm="1">
        <f t="array" ref="P26">IF(OR(N26="", O26=""), "", INDEX({9,15,18,23,25;6,12,16,19,24;4,8,14,17,22;2,7,10,13,21;1,3,5,11,20}, 6-N26, O26))</f>
        <v/>
      </c>
      <c r="Q26" s="7" t="str">
        <f>IF(P26="","",_xludf.IFS(P26&gt;=20,5,P26&gt;=16,4,P26&gt;=11,3,P26&gt;=6,2,P26&gt;0,1,TRUE,""))</f>
        <v/>
      </c>
      <c r="R26" s="7" t="str">
        <f>IFERROR(INDEX({"","Sangat Rendah","Rendah","Sedang","Tinggi","Sangat Tinggi"},Q26+1),"")</f>
        <v/>
      </c>
      <c r="S26" s="7" t="str">
        <f ca="1">IFERROR(_xludf.XLOOKUP(C26,SELERA_RISIKO!$C$5:$C$11,SELERA_RISIKO!$D$5:$D$11),"")</f>
        <v/>
      </c>
      <c r="T26" s="7" t="str">
        <f t="shared" ca="1" si="0"/>
        <v/>
      </c>
      <c r="U26" s="5"/>
    </row>
    <row r="27" spans="1:21" ht="19.95" customHeight="1" x14ac:dyDescent="0.3">
      <c r="A27" s="5"/>
      <c r="B27" s="7" t="str">
        <f ca="1">IFERROR(_xludf.XLOOKUP(A27,IDENTIFIKASI!$B:$B,IDENTIFIKASI!$G:$G),"")</f>
        <v/>
      </c>
      <c r="C27" s="7" t="str">
        <f ca="1">IFERROR(_xludf.XLOOKUP(A27,IDENTIFIKASI!$B:$B,IDENTIFIKASI!$H:$H),"")</f>
        <v/>
      </c>
      <c r="D27" s="59"/>
      <c r="E27" s="5"/>
      <c r="F27" s="5"/>
      <c r="G27" s="7" t="str" cm="1">
        <f t="array" ref="G27">IF(OR(E27="", F27=""), "", INDEX({9,15,18,23,25;6,12,16,19,24;4,8,14,17,22;2,7,10,13,21;1,3,5,11,20}, 6-E27, F27))</f>
        <v/>
      </c>
      <c r="H27" s="7" t="str">
        <f>IF(G27="","",_xludf.IFS(G27&gt;=20,5,G27&gt;=16,4,G27&gt;=11,3,G27&gt;=6,2,G27&gt;0,1,TRUE,""))</f>
        <v/>
      </c>
      <c r="I27" s="7" t="str">
        <f>IFERROR(INDEX({"","Sangat Rendah","Rendah","Sedang","Tinggi","Sangat Tinggi"},H27+1),"")</f>
        <v/>
      </c>
      <c r="J27" s="5"/>
      <c r="K27" s="5"/>
      <c r="L27" s="5"/>
      <c r="M27" s="5"/>
      <c r="N27" s="5"/>
      <c r="O27" s="5"/>
      <c r="P27" s="7" t="str" cm="1">
        <f t="array" ref="P27">IF(OR(N27="", O27=""), "", INDEX({9,15,18,23,25;6,12,16,19,24;4,8,14,17,22;2,7,10,13,21;1,3,5,11,20}, 6-N27, O27))</f>
        <v/>
      </c>
      <c r="Q27" s="7" t="str">
        <f>IF(P27="","",_xludf.IFS(P27&gt;=20,5,P27&gt;=16,4,P27&gt;=11,3,P27&gt;=6,2,P27&gt;0,1,TRUE,""))</f>
        <v/>
      </c>
      <c r="R27" s="7" t="str">
        <f>IFERROR(INDEX({"","Sangat Rendah","Rendah","Sedang","Tinggi","Sangat Tinggi"},Q27+1),"")</f>
        <v/>
      </c>
      <c r="S27" s="7" t="str">
        <f ca="1">IFERROR(_xludf.XLOOKUP(C27,SELERA_RISIKO!$C$5:$C$11,SELERA_RISIKO!$D$5:$D$11),"")</f>
        <v/>
      </c>
      <c r="T27" s="7" t="str">
        <f t="shared" ca="1" si="0"/>
        <v/>
      </c>
      <c r="U27" s="5"/>
    </row>
    <row r="28" spans="1:21" ht="19.95" customHeight="1" x14ac:dyDescent="0.3">
      <c r="A28" s="5"/>
      <c r="B28" s="7" t="str">
        <f ca="1">IFERROR(_xludf.XLOOKUP(A28,IDENTIFIKASI!$B:$B,IDENTIFIKASI!$G:$G),"")</f>
        <v/>
      </c>
      <c r="C28" s="7" t="str">
        <f ca="1">IFERROR(_xludf.XLOOKUP(A28,IDENTIFIKASI!$B:$B,IDENTIFIKASI!$H:$H),"")</f>
        <v/>
      </c>
      <c r="D28" s="59"/>
      <c r="E28" s="5"/>
      <c r="F28" s="5"/>
      <c r="G28" s="7" t="str" cm="1">
        <f t="array" ref="G28">IF(OR(E28="", F28=""), "", INDEX({9,15,18,23,25;6,12,16,19,24;4,8,14,17,22;2,7,10,13,21;1,3,5,11,20}, 6-E28, F28))</f>
        <v/>
      </c>
      <c r="H28" s="7" t="str">
        <f>IF(G28="","",_xludf.IFS(G28&gt;=20,5,G28&gt;=16,4,G28&gt;=11,3,G28&gt;=6,2,G28&gt;0,1,TRUE,""))</f>
        <v/>
      </c>
      <c r="I28" s="7" t="str">
        <f>IFERROR(INDEX({"","Sangat Rendah","Rendah","Sedang","Tinggi","Sangat Tinggi"},H28+1),"")</f>
        <v/>
      </c>
      <c r="J28" s="5"/>
      <c r="K28" s="5"/>
      <c r="L28" s="5"/>
      <c r="M28" s="5"/>
      <c r="N28" s="5"/>
      <c r="O28" s="5"/>
      <c r="P28" s="7" t="str" cm="1">
        <f t="array" ref="P28">IF(OR(N28="", O28=""), "", INDEX({9,15,18,23,25;6,12,16,19,24;4,8,14,17,22;2,7,10,13,21;1,3,5,11,20}, 6-N28, O28))</f>
        <v/>
      </c>
      <c r="Q28" s="7" t="str">
        <f>IF(P28="","",_xludf.IFS(P28&gt;=20,5,P28&gt;=16,4,P28&gt;=11,3,P28&gt;=6,2,P28&gt;0,1,TRUE,""))</f>
        <v/>
      </c>
      <c r="R28" s="7" t="str">
        <f>IFERROR(INDEX({"","Sangat Rendah","Rendah","Sedang","Tinggi","Sangat Tinggi"},Q28+1),"")</f>
        <v/>
      </c>
      <c r="S28" s="7" t="str">
        <f ca="1">IFERROR(_xludf.XLOOKUP(C28,SELERA_RISIKO!$C$5:$C$11,SELERA_RISIKO!$D$5:$D$11),"")</f>
        <v/>
      </c>
      <c r="T28" s="7" t="str">
        <f t="shared" ca="1" si="0"/>
        <v/>
      </c>
      <c r="U28" s="5"/>
    </row>
    <row r="29" spans="1:21" ht="19.95" customHeight="1" x14ac:dyDescent="0.3">
      <c r="A29" s="5"/>
      <c r="B29" s="7" t="str">
        <f ca="1">IFERROR(_xludf.XLOOKUP(A29,IDENTIFIKASI!$B:$B,IDENTIFIKASI!$G:$G),"")</f>
        <v/>
      </c>
      <c r="C29" s="7" t="str">
        <f ca="1">IFERROR(_xludf.XLOOKUP(A29,IDENTIFIKASI!$B:$B,IDENTIFIKASI!$H:$H),"")</f>
        <v/>
      </c>
      <c r="D29" s="59"/>
      <c r="E29" s="5"/>
      <c r="F29" s="5"/>
      <c r="G29" s="7" t="str" cm="1">
        <f t="array" ref="G29">IF(OR(E29="", F29=""), "", INDEX({9,15,18,23,25;6,12,16,19,24;4,8,14,17,22;2,7,10,13,21;1,3,5,11,20}, 6-E29, F29))</f>
        <v/>
      </c>
      <c r="H29" s="7" t="str">
        <f>IF(G29="","",_xludf.IFS(G29&gt;=20,5,G29&gt;=16,4,G29&gt;=11,3,G29&gt;=6,2,G29&gt;0,1,TRUE,""))</f>
        <v/>
      </c>
      <c r="I29" s="7" t="str">
        <f>IFERROR(INDEX({"","Sangat Rendah","Rendah","Sedang","Tinggi","Sangat Tinggi"},H29+1),"")</f>
        <v/>
      </c>
      <c r="J29" s="5"/>
      <c r="K29" s="5"/>
      <c r="L29" s="5"/>
      <c r="M29" s="5"/>
      <c r="N29" s="5"/>
      <c r="O29" s="5"/>
      <c r="P29" s="7" t="str" cm="1">
        <f t="array" ref="P29">IF(OR(N29="", O29=""), "", INDEX({9,15,18,23,25;6,12,16,19,24;4,8,14,17,22;2,7,10,13,21;1,3,5,11,20}, 6-N29, O29))</f>
        <v/>
      </c>
      <c r="Q29" s="7" t="str">
        <f>IF(P29="","",_xludf.IFS(P29&gt;=20,5,P29&gt;=16,4,P29&gt;=11,3,P29&gt;=6,2,P29&gt;0,1,TRUE,""))</f>
        <v/>
      </c>
      <c r="R29" s="7" t="str">
        <f>IFERROR(INDEX({"","Sangat Rendah","Rendah","Sedang","Tinggi","Sangat Tinggi"},Q29+1),"")</f>
        <v/>
      </c>
      <c r="S29" s="7" t="str">
        <f ca="1">IFERROR(_xludf.XLOOKUP(C29,SELERA_RISIKO!$C$5:$C$11,SELERA_RISIKO!$D$5:$D$11),"")</f>
        <v/>
      </c>
      <c r="T29" s="7" t="str">
        <f t="shared" ca="1" si="0"/>
        <v/>
      </c>
      <c r="U29" s="5"/>
    </row>
    <row r="30" spans="1:21" ht="19.95" customHeight="1" x14ac:dyDescent="0.3">
      <c r="A30" s="5"/>
      <c r="B30" s="7" t="str">
        <f ca="1">IFERROR(_xludf.XLOOKUP(A30,IDENTIFIKASI!$B:$B,IDENTIFIKASI!$G:$G),"")</f>
        <v/>
      </c>
      <c r="C30" s="7" t="str">
        <f ca="1">IFERROR(_xludf.XLOOKUP(A30,IDENTIFIKASI!$B:$B,IDENTIFIKASI!$H:$H),"")</f>
        <v/>
      </c>
      <c r="D30" s="59"/>
      <c r="E30" s="5"/>
      <c r="F30" s="5"/>
      <c r="G30" s="7" t="str" cm="1">
        <f t="array" ref="G30">IF(OR(E30="", F30=""), "", INDEX({9,15,18,23,25;6,12,16,19,24;4,8,14,17,22;2,7,10,13,21;1,3,5,11,20}, 6-E30, F30))</f>
        <v/>
      </c>
      <c r="H30" s="7" t="str">
        <f>IF(G30="","",_xludf.IFS(G30&gt;=20,5,G30&gt;=16,4,G30&gt;=11,3,G30&gt;=6,2,G30&gt;0,1,TRUE,""))</f>
        <v/>
      </c>
      <c r="I30" s="7" t="str">
        <f>IFERROR(INDEX({"","Sangat Rendah","Rendah","Sedang","Tinggi","Sangat Tinggi"},H30+1),"")</f>
        <v/>
      </c>
      <c r="J30" s="5"/>
      <c r="K30" s="5"/>
      <c r="L30" s="5"/>
      <c r="M30" s="5"/>
      <c r="N30" s="5"/>
      <c r="O30" s="5"/>
      <c r="P30" s="7" t="str" cm="1">
        <f t="array" ref="P30">IF(OR(N30="", O30=""), "", INDEX({9,15,18,23,25;6,12,16,19,24;4,8,14,17,22;2,7,10,13,21;1,3,5,11,20}, 6-N30, O30))</f>
        <v/>
      </c>
      <c r="Q30" s="7" t="str">
        <f>IF(P30="","",_xludf.IFS(P30&gt;=20,5,P30&gt;=16,4,P30&gt;=11,3,P30&gt;=6,2,P30&gt;0,1,TRUE,""))</f>
        <v/>
      </c>
      <c r="R30" s="7" t="str">
        <f>IFERROR(INDEX({"","Sangat Rendah","Rendah","Sedang","Tinggi","Sangat Tinggi"},Q30+1),"")</f>
        <v/>
      </c>
      <c r="S30" s="7" t="str">
        <f ca="1">IFERROR(_xludf.XLOOKUP(C30,SELERA_RISIKO!$C$5:$C$11,SELERA_RISIKO!$D$5:$D$11),"")</f>
        <v/>
      </c>
      <c r="T30" s="7" t="str">
        <f t="shared" ca="1" si="0"/>
        <v/>
      </c>
      <c r="U30" s="5"/>
    </row>
    <row r="31" spans="1:21" ht="19.95" customHeight="1" x14ac:dyDescent="0.3">
      <c r="A31" s="5"/>
      <c r="B31" s="7" t="str">
        <f ca="1">IFERROR(_xludf.XLOOKUP(A31,IDENTIFIKASI!$B:$B,IDENTIFIKASI!$G:$G),"")</f>
        <v/>
      </c>
      <c r="C31" s="7" t="str">
        <f ca="1">IFERROR(_xludf.XLOOKUP(A31,IDENTIFIKASI!$B:$B,IDENTIFIKASI!$H:$H),"")</f>
        <v/>
      </c>
      <c r="D31" s="59"/>
      <c r="E31" s="5"/>
      <c r="F31" s="5"/>
      <c r="G31" s="7" t="str" cm="1">
        <f t="array" ref="G31">IF(OR(E31="", F31=""), "", INDEX({9,15,18,23,25;6,12,16,19,24;4,8,14,17,22;2,7,10,13,21;1,3,5,11,20}, 6-E31, F31))</f>
        <v/>
      </c>
      <c r="H31" s="7" t="str">
        <f>IF(G31="","",_xludf.IFS(G31&gt;=20,5,G31&gt;=16,4,G31&gt;=11,3,G31&gt;=6,2,G31&gt;0,1,TRUE,""))</f>
        <v/>
      </c>
      <c r="I31" s="7" t="str">
        <f>IFERROR(INDEX({"","Sangat Rendah","Rendah","Sedang","Tinggi","Sangat Tinggi"},H31+1),"")</f>
        <v/>
      </c>
      <c r="J31" s="5"/>
      <c r="K31" s="5"/>
      <c r="L31" s="5"/>
      <c r="M31" s="5"/>
      <c r="N31" s="5"/>
      <c r="O31" s="5"/>
      <c r="P31" s="7" t="str" cm="1">
        <f t="array" ref="P31">IF(OR(N31="", O31=""), "", INDEX({9,15,18,23,25;6,12,16,19,24;4,8,14,17,22;2,7,10,13,21;1,3,5,11,20}, 6-N31, O31))</f>
        <v/>
      </c>
      <c r="Q31" s="7" t="str">
        <f>IF(P31="","",_xludf.IFS(P31&gt;=20,5,P31&gt;=16,4,P31&gt;=11,3,P31&gt;=6,2,P31&gt;0,1,TRUE,""))</f>
        <v/>
      </c>
      <c r="R31" s="7" t="str">
        <f>IFERROR(INDEX({"","Sangat Rendah","Rendah","Sedang","Tinggi","Sangat Tinggi"},Q31+1),"")</f>
        <v/>
      </c>
      <c r="S31" s="7" t="str">
        <f ca="1">IFERROR(_xludf.XLOOKUP(C31,SELERA_RISIKO!$C$5:$C$11,SELERA_RISIKO!$D$5:$D$11),"")</f>
        <v/>
      </c>
      <c r="T31" s="7" t="str">
        <f t="shared" ca="1" si="0"/>
        <v/>
      </c>
      <c r="U31" s="5"/>
    </row>
    <row r="32" spans="1:21" ht="19.95" customHeight="1" x14ac:dyDescent="0.3">
      <c r="A32" s="5"/>
      <c r="B32" s="7" t="str">
        <f ca="1">IFERROR(_xludf.XLOOKUP(A32,IDENTIFIKASI!$B:$B,IDENTIFIKASI!$G:$G),"")</f>
        <v/>
      </c>
      <c r="C32" s="7" t="str">
        <f ca="1">IFERROR(_xludf.XLOOKUP(A32,IDENTIFIKASI!$B:$B,IDENTIFIKASI!$H:$H),"")</f>
        <v/>
      </c>
      <c r="D32" s="59"/>
      <c r="E32" s="5"/>
      <c r="F32" s="5"/>
      <c r="G32" s="7" t="str" cm="1">
        <f t="array" ref="G32">IF(OR(E32="", F32=""), "", INDEX({9,15,18,23,25;6,12,16,19,24;4,8,14,17,22;2,7,10,13,21;1,3,5,11,20}, 6-E32, F32))</f>
        <v/>
      </c>
      <c r="H32" s="7" t="str">
        <f>IF(G32="","",_xludf.IFS(G32&gt;=20,5,G32&gt;=16,4,G32&gt;=11,3,G32&gt;=6,2,G32&gt;0,1,TRUE,""))</f>
        <v/>
      </c>
      <c r="I32" s="7" t="str">
        <f>IFERROR(INDEX({"","Sangat Rendah","Rendah","Sedang","Tinggi","Sangat Tinggi"},H32+1),"")</f>
        <v/>
      </c>
      <c r="J32" s="5"/>
      <c r="K32" s="5"/>
      <c r="L32" s="5"/>
      <c r="M32" s="5"/>
      <c r="N32" s="5"/>
      <c r="O32" s="5"/>
      <c r="P32" s="7" t="str" cm="1">
        <f t="array" ref="P32">IF(OR(N32="", O32=""), "", INDEX({9,15,18,23,25;6,12,16,19,24;4,8,14,17,22;2,7,10,13,21;1,3,5,11,20}, 6-N32, O32))</f>
        <v/>
      </c>
      <c r="Q32" s="7" t="str">
        <f>IF(P32="","",_xludf.IFS(P32&gt;=20,5,P32&gt;=16,4,P32&gt;=11,3,P32&gt;=6,2,P32&gt;0,1,TRUE,""))</f>
        <v/>
      </c>
      <c r="R32" s="7" t="str">
        <f>IFERROR(INDEX({"","Sangat Rendah","Rendah","Sedang","Tinggi","Sangat Tinggi"},Q32+1),"")</f>
        <v/>
      </c>
      <c r="S32" s="7" t="str">
        <f ca="1">IFERROR(_xludf.XLOOKUP(C32,SELERA_RISIKO!$C$5:$C$11,SELERA_RISIKO!$D$5:$D$11),"")</f>
        <v/>
      </c>
      <c r="T32" s="7" t="str">
        <f t="shared" ca="1" si="0"/>
        <v/>
      </c>
      <c r="U32" s="5"/>
    </row>
    <row r="33" spans="1:21" ht="19.95" customHeight="1" x14ac:dyDescent="0.3">
      <c r="A33" s="5"/>
      <c r="B33" s="7" t="str">
        <f ca="1">IFERROR(_xludf.XLOOKUP(A33,IDENTIFIKASI!$B:$B,IDENTIFIKASI!$G:$G),"")</f>
        <v/>
      </c>
      <c r="C33" s="7" t="str">
        <f ca="1">IFERROR(_xludf.XLOOKUP(A33,IDENTIFIKASI!$B:$B,IDENTIFIKASI!$H:$H),"")</f>
        <v/>
      </c>
      <c r="D33" s="59"/>
      <c r="E33" s="5"/>
      <c r="F33" s="5"/>
      <c r="G33" s="7" t="str" cm="1">
        <f t="array" ref="G33">IF(OR(E33="", F33=""), "", INDEX({9,15,18,23,25;6,12,16,19,24;4,8,14,17,22;2,7,10,13,21;1,3,5,11,20}, 6-E33, F33))</f>
        <v/>
      </c>
      <c r="H33" s="7" t="str">
        <f>IF(G33="","",_xludf.IFS(G33&gt;=20,5,G33&gt;=16,4,G33&gt;=11,3,G33&gt;=6,2,G33&gt;0,1,TRUE,""))</f>
        <v/>
      </c>
      <c r="I33" s="7" t="str">
        <f>IFERROR(INDEX({"","Sangat Rendah","Rendah","Sedang","Tinggi","Sangat Tinggi"},H33+1),"")</f>
        <v/>
      </c>
      <c r="J33" s="5"/>
      <c r="K33" s="5"/>
      <c r="L33" s="5"/>
      <c r="M33" s="5"/>
      <c r="N33" s="5"/>
      <c r="O33" s="5"/>
      <c r="P33" s="7" t="str" cm="1">
        <f t="array" ref="P33">IF(OR(N33="", O33=""), "", INDEX({9,15,18,23,25;6,12,16,19,24;4,8,14,17,22;2,7,10,13,21;1,3,5,11,20}, 6-N33, O33))</f>
        <v/>
      </c>
      <c r="Q33" s="7" t="str">
        <f>IF(P33="","",_xludf.IFS(P33&gt;=20,5,P33&gt;=16,4,P33&gt;=11,3,P33&gt;=6,2,P33&gt;0,1,TRUE,""))</f>
        <v/>
      </c>
      <c r="R33" s="7" t="str">
        <f>IFERROR(INDEX({"","Sangat Rendah","Rendah","Sedang","Tinggi","Sangat Tinggi"},Q33+1),"")</f>
        <v/>
      </c>
      <c r="S33" s="7" t="str">
        <f ca="1">IFERROR(_xludf.XLOOKUP(C33,SELERA_RISIKO!$C$5:$C$11,SELERA_RISIKO!$D$5:$D$11),"")</f>
        <v/>
      </c>
      <c r="T33" s="7" t="str">
        <f t="shared" ca="1" si="0"/>
        <v/>
      </c>
      <c r="U33" s="5"/>
    </row>
    <row r="34" spans="1:21" ht="19.95" customHeight="1" x14ac:dyDescent="0.3">
      <c r="A34" s="5"/>
      <c r="B34" s="7" t="str">
        <f ca="1">IFERROR(_xludf.XLOOKUP(A34,IDENTIFIKASI!$B:$B,IDENTIFIKASI!$G:$G),"")</f>
        <v/>
      </c>
      <c r="C34" s="7" t="str">
        <f ca="1">IFERROR(_xludf.XLOOKUP(A34,IDENTIFIKASI!$B:$B,IDENTIFIKASI!$H:$H),"")</f>
        <v/>
      </c>
      <c r="D34" s="59"/>
      <c r="E34" s="5"/>
      <c r="F34" s="5"/>
      <c r="G34" s="7" t="str" cm="1">
        <f t="array" ref="G34">IF(OR(E34="", F34=""), "", INDEX({9,15,18,23,25;6,12,16,19,24;4,8,14,17,22;2,7,10,13,21;1,3,5,11,20}, 6-E34, F34))</f>
        <v/>
      </c>
      <c r="H34" s="7" t="str">
        <f>IF(G34="","",_xludf.IFS(G34&gt;=20,5,G34&gt;=16,4,G34&gt;=11,3,G34&gt;=6,2,G34&gt;0,1,TRUE,""))</f>
        <v/>
      </c>
      <c r="I34" s="7" t="str">
        <f>IFERROR(INDEX({"","Sangat Rendah","Rendah","Sedang","Tinggi","Sangat Tinggi"},H34+1),"")</f>
        <v/>
      </c>
      <c r="J34" s="5"/>
      <c r="K34" s="5"/>
      <c r="L34" s="5"/>
      <c r="M34" s="5"/>
      <c r="N34" s="5"/>
      <c r="O34" s="5"/>
      <c r="P34" s="7" t="str" cm="1">
        <f t="array" ref="P34">IF(OR(N34="", O34=""), "", INDEX({9,15,18,23,25;6,12,16,19,24;4,8,14,17,22;2,7,10,13,21;1,3,5,11,20}, 6-N34, O34))</f>
        <v/>
      </c>
      <c r="Q34" s="7" t="str">
        <f>IF(P34="","",_xludf.IFS(P34&gt;=20,5,P34&gt;=16,4,P34&gt;=11,3,P34&gt;=6,2,P34&gt;0,1,TRUE,""))</f>
        <v/>
      </c>
      <c r="R34" s="7" t="str">
        <f>IFERROR(INDEX({"","Sangat Rendah","Rendah","Sedang","Tinggi","Sangat Tinggi"},Q34+1),"")</f>
        <v/>
      </c>
      <c r="S34" s="7" t="str">
        <f ca="1">IFERROR(_xludf.XLOOKUP(C34,SELERA_RISIKO!$C$5:$C$11,SELERA_RISIKO!$D$5:$D$11),"")</f>
        <v/>
      </c>
      <c r="T34" s="7" t="str">
        <f t="shared" ca="1" si="0"/>
        <v/>
      </c>
      <c r="U34" s="5"/>
    </row>
    <row r="35" spans="1:21" ht="19.95" customHeight="1" x14ac:dyDescent="0.3">
      <c r="A35" s="5"/>
      <c r="B35" s="7" t="str">
        <f ca="1">IFERROR(_xludf.XLOOKUP(A35,IDENTIFIKASI!$B:$B,IDENTIFIKASI!$G:$G),"")</f>
        <v/>
      </c>
      <c r="C35" s="7" t="str">
        <f ca="1">IFERROR(_xludf.XLOOKUP(A35,IDENTIFIKASI!$B:$B,IDENTIFIKASI!$H:$H),"")</f>
        <v/>
      </c>
      <c r="D35" s="59"/>
      <c r="E35" s="5"/>
      <c r="F35" s="5"/>
      <c r="G35" s="7" t="str" cm="1">
        <f t="array" ref="G35">IF(OR(E35="", F35=""), "", INDEX({9,15,18,23,25;6,12,16,19,24;4,8,14,17,22;2,7,10,13,21;1,3,5,11,20}, 6-E35, F35))</f>
        <v/>
      </c>
      <c r="H35" s="7" t="str">
        <f>IF(G35="","",_xludf.IFS(G35&gt;=20,5,G35&gt;=16,4,G35&gt;=11,3,G35&gt;=6,2,G35&gt;0,1,TRUE,""))</f>
        <v/>
      </c>
      <c r="I35" s="7" t="str">
        <f>IFERROR(INDEX({"","Sangat Rendah","Rendah","Sedang","Tinggi","Sangat Tinggi"},H35+1),"")</f>
        <v/>
      </c>
      <c r="J35" s="5"/>
      <c r="K35" s="5"/>
      <c r="L35" s="5"/>
      <c r="M35" s="5"/>
      <c r="N35" s="5"/>
      <c r="O35" s="5"/>
      <c r="P35" s="7" t="str" cm="1">
        <f t="array" ref="P35">IF(OR(N35="", O35=""), "", INDEX({9,15,18,23,25;6,12,16,19,24;4,8,14,17,22;2,7,10,13,21;1,3,5,11,20}, 6-N35, O35))</f>
        <v/>
      </c>
      <c r="Q35" s="7" t="str">
        <f>IF(P35="","",_xludf.IFS(P35&gt;=20,5,P35&gt;=16,4,P35&gt;=11,3,P35&gt;=6,2,P35&gt;0,1,TRUE,""))</f>
        <v/>
      </c>
      <c r="R35" s="7" t="str">
        <f>IFERROR(INDEX({"","Sangat Rendah","Rendah","Sedang","Tinggi","Sangat Tinggi"},Q35+1),"")</f>
        <v/>
      </c>
      <c r="S35" s="7" t="str">
        <f ca="1">IFERROR(_xludf.XLOOKUP(C35,SELERA_RISIKO!$C$5:$C$11,SELERA_RISIKO!$D$5:$D$11),"")</f>
        <v/>
      </c>
      <c r="T35" s="7" t="str">
        <f t="shared" ref="T35:T52" ca="1" si="1">IF(AND(Q35&lt;&gt;"",S35&lt;&gt;""),IF(Q35&gt;S35,"YA ⚠","tidak"),"")</f>
        <v/>
      </c>
      <c r="U35" s="5"/>
    </row>
    <row r="36" spans="1:21" ht="19.95" customHeight="1" x14ac:dyDescent="0.3">
      <c r="A36" s="5"/>
      <c r="B36" s="7" t="str">
        <f ca="1">IFERROR(_xludf.XLOOKUP(A36,IDENTIFIKASI!$B:$B,IDENTIFIKASI!$G:$G),"")</f>
        <v/>
      </c>
      <c r="C36" s="7" t="str">
        <f ca="1">IFERROR(_xludf.XLOOKUP(A36,IDENTIFIKASI!$B:$B,IDENTIFIKASI!$H:$H),"")</f>
        <v/>
      </c>
      <c r="D36" s="59"/>
      <c r="E36" s="5"/>
      <c r="F36" s="5"/>
      <c r="G36" s="7" t="str" cm="1">
        <f t="array" ref="G36">IF(OR(E36="", F36=""), "", INDEX({9,15,18,23,25;6,12,16,19,24;4,8,14,17,22;2,7,10,13,21;1,3,5,11,20}, 6-E36, F36))</f>
        <v/>
      </c>
      <c r="H36" s="7" t="str">
        <f>IF(G36="","",_xludf.IFS(G36&gt;=20,5,G36&gt;=16,4,G36&gt;=11,3,G36&gt;=6,2,G36&gt;0,1,TRUE,""))</f>
        <v/>
      </c>
      <c r="I36" s="7" t="str">
        <f>IFERROR(INDEX({"","Sangat Rendah","Rendah","Sedang","Tinggi","Sangat Tinggi"},H36+1),"")</f>
        <v/>
      </c>
      <c r="J36" s="5"/>
      <c r="K36" s="5"/>
      <c r="L36" s="5"/>
      <c r="M36" s="5"/>
      <c r="N36" s="5"/>
      <c r="O36" s="5"/>
      <c r="P36" s="7" t="str" cm="1">
        <f t="array" ref="P36">IF(OR(N36="", O36=""), "", INDEX({9,15,18,23,25;6,12,16,19,24;4,8,14,17,22;2,7,10,13,21;1,3,5,11,20}, 6-N36, O36))</f>
        <v/>
      </c>
      <c r="Q36" s="7" t="str">
        <f>IF(P36="","",_xludf.IFS(P36&gt;=20,5,P36&gt;=16,4,P36&gt;=11,3,P36&gt;=6,2,P36&gt;0,1,TRUE,""))</f>
        <v/>
      </c>
      <c r="R36" s="7" t="str">
        <f>IFERROR(INDEX({"","Sangat Rendah","Rendah","Sedang","Tinggi","Sangat Tinggi"},Q36+1),"")</f>
        <v/>
      </c>
      <c r="S36" s="7" t="str">
        <f ca="1">IFERROR(_xludf.XLOOKUP(C36,SELERA_RISIKO!$C$5:$C$11,SELERA_RISIKO!$D$5:$D$11),"")</f>
        <v/>
      </c>
      <c r="T36" s="7" t="str">
        <f t="shared" ca="1" si="1"/>
        <v/>
      </c>
      <c r="U36" s="5"/>
    </row>
    <row r="37" spans="1:21" ht="19.95" customHeight="1" x14ac:dyDescent="0.3">
      <c r="A37" s="5"/>
      <c r="B37" s="7" t="str">
        <f ca="1">IFERROR(_xludf.XLOOKUP(A37,IDENTIFIKASI!$B:$B,IDENTIFIKASI!$G:$G),"")</f>
        <v/>
      </c>
      <c r="C37" s="7" t="str">
        <f ca="1">IFERROR(_xludf.XLOOKUP(A37,IDENTIFIKASI!$B:$B,IDENTIFIKASI!$H:$H),"")</f>
        <v/>
      </c>
      <c r="D37" s="59"/>
      <c r="E37" s="5"/>
      <c r="F37" s="5"/>
      <c r="G37" s="7" t="str" cm="1">
        <f t="array" ref="G37">IF(OR(E37="", F37=""), "", INDEX({9,15,18,23,25;6,12,16,19,24;4,8,14,17,22;2,7,10,13,21;1,3,5,11,20}, 6-E37, F37))</f>
        <v/>
      </c>
      <c r="H37" s="7" t="str">
        <f>IF(G37="","",_xludf.IFS(G37&gt;=20,5,G37&gt;=16,4,G37&gt;=11,3,G37&gt;=6,2,G37&gt;0,1,TRUE,""))</f>
        <v/>
      </c>
      <c r="I37" s="7" t="str">
        <f>IFERROR(INDEX({"","Sangat Rendah","Rendah","Sedang","Tinggi","Sangat Tinggi"},H37+1),"")</f>
        <v/>
      </c>
      <c r="J37" s="5"/>
      <c r="K37" s="5"/>
      <c r="L37" s="5"/>
      <c r="M37" s="5"/>
      <c r="N37" s="5"/>
      <c r="O37" s="5"/>
      <c r="P37" s="7" t="str" cm="1">
        <f t="array" ref="P37">IF(OR(N37="", O37=""), "", INDEX({9,15,18,23,25;6,12,16,19,24;4,8,14,17,22;2,7,10,13,21;1,3,5,11,20}, 6-N37, O37))</f>
        <v/>
      </c>
      <c r="Q37" s="7" t="str">
        <f>IF(P37="","",_xludf.IFS(P37&gt;=20,5,P37&gt;=16,4,P37&gt;=11,3,P37&gt;=6,2,P37&gt;0,1,TRUE,""))</f>
        <v/>
      </c>
      <c r="R37" s="7" t="str">
        <f>IFERROR(INDEX({"","Sangat Rendah","Rendah","Sedang","Tinggi","Sangat Tinggi"},Q37+1),"")</f>
        <v/>
      </c>
      <c r="S37" s="7" t="str">
        <f ca="1">IFERROR(_xludf.XLOOKUP(C37,SELERA_RISIKO!$C$5:$C$11,SELERA_RISIKO!$D$5:$D$11),"")</f>
        <v/>
      </c>
      <c r="T37" s="7" t="str">
        <f t="shared" ca="1" si="1"/>
        <v/>
      </c>
      <c r="U37" s="5"/>
    </row>
    <row r="38" spans="1:21" ht="19.95" customHeight="1" x14ac:dyDescent="0.3">
      <c r="A38" s="5"/>
      <c r="B38" s="7" t="str">
        <f ca="1">IFERROR(_xludf.XLOOKUP(A38,IDENTIFIKASI!$B:$B,IDENTIFIKASI!$G:$G),"")</f>
        <v/>
      </c>
      <c r="C38" s="7" t="str">
        <f ca="1">IFERROR(_xludf.XLOOKUP(A38,IDENTIFIKASI!$B:$B,IDENTIFIKASI!$H:$H),"")</f>
        <v/>
      </c>
      <c r="D38" s="59"/>
      <c r="E38" s="5"/>
      <c r="F38" s="5"/>
      <c r="G38" s="7" t="str" cm="1">
        <f t="array" ref="G38">IF(OR(E38="", F38=""), "", INDEX({9,15,18,23,25;6,12,16,19,24;4,8,14,17,22;2,7,10,13,21;1,3,5,11,20}, 6-E38, F38))</f>
        <v/>
      </c>
      <c r="H38" s="7" t="str">
        <f>IF(G38="","",_xludf.IFS(G38&gt;=20,5,G38&gt;=16,4,G38&gt;=11,3,G38&gt;=6,2,G38&gt;0,1,TRUE,""))</f>
        <v/>
      </c>
      <c r="I38" s="7" t="str">
        <f>IFERROR(INDEX({"","Sangat Rendah","Rendah","Sedang","Tinggi","Sangat Tinggi"},H38+1),"")</f>
        <v/>
      </c>
      <c r="J38" s="5"/>
      <c r="K38" s="5"/>
      <c r="L38" s="5"/>
      <c r="M38" s="5"/>
      <c r="N38" s="5"/>
      <c r="O38" s="5"/>
      <c r="P38" s="7" t="str" cm="1">
        <f t="array" ref="P38">IF(OR(N38="", O38=""), "", INDEX({9,15,18,23,25;6,12,16,19,24;4,8,14,17,22;2,7,10,13,21;1,3,5,11,20}, 6-N38, O38))</f>
        <v/>
      </c>
      <c r="Q38" s="7" t="str">
        <f>IF(P38="","",_xludf.IFS(P38&gt;=20,5,P38&gt;=16,4,P38&gt;=11,3,P38&gt;=6,2,P38&gt;0,1,TRUE,""))</f>
        <v/>
      </c>
      <c r="R38" s="7" t="str">
        <f>IFERROR(INDEX({"","Sangat Rendah","Rendah","Sedang","Tinggi","Sangat Tinggi"},Q38+1),"")</f>
        <v/>
      </c>
      <c r="S38" s="7" t="str">
        <f ca="1">IFERROR(_xludf.XLOOKUP(C38,SELERA_RISIKO!$C$5:$C$11,SELERA_RISIKO!$D$5:$D$11),"")</f>
        <v/>
      </c>
      <c r="T38" s="7" t="str">
        <f t="shared" ca="1" si="1"/>
        <v/>
      </c>
      <c r="U38" s="5"/>
    </row>
    <row r="39" spans="1:21" ht="19.95" customHeight="1" x14ac:dyDescent="0.3">
      <c r="A39" s="5"/>
      <c r="B39" s="7" t="str">
        <f ca="1">IFERROR(_xludf.XLOOKUP(A39,IDENTIFIKASI!$B:$B,IDENTIFIKASI!$G:$G),"")</f>
        <v/>
      </c>
      <c r="C39" s="7" t="str">
        <f ca="1">IFERROR(_xludf.XLOOKUP(A39,IDENTIFIKASI!$B:$B,IDENTIFIKASI!$H:$H),"")</f>
        <v/>
      </c>
      <c r="D39" s="59"/>
      <c r="E39" s="5"/>
      <c r="F39" s="5"/>
      <c r="G39" s="7" t="str" cm="1">
        <f t="array" ref="G39">IF(OR(E39="", F39=""), "", INDEX({9,15,18,23,25;6,12,16,19,24;4,8,14,17,22;2,7,10,13,21;1,3,5,11,20}, 6-E39, F39))</f>
        <v/>
      </c>
      <c r="H39" s="7" t="str">
        <f>IF(G39="","",_xludf.IFS(G39&gt;=20,5,G39&gt;=16,4,G39&gt;=11,3,G39&gt;=6,2,G39&gt;0,1,TRUE,""))</f>
        <v/>
      </c>
      <c r="I39" s="7" t="str">
        <f>IFERROR(INDEX({"","Sangat Rendah","Rendah","Sedang","Tinggi","Sangat Tinggi"},H39+1),"")</f>
        <v/>
      </c>
      <c r="J39" s="5"/>
      <c r="K39" s="5"/>
      <c r="L39" s="5"/>
      <c r="M39" s="5"/>
      <c r="N39" s="5"/>
      <c r="O39" s="5"/>
      <c r="P39" s="7" t="str" cm="1">
        <f t="array" ref="P39">IF(OR(N39="", O39=""), "", INDEX({9,15,18,23,25;6,12,16,19,24;4,8,14,17,22;2,7,10,13,21;1,3,5,11,20}, 6-N39, O39))</f>
        <v/>
      </c>
      <c r="Q39" s="7" t="str">
        <f>IF(P39="","",_xludf.IFS(P39&gt;=20,5,P39&gt;=16,4,P39&gt;=11,3,P39&gt;=6,2,P39&gt;0,1,TRUE,""))</f>
        <v/>
      </c>
      <c r="R39" s="7" t="str">
        <f>IFERROR(INDEX({"","Sangat Rendah","Rendah","Sedang","Tinggi","Sangat Tinggi"},Q39+1),"")</f>
        <v/>
      </c>
      <c r="S39" s="7" t="str">
        <f ca="1">IFERROR(_xludf.XLOOKUP(C39,SELERA_RISIKO!$C$5:$C$11,SELERA_RISIKO!$D$5:$D$11),"")</f>
        <v/>
      </c>
      <c r="T39" s="7" t="str">
        <f t="shared" ca="1" si="1"/>
        <v/>
      </c>
      <c r="U39" s="5"/>
    </row>
    <row r="40" spans="1:21" ht="19.95" customHeight="1" x14ac:dyDescent="0.3">
      <c r="A40" s="5"/>
      <c r="B40" s="7" t="str">
        <f ca="1">IFERROR(_xludf.XLOOKUP(A40,IDENTIFIKASI!$B:$B,IDENTIFIKASI!$G:$G),"")</f>
        <v/>
      </c>
      <c r="C40" s="7" t="str">
        <f ca="1">IFERROR(_xludf.XLOOKUP(A40,IDENTIFIKASI!$B:$B,IDENTIFIKASI!$H:$H),"")</f>
        <v/>
      </c>
      <c r="D40" s="59"/>
      <c r="E40" s="5"/>
      <c r="F40" s="5"/>
      <c r="G40" s="7" t="str" cm="1">
        <f t="array" ref="G40">IF(OR(E40="", F40=""), "", INDEX({9,15,18,23,25;6,12,16,19,24;4,8,14,17,22;2,7,10,13,21;1,3,5,11,20}, 6-E40, F40))</f>
        <v/>
      </c>
      <c r="H40" s="7" t="str">
        <f>IF(G40="","",_xludf.IFS(G40&gt;=20,5,G40&gt;=16,4,G40&gt;=11,3,G40&gt;=6,2,G40&gt;0,1,TRUE,""))</f>
        <v/>
      </c>
      <c r="I40" s="7" t="str">
        <f>IFERROR(INDEX({"","Sangat Rendah","Rendah","Sedang","Tinggi","Sangat Tinggi"},H40+1),"")</f>
        <v/>
      </c>
      <c r="J40" s="5"/>
      <c r="K40" s="5"/>
      <c r="L40" s="5"/>
      <c r="M40" s="5"/>
      <c r="N40" s="5"/>
      <c r="O40" s="5"/>
      <c r="P40" s="7" t="str" cm="1">
        <f t="array" ref="P40">IF(OR(N40="", O40=""), "", INDEX({9,15,18,23,25;6,12,16,19,24;4,8,14,17,22;2,7,10,13,21;1,3,5,11,20}, 6-N40, O40))</f>
        <v/>
      </c>
      <c r="Q40" s="7" t="str">
        <f>IF(P40="","",_xludf.IFS(P40&gt;=20,5,P40&gt;=16,4,P40&gt;=11,3,P40&gt;=6,2,P40&gt;0,1,TRUE,""))</f>
        <v/>
      </c>
      <c r="R40" s="7" t="str">
        <f>IFERROR(INDEX({"","Sangat Rendah","Rendah","Sedang","Tinggi","Sangat Tinggi"},Q40+1),"")</f>
        <v/>
      </c>
      <c r="S40" s="7" t="str">
        <f ca="1">IFERROR(_xludf.XLOOKUP(C40,SELERA_RISIKO!$C$5:$C$11,SELERA_RISIKO!$D$5:$D$11),"")</f>
        <v/>
      </c>
      <c r="T40" s="7" t="str">
        <f t="shared" ca="1" si="1"/>
        <v/>
      </c>
      <c r="U40" s="5"/>
    </row>
    <row r="41" spans="1:21" ht="19.95" customHeight="1" x14ac:dyDescent="0.3">
      <c r="A41" s="5"/>
      <c r="B41" s="7" t="str">
        <f ca="1">IFERROR(_xludf.XLOOKUP(A41,IDENTIFIKASI!$B:$B,IDENTIFIKASI!$G:$G),"")</f>
        <v/>
      </c>
      <c r="C41" s="7" t="str">
        <f ca="1">IFERROR(_xludf.XLOOKUP(A41,IDENTIFIKASI!$B:$B,IDENTIFIKASI!$H:$H),"")</f>
        <v/>
      </c>
      <c r="D41" s="59"/>
      <c r="E41" s="5"/>
      <c r="F41" s="5"/>
      <c r="G41" s="7" t="str" cm="1">
        <f t="array" ref="G41">IF(OR(E41="", F41=""), "", INDEX({9,15,18,23,25;6,12,16,19,24;4,8,14,17,22;2,7,10,13,21;1,3,5,11,20}, 6-E41, F41))</f>
        <v/>
      </c>
      <c r="H41" s="7" t="str">
        <f>IF(G41="","",_xludf.IFS(G41&gt;=20,5,G41&gt;=16,4,G41&gt;=11,3,G41&gt;=6,2,G41&gt;0,1,TRUE,""))</f>
        <v/>
      </c>
      <c r="I41" s="7" t="str">
        <f>IFERROR(INDEX({"","Sangat Rendah","Rendah","Sedang","Tinggi","Sangat Tinggi"},H41+1),"")</f>
        <v/>
      </c>
      <c r="J41" s="5"/>
      <c r="K41" s="5"/>
      <c r="L41" s="5"/>
      <c r="M41" s="5"/>
      <c r="N41" s="5"/>
      <c r="O41" s="5"/>
      <c r="P41" s="7" t="str" cm="1">
        <f t="array" ref="P41">IF(OR(N41="", O41=""), "", INDEX({9,15,18,23,25;6,12,16,19,24;4,8,14,17,22;2,7,10,13,21;1,3,5,11,20}, 6-N41, O41))</f>
        <v/>
      </c>
      <c r="Q41" s="7" t="str">
        <f>IF(P41="","",_xludf.IFS(P41&gt;=20,5,P41&gt;=16,4,P41&gt;=11,3,P41&gt;=6,2,P41&gt;0,1,TRUE,""))</f>
        <v/>
      </c>
      <c r="R41" s="7" t="str">
        <f>IFERROR(INDEX({"","Sangat Rendah","Rendah","Sedang","Tinggi","Sangat Tinggi"},Q41+1),"")</f>
        <v/>
      </c>
      <c r="S41" s="7" t="str">
        <f ca="1">IFERROR(_xludf.XLOOKUP(C41,SELERA_RISIKO!$C$5:$C$11,SELERA_RISIKO!$D$5:$D$11),"")</f>
        <v/>
      </c>
      <c r="T41" s="7" t="str">
        <f t="shared" ca="1" si="1"/>
        <v/>
      </c>
      <c r="U41" s="5"/>
    </row>
    <row r="42" spans="1:21" ht="19.95" customHeight="1" x14ac:dyDescent="0.3">
      <c r="A42" s="5"/>
      <c r="B42" s="7" t="str">
        <f ca="1">IFERROR(_xludf.XLOOKUP(A42,IDENTIFIKASI!$B:$B,IDENTIFIKASI!$G:$G),"")</f>
        <v/>
      </c>
      <c r="C42" s="7" t="str">
        <f ca="1">IFERROR(_xludf.XLOOKUP(A42,IDENTIFIKASI!$B:$B,IDENTIFIKASI!$H:$H),"")</f>
        <v/>
      </c>
      <c r="D42" s="59"/>
      <c r="E42" s="5"/>
      <c r="F42" s="5"/>
      <c r="G42" s="7" t="str" cm="1">
        <f t="array" ref="G42">IF(OR(E42="", F42=""), "", INDEX({9,15,18,23,25;6,12,16,19,24;4,8,14,17,22;2,7,10,13,21;1,3,5,11,20}, 6-E42, F42))</f>
        <v/>
      </c>
      <c r="H42" s="7" t="str">
        <f>IF(G42="","",_xludf.IFS(G42&gt;=20,5,G42&gt;=16,4,G42&gt;=11,3,G42&gt;=6,2,G42&gt;0,1,TRUE,""))</f>
        <v/>
      </c>
      <c r="I42" s="7" t="str">
        <f>IFERROR(INDEX({"","Sangat Rendah","Rendah","Sedang","Tinggi","Sangat Tinggi"},H42+1),"")</f>
        <v/>
      </c>
      <c r="J42" s="5"/>
      <c r="K42" s="5"/>
      <c r="L42" s="5"/>
      <c r="M42" s="5"/>
      <c r="N42" s="5"/>
      <c r="O42" s="5"/>
      <c r="P42" s="7" t="str" cm="1">
        <f t="array" ref="P42">IF(OR(N42="", O42=""), "", INDEX({9,15,18,23,25;6,12,16,19,24;4,8,14,17,22;2,7,10,13,21;1,3,5,11,20}, 6-N42, O42))</f>
        <v/>
      </c>
      <c r="Q42" s="7" t="str">
        <f>IF(P42="","",_xludf.IFS(P42&gt;=20,5,P42&gt;=16,4,P42&gt;=11,3,P42&gt;=6,2,P42&gt;0,1,TRUE,""))</f>
        <v/>
      </c>
      <c r="R42" s="7" t="str">
        <f>IFERROR(INDEX({"","Sangat Rendah","Rendah","Sedang","Tinggi","Sangat Tinggi"},Q42+1),"")</f>
        <v/>
      </c>
      <c r="S42" s="7" t="str">
        <f ca="1">IFERROR(_xludf.XLOOKUP(C42,SELERA_RISIKO!$C$5:$C$11,SELERA_RISIKO!$D$5:$D$11),"")</f>
        <v/>
      </c>
      <c r="T42" s="7" t="str">
        <f t="shared" ca="1" si="1"/>
        <v/>
      </c>
      <c r="U42" s="5"/>
    </row>
    <row r="43" spans="1:21" ht="19.95" customHeight="1" x14ac:dyDescent="0.3">
      <c r="A43" s="5"/>
      <c r="B43" s="7" t="str">
        <f ca="1">IFERROR(_xludf.XLOOKUP(A43,IDENTIFIKASI!$B:$B,IDENTIFIKASI!$G:$G),"")</f>
        <v/>
      </c>
      <c r="C43" s="7" t="str">
        <f ca="1">IFERROR(_xludf.XLOOKUP(A43,IDENTIFIKASI!$B:$B,IDENTIFIKASI!$H:$H),"")</f>
        <v/>
      </c>
      <c r="D43" s="59"/>
      <c r="E43" s="5"/>
      <c r="F43" s="5"/>
      <c r="G43" s="7" t="str" cm="1">
        <f t="array" ref="G43">IF(OR(E43="", F43=""), "", INDEX({9,15,18,23,25;6,12,16,19,24;4,8,14,17,22;2,7,10,13,21;1,3,5,11,20}, 6-E43, F43))</f>
        <v/>
      </c>
      <c r="H43" s="7" t="str">
        <f>IF(G43="","",_xludf.IFS(G43&gt;=20,5,G43&gt;=16,4,G43&gt;=11,3,G43&gt;=6,2,G43&gt;0,1,TRUE,""))</f>
        <v/>
      </c>
      <c r="I43" s="7" t="str">
        <f>IFERROR(INDEX({"","Sangat Rendah","Rendah","Sedang","Tinggi","Sangat Tinggi"},H43+1),"")</f>
        <v/>
      </c>
      <c r="J43" s="5"/>
      <c r="K43" s="5"/>
      <c r="L43" s="5"/>
      <c r="M43" s="5"/>
      <c r="N43" s="5"/>
      <c r="O43" s="5"/>
      <c r="P43" s="7" t="str" cm="1">
        <f t="array" ref="P43">IF(OR(N43="", O43=""), "", INDEX({9,15,18,23,25;6,12,16,19,24;4,8,14,17,22;2,7,10,13,21;1,3,5,11,20}, 6-N43, O43))</f>
        <v/>
      </c>
      <c r="Q43" s="7" t="str">
        <f>IF(P43="","",_xludf.IFS(P43&gt;=20,5,P43&gt;=16,4,P43&gt;=11,3,P43&gt;=6,2,P43&gt;0,1,TRUE,""))</f>
        <v/>
      </c>
      <c r="R43" s="7" t="str">
        <f>IFERROR(INDEX({"","Sangat Rendah","Rendah","Sedang","Tinggi","Sangat Tinggi"},Q43+1),"")</f>
        <v/>
      </c>
      <c r="S43" s="7" t="str">
        <f ca="1">IFERROR(_xludf.XLOOKUP(C43,SELERA_RISIKO!$C$5:$C$11,SELERA_RISIKO!$D$5:$D$11),"")</f>
        <v/>
      </c>
      <c r="T43" s="7" t="str">
        <f t="shared" ca="1" si="1"/>
        <v/>
      </c>
      <c r="U43" s="5"/>
    </row>
    <row r="44" spans="1:21" ht="19.95" customHeight="1" x14ac:dyDescent="0.3">
      <c r="A44" s="5"/>
      <c r="B44" s="7" t="str">
        <f ca="1">IFERROR(_xludf.XLOOKUP(A44,IDENTIFIKASI!$B:$B,IDENTIFIKASI!$G:$G),"")</f>
        <v/>
      </c>
      <c r="C44" s="7" t="str">
        <f ca="1">IFERROR(_xludf.XLOOKUP(A44,IDENTIFIKASI!$B:$B,IDENTIFIKASI!$H:$H),"")</f>
        <v/>
      </c>
      <c r="D44" s="59"/>
      <c r="E44" s="5"/>
      <c r="F44" s="5"/>
      <c r="G44" s="7" t="str" cm="1">
        <f t="array" ref="G44">IF(OR(E44="", F44=""), "", INDEX({9,15,18,23,25;6,12,16,19,24;4,8,14,17,22;2,7,10,13,21;1,3,5,11,20}, 6-E44, F44))</f>
        <v/>
      </c>
      <c r="H44" s="7" t="str">
        <f>IF(G44="","",_xludf.IFS(G44&gt;=20,5,G44&gt;=16,4,G44&gt;=11,3,G44&gt;=6,2,G44&gt;0,1,TRUE,""))</f>
        <v/>
      </c>
      <c r="I44" s="7" t="str">
        <f>IFERROR(INDEX({"","Sangat Rendah","Rendah","Sedang","Tinggi","Sangat Tinggi"},H44+1),"")</f>
        <v/>
      </c>
      <c r="J44" s="5"/>
      <c r="K44" s="5"/>
      <c r="L44" s="5"/>
      <c r="M44" s="5"/>
      <c r="N44" s="5"/>
      <c r="O44" s="5"/>
      <c r="P44" s="7" t="str" cm="1">
        <f t="array" ref="P44">IF(OR(N44="", O44=""), "", INDEX({9,15,18,23,25;6,12,16,19,24;4,8,14,17,22;2,7,10,13,21;1,3,5,11,20}, 6-N44, O44))</f>
        <v/>
      </c>
      <c r="Q44" s="7" t="str">
        <f>IF(P44="","",_xludf.IFS(P44&gt;=20,5,P44&gt;=16,4,P44&gt;=11,3,P44&gt;=6,2,P44&gt;0,1,TRUE,""))</f>
        <v/>
      </c>
      <c r="R44" s="7" t="str">
        <f>IFERROR(INDEX({"","Sangat Rendah","Rendah","Sedang","Tinggi","Sangat Tinggi"},Q44+1),"")</f>
        <v/>
      </c>
      <c r="S44" s="7" t="str">
        <f ca="1">IFERROR(_xludf.XLOOKUP(C44,SELERA_RISIKO!$C$5:$C$11,SELERA_RISIKO!$D$5:$D$11),"")</f>
        <v/>
      </c>
      <c r="T44" s="7" t="str">
        <f t="shared" ca="1" si="1"/>
        <v/>
      </c>
      <c r="U44" s="5"/>
    </row>
    <row r="45" spans="1:21" ht="19.95" customHeight="1" x14ac:dyDescent="0.3">
      <c r="A45" s="5"/>
      <c r="B45" s="7" t="str">
        <f ca="1">IFERROR(_xludf.XLOOKUP(A45,IDENTIFIKASI!$B:$B,IDENTIFIKASI!$G:$G),"")</f>
        <v/>
      </c>
      <c r="C45" s="7" t="str">
        <f ca="1">IFERROR(_xludf.XLOOKUP(A45,IDENTIFIKASI!$B:$B,IDENTIFIKASI!$H:$H),"")</f>
        <v/>
      </c>
      <c r="D45" s="59"/>
      <c r="E45" s="5"/>
      <c r="F45" s="5"/>
      <c r="G45" s="7" t="str" cm="1">
        <f t="array" ref="G45">IF(OR(E45="", F45=""), "", INDEX({9,15,18,23,25;6,12,16,19,24;4,8,14,17,22;2,7,10,13,21;1,3,5,11,20}, 6-E45, F45))</f>
        <v/>
      </c>
      <c r="H45" s="7" t="str">
        <f>IF(G45="","",_xludf.IFS(G45&gt;=20,5,G45&gt;=16,4,G45&gt;=11,3,G45&gt;=6,2,G45&gt;0,1,TRUE,""))</f>
        <v/>
      </c>
      <c r="I45" s="7" t="str">
        <f>IFERROR(INDEX({"","Sangat Rendah","Rendah","Sedang","Tinggi","Sangat Tinggi"},H45+1),"")</f>
        <v/>
      </c>
      <c r="J45" s="5"/>
      <c r="K45" s="5"/>
      <c r="L45" s="5"/>
      <c r="M45" s="5"/>
      <c r="N45" s="5"/>
      <c r="O45" s="5"/>
      <c r="P45" s="7" t="str" cm="1">
        <f t="array" ref="P45">IF(OR(N45="", O45=""), "", INDEX({9,15,18,23,25;6,12,16,19,24;4,8,14,17,22;2,7,10,13,21;1,3,5,11,20}, 6-N45, O45))</f>
        <v/>
      </c>
      <c r="Q45" s="7" t="str">
        <f>IF(P45="","",_xludf.IFS(P45&gt;=20,5,P45&gt;=16,4,P45&gt;=11,3,P45&gt;=6,2,P45&gt;0,1,TRUE,""))</f>
        <v/>
      </c>
      <c r="R45" s="7" t="str">
        <f>IFERROR(INDEX({"","Sangat Rendah","Rendah","Sedang","Tinggi","Sangat Tinggi"},Q45+1),"")</f>
        <v/>
      </c>
      <c r="S45" s="7" t="str">
        <f ca="1">IFERROR(_xludf.XLOOKUP(C45,SELERA_RISIKO!$C$5:$C$11,SELERA_RISIKO!$D$5:$D$11),"")</f>
        <v/>
      </c>
      <c r="T45" s="7" t="str">
        <f t="shared" ca="1" si="1"/>
        <v/>
      </c>
      <c r="U45" s="5"/>
    </row>
    <row r="46" spans="1:21" ht="19.95" customHeight="1" x14ac:dyDescent="0.3">
      <c r="A46" s="5"/>
      <c r="B46" s="7" t="str">
        <f ca="1">IFERROR(_xludf.XLOOKUP(A46,IDENTIFIKASI!$B:$B,IDENTIFIKASI!$G:$G),"")</f>
        <v/>
      </c>
      <c r="C46" s="7" t="str">
        <f ca="1">IFERROR(_xludf.XLOOKUP(A46,IDENTIFIKASI!$B:$B,IDENTIFIKASI!$H:$H),"")</f>
        <v/>
      </c>
      <c r="D46" s="59"/>
      <c r="E46" s="5"/>
      <c r="F46" s="5"/>
      <c r="G46" s="7" t="str" cm="1">
        <f t="array" ref="G46">IF(OR(E46="", F46=""), "", INDEX({9,15,18,23,25;6,12,16,19,24;4,8,14,17,22;2,7,10,13,21;1,3,5,11,20}, 6-E46, F46))</f>
        <v/>
      </c>
      <c r="H46" s="7" t="str">
        <f>IF(G46="","",_xludf.IFS(G46&gt;=20,5,G46&gt;=16,4,G46&gt;=11,3,G46&gt;=6,2,G46&gt;0,1,TRUE,""))</f>
        <v/>
      </c>
      <c r="I46" s="7" t="str">
        <f>IFERROR(INDEX({"","Sangat Rendah","Rendah","Sedang","Tinggi","Sangat Tinggi"},H46+1),"")</f>
        <v/>
      </c>
      <c r="J46" s="5"/>
      <c r="K46" s="5"/>
      <c r="L46" s="5"/>
      <c r="M46" s="5"/>
      <c r="N46" s="5"/>
      <c r="O46" s="5"/>
      <c r="P46" s="7" t="str" cm="1">
        <f t="array" ref="P46">IF(OR(N46="", O46=""), "", INDEX({9,15,18,23,25;6,12,16,19,24;4,8,14,17,22;2,7,10,13,21;1,3,5,11,20}, 6-N46, O46))</f>
        <v/>
      </c>
      <c r="Q46" s="7" t="str">
        <f>IF(P46="","",_xludf.IFS(P46&gt;=20,5,P46&gt;=16,4,P46&gt;=11,3,P46&gt;=6,2,P46&gt;0,1,TRUE,""))</f>
        <v/>
      </c>
      <c r="R46" s="7" t="str">
        <f>IFERROR(INDEX({"","Sangat Rendah","Rendah","Sedang","Tinggi","Sangat Tinggi"},Q46+1),"")</f>
        <v/>
      </c>
      <c r="S46" s="7" t="str">
        <f ca="1">IFERROR(_xludf.XLOOKUP(C46,SELERA_RISIKO!$C$5:$C$11,SELERA_RISIKO!$D$5:$D$11),"")</f>
        <v/>
      </c>
      <c r="T46" s="7" t="str">
        <f t="shared" ca="1" si="1"/>
        <v/>
      </c>
      <c r="U46" s="5"/>
    </row>
    <row r="47" spans="1:21" ht="19.95" customHeight="1" x14ac:dyDescent="0.3">
      <c r="A47" s="5"/>
      <c r="B47" s="7" t="str">
        <f ca="1">IFERROR(_xludf.XLOOKUP(A47,IDENTIFIKASI!$B:$B,IDENTIFIKASI!$G:$G),"")</f>
        <v/>
      </c>
      <c r="C47" s="7" t="str">
        <f ca="1">IFERROR(_xludf.XLOOKUP(A47,IDENTIFIKASI!$B:$B,IDENTIFIKASI!$H:$H),"")</f>
        <v/>
      </c>
      <c r="D47" s="59"/>
      <c r="E47" s="5"/>
      <c r="F47" s="5"/>
      <c r="G47" s="7" t="str" cm="1">
        <f t="array" ref="G47">IF(OR(E47="", F47=""), "", INDEX({9,15,18,23,25;6,12,16,19,24;4,8,14,17,22;2,7,10,13,21;1,3,5,11,20}, 6-E47, F47))</f>
        <v/>
      </c>
      <c r="H47" s="7" t="str">
        <f>IF(G47="","",_xludf.IFS(G47&gt;=20,5,G47&gt;=16,4,G47&gt;=11,3,G47&gt;=6,2,G47&gt;0,1,TRUE,""))</f>
        <v/>
      </c>
      <c r="I47" s="7" t="str">
        <f>IFERROR(INDEX({"","Sangat Rendah","Rendah","Sedang","Tinggi","Sangat Tinggi"},H47+1),"")</f>
        <v/>
      </c>
      <c r="J47" s="5"/>
      <c r="K47" s="5"/>
      <c r="L47" s="5"/>
      <c r="M47" s="5"/>
      <c r="N47" s="5"/>
      <c r="O47" s="5"/>
      <c r="P47" s="7" t="str" cm="1">
        <f t="array" ref="P47">IF(OR(N47="", O47=""), "", INDEX({9,15,18,23,25;6,12,16,19,24;4,8,14,17,22;2,7,10,13,21;1,3,5,11,20}, 6-N47, O47))</f>
        <v/>
      </c>
      <c r="Q47" s="7" t="str">
        <f>IF(P47="","",_xludf.IFS(P47&gt;=20,5,P47&gt;=16,4,P47&gt;=11,3,P47&gt;=6,2,P47&gt;0,1,TRUE,""))</f>
        <v/>
      </c>
      <c r="R47" s="7" t="str">
        <f>IFERROR(INDEX({"","Sangat Rendah","Rendah","Sedang","Tinggi","Sangat Tinggi"},Q47+1),"")</f>
        <v/>
      </c>
      <c r="S47" s="7" t="str">
        <f ca="1">IFERROR(_xludf.XLOOKUP(C47,SELERA_RISIKO!$C$5:$C$11,SELERA_RISIKO!$D$5:$D$11),"")</f>
        <v/>
      </c>
      <c r="T47" s="7" t="str">
        <f t="shared" ca="1" si="1"/>
        <v/>
      </c>
      <c r="U47" s="5"/>
    </row>
    <row r="48" spans="1:21" ht="19.95" customHeight="1" x14ac:dyDescent="0.3">
      <c r="A48" s="5"/>
      <c r="B48" s="7" t="str">
        <f ca="1">IFERROR(_xludf.XLOOKUP(A48,IDENTIFIKASI!$B:$B,IDENTIFIKASI!$G:$G),"")</f>
        <v/>
      </c>
      <c r="C48" s="7" t="str">
        <f ca="1">IFERROR(_xludf.XLOOKUP(A48,IDENTIFIKASI!$B:$B,IDENTIFIKASI!$H:$H),"")</f>
        <v/>
      </c>
      <c r="D48" s="59"/>
      <c r="E48" s="5"/>
      <c r="F48" s="5"/>
      <c r="G48" s="7" t="str" cm="1">
        <f t="array" ref="G48">IF(OR(E48="", F48=""), "", INDEX({9,15,18,23,25;6,12,16,19,24;4,8,14,17,22;2,7,10,13,21;1,3,5,11,20}, 6-E48, F48))</f>
        <v/>
      </c>
      <c r="H48" s="7" t="str">
        <f>IF(G48="","",_xludf.IFS(G48&gt;=20,5,G48&gt;=16,4,G48&gt;=11,3,G48&gt;=6,2,G48&gt;0,1,TRUE,""))</f>
        <v/>
      </c>
      <c r="I48" s="7" t="str">
        <f>IFERROR(INDEX({"","Sangat Rendah","Rendah","Sedang","Tinggi","Sangat Tinggi"},H48+1),"")</f>
        <v/>
      </c>
      <c r="J48" s="5"/>
      <c r="K48" s="5"/>
      <c r="L48" s="5"/>
      <c r="M48" s="5"/>
      <c r="N48" s="5"/>
      <c r="O48" s="5"/>
      <c r="P48" s="7" t="str" cm="1">
        <f t="array" ref="P48">IF(OR(N48="", O48=""), "", INDEX({9,15,18,23,25;6,12,16,19,24;4,8,14,17,22;2,7,10,13,21;1,3,5,11,20}, 6-N48, O48))</f>
        <v/>
      </c>
      <c r="Q48" s="7" t="str">
        <f>IF(P48="","",_xludf.IFS(P48&gt;=20,5,P48&gt;=16,4,P48&gt;=11,3,P48&gt;=6,2,P48&gt;0,1,TRUE,""))</f>
        <v/>
      </c>
      <c r="R48" s="7" t="str">
        <f>IFERROR(INDEX({"","Sangat Rendah","Rendah","Sedang","Tinggi","Sangat Tinggi"},Q48+1),"")</f>
        <v/>
      </c>
      <c r="S48" s="7" t="str">
        <f ca="1">IFERROR(_xludf.XLOOKUP(C48,SELERA_RISIKO!$C$5:$C$11,SELERA_RISIKO!$D$5:$D$11),"")</f>
        <v/>
      </c>
      <c r="T48" s="7" t="str">
        <f t="shared" ca="1" si="1"/>
        <v/>
      </c>
      <c r="U48" s="5"/>
    </row>
    <row r="49" spans="1:21" ht="19.95" customHeight="1" x14ac:dyDescent="0.3">
      <c r="A49" s="5"/>
      <c r="B49" s="7" t="str">
        <f ca="1">IFERROR(_xludf.XLOOKUP(A49,IDENTIFIKASI!$B:$B,IDENTIFIKASI!$G:$G),"")</f>
        <v/>
      </c>
      <c r="C49" s="7" t="str">
        <f ca="1">IFERROR(_xludf.XLOOKUP(A49,IDENTIFIKASI!$B:$B,IDENTIFIKASI!$H:$H),"")</f>
        <v/>
      </c>
      <c r="D49" s="59"/>
      <c r="E49" s="5"/>
      <c r="F49" s="5"/>
      <c r="G49" s="7" t="str" cm="1">
        <f t="array" ref="G49">IF(OR(E49="", F49=""), "", INDEX({9,15,18,23,25;6,12,16,19,24;4,8,14,17,22;2,7,10,13,21;1,3,5,11,20}, 6-E49, F49))</f>
        <v/>
      </c>
      <c r="H49" s="7" t="str">
        <f>IF(G49="","",_xludf.IFS(G49&gt;=20,5,G49&gt;=16,4,G49&gt;=11,3,G49&gt;=6,2,G49&gt;0,1,TRUE,""))</f>
        <v/>
      </c>
      <c r="I49" s="7" t="str">
        <f>IFERROR(INDEX({"","Sangat Rendah","Rendah","Sedang","Tinggi","Sangat Tinggi"},H49+1),"")</f>
        <v/>
      </c>
      <c r="J49" s="5"/>
      <c r="K49" s="5"/>
      <c r="L49" s="5"/>
      <c r="M49" s="5"/>
      <c r="N49" s="5"/>
      <c r="O49" s="5"/>
      <c r="P49" s="7" t="str" cm="1">
        <f t="array" ref="P49">IF(OR(N49="", O49=""), "", INDEX({9,15,18,23,25;6,12,16,19,24;4,8,14,17,22;2,7,10,13,21;1,3,5,11,20}, 6-N49, O49))</f>
        <v/>
      </c>
      <c r="Q49" s="7" t="str">
        <f>IF(P49="","",_xludf.IFS(P49&gt;=20,5,P49&gt;=16,4,P49&gt;=11,3,P49&gt;=6,2,P49&gt;0,1,TRUE,""))</f>
        <v/>
      </c>
      <c r="R49" s="7" t="str">
        <f>IFERROR(INDEX({"","Sangat Rendah","Rendah","Sedang","Tinggi","Sangat Tinggi"},Q49+1),"")</f>
        <v/>
      </c>
      <c r="S49" s="7" t="str">
        <f ca="1">IFERROR(_xludf.XLOOKUP(C49,SELERA_RISIKO!$C$5:$C$11,SELERA_RISIKO!$D$5:$D$11),"")</f>
        <v/>
      </c>
      <c r="T49" s="7" t="str">
        <f t="shared" ca="1" si="1"/>
        <v/>
      </c>
      <c r="U49" s="5"/>
    </row>
    <row r="50" spans="1:21" ht="19.95" customHeight="1" x14ac:dyDescent="0.3">
      <c r="A50" s="5"/>
      <c r="B50" s="7" t="str">
        <f ca="1">IFERROR(_xludf.XLOOKUP(A50,IDENTIFIKASI!$B:$B,IDENTIFIKASI!$G:$G),"")</f>
        <v/>
      </c>
      <c r="C50" s="7" t="str">
        <f ca="1">IFERROR(_xludf.XLOOKUP(A50,IDENTIFIKASI!$B:$B,IDENTIFIKASI!$H:$H),"")</f>
        <v/>
      </c>
      <c r="D50" s="59"/>
      <c r="E50" s="5"/>
      <c r="F50" s="5"/>
      <c r="G50" s="7" t="str" cm="1">
        <f t="array" ref="G50">IF(OR(E50="", F50=""), "", INDEX({9,15,18,23,25;6,12,16,19,24;4,8,14,17,22;2,7,10,13,21;1,3,5,11,20}, 6-E50, F50))</f>
        <v/>
      </c>
      <c r="H50" s="7" t="str">
        <f>IF(G50="","",_xludf.IFS(G50&gt;=20,5,G50&gt;=16,4,G50&gt;=11,3,G50&gt;=6,2,G50&gt;0,1,TRUE,""))</f>
        <v/>
      </c>
      <c r="I50" s="7" t="str">
        <f>IFERROR(INDEX({"","Sangat Rendah","Rendah","Sedang","Tinggi","Sangat Tinggi"},H50+1),"")</f>
        <v/>
      </c>
      <c r="J50" s="5"/>
      <c r="K50" s="5"/>
      <c r="L50" s="5"/>
      <c r="M50" s="5"/>
      <c r="N50" s="5"/>
      <c r="O50" s="5"/>
      <c r="P50" s="7" t="str" cm="1">
        <f t="array" ref="P50">IF(OR(N50="", O50=""), "", INDEX({9,15,18,23,25;6,12,16,19,24;4,8,14,17,22;2,7,10,13,21;1,3,5,11,20}, 6-N50, O50))</f>
        <v/>
      </c>
      <c r="Q50" s="7" t="str">
        <f>IF(P50="","",_xludf.IFS(P50&gt;=20,5,P50&gt;=16,4,P50&gt;=11,3,P50&gt;=6,2,P50&gt;0,1,TRUE,""))</f>
        <v/>
      </c>
      <c r="R50" s="7" t="str">
        <f>IFERROR(INDEX({"","Sangat Rendah","Rendah","Sedang","Tinggi","Sangat Tinggi"},Q50+1),"")</f>
        <v/>
      </c>
      <c r="S50" s="7" t="str">
        <f ca="1">IFERROR(_xludf.XLOOKUP(C50,SELERA_RISIKO!$C$5:$C$11,SELERA_RISIKO!$D$5:$D$11),"")</f>
        <v/>
      </c>
      <c r="T50" s="7" t="str">
        <f t="shared" ca="1" si="1"/>
        <v/>
      </c>
      <c r="U50" s="5"/>
    </row>
    <row r="51" spans="1:21" ht="19.95" customHeight="1" x14ac:dyDescent="0.3">
      <c r="A51" s="5"/>
      <c r="B51" s="7" t="str">
        <f ca="1">IFERROR(_xludf.XLOOKUP(A51,IDENTIFIKASI!$B:$B,IDENTIFIKASI!$G:$G),"")</f>
        <v/>
      </c>
      <c r="C51" s="7" t="str">
        <f ca="1">IFERROR(_xludf.XLOOKUP(A51,IDENTIFIKASI!$B:$B,IDENTIFIKASI!$H:$H),"")</f>
        <v/>
      </c>
      <c r="D51" s="59"/>
      <c r="E51" s="5"/>
      <c r="F51" s="5"/>
      <c r="G51" s="7" t="str" cm="1">
        <f t="array" ref="G51">IF(OR(E51="", F51=""), "", INDEX({9,15,18,23,25;6,12,16,19,24;4,8,14,17,22;2,7,10,13,21;1,3,5,11,20}, 6-E51, F51))</f>
        <v/>
      </c>
      <c r="H51" s="7" t="str">
        <f>IF(G51="","",_xludf.IFS(G51&gt;=20,5,G51&gt;=16,4,G51&gt;=11,3,G51&gt;=6,2,G51&gt;0,1,TRUE,""))</f>
        <v/>
      </c>
      <c r="I51" s="7" t="str">
        <f>IFERROR(INDEX({"","Sangat Rendah","Rendah","Sedang","Tinggi","Sangat Tinggi"},H51+1),"")</f>
        <v/>
      </c>
      <c r="J51" s="5"/>
      <c r="K51" s="5"/>
      <c r="L51" s="5"/>
      <c r="M51" s="5"/>
      <c r="N51" s="5"/>
      <c r="O51" s="5"/>
      <c r="P51" s="7" t="str" cm="1">
        <f t="array" ref="P51">IF(OR(N51="", O51=""), "", INDEX({9,15,18,23,25;6,12,16,19,24;4,8,14,17,22;2,7,10,13,21;1,3,5,11,20}, 6-N51, O51))</f>
        <v/>
      </c>
      <c r="Q51" s="7" t="str">
        <f>IF(P51="","",_xludf.IFS(P51&gt;=20,5,P51&gt;=16,4,P51&gt;=11,3,P51&gt;=6,2,P51&gt;0,1,TRUE,""))</f>
        <v/>
      </c>
      <c r="R51" s="7" t="str">
        <f>IFERROR(INDEX({"","Sangat Rendah","Rendah","Sedang","Tinggi","Sangat Tinggi"},Q51+1),"")</f>
        <v/>
      </c>
      <c r="S51" s="7" t="str">
        <f ca="1">IFERROR(_xludf.XLOOKUP(C51,SELERA_RISIKO!$C$5:$C$11,SELERA_RISIKO!$D$5:$D$11),"")</f>
        <v/>
      </c>
      <c r="T51" s="7" t="str">
        <f t="shared" ca="1" si="1"/>
        <v/>
      </c>
      <c r="U51" s="5"/>
    </row>
    <row r="52" spans="1:21" ht="19.95" customHeight="1" x14ac:dyDescent="0.3">
      <c r="A52" s="5"/>
      <c r="B52" s="7" t="str">
        <f ca="1">IFERROR(_xludf.XLOOKUP(A52,IDENTIFIKASI!$B:$B,IDENTIFIKASI!$G:$G),"")</f>
        <v/>
      </c>
      <c r="C52" s="7" t="str">
        <f ca="1">IFERROR(_xludf.XLOOKUP(A52,IDENTIFIKASI!$B:$B,IDENTIFIKASI!$H:$H),"")</f>
        <v/>
      </c>
      <c r="D52" s="59"/>
      <c r="E52" s="5"/>
      <c r="F52" s="5"/>
      <c r="G52" s="7" t="str" cm="1">
        <f t="array" ref="G52">IF(OR(E52="", F52=""), "", INDEX({9,15,18,23,25;6,12,16,19,24;4,8,14,17,22;2,7,10,13,21;1,3,5,11,20}, 6-E52, F52))</f>
        <v/>
      </c>
      <c r="H52" s="7" t="str">
        <f>IF(G52="","",_xludf.IFS(G52&gt;=20,5,G52&gt;=16,4,G52&gt;=11,3,G52&gt;=6,2,G52&gt;0,1,TRUE,""))</f>
        <v/>
      </c>
      <c r="I52" s="7" t="str">
        <f>IFERROR(INDEX({"","Sangat Rendah","Rendah","Sedang","Tinggi","Sangat Tinggi"},H52+1),"")</f>
        <v/>
      </c>
      <c r="J52" s="5"/>
      <c r="K52" s="5"/>
      <c r="L52" s="5"/>
      <c r="M52" s="5"/>
      <c r="N52" s="5"/>
      <c r="O52" s="5"/>
      <c r="P52" s="7" t="str" cm="1">
        <f t="array" ref="P52">IF(OR(N52="", O52=""), "", INDEX({9,15,18,23,25;6,12,16,19,24;4,8,14,17,22;2,7,10,13,21;1,3,5,11,20}, 6-N52, O52))</f>
        <v/>
      </c>
      <c r="Q52" s="7" t="str">
        <f>IF(P52="","",_xludf.IFS(P52&gt;=20,5,P52&gt;=16,4,P52&gt;=11,3,P52&gt;=6,2,P52&gt;0,1,TRUE,""))</f>
        <v/>
      </c>
      <c r="R52" s="7" t="str">
        <f>IFERROR(INDEX({"","Sangat Rendah","Rendah","Sedang","Tinggi","Sangat Tinggi"},Q52+1),"")</f>
        <v/>
      </c>
      <c r="S52" s="7" t="str">
        <f ca="1">IFERROR(_xludf.XLOOKUP(C52,SELERA_RISIKO!$C$5:$C$11,SELERA_RISIKO!$D$5:$D$11),"")</f>
        <v/>
      </c>
      <c r="T52" s="7" t="str">
        <f t="shared" ca="1" si="1"/>
        <v/>
      </c>
      <c r="U52" s="5"/>
    </row>
  </sheetData>
  <mergeCells count="1">
    <mergeCell ref="A1:U1"/>
  </mergeCells>
  <conditionalFormatting sqref="Q3:Q52">
    <cfRule type="cellIs" dxfId="10" priority="2" operator="equal">
      <formula>5</formula>
    </cfRule>
    <cfRule type="cellIs" dxfId="9" priority="2" operator="equal">
      <formula>4</formula>
    </cfRule>
    <cfRule type="cellIs" dxfId="8" priority="3" operator="equal">
      <formula>3</formula>
    </cfRule>
    <cfRule type="cellIs" dxfId="7" priority="4" operator="equal">
      <formula>2</formula>
    </cfRule>
    <cfRule type="cellIs" dxfId="6" priority="5" operator="equal">
      <formula>1</formula>
    </cfRule>
  </conditionalFormatting>
  <dataValidations count="4">
    <dataValidation type="list" allowBlank="1" showErrorMessage="1" errorTitle="Nilai tidak valid" error="Pilih dari daftar yang tersedia." sqref="N3:O52 E3:F52" xr:uid="{00000000-0002-0000-0600-000000000000}">
      <formula1>"1,2,3,4,5"</formula1>
    </dataValidation>
    <dataValidation type="list" allowBlank="1" showErrorMessage="1" errorTitle="Nilai tidak valid" error="Pilih dari daftar yang tersedia." sqref="J3:J52" xr:uid="{00000000-0002-0000-0600-000064000000}">
      <formula1>"Ya,Tidak"</formula1>
    </dataValidation>
    <dataValidation type="list" allowBlank="1" showErrorMessage="1" errorTitle="Nilai tidak valid" error="Pilih dari daftar yang tersedia." sqref="L3:L52" xr:uid="{00000000-0002-0000-0600-000096000000}">
      <formula1>"Efektif,Tidak Efektif"</formula1>
    </dataValidation>
    <dataValidation type="list" allowBlank="1" showErrorMessage="1" errorTitle="Nilai tidak valid" error="Pilih dari daftar yang tersedia." sqref="M3:M52" xr:uid="{00000000-0002-0000-0600-0000C8000000}">
      <formula1>"Memadai,Cukup,Kurang,Tidak Memiliki"</formula1>
    </dataValidation>
  </dataValidation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0000000-000E-0000-0600-000001000000}">
            <xm:f>NOT(ISERROR(SEARCH("YA",T3)))</xm:f>
            <x14:dxf>
              <font>
                <b/>
                <color rgb="FFC53030"/>
              </font>
              <fill>
                <patternFill patternType="solid">
                  <bgColor rgb="FFFEB2B2"/>
                </patternFill>
              </fill>
            </x14:dxf>
          </x14:cfRule>
          <xm:sqref>T3:T52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16BC78-3BFA-4283-87D6-01EFC52FDD7C}">
          <x14:formula1>
            <xm:f>IDENTIFIKASI!$B$3:$B$52</xm:f>
          </x14:formula1>
          <xm:sqref>A3:A52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52"/>
  <sheetViews>
    <sheetView workbookViewId="0">
      <pane ySplit="3" topLeftCell="A4" activePane="bottomLeft" state="frozen"/>
      <selection pane="bottomLeft" activeCell="D4" sqref="D4"/>
    </sheetView>
  </sheetViews>
  <sheetFormatPr defaultRowHeight="14.4" x14ac:dyDescent="0.3"/>
  <cols>
    <col min="1" max="1" width="6.5546875" customWidth="1"/>
    <col min="2" max="2" width="12" customWidth="1"/>
    <col min="3" max="8" width="14" customWidth="1"/>
    <col min="9" max="9" width="10" customWidth="1"/>
    <col min="10" max="10" width="12" customWidth="1"/>
  </cols>
  <sheetData>
    <row r="1" spans="1:10" ht="28.05" customHeight="1" x14ac:dyDescent="0.3">
      <c r="A1" s="49" t="s">
        <v>310</v>
      </c>
      <c r="B1" s="49"/>
      <c r="C1" s="49"/>
      <c r="D1" s="49"/>
      <c r="E1" s="49"/>
      <c r="F1" s="49"/>
      <c r="G1" s="49"/>
      <c r="H1" s="49"/>
      <c r="I1" s="49"/>
      <c r="J1" s="49"/>
    </row>
    <row r="2" spans="1:10" ht="22.05" customHeight="1" x14ac:dyDescent="0.3">
      <c r="A2" s="40" t="s">
        <v>311</v>
      </c>
      <c r="B2" s="40"/>
      <c r="C2" s="40"/>
      <c r="D2" s="40"/>
      <c r="E2" s="40"/>
      <c r="F2" s="40"/>
      <c r="G2" s="40"/>
      <c r="H2" s="40"/>
      <c r="I2" s="40"/>
      <c r="J2" s="40"/>
    </row>
    <row r="3" spans="1:10" ht="28.8" x14ac:dyDescent="0.3">
      <c r="A3" s="15" t="s">
        <v>269</v>
      </c>
      <c r="B3" s="15" t="s">
        <v>273</v>
      </c>
      <c r="C3" s="15" t="s">
        <v>293</v>
      </c>
      <c r="D3" s="15" t="s">
        <v>312</v>
      </c>
      <c r="E3" s="15" t="s">
        <v>313</v>
      </c>
      <c r="F3" s="15" t="s">
        <v>314</v>
      </c>
      <c r="G3" s="15" t="s">
        <v>315</v>
      </c>
      <c r="H3" s="15" t="s">
        <v>316</v>
      </c>
      <c r="I3" s="15" t="s">
        <v>317</v>
      </c>
      <c r="J3" s="15" t="s">
        <v>318</v>
      </c>
    </row>
    <row r="4" spans="1:10" ht="41.4" x14ac:dyDescent="0.3">
      <c r="A4" s="60" t="str" cm="1">
        <f t="array" aca="1" ref="A4:J4" ca="1">IFERROR(_xlfn.CHOOSECOLS(_xlfn._xlws.FILTER(ANALISIS!A3:U52, ANALISIS!T3:T52="YA ⚠"), 1, 2, 3, 4, 7, 8, 16, 17, 19, 18), "Belum ada risiko prioritas")</f>
        <v>E1-BSDK.KBJ.001</v>
      </c>
      <c r="B4" s="61" t="str">
        <f ca="1"/>
        <v>Pernyataan 1</v>
      </c>
      <c r="C4" s="61" t="str">
        <f ca="1"/>
        <v>Kebijakan</v>
      </c>
      <c r="D4" s="61" t="str">
        <f ca="1"/>
        <v>MA-01.01</v>
      </c>
      <c r="E4" s="61">
        <f ca="1"/>
        <v>24</v>
      </c>
      <c r="F4" s="61">
        <f ca="1"/>
        <v>5</v>
      </c>
      <c r="G4" s="61">
        <f ca="1"/>
        <v>19</v>
      </c>
      <c r="H4" s="61">
        <f ca="1"/>
        <v>4</v>
      </c>
      <c r="I4" s="61">
        <f ca="1"/>
        <v>3</v>
      </c>
      <c r="J4" s="62" t="str">
        <f ca="1"/>
        <v>Tinggi</v>
      </c>
    </row>
    <row r="5" spans="1:10" ht="19.95" customHeight="1" x14ac:dyDescent="0.3"/>
    <row r="6" spans="1:10" ht="19.95" customHeight="1" x14ac:dyDescent="0.3"/>
    <row r="7" spans="1:10" ht="22.05" customHeight="1" x14ac:dyDescent="0.3">
      <c r="A7" s="40" t="s">
        <v>319</v>
      </c>
      <c r="B7" s="40"/>
      <c r="C7" s="40"/>
      <c r="D7" s="40"/>
      <c r="E7" s="40"/>
      <c r="F7" s="40"/>
      <c r="G7" s="40"/>
      <c r="H7" s="40"/>
    </row>
    <row r="8" spans="1:10" ht="19.95" customHeight="1" x14ac:dyDescent="0.3">
      <c r="B8" s="16" t="s">
        <v>320</v>
      </c>
      <c r="C8" s="17" t="s">
        <v>321</v>
      </c>
      <c r="D8" s="17" t="s">
        <v>322</v>
      </c>
      <c r="E8" s="17" t="s">
        <v>323</v>
      </c>
      <c r="F8" s="17" t="s">
        <v>324</v>
      </c>
      <c r="G8" s="17" t="s">
        <v>325</v>
      </c>
    </row>
    <row r="9" spans="1:10" ht="31.95" customHeight="1" x14ac:dyDescent="0.3">
      <c r="B9" s="17" t="s">
        <v>326</v>
      </c>
      <c r="C9" s="18" t="str">
        <f>IFERROR(_xlfn.TEXTJOIN(", ",TRUE,IF((ANALISIS!N3:N52=5)*(ANALISIS!O3:O52=1),ANALISIS!A3:A52,""))&amp;IF(COUNTIFS(ANALISIS!N3:N52,5,ANALISIS!O3:O52,1)=0,"—",""),"—")</f>
        <v>—</v>
      </c>
      <c r="D9" s="19" t="str">
        <f>IFERROR(_xlfn.TEXTJOIN(", ",TRUE,IF((ANALISIS!N3:N52=5)*(ANALISIS!O3:O52=2),ANALISIS!A3:A52,""))&amp;IF(COUNTIFS(ANALISIS!N3:N52,5,ANALISIS!O3:O52,2)=0,"—",""),"—")</f>
        <v>—</v>
      </c>
      <c r="E9" s="20" t="str">
        <f>IFERROR(_xlfn.TEXTJOIN(", ",TRUE,IF((ANALISIS!N3:N52=5)*(ANALISIS!O3:O52=3),ANALISIS!A3:A52,""))&amp;IF(COUNTIFS(ANALISIS!N3:N52,5,ANALISIS!O3:O52,3)=0,"—",""),"—")</f>
        <v>—</v>
      </c>
      <c r="F9" s="21" t="str">
        <f>IFERROR(_xlfn.TEXTJOIN(", ",TRUE,IF((ANALISIS!N3:N52=5)*(ANALISIS!O3:O52=4),ANALISIS!A3:A52,""))&amp;IF(COUNTIFS(ANALISIS!N3:N52,5,ANALISIS!O3:O52,4)=0,"—",""),"—")</f>
        <v>—</v>
      </c>
      <c r="G9" s="21" t="str">
        <f>IFERROR(_xlfn.TEXTJOIN(", ",TRUE,IF((ANALISIS!N3:N52=5)*(ANALISIS!O3:O52=5),ANALISIS!A3:A52,""))&amp;IF(COUNTIFS(ANALISIS!N3:N52,5,ANALISIS!O3:O52,5)=0,"—",""),"—")</f>
        <v>—</v>
      </c>
    </row>
    <row r="10" spans="1:10" ht="31.95" customHeight="1" x14ac:dyDescent="0.3">
      <c r="B10" s="17" t="s">
        <v>327</v>
      </c>
      <c r="C10" s="18" t="str">
        <f>IFERROR(_xlfn.TEXTJOIN(", ",TRUE,IF((ANALISIS!N3:N52=4)*(ANALISIS!O3:O52=1),ANALISIS!A3:A52,""))&amp;IF(COUNTIFS(ANALISIS!N3:N52,4,ANALISIS!O3:O52,1)=0,"—",""),"—")</f>
        <v>—</v>
      </c>
      <c r="D10" s="19" t="str">
        <f>IFERROR(_xlfn.TEXTJOIN(", ",TRUE,IF((ANALISIS!N3:N52=4)*(ANALISIS!O3:O52=2),ANALISIS!A3:A52,""))&amp;IF(COUNTIFS(ANALISIS!N3:N52,4,ANALISIS!O3:O52,2)=0,"—",""),"—")</f>
        <v>—</v>
      </c>
      <c r="E10" s="20" t="str">
        <f>IFERROR(_xlfn.TEXTJOIN(", ",TRUE,IF((ANALISIS!N3:N52=4)*(ANALISIS!O3:O52=3),ANALISIS!A3:A52,""))&amp;IF(COUNTIFS(ANALISIS!N3:N52,4,ANALISIS!O3:O52,3)=0,"—",""),"—")</f>
        <v>—</v>
      </c>
      <c r="F10" s="22" t="str">
        <f>IFERROR(_xlfn.TEXTJOIN(", ",TRUE,IF((ANALISIS!N3:N52=4)*(ANALISIS!O3:O52=4),ANALISIS!A3:A52,""))&amp;IF(COUNTIFS(ANALISIS!N3:N52,4,ANALISIS!O3:O52,4)=0,"—",""),"—")</f>
        <v/>
      </c>
      <c r="G10" s="21" t="str">
        <f>IFERROR(_xlfn.TEXTJOIN(", ",TRUE,IF((ANALISIS!N3:N52=4)*(ANALISIS!O3:O52=5),ANALISIS!A3:A52,""))&amp;IF(COUNTIFS(ANALISIS!N3:N52,4,ANALISIS!O3:O52,5)=0,"—",""),"—")</f>
        <v>—</v>
      </c>
    </row>
    <row r="11" spans="1:10" ht="31.95" customHeight="1" x14ac:dyDescent="0.3">
      <c r="B11" s="17" t="s">
        <v>328</v>
      </c>
      <c r="C11" s="18" t="str">
        <f>IFERROR(_xlfn.TEXTJOIN(", ",TRUE,IF((ANALISIS!N3:N52=3)*(ANALISIS!O3:O52=1),ANALISIS!A3:A52,""))&amp;IF(COUNTIFS(ANALISIS!N3:N52,3,ANALISIS!O3:O52,1)=0,"—",""),"—")</f>
        <v>—</v>
      </c>
      <c r="D11" s="19" t="str">
        <f>IFERROR(_xlfn.TEXTJOIN(", ",TRUE,IF((ANALISIS!N3:N52=3)*(ANALISIS!O3:O52=2),ANALISIS!A3:A52,""))&amp;IF(COUNTIFS(ANALISIS!N3:N52,3,ANALISIS!O3:O52,2)=0,"—",""),"—")</f>
        <v>—</v>
      </c>
      <c r="E11" s="19" t="str">
        <f>IFERROR(_xlfn.TEXTJOIN(", ",TRUE,IF((ANALISIS!N3:N52=3)*(ANALISIS!O3:O52=3),ANALISIS!A3:A52,""))&amp;IF(COUNTIFS(ANALISIS!N3:N52,3,ANALISIS!O3:O52,3)=0,"—",""),"—")</f>
        <v>—</v>
      </c>
      <c r="F11" s="20" t="str">
        <f>IFERROR(_xlfn.TEXTJOIN(", ",TRUE,IF((ANALISIS!N3:N52=3)*(ANALISIS!O3:O52=4),ANALISIS!A3:A52,""))&amp;IF(COUNTIFS(ANALISIS!N3:N52,3,ANALISIS!O3:O52,4)=0,"—",""),"—")</f>
        <v>—</v>
      </c>
      <c r="G11" s="20" t="str">
        <f>IFERROR(_xlfn.TEXTJOIN(", ",TRUE,IF((ANALISIS!N3:N52=3)*(ANALISIS!O3:O52=5),ANALISIS!A3:A52,""))&amp;IF(COUNTIFS(ANALISIS!N3:N52,3,ANALISIS!O3:O52,5)=0,"—",""),"—")</f>
        <v>—</v>
      </c>
    </row>
    <row r="12" spans="1:10" ht="31.95" customHeight="1" x14ac:dyDescent="0.3">
      <c r="B12" s="17" t="s">
        <v>329</v>
      </c>
      <c r="C12" s="18" t="str">
        <f>IFERROR(_xlfn.TEXTJOIN(", ",TRUE,IF((ANALISIS!N3:N52=2)*(ANALISIS!O3:O52=1),ANALISIS!A3:A52,""))&amp;IF(COUNTIFS(ANALISIS!N3:N52,2,ANALISIS!O3:O52,1)=0,"—",""),"—")</f>
        <v>—</v>
      </c>
      <c r="D12" s="18" t="str">
        <f>IFERROR(_xlfn.TEXTJOIN(", ",TRUE,IF((ANALISIS!N3:N52=2)*(ANALISIS!O3:O52=2),ANALISIS!A3:A52,""))&amp;IF(COUNTIFS(ANALISIS!N3:N52,2,ANALISIS!O3:O52,2)=0,"—",""),"—")</f>
        <v>—</v>
      </c>
      <c r="E12" s="19" t="str">
        <f>IFERROR(_xlfn.TEXTJOIN(", ",TRUE,IF((ANALISIS!N3:N52=2)*(ANALISIS!O3:O52=3),ANALISIS!A3:A52,""))&amp;IF(COUNTIFS(ANALISIS!N3:N52,2,ANALISIS!O3:O52,3)=0,"—",""),"—")</f>
        <v>—</v>
      </c>
      <c r="F12" s="19" t="str">
        <f>IFERROR(_xlfn.TEXTJOIN(", ",TRUE,IF((ANALISIS!N3:N52=2)*(ANALISIS!O3:O52=4),ANALISIS!A3:A52,""))&amp;IF(COUNTIFS(ANALISIS!N3:N52,2,ANALISIS!O3:O52,4)=0,"—",""),"—")</f>
        <v>—</v>
      </c>
      <c r="G12" s="19" t="str">
        <f>IFERROR(_xlfn.TEXTJOIN(", ",TRUE,IF((ANALISIS!N3:N52=2)*(ANALISIS!O3:O52=5),ANALISIS!A3:A52,""))&amp;IF(COUNTIFS(ANALISIS!N3:N52,2,ANALISIS!O3:O52,5)=0,"—",""),"—")</f>
        <v>—</v>
      </c>
    </row>
    <row r="13" spans="1:10" ht="31.95" customHeight="1" x14ac:dyDescent="0.3">
      <c r="B13" s="17" t="s">
        <v>330</v>
      </c>
      <c r="C13" s="18" t="str">
        <f>IFERROR(_xlfn.TEXTJOIN(", ",TRUE,IF((ANALISIS!N3:N52=1)*(ANALISIS!O3:O52=1),ANALISIS!A3:A52,""))&amp;IF(COUNTIFS(ANALISIS!N3:N52,1,ANALISIS!O3:O52,1)=0,"—",""),"—")</f>
        <v>—</v>
      </c>
      <c r="D13" s="18" t="str">
        <f>IFERROR(_xlfn.TEXTJOIN(", ",TRUE,IF((ANALISIS!N3:N52=1)*(ANALISIS!O3:O52=2),ANALISIS!A3:A52,""))&amp;IF(COUNTIFS(ANALISIS!N3:N52,1,ANALISIS!O3:O52,2)=0,"—",""),"—")</f>
        <v>—</v>
      </c>
      <c r="E13" s="18" t="str">
        <f>IFERROR(_xlfn.TEXTJOIN(", ",TRUE,IF((ANALISIS!N3:N52=1)*(ANALISIS!O3:O52=3),ANALISIS!A3:A52,""))&amp;IF(COUNTIFS(ANALISIS!N3:N52,1,ANALISIS!O3:O52,3)=0,"—",""),"—")</f>
        <v>—</v>
      </c>
      <c r="F13" s="18" t="str">
        <f>IFERROR(_xlfn.TEXTJOIN(", ",TRUE,IF((ANALISIS!N3:N52=1)*(ANALISIS!O3:O52=4),ANALISIS!A3:A52,""))&amp;IF(COUNTIFS(ANALISIS!N3:N52,1,ANALISIS!O3:O52,4)=0,"—",""),"—")</f>
        <v>—</v>
      </c>
      <c r="G13" s="18" t="str">
        <f>IFERROR(_xlfn.TEXTJOIN(", ",TRUE,IF((ANALISIS!N3:N52=1)*(ANALISIS!O3:O52=5),ANALISIS!A3:A52,""))&amp;IF(COUNTIFS(ANALISIS!N3:N52,1,ANALISIS!O3:O52,5)=0,"—",""),"—")</f>
        <v>—</v>
      </c>
    </row>
    <row r="14" spans="1:10" ht="19.95" customHeight="1" x14ac:dyDescent="0.3"/>
    <row r="15" spans="1:10" ht="19.95" customHeight="1" x14ac:dyDescent="0.3">
      <c r="A15" s="50" t="s">
        <v>331</v>
      </c>
      <c r="B15" s="50"/>
      <c r="C15" s="50"/>
      <c r="D15" s="50"/>
      <c r="E15" s="50"/>
      <c r="F15" s="50"/>
      <c r="G15" s="50"/>
      <c r="H15" s="50"/>
    </row>
    <row r="16" spans="1:10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ht="19.95" customHeight="1" x14ac:dyDescent="0.3"/>
    <row r="50" ht="19.95" customHeight="1" x14ac:dyDescent="0.3"/>
    <row r="51" ht="19.95" customHeight="1" x14ac:dyDescent="0.3"/>
    <row r="52" ht="19.95" customHeight="1" x14ac:dyDescent="0.3"/>
  </sheetData>
  <mergeCells count="4">
    <mergeCell ref="A1:J1"/>
    <mergeCell ref="A2:J2"/>
    <mergeCell ref="A7:H7"/>
    <mergeCell ref="A15:H15"/>
  </mergeCells>
  <pageMargins left="0.7" right="0.7" top="0.75" bottom="0.75" header="0.3" footer="0.3"/>
  <pageSetup orientation="portrait" horizontalDpi="4294967295" verticalDpi="429496729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53"/>
  <sheetViews>
    <sheetView workbookViewId="0">
      <pane ySplit="3" topLeftCell="A4" activePane="bottomLeft" state="frozen"/>
      <selection pane="bottomLeft" activeCell="F5" sqref="F5"/>
    </sheetView>
  </sheetViews>
  <sheetFormatPr defaultRowHeight="14.4" x14ac:dyDescent="0.3"/>
  <cols>
    <col min="1" max="1" width="6" customWidth="1"/>
    <col min="2" max="2" width="20" customWidth="1"/>
    <col min="3" max="5" width="44" customWidth="1"/>
    <col min="6" max="6" width="30" customWidth="1"/>
  </cols>
  <sheetData>
    <row r="1" spans="1:6" ht="28.05" customHeight="1" x14ac:dyDescent="0.3">
      <c r="A1" s="51" t="s">
        <v>332</v>
      </c>
      <c r="B1" s="51"/>
      <c r="C1" s="51"/>
      <c r="D1" s="51"/>
      <c r="E1" s="51"/>
      <c r="F1" s="51"/>
    </row>
    <row r="2" spans="1:6" ht="30" customHeight="1" x14ac:dyDescent="0.3">
      <c r="A2" s="52" t="s">
        <v>333</v>
      </c>
      <c r="B2" s="52"/>
      <c r="C2" s="52"/>
      <c r="D2" s="52"/>
      <c r="E2" s="52"/>
      <c r="F2" s="52"/>
    </row>
    <row r="3" spans="1:6" ht="36" customHeight="1" x14ac:dyDescent="0.3">
      <c r="A3" s="23" t="s">
        <v>52</v>
      </c>
      <c r="B3" s="23" t="s">
        <v>334</v>
      </c>
      <c r="C3" s="23" t="s">
        <v>273</v>
      </c>
      <c r="D3" s="23" t="s">
        <v>335</v>
      </c>
      <c r="E3" s="23" t="s">
        <v>336</v>
      </c>
      <c r="F3" s="23" t="s">
        <v>337</v>
      </c>
    </row>
    <row r="4" spans="1:6" ht="24" customHeight="1" x14ac:dyDescent="0.3">
      <c r="A4" s="7">
        <f t="shared" ref="A4:A35" si="0">IF(B4&lt;&gt;"",ROW()-3,"")</f>
        <v>1</v>
      </c>
      <c r="B4" s="5" t="s">
        <v>2226</v>
      </c>
      <c r="C4" s="7" t="str">
        <f>IFERROR(_xlfn.XLOOKUP(B4,ANALISIS!$A:$A,ANALISIS!$B:$B),"")</f>
        <v>Pernyataan 1</v>
      </c>
      <c r="D4" s="7" t="str">
        <f>IFERROR(_xlfn.XLOOKUP(B4,ANALISIS!$A:$A,ANALISIS!$K:$K),"")</f>
        <v>Pengendalian Eksisting 1</v>
      </c>
      <c r="E4" s="5" t="s">
        <v>2225</v>
      </c>
      <c r="F4" s="5" t="s">
        <v>2225</v>
      </c>
    </row>
    <row r="5" spans="1:6" ht="24" customHeight="1" x14ac:dyDescent="0.3">
      <c r="A5" s="7" t="str">
        <f t="shared" si="0"/>
        <v/>
      </c>
      <c r="B5" s="5"/>
      <c r="C5" s="7" t="str">
        <f ca="1">IFERROR(_xlfn.XLOOKUP(B5,ANALISIS!$A:$A,ANALISIS!$B:$B),"")</f>
        <v/>
      </c>
      <c r="D5" s="7">
        <f>IFERROR(_xlfn.XLOOKUP(B5,ANALISIS!$A:$A,ANALISIS!$K:$K),"")</f>
        <v>0</v>
      </c>
      <c r="E5" s="5"/>
      <c r="F5" s="5"/>
    </row>
    <row r="6" spans="1:6" ht="24" customHeight="1" x14ac:dyDescent="0.3">
      <c r="A6" s="7" t="str">
        <f t="shared" si="0"/>
        <v/>
      </c>
      <c r="B6" s="5"/>
      <c r="C6" s="7" t="str">
        <f ca="1">IFERROR(_xlfn.XLOOKUP(B6,ANALISIS!$A:$A,ANALISIS!$B:$B),"")</f>
        <v/>
      </c>
      <c r="D6" s="7">
        <f>IFERROR(_xlfn.XLOOKUP(B6,ANALISIS!$A:$A,ANALISIS!$K:$K),"")</f>
        <v>0</v>
      </c>
      <c r="E6" s="5"/>
      <c r="F6" s="5"/>
    </row>
    <row r="7" spans="1:6" ht="24" customHeight="1" x14ac:dyDescent="0.3">
      <c r="A7" s="7" t="str">
        <f t="shared" si="0"/>
        <v/>
      </c>
      <c r="B7" s="5"/>
      <c r="C7" s="7" t="str">
        <f ca="1">IFERROR(_xlfn.XLOOKUP(B7,ANALISIS!$A:$A,ANALISIS!$B:$B),"")</f>
        <v/>
      </c>
      <c r="D7" s="7">
        <f>IFERROR(_xlfn.XLOOKUP(B7,ANALISIS!$A:$A,ANALISIS!$K:$K),"")</f>
        <v>0</v>
      </c>
      <c r="E7" s="5"/>
      <c r="F7" s="5"/>
    </row>
    <row r="8" spans="1:6" ht="24" customHeight="1" x14ac:dyDescent="0.3">
      <c r="A8" s="7" t="str">
        <f t="shared" si="0"/>
        <v/>
      </c>
      <c r="B8" s="5"/>
      <c r="C8" s="7" t="str">
        <f ca="1">IFERROR(_xlfn.XLOOKUP(B8,ANALISIS!$A:$A,ANALISIS!$B:$B),"")</f>
        <v/>
      </c>
      <c r="D8" s="7">
        <f>IFERROR(_xlfn.XLOOKUP(B8,ANALISIS!$A:$A,ANALISIS!$K:$K),"")</f>
        <v>0</v>
      </c>
      <c r="E8" s="5"/>
      <c r="F8" s="5"/>
    </row>
    <row r="9" spans="1:6" ht="24" customHeight="1" x14ac:dyDescent="0.3">
      <c r="A9" s="7" t="str">
        <f t="shared" si="0"/>
        <v/>
      </c>
      <c r="B9" s="5"/>
      <c r="C9" s="7" t="str">
        <f ca="1">IFERROR(_xlfn.XLOOKUP(B9,ANALISIS!$A:$A,ANALISIS!$B:$B),"")</f>
        <v/>
      </c>
      <c r="D9" s="7">
        <f>IFERROR(_xlfn.XLOOKUP(B9,ANALISIS!$A:$A,ANALISIS!$K:$K),"")</f>
        <v>0</v>
      </c>
      <c r="E9" s="5"/>
      <c r="F9" s="5"/>
    </row>
    <row r="10" spans="1:6" ht="24" customHeight="1" x14ac:dyDescent="0.3">
      <c r="A10" s="7" t="str">
        <f t="shared" si="0"/>
        <v/>
      </c>
      <c r="B10" s="5"/>
      <c r="C10" s="7" t="str">
        <f ca="1">IFERROR(_xlfn.XLOOKUP(B10,ANALISIS!$A:$A,ANALISIS!$B:$B),"")</f>
        <v/>
      </c>
      <c r="D10" s="7">
        <f>IFERROR(_xlfn.XLOOKUP(B10,ANALISIS!$A:$A,ANALISIS!$K:$K),"")</f>
        <v>0</v>
      </c>
      <c r="E10" s="5"/>
      <c r="F10" s="5"/>
    </row>
    <row r="11" spans="1:6" ht="24" customHeight="1" x14ac:dyDescent="0.3">
      <c r="A11" s="7" t="str">
        <f t="shared" si="0"/>
        <v/>
      </c>
      <c r="B11" s="5"/>
      <c r="C11" s="7" t="str">
        <f ca="1">IFERROR(_xlfn.XLOOKUP(B11,ANALISIS!$A:$A,ANALISIS!$B:$B),"")</f>
        <v/>
      </c>
      <c r="D11" s="7">
        <f>IFERROR(_xlfn.XLOOKUP(B11,ANALISIS!$A:$A,ANALISIS!$K:$K),"")</f>
        <v>0</v>
      </c>
      <c r="E11" s="5"/>
      <c r="F11" s="5"/>
    </row>
    <row r="12" spans="1:6" ht="24" customHeight="1" x14ac:dyDescent="0.3">
      <c r="A12" s="7" t="str">
        <f t="shared" si="0"/>
        <v/>
      </c>
      <c r="B12" s="5"/>
      <c r="C12" s="7" t="str">
        <f ca="1">IFERROR(_xlfn.XLOOKUP(B12,ANALISIS!$A:$A,ANALISIS!$B:$B),"")</f>
        <v/>
      </c>
      <c r="D12" s="7">
        <f>IFERROR(_xlfn.XLOOKUP(B12,ANALISIS!$A:$A,ANALISIS!$K:$K),"")</f>
        <v>0</v>
      </c>
      <c r="E12" s="5"/>
      <c r="F12" s="5"/>
    </row>
    <row r="13" spans="1:6" ht="24" customHeight="1" x14ac:dyDescent="0.3">
      <c r="A13" s="7" t="str">
        <f t="shared" si="0"/>
        <v/>
      </c>
      <c r="B13" s="5"/>
      <c r="C13" s="7" t="str">
        <f ca="1">IFERROR(_xlfn.XLOOKUP(B13,ANALISIS!$A:$A,ANALISIS!$B:$B),"")</f>
        <v/>
      </c>
      <c r="D13" s="7">
        <f>IFERROR(_xlfn.XLOOKUP(B13,ANALISIS!$A:$A,ANALISIS!$K:$K),"")</f>
        <v>0</v>
      </c>
      <c r="E13" s="5"/>
      <c r="F13" s="5"/>
    </row>
    <row r="14" spans="1:6" ht="24" customHeight="1" x14ac:dyDescent="0.3">
      <c r="A14" s="7" t="str">
        <f t="shared" si="0"/>
        <v/>
      </c>
      <c r="B14" s="5"/>
      <c r="C14" s="7" t="str">
        <f ca="1">IFERROR(_xlfn.XLOOKUP(B14,ANALISIS!$A:$A,ANALISIS!$B:$B),"")</f>
        <v/>
      </c>
      <c r="D14" s="7">
        <f>IFERROR(_xlfn.XLOOKUP(B14,ANALISIS!$A:$A,ANALISIS!$K:$K),"")</f>
        <v>0</v>
      </c>
      <c r="E14" s="5"/>
      <c r="F14" s="5"/>
    </row>
    <row r="15" spans="1:6" ht="24" customHeight="1" x14ac:dyDescent="0.3">
      <c r="A15" s="7" t="str">
        <f t="shared" si="0"/>
        <v/>
      </c>
      <c r="B15" s="5"/>
      <c r="C15" s="7" t="str">
        <f ca="1">IFERROR(_xlfn.XLOOKUP(B15,ANALISIS!$A:$A,ANALISIS!$B:$B),"")</f>
        <v/>
      </c>
      <c r="D15" s="7">
        <f>IFERROR(_xlfn.XLOOKUP(B15,ANALISIS!$A:$A,ANALISIS!$K:$K),"")</f>
        <v>0</v>
      </c>
      <c r="E15" s="5"/>
      <c r="F15" s="5"/>
    </row>
    <row r="16" spans="1:6" ht="24" customHeight="1" x14ac:dyDescent="0.3">
      <c r="A16" s="7" t="str">
        <f t="shared" si="0"/>
        <v/>
      </c>
      <c r="B16" s="5"/>
      <c r="C16" s="7" t="str">
        <f ca="1">IFERROR(_xlfn.XLOOKUP(B16,ANALISIS!$A:$A,ANALISIS!$B:$B),"")</f>
        <v/>
      </c>
      <c r="D16" s="7">
        <f>IFERROR(_xlfn.XLOOKUP(B16,ANALISIS!$A:$A,ANALISIS!$K:$K),"")</f>
        <v>0</v>
      </c>
      <c r="E16" s="5"/>
      <c r="F16" s="5"/>
    </row>
    <row r="17" spans="1:6" ht="24" customHeight="1" x14ac:dyDescent="0.3">
      <c r="A17" s="7" t="str">
        <f t="shared" si="0"/>
        <v/>
      </c>
      <c r="B17" s="5"/>
      <c r="C17" s="7" t="str">
        <f ca="1">IFERROR(_xlfn.XLOOKUP(B17,ANALISIS!$A:$A,ANALISIS!$B:$B),"")</f>
        <v/>
      </c>
      <c r="D17" s="7">
        <f>IFERROR(_xlfn.XLOOKUP(B17,ANALISIS!$A:$A,ANALISIS!$K:$K),"")</f>
        <v>0</v>
      </c>
      <c r="E17" s="5"/>
      <c r="F17" s="5"/>
    </row>
    <row r="18" spans="1:6" ht="24" customHeight="1" x14ac:dyDescent="0.3">
      <c r="A18" s="7" t="str">
        <f t="shared" si="0"/>
        <v/>
      </c>
      <c r="B18" s="5"/>
      <c r="C18" s="7" t="str">
        <f ca="1">IFERROR(_xlfn.XLOOKUP(B18,ANALISIS!$A:$A,ANALISIS!$B:$B),"")</f>
        <v/>
      </c>
      <c r="D18" s="7">
        <f>IFERROR(_xlfn.XLOOKUP(B18,ANALISIS!$A:$A,ANALISIS!$K:$K),"")</f>
        <v>0</v>
      </c>
      <c r="E18" s="5"/>
      <c r="F18" s="5"/>
    </row>
    <row r="19" spans="1:6" ht="24" customHeight="1" x14ac:dyDescent="0.3">
      <c r="A19" s="7" t="str">
        <f t="shared" si="0"/>
        <v/>
      </c>
      <c r="B19" s="5"/>
      <c r="C19" s="7" t="str">
        <f ca="1">IFERROR(_xlfn.XLOOKUP(B19,ANALISIS!$A:$A,ANALISIS!$B:$B),"")</f>
        <v/>
      </c>
      <c r="D19" s="7">
        <f>IFERROR(_xlfn.XLOOKUP(B19,ANALISIS!$A:$A,ANALISIS!$K:$K),"")</f>
        <v>0</v>
      </c>
      <c r="E19" s="5"/>
      <c r="F19" s="5"/>
    </row>
    <row r="20" spans="1:6" ht="24" customHeight="1" x14ac:dyDescent="0.3">
      <c r="A20" s="7" t="str">
        <f t="shared" si="0"/>
        <v/>
      </c>
      <c r="B20" s="5"/>
      <c r="C20" s="7" t="str">
        <f ca="1">IFERROR(_xlfn.XLOOKUP(B20,ANALISIS!$A:$A,ANALISIS!$B:$B),"")</f>
        <v/>
      </c>
      <c r="D20" s="7">
        <f>IFERROR(_xlfn.XLOOKUP(B20,ANALISIS!$A:$A,ANALISIS!$K:$K),"")</f>
        <v>0</v>
      </c>
      <c r="E20" s="5"/>
      <c r="F20" s="5"/>
    </row>
    <row r="21" spans="1:6" ht="24" customHeight="1" x14ac:dyDescent="0.3">
      <c r="A21" s="7" t="str">
        <f t="shared" si="0"/>
        <v/>
      </c>
      <c r="B21" s="5"/>
      <c r="C21" s="7" t="str">
        <f ca="1">IFERROR(_xlfn.XLOOKUP(B21,ANALISIS!$A:$A,ANALISIS!$B:$B),"")</f>
        <v/>
      </c>
      <c r="D21" s="7">
        <f>IFERROR(_xlfn.XLOOKUP(B21,ANALISIS!$A:$A,ANALISIS!$K:$K),"")</f>
        <v>0</v>
      </c>
      <c r="E21" s="5"/>
      <c r="F21" s="5"/>
    </row>
    <row r="22" spans="1:6" ht="24" customHeight="1" x14ac:dyDescent="0.3">
      <c r="A22" s="7" t="str">
        <f t="shared" si="0"/>
        <v/>
      </c>
      <c r="B22" s="5"/>
      <c r="C22" s="7" t="str">
        <f ca="1">IFERROR(_xlfn.XLOOKUP(B22,ANALISIS!$A:$A,ANALISIS!$B:$B),"")</f>
        <v/>
      </c>
      <c r="D22" s="7">
        <f>IFERROR(_xlfn.XLOOKUP(B22,ANALISIS!$A:$A,ANALISIS!$K:$K),"")</f>
        <v>0</v>
      </c>
      <c r="E22" s="5"/>
      <c r="F22" s="5"/>
    </row>
    <row r="23" spans="1:6" ht="24" customHeight="1" x14ac:dyDescent="0.3">
      <c r="A23" s="7" t="str">
        <f t="shared" si="0"/>
        <v/>
      </c>
      <c r="B23" s="5"/>
      <c r="C23" s="7" t="str">
        <f ca="1">IFERROR(_xlfn.XLOOKUP(B23,ANALISIS!$A:$A,ANALISIS!$B:$B),"")</f>
        <v/>
      </c>
      <c r="D23" s="7">
        <f>IFERROR(_xlfn.XLOOKUP(B23,ANALISIS!$A:$A,ANALISIS!$K:$K),"")</f>
        <v>0</v>
      </c>
      <c r="E23" s="5"/>
      <c r="F23" s="5"/>
    </row>
    <row r="24" spans="1:6" ht="24" customHeight="1" x14ac:dyDescent="0.3">
      <c r="A24" s="7" t="str">
        <f t="shared" si="0"/>
        <v/>
      </c>
      <c r="B24" s="5"/>
      <c r="C24" s="7" t="str">
        <f ca="1">IFERROR(_xlfn.XLOOKUP(B24,ANALISIS!$A:$A,ANALISIS!$B:$B),"")</f>
        <v/>
      </c>
      <c r="D24" s="7">
        <f>IFERROR(_xlfn.XLOOKUP(B24,ANALISIS!$A:$A,ANALISIS!$K:$K),"")</f>
        <v>0</v>
      </c>
      <c r="E24" s="5"/>
      <c r="F24" s="5"/>
    </row>
    <row r="25" spans="1:6" ht="24" customHeight="1" x14ac:dyDescent="0.3">
      <c r="A25" s="7" t="str">
        <f t="shared" si="0"/>
        <v/>
      </c>
      <c r="B25" s="5"/>
      <c r="C25" s="7" t="str">
        <f ca="1">IFERROR(_xlfn.XLOOKUP(B25,ANALISIS!$A:$A,ANALISIS!$B:$B),"")</f>
        <v/>
      </c>
      <c r="D25" s="7">
        <f>IFERROR(_xlfn.XLOOKUP(B25,ANALISIS!$A:$A,ANALISIS!$K:$K),"")</f>
        <v>0</v>
      </c>
      <c r="E25" s="5"/>
      <c r="F25" s="5"/>
    </row>
    <row r="26" spans="1:6" ht="24" customHeight="1" x14ac:dyDescent="0.3">
      <c r="A26" s="7" t="str">
        <f t="shared" si="0"/>
        <v/>
      </c>
      <c r="B26" s="5"/>
      <c r="C26" s="7" t="str">
        <f ca="1">IFERROR(_xlfn.XLOOKUP(B26,ANALISIS!$A:$A,ANALISIS!$B:$B),"")</f>
        <v/>
      </c>
      <c r="D26" s="7">
        <f>IFERROR(_xlfn.XLOOKUP(B26,ANALISIS!$A:$A,ANALISIS!$K:$K),"")</f>
        <v>0</v>
      </c>
      <c r="E26" s="5"/>
      <c r="F26" s="5"/>
    </row>
    <row r="27" spans="1:6" ht="24" customHeight="1" x14ac:dyDescent="0.3">
      <c r="A27" s="7" t="str">
        <f t="shared" si="0"/>
        <v/>
      </c>
      <c r="B27" s="5"/>
      <c r="C27" s="7" t="str">
        <f ca="1">IFERROR(_xlfn.XLOOKUP(B27,ANALISIS!$A:$A,ANALISIS!$B:$B),"")</f>
        <v/>
      </c>
      <c r="D27" s="7">
        <f>IFERROR(_xlfn.XLOOKUP(B27,ANALISIS!$A:$A,ANALISIS!$K:$K),"")</f>
        <v>0</v>
      </c>
      <c r="E27" s="5"/>
      <c r="F27" s="5"/>
    </row>
    <row r="28" spans="1:6" ht="24" customHeight="1" x14ac:dyDescent="0.3">
      <c r="A28" s="7" t="str">
        <f t="shared" si="0"/>
        <v/>
      </c>
      <c r="B28" s="5"/>
      <c r="C28" s="7" t="str">
        <f ca="1">IFERROR(_xlfn.XLOOKUP(B28,ANALISIS!$A:$A,ANALISIS!$B:$B),"")</f>
        <v/>
      </c>
      <c r="D28" s="7">
        <f>IFERROR(_xlfn.XLOOKUP(B28,ANALISIS!$A:$A,ANALISIS!$K:$K),"")</f>
        <v>0</v>
      </c>
      <c r="E28" s="5"/>
      <c r="F28" s="5"/>
    </row>
    <row r="29" spans="1:6" ht="24" customHeight="1" x14ac:dyDescent="0.3">
      <c r="A29" s="7" t="str">
        <f t="shared" si="0"/>
        <v/>
      </c>
      <c r="B29" s="5"/>
      <c r="C29" s="7" t="str">
        <f ca="1">IFERROR(_xlfn.XLOOKUP(B29,ANALISIS!$A:$A,ANALISIS!$B:$B),"")</f>
        <v/>
      </c>
      <c r="D29" s="7">
        <f>IFERROR(_xlfn.XLOOKUP(B29,ANALISIS!$A:$A,ANALISIS!$K:$K),"")</f>
        <v>0</v>
      </c>
      <c r="E29" s="5"/>
      <c r="F29" s="5"/>
    </row>
    <row r="30" spans="1:6" ht="24" customHeight="1" x14ac:dyDescent="0.3">
      <c r="A30" s="7" t="str">
        <f t="shared" si="0"/>
        <v/>
      </c>
      <c r="B30" s="5"/>
      <c r="C30" s="7" t="str">
        <f ca="1">IFERROR(_xlfn.XLOOKUP(B30,ANALISIS!$A:$A,ANALISIS!$B:$B),"")</f>
        <v/>
      </c>
      <c r="D30" s="7">
        <f>IFERROR(_xlfn.XLOOKUP(B30,ANALISIS!$A:$A,ANALISIS!$K:$K),"")</f>
        <v>0</v>
      </c>
      <c r="E30" s="5"/>
      <c r="F30" s="5"/>
    </row>
    <row r="31" spans="1:6" ht="24" customHeight="1" x14ac:dyDescent="0.3">
      <c r="A31" s="7" t="str">
        <f t="shared" si="0"/>
        <v/>
      </c>
      <c r="B31" s="5"/>
      <c r="C31" s="7" t="str">
        <f ca="1">IFERROR(_xlfn.XLOOKUP(B31,ANALISIS!$A:$A,ANALISIS!$B:$B),"")</f>
        <v/>
      </c>
      <c r="D31" s="7">
        <f>IFERROR(_xlfn.XLOOKUP(B31,ANALISIS!$A:$A,ANALISIS!$K:$K),"")</f>
        <v>0</v>
      </c>
      <c r="E31" s="5"/>
      <c r="F31" s="5"/>
    </row>
    <row r="32" spans="1:6" ht="24" customHeight="1" x14ac:dyDescent="0.3">
      <c r="A32" s="7" t="str">
        <f t="shared" si="0"/>
        <v/>
      </c>
      <c r="B32" s="5"/>
      <c r="C32" s="7" t="str">
        <f ca="1">IFERROR(_xlfn.XLOOKUP(B32,ANALISIS!$A:$A,ANALISIS!$B:$B),"")</f>
        <v/>
      </c>
      <c r="D32" s="7">
        <f>IFERROR(_xlfn.XLOOKUP(B32,ANALISIS!$A:$A,ANALISIS!$K:$K),"")</f>
        <v>0</v>
      </c>
      <c r="E32" s="5"/>
      <c r="F32" s="5"/>
    </row>
    <row r="33" spans="1:6" ht="24" customHeight="1" x14ac:dyDescent="0.3">
      <c r="A33" s="7" t="str">
        <f t="shared" si="0"/>
        <v/>
      </c>
      <c r="B33" s="5"/>
      <c r="C33" s="7" t="str">
        <f ca="1">IFERROR(_xlfn.XLOOKUP(B33,ANALISIS!$A:$A,ANALISIS!$B:$B),"")</f>
        <v/>
      </c>
      <c r="D33" s="7">
        <f>IFERROR(_xlfn.XLOOKUP(B33,ANALISIS!$A:$A,ANALISIS!$K:$K),"")</f>
        <v>0</v>
      </c>
      <c r="E33" s="5"/>
      <c r="F33" s="5"/>
    </row>
    <row r="34" spans="1:6" ht="24" customHeight="1" x14ac:dyDescent="0.3">
      <c r="A34" s="7" t="str">
        <f t="shared" si="0"/>
        <v/>
      </c>
      <c r="B34" s="5"/>
      <c r="C34" s="7" t="str">
        <f ca="1">IFERROR(_xlfn.XLOOKUP(B34,ANALISIS!$A:$A,ANALISIS!$B:$B),"")</f>
        <v/>
      </c>
      <c r="D34" s="7">
        <f>IFERROR(_xlfn.XLOOKUP(B34,ANALISIS!$A:$A,ANALISIS!$K:$K),"")</f>
        <v>0</v>
      </c>
      <c r="E34" s="5"/>
      <c r="F34" s="5"/>
    </row>
    <row r="35" spans="1:6" ht="24" customHeight="1" x14ac:dyDescent="0.3">
      <c r="A35" s="7" t="str">
        <f t="shared" si="0"/>
        <v/>
      </c>
      <c r="B35" s="5"/>
      <c r="C35" s="7" t="str">
        <f ca="1">IFERROR(_xlfn.XLOOKUP(B35,ANALISIS!$A:$A,ANALISIS!$B:$B),"")</f>
        <v/>
      </c>
      <c r="D35" s="7">
        <f>IFERROR(_xlfn.XLOOKUP(B35,ANALISIS!$A:$A,ANALISIS!$K:$K),"")</f>
        <v>0</v>
      </c>
      <c r="E35" s="5"/>
      <c r="F35" s="5"/>
    </row>
    <row r="36" spans="1:6" ht="24" customHeight="1" x14ac:dyDescent="0.3">
      <c r="A36" s="7" t="str">
        <f t="shared" ref="A36:A53" si="1">IF(B36&lt;&gt;"",ROW()-3,"")</f>
        <v/>
      </c>
      <c r="B36" s="5"/>
      <c r="C36" s="7" t="str">
        <f ca="1">IFERROR(_xlfn.XLOOKUP(B36,ANALISIS!$A:$A,ANALISIS!$B:$B),"")</f>
        <v/>
      </c>
      <c r="D36" s="7">
        <f>IFERROR(_xlfn.XLOOKUP(B36,ANALISIS!$A:$A,ANALISIS!$K:$K),"")</f>
        <v>0</v>
      </c>
      <c r="E36" s="5"/>
      <c r="F36" s="5"/>
    </row>
    <row r="37" spans="1:6" ht="24" customHeight="1" x14ac:dyDescent="0.3">
      <c r="A37" s="7" t="str">
        <f t="shared" si="1"/>
        <v/>
      </c>
      <c r="B37" s="5"/>
      <c r="C37" s="7" t="str">
        <f ca="1">IFERROR(_xlfn.XLOOKUP(B37,ANALISIS!$A:$A,ANALISIS!$B:$B),"")</f>
        <v/>
      </c>
      <c r="D37" s="7">
        <f>IFERROR(_xlfn.XLOOKUP(B37,ANALISIS!$A:$A,ANALISIS!$K:$K),"")</f>
        <v>0</v>
      </c>
      <c r="E37" s="5"/>
      <c r="F37" s="5"/>
    </row>
    <row r="38" spans="1:6" ht="24" customHeight="1" x14ac:dyDescent="0.3">
      <c r="A38" s="7" t="str">
        <f t="shared" si="1"/>
        <v/>
      </c>
      <c r="B38" s="5"/>
      <c r="C38" s="7" t="str">
        <f ca="1">IFERROR(_xlfn.XLOOKUP(B38,ANALISIS!$A:$A,ANALISIS!$B:$B),"")</f>
        <v/>
      </c>
      <c r="D38" s="7">
        <f>IFERROR(_xlfn.XLOOKUP(B38,ANALISIS!$A:$A,ANALISIS!$K:$K),"")</f>
        <v>0</v>
      </c>
      <c r="E38" s="5"/>
      <c r="F38" s="5"/>
    </row>
    <row r="39" spans="1:6" ht="24" customHeight="1" x14ac:dyDescent="0.3">
      <c r="A39" s="7" t="str">
        <f t="shared" si="1"/>
        <v/>
      </c>
      <c r="B39" s="5"/>
      <c r="C39" s="7" t="str">
        <f ca="1">IFERROR(_xlfn.XLOOKUP(B39,ANALISIS!$A:$A,ANALISIS!$B:$B),"")</f>
        <v/>
      </c>
      <c r="D39" s="7">
        <f>IFERROR(_xlfn.XLOOKUP(B39,ANALISIS!$A:$A,ANALISIS!$K:$K),"")</f>
        <v>0</v>
      </c>
      <c r="E39" s="5"/>
      <c r="F39" s="5"/>
    </row>
    <row r="40" spans="1:6" ht="24" customHeight="1" x14ac:dyDescent="0.3">
      <c r="A40" s="7" t="str">
        <f t="shared" si="1"/>
        <v/>
      </c>
      <c r="B40" s="5"/>
      <c r="C40" s="7" t="str">
        <f ca="1">IFERROR(_xlfn.XLOOKUP(B40,ANALISIS!$A:$A,ANALISIS!$B:$B),"")</f>
        <v/>
      </c>
      <c r="D40" s="7">
        <f>IFERROR(_xlfn.XLOOKUP(B40,ANALISIS!$A:$A,ANALISIS!$K:$K),"")</f>
        <v>0</v>
      </c>
      <c r="E40" s="5"/>
      <c r="F40" s="5"/>
    </row>
    <row r="41" spans="1:6" ht="24" customHeight="1" x14ac:dyDescent="0.3">
      <c r="A41" s="7" t="str">
        <f t="shared" si="1"/>
        <v/>
      </c>
      <c r="B41" s="5"/>
      <c r="C41" s="7" t="str">
        <f ca="1">IFERROR(_xlfn.XLOOKUP(B41,ANALISIS!$A:$A,ANALISIS!$B:$B),"")</f>
        <v/>
      </c>
      <c r="D41" s="7">
        <f>IFERROR(_xlfn.XLOOKUP(B41,ANALISIS!$A:$A,ANALISIS!$K:$K),"")</f>
        <v>0</v>
      </c>
      <c r="E41" s="5"/>
      <c r="F41" s="5"/>
    </row>
    <row r="42" spans="1:6" ht="24" customHeight="1" x14ac:dyDescent="0.3">
      <c r="A42" s="7" t="str">
        <f t="shared" si="1"/>
        <v/>
      </c>
      <c r="B42" s="5"/>
      <c r="C42" s="7" t="str">
        <f ca="1">IFERROR(_xlfn.XLOOKUP(B42,ANALISIS!$A:$A,ANALISIS!$B:$B),"")</f>
        <v/>
      </c>
      <c r="D42" s="7">
        <f>IFERROR(_xlfn.XLOOKUP(B42,ANALISIS!$A:$A,ANALISIS!$K:$K),"")</f>
        <v>0</v>
      </c>
      <c r="E42" s="5"/>
      <c r="F42" s="5"/>
    </row>
    <row r="43" spans="1:6" ht="24" customHeight="1" x14ac:dyDescent="0.3">
      <c r="A43" s="7" t="str">
        <f t="shared" si="1"/>
        <v/>
      </c>
      <c r="B43" s="5"/>
      <c r="C43" s="7" t="str">
        <f ca="1">IFERROR(_xlfn.XLOOKUP(B43,ANALISIS!$A:$A,ANALISIS!$B:$B),"")</f>
        <v/>
      </c>
      <c r="D43" s="7">
        <f>IFERROR(_xlfn.XLOOKUP(B43,ANALISIS!$A:$A,ANALISIS!$K:$K),"")</f>
        <v>0</v>
      </c>
      <c r="E43" s="5"/>
      <c r="F43" s="5"/>
    </row>
    <row r="44" spans="1:6" ht="24" customHeight="1" x14ac:dyDescent="0.3">
      <c r="A44" s="7" t="str">
        <f t="shared" si="1"/>
        <v/>
      </c>
      <c r="B44" s="5"/>
      <c r="C44" s="7" t="str">
        <f ca="1">IFERROR(_xlfn.XLOOKUP(B44,ANALISIS!$A:$A,ANALISIS!$B:$B),"")</f>
        <v/>
      </c>
      <c r="D44" s="7">
        <f>IFERROR(_xlfn.XLOOKUP(B44,ANALISIS!$A:$A,ANALISIS!$K:$K),"")</f>
        <v>0</v>
      </c>
      <c r="E44" s="5"/>
      <c r="F44" s="5"/>
    </row>
    <row r="45" spans="1:6" ht="24" customHeight="1" x14ac:dyDescent="0.3">
      <c r="A45" s="7" t="str">
        <f t="shared" si="1"/>
        <v/>
      </c>
      <c r="B45" s="5"/>
      <c r="C45" s="7" t="str">
        <f ca="1">IFERROR(_xlfn.XLOOKUP(B45,ANALISIS!$A:$A,ANALISIS!$B:$B),"")</f>
        <v/>
      </c>
      <c r="D45" s="7">
        <f>IFERROR(_xlfn.XLOOKUP(B45,ANALISIS!$A:$A,ANALISIS!$K:$K),"")</f>
        <v>0</v>
      </c>
      <c r="E45" s="5"/>
      <c r="F45" s="5"/>
    </row>
    <row r="46" spans="1:6" ht="24" customHeight="1" x14ac:dyDescent="0.3">
      <c r="A46" s="7" t="str">
        <f t="shared" si="1"/>
        <v/>
      </c>
      <c r="B46" s="5"/>
      <c r="C46" s="7" t="str">
        <f ca="1">IFERROR(_xlfn.XLOOKUP(B46,ANALISIS!$A:$A,ANALISIS!$B:$B),"")</f>
        <v/>
      </c>
      <c r="D46" s="7">
        <f>IFERROR(_xlfn.XLOOKUP(B46,ANALISIS!$A:$A,ANALISIS!$K:$K),"")</f>
        <v>0</v>
      </c>
      <c r="E46" s="5"/>
      <c r="F46" s="5"/>
    </row>
    <row r="47" spans="1:6" ht="24" customHeight="1" x14ac:dyDescent="0.3">
      <c r="A47" s="7" t="str">
        <f t="shared" si="1"/>
        <v/>
      </c>
      <c r="B47" s="5"/>
      <c r="C47" s="7" t="str">
        <f ca="1">IFERROR(_xlfn.XLOOKUP(B47,ANALISIS!$A:$A,ANALISIS!$B:$B),"")</f>
        <v/>
      </c>
      <c r="D47" s="7">
        <f>IFERROR(_xlfn.XLOOKUP(B47,ANALISIS!$A:$A,ANALISIS!$K:$K),"")</f>
        <v>0</v>
      </c>
      <c r="E47" s="5"/>
      <c r="F47" s="5"/>
    </row>
    <row r="48" spans="1:6" ht="24" customHeight="1" x14ac:dyDescent="0.3">
      <c r="A48" s="7" t="str">
        <f t="shared" si="1"/>
        <v/>
      </c>
      <c r="B48" s="5"/>
      <c r="C48" s="7" t="str">
        <f ca="1">IFERROR(_xlfn.XLOOKUP(B48,ANALISIS!$A:$A,ANALISIS!$B:$B),"")</f>
        <v/>
      </c>
      <c r="D48" s="7">
        <f>IFERROR(_xlfn.XLOOKUP(B48,ANALISIS!$A:$A,ANALISIS!$K:$K),"")</f>
        <v>0</v>
      </c>
      <c r="E48" s="5"/>
      <c r="F48" s="5"/>
    </row>
    <row r="49" spans="1:6" ht="24" customHeight="1" x14ac:dyDescent="0.3">
      <c r="A49" s="7" t="str">
        <f t="shared" si="1"/>
        <v/>
      </c>
      <c r="B49" s="5"/>
      <c r="C49" s="7" t="str">
        <f ca="1">IFERROR(_xlfn.XLOOKUP(B49,ANALISIS!$A:$A,ANALISIS!$B:$B),"")</f>
        <v/>
      </c>
      <c r="D49" s="7">
        <f>IFERROR(_xlfn.XLOOKUP(B49,ANALISIS!$A:$A,ANALISIS!$K:$K),"")</f>
        <v>0</v>
      </c>
      <c r="E49" s="5"/>
      <c r="F49" s="5"/>
    </row>
    <row r="50" spans="1:6" ht="24" customHeight="1" x14ac:dyDescent="0.3">
      <c r="A50" s="7" t="str">
        <f t="shared" si="1"/>
        <v/>
      </c>
      <c r="B50" s="5"/>
      <c r="C50" s="7" t="str">
        <f ca="1">IFERROR(_xlfn.XLOOKUP(B50,ANALISIS!$A:$A,ANALISIS!$B:$B),"")</f>
        <v/>
      </c>
      <c r="D50" s="7">
        <f>IFERROR(_xlfn.XLOOKUP(B50,ANALISIS!$A:$A,ANALISIS!$K:$K),"")</f>
        <v>0</v>
      </c>
      <c r="E50" s="5"/>
      <c r="F50" s="5"/>
    </row>
    <row r="51" spans="1:6" ht="24" customHeight="1" x14ac:dyDescent="0.3">
      <c r="A51" s="7" t="str">
        <f t="shared" si="1"/>
        <v/>
      </c>
      <c r="B51" s="5"/>
      <c r="C51" s="7" t="str">
        <f ca="1">IFERROR(_xlfn.XLOOKUP(B51,ANALISIS!$A:$A,ANALISIS!$B:$B),"")</f>
        <v/>
      </c>
      <c r="D51" s="7">
        <f>IFERROR(_xlfn.XLOOKUP(B51,ANALISIS!$A:$A,ANALISIS!$K:$K),"")</f>
        <v>0</v>
      </c>
      <c r="E51" s="5"/>
      <c r="F51" s="5"/>
    </row>
    <row r="52" spans="1:6" ht="24" customHeight="1" x14ac:dyDescent="0.3">
      <c r="A52" s="7" t="str">
        <f t="shared" si="1"/>
        <v/>
      </c>
      <c r="B52" s="5"/>
      <c r="C52" s="7" t="str">
        <f ca="1">IFERROR(_xlfn.XLOOKUP(B52,ANALISIS!$A:$A,ANALISIS!$B:$B),"")</f>
        <v/>
      </c>
      <c r="D52" s="7">
        <f>IFERROR(_xlfn.XLOOKUP(B52,ANALISIS!$A:$A,ANALISIS!$K:$K),"")</f>
        <v>0</v>
      </c>
      <c r="E52" s="5"/>
      <c r="F52" s="5"/>
    </row>
    <row r="53" spans="1:6" ht="24" customHeight="1" x14ac:dyDescent="0.3">
      <c r="A53" s="7" t="str">
        <f t="shared" si="1"/>
        <v/>
      </c>
      <c r="B53" s="5"/>
      <c r="C53" s="7" t="str">
        <f ca="1">IFERROR(_xlfn.XLOOKUP(B53,ANALISIS!$A:$A,ANALISIS!$B:$B),"")</f>
        <v/>
      </c>
      <c r="D53" s="7">
        <f>IFERROR(_xlfn.XLOOKUP(B53,ANALISIS!$A:$A,ANALISIS!$K:$K),"")</f>
        <v>0</v>
      </c>
      <c r="E53" s="5"/>
      <c r="F53" s="5"/>
    </row>
  </sheetData>
  <mergeCells count="2">
    <mergeCell ref="A1:F1"/>
    <mergeCell ref="A2:F2"/>
  </mergeCell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3B1FAD-DEDB-46C5-AF81-A679A18C4696}">
          <x14:formula1>
            <xm:f>EVALUASI!$A$4</xm:f>
          </x14:formula1>
          <xm:sqref>B4:B53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53"/>
  <sheetViews>
    <sheetView workbookViewId="0">
      <pane xSplit="2" ySplit="3" topLeftCell="H4" activePane="bottomRight" state="frozen"/>
      <selection pane="topRight"/>
      <selection pane="bottomLeft"/>
      <selection pane="bottomRight" sqref="A1:O1"/>
    </sheetView>
  </sheetViews>
  <sheetFormatPr defaultRowHeight="14.4" x14ac:dyDescent="0.3"/>
  <cols>
    <col min="1" max="1" width="26" customWidth="1"/>
    <col min="2" max="2" width="18" customWidth="1"/>
    <col min="3" max="4" width="36" customWidth="1"/>
    <col min="5" max="5" width="30" customWidth="1"/>
    <col min="6" max="6" width="40" customWidth="1"/>
    <col min="7" max="7" width="28" customWidth="1"/>
    <col min="8" max="8" width="36" customWidth="1"/>
    <col min="9" max="11" width="16" customWidth="1"/>
    <col min="12" max="13" width="12" customWidth="1"/>
    <col min="14" max="14" width="16" customWidth="1"/>
    <col min="15" max="15" width="24" customWidth="1"/>
  </cols>
  <sheetData>
    <row r="1" spans="1:15" ht="28.05" customHeight="1" x14ac:dyDescent="0.3">
      <c r="A1" s="53" t="s">
        <v>2231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5" ht="30" customHeight="1" x14ac:dyDescent="0.3">
      <c r="A2" s="54" t="s">
        <v>339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</row>
    <row r="3" spans="1:15" ht="43.95" customHeight="1" x14ac:dyDescent="0.3">
      <c r="A3" s="24" t="s">
        <v>340</v>
      </c>
      <c r="B3" s="24" t="s">
        <v>269</v>
      </c>
      <c r="C3" s="24" t="s">
        <v>273</v>
      </c>
      <c r="D3" s="24" t="s">
        <v>288</v>
      </c>
      <c r="E3" s="24" t="s">
        <v>341</v>
      </c>
      <c r="F3" s="24" t="s">
        <v>61</v>
      </c>
      <c r="G3" s="24" t="s">
        <v>342</v>
      </c>
      <c r="H3" s="24" t="s">
        <v>343</v>
      </c>
      <c r="I3" s="24" t="s">
        <v>344</v>
      </c>
      <c r="J3" s="24" t="s">
        <v>345</v>
      </c>
      <c r="K3" s="24" t="s">
        <v>346</v>
      </c>
      <c r="L3" s="24" t="s">
        <v>347</v>
      </c>
      <c r="M3" s="24" t="s">
        <v>348</v>
      </c>
      <c r="N3" s="24" t="s">
        <v>349</v>
      </c>
      <c r="O3" s="24" t="s">
        <v>338</v>
      </c>
    </row>
    <row r="4" spans="1:15" ht="24" customHeight="1" x14ac:dyDescent="0.3">
      <c r="A4" s="5"/>
      <c r="B4" s="7" t="str">
        <f ca="1">IFERROR(_xludf.XLOOKUP(A4,PENYEBAB!$E:$E,PENYEBAB!$B:$B),"")</f>
        <v/>
      </c>
      <c r="C4" s="7" t="str">
        <f ca="1">IFERROR(_xludf.XLOOKUP(A4,PENYEBAB!$E:$E,PENYEBAB!$C:$C),"")</f>
        <v/>
      </c>
      <c r="D4" s="7" t="str">
        <f ca="1">IFERROR(_xludf.XLOOKUP(A4,PENYEBAB!$E:$E,PENYEBAB!$K:$K),"")</f>
        <v/>
      </c>
      <c r="E4" s="7" t="str">
        <f ca="1">IFERROR(_xludf.XLOOKUP(A4,PENYEBAB!$E:$E,PENYEBAB!$L:$L),"")</f>
        <v/>
      </c>
      <c r="F4" s="5"/>
      <c r="G4" s="5"/>
      <c r="H4" s="5"/>
      <c r="I4" s="5"/>
      <c r="J4" s="5"/>
      <c r="K4" s="5"/>
      <c r="L4" s="7" t="str">
        <f t="shared" ref="L4:L35" si="0">IF(AND(J4&lt;&gt;"",K4&lt;&gt;""),J4*K4,"")</f>
        <v/>
      </c>
      <c r="M4" s="7" t="str">
        <f>IF(L4="","",_xludf.IFS(L4&gt;=20,5,L4&gt;=16,4,L4&gt;=11,3,L4&gt;=6,2,L4&gt;0,1,TRUE,""))</f>
        <v/>
      </c>
      <c r="N4" s="7" t="str">
        <f>IFERROR(INDEX({"","Sangat Rendah","Rendah","Sedang","Tinggi","Sangat Tinggi"},M4+1),"")</f>
        <v/>
      </c>
      <c r="O4" s="5"/>
    </row>
    <row r="5" spans="1:15" ht="24" customHeight="1" x14ac:dyDescent="0.3">
      <c r="A5" s="5"/>
      <c r="B5" s="7" t="str">
        <f ca="1">IFERROR(_xludf.XLOOKUP(A5,PENYEBAB!$E:$E,PENYEBAB!$B:$B),"")</f>
        <v/>
      </c>
      <c r="C5" s="7" t="str">
        <f ca="1">IFERROR(_xludf.XLOOKUP(A5,PENYEBAB!$E:$E,PENYEBAB!$C:$C),"")</f>
        <v/>
      </c>
      <c r="D5" s="7" t="str">
        <f ca="1">IFERROR(_xludf.XLOOKUP(A5,PENYEBAB!$E:$E,PENYEBAB!$K:$K),"")</f>
        <v/>
      </c>
      <c r="E5" s="7" t="str">
        <f ca="1">IFERROR(_xludf.XLOOKUP(A5,PENYEBAB!$E:$E,PENYEBAB!$L:$L),"")</f>
        <v/>
      </c>
      <c r="F5" s="5"/>
      <c r="G5" s="5"/>
      <c r="H5" s="5"/>
      <c r="I5" s="5"/>
      <c r="J5" s="5"/>
      <c r="K5" s="5"/>
      <c r="L5" s="7" t="str">
        <f t="shared" si="0"/>
        <v/>
      </c>
      <c r="M5" s="7" t="str">
        <f>IF(L5="","",_xludf.IFS(L5&gt;=20,5,L5&gt;=16,4,L5&gt;=11,3,L5&gt;=6,2,L5&gt;0,1,TRUE,""))</f>
        <v/>
      </c>
      <c r="N5" s="7" t="str">
        <f>IFERROR(INDEX({"","Sangat Rendah","Rendah","Sedang","Tinggi","Sangat Tinggi"},M5+1),"")</f>
        <v/>
      </c>
      <c r="O5" s="5"/>
    </row>
    <row r="6" spans="1:15" ht="24" customHeight="1" x14ac:dyDescent="0.3">
      <c r="A6" s="5"/>
      <c r="B6" s="7" t="str">
        <f ca="1">IFERROR(_xludf.XLOOKUP(A6,PENYEBAB!$E:$E,PENYEBAB!$B:$B),"")</f>
        <v/>
      </c>
      <c r="C6" s="7" t="str">
        <f ca="1">IFERROR(_xludf.XLOOKUP(A6,PENYEBAB!$E:$E,PENYEBAB!$C:$C),"")</f>
        <v/>
      </c>
      <c r="D6" s="7" t="str">
        <f ca="1">IFERROR(_xludf.XLOOKUP(A6,PENYEBAB!$E:$E,PENYEBAB!$K:$K),"")</f>
        <v/>
      </c>
      <c r="E6" s="7" t="str">
        <f ca="1">IFERROR(_xludf.XLOOKUP(A6,PENYEBAB!$E:$E,PENYEBAB!$L:$L),"")</f>
        <v/>
      </c>
      <c r="F6" s="5"/>
      <c r="G6" s="5"/>
      <c r="H6" s="5"/>
      <c r="I6" s="5"/>
      <c r="J6" s="5"/>
      <c r="K6" s="5"/>
      <c r="L6" s="7" t="str">
        <f t="shared" si="0"/>
        <v/>
      </c>
      <c r="M6" s="7" t="str">
        <f>IF(L6="","",_xludf.IFS(L6&gt;=20,5,L6&gt;=16,4,L6&gt;=11,3,L6&gt;=6,2,L6&gt;0,1,TRUE,""))</f>
        <v/>
      </c>
      <c r="N6" s="7" t="str">
        <f>IFERROR(INDEX({"","Sangat Rendah","Rendah","Sedang","Tinggi","Sangat Tinggi"},M6+1),"")</f>
        <v/>
      </c>
      <c r="O6" s="5"/>
    </row>
    <row r="7" spans="1:15" ht="24" customHeight="1" x14ac:dyDescent="0.3">
      <c r="A7" s="5"/>
      <c r="B7" s="7" t="str">
        <f ca="1">IFERROR(_xludf.XLOOKUP(A7,PENYEBAB!$E:$E,PENYEBAB!$B:$B),"")</f>
        <v/>
      </c>
      <c r="C7" s="7" t="str">
        <f ca="1">IFERROR(_xludf.XLOOKUP(A7,PENYEBAB!$E:$E,PENYEBAB!$C:$C),"")</f>
        <v/>
      </c>
      <c r="D7" s="7" t="str">
        <f ca="1">IFERROR(_xludf.XLOOKUP(A7,PENYEBAB!$E:$E,PENYEBAB!$K:$K),"")</f>
        <v/>
      </c>
      <c r="E7" s="7" t="str">
        <f ca="1">IFERROR(_xludf.XLOOKUP(A7,PENYEBAB!$E:$E,PENYEBAB!$L:$L),"")</f>
        <v/>
      </c>
      <c r="F7" s="5"/>
      <c r="G7" s="5"/>
      <c r="H7" s="5"/>
      <c r="I7" s="5"/>
      <c r="J7" s="5"/>
      <c r="K7" s="5"/>
      <c r="L7" s="7" t="str">
        <f t="shared" si="0"/>
        <v/>
      </c>
      <c r="M7" s="7" t="str">
        <f>IF(L7="","",_xludf.IFS(L7&gt;=20,5,L7&gt;=16,4,L7&gt;=11,3,L7&gt;=6,2,L7&gt;0,1,TRUE,""))</f>
        <v/>
      </c>
      <c r="N7" s="7" t="str">
        <f>IFERROR(INDEX({"","Sangat Rendah","Rendah","Sedang","Tinggi","Sangat Tinggi"},M7+1),"")</f>
        <v/>
      </c>
      <c r="O7" s="5"/>
    </row>
    <row r="8" spans="1:15" ht="24" customHeight="1" x14ac:dyDescent="0.3">
      <c r="A8" s="5"/>
      <c r="B8" s="7" t="str">
        <f ca="1">IFERROR(_xludf.XLOOKUP(A8,PENYEBAB!$E:$E,PENYEBAB!$B:$B),"")</f>
        <v/>
      </c>
      <c r="C8" s="7" t="str">
        <f ca="1">IFERROR(_xludf.XLOOKUP(A8,PENYEBAB!$E:$E,PENYEBAB!$C:$C),"")</f>
        <v/>
      </c>
      <c r="D8" s="7" t="str">
        <f ca="1">IFERROR(_xludf.XLOOKUP(A8,PENYEBAB!$E:$E,PENYEBAB!$K:$K),"")</f>
        <v/>
      </c>
      <c r="E8" s="7" t="str">
        <f ca="1">IFERROR(_xludf.XLOOKUP(A8,PENYEBAB!$E:$E,PENYEBAB!$L:$L),"")</f>
        <v/>
      </c>
      <c r="F8" s="5"/>
      <c r="G8" s="5"/>
      <c r="H8" s="5"/>
      <c r="I8" s="5"/>
      <c r="J8" s="5"/>
      <c r="K8" s="5"/>
      <c r="L8" s="7" t="str">
        <f t="shared" si="0"/>
        <v/>
      </c>
      <c r="M8" s="7" t="str">
        <f>IF(L8="","",_xludf.IFS(L8&gt;=20,5,L8&gt;=16,4,L8&gt;=11,3,L8&gt;=6,2,L8&gt;0,1,TRUE,""))</f>
        <v/>
      </c>
      <c r="N8" s="7" t="str">
        <f>IFERROR(INDEX({"","Sangat Rendah","Rendah","Sedang","Tinggi","Sangat Tinggi"},M8+1),"")</f>
        <v/>
      </c>
      <c r="O8" s="5"/>
    </row>
    <row r="9" spans="1:15" ht="24" customHeight="1" x14ac:dyDescent="0.3">
      <c r="A9" s="5"/>
      <c r="B9" s="7" t="str">
        <f ca="1">IFERROR(_xludf.XLOOKUP(A9,PENYEBAB!$E:$E,PENYEBAB!$B:$B),"")</f>
        <v/>
      </c>
      <c r="C9" s="7" t="str">
        <f ca="1">IFERROR(_xludf.XLOOKUP(A9,PENYEBAB!$E:$E,PENYEBAB!$C:$C),"")</f>
        <v/>
      </c>
      <c r="D9" s="7" t="str">
        <f ca="1">IFERROR(_xludf.XLOOKUP(A9,PENYEBAB!$E:$E,PENYEBAB!$K:$K),"")</f>
        <v/>
      </c>
      <c r="E9" s="7" t="str">
        <f ca="1">IFERROR(_xludf.XLOOKUP(A9,PENYEBAB!$E:$E,PENYEBAB!$L:$L),"")</f>
        <v/>
      </c>
      <c r="F9" s="5"/>
      <c r="G9" s="5"/>
      <c r="H9" s="5"/>
      <c r="I9" s="5"/>
      <c r="J9" s="5"/>
      <c r="K9" s="5"/>
      <c r="L9" s="7" t="str">
        <f t="shared" si="0"/>
        <v/>
      </c>
      <c r="M9" s="7" t="str">
        <f>IF(L9="","",_xludf.IFS(L9&gt;=20,5,L9&gt;=16,4,L9&gt;=11,3,L9&gt;=6,2,L9&gt;0,1,TRUE,""))</f>
        <v/>
      </c>
      <c r="N9" s="7" t="str">
        <f>IFERROR(INDEX({"","Sangat Rendah","Rendah","Sedang","Tinggi","Sangat Tinggi"},M9+1),"")</f>
        <v/>
      </c>
      <c r="O9" s="5"/>
    </row>
    <row r="10" spans="1:15" ht="24" customHeight="1" x14ac:dyDescent="0.3">
      <c r="A10" s="5"/>
      <c r="B10" s="7" t="str">
        <f ca="1">IFERROR(_xludf.XLOOKUP(A10,PENYEBAB!$E:$E,PENYEBAB!$B:$B),"")</f>
        <v/>
      </c>
      <c r="C10" s="7" t="str">
        <f ca="1">IFERROR(_xludf.XLOOKUP(A10,PENYEBAB!$E:$E,PENYEBAB!$C:$C),"")</f>
        <v/>
      </c>
      <c r="D10" s="7" t="str">
        <f ca="1">IFERROR(_xludf.XLOOKUP(A10,PENYEBAB!$E:$E,PENYEBAB!$K:$K),"")</f>
        <v/>
      </c>
      <c r="E10" s="7" t="str">
        <f ca="1">IFERROR(_xludf.XLOOKUP(A10,PENYEBAB!$E:$E,PENYEBAB!$L:$L),"")</f>
        <v/>
      </c>
      <c r="F10" s="5"/>
      <c r="G10" s="5"/>
      <c r="H10" s="5"/>
      <c r="I10" s="5"/>
      <c r="J10" s="5"/>
      <c r="K10" s="5"/>
      <c r="L10" s="7" t="str">
        <f t="shared" si="0"/>
        <v/>
      </c>
      <c r="M10" s="7" t="str">
        <f>IF(L10="","",_xludf.IFS(L10&gt;=20,5,L10&gt;=16,4,L10&gt;=11,3,L10&gt;=6,2,L10&gt;0,1,TRUE,""))</f>
        <v/>
      </c>
      <c r="N10" s="7" t="str">
        <f>IFERROR(INDEX({"","Sangat Rendah","Rendah","Sedang","Tinggi","Sangat Tinggi"},M10+1),"")</f>
        <v/>
      </c>
      <c r="O10" s="5"/>
    </row>
    <row r="11" spans="1:15" ht="24" customHeight="1" x14ac:dyDescent="0.3">
      <c r="A11" s="5"/>
      <c r="B11" s="7" t="str">
        <f ca="1">IFERROR(_xludf.XLOOKUP(A11,PENYEBAB!$E:$E,PENYEBAB!$B:$B),"")</f>
        <v/>
      </c>
      <c r="C11" s="7" t="str">
        <f ca="1">IFERROR(_xludf.XLOOKUP(A11,PENYEBAB!$E:$E,PENYEBAB!$C:$C),"")</f>
        <v/>
      </c>
      <c r="D11" s="7" t="str">
        <f ca="1">IFERROR(_xludf.XLOOKUP(A11,PENYEBAB!$E:$E,PENYEBAB!$K:$K),"")</f>
        <v/>
      </c>
      <c r="E11" s="7" t="str">
        <f ca="1">IFERROR(_xludf.XLOOKUP(A11,PENYEBAB!$E:$E,PENYEBAB!$L:$L),"")</f>
        <v/>
      </c>
      <c r="F11" s="5"/>
      <c r="G11" s="5"/>
      <c r="H11" s="5"/>
      <c r="I11" s="5"/>
      <c r="J11" s="5"/>
      <c r="K11" s="5"/>
      <c r="L11" s="7" t="str">
        <f t="shared" si="0"/>
        <v/>
      </c>
      <c r="M11" s="7" t="str">
        <f>IF(L11="","",_xludf.IFS(L11&gt;=20,5,L11&gt;=16,4,L11&gt;=11,3,L11&gt;=6,2,L11&gt;0,1,TRUE,""))</f>
        <v/>
      </c>
      <c r="N11" s="7" t="str">
        <f>IFERROR(INDEX({"","Sangat Rendah","Rendah","Sedang","Tinggi","Sangat Tinggi"},M11+1),"")</f>
        <v/>
      </c>
      <c r="O11" s="5"/>
    </row>
    <row r="12" spans="1:15" ht="24" customHeight="1" x14ac:dyDescent="0.3">
      <c r="A12" s="5"/>
      <c r="B12" s="7" t="str">
        <f ca="1">IFERROR(_xludf.XLOOKUP(A12,PENYEBAB!$E:$E,PENYEBAB!$B:$B),"")</f>
        <v/>
      </c>
      <c r="C12" s="7" t="str">
        <f ca="1">IFERROR(_xludf.XLOOKUP(A12,PENYEBAB!$E:$E,PENYEBAB!$C:$C),"")</f>
        <v/>
      </c>
      <c r="D12" s="7" t="str">
        <f ca="1">IFERROR(_xludf.XLOOKUP(A12,PENYEBAB!$E:$E,PENYEBAB!$K:$K),"")</f>
        <v/>
      </c>
      <c r="E12" s="7" t="str">
        <f ca="1">IFERROR(_xludf.XLOOKUP(A12,PENYEBAB!$E:$E,PENYEBAB!$L:$L),"")</f>
        <v/>
      </c>
      <c r="F12" s="5"/>
      <c r="G12" s="5"/>
      <c r="H12" s="5"/>
      <c r="I12" s="5"/>
      <c r="J12" s="5"/>
      <c r="K12" s="5"/>
      <c r="L12" s="7" t="str">
        <f t="shared" si="0"/>
        <v/>
      </c>
      <c r="M12" s="7" t="str">
        <f>IF(L12="","",_xludf.IFS(L12&gt;=20,5,L12&gt;=16,4,L12&gt;=11,3,L12&gt;=6,2,L12&gt;0,1,TRUE,""))</f>
        <v/>
      </c>
      <c r="N12" s="7" t="str">
        <f>IFERROR(INDEX({"","Sangat Rendah","Rendah","Sedang","Tinggi","Sangat Tinggi"},M12+1),"")</f>
        <v/>
      </c>
      <c r="O12" s="5"/>
    </row>
    <row r="13" spans="1:15" ht="24" customHeight="1" x14ac:dyDescent="0.3">
      <c r="A13" s="5"/>
      <c r="B13" s="7" t="str">
        <f ca="1">IFERROR(_xludf.XLOOKUP(A13,PENYEBAB!$E:$E,PENYEBAB!$B:$B),"")</f>
        <v/>
      </c>
      <c r="C13" s="7" t="str">
        <f ca="1">IFERROR(_xludf.XLOOKUP(A13,PENYEBAB!$E:$E,PENYEBAB!$C:$C),"")</f>
        <v/>
      </c>
      <c r="D13" s="7" t="str">
        <f ca="1">IFERROR(_xludf.XLOOKUP(A13,PENYEBAB!$E:$E,PENYEBAB!$K:$K),"")</f>
        <v/>
      </c>
      <c r="E13" s="7" t="str">
        <f ca="1">IFERROR(_xludf.XLOOKUP(A13,PENYEBAB!$E:$E,PENYEBAB!$L:$L),"")</f>
        <v/>
      </c>
      <c r="F13" s="5"/>
      <c r="G13" s="5"/>
      <c r="H13" s="5"/>
      <c r="I13" s="5"/>
      <c r="J13" s="5"/>
      <c r="K13" s="5"/>
      <c r="L13" s="7" t="str">
        <f t="shared" si="0"/>
        <v/>
      </c>
      <c r="M13" s="7" t="str">
        <f>IF(L13="","",_xludf.IFS(L13&gt;=20,5,L13&gt;=16,4,L13&gt;=11,3,L13&gt;=6,2,L13&gt;0,1,TRUE,""))</f>
        <v/>
      </c>
      <c r="N13" s="7" t="str">
        <f>IFERROR(INDEX({"","Sangat Rendah","Rendah","Sedang","Tinggi","Sangat Tinggi"},M13+1),"")</f>
        <v/>
      </c>
      <c r="O13" s="5"/>
    </row>
    <row r="14" spans="1:15" ht="24" customHeight="1" x14ac:dyDescent="0.3">
      <c r="A14" s="5"/>
      <c r="B14" s="7" t="str">
        <f ca="1">IFERROR(_xludf.XLOOKUP(A14,PENYEBAB!$E:$E,PENYEBAB!$B:$B),"")</f>
        <v/>
      </c>
      <c r="C14" s="7" t="str">
        <f ca="1">IFERROR(_xludf.XLOOKUP(A14,PENYEBAB!$E:$E,PENYEBAB!$C:$C),"")</f>
        <v/>
      </c>
      <c r="D14" s="7" t="str">
        <f ca="1">IFERROR(_xludf.XLOOKUP(A14,PENYEBAB!$E:$E,PENYEBAB!$K:$K),"")</f>
        <v/>
      </c>
      <c r="E14" s="7" t="str">
        <f ca="1">IFERROR(_xludf.XLOOKUP(A14,PENYEBAB!$E:$E,PENYEBAB!$L:$L),"")</f>
        <v/>
      </c>
      <c r="F14" s="5"/>
      <c r="G14" s="5"/>
      <c r="H14" s="5"/>
      <c r="I14" s="5"/>
      <c r="J14" s="5"/>
      <c r="K14" s="5"/>
      <c r="L14" s="7" t="str">
        <f t="shared" si="0"/>
        <v/>
      </c>
      <c r="M14" s="7" t="str">
        <f>IF(L14="","",_xludf.IFS(L14&gt;=20,5,L14&gt;=16,4,L14&gt;=11,3,L14&gt;=6,2,L14&gt;0,1,TRUE,""))</f>
        <v/>
      </c>
      <c r="N14" s="7" t="str">
        <f>IFERROR(INDEX({"","Sangat Rendah","Rendah","Sedang","Tinggi","Sangat Tinggi"},M14+1),"")</f>
        <v/>
      </c>
      <c r="O14" s="5"/>
    </row>
    <row r="15" spans="1:15" ht="24" customHeight="1" x14ac:dyDescent="0.3">
      <c r="A15" s="5"/>
      <c r="B15" s="7" t="str">
        <f ca="1">IFERROR(_xludf.XLOOKUP(A15,PENYEBAB!$E:$E,PENYEBAB!$B:$B),"")</f>
        <v/>
      </c>
      <c r="C15" s="7" t="str">
        <f ca="1">IFERROR(_xludf.XLOOKUP(A15,PENYEBAB!$E:$E,PENYEBAB!$C:$C),"")</f>
        <v/>
      </c>
      <c r="D15" s="7" t="str">
        <f ca="1">IFERROR(_xludf.XLOOKUP(A15,PENYEBAB!$E:$E,PENYEBAB!$K:$K),"")</f>
        <v/>
      </c>
      <c r="E15" s="7" t="str">
        <f ca="1">IFERROR(_xludf.XLOOKUP(A15,PENYEBAB!$E:$E,PENYEBAB!$L:$L),"")</f>
        <v/>
      </c>
      <c r="F15" s="5"/>
      <c r="G15" s="5"/>
      <c r="H15" s="5"/>
      <c r="I15" s="5"/>
      <c r="J15" s="5"/>
      <c r="K15" s="5"/>
      <c r="L15" s="7" t="str">
        <f t="shared" si="0"/>
        <v/>
      </c>
      <c r="M15" s="7" t="str">
        <f>IF(L15="","",_xludf.IFS(L15&gt;=20,5,L15&gt;=16,4,L15&gt;=11,3,L15&gt;=6,2,L15&gt;0,1,TRUE,""))</f>
        <v/>
      </c>
      <c r="N15" s="7" t="str">
        <f>IFERROR(INDEX({"","Sangat Rendah","Rendah","Sedang","Tinggi","Sangat Tinggi"},M15+1),"")</f>
        <v/>
      </c>
      <c r="O15" s="5"/>
    </row>
    <row r="16" spans="1:15" ht="24" customHeight="1" x14ac:dyDescent="0.3">
      <c r="A16" s="5"/>
      <c r="B16" s="7" t="str">
        <f ca="1">IFERROR(_xludf.XLOOKUP(A16,PENYEBAB!$E:$E,PENYEBAB!$B:$B),"")</f>
        <v/>
      </c>
      <c r="C16" s="7" t="str">
        <f ca="1">IFERROR(_xludf.XLOOKUP(A16,PENYEBAB!$E:$E,PENYEBAB!$C:$C),"")</f>
        <v/>
      </c>
      <c r="D16" s="7" t="str">
        <f ca="1">IFERROR(_xludf.XLOOKUP(A16,PENYEBAB!$E:$E,PENYEBAB!$K:$K),"")</f>
        <v/>
      </c>
      <c r="E16" s="7" t="str">
        <f ca="1">IFERROR(_xludf.XLOOKUP(A16,PENYEBAB!$E:$E,PENYEBAB!$L:$L),"")</f>
        <v/>
      </c>
      <c r="F16" s="5"/>
      <c r="G16" s="5"/>
      <c r="H16" s="5"/>
      <c r="I16" s="5"/>
      <c r="J16" s="5"/>
      <c r="K16" s="5"/>
      <c r="L16" s="7" t="str">
        <f t="shared" si="0"/>
        <v/>
      </c>
      <c r="M16" s="7" t="str">
        <f>IF(L16="","",_xludf.IFS(L16&gt;=20,5,L16&gt;=16,4,L16&gt;=11,3,L16&gt;=6,2,L16&gt;0,1,TRUE,""))</f>
        <v/>
      </c>
      <c r="N16" s="7" t="str">
        <f>IFERROR(INDEX({"","Sangat Rendah","Rendah","Sedang","Tinggi","Sangat Tinggi"},M16+1),"")</f>
        <v/>
      </c>
      <c r="O16" s="5"/>
    </row>
    <row r="17" spans="1:15" ht="24" customHeight="1" x14ac:dyDescent="0.3">
      <c r="A17" s="5"/>
      <c r="B17" s="7" t="str">
        <f ca="1">IFERROR(_xludf.XLOOKUP(A17,PENYEBAB!$E:$E,PENYEBAB!$B:$B),"")</f>
        <v/>
      </c>
      <c r="C17" s="7" t="str">
        <f ca="1">IFERROR(_xludf.XLOOKUP(A17,PENYEBAB!$E:$E,PENYEBAB!$C:$C),"")</f>
        <v/>
      </c>
      <c r="D17" s="7" t="str">
        <f ca="1">IFERROR(_xludf.XLOOKUP(A17,PENYEBAB!$E:$E,PENYEBAB!$K:$K),"")</f>
        <v/>
      </c>
      <c r="E17" s="7" t="str">
        <f ca="1">IFERROR(_xludf.XLOOKUP(A17,PENYEBAB!$E:$E,PENYEBAB!$L:$L),"")</f>
        <v/>
      </c>
      <c r="F17" s="5"/>
      <c r="G17" s="5"/>
      <c r="H17" s="5"/>
      <c r="I17" s="5"/>
      <c r="J17" s="5"/>
      <c r="K17" s="5"/>
      <c r="L17" s="7" t="str">
        <f t="shared" si="0"/>
        <v/>
      </c>
      <c r="M17" s="7" t="str">
        <f>IF(L17="","",_xludf.IFS(L17&gt;=20,5,L17&gt;=16,4,L17&gt;=11,3,L17&gt;=6,2,L17&gt;0,1,TRUE,""))</f>
        <v/>
      </c>
      <c r="N17" s="7" t="str">
        <f>IFERROR(INDEX({"","Sangat Rendah","Rendah","Sedang","Tinggi","Sangat Tinggi"},M17+1),"")</f>
        <v/>
      </c>
      <c r="O17" s="5"/>
    </row>
    <row r="18" spans="1:15" ht="24" customHeight="1" x14ac:dyDescent="0.3">
      <c r="A18" s="5"/>
      <c r="B18" s="7" t="str">
        <f ca="1">IFERROR(_xludf.XLOOKUP(A18,PENYEBAB!$E:$E,PENYEBAB!$B:$B),"")</f>
        <v/>
      </c>
      <c r="C18" s="7" t="str">
        <f ca="1">IFERROR(_xludf.XLOOKUP(A18,PENYEBAB!$E:$E,PENYEBAB!$C:$C),"")</f>
        <v/>
      </c>
      <c r="D18" s="7" t="str">
        <f ca="1">IFERROR(_xludf.XLOOKUP(A18,PENYEBAB!$E:$E,PENYEBAB!$K:$K),"")</f>
        <v/>
      </c>
      <c r="E18" s="7" t="str">
        <f ca="1">IFERROR(_xludf.XLOOKUP(A18,PENYEBAB!$E:$E,PENYEBAB!$L:$L),"")</f>
        <v/>
      </c>
      <c r="F18" s="5"/>
      <c r="G18" s="5"/>
      <c r="H18" s="5"/>
      <c r="I18" s="5"/>
      <c r="J18" s="5"/>
      <c r="K18" s="5"/>
      <c r="L18" s="7" t="str">
        <f t="shared" si="0"/>
        <v/>
      </c>
      <c r="M18" s="7" t="str">
        <f>IF(L18="","",_xludf.IFS(L18&gt;=20,5,L18&gt;=16,4,L18&gt;=11,3,L18&gt;=6,2,L18&gt;0,1,TRUE,""))</f>
        <v/>
      </c>
      <c r="N18" s="7" t="str">
        <f>IFERROR(INDEX({"","Sangat Rendah","Rendah","Sedang","Tinggi","Sangat Tinggi"},M18+1),"")</f>
        <v/>
      </c>
      <c r="O18" s="5"/>
    </row>
    <row r="19" spans="1:15" ht="24" customHeight="1" x14ac:dyDescent="0.3">
      <c r="A19" s="5"/>
      <c r="B19" s="7" t="str">
        <f ca="1">IFERROR(_xludf.XLOOKUP(A19,PENYEBAB!$E:$E,PENYEBAB!$B:$B),"")</f>
        <v/>
      </c>
      <c r="C19" s="7" t="str">
        <f ca="1">IFERROR(_xludf.XLOOKUP(A19,PENYEBAB!$E:$E,PENYEBAB!$C:$C),"")</f>
        <v/>
      </c>
      <c r="D19" s="7" t="str">
        <f ca="1">IFERROR(_xludf.XLOOKUP(A19,PENYEBAB!$E:$E,PENYEBAB!$K:$K),"")</f>
        <v/>
      </c>
      <c r="E19" s="7" t="str">
        <f ca="1">IFERROR(_xludf.XLOOKUP(A19,PENYEBAB!$E:$E,PENYEBAB!$L:$L),"")</f>
        <v/>
      </c>
      <c r="F19" s="5"/>
      <c r="G19" s="5"/>
      <c r="H19" s="5"/>
      <c r="I19" s="5"/>
      <c r="J19" s="5"/>
      <c r="K19" s="5"/>
      <c r="L19" s="7" t="str">
        <f t="shared" si="0"/>
        <v/>
      </c>
      <c r="M19" s="7" t="str">
        <f>IF(L19="","",_xludf.IFS(L19&gt;=20,5,L19&gt;=16,4,L19&gt;=11,3,L19&gt;=6,2,L19&gt;0,1,TRUE,""))</f>
        <v/>
      </c>
      <c r="N19" s="7" t="str">
        <f>IFERROR(INDEX({"","Sangat Rendah","Rendah","Sedang","Tinggi","Sangat Tinggi"},M19+1),"")</f>
        <v/>
      </c>
      <c r="O19" s="5"/>
    </row>
    <row r="20" spans="1:15" ht="24" customHeight="1" x14ac:dyDescent="0.3">
      <c r="A20" s="5"/>
      <c r="B20" s="7" t="str">
        <f ca="1">IFERROR(_xludf.XLOOKUP(A20,PENYEBAB!$E:$E,PENYEBAB!$B:$B),"")</f>
        <v/>
      </c>
      <c r="C20" s="7" t="str">
        <f ca="1">IFERROR(_xludf.XLOOKUP(A20,PENYEBAB!$E:$E,PENYEBAB!$C:$C),"")</f>
        <v/>
      </c>
      <c r="D20" s="7" t="str">
        <f ca="1">IFERROR(_xludf.XLOOKUP(A20,PENYEBAB!$E:$E,PENYEBAB!$K:$K),"")</f>
        <v/>
      </c>
      <c r="E20" s="7" t="str">
        <f ca="1">IFERROR(_xludf.XLOOKUP(A20,PENYEBAB!$E:$E,PENYEBAB!$L:$L),"")</f>
        <v/>
      </c>
      <c r="F20" s="5"/>
      <c r="G20" s="5"/>
      <c r="H20" s="5"/>
      <c r="I20" s="5"/>
      <c r="J20" s="5"/>
      <c r="K20" s="5"/>
      <c r="L20" s="7" t="str">
        <f t="shared" si="0"/>
        <v/>
      </c>
      <c r="M20" s="7" t="str">
        <f>IF(L20="","",_xludf.IFS(L20&gt;=20,5,L20&gt;=16,4,L20&gt;=11,3,L20&gt;=6,2,L20&gt;0,1,TRUE,""))</f>
        <v/>
      </c>
      <c r="N20" s="7" t="str">
        <f>IFERROR(INDEX({"","Sangat Rendah","Rendah","Sedang","Tinggi","Sangat Tinggi"},M20+1),"")</f>
        <v/>
      </c>
      <c r="O20" s="5"/>
    </row>
    <row r="21" spans="1:15" ht="24" customHeight="1" x14ac:dyDescent="0.3">
      <c r="A21" s="5"/>
      <c r="B21" s="7" t="str">
        <f ca="1">IFERROR(_xludf.XLOOKUP(A21,PENYEBAB!$E:$E,PENYEBAB!$B:$B),"")</f>
        <v/>
      </c>
      <c r="C21" s="7" t="str">
        <f ca="1">IFERROR(_xludf.XLOOKUP(A21,PENYEBAB!$E:$E,PENYEBAB!$C:$C),"")</f>
        <v/>
      </c>
      <c r="D21" s="7" t="str">
        <f ca="1">IFERROR(_xludf.XLOOKUP(A21,PENYEBAB!$E:$E,PENYEBAB!$K:$K),"")</f>
        <v/>
      </c>
      <c r="E21" s="7" t="str">
        <f ca="1">IFERROR(_xludf.XLOOKUP(A21,PENYEBAB!$E:$E,PENYEBAB!$L:$L),"")</f>
        <v/>
      </c>
      <c r="F21" s="5"/>
      <c r="G21" s="5"/>
      <c r="H21" s="5"/>
      <c r="I21" s="5"/>
      <c r="J21" s="5"/>
      <c r="K21" s="5"/>
      <c r="L21" s="7" t="str">
        <f t="shared" si="0"/>
        <v/>
      </c>
      <c r="M21" s="7" t="str">
        <f>IF(L21="","",_xludf.IFS(L21&gt;=20,5,L21&gt;=16,4,L21&gt;=11,3,L21&gt;=6,2,L21&gt;0,1,TRUE,""))</f>
        <v/>
      </c>
      <c r="N21" s="7" t="str">
        <f>IFERROR(INDEX({"","Sangat Rendah","Rendah","Sedang","Tinggi","Sangat Tinggi"},M21+1),"")</f>
        <v/>
      </c>
      <c r="O21" s="5"/>
    </row>
    <row r="22" spans="1:15" ht="24" customHeight="1" x14ac:dyDescent="0.3">
      <c r="A22" s="5"/>
      <c r="B22" s="7" t="str">
        <f ca="1">IFERROR(_xludf.XLOOKUP(A22,PENYEBAB!$E:$E,PENYEBAB!$B:$B),"")</f>
        <v/>
      </c>
      <c r="C22" s="7" t="str">
        <f ca="1">IFERROR(_xludf.XLOOKUP(A22,PENYEBAB!$E:$E,PENYEBAB!$C:$C),"")</f>
        <v/>
      </c>
      <c r="D22" s="7" t="str">
        <f ca="1">IFERROR(_xludf.XLOOKUP(A22,PENYEBAB!$E:$E,PENYEBAB!$K:$K),"")</f>
        <v/>
      </c>
      <c r="E22" s="7" t="str">
        <f ca="1">IFERROR(_xludf.XLOOKUP(A22,PENYEBAB!$E:$E,PENYEBAB!$L:$L),"")</f>
        <v/>
      </c>
      <c r="F22" s="5"/>
      <c r="G22" s="5"/>
      <c r="H22" s="5"/>
      <c r="I22" s="5"/>
      <c r="J22" s="5"/>
      <c r="K22" s="5"/>
      <c r="L22" s="7" t="str">
        <f t="shared" si="0"/>
        <v/>
      </c>
      <c r="M22" s="7" t="str">
        <f>IF(L22="","",_xludf.IFS(L22&gt;=20,5,L22&gt;=16,4,L22&gt;=11,3,L22&gt;=6,2,L22&gt;0,1,TRUE,""))</f>
        <v/>
      </c>
      <c r="N22" s="7" t="str">
        <f>IFERROR(INDEX({"","Sangat Rendah","Rendah","Sedang","Tinggi","Sangat Tinggi"},M22+1),"")</f>
        <v/>
      </c>
      <c r="O22" s="5"/>
    </row>
    <row r="23" spans="1:15" ht="24" customHeight="1" x14ac:dyDescent="0.3">
      <c r="A23" s="5"/>
      <c r="B23" s="7" t="str">
        <f ca="1">IFERROR(_xludf.XLOOKUP(A23,PENYEBAB!$E:$E,PENYEBAB!$B:$B),"")</f>
        <v/>
      </c>
      <c r="C23" s="7" t="str">
        <f ca="1">IFERROR(_xludf.XLOOKUP(A23,PENYEBAB!$E:$E,PENYEBAB!$C:$C),"")</f>
        <v/>
      </c>
      <c r="D23" s="7" t="str">
        <f ca="1">IFERROR(_xludf.XLOOKUP(A23,PENYEBAB!$E:$E,PENYEBAB!$K:$K),"")</f>
        <v/>
      </c>
      <c r="E23" s="7" t="str">
        <f ca="1">IFERROR(_xludf.XLOOKUP(A23,PENYEBAB!$E:$E,PENYEBAB!$L:$L),"")</f>
        <v/>
      </c>
      <c r="F23" s="5"/>
      <c r="G23" s="5"/>
      <c r="H23" s="5"/>
      <c r="I23" s="5"/>
      <c r="J23" s="5"/>
      <c r="K23" s="5"/>
      <c r="L23" s="7" t="str">
        <f t="shared" si="0"/>
        <v/>
      </c>
      <c r="M23" s="7" t="str">
        <f>IF(L23="","",_xludf.IFS(L23&gt;=20,5,L23&gt;=16,4,L23&gt;=11,3,L23&gt;=6,2,L23&gt;0,1,TRUE,""))</f>
        <v/>
      </c>
      <c r="N23" s="7" t="str">
        <f>IFERROR(INDEX({"","Sangat Rendah","Rendah","Sedang","Tinggi","Sangat Tinggi"},M23+1),"")</f>
        <v/>
      </c>
      <c r="O23" s="5"/>
    </row>
    <row r="24" spans="1:15" ht="24" customHeight="1" x14ac:dyDescent="0.3">
      <c r="A24" s="5"/>
      <c r="B24" s="7" t="str">
        <f ca="1">IFERROR(_xludf.XLOOKUP(A24,PENYEBAB!$E:$E,PENYEBAB!$B:$B),"")</f>
        <v/>
      </c>
      <c r="C24" s="7" t="str">
        <f ca="1">IFERROR(_xludf.XLOOKUP(A24,PENYEBAB!$E:$E,PENYEBAB!$C:$C),"")</f>
        <v/>
      </c>
      <c r="D24" s="7" t="str">
        <f ca="1">IFERROR(_xludf.XLOOKUP(A24,PENYEBAB!$E:$E,PENYEBAB!$K:$K),"")</f>
        <v/>
      </c>
      <c r="E24" s="7" t="str">
        <f ca="1">IFERROR(_xludf.XLOOKUP(A24,PENYEBAB!$E:$E,PENYEBAB!$L:$L),"")</f>
        <v/>
      </c>
      <c r="F24" s="5"/>
      <c r="G24" s="5"/>
      <c r="H24" s="5"/>
      <c r="I24" s="5"/>
      <c r="J24" s="5"/>
      <c r="K24" s="5"/>
      <c r="L24" s="7" t="str">
        <f t="shared" si="0"/>
        <v/>
      </c>
      <c r="M24" s="7" t="str">
        <f>IF(L24="","",_xludf.IFS(L24&gt;=20,5,L24&gt;=16,4,L24&gt;=11,3,L24&gt;=6,2,L24&gt;0,1,TRUE,""))</f>
        <v/>
      </c>
      <c r="N24" s="7" t="str">
        <f>IFERROR(INDEX({"","Sangat Rendah","Rendah","Sedang","Tinggi","Sangat Tinggi"},M24+1),"")</f>
        <v/>
      </c>
      <c r="O24" s="5"/>
    </row>
    <row r="25" spans="1:15" ht="24" customHeight="1" x14ac:dyDescent="0.3">
      <c r="A25" s="5"/>
      <c r="B25" s="7" t="str">
        <f ca="1">IFERROR(_xludf.XLOOKUP(A25,PENYEBAB!$E:$E,PENYEBAB!$B:$B),"")</f>
        <v/>
      </c>
      <c r="C25" s="7" t="str">
        <f ca="1">IFERROR(_xludf.XLOOKUP(A25,PENYEBAB!$E:$E,PENYEBAB!$C:$C),"")</f>
        <v/>
      </c>
      <c r="D25" s="7" t="str">
        <f ca="1">IFERROR(_xludf.XLOOKUP(A25,PENYEBAB!$E:$E,PENYEBAB!$K:$K),"")</f>
        <v/>
      </c>
      <c r="E25" s="7" t="str">
        <f ca="1">IFERROR(_xludf.XLOOKUP(A25,PENYEBAB!$E:$E,PENYEBAB!$L:$L),"")</f>
        <v/>
      </c>
      <c r="F25" s="5"/>
      <c r="G25" s="5"/>
      <c r="H25" s="5"/>
      <c r="I25" s="5"/>
      <c r="J25" s="5"/>
      <c r="K25" s="5"/>
      <c r="L25" s="7" t="str">
        <f t="shared" si="0"/>
        <v/>
      </c>
      <c r="M25" s="7" t="str">
        <f>IF(L25="","",_xludf.IFS(L25&gt;=20,5,L25&gt;=16,4,L25&gt;=11,3,L25&gt;=6,2,L25&gt;0,1,TRUE,""))</f>
        <v/>
      </c>
      <c r="N25" s="7" t="str">
        <f>IFERROR(INDEX({"","Sangat Rendah","Rendah","Sedang","Tinggi","Sangat Tinggi"},M25+1),"")</f>
        <v/>
      </c>
      <c r="O25" s="5"/>
    </row>
    <row r="26" spans="1:15" ht="24" customHeight="1" x14ac:dyDescent="0.3">
      <c r="A26" s="5"/>
      <c r="B26" s="7" t="str">
        <f ca="1">IFERROR(_xludf.XLOOKUP(A26,PENYEBAB!$E:$E,PENYEBAB!$B:$B),"")</f>
        <v/>
      </c>
      <c r="C26" s="7" t="str">
        <f ca="1">IFERROR(_xludf.XLOOKUP(A26,PENYEBAB!$E:$E,PENYEBAB!$C:$C),"")</f>
        <v/>
      </c>
      <c r="D26" s="7" t="str">
        <f ca="1">IFERROR(_xludf.XLOOKUP(A26,PENYEBAB!$E:$E,PENYEBAB!$K:$K),"")</f>
        <v/>
      </c>
      <c r="E26" s="7" t="str">
        <f ca="1">IFERROR(_xludf.XLOOKUP(A26,PENYEBAB!$E:$E,PENYEBAB!$L:$L),"")</f>
        <v/>
      </c>
      <c r="F26" s="5"/>
      <c r="G26" s="5"/>
      <c r="H26" s="5"/>
      <c r="I26" s="5"/>
      <c r="J26" s="5"/>
      <c r="K26" s="5"/>
      <c r="L26" s="7" t="str">
        <f t="shared" si="0"/>
        <v/>
      </c>
      <c r="M26" s="7" t="str">
        <f>IF(L26="","",_xludf.IFS(L26&gt;=20,5,L26&gt;=16,4,L26&gt;=11,3,L26&gt;=6,2,L26&gt;0,1,TRUE,""))</f>
        <v/>
      </c>
      <c r="N26" s="7" t="str">
        <f>IFERROR(INDEX({"","Sangat Rendah","Rendah","Sedang","Tinggi","Sangat Tinggi"},M26+1),"")</f>
        <v/>
      </c>
      <c r="O26" s="5"/>
    </row>
    <row r="27" spans="1:15" ht="24" customHeight="1" x14ac:dyDescent="0.3">
      <c r="A27" s="5"/>
      <c r="B27" s="7" t="str">
        <f ca="1">IFERROR(_xludf.XLOOKUP(A27,PENYEBAB!$E:$E,PENYEBAB!$B:$B),"")</f>
        <v/>
      </c>
      <c r="C27" s="7" t="str">
        <f ca="1">IFERROR(_xludf.XLOOKUP(A27,PENYEBAB!$E:$E,PENYEBAB!$C:$C),"")</f>
        <v/>
      </c>
      <c r="D27" s="7" t="str">
        <f ca="1">IFERROR(_xludf.XLOOKUP(A27,PENYEBAB!$E:$E,PENYEBAB!$K:$K),"")</f>
        <v/>
      </c>
      <c r="E27" s="7" t="str">
        <f ca="1">IFERROR(_xludf.XLOOKUP(A27,PENYEBAB!$E:$E,PENYEBAB!$L:$L),"")</f>
        <v/>
      </c>
      <c r="F27" s="5"/>
      <c r="G27" s="5"/>
      <c r="H27" s="5"/>
      <c r="I27" s="5"/>
      <c r="J27" s="5"/>
      <c r="K27" s="5"/>
      <c r="L27" s="7" t="str">
        <f t="shared" si="0"/>
        <v/>
      </c>
      <c r="M27" s="7" t="str">
        <f>IF(L27="","",_xludf.IFS(L27&gt;=20,5,L27&gt;=16,4,L27&gt;=11,3,L27&gt;=6,2,L27&gt;0,1,TRUE,""))</f>
        <v/>
      </c>
      <c r="N27" s="7" t="str">
        <f>IFERROR(INDEX({"","Sangat Rendah","Rendah","Sedang","Tinggi","Sangat Tinggi"},M27+1),"")</f>
        <v/>
      </c>
      <c r="O27" s="5"/>
    </row>
    <row r="28" spans="1:15" ht="24" customHeight="1" x14ac:dyDescent="0.3">
      <c r="A28" s="5"/>
      <c r="B28" s="7" t="str">
        <f ca="1">IFERROR(_xludf.XLOOKUP(A28,PENYEBAB!$E:$E,PENYEBAB!$B:$B),"")</f>
        <v/>
      </c>
      <c r="C28" s="7" t="str">
        <f ca="1">IFERROR(_xludf.XLOOKUP(A28,PENYEBAB!$E:$E,PENYEBAB!$C:$C),"")</f>
        <v/>
      </c>
      <c r="D28" s="7" t="str">
        <f ca="1">IFERROR(_xludf.XLOOKUP(A28,PENYEBAB!$E:$E,PENYEBAB!$K:$K),"")</f>
        <v/>
      </c>
      <c r="E28" s="7" t="str">
        <f ca="1">IFERROR(_xludf.XLOOKUP(A28,PENYEBAB!$E:$E,PENYEBAB!$L:$L),"")</f>
        <v/>
      </c>
      <c r="F28" s="5"/>
      <c r="G28" s="5"/>
      <c r="H28" s="5"/>
      <c r="I28" s="5"/>
      <c r="J28" s="5"/>
      <c r="K28" s="5"/>
      <c r="L28" s="7" t="str">
        <f t="shared" si="0"/>
        <v/>
      </c>
      <c r="M28" s="7" t="str">
        <f>IF(L28="","",_xludf.IFS(L28&gt;=20,5,L28&gt;=16,4,L28&gt;=11,3,L28&gt;=6,2,L28&gt;0,1,TRUE,""))</f>
        <v/>
      </c>
      <c r="N28" s="7" t="str">
        <f>IFERROR(INDEX({"","Sangat Rendah","Rendah","Sedang","Tinggi","Sangat Tinggi"},M28+1),"")</f>
        <v/>
      </c>
      <c r="O28" s="5"/>
    </row>
    <row r="29" spans="1:15" ht="24" customHeight="1" x14ac:dyDescent="0.3">
      <c r="A29" s="5"/>
      <c r="B29" s="7" t="str">
        <f ca="1">IFERROR(_xludf.XLOOKUP(A29,PENYEBAB!$E:$E,PENYEBAB!$B:$B),"")</f>
        <v/>
      </c>
      <c r="C29" s="7" t="str">
        <f ca="1">IFERROR(_xludf.XLOOKUP(A29,PENYEBAB!$E:$E,PENYEBAB!$C:$C),"")</f>
        <v/>
      </c>
      <c r="D29" s="7" t="str">
        <f ca="1">IFERROR(_xludf.XLOOKUP(A29,PENYEBAB!$E:$E,PENYEBAB!$K:$K),"")</f>
        <v/>
      </c>
      <c r="E29" s="7" t="str">
        <f ca="1">IFERROR(_xludf.XLOOKUP(A29,PENYEBAB!$E:$E,PENYEBAB!$L:$L),"")</f>
        <v/>
      </c>
      <c r="F29" s="5"/>
      <c r="G29" s="5"/>
      <c r="H29" s="5"/>
      <c r="I29" s="5"/>
      <c r="J29" s="5"/>
      <c r="K29" s="5"/>
      <c r="L29" s="7" t="str">
        <f t="shared" si="0"/>
        <v/>
      </c>
      <c r="M29" s="7" t="str">
        <f>IF(L29="","",_xludf.IFS(L29&gt;=20,5,L29&gt;=16,4,L29&gt;=11,3,L29&gt;=6,2,L29&gt;0,1,TRUE,""))</f>
        <v/>
      </c>
      <c r="N29" s="7" t="str">
        <f>IFERROR(INDEX({"","Sangat Rendah","Rendah","Sedang","Tinggi","Sangat Tinggi"},M29+1),"")</f>
        <v/>
      </c>
      <c r="O29" s="5"/>
    </row>
    <row r="30" spans="1:15" ht="24" customHeight="1" x14ac:dyDescent="0.3">
      <c r="A30" s="5"/>
      <c r="B30" s="7" t="str">
        <f ca="1">IFERROR(_xludf.XLOOKUP(A30,PENYEBAB!$E:$E,PENYEBAB!$B:$B),"")</f>
        <v/>
      </c>
      <c r="C30" s="7" t="str">
        <f ca="1">IFERROR(_xludf.XLOOKUP(A30,PENYEBAB!$E:$E,PENYEBAB!$C:$C),"")</f>
        <v/>
      </c>
      <c r="D30" s="7" t="str">
        <f ca="1">IFERROR(_xludf.XLOOKUP(A30,PENYEBAB!$E:$E,PENYEBAB!$K:$K),"")</f>
        <v/>
      </c>
      <c r="E30" s="7" t="str">
        <f ca="1">IFERROR(_xludf.XLOOKUP(A30,PENYEBAB!$E:$E,PENYEBAB!$L:$L),"")</f>
        <v/>
      </c>
      <c r="F30" s="5"/>
      <c r="G30" s="5"/>
      <c r="H30" s="5"/>
      <c r="I30" s="5"/>
      <c r="J30" s="5"/>
      <c r="K30" s="5"/>
      <c r="L30" s="7" t="str">
        <f t="shared" si="0"/>
        <v/>
      </c>
      <c r="M30" s="7" t="str">
        <f>IF(L30="","",_xludf.IFS(L30&gt;=20,5,L30&gt;=16,4,L30&gt;=11,3,L30&gt;=6,2,L30&gt;0,1,TRUE,""))</f>
        <v/>
      </c>
      <c r="N30" s="7" t="str">
        <f>IFERROR(INDEX({"","Sangat Rendah","Rendah","Sedang","Tinggi","Sangat Tinggi"},M30+1),"")</f>
        <v/>
      </c>
      <c r="O30" s="5"/>
    </row>
    <row r="31" spans="1:15" ht="24" customHeight="1" x14ac:dyDescent="0.3">
      <c r="A31" s="5"/>
      <c r="B31" s="7" t="str">
        <f ca="1">IFERROR(_xludf.XLOOKUP(A31,PENYEBAB!$E:$E,PENYEBAB!$B:$B),"")</f>
        <v/>
      </c>
      <c r="C31" s="7" t="str">
        <f ca="1">IFERROR(_xludf.XLOOKUP(A31,PENYEBAB!$E:$E,PENYEBAB!$C:$C),"")</f>
        <v/>
      </c>
      <c r="D31" s="7" t="str">
        <f ca="1">IFERROR(_xludf.XLOOKUP(A31,PENYEBAB!$E:$E,PENYEBAB!$K:$K),"")</f>
        <v/>
      </c>
      <c r="E31" s="7" t="str">
        <f ca="1">IFERROR(_xludf.XLOOKUP(A31,PENYEBAB!$E:$E,PENYEBAB!$L:$L),"")</f>
        <v/>
      </c>
      <c r="F31" s="5"/>
      <c r="G31" s="5"/>
      <c r="H31" s="5"/>
      <c r="I31" s="5"/>
      <c r="J31" s="5"/>
      <c r="K31" s="5"/>
      <c r="L31" s="7" t="str">
        <f t="shared" si="0"/>
        <v/>
      </c>
      <c r="M31" s="7" t="str">
        <f>IF(L31="","",_xludf.IFS(L31&gt;=20,5,L31&gt;=16,4,L31&gt;=11,3,L31&gt;=6,2,L31&gt;0,1,TRUE,""))</f>
        <v/>
      </c>
      <c r="N31" s="7" t="str">
        <f>IFERROR(INDEX({"","Sangat Rendah","Rendah","Sedang","Tinggi","Sangat Tinggi"},M31+1),"")</f>
        <v/>
      </c>
      <c r="O31" s="5"/>
    </row>
    <row r="32" spans="1:15" ht="24" customHeight="1" x14ac:dyDescent="0.3">
      <c r="A32" s="5"/>
      <c r="B32" s="7" t="str">
        <f ca="1">IFERROR(_xludf.XLOOKUP(A32,PENYEBAB!$E:$E,PENYEBAB!$B:$B),"")</f>
        <v/>
      </c>
      <c r="C32" s="7" t="str">
        <f ca="1">IFERROR(_xludf.XLOOKUP(A32,PENYEBAB!$E:$E,PENYEBAB!$C:$C),"")</f>
        <v/>
      </c>
      <c r="D32" s="7" t="str">
        <f ca="1">IFERROR(_xludf.XLOOKUP(A32,PENYEBAB!$E:$E,PENYEBAB!$K:$K),"")</f>
        <v/>
      </c>
      <c r="E32" s="7" t="str">
        <f ca="1">IFERROR(_xludf.XLOOKUP(A32,PENYEBAB!$E:$E,PENYEBAB!$L:$L),"")</f>
        <v/>
      </c>
      <c r="F32" s="5"/>
      <c r="G32" s="5"/>
      <c r="H32" s="5"/>
      <c r="I32" s="5"/>
      <c r="J32" s="5"/>
      <c r="K32" s="5"/>
      <c r="L32" s="7" t="str">
        <f t="shared" si="0"/>
        <v/>
      </c>
      <c r="M32" s="7" t="str">
        <f>IF(L32="","",_xludf.IFS(L32&gt;=20,5,L32&gt;=16,4,L32&gt;=11,3,L32&gt;=6,2,L32&gt;0,1,TRUE,""))</f>
        <v/>
      </c>
      <c r="N32" s="7" t="str">
        <f>IFERROR(INDEX({"","Sangat Rendah","Rendah","Sedang","Tinggi","Sangat Tinggi"},M32+1),"")</f>
        <v/>
      </c>
      <c r="O32" s="5"/>
    </row>
    <row r="33" spans="1:15" ht="24" customHeight="1" x14ac:dyDescent="0.3">
      <c r="A33" s="5"/>
      <c r="B33" s="7" t="str">
        <f ca="1">IFERROR(_xludf.XLOOKUP(A33,PENYEBAB!$E:$E,PENYEBAB!$B:$B),"")</f>
        <v/>
      </c>
      <c r="C33" s="7" t="str">
        <f ca="1">IFERROR(_xludf.XLOOKUP(A33,PENYEBAB!$E:$E,PENYEBAB!$C:$C),"")</f>
        <v/>
      </c>
      <c r="D33" s="7" t="str">
        <f ca="1">IFERROR(_xludf.XLOOKUP(A33,PENYEBAB!$E:$E,PENYEBAB!$K:$K),"")</f>
        <v/>
      </c>
      <c r="E33" s="7" t="str">
        <f ca="1">IFERROR(_xludf.XLOOKUP(A33,PENYEBAB!$E:$E,PENYEBAB!$L:$L),"")</f>
        <v/>
      </c>
      <c r="F33" s="5"/>
      <c r="G33" s="5"/>
      <c r="H33" s="5"/>
      <c r="I33" s="5"/>
      <c r="J33" s="5"/>
      <c r="K33" s="5"/>
      <c r="L33" s="7" t="str">
        <f t="shared" si="0"/>
        <v/>
      </c>
      <c r="M33" s="7" t="str">
        <f>IF(L33="","",_xludf.IFS(L33&gt;=20,5,L33&gt;=16,4,L33&gt;=11,3,L33&gt;=6,2,L33&gt;0,1,TRUE,""))</f>
        <v/>
      </c>
      <c r="N33" s="7" t="str">
        <f>IFERROR(INDEX({"","Sangat Rendah","Rendah","Sedang","Tinggi","Sangat Tinggi"},M33+1),"")</f>
        <v/>
      </c>
      <c r="O33" s="5"/>
    </row>
    <row r="34" spans="1:15" ht="24" customHeight="1" x14ac:dyDescent="0.3">
      <c r="A34" s="5"/>
      <c r="B34" s="7" t="str">
        <f ca="1">IFERROR(_xludf.XLOOKUP(A34,PENYEBAB!$E:$E,PENYEBAB!$B:$B),"")</f>
        <v/>
      </c>
      <c r="C34" s="7" t="str">
        <f ca="1">IFERROR(_xludf.XLOOKUP(A34,PENYEBAB!$E:$E,PENYEBAB!$C:$C),"")</f>
        <v/>
      </c>
      <c r="D34" s="7" t="str">
        <f ca="1">IFERROR(_xludf.XLOOKUP(A34,PENYEBAB!$E:$E,PENYEBAB!$K:$K),"")</f>
        <v/>
      </c>
      <c r="E34" s="7" t="str">
        <f ca="1">IFERROR(_xludf.XLOOKUP(A34,PENYEBAB!$E:$E,PENYEBAB!$L:$L),"")</f>
        <v/>
      </c>
      <c r="F34" s="5"/>
      <c r="G34" s="5"/>
      <c r="H34" s="5"/>
      <c r="I34" s="5"/>
      <c r="J34" s="5"/>
      <c r="K34" s="5"/>
      <c r="L34" s="7" t="str">
        <f t="shared" si="0"/>
        <v/>
      </c>
      <c r="M34" s="7" t="str">
        <f>IF(L34="","",_xludf.IFS(L34&gt;=20,5,L34&gt;=16,4,L34&gt;=11,3,L34&gt;=6,2,L34&gt;0,1,TRUE,""))</f>
        <v/>
      </c>
      <c r="N34" s="7" t="str">
        <f>IFERROR(INDEX({"","Sangat Rendah","Rendah","Sedang","Tinggi","Sangat Tinggi"},M34+1),"")</f>
        <v/>
      </c>
      <c r="O34" s="5"/>
    </row>
    <row r="35" spans="1:15" ht="24" customHeight="1" x14ac:dyDescent="0.3">
      <c r="A35" s="5"/>
      <c r="B35" s="7" t="str">
        <f ca="1">IFERROR(_xludf.XLOOKUP(A35,PENYEBAB!$E:$E,PENYEBAB!$B:$B),"")</f>
        <v/>
      </c>
      <c r="C35" s="7" t="str">
        <f ca="1">IFERROR(_xludf.XLOOKUP(A35,PENYEBAB!$E:$E,PENYEBAB!$C:$C),"")</f>
        <v/>
      </c>
      <c r="D35" s="7" t="str">
        <f ca="1">IFERROR(_xludf.XLOOKUP(A35,PENYEBAB!$E:$E,PENYEBAB!$K:$K),"")</f>
        <v/>
      </c>
      <c r="E35" s="7" t="str">
        <f ca="1">IFERROR(_xludf.XLOOKUP(A35,PENYEBAB!$E:$E,PENYEBAB!$L:$L),"")</f>
        <v/>
      </c>
      <c r="F35" s="5"/>
      <c r="G35" s="5"/>
      <c r="H35" s="5"/>
      <c r="I35" s="5"/>
      <c r="J35" s="5"/>
      <c r="K35" s="5"/>
      <c r="L35" s="7" t="str">
        <f t="shared" si="0"/>
        <v/>
      </c>
      <c r="M35" s="7" t="str">
        <f>IF(L35="","",_xludf.IFS(L35&gt;=20,5,L35&gt;=16,4,L35&gt;=11,3,L35&gt;=6,2,L35&gt;0,1,TRUE,""))</f>
        <v/>
      </c>
      <c r="N35" s="7" t="str">
        <f>IFERROR(INDEX({"","Sangat Rendah","Rendah","Sedang","Tinggi","Sangat Tinggi"},M35+1),"")</f>
        <v/>
      </c>
      <c r="O35" s="5"/>
    </row>
    <row r="36" spans="1:15" ht="24" customHeight="1" x14ac:dyDescent="0.3">
      <c r="A36" s="5"/>
      <c r="B36" s="7" t="str">
        <f ca="1">IFERROR(_xludf.XLOOKUP(A36,PENYEBAB!$E:$E,PENYEBAB!$B:$B),"")</f>
        <v/>
      </c>
      <c r="C36" s="7" t="str">
        <f ca="1">IFERROR(_xludf.XLOOKUP(A36,PENYEBAB!$E:$E,PENYEBAB!$C:$C),"")</f>
        <v/>
      </c>
      <c r="D36" s="7" t="str">
        <f ca="1">IFERROR(_xludf.XLOOKUP(A36,PENYEBAB!$E:$E,PENYEBAB!$K:$K),"")</f>
        <v/>
      </c>
      <c r="E36" s="7" t="str">
        <f ca="1">IFERROR(_xludf.XLOOKUP(A36,PENYEBAB!$E:$E,PENYEBAB!$L:$L),"")</f>
        <v/>
      </c>
      <c r="F36" s="5"/>
      <c r="G36" s="5"/>
      <c r="H36" s="5"/>
      <c r="I36" s="5"/>
      <c r="J36" s="5"/>
      <c r="K36" s="5"/>
      <c r="L36" s="7" t="str">
        <f t="shared" ref="L36:L67" si="1">IF(AND(J36&lt;&gt;"",K36&lt;&gt;""),J36*K36,"")</f>
        <v/>
      </c>
      <c r="M36" s="7" t="str">
        <f>IF(L36="","",_xludf.IFS(L36&gt;=20,5,L36&gt;=16,4,L36&gt;=11,3,L36&gt;=6,2,L36&gt;0,1,TRUE,""))</f>
        <v/>
      </c>
      <c r="N36" s="7" t="str">
        <f>IFERROR(INDEX({"","Sangat Rendah","Rendah","Sedang","Tinggi","Sangat Tinggi"},M36+1),"")</f>
        <v/>
      </c>
      <c r="O36" s="5"/>
    </row>
    <row r="37" spans="1:15" ht="24" customHeight="1" x14ac:dyDescent="0.3">
      <c r="A37" s="5"/>
      <c r="B37" s="7" t="str">
        <f ca="1">IFERROR(_xludf.XLOOKUP(A37,PENYEBAB!$E:$E,PENYEBAB!$B:$B),"")</f>
        <v/>
      </c>
      <c r="C37" s="7" t="str">
        <f ca="1">IFERROR(_xludf.XLOOKUP(A37,PENYEBAB!$E:$E,PENYEBAB!$C:$C),"")</f>
        <v/>
      </c>
      <c r="D37" s="7" t="str">
        <f ca="1">IFERROR(_xludf.XLOOKUP(A37,PENYEBAB!$E:$E,PENYEBAB!$K:$K),"")</f>
        <v/>
      </c>
      <c r="E37" s="7" t="str">
        <f ca="1">IFERROR(_xludf.XLOOKUP(A37,PENYEBAB!$E:$E,PENYEBAB!$L:$L),"")</f>
        <v/>
      </c>
      <c r="F37" s="5"/>
      <c r="G37" s="5"/>
      <c r="H37" s="5"/>
      <c r="I37" s="5"/>
      <c r="J37" s="5"/>
      <c r="K37" s="5"/>
      <c r="L37" s="7" t="str">
        <f t="shared" si="1"/>
        <v/>
      </c>
      <c r="M37" s="7" t="str">
        <f>IF(L37="","",_xludf.IFS(L37&gt;=20,5,L37&gt;=16,4,L37&gt;=11,3,L37&gt;=6,2,L37&gt;0,1,TRUE,""))</f>
        <v/>
      </c>
      <c r="N37" s="7" t="str">
        <f>IFERROR(INDEX({"","Sangat Rendah","Rendah","Sedang","Tinggi","Sangat Tinggi"},M37+1),"")</f>
        <v/>
      </c>
      <c r="O37" s="5"/>
    </row>
    <row r="38" spans="1:15" ht="24" customHeight="1" x14ac:dyDescent="0.3">
      <c r="A38" s="5"/>
      <c r="B38" s="7" t="str">
        <f ca="1">IFERROR(_xludf.XLOOKUP(A38,PENYEBAB!$E:$E,PENYEBAB!$B:$B),"")</f>
        <v/>
      </c>
      <c r="C38" s="7" t="str">
        <f ca="1">IFERROR(_xludf.XLOOKUP(A38,PENYEBAB!$E:$E,PENYEBAB!$C:$C),"")</f>
        <v/>
      </c>
      <c r="D38" s="7" t="str">
        <f ca="1">IFERROR(_xludf.XLOOKUP(A38,PENYEBAB!$E:$E,PENYEBAB!$K:$K),"")</f>
        <v/>
      </c>
      <c r="E38" s="7" t="str">
        <f ca="1">IFERROR(_xludf.XLOOKUP(A38,PENYEBAB!$E:$E,PENYEBAB!$L:$L),"")</f>
        <v/>
      </c>
      <c r="F38" s="5"/>
      <c r="G38" s="5"/>
      <c r="H38" s="5"/>
      <c r="I38" s="5"/>
      <c r="J38" s="5"/>
      <c r="K38" s="5"/>
      <c r="L38" s="7" t="str">
        <f t="shared" si="1"/>
        <v/>
      </c>
      <c r="M38" s="7" t="str">
        <f>IF(L38="","",_xludf.IFS(L38&gt;=20,5,L38&gt;=16,4,L38&gt;=11,3,L38&gt;=6,2,L38&gt;0,1,TRUE,""))</f>
        <v/>
      </c>
      <c r="N38" s="7" t="str">
        <f>IFERROR(INDEX({"","Sangat Rendah","Rendah","Sedang","Tinggi","Sangat Tinggi"},M38+1),"")</f>
        <v/>
      </c>
      <c r="O38" s="5"/>
    </row>
    <row r="39" spans="1:15" ht="24" customHeight="1" x14ac:dyDescent="0.3">
      <c r="A39" s="5"/>
      <c r="B39" s="7" t="str">
        <f ca="1">IFERROR(_xludf.XLOOKUP(A39,PENYEBAB!$E:$E,PENYEBAB!$B:$B),"")</f>
        <v/>
      </c>
      <c r="C39" s="7" t="str">
        <f ca="1">IFERROR(_xludf.XLOOKUP(A39,PENYEBAB!$E:$E,PENYEBAB!$C:$C),"")</f>
        <v/>
      </c>
      <c r="D39" s="7" t="str">
        <f ca="1">IFERROR(_xludf.XLOOKUP(A39,PENYEBAB!$E:$E,PENYEBAB!$K:$K),"")</f>
        <v/>
      </c>
      <c r="E39" s="7" t="str">
        <f ca="1">IFERROR(_xludf.XLOOKUP(A39,PENYEBAB!$E:$E,PENYEBAB!$L:$L),"")</f>
        <v/>
      </c>
      <c r="F39" s="5"/>
      <c r="G39" s="5"/>
      <c r="H39" s="5"/>
      <c r="I39" s="5"/>
      <c r="J39" s="5"/>
      <c r="K39" s="5"/>
      <c r="L39" s="7" t="str">
        <f t="shared" si="1"/>
        <v/>
      </c>
      <c r="M39" s="7" t="str">
        <f>IF(L39="","",_xludf.IFS(L39&gt;=20,5,L39&gt;=16,4,L39&gt;=11,3,L39&gt;=6,2,L39&gt;0,1,TRUE,""))</f>
        <v/>
      </c>
      <c r="N39" s="7" t="str">
        <f>IFERROR(INDEX({"","Sangat Rendah","Rendah","Sedang","Tinggi","Sangat Tinggi"},M39+1),"")</f>
        <v/>
      </c>
      <c r="O39" s="5"/>
    </row>
    <row r="40" spans="1:15" ht="24" customHeight="1" x14ac:dyDescent="0.3">
      <c r="A40" s="5"/>
      <c r="B40" s="7" t="str">
        <f ca="1">IFERROR(_xludf.XLOOKUP(A40,PENYEBAB!$E:$E,PENYEBAB!$B:$B),"")</f>
        <v/>
      </c>
      <c r="C40" s="7" t="str">
        <f ca="1">IFERROR(_xludf.XLOOKUP(A40,PENYEBAB!$E:$E,PENYEBAB!$C:$C),"")</f>
        <v/>
      </c>
      <c r="D40" s="7" t="str">
        <f ca="1">IFERROR(_xludf.XLOOKUP(A40,PENYEBAB!$E:$E,PENYEBAB!$K:$K),"")</f>
        <v/>
      </c>
      <c r="E40" s="7" t="str">
        <f ca="1">IFERROR(_xludf.XLOOKUP(A40,PENYEBAB!$E:$E,PENYEBAB!$L:$L),"")</f>
        <v/>
      </c>
      <c r="F40" s="5"/>
      <c r="G40" s="5"/>
      <c r="H40" s="5"/>
      <c r="I40" s="5"/>
      <c r="J40" s="5"/>
      <c r="K40" s="5"/>
      <c r="L40" s="7" t="str">
        <f t="shared" si="1"/>
        <v/>
      </c>
      <c r="M40" s="7" t="str">
        <f>IF(L40="","",_xludf.IFS(L40&gt;=20,5,L40&gt;=16,4,L40&gt;=11,3,L40&gt;=6,2,L40&gt;0,1,TRUE,""))</f>
        <v/>
      </c>
      <c r="N40" s="7" t="str">
        <f>IFERROR(INDEX({"","Sangat Rendah","Rendah","Sedang","Tinggi","Sangat Tinggi"},M40+1),"")</f>
        <v/>
      </c>
      <c r="O40" s="5"/>
    </row>
    <row r="41" spans="1:15" ht="24" customHeight="1" x14ac:dyDescent="0.3">
      <c r="A41" s="5"/>
      <c r="B41" s="7" t="str">
        <f ca="1">IFERROR(_xludf.XLOOKUP(A41,PENYEBAB!$E:$E,PENYEBAB!$B:$B),"")</f>
        <v/>
      </c>
      <c r="C41" s="7" t="str">
        <f ca="1">IFERROR(_xludf.XLOOKUP(A41,PENYEBAB!$E:$E,PENYEBAB!$C:$C),"")</f>
        <v/>
      </c>
      <c r="D41" s="7" t="str">
        <f ca="1">IFERROR(_xludf.XLOOKUP(A41,PENYEBAB!$E:$E,PENYEBAB!$K:$K),"")</f>
        <v/>
      </c>
      <c r="E41" s="7" t="str">
        <f ca="1">IFERROR(_xludf.XLOOKUP(A41,PENYEBAB!$E:$E,PENYEBAB!$L:$L),"")</f>
        <v/>
      </c>
      <c r="F41" s="5"/>
      <c r="G41" s="5"/>
      <c r="H41" s="5"/>
      <c r="I41" s="5"/>
      <c r="J41" s="5"/>
      <c r="K41" s="5"/>
      <c r="L41" s="7" t="str">
        <f t="shared" si="1"/>
        <v/>
      </c>
      <c r="M41" s="7" t="str">
        <f>IF(L41="","",_xludf.IFS(L41&gt;=20,5,L41&gt;=16,4,L41&gt;=11,3,L41&gt;=6,2,L41&gt;0,1,TRUE,""))</f>
        <v/>
      </c>
      <c r="N41" s="7" t="str">
        <f>IFERROR(INDEX({"","Sangat Rendah","Rendah","Sedang","Tinggi","Sangat Tinggi"},M41+1),"")</f>
        <v/>
      </c>
      <c r="O41" s="5"/>
    </row>
    <row r="42" spans="1:15" ht="24" customHeight="1" x14ac:dyDescent="0.3">
      <c r="A42" s="5"/>
      <c r="B42" s="7" t="str">
        <f ca="1">IFERROR(_xludf.XLOOKUP(A42,PENYEBAB!$E:$E,PENYEBAB!$B:$B),"")</f>
        <v/>
      </c>
      <c r="C42" s="7" t="str">
        <f ca="1">IFERROR(_xludf.XLOOKUP(A42,PENYEBAB!$E:$E,PENYEBAB!$C:$C),"")</f>
        <v/>
      </c>
      <c r="D42" s="7" t="str">
        <f ca="1">IFERROR(_xludf.XLOOKUP(A42,PENYEBAB!$E:$E,PENYEBAB!$K:$K),"")</f>
        <v/>
      </c>
      <c r="E42" s="7" t="str">
        <f ca="1">IFERROR(_xludf.XLOOKUP(A42,PENYEBAB!$E:$E,PENYEBAB!$L:$L),"")</f>
        <v/>
      </c>
      <c r="F42" s="5"/>
      <c r="G42" s="5"/>
      <c r="H42" s="5"/>
      <c r="I42" s="5"/>
      <c r="J42" s="5"/>
      <c r="K42" s="5"/>
      <c r="L42" s="7" t="str">
        <f t="shared" si="1"/>
        <v/>
      </c>
      <c r="M42" s="7" t="str">
        <f>IF(L42="","",_xludf.IFS(L42&gt;=20,5,L42&gt;=16,4,L42&gt;=11,3,L42&gt;=6,2,L42&gt;0,1,TRUE,""))</f>
        <v/>
      </c>
      <c r="N42" s="7" t="str">
        <f>IFERROR(INDEX({"","Sangat Rendah","Rendah","Sedang","Tinggi","Sangat Tinggi"},M42+1),"")</f>
        <v/>
      </c>
      <c r="O42" s="5"/>
    </row>
    <row r="43" spans="1:15" ht="24" customHeight="1" x14ac:dyDescent="0.3">
      <c r="A43" s="5"/>
      <c r="B43" s="7" t="str">
        <f ca="1">IFERROR(_xludf.XLOOKUP(A43,PENYEBAB!$E:$E,PENYEBAB!$B:$B),"")</f>
        <v/>
      </c>
      <c r="C43" s="7" t="str">
        <f ca="1">IFERROR(_xludf.XLOOKUP(A43,PENYEBAB!$E:$E,PENYEBAB!$C:$C),"")</f>
        <v/>
      </c>
      <c r="D43" s="7" t="str">
        <f ca="1">IFERROR(_xludf.XLOOKUP(A43,PENYEBAB!$E:$E,PENYEBAB!$K:$K),"")</f>
        <v/>
      </c>
      <c r="E43" s="7" t="str">
        <f ca="1">IFERROR(_xludf.XLOOKUP(A43,PENYEBAB!$E:$E,PENYEBAB!$L:$L),"")</f>
        <v/>
      </c>
      <c r="F43" s="5"/>
      <c r="G43" s="5"/>
      <c r="H43" s="5"/>
      <c r="I43" s="5"/>
      <c r="J43" s="5"/>
      <c r="K43" s="5"/>
      <c r="L43" s="7" t="str">
        <f t="shared" si="1"/>
        <v/>
      </c>
      <c r="M43" s="7" t="str">
        <f>IF(L43="","",_xludf.IFS(L43&gt;=20,5,L43&gt;=16,4,L43&gt;=11,3,L43&gt;=6,2,L43&gt;0,1,TRUE,""))</f>
        <v/>
      </c>
      <c r="N43" s="7" t="str">
        <f>IFERROR(INDEX({"","Sangat Rendah","Rendah","Sedang","Tinggi","Sangat Tinggi"},M43+1),"")</f>
        <v/>
      </c>
      <c r="O43" s="5"/>
    </row>
    <row r="44" spans="1:15" ht="24" customHeight="1" x14ac:dyDescent="0.3">
      <c r="A44" s="5"/>
      <c r="B44" s="7" t="str">
        <f ca="1">IFERROR(_xludf.XLOOKUP(A44,PENYEBAB!$E:$E,PENYEBAB!$B:$B),"")</f>
        <v/>
      </c>
      <c r="C44" s="7" t="str">
        <f ca="1">IFERROR(_xludf.XLOOKUP(A44,PENYEBAB!$E:$E,PENYEBAB!$C:$C),"")</f>
        <v/>
      </c>
      <c r="D44" s="7" t="str">
        <f ca="1">IFERROR(_xludf.XLOOKUP(A44,PENYEBAB!$E:$E,PENYEBAB!$K:$K),"")</f>
        <v/>
      </c>
      <c r="E44" s="7" t="str">
        <f ca="1">IFERROR(_xludf.XLOOKUP(A44,PENYEBAB!$E:$E,PENYEBAB!$L:$L),"")</f>
        <v/>
      </c>
      <c r="F44" s="5"/>
      <c r="G44" s="5"/>
      <c r="H44" s="5"/>
      <c r="I44" s="5"/>
      <c r="J44" s="5"/>
      <c r="K44" s="5"/>
      <c r="L44" s="7" t="str">
        <f t="shared" si="1"/>
        <v/>
      </c>
      <c r="M44" s="7" t="str">
        <f>IF(L44="","",_xludf.IFS(L44&gt;=20,5,L44&gt;=16,4,L44&gt;=11,3,L44&gt;=6,2,L44&gt;0,1,TRUE,""))</f>
        <v/>
      </c>
      <c r="N44" s="7" t="str">
        <f>IFERROR(INDEX({"","Sangat Rendah","Rendah","Sedang","Tinggi","Sangat Tinggi"},M44+1),"")</f>
        <v/>
      </c>
      <c r="O44" s="5"/>
    </row>
    <row r="45" spans="1:15" ht="24" customHeight="1" x14ac:dyDescent="0.3">
      <c r="A45" s="5"/>
      <c r="B45" s="7" t="str">
        <f ca="1">IFERROR(_xludf.XLOOKUP(A45,PENYEBAB!$E:$E,PENYEBAB!$B:$B),"")</f>
        <v/>
      </c>
      <c r="C45" s="7" t="str">
        <f ca="1">IFERROR(_xludf.XLOOKUP(A45,PENYEBAB!$E:$E,PENYEBAB!$C:$C),"")</f>
        <v/>
      </c>
      <c r="D45" s="7" t="str">
        <f ca="1">IFERROR(_xludf.XLOOKUP(A45,PENYEBAB!$E:$E,PENYEBAB!$K:$K),"")</f>
        <v/>
      </c>
      <c r="E45" s="7" t="str">
        <f ca="1">IFERROR(_xludf.XLOOKUP(A45,PENYEBAB!$E:$E,PENYEBAB!$L:$L),"")</f>
        <v/>
      </c>
      <c r="F45" s="5"/>
      <c r="G45" s="5"/>
      <c r="H45" s="5"/>
      <c r="I45" s="5"/>
      <c r="J45" s="5"/>
      <c r="K45" s="5"/>
      <c r="L45" s="7" t="str">
        <f t="shared" si="1"/>
        <v/>
      </c>
      <c r="M45" s="7" t="str">
        <f>IF(L45="","",_xludf.IFS(L45&gt;=20,5,L45&gt;=16,4,L45&gt;=11,3,L45&gt;=6,2,L45&gt;0,1,TRUE,""))</f>
        <v/>
      </c>
      <c r="N45" s="7" t="str">
        <f>IFERROR(INDEX({"","Sangat Rendah","Rendah","Sedang","Tinggi","Sangat Tinggi"},M45+1),"")</f>
        <v/>
      </c>
      <c r="O45" s="5"/>
    </row>
    <row r="46" spans="1:15" ht="24" customHeight="1" x14ac:dyDescent="0.3">
      <c r="A46" s="5"/>
      <c r="B46" s="7" t="str">
        <f ca="1">IFERROR(_xludf.XLOOKUP(A46,PENYEBAB!$E:$E,PENYEBAB!$B:$B),"")</f>
        <v/>
      </c>
      <c r="C46" s="7" t="str">
        <f ca="1">IFERROR(_xludf.XLOOKUP(A46,PENYEBAB!$E:$E,PENYEBAB!$C:$C),"")</f>
        <v/>
      </c>
      <c r="D46" s="7" t="str">
        <f ca="1">IFERROR(_xludf.XLOOKUP(A46,PENYEBAB!$E:$E,PENYEBAB!$K:$K),"")</f>
        <v/>
      </c>
      <c r="E46" s="7" t="str">
        <f ca="1">IFERROR(_xludf.XLOOKUP(A46,PENYEBAB!$E:$E,PENYEBAB!$L:$L),"")</f>
        <v/>
      </c>
      <c r="F46" s="5"/>
      <c r="G46" s="5"/>
      <c r="H46" s="5"/>
      <c r="I46" s="5"/>
      <c r="J46" s="5"/>
      <c r="K46" s="5"/>
      <c r="L46" s="7" t="str">
        <f t="shared" si="1"/>
        <v/>
      </c>
      <c r="M46" s="7" t="str">
        <f>IF(L46="","",_xludf.IFS(L46&gt;=20,5,L46&gt;=16,4,L46&gt;=11,3,L46&gt;=6,2,L46&gt;0,1,TRUE,""))</f>
        <v/>
      </c>
      <c r="N46" s="7" t="str">
        <f>IFERROR(INDEX({"","Sangat Rendah","Rendah","Sedang","Tinggi","Sangat Tinggi"},M46+1),"")</f>
        <v/>
      </c>
      <c r="O46" s="5"/>
    </row>
    <row r="47" spans="1:15" ht="24" customHeight="1" x14ac:dyDescent="0.3">
      <c r="A47" s="5"/>
      <c r="B47" s="7" t="str">
        <f ca="1">IFERROR(_xludf.XLOOKUP(A47,PENYEBAB!$E:$E,PENYEBAB!$B:$B),"")</f>
        <v/>
      </c>
      <c r="C47" s="7" t="str">
        <f ca="1">IFERROR(_xludf.XLOOKUP(A47,PENYEBAB!$E:$E,PENYEBAB!$C:$C),"")</f>
        <v/>
      </c>
      <c r="D47" s="7" t="str">
        <f ca="1">IFERROR(_xludf.XLOOKUP(A47,PENYEBAB!$E:$E,PENYEBAB!$K:$K),"")</f>
        <v/>
      </c>
      <c r="E47" s="7" t="str">
        <f ca="1">IFERROR(_xludf.XLOOKUP(A47,PENYEBAB!$E:$E,PENYEBAB!$L:$L),"")</f>
        <v/>
      </c>
      <c r="F47" s="5"/>
      <c r="G47" s="5"/>
      <c r="H47" s="5"/>
      <c r="I47" s="5"/>
      <c r="J47" s="5"/>
      <c r="K47" s="5"/>
      <c r="L47" s="7" t="str">
        <f t="shared" si="1"/>
        <v/>
      </c>
      <c r="M47" s="7" t="str">
        <f>IF(L47="","",_xludf.IFS(L47&gt;=20,5,L47&gt;=16,4,L47&gt;=11,3,L47&gt;=6,2,L47&gt;0,1,TRUE,""))</f>
        <v/>
      </c>
      <c r="N47" s="7" t="str">
        <f>IFERROR(INDEX({"","Sangat Rendah","Rendah","Sedang","Tinggi","Sangat Tinggi"},M47+1),"")</f>
        <v/>
      </c>
      <c r="O47" s="5"/>
    </row>
    <row r="48" spans="1:15" ht="24" customHeight="1" x14ac:dyDescent="0.3">
      <c r="A48" s="5"/>
      <c r="B48" s="7" t="str">
        <f ca="1">IFERROR(_xludf.XLOOKUP(A48,PENYEBAB!$E:$E,PENYEBAB!$B:$B),"")</f>
        <v/>
      </c>
      <c r="C48" s="7" t="str">
        <f ca="1">IFERROR(_xludf.XLOOKUP(A48,PENYEBAB!$E:$E,PENYEBAB!$C:$C),"")</f>
        <v/>
      </c>
      <c r="D48" s="7" t="str">
        <f ca="1">IFERROR(_xludf.XLOOKUP(A48,PENYEBAB!$E:$E,PENYEBAB!$K:$K),"")</f>
        <v/>
      </c>
      <c r="E48" s="7" t="str">
        <f ca="1">IFERROR(_xludf.XLOOKUP(A48,PENYEBAB!$E:$E,PENYEBAB!$L:$L),"")</f>
        <v/>
      </c>
      <c r="F48" s="5"/>
      <c r="G48" s="5"/>
      <c r="H48" s="5"/>
      <c r="I48" s="5"/>
      <c r="J48" s="5"/>
      <c r="K48" s="5"/>
      <c r="L48" s="7" t="str">
        <f t="shared" si="1"/>
        <v/>
      </c>
      <c r="M48" s="7" t="str">
        <f>IF(L48="","",_xludf.IFS(L48&gt;=20,5,L48&gt;=16,4,L48&gt;=11,3,L48&gt;=6,2,L48&gt;0,1,TRUE,""))</f>
        <v/>
      </c>
      <c r="N48" s="7" t="str">
        <f>IFERROR(INDEX({"","Sangat Rendah","Rendah","Sedang","Tinggi","Sangat Tinggi"},M48+1),"")</f>
        <v/>
      </c>
      <c r="O48" s="5"/>
    </row>
    <row r="49" spans="1:15" ht="24" customHeight="1" x14ac:dyDescent="0.3">
      <c r="A49" s="5"/>
      <c r="B49" s="7" t="str">
        <f ca="1">IFERROR(_xludf.XLOOKUP(A49,PENYEBAB!$E:$E,PENYEBAB!$B:$B),"")</f>
        <v/>
      </c>
      <c r="C49" s="7" t="str">
        <f ca="1">IFERROR(_xludf.XLOOKUP(A49,PENYEBAB!$E:$E,PENYEBAB!$C:$C),"")</f>
        <v/>
      </c>
      <c r="D49" s="7" t="str">
        <f ca="1">IFERROR(_xludf.XLOOKUP(A49,PENYEBAB!$E:$E,PENYEBAB!$K:$K),"")</f>
        <v/>
      </c>
      <c r="E49" s="7" t="str">
        <f ca="1">IFERROR(_xludf.XLOOKUP(A49,PENYEBAB!$E:$E,PENYEBAB!$L:$L),"")</f>
        <v/>
      </c>
      <c r="F49" s="5"/>
      <c r="G49" s="5"/>
      <c r="H49" s="5"/>
      <c r="I49" s="5"/>
      <c r="J49" s="5"/>
      <c r="K49" s="5"/>
      <c r="L49" s="7" t="str">
        <f t="shared" si="1"/>
        <v/>
      </c>
      <c r="M49" s="7" t="str">
        <f>IF(L49="","",_xludf.IFS(L49&gt;=20,5,L49&gt;=16,4,L49&gt;=11,3,L49&gt;=6,2,L49&gt;0,1,TRUE,""))</f>
        <v/>
      </c>
      <c r="N49" s="7" t="str">
        <f>IFERROR(INDEX({"","Sangat Rendah","Rendah","Sedang","Tinggi","Sangat Tinggi"},M49+1),"")</f>
        <v/>
      </c>
      <c r="O49" s="5"/>
    </row>
    <row r="50" spans="1:15" ht="24" customHeight="1" x14ac:dyDescent="0.3">
      <c r="A50" s="5"/>
      <c r="B50" s="7" t="str">
        <f ca="1">IFERROR(_xludf.XLOOKUP(A50,PENYEBAB!$E:$E,PENYEBAB!$B:$B),"")</f>
        <v/>
      </c>
      <c r="C50" s="7" t="str">
        <f ca="1">IFERROR(_xludf.XLOOKUP(A50,PENYEBAB!$E:$E,PENYEBAB!$C:$C),"")</f>
        <v/>
      </c>
      <c r="D50" s="7" t="str">
        <f ca="1">IFERROR(_xludf.XLOOKUP(A50,PENYEBAB!$E:$E,PENYEBAB!$K:$K),"")</f>
        <v/>
      </c>
      <c r="E50" s="7" t="str">
        <f ca="1">IFERROR(_xludf.XLOOKUP(A50,PENYEBAB!$E:$E,PENYEBAB!$L:$L),"")</f>
        <v/>
      </c>
      <c r="F50" s="5"/>
      <c r="G50" s="5"/>
      <c r="H50" s="5"/>
      <c r="I50" s="5"/>
      <c r="J50" s="5"/>
      <c r="K50" s="5"/>
      <c r="L50" s="7" t="str">
        <f t="shared" si="1"/>
        <v/>
      </c>
      <c r="M50" s="7" t="str">
        <f>IF(L50="","",_xludf.IFS(L50&gt;=20,5,L50&gt;=16,4,L50&gt;=11,3,L50&gt;=6,2,L50&gt;0,1,TRUE,""))</f>
        <v/>
      </c>
      <c r="N50" s="7" t="str">
        <f>IFERROR(INDEX({"","Sangat Rendah","Rendah","Sedang","Tinggi","Sangat Tinggi"},M50+1),"")</f>
        <v/>
      </c>
      <c r="O50" s="5"/>
    </row>
    <row r="51" spans="1:15" ht="24" customHeight="1" x14ac:dyDescent="0.3">
      <c r="A51" s="5"/>
      <c r="B51" s="7" t="str">
        <f ca="1">IFERROR(_xludf.XLOOKUP(A51,PENYEBAB!$E:$E,PENYEBAB!$B:$B),"")</f>
        <v/>
      </c>
      <c r="C51" s="7" t="str">
        <f ca="1">IFERROR(_xludf.XLOOKUP(A51,PENYEBAB!$E:$E,PENYEBAB!$C:$C),"")</f>
        <v/>
      </c>
      <c r="D51" s="7" t="str">
        <f ca="1">IFERROR(_xludf.XLOOKUP(A51,PENYEBAB!$E:$E,PENYEBAB!$K:$K),"")</f>
        <v/>
      </c>
      <c r="E51" s="7" t="str">
        <f ca="1">IFERROR(_xludf.XLOOKUP(A51,PENYEBAB!$E:$E,PENYEBAB!$L:$L),"")</f>
        <v/>
      </c>
      <c r="F51" s="5"/>
      <c r="G51" s="5"/>
      <c r="H51" s="5"/>
      <c r="I51" s="5"/>
      <c r="J51" s="5"/>
      <c r="K51" s="5"/>
      <c r="L51" s="7" t="str">
        <f t="shared" si="1"/>
        <v/>
      </c>
      <c r="M51" s="7" t="str">
        <f>IF(L51="","",_xludf.IFS(L51&gt;=20,5,L51&gt;=16,4,L51&gt;=11,3,L51&gt;=6,2,L51&gt;0,1,TRUE,""))</f>
        <v/>
      </c>
      <c r="N51" s="7" t="str">
        <f>IFERROR(INDEX({"","Sangat Rendah","Rendah","Sedang","Tinggi","Sangat Tinggi"},M51+1),"")</f>
        <v/>
      </c>
      <c r="O51" s="5"/>
    </row>
    <row r="52" spans="1:15" ht="24" customHeight="1" x14ac:dyDescent="0.3">
      <c r="A52" s="5"/>
      <c r="B52" s="7" t="str">
        <f ca="1">IFERROR(_xludf.XLOOKUP(A52,PENYEBAB!$E:$E,PENYEBAB!$B:$B),"")</f>
        <v/>
      </c>
      <c r="C52" s="7" t="str">
        <f ca="1">IFERROR(_xludf.XLOOKUP(A52,PENYEBAB!$E:$E,PENYEBAB!$C:$C),"")</f>
        <v/>
      </c>
      <c r="D52" s="7" t="str">
        <f ca="1">IFERROR(_xludf.XLOOKUP(A52,PENYEBAB!$E:$E,PENYEBAB!$K:$K),"")</f>
        <v/>
      </c>
      <c r="E52" s="7" t="str">
        <f ca="1">IFERROR(_xludf.XLOOKUP(A52,PENYEBAB!$E:$E,PENYEBAB!$L:$L),"")</f>
        <v/>
      </c>
      <c r="F52" s="5"/>
      <c r="G52" s="5"/>
      <c r="H52" s="5"/>
      <c r="I52" s="5"/>
      <c r="J52" s="5"/>
      <c r="K52" s="5"/>
      <c r="L52" s="7" t="str">
        <f t="shared" si="1"/>
        <v/>
      </c>
      <c r="M52" s="7" t="str">
        <f>IF(L52="","",_xludf.IFS(L52&gt;=20,5,L52&gt;=16,4,L52&gt;=11,3,L52&gt;=6,2,L52&gt;0,1,TRUE,""))</f>
        <v/>
      </c>
      <c r="N52" s="7" t="str">
        <f>IFERROR(INDEX({"","Sangat Rendah","Rendah","Sedang","Tinggi","Sangat Tinggi"},M52+1),"")</f>
        <v/>
      </c>
      <c r="O52" s="5"/>
    </row>
    <row r="53" spans="1:15" ht="24" customHeight="1" x14ac:dyDescent="0.3">
      <c r="A53" s="5"/>
      <c r="B53" s="7" t="str">
        <f ca="1">IFERROR(_xludf.XLOOKUP(A53,PENYEBAB!$E:$E,PENYEBAB!$B:$B),"")</f>
        <v/>
      </c>
      <c r="C53" s="7" t="str">
        <f ca="1">IFERROR(_xludf.XLOOKUP(A53,PENYEBAB!$E:$E,PENYEBAB!$C:$C),"")</f>
        <v/>
      </c>
      <c r="D53" s="7" t="str">
        <f ca="1">IFERROR(_xludf.XLOOKUP(A53,PENYEBAB!$E:$E,PENYEBAB!$K:$K),"")</f>
        <v/>
      </c>
      <c r="E53" s="7" t="str">
        <f ca="1">IFERROR(_xludf.XLOOKUP(A53,PENYEBAB!$E:$E,PENYEBAB!$L:$L),"")</f>
        <v/>
      </c>
      <c r="F53" s="5"/>
      <c r="G53" s="5"/>
      <c r="H53" s="5"/>
      <c r="I53" s="5"/>
      <c r="J53" s="5"/>
      <c r="K53" s="5"/>
      <c r="L53" s="7" t="str">
        <f t="shared" si="1"/>
        <v/>
      </c>
      <c r="M53" s="7" t="str">
        <f>IF(L53="","",_xludf.IFS(L53&gt;=20,5,L53&gt;=16,4,L53&gt;=11,3,L53&gt;=6,2,L53&gt;0,1,TRUE,""))</f>
        <v/>
      </c>
      <c r="N53" s="7" t="str">
        <f>IFERROR(INDEX({"","Sangat Rendah","Rendah","Sedang","Tinggi","Sangat Tinggi"},M53+1),"")</f>
        <v/>
      </c>
      <c r="O53" s="5"/>
    </row>
    <row r="54" spans="1:15" ht="24" customHeight="1" x14ac:dyDescent="0.3">
      <c r="A54" s="5"/>
      <c r="B54" s="7" t="str">
        <f ca="1">IFERROR(_xludf.XLOOKUP(A54,PENYEBAB!$E:$E,PENYEBAB!$B:$B),"")</f>
        <v/>
      </c>
      <c r="C54" s="7" t="str">
        <f ca="1">IFERROR(_xludf.XLOOKUP(A54,PENYEBAB!$E:$E,PENYEBAB!$C:$C),"")</f>
        <v/>
      </c>
      <c r="D54" s="7" t="str">
        <f ca="1">IFERROR(_xludf.XLOOKUP(A54,PENYEBAB!$E:$E,PENYEBAB!$K:$K),"")</f>
        <v/>
      </c>
      <c r="E54" s="7" t="str">
        <f ca="1">IFERROR(_xludf.XLOOKUP(A54,PENYEBAB!$E:$E,PENYEBAB!$L:$L),"")</f>
        <v/>
      </c>
      <c r="F54" s="5"/>
      <c r="G54" s="5"/>
      <c r="H54" s="5"/>
      <c r="I54" s="5"/>
      <c r="J54" s="5"/>
      <c r="K54" s="5"/>
      <c r="L54" s="7" t="str">
        <f t="shared" si="1"/>
        <v/>
      </c>
      <c r="M54" s="7" t="str">
        <f>IF(L54="","",_xludf.IFS(L54&gt;=20,5,L54&gt;=16,4,L54&gt;=11,3,L54&gt;=6,2,L54&gt;0,1,TRUE,""))</f>
        <v/>
      </c>
      <c r="N54" s="7" t="str">
        <f>IFERROR(INDEX({"","Sangat Rendah","Rendah","Sedang","Tinggi","Sangat Tinggi"},M54+1),"")</f>
        <v/>
      </c>
      <c r="O54" s="5"/>
    </row>
    <row r="55" spans="1:15" ht="24" customHeight="1" x14ac:dyDescent="0.3">
      <c r="A55" s="5"/>
      <c r="B55" s="7" t="str">
        <f ca="1">IFERROR(_xludf.XLOOKUP(A55,PENYEBAB!$E:$E,PENYEBAB!$B:$B),"")</f>
        <v/>
      </c>
      <c r="C55" s="7" t="str">
        <f ca="1">IFERROR(_xludf.XLOOKUP(A55,PENYEBAB!$E:$E,PENYEBAB!$C:$C),"")</f>
        <v/>
      </c>
      <c r="D55" s="7" t="str">
        <f ca="1">IFERROR(_xludf.XLOOKUP(A55,PENYEBAB!$E:$E,PENYEBAB!$K:$K),"")</f>
        <v/>
      </c>
      <c r="E55" s="7" t="str">
        <f ca="1">IFERROR(_xludf.XLOOKUP(A55,PENYEBAB!$E:$E,PENYEBAB!$L:$L),"")</f>
        <v/>
      </c>
      <c r="F55" s="5"/>
      <c r="G55" s="5"/>
      <c r="H55" s="5"/>
      <c r="I55" s="5"/>
      <c r="J55" s="5"/>
      <c r="K55" s="5"/>
      <c r="L55" s="7" t="str">
        <f t="shared" si="1"/>
        <v/>
      </c>
      <c r="M55" s="7" t="str">
        <f>IF(L55="","",_xludf.IFS(L55&gt;=20,5,L55&gt;=16,4,L55&gt;=11,3,L55&gt;=6,2,L55&gt;0,1,TRUE,""))</f>
        <v/>
      </c>
      <c r="N55" s="7" t="str">
        <f>IFERROR(INDEX({"","Sangat Rendah","Rendah","Sedang","Tinggi","Sangat Tinggi"},M55+1),"")</f>
        <v/>
      </c>
      <c r="O55" s="5"/>
    </row>
    <row r="56" spans="1:15" ht="24" customHeight="1" x14ac:dyDescent="0.3">
      <c r="A56" s="5"/>
      <c r="B56" s="7" t="str">
        <f ca="1">IFERROR(_xludf.XLOOKUP(A56,PENYEBAB!$E:$E,PENYEBAB!$B:$B),"")</f>
        <v/>
      </c>
      <c r="C56" s="7" t="str">
        <f ca="1">IFERROR(_xludf.XLOOKUP(A56,PENYEBAB!$E:$E,PENYEBAB!$C:$C),"")</f>
        <v/>
      </c>
      <c r="D56" s="7" t="str">
        <f ca="1">IFERROR(_xludf.XLOOKUP(A56,PENYEBAB!$E:$E,PENYEBAB!$K:$K),"")</f>
        <v/>
      </c>
      <c r="E56" s="7" t="str">
        <f ca="1">IFERROR(_xludf.XLOOKUP(A56,PENYEBAB!$E:$E,PENYEBAB!$L:$L),"")</f>
        <v/>
      </c>
      <c r="F56" s="5"/>
      <c r="G56" s="5"/>
      <c r="H56" s="5"/>
      <c r="I56" s="5"/>
      <c r="J56" s="5"/>
      <c r="K56" s="5"/>
      <c r="L56" s="7" t="str">
        <f t="shared" si="1"/>
        <v/>
      </c>
      <c r="M56" s="7" t="str">
        <f>IF(L56="","",_xludf.IFS(L56&gt;=20,5,L56&gt;=16,4,L56&gt;=11,3,L56&gt;=6,2,L56&gt;0,1,TRUE,""))</f>
        <v/>
      </c>
      <c r="N56" s="7" t="str">
        <f>IFERROR(INDEX({"","Sangat Rendah","Rendah","Sedang","Tinggi","Sangat Tinggi"},M56+1),"")</f>
        <v/>
      </c>
      <c r="O56" s="5"/>
    </row>
    <row r="57" spans="1:15" ht="24" customHeight="1" x14ac:dyDescent="0.3">
      <c r="A57" s="5"/>
      <c r="B57" s="7" t="str">
        <f ca="1">IFERROR(_xludf.XLOOKUP(A57,PENYEBAB!$E:$E,PENYEBAB!$B:$B),"")</f>
        <v/>
      </c>
      <c r="C57" s="7" t="str">
        <f ca="1">IFERROR(_xludf.XLOOKUP(A57,PENYEBAB!$E:$E,PENYEBAB!$C:$C),"")</f>
        <v/>
      </c>
      <c r="D57" s="7" t="str">
        <f ca="1">IFERROR(_xludf.XLOOKUP(A57,PENYEBAB!$E:$E,PENYEBAB!$K:$K),"")</f>
        <v/>
      </c>
      <c r="E57" s="7" t="str">
        <f ca="1">IFERROR(_xludf.XLOOKUP(A57,PENYEBAB!$E:$E,PENYEBAB!$L:$L),"")</f>
        <v/>
      </c>
      <c r="F57" s="5"/>
      <c r="G57" s="5"/>
      <c r="H57" s="5"/>
      <c r="I57" s="5"/>
      <c r="J57" s="5"/>
      <c r="K57" s="5"/>
      <c r="L57" s="7" t="str">
        <f t="shared" si="1"/>
        <v/>
      </c>
      <c r="M57" s="7" t="str">
        <f>IF(L57="","",_xludf.IFS(L57&gt;=20,5,L57&gt;=16,4,L57&gt;=11,3,L57&gt;=6,2,L57&gt;0,1,TRUE,""))</f>
        <v/>
      </c>
      <c r="N57" s="7" t="str">
        <f>IFERROR(INDEX({"","Sangat Rendah","Rendah","Sedang","Tinggi","Sangat Tinggi"},M57+1),"")</f>
        <v/>
      </c>
      <c r="O57" s="5"/>
    </row>
    <row r="58" spans="1:15" ht="24" customHeight="1" x14ac:dyDescent="0.3">
      <c r="A58" s="5"/>
      <c r="B58" s="7" t="str">
        <f ca="1">IFERROR(_xludf.XLOOKUP(A58,PENYEBAB!$E:$E,PENYEBAB!$B:$B),"")</f>
        <v/>
      </c>
      <c r="C58" s="7" t="str">
        <f ca="1">IFERROR(_xludf.XLOOKUP(A58,PENYEBAB!$E:$E,PENYEBAB!$C:$C),"")</f>
        <v/>
      </c>
      <c r="D58" s="7" t="str">
        <f ca="1">IFERROR(_xludf.XLOOKUP(A58,PENYEBAB!$E:$E,PENYEBAB!$K:$K),"")</f>
        <v/>
      </c>
      <c r="E58" s="7" t="str">
        <f ca="1">IFERROR(_xludf.XLOOKUP(A58,PENYEBAB!$E:$E,PENYEBAB!$L:$L),"")</f>
        <v/>
      </c>
      <c r="F58" s="5"/>
      <c r="G58" s="5"/>
      <c r="H58" s="5"/>
      <c r="I58" s="5"/>
      <c r="J58" s="5"/>
      <c r="K58" s="5"/>
      <c r="L58" s="7" t="str">
        <f t="shared" si="1"/>
        <v/>
      </c>
      <c r="M58" s="7" t="str">
        <f>IF(L58="","",_xludf.IFS(L58&gt;=20,5,L58&gt;=16,4,L58&gt;=11,3,L58&gt;=6,2,L58&gt;0,1,TRUE,""))</f>
        <v/>
      </c>
      <c r="N58" s="7" t="str">
        <f>IFERROR(INDEX({"","Sangat Rendah","Rendah","Sedang","Tinggi","Sangat Tinggi"},M58+1),"")</f>
        <v/>
      </c>
      <c r="O58" s="5"/>
    </row>
    <row r="59" spans="1:15" ht="24" customHeight="1" x14ac:dyDescent="0.3">
      <c r="A59" s="5"/>
      <c r="B59" s="7" t="str">
        <f ca="1">IFERROR(_xludf.XLOOKUP(A59,PENYEBAB!$E:$E,PENYEBAB!$B:$B),"")</f>
        <v/>
      </c>
      <c r="C59" s="7" t="str">
        <f ca="1">IFERROR(_xludf.XLOOKUP(A59,PENYEBAB!$E:$E,PENYEBAB!$C:$C),"")</f>
        <v/>
      </c>
      <c r="D59" s="7" t="str">
        <f ca="1">IFERROR(_xludf.XLOOKUP(A59,PENYEBAB!$E:$E,PENYEBAB!$K:$K),"")</f>
        <v/>
      </c>
      <c r="E59" s="7" t="str">
        <f ca="1">IFERROR(_xludf.XLOOKUP(A59,PENYEBAB!$E:$E,PENYEBAB!$L:$L),"")</f>
        <v/>
      </c>
      <c r="F59" s="5"/>
      <c r="G59" s="5"/>
      <c r="H59" s="5"/>
      <c r="I59" s="5"/>
      <c r="J59" s="5"/>
      <c r="K59" s="5"/>
      <c r="L59" s="7" t="str">
        <f t="shared" si="1"/>
        <v/>
      </c>
      <c r="M59" s="7" t="str">
        <f>IF(L59="","",_xludf.IFS(L59&gt;=20,5,L59&gt;=16,4,L59&gt;=11,3,L59&gt;=6,2,L59&gt;0,1,TRUE,""))</f>
        <v/>
      </c>
      <c r="N59" s="7" t="str">
        <f>IFERROR(INDEX({"","Sangat Rendah","Rendah","Sedang","Tinggi","Sangat Tinggi"},M59+1),"")</f>
        <v/>
      </c>
      <c r="O59" s="5"/>
    </row>
    <row r="60" spans="1:15" ht="24" customHeight="1" x14ac:dyDescent="0.3">
      <c r="A60" s="5"/>
      <c r="B60" s="7" t="str">
        <f ca="1">IFERROR(_xludf.XLOOKUP(A60,PENYEBAB!$E:$E,PENYEBAB!$B:$B),"")</f>
        <v/>
      </c>
      <c r="C60" s="7" t="str">
        <f ca="1">IFERROR(_xludf.XLOOKUP(A60,PENYEBAB!$E:$E,PENYEBAB!$C:$C),"")</f>
        <v/>
      </c>
      <c r="D60" s="7" t="str">
        <f ca="1">IFERROR(_xludf.XLOOKUP(A60,PENYEBAB!$E:$E,PENYEBAB!$K:$K),"")</f>
        <v/>
      </c>
      <c r="E60" s="7" t="str">
        <f ca="1">IFERROR(_xludf.XLOOKUP(A60,PENYEBAB!$E:$E,PENYEBAB!$L:$L),"")</f>
        <v/>
      </c>
      <c r="F60" s="5"/>
      <c r="G60" s="5"/>
      <c r="H60" s="5"/>
      <c r="I60" s="5"/>
      <c r="J60" s="5"/>
      <c r="K60" s="5"/>
      <c r="L60" s="7" t="str">
        <f t="shared" si="1"/>
        <v/>
      </c>
      <c r="M60" s="7" t="str">
        <f>IF(L60="","",_xludf.IFS(L60&gt;=20,5,L60&gt;=16,4,L60&gt;=11,3,L60&gt;=6,2,L60&gt;0,1,TRUE,""))</f>
        <v/>
      </c>
      <c r="N60" s="7" t="str">
        <f>IFERROR(INDEX({"","Sangat Rendah","Rendah","Sedang","Tinggi","Sangat Tinggi"},M60+1),"")</f>
        <v/>
      </c>
      <c r="O60" s="5"/>
    </row>
    <row r="61" spans="1:15" ht="24" customHeight="1" x14ac:dyDescent="0.3">
      <c r="A61" s="5"/>
      <c r="B61" s="7" t="str">
        <f ca="1">IFERROR(_xludf.XLOOKUP(A61,PENYEBAB!$E:$E,PENYEBAB!$B:$B),"")</f>
        <v/>
      </c>
      <c r="C61" s="7" t="str">
        <f ca="1">IFERROR(_xludf.XLOOKUP(A61,PENYEBAB!$E:$E,PENYEBAB!$C:$C),"")</f>
        <v/>
      </c>
      <c r="D61" s="7" t="str">
        <f ca="1">IFERROR(_xludf.XLOOKUP(A61,PENYEBAB!$E:$E,PENYEBAB!$K:$K),"")</f>
        <v/>
      </c>
      <c r="E61" s="7" t="str">
        <f ca="1">IFERROR(_xludf.XLOOKUP(A61,PENYEBAB!$E:$E,PENYEBAB!$L:$L),"")</f>
        <v/>
      </c>
      <c r="F61" s="5"/>
      <c r="G61" s="5"/>
      <c r="H61" s="5"/>
      <c r="I61" s="5"/>
      <c r="J61" s="5"/>
      <c r="K61" s="5"/>
      <c r="L61" s="7" t="str">
        <f t="shared" si="1"/>
        <v/>
      </c>
      <c r="M61" s="7" t="str">
        <f>IF(L61="","",_xludf.IFS(L61&gt;=20,5,L61&gt;=16,4,L61&gt;=11,3,L61&gt;=6,2,L61&gt;0,1,TRUE,""))</f>
        <v/>
      </c>
      <c r="N61" s="7" t="str">
        <f>IFERROR(INDEX({"","Sangat Rendah","Rendah","Sedang","Tinggi","Sangat Tinggi"},M61+1),"")</f>
        <v/>
      </c>
      <c r="O61" s="5"/>
    </row>
    <row r="62" spans="1:15" ht="24" customHeight="1" x14ac:dyDescent="0.3">
      <c r="A62" s="5"/>
      <c r="B62" s="7" t="str">
        <f ca="1">IFERROR(_xludf.XLOOKUP(A62,PENYEBAB!$E:$E,PENYEBAB!$B:$B),"")</f>
        <v/>
      </c>
      <c r="C62" s="7" t="str">
        <f ca="1">IFERROR(_xludf.XLOOKUP(A62,PENYEBAB!$E:$E,PENYEBAB!$C:$C),"")</f>
        <v/>
      </c>
      <c r="D62" s="7" t="str">
        <f ca="1">IFERROR(_xludf.XLOOKUP(A62,PENYEBAB!$E:$E,PENYEBAB!$K:$K),"")</f>
        <v/>
      </c>
      <c r="E62" s="7" t="str">
        <f ca="1">IFERROR(_xludf.XLOOKUP(A62,PENYEBAB!$E:$E,PENYEBAB!$L:$L),"")</f>
        <v/>
      </c>
      <c r="F62" s="5"/>
      <c r="G62" s="5"/>
      <c r="H62" s="5"/>
      <c r="I62" s="5"/>
      <c r="J62" s="5"/>
      <c r="K62" s="5"/>
      <c r="L62" s="7" t="str">
        <f t="shared" si="1"/>
        <v/>
      </c>
      <c r="M62" s="7" t="str">
        <f>IF(L62="","",_xludf.IFS(L62&gt;=20,5,L62&gt;=16,4,L62&gt;=11,3,L62&gt;=6,2,L62&gt;0,1,TRUE,""))</f>
        <v/>
      </c>
      <c r="N62" s="7" t="str">
        <f>IFERROR(INDEX({"","Sangat Rendah","Rendah","Sedang","Tinggi","Sangat Tinggi"},M62+1),"")</f>
        <v/>
      </c>
      <c r="O62" s="5"/>
    </row>
    <row r="63" spans="1:15" ht="24" customHeight="1" x14ac:dyDescent="0.3">
      <c r="A63" s="5"/>
      <c r="B63" s="7" t="str">
        <f ca="1">IFERROR(_xludf.XLOOKUP(A63,PENYEBAB!$E:$E,PENYEBAB!$B:$B),"")</f>
        <v/>
      </c>
      <c r="C63" s="7" t="str">
        <f ca="1">IFERROR(_xludf.XLOOKUP(A63,PENYEBAB!$E:$E,PENYEBAB!$C:$C),"")</f>
        <v/>
      </c>
      <c r="D63" s="7" t="str">
        <f ca="1">IFERROR(_xludf.XLOOKUP(A63,PENYEBAB!$E:$E,PENYEBAB!$K:$K),"")</f>
        <v/>
      </c>
      <c r="E63" s="7" t="str">
        <f ca="1">IFERROR(_xludf.XLOOKUP(A63,PENYEBAB!$E:$E,PENYEBAB!$L:$L),"")</f>
        <v/>
      </c>
      <c r="F63" s="5"/>
      <c r="G63" s="5"/>
      <c r="H63" s="5"/>
      <c r="I63" s="5"/>
      <c r="J63" s="5"/>
      <c r="K63" s="5"/>
      <c r="L63" s="7" t="str">
        <f t="shared" si="1"/>
        <v/>
      </c>
      <c r="M63" s="7" t="str">
        <f>IF(L63="","",_xludf.IFS(L63&gt;=20,5,L63&gt;=16,4,L63&gt;=11,3,L63&gt;=6,2,L63&gt;0,1,TRUE,""))</f>
        <v/>
      </c>
      <c r="N63" s="7" t="str">
        <f>IFERROR(INDEX({"","Sangat Rendah","Rendah","Sedang","Tinggi","Sangat Tinggi"},M63+1),"")</f>
        <v/>
      </c>
      <c r="O63" s="5"/>
    </row>
    <row r="64" spans="1:15" ht="24" customHeight="1" x14ac:dyDescent="0.3">
      <c r="A64" s="5"/>
      <c r="B64" s="7" t="str">
        <f ca="1">IFERROR(_xludf.XLOOKUP(A64,PENYEBAB!$E:$E,PENYEBAB!$B:$B),"")</f>
        <v/>
      </c>
      <c r="C64" s="7" t="str">
        <f ca="1">IFERROR(_xludf.XLOOKUP(A64,PENYEBAB!$E:$E,PENYEBAB!$C:$C),"")</f>
        <v/>
      </c>
      <c r="D64" s="7" t="str">
        <f ca="1">IFERROR(_xludf.XLOOKUP(A64,PENYEBAB!$E:$E,PENYEBAB!$K:$K),"")</f>
        <v/>
      </c>
      <c r="E64" s="7" t="str">
        <f ca="1">IFERROR(_xludf.XLOOKUP(A64,PENYEBAB!$E:$E,PENYEBAB!$L:$L),"")</f>
        <v/>
      </c>
      <c r="F64" s="5"/>
      <c r="G64" s="5"/>
      <c r="H64" s="5"/>
      <c r="I64" s="5"/>
      <c r="J64" s="5"/>
      <c r="K64" s="5"/>
      <c r="L64" s="7" t="str">
        <f t="shared" si="1"/>
        <v/>
      </c>
      <c r="M64" s="7" t="str">
        <f>IF(L64="","",_xludf.IFS(L64&gt;=20,5,L64&gt;=16,4,L64&gt;=11,3,L64&gt;=6,2,L64&gt;0,1,TRUE,""))</f>
        <v/>
      </c>
      <c r="N64" s="7" t="str">
        <f>IFERROR(INDEX({"","Sangat Rendah","Rendah","Sedang","Tinggi","Sangat Tinggi"},M64+1),"")</f>
        <v/>
      </c>
      <c r="O64" s="5"/>
    </row>
    <row r="65" spans="1:15" ht="24" customHeight="1" x14ac:dyDescent="0.3">
      <c r="A65" s="5"/>
      <c r="B65" s="7" t="str">
        <f ca="1">IFERROR(_xludf.XLOOKUP(A65,PENYEBAB!$E:$E,PENYEBAB!$B:$B),"")</f>
        <v/>
      </c>
      <c r="C65" s="7" t="str">
        <f ca="1">IFERROR(_xludf.XLOOKUP(A65,PENYEBAB!$E:$E,PENYEBAB!$C:$C),"")</f>
        <v/>
      </c>
      <c r="D65" s="7" t="str">
        <f ca="1">IFERROR(_xludf.XLOOKUP(A65,PENYEBAB!$E:$E,PENYEBAB!$K:$K),"")</f>
        <v/>
      </c>
      <c r="E65" s="7" t="str">
        <f ca="1">IFERROR(_xludf.XLOOKUP(A65,PENYEBAB!$E:$E,PENYEBAB!$L:$L),"")</f>
        <v/>
      </c>
      <c r="F65" s="5"/>
      <c r="G65" s="5"/>
      <c r="H65" s="5"/>
      <c r="I65" s="5"/>
      <c r="J65" s="5"/>
      <c r="K65" s="5"/>
      <c r="L65" s="7" t="str">
        <f t="shared" si="1"/>
        <v/>
      </c>
      <c r="M65" s="7" t="str">
        <f>IF(L65="","",_xludf.IFS(L65&gt;=20,5,L65&gt;=16,4,L65&gt;=11,3,L65&gt;=6,2,L65&gt;0,1,TRUE,""))</f>
        <v/>
      </c>
      <c r="N65" s="7" t="str">
        <f>IFERROR(INDEX({"","Sangat Rendah","Rendah","Sedang","Tinggi","Sangat Tinggi"},M65+1),"")</f>
        <v/>
      </c>
      <c r="O65" s="5"/>
    </row>
    <row r="66" spans="1:15" ht="24" customHeight="1" x14ac:dyDescent="0.3">
      <c r="A66" s="5"/>
      <c r="B66" s="7" t="str">
        <f ca="1">IFERROR(_xludf.XLOOKUP(A66,PENYEBAB!$E:$E,PENYEBAB!$B:$B),"")</f>
        <v/>
      </c>
      <c r="C66" s="7" t="str">
        <f ca="1">IFERROR(_xludf.XLOOKUP(A66,PENYEBAB!$E:$E,PENYEBAB!$C:$C),"")</f>
        <v/>
      </c>
      <c r="D66" s="7" t="str">
        <f ca="1">IFERROR(_xludf.XLOOKUP(A66,PENYEBAB!$E:$E,PENYEBAB!$K:$K),"")</f>
        <v/>
      </c>
      <c r="E66" s="7" t="str">
        <f ca="1">IFERROR(_xludf.XLOOKUP(A66,PENYEBAB!$E:$E,PENYEBAB!$L:$L),"")</f>
        <v/>
      </c>
      <c r="F66" s="5"/>
      <c r="G66" s="5"/>
      <c r="H66" s="5"/>
      <c r="I66" s="5"/>
      <c r="J66" s="5"/>
      <c r="K66" s="5"/>
      <c r="L66" s="7" t="str">
        <f t="shared" si="1"/>
        <v/>
      </c>
      <c r="M66" s="7" t="str">
        <f>IF(L66="","",_xludf.IFS(L66&gt;=20,5,L66&gt;=16,4,L66&gt;=11,3,L66&gt;=6,2,L66&gt;0,1,TRUE,""))</f>
        <v/>
      </c>
      <c r="N66" s="7" t="str">
        <f>IFERROR(INDEX({"","Sangat Rendah","Rendah","Sedang","Tinggi","Sangat Tinggi"},M66+1),"")</f>
        <v/>
      </c>
      <c r="O66" s="5"/>
    </row>
    <row r="67" spans="1:15" ht="24" customHeight="1" x14ac:dyDescent="0.3">
      <c r="A67" s="5"/>
      <c r="B67" s="7" t="str">
        <f ca="1">IFERROR(_xludf.XLOOKUP(A67,PENYEBAB!$E:$E,PENYEBAB!$B:$B),"")</f>
        <v/>
      </c>
      <c r="C67" s="7" t="str">
        <f ca="1">IFERROR(_xludf.XLOOKUP(A67,PENYEBAB!$E:$E,PENYEBAB!$C:$C),"")</f>
        <v/>
      </c>
      <c r="D67" s="7" t="str">
        <f ca="1">IFERROR(_xludf.XLOOKUP(A67,PENYEBAB!$E:$E,PENYEBAB!$K:$K),"")</f>
        <v/>
      </c>
      <c r="E67" s="7" t="str">
        <f ca="1">IFERROR(_xludf.XLOOKUP(A67,PENYEBAB!$E:$E,PENYEBAB!$L:$L),"")</f>
        <v/>
      </c>
      <c r="F67" s="5"/>
      <c r="G67" s="5"/>
      <c r="H67" s="5"/>
      <c r="I67" s="5"/>
      <c r="J67" s="5"/>
      <c r="K67" s="5"/>
      <c r="L67" s="7" t="str">
        <f t="shared" si="1"/>
        <v/>
      </c>
      <c r="M67" s="7" t="str">
        <f>IF(L67="","",_xludf.IFS(L67&gt;=20,5,L67&gt;=16,4,L67&gt;=11,3,L67&gt;=6,2,L67&gt;0,1,TRUE,""))</f>
        <v/>
      </c>
      <c r="N67" s="7" t="str">
        <f>IFERROR(INDEX({"","Sangat Rendah","Rendah","Sedang","Tinggi","Sangat Tinggi"},M67+1),"")</f>
        <v/>
      </c>
      <c r="O67" s="5"/>
    </row>
    <row r="68" spans="1:15" ht="24" customHeight="1" x14ac:dyDescent="0.3">
      <c r="A68" s="5"/>
      <c r="B68" s="7" t="str">
        <f ca="1">IFERROR(_xludf.XLOOKUP(A68,PENYEBAB!$E:$E,PENYEBAB!$B:$B),"")</f>
        <v/>
      </c>
      <c r="C68" s="7" t="str">
        <f ca="1">IFERROR(_xludf.XLOOKUP(A68,PENYEBAB!$E:$E,PENYEBAB!$C:$C),"")</f>
        <v/>
      </c>
      <c r="D68" s="7" t="str">
        <f ca="1">IFERROR(_xludf.XLOOKUP(A68,PENYEBAB!$E:$E,PENYEBAB!$K:$K),"")</f>
        <v/>
      </c>
      <c r="E68" s="7" t="str">
        <f ca="1">IFERROR(_xludf.XLOOKUP(A68,PENYEBAB!$E:$E,PENYEBAB!$L:$L),"")</f>
        <v/>
      </c>
      <c r="F68" s="5"/>
      <c r="G68" s="5"/>
      <c r="H68" s="5"/>
      <c r="I68" s="5"/>
      <c r="J68" s="5"/>
      <c r="K68" s="5"/>
      <c r="L68" s="7" t="str">
        <f t="shared" ref="L68:L99" si="2">IF(AND(J68&lt;&gt;"",K68&lt;&gt;""),J68*K68,"")</f>
        <v/>
      </c>
      <c r="M68" s="7" t="str">
        <f>IF(L68="","",_xludf.IFS(L68&gt;=20,5,L68&gt;=16,4,L68&gt;=11,3,L68&gt;=6,2,L68&gt;0,1,TRUE,""))</f>
        <v/>
      </c>
      <c r="N68" s="7" t="str">
        <f>IFERROR(INDEX({"","Sangat Rendah","Rendah","Sedang","Tinggi","Sangat Tinggi"},M68+1),"")</f>
        <v/>
      </c>
      <c r="O68" s="5"/>
    </row>
    <row r="69" spans="1:15" ht="24" customHeight="1" x14ac:dyDescent="0.3">
      <c r="A69" s="5"/>
      <c r="B69" s="7" t="str">
        <f ca="1">IFERROR(_xludf.XLOOKUP(A69,PENYEBAB!$E:$E,PENYEBAB!$B:$B),"")</f>
        <v/>
      </c>
      <c r="C69" s="7" t="str">
        <f ca="1">IFERROR(_xludf.XLOOKUP(A69,PENYEBAB!$E:$E,PENYEBAB!$C:$C),"")</f>
        <v/>
      </c>
      <c r="D69" s="7" t="str">
        <f ca="1">IFERROR(_xludf.XLOOKUP(A69,PENYEBAB!$E:$E,PENYEBAB!$K:$K),"")</f>
        <v/>
      </c>
      <c r="E69" s="7" t="str">
        <f ca="1">IFERROR(_xludf.XLOOKUP(A69,PENYEBAB!$E:$E,PENYEBAB!$L:$L),"")</f>
        <v/>
      </c>
      <c r="F69" s="5"/>
      <c r="G69" s="5"/>
      <c r="H69" s="5"/>
      <c r="I69" s="5"/>
      <c r="J69" s="5"/>
      <c r="K69" s="5"/>
      <c r="L69" s="7" t="str">
        <f t="shared" si="2"/>
        <v/>
      </c>
      <c r="M69" s="7" t="str">
        <f>IF(L69="","",_xludf.IFS(L69&gt;=20,5,L69&gt;=16,4,L69&gt;=11,3,L69&gt;=6,2,L69&gt;0,1,TRUE,""))</f>
        <v/>
      </c>
      <c r="N69" s="7" t="str">
        <f>IFERROR(INDEX({"","Sangat Rendah","Rendah","Sedang","Tinggi","Sangat Tinggi"},M69+1),"")</f>
        <v/>
      </c>
      <c r="O69" s="5"/>
    </row>
    <row r="70" spans="1:15" ht="24" customHeight="1" x14ac:dyDescent="0.3">
      <c r="A70" s="5"/>
      <c r="B70" s="7" t="str">
        <f ca="1">IFERROR(_xludf.XLOOKUP(A70,PENYEBAB!$E:$E,PENYEBAB!$B:$B),"")</f>
        <v/>
      </c>
      <c r="C70" s="7" t="str">
        <f ca="1">IFERROR(_xludf.XLOOKUP(A70,PENYEBAB!$E:$E,PENYEBAB!$C:$C),"")</f>
        <v/>
      </c>
      <c r="D70" s="7" t="str">
        <f ca="1">IFERROR(_xludf.XLOOKUP(A70,PENYEBAB!$E:$E,PENYEBAB!$K:$K),"")</f>
        <v/>
      </c>
      <c r="E70" s="7" t="str">
        <f ca="1">IFERROR(_xludf.XLOOKUP(A70,PENYEBAB!$E:$E,PENYEBAB!$L:$L),"")</f>
        <v/>
      </c>
      <c r="F70" s="5"/>
      <c r="G70" s="5"/>
      <c r="H70" s="5"/>
      <c r="I70" s="5"/>
      <c r="J70" s="5"/>
      <c r="K70" s="5"/>
      <c r="L70" s="7" t="str">
        <f t="shared" si="2"/>
        <v/>
      </c>
      <c r="M70" s="7" t="str">
        <f>IF(L70="","",_xludf.IFS(L70&gt;=20,5,L70&gt;=16,4,L70&gt;=11,3,L70&gt;=6,2,L70&gt;0,1,TRUE,""))</f>
        <v/>
      </c>
      <c r="N70" s="7" t="str">
        <f>IFERROR(INDEX({"","Sangat Rendah","Rendah","Sedang","Tinggi","Sangat Tinggi"},M70+1),"")</f>
        <v/>
      </c>
      <c r="O70" s="5"/>
    </row>
    <row r="71" spans="1:15" ht="24" customHeight="1" x14ac:dyDescent="0.3">
      <c r="A71" s="5"/>
      <c r="B71" s="7" t="str">
        <f ca="1">IFERROR(_xludf.XLOOKUP(A71,PENYEBAB!$E:$E,PENYEBAB!$B:$B),"")</f>
        <v/>
      </c>
      <c r="C71" s="7" t="str">
        <f ca="1">IFERROR(_xludf.XLOOKUP(A71,PENYEBAB!$E:$E,PENYEBAB!$C:$C),"")</f>
        <v/>
      </c>
      <c r="D71" s="7" t="str">
        <f ca="1">IFERROR(_xludf.XLOOKUP(A71,PENYEBAB!$E:$E,PENYEBAB!$K:$K),"")</f>
        <v/>
      </c>
      <c r="E71" s="7" t="str">
        <f ca="1">IFERROR(_xludf.XLOOKUP(A71,PENYEBAB!$E:$E,PENYEBAB!$L:$L),"")</f>
        <v/>
      </c>
      <c r="F71" s="5"/>
      <c r="G71" s="5"/>
      <c r="H71" s="5"/>
      <c r="I71" s="5"/>
      <c r="J71" s="5"/>
      <c r="K71" s="5"/>
      <c r="L71" s="7" t="str">
        <f t="shared" si="2"/>
        <v/>
      </c>
      <c r="M71" s="7" t="str">
        <f>IF(L71="","",_xludf.IFS(L71&gt;=20,5,L71&gt;=16,4,L71&gt;=11,3,L71&gt;=6,2,L71&gt;0,1,TRUE,""))</f>
        <v/>
      </c>
      <c r="N71" s="7" t="str">
        <f>IFERROR(INDEX({"","Sangat Rendah","Rendah","Sedang","Tinggi","Sangat Tinggi"},M71+1),"")</f>
        <v/>
      </c>
      <c r="O71" s="5"/>
    </row>
    <row r="72" spans="1:15" ht="24" customHeight="1" x14ac:dyDescent="0.3">
      <c r="A72" s="5"/>
      <c r="B72" s="7" t="str">
        <f ca="1">IFERROR(_xludf.XLOOKUP(A72,PENYEBAB!$E:$E,PENYEBAB!$B:$B),"")</f>
        <v/>
      </c>
      <c r="C72" s="7" t="str">
        <f ca="1">IFERROR(_xludf.XLOOKUP(A72,PENYEBAB!$E:$E,PENYEBAB!$C:$C),"")</f>
        <v/>
      </c>
      <c r="D72" s="7" t="str">
        <f ca="1">IFERROR(_xludf.XLOOKUP(A72,PENYEBAB!$E:$E,PENYEBAB!$K:$K),"")</f>
        <v/>
      </c>
      <c r="E72" s="7" t="str">
        <f ca="1">IFERROR(_xludf.XLOOKUP(A72,PENYEBAB!$E:$E,PENYEBAB!$L:$L),"")</f>
        <v/>
      </c>
      <c r="F72" s="5"/>
      <c r="G72" s="5"/>
      <c r="H72" s="5"/>
      <c r="I72" s="5"/>
      <c r="J72" s="5"/>
      <c r="K72" s="5"/>
      <c r="L72" s="7" t="str">
        <f t="shared" si="2"/>
        <v/>
      </c>
      <c r="M72" s="7" t="str">
        <f>IF(L72="","",_xludf.IFS(L72&gt;=20,5,L72&gt;=16,4,L72&gt;=11,3,L72&gt;=6,2,L72&gt;0,1,TRUE,""))</f>
        <v/>
      </c>
      <c r="N72" s="7" t="str">
        <f>IFERROR(INDEX({"","Sangat Rendah","Rendah","Sedang","Tinggi","Sangat Tinggi"},M72+1),"")</f>
        <v/>
      </c>
      <c r="O72" s="5"/>
    </row>
    <row r="73" spans="1:15" ht="24" customHeight="1" x14ac:dyDescent="0.3">
      <c r="A73" s="5"/>
      <c r="B73" s="7" t="str">
        <f ca="1">IFERROR(_xludf.XLOOKUP(A73,PENYEBAB!$E:$E,PENYEBAB!$B:$B),"")</f>
        <v/>
      </c>
      <c r="C73" s="7" t="str">
        <f ca="1">IFERROR(_xludf.XLOOKUP(A73,PENYEBAB!$E:$E,PENYEBAB!$C:$C),"")</f>
        <v/>
      </c>
      <c r="D73" s="7" t="str">
        <f ca="1">IFERROR(_xludf.XLOOKUP(A73,PENYEBAB!$E:$E,PENYEBAB!$K:$K),"")</f>
        <v/>
      </c>
      <c r="E73" s="7" t="str">
        <f ca="1">IFERROR(_xludf.XLOOKUP(A73,PENYEBAB!$E:$E,PENYEBAB!$L:$L),"")</f>
        <v/>
      </c>
      <c r="F73" s="5"/>
      <c r="G73" s="5"/>
      <c r="H73" s="5"/>
      <c r="I73" s="5"/>
      <c r="J73" s="5"/>
      <c r="K73" s="5"/>
      <c r="L73" s="7" t="str">
        <f t="shared" si="2"/>
        <v/>
      </c>
      <c r="M73" s="7" t="str">
        <f>IF(L73="","",_xludf.IFS(L73&gt;=20,5,L73&gt;=16,4,L73&gt;=11,3,L73&gt;=6,2,L73&gt;0,1,TRUE,""))</f>
        <v/>
      </c>
      <c r="N73" s="7" t="str">
        <f>IFERROR(INDEX({"","Sangat Rendah","Rendah","Sedang","Tinggi","Sangat Tinggi"},M73+1),"")</f>
        <v/>
      </c>
      <c r="O73" s="5"/>
    </row>
    <row r="74" spans="1:15" ht="24" customHeight="1" x14ac:dyDescent="0.3">
      <c r="A74" s="5"/>
      <c r="B74" s="7" t="str">
        <f ca="1">IFERROR(_xludf.XLOOKUP(A74,PENYEBAB!$E:$E,PENYEBAB!$B:$B),"")</f>
        <v/>
      </c>
      <c r="C74" s="7" t="str">
        <f ca="1">IFERROR(_xludf.XLOOKUP(A74,PENYEBAB!$E:$E,PENYEBAB!$C:$C),"")</f>
        <v/>
      </c>
      <c r="D74" s="7" t="str">
        <f ca="1">IFERROR(_xludf.XLOOKUP(A74,PENYEBAB!$E:$E,PENYEBAB!$K:$K),"")</f>
        <v/>
      </c>
      <c r="E74" s="7" t="str">
        <f ca="1">IFERROR(_xludf.XLOOKUP(A74,PENYEBAB!$E:$E,PENYEBAB!$L:$L),"")</f>
        <v/>
      </c>
      <c r="F74" s="5"/>
      <c r="G74" s="5"/>
      <c r="H74" s="5"/>
      <c r="I74" s="5"/>
      <c r="J74" s="5"/>
      <c r="K74" s="5"/>
      <c r="L74" s="7" t="str">
        <f t="shared" si="2"/>
        <v/>
      </c>
      <c r="M74" s="7" t="str">
        <f>IF(L74="","",_xludf.IFS(L74&gt;=20,5,L74&gt;=16,4,L74&gt;=11,3,L74&gt;=6,2,L74&gt;0,1,TRUE,""))</f>
        <v/>
      </c>
      <c r="N74" s="7" t="str">
        <f>IFERROR(INDEX({"","Sangat Rendah","Rendah","Sedang","Tinggi","Sangat Tinggi"},M74+1),"")</f>
        <v/>
      </c>
      <c r="O74" s="5"/>
    </row>
    <row r="75" spans="1:15" ht="24" customHeight="1" x14ac:dyDescent="0.3">
      <c r="A75" s="5"/>
      <c r="B75" s="7" t="str">
        <f ca="1">IFERROR(_xludf.XLOOKUP(A75,PENYEBAB!$E:$E,PENYEBAB!$B:$B),"")</f>
        <v/>
      </c>
      <c r="C75" s="7" t="str">
        <f ca="1">IFERROR(_xludf.XLOOKUP(A75,PENYEBAB!$E:$E,PENYEBAB!$C:$C),"")</f>
        <v/>
      </c>
      <c r="D75" s="7" t="str">
        <f ca="1">IFERROR(_xludf.XLOOKUP(A75,PENYEBAB!$E:$E,PENYEBAB!$K:$K),"")</f>
        <v/>
      </c>
      <c r="E75" s="7" t="str">
        <f ca="1">IFERROR(_xludf.XLOOKUP(A75,PENYEBAB!$E:$E,PENYEBAB!$L:$L),"")</f>
        <v/>
      </c>
      <c r="F75" s="5"/>
      <c r="G75" s="5"/>
      <c r="H75" s="5"/>
      <c r="I75" s="5"/>
      <c r="J75" s="5"/>
      <c r="K75" s="5"/>
      <c r="L75" s="7" t="str">
        <f t="shared" si="2"/>
        <v/>
      </c>
      <c r="M75" s="7" t="str">
        <f>IF(L75="","",_xludf.IFS(L75&gt;=20,5,L75&gt;=16,4,L75&gt;=11,3,L75&gt;=6,2,L75&gt;0,1,TRUE,""))</f>
        <v/>
      </c>
      <c r="N75" s="7" t="str">
        <f>IFERROR(INDEX({"","Sangat Rendah","Rendah","Sedang","Tinggi","Sangat Tinggi"},M75+1),"")</f>
        <v/>
      </c>
      <c r="O75" s="5"/>
    </row>
    <row r="76" spans="1:15" ht="24" customHeight="1" x14ac:dyDescent="0.3">
      <c r="A76" s="5"/>
      <c r="B76" s="7" t="str">
        <f ca="1">IFERROR(_xludf.XLOOKUP(A76,PENYEBAB!$E:$E,PENYEBAB!$B:$B),"")</f>
        <v/>
      </c>
      <c r="C76" s="7" t="str">
        <f ca="1">IFERROR(_xludf.XLOOKUP(A76,PENYEBAB!$E:$E,PENYEBAB!$C:$C),"")</f>
        <v/>
      </c>
      <c r="D76" s="7" t="str">
        <f ca="1">IFERROR(_xludf.XLOOKUP(A76,PENYEBAB!$E:$E,PENYEBAB!$K:$K),"")</f>
        <v/>
      </c>
      <c r="E76" s="7" t="str">
        <f ca="1">IFERROR(_xludf.XLOOKUP(A76,PENYEBAB!$E:$E,PENYEBAB!$L:$L),"")</f>
        <v/>
      </c>
      <c r="F76" s="5"/>
      <c r="G76" s="5"/>
      <c r="H76" s="5"/>
      <c r="I76" s="5"/>
      <c r="J76" s="5"/>
      <c r="K76" s="5"/>
      <c r="L76" s="7" t="str">
        <f t="shared" si="2"/>
        <v/>
      </c>
      <c r="M76" s="7" t="str">
        <f>IF(L76="","",_xludf.IFS(L76&gt;=20,5,L76&gt;=16,4,L76&gt;=11,3,L76&gt;=6,2,L76&gt;0,1,TRUE,""))</f>
        <v/>
      </c>
      <c r="N76" s="7" t="str">
        <f>IFERROR(INDEX({"","Sangat Rendah","Rendah","Sedang","Tinggi","Sangat Tinggi"},M76+1),"")</f>
        <v/>
      </c>
      <c r="O76" s="5"/>
    </row>
    <row r="77" spans="1:15" ht="24" customHeight="1" x14ac:dyDescent="0.3">
      <c r="A77" s="5"/>
      <c r="B77" s="7" t="str">
        <f ca="1">IFERROR(_xludf.XLOOKUP(A77,PENYEBAB!$E:$E,PENYEBAB!$B:$B),"")</f>
        <v/>
      </c>
      <c r="C77" s="7" t="str">
        <f ca="1">IFERROR(_xludf.XLOOKUP(A77,PENYEBAB!$E:$E,PENYEBAB!$C:$C),"")</f>
        <v/>
      </c>
      <c r="D77" s="7" t="str">
        <f ca="1">IFERROR(_xludf.XLOOKUP(A77,PENYEBAB!$E:$E,PENYEBAB!$K:$K),"")</f>
        <v/>
      </c>
      <c r="E77" s="7" t="str">
        <f ca="1">IFERROR(_xludf.XLOOKUP(A77,PENYEBAB!$E:$E,PENYEBAB!$L:$L),"")</f>
        <v/>
      </c>
      <c r="F77" s="5"/>
      <c r="G77" s="5"/>
      <c r="H77" s="5"/>
      <c r="I77" s="5"/>
      <c r="J77" s="5"/>
      <c r="K77" s="5"/>
      <c r="L77" s="7" t="str">
        <f t="shared" si="2"/>
        <v/>
      </c>
      <c r="M77" s="7" t="str">
        <f>IF(L77="","",_xludf.IFS(L77&gt;=20,5,L77&gt;=16,4,L77&gt;=11,3,L77&gt;=6,2,L77&gt;0,1,TRUE,""))</f>
        <v/>
      </c>
      <c r="N77" s="7" t="str">
        <f>IFERROR(INDEX({"","Sangat Rendah","Rendah","Sedang","Tinggi","Sangat Tinggi"},M77+1),"")</f>
        <v/>
      </c>
      <c r="O77" s="5"/>
    </row>
    <row r="78" spans="1:15" ht="24" customHeight="1" x14ac:dyDescent="0.3">
      <c r="A78" s="5"/>
      <c r="B78" s="7" t="str">
        <f ca="1">IFERROR(_xludf.XLOOKUP(A78,PENYEBAB!$E:$E,PENYEBAB!$B:$B),"")</f>
        <v/>
      </c>
      <c r="C78" s="7" t="str">
        <f ca="1">IFERROR(_xludf.XLOOKUP(A78,PENYEBAB!$E:$E,PENYEBAB!$C:$C),"")</f>
        <v/>
      </c>
      <c r="D78" s="7" t="str">
        <f ca="1">IFERROR(_xludf.XLOOKUP(A78,PENYEBAB!$E:$E,PENYEBAB!$K:$K),"")</f>
        <v/>
      </c>
      <c r="E78" s="7" t="str">
        <f ca="1">IFERROR(_xludf.XLOOKUP(A78,PENYEBAB!$E:$E,PENYEBAB!$L:$L),"")</f>
        <v/>
      </c>
      <c r="F78" s="5"/>
      <c r="G78" s="5"/>
      <c r="H78" s="5"/>
      <c r="I78" s="5"/>
      <c r="J78" s="5"/>
      <c r="K78" s="5"/>
      <c r="L78" s="7" t="str">
        <f t="shared" si="2"/>
        <v/>
      </c>
      <c r="M78" s="7" t="str">
        <f>IF(L78="","",_xludf.IFS(L78&gt;=20,5,L78&gt;=16,4,L78&gt;=11,3,L78&gt;=6,2,L78&gt;0,1,TRUE,""))</f>
        <v/>
      </c>
      <c r="N78" s="7" t="str">
        <f>IFERROR(INDEX({"","Sangat Rendah","Rendah","Sedang","Tinggi","Sangat Tinggi"},M78+1),"")</f>
        <v/>
      </c>
      <c r="O78" s="5"/>
    </row>
    <row r="79" spans="1:15" ht="24" customHeight="1" x14ac:dyDescent="0.3">
      <c r="A79" s="5"/>
      <c r="B79" s="7" t="str">
        <f ca="1">IFERROR(_xludf.XLOOKUP(A79,PENYEBAB!$E:$E,PENYEBAB!$B:$B),"")</f>
        <v/>
      </c>
      <c r="C79" s="7" t="str">
        <f ca="1">IFERROR(_xludf.XLOOKUP(A79,PENYEBAB!$E:$E,PENYEBAB!$C:$C),"")</f>
        <v/>
      </c>
      <c r="D79" s="7" t="str">
        <f ca="1">IFERROR(_xludf.XLOOKUP(A79,PENYEBAB!$E:$E,PENYEBAB!$K:$K),"")</f>
        <v/>
      </c>
      <c r="E79" s="7" t="str">
        <f ca="1">IFERROR(_xludf.XLOOKUP(A79,PENYEBAB!$E:$E,PENYEBAB!$L:$L),"")</f>
        <v/>
      </c>
      <c r="F79" s="5"/>
      <c r="G79" s="5"/>
      <c r="H79" s="5"/>
      <c r="I79" s="5"/>
      <c r="J79" s="5"/>
      <c r="K79" s="5"/>
      <c r="L79" s="7" t="str">
        <f t="shared" si="2"/>
        <v/>
      </c>
      <c r="M79" s="7" t="str">
        <f>IF(L79="","",_xludf.IFS(L79&gt;=20,5,L79&gt;=16,4,L79&gt;=11,3,L79&gt;=6,2,L79&gt;0,1,TRUE,""))</f>
        <v/>
      </c>
      <c r="N79" s="7" t="str">
        <f>IFERROR(INDEX({"","Sangat Rendah","Rendah","Sedang","Tinggi","Sangat Tinggi"},M79+1),"")</f>
        <v/>
      </c>
      <c r="O79" s="5"/>
    </row>
    <row r="80" spans="1:15" ht="24" customHeight="1" x14ac:dyDescent="0.3">
      <c r="A80" s="5"/>
      <c r="B80" s="7" t="str">
        <f ca="1">IFERROR(_xludf.XLOOKUP(A80,PENYEBAB!$E:$E,PENYEBAB!$B:$B),"")</f>
        <v/>
      </c>
      <c r="C80" s="7" t="str">
        <f ca="1">IFERROR(_xludf.XLOOKUP(A80,PENYEBAB!$E:$E,PENYEBAB!$C:$C),"")</f>
        <v/>
      </c>
      <c r="D80" s="7" t="str">
        <f ca="1">IFERROR(_xludf.XLOOKUP(A80,PENYEBAB!$E:$E,PENYEBAB!$K:$K),"")</f>
        <v/>
      </c>
      <c r="E80" s="7" t="str">
        <f ca="1">IFERROR(_xludf.XLOOKUP(A80,PENYEBAB!$E:$E,PENYEBAB!$L:$L),"")</f>
        <v/>
      </c>
      <c r="F80" s="5"/>
      <c r="G80" s="5"/>
      <c r="H80" s="5"/>
      <c r="I80" s="5"/>
      <c r="J80" s="5"/>
      <c r="K80" s="5"/>
      <c r="L80" s="7" t="str">
        <f t="shared" si="2"/>
        <v/>
      </c>
      <c r="M80" s="7" t="str">
        <f>IF(L80="","",_xludf.IFS(L80&gt;=20,5,L80&gt;=16,4,L80&gt;=11,3,L80&gt;=6,2,L80&gt;0,1,TRUE,""))</f>
        <v/>
      </c>
      <c r="N80" s="7" t="str">
        <f>IFERROR(INDEX({"","Sangat Rendah","Rendah","Sedang","Tinggi","Sangat Tinggi"},M80+1),"")</f>
        <v/>
      </c>
      <c r="O80" s="5"/>
    </row>
    <row r="81" spans="1:15" ht="24" customHeight="1" x14ac:dyDescent="0.3">
      <c r="A81" s="5"/>
      <c r="B81" s="7" t="str">
        <f ca="1">IFERROR(_xludf.XLOOKUP(A81,PENYEBAB!$E:$E,PENYEBAB!$B:$B),"")</f>
        <v/>
      </c>
      <c r="C81" s="7" t="str">
        <f ca="1">IFERROR(_xludf.XLOOKUP(A81,PENYEBAB!$E:$E,PENYEBAB!$C:$C),"")</f>
        <v/>
      </c>
      <c r="D81" s="7" t="str">
        <f ca="1">IFERROR(_xludf.XLOOKUP(A81,PENYEBAB!$E:$E,PENYEBAB!$K:$K),"")</f>
        <v/>
      </c>
      <c r="E81" s="7" t="str">
        <f ca="1">IFERROR(_xludf.XLOOKUP(A81,PENYEBAB!$E:$E,PENYEBAB!$L:$L),"")</f>
        <v/>
      </c>
      <c r="F81" s="5"/>
      <c r="G81" s="5"/>
      <c r="H81" s="5"/>
      <c r="I81" s="5"/>
      <c r="J81" s="5"/>
      <c r="K81" s="5"/>
      <c r="L81" s="7" t="str">
        <f t="shared" si="2"/>
        <v/>
      </c>
      <c r="M81" s="7" t="str">
        <f>IF(L81="","",_xludf.IFS(L81&gt;=20,5,L81&gt;=16,4,L81&gt;=11,3,L81&gt;=6,2,L81&gt;0,1,TRUE,""))</f>
        <v/>
      </c>
      <c r="N81" s="7" t="str">
        <f>IFERROR(INDEX({"","Sangat Rendah","Rendah","Sedang","Tinggi","Sangat Tinggi"},M81+1),"")</f>
        <v/>
      </c>
      <c r="O81" s="5"/>
    </row>
    <row r="82" spans="1:15" ht="24" customHeight="1" x14ac:dyDescent="0.3">
      <c r="A82" s="5"/>
      <c r="B82" s="7" t="str">
        <f ca="1">IFERROR(_xludf.XLOOKUP(A82,PENYEBAB!$E:$E,PENYEBAB!$B:$B),"")</f>
        <v/>
      </c>
      <c r="C82" s="7" t="str">
        <f ca="1">IFERROR(_xludf.XLOOKUP(A82,PENYEBAB!$E:$E,PENYEBAB!$C:$C),"")</f>
        <v/>
      </c>
      <c r="D82" s="7" t="str">
        <f ca="1">IFERROR(_xludf.XLOOKUP(A82,PENYEBAB!$E:$E,PENYEBAB!$K:$K),"")</f>
        <v/>
      </c>
      <c r="E82" s="7" t="str">
        <f ca="1">IFERROR(_xludf.XLOOKUP(A82,PENYEBAB!$E:$E,PENYEBAB!$L:$L),"")</f>
        <v/>
      </c>
      <c r="F82" s="5"/>
      <c r="G82" s="5"/>
      <c r="H82" s="5"/>
      <c r="I82" s="5"/>
      <c r="J82" s="5"/>
      <c r="K82" s="5"/>
      <c r="L82" s="7" t="str">
        <f t="shared" si="2"/>
        <v/>
      </c>
      <c r="M82" s="7" t="str">
        <f>IF(L82="","",_xludf.IFS(L82&gt;=20,5,L82&gt;=16,4,L82&gt;=11,3,L82&gt;=6,2,L82&gt;0,1,TRUE,""))</f>
        <v/>
      </c>
      <c r="N82" s="7" t="str">
        <f>IFERROR(INDEX({"","Sangat Rendah","Rendah","Sedang","Tinggi","Sangat Tinggi"},M82+1),"")</f>
        <v/>
      </c>
      <c r="O82" s="5"/>
    </row>
    <row r="83" spans="1:15" ht="24" customHeight="1" x14ac:dyDescent="0.3">
      <c r="A83" s="5"/>
      <c r="B83" s="7" t="str">
        <f ca="1">IFERROR(_xludf.XLOOKUP(A83,PENYEBAB!$E:$E,PENYEBAB!$B:$B),"")</f>
        <v/>
      </c>
      <c r="C83" s="7" t="str">
        <f ca="1">IFERROR(_xludf.XLOOKUP(A83,PENYEBAB!$E:$E,PENYEBAB!$C:$C),"")</f>
        <v/>
      </c>
      <c r="D83" s="7" t="str">
        <f ca="1">IFERROR(_xludf.XLOOKUP(A83,PENYEBAB!$E:$E,PENYEBAB!$K:$K),"")</f>
        <v/>
      </c>
      <c r="E83" s="7" t="str">
        <f ca="1">IFERROR(_xludf.XLOOKUP(A83,PENYEBAB!$E:$E,PENYEBAB!$L:$L),"")</f>
        <v/>
      </c>
      <c r="F83" s="5"/>
      <c r="G83" s="5"/>
      <c r="H83" s="5"/>
      <c r="I83" s="5"/>
      <c r="J83" s="5"/>
      <c r="K83" s="5"/>
      <c r="L83" s="7" t="str">
        <f t="shared" si="2"/>
        <v/>
      </c>
      <c r="M83" s="7" t="str">
        <f>IF(L83="","",_xludf.IFS(L83&gt;=20,5,L83&gt;=16,4,L83&gt;=11,3,L83&gt;=6,2,L83&gt;0,1,TRUE,""))</f>
        <v/>
      </c>
      <c r="N83" s="7" t="str">
        <f>IFERROR(INDEX({"","Sangat Rendah","Rendah","Sedang","Tinggi","Sangat Tinggi"},M83+1),"")</f>
        <v/>
      </c>
      <c r="O83" s="5"/>
    </row>
    <row r="84" spans="1:15" ht="24" customHeight="1" x14ac:dyDescent="0.3">
      <c r="A84" s="5"/>
      <c r="B84" s="7" t="str">
        <f ca="1">IFERROR(_xludf.XLOOKUP(A84,PENYEBAB!$E:$E,PENYEBAB!$B:$B),"")</f>
        <v/>
      </c>
      <c r="C84" s="7" t="str">
        <f ca="1">IFERROR(_xludf.XLOOKUP(A84,PENYEBAB!$E:$E,PENYEBAB!$C:$C),"")</f>
        <v/>
      </c>
      <c r="D84" s="7" t="str">
        <f ca="1">IFERROR(_xludf.XLOOKUP(A84,PENYEBAB!$E:$E,PENYEBAB!$K:$K),"")</f>
        <v/>
      </c>
      <c r="E84" s="7" t="str">
        <f ca="1">IFERROR(_xludf.XLOOKUP(A84,PENYEBAB!$E:$E,PENYEBAB!$L:$L),"")</f>
        <v/>
      </c>
      <c r="F84" s="5"/>
      <c r="G84" s="5"/>
      <c r="H84" s="5"/>
      <c r="I84" s="5"/>
      <c r="J84" s="5"/>
      <c r="K84" s="5"/>
      <c r="L84" s="7" t="str">
        <f t="shared" si="2"/>
        <v/>
      </c>
      <c r="M84" s="7" t="str">
        <f>IF(L84="","",_xludf.IFS(L84&gt;=20,5,L84&gt;=16,4,L84&gt;=11,3,L84&gt;=6,2,L84&gt;0,1,TRUE,""))</f>
        <v/>
      </c>
      <c r="N84" s="7" t="str">
        <f>IFERROR(INDEX({"","Sangat Rendah","Rendah","Sedang","Tinggi","Sangat Tinggi"},M84+1),"")</f>
        <v/>
      </c>
      <c r="O84" s="5"/>
    </row>
    <row r="85" spans="1:15" ht="24" customHeight="1" x14ac:dyDescent="0.3">
      <c r="A85" s="5"/>
      <c r="B85" s="7" t="str">
        <f ca="1">IFERROR(_xludf.XLOOKUP(A85,PENYEBAB!$E:$E,PENYEBAB!$B:$B),"")</f>
        <v/>
      </c>
      <c r="C85" s="7" t="str">
        <f ca="1">IFERROR(_xludf.XLOOKUP(A85,PENYEBAB!$E:$E,PENYEBAB!$C:$C),"")</f>
        <v/>
      </c>
      <c r="D85" s="7" t="str">
        <f ca="1">IFERROR(_xludf.XLOOKUP(A85,PENYEBAB!$E:$E,PENYEBAB!$K:$K),"")</f>
        <v/>
      </c>
      <c r="E85" s="7" t="str">
        <f ca="1">IFERROR(_xludf.XLOOKUP(A85,PENYEBAB!$E:$E,PENYEBAB!$L:$L),"")</f>
        <v/>
      </c>
      <c r="F85" s="5"/>
      <c r="G85" s="5"/>
      <c r="H85" s="5"/>
      <c r="I85" s="5"/>
      <c r="J85" s="5"/>
      <c r="K85" s="5"/>
      <c r="L85" s="7" t="str">
        <f t="shared" si="2"/>
        <v/>
      </c>
      <c r="M85" s="7" t="str">
        <f>IF(L85="","",_xludf.IFS(L85&gt;=20,5,L85&gt;=16,4,L85&gt;=11,3,L85&gt;=6,2,L85&gt;0,1,TRUE,""))</f>
        <v/>
      </c>
      <c r="N85" s="7" t="str">
        <f>IFERROR(INDEX({"","Sangat Rendah","Rendah","Sedang","Tinggi","Sangat Tinggi"},M85+1),"")</f>
        <v/>
      </c>
      <c r="O85" s="5"/>
    </row>
    <row r="86" spans="1:15" ht="24" customHeight="1" x14ac:dyDescent="0.3">
      <c r="A86" s="5"/>
      <c r="B86" s="7" t="str">
        <f ca="1">IFERROR(_xludf.XLOOKUP(A86,PENYEBAB!$E:$E,PENYEBAB!$B:$B),"")</f>
        <v/>
      </c>
      <c r="C86" s="7" t="str">
        <f ca="1">IFERROR(_xludf.XLOOKUP(A86,PENYEBAB!$E:$E,PENYEBAB!$C:$C),"")</f>
        <v/>
      </c>
      <c r="D86" s="7" t="str">
        <f ca="1">IFERROR(_xludf.XLOOKUP(A86,PENYEBAB!$E:$E,PENYEBAB!$K:$K),"")</f>
        <v/>
      </c>
      <c r="E86" s="7" t="str">
        <f ca="1">IFERROR(_xludf.XLOOKUP(A86,PENYEBAB!$E:$E,PENYEBAB!$L:$L),"")</f>
        <v/>
      </c>
      <c r="F86" s="5"/>
      <c r="G86" s="5"/>
      <c r="H86" s="5"/>
      <c r="I86" s="5"/>
      <c r="J86" s="5"/>
      <c r="K86" s="5"/>
      <c r="L86" s="7" t="str">
        <f t="shared" si="2"/>
        <v/>
      </c>
      <c r="M86" s="7" t="str">
        <f>IF(L86="","",_xludf.IFS(L86&gt;=20,5,L86&gt;=16,4,L86&gt;=11,3,L86&gt;=6,2,L86&gt;0,1,TRUE,""))</f>
        <v/>
      </c>
      <c r="N86" s="7" t="str">
        <f>IFERROR(INDEX({"","Sangat Rendah","Rendah","Sedang","Tinggi","Sangat Tinggi"},M86+1),"")</f>
        <v/>
      </c>
      <c r="O86" s="5"/>
    </row>
    <row r="87" spans="1:15" ht="24" customHeight="1" x14ac:dyDescent="0.3">
      <c r="A87" s="5"/>
      <c r="B87" s="7" t="str">
        <f ca="1">IFERROR(_xludf.XLOOKUP(A87,PENYEBAB!$E:$E,PENYEBAB!$B:$B),"")</f>
        <v/>
      </c>
      <c r="C87" s="7" t="str">
        <f ca="1">IFERROR(_xludf.XLOOKUP(A87,PENYEBAB!$E:$E,PENYEBAB!$C:$C),"")</f>
        <v/>
      </c>
      <c r="D87" s="7" t="str">
        <f ca="1">IFERROR(_xludf.XLOOKUP(A87,PENYEBAB!$E:$E,PENYEBAB!$K:$K),"")</f>
        <v/>
      </c>
      <c r="E87" s="7" t="str">
        <f ca="1">IFERROR(_xludf.XLOOKUP(A87,PENYEBAB!$E:$E,PENYEBAB!$L:$L),"")</f>
        <v/>
      </c>
      <c r="F87" s="5"/>
      <c r="G87" s="5"/>
      <c r="H87" s="5"/>
      <c r="I87" s="5"/>
      <c r="J87" s="5"/>
      <c r="K87" s="5"/>
      <c r="L87" s="7" t="str">
        <f t="shared" si="2"/>
        <v/>
      </c>
      <c r="M87" s="7" t="str">
        <f>IF(L87="","",_xludf.IFS(L87&gt;=20,5,L87&gt;=16,4,L87&gt;=11,3,L87&gt;=6,2,L87&gt;0,1,TRUE,""))</f>
        <v/>
      </c>
      <c r="N87" s="7" t="str">
        <f>IFERROR(INDEX({"","Sangat Rendah","Rendah","Sedang","Tinggi","Sangat Tinggi"},M87+1),"")</f>
        <v/>
      </c>
      <c r="O87" s="5"/>
    </row>
    <row r="88" spans="1:15" ht="24" customHeight="1" x14ac:dyDescent="0.3">
      <c r="A88" s="5"/>
      <c r="B88" s="7" t="str">
        <f ca="1">IFERROR(_xludf.XLOOKUP(A88,PENYEBAB!$E:$E,PENYEBAB!$B:$B),"")</f>
        <v/>
      </c>
      <c r="C88" s="7" t="str">
        <f ca="1">IFERROR(_xludf.XLOOKUP(A88,PENYEBAB!$E:$E,PENYEBAB!$C:$C),"")</f>
        <v/>
      </c>
      <c r="D88" s="7" t="str">
        <f ca="1">IFERROR(_xludf.XLOOKUP(A88,PENYEBAB!$E:$E,PENYEBAB!$K:$K),"")</f>
        <v/>
      </c>
      <c r="E88" s="7" t="str">
        <f ca="1">IFERROR(_xludf.XLOOKUP(A88,PENYEBAB!$E:$E,PENYEBAB!$L:$L),"")</f>
        <v/>
      </c>
      <c r="F88" s="5"/>
      <c r="G88" s="5"/>
      <c r="H88" s="5"/>
      <c r="I88" s="5"/>
      <c r="J88" s="5"/>
      <c r="K88" s="5"/>
      <c r="L88" s="7" t="str">
        <f t="shared" si="2"/>
        <v/>
      </c>
      <c r="M88" s="7" t="str">
        <f>IF(L88="","",_xludf.IFS(L88&gt;=20,5,L88&gt;=16,4,L88&gt;=11,3,L88&gt;=6,2,L88&gt;0,1,TRUE,""))</f>
        <v/>
      </c>
      <c r="N88" s="7" t="str">
        <f>IFERROR(INDEX({"","Sangat Rendah","Rendah","Sedang","Tinggi","Sangat Tinggi"},M88+1),"")</f>
        <v/>
      </c>
      <c r="O88" s="5"/>
    </row>
    <row r="89" spans="1:15" ht="24" customHeight="1" x14ac:dyDescent="0.3">
      <c r="A89" s="5"/>
      <c r="B89" s="7" t="str">
        <f ca="1">IFERROR(_xludf.XLOOKUP(A89,PENYEBAB!$E:$E,PENYEBAB!$B:$B),"")</f>
        <v/>
      </c>
      <c r="C89" s="7" t="str">
        <f ca="1">IFERROR(_xludf.XLOOKUP(A89,PENYEBAB!$E:$E,PENYEBAB!$C:$C),"")</f>
        <v/>
      </c>
      <c r="D89" s="7" t="str">
        <f ca="1">IFERROR(_xludf.XLOOKUP(A89,PENYEBAB!$E:$E,PENYEBAB!$K:$K),"")</f>
        <v/>
      </c>
      <c r="E89" s="7" t="str">
        <f ca="1">IFERROR(_xludf.XLOOKUP(A89,PENYEBAB!$E:$E,PENYEBAB!$L:$L),"")</f>
        <v/>
      </c>
      <c r="F89" s="5"/>
      <c r="G89" s="5"/>
      <c r="H89" s="5"/>
      <c r="I89" s="5"/>
      <c r="J89" s="5"/>
      <c r="K89" s="5"/>
      <c r="L89" s="7" t="str">
        <f t="shared" si="2"/>
        <v/>
      </c>
      <c r="M89" s="7" t="str">
        <f>IF(L89="","",_xludf.IFS(L89&gt;=20,5,L89&gt;=16,4,L89&gt;=11,3,L89&gt;=6,2,L89&gt;0,1,TRUE,""))</f>
        <v/>
      </c>
      <c r="N89" s="7" t="str">
        <f>IFERROR(INDEX({"","Sangat Rendah","Rendah","Sedang","Tinggi","Sangat Tinggi"},M89+1),"")</f>
        <v/>
      </c>
      <c r="O89" s="5"/>
    </row>
    <row r="90" spans="1:15" ht="24" customHeight="1" x14ac:dyDescent="0.3">
      <c r="A90" s="5"/>
      <c r="B90" s="7" t="str">
        <f ca="1">IFERROR(_xludf.XLOOKUP(A90,PENYEBAB!$E:$E,PENYEBAB!$B:$B),"")</f>
        <v/>
      </c>
      <c r="C90" s="7" t="str">
        <f ca="1">IFERROR(_xludf.XLOOKUP(A90,PENYEBAB!$E:$E,PENYEBAB!$C:$C),"")</f>
        <v/>
      </c>
      <c r="D90" s="7" t="str">
        <f ca="1">IFERROR(_xludf.XLOOKUP(A90,PENYEBAB!$E:$E,PENYEBAB!$K:$K),"")</f>
        <v/>
      </c>
      <c r="E90" s="7" t="str">
        <f ca="1">IFERROR(_xludf.XLOOKUP(A90,PENYEBAB!$E:$E,PENYEBAB!$L:$L),"")</f>
        <v/>
      </c>
      <c r="F90" s="5"/>
      <c r="G90" s="5"/>
      <c r="H90" s="5"/>
      <c r="I90" s="5"/>
      <c r="J90" s="5"/>
      <c r="K90" s="5"/>
      <c r="L90" s="7" t="str">
        <f t="shared" si="2"/>
        <v/>
      </c>
      <c r="M90" s="7" t="str">
        <f>IF(L90="","",_xludf.IFS(L90&gt;=20,5,L90&gt;=16,4,L90&gt;=11,3,L90&gt;=6,2,L90&gt;0,1,TRUE,""))</f>
        <v/>
      </c>
      <c r="N90" s="7" t="str">
        <f>IFERROR(INDEX({"","Sangat Rendah","Rendah","Sedang","Tinggi","Sangat Tinggi"},M90+1),"")</f>
        <v/>
      </c>
      <c r="O90" s="5"/>
    </row>
    <row r="91" spans="1:15" ht="24" customHeight="1" x14ac:dyDescent="0.3">
      <c r="A91" s="5"/>
      <c r="B91" s="7" t="str">
        <f ca="1">IFERROR(_xludf.XLOOKUP(A91,PENYEBAB!$E:$E,PENYEBAB!$B:$B),"")</f>
        <v/>
      </c>
      <c r="C91" s="7" t="str">
        <f ca="1">IFERROR(_xludf.XLOOKUP(A91,PENYEBAB!$E:$E,PENYEBAB!$C:$C),"")</f>
        <v/>
      </c>
      <c r="D91" s="7" t="str">
        <f ca="1">IFERROR(_xludf.XLOOKUP(A91,PENYEBAB!$E:$E,PENYEBAB!$K:$K),"")</f>
        <v/>
      </c>
      <c r="E91" s="7" t="str">
        <f ca="1">IFERROR(_xludf.XLOOKUP(A91,PENYEBAB!$E:$E,PENYEBAB!$L:$L),"")</f>
        <v/>
      </c>
      <c r="F91" s="5"/>
      <c r="G91" s="5"/>
      <c r="H91" s="5"/>
      <c r="I91" s="5"/>
      <c r="J91" s="5"/>
      <c r="K91" s="5"/>
      <c r="L91" s="7" t="str">
        <f t="shared" si="2"/>
        <v/>
      </c>
      <c r="M91" s="7" t="str">
        <f>IF(L91="","",_xludf.IFS(L91&gt;=20,5,L91&gt;=16,4,L91&gt;=11,3,L91&gt;=6,2,L91&gt;0,1,TRUE,""))</f>
        <v/>
      </c>
      <c r="N91" s="7" t="str">
        <f>IFERROR(INDEX({"","Sangat Rendah","Rendah","Sedang","Tinggi","Sangat Tinggi"},M91+1),"")</f>
        <v/>
      </c>
      <c r="O91" s="5"/>
    </row>
    <row r="92" spans="1:15" ht="24" customHeight="1" x14ac:dyDescent="0.3">
      <c r="A92" s="5"/>
      <c r="B92" s="7" t="str">
        <f ca="1">IFERROR(_xludf.XLOOKUP(A92,PENYEBAB!$E:$E,PENYEBAB!$B:$B),"")</f>
        <v/>
      </c>
      <c r="C92" s="7" t="str">
        <f ca="1">IFERROR(_xludf.XLOOKUP(A92,PENYEBAB!$E:$E,PENYEBAB!$C:$C),"")</f>
        <v/>
      </c>
      <c r="D92" s="7" t="str">
        <f ca="1">IFERROR(_xludf.XLOOKUP(A92,PENYEBAB!$E:$E,PENYEBAB!$K:$K),"")</f>
        <v/>
      </c>
      <c r="E92" s="7" t="str">
        <f ca="1">IFERROR(_xludf.XLOOKUP(A92,PENYEBAB!$E:$E,PENYEBAB!$L:$L),"")</f>
        <v/>
      </c>
      <c r="F92" s="5"/>
      <c r="G92" s="5"/>
      <c r="H92" s="5"/>
      <c r="I92" s="5"/>
      <c r="J92" s="5"/>
      <c r="K92" s="5"/>
      <c r="L92" s="7" t="str">
        <f t="shared" si="2"/>
        <v/>
      </c>
      <c r="M92" s="7" t="str">
        <f>IF(L92="","",_xludf.IFS(L92&gt;=20,5,L92&gt;=16,4,L92&gt;=11,3,L92&gt;=6,2,L92&gt;0,1,TRUE,""))</f>
        <v/>
      </c>
      <c r="N92" s="7" t="str">
        <f>IFERROR(INDEX({"","Sangat Rendah","Rendah","Sedang","Tinggi","Sangat Tinggi"},M92+1),"")</f>
        <v/>
      </c>
      <c r="O92" s="5"/>
    </row>
    <row r="93" spans="1:15" ht="24" customHeight="1" x14ac:dyDescent="0.3">
      <c r="A93" s="5"/>
      <c r="B93" s="7" t="str">
        <f ca="1">IFERROR(_xludf.XLOOKUP(A93,PENYEBAB!$E:$E,PENYEBAB!$B:$B),"")</f>
        <v/>
      </c>
      <c r="C93" s="7" t="str">
        <f ca="1">IFERROR(_xludf.XLOOKUP(A93,PENYEBAB!$E:$E,PENYEBAB!$C:$C),"")</f>
        <v/>
      </c>
      <c r="D93" s="7" t="str">
        <f ca="1">IFERROR(_xludf.XLOOKUP(A93,PENYEBAB!$E:$E,PENYEBAB!$K:$K),"")</f>
        <v/>
      </c>
      <c r="E93" s="7" t="str">
        <f ca="1">IFERROR(_xludf.XLOOKUP(A93,PENYEBAB!$E:$E,PENYEBAB!$L:$L),"")</f>
        <v/>
      </c>
      <c r="F93" s="5"/>
      <c r="G93" s="5"/>
      <c r="H93" s="5"/>
      <c r="I93" s="5"/>
      <c r="J93" s="5"/>
      <c r="K93" s="5"/>
      <c r="L93" s="7" t="str">
        <f t="shared" si="2"/>
        <v/>
      </c>
      <c r="M93" s="7" t="str">
        <f>IF(L93="","",_xludf.IFS(L93&gt;=20,5,L93&gt;=16,4,L93&gt;=11,3,L93&gt;=6,2,L93&gt;0,1,TRUE,""))</f>
        <v/>
      </c>
      <c r="N93" s="7" t="str">
        <f>IFERROR(INDEX({"","Sangat Rendah","Rendah","Sedang","Tinggi","Sangat Tinggi"},M93+1),"")</f>
        <v/>
      </c>
      <c r="O93" s="5"/>
    </row>
    <row r="94" spans="1:15" ht="24" customHeight="1" x14ac:dyDescent="0.3">
      <c r="A94" s="5"/>
      <c r="B94" s="7" t="str">
        <f ca="1">IFERROR(_xludf.XLOOKUP(A94,PENYEBAB!$E:$E,PENYEBAB!$B:$B),"")</f>
        <v/>
      </c>
      <c r="C94" s="7" t="str">
        <f ca="1">IFERROR(_xludf.XLOOKUP(A94,PENYEBAB!$E:$E,PENYEBAB!$C:$C),"")</f>
        <v/>
      </c>
      <c r="D94" s="7" t="str">
        <f ca="1">IFERROR(_xludf.XLOOKUP(A94,PENYEBAB!$E:$E,PENYEBAB!$K:$K),"")</f>
        <v/>
      </c>
      <c r="E94" s="7" t="str">
        <f ca="1">IFERROR(_xludf.XLOOKUP(A94,PENYEBAB!$E:$E,PENYEBAB!$L:$L),"")</f>
        <v/>
      </c>
      <c r="F94" s="5"/>
      <c r="G94" s="5"/>
      <c r="H94" s="5"/>
      <c r="I94" s="5"/>
      <c r="J94" s="5"/>
      <c r="K94" s="5"/>
      <c r="L94" s="7" t="str">
        <f t="shared" si="2"/>
        <v/>
      </c>
      <c r="M94" s="7" t="str">
        <f>IF(L94="","",_xludf.IFS(L94&gt;=20,5,L94&gt;=16,4,L94&gt;=11,3,L94&gt;=6,2,L94&gt;0,1,TRUE,""))</f>
        <v/>
      </c>
      <c r="N94" s="7" t="str">
        <f>IFERROR(INDEX({"","Sangat Rendah","Rendah","Sedang","Tinggi","Sangat Tinggi"},M94+1),"")</f>
        <v/>
      </c>
      <c r="O94" s="5"/>
    </row>
    <row r="95" spans="1:15" ht="24" customHeight="1" x14ac:dyDescent="0.3">
      <c r="A95" s="5"/>
      <c r="B95" s="7" t="str">
        <f ca="1">IFERROR(_xludf.XLOOKUP(A95,PENYEBAB!$E:$E,PENYEBAB!$B:$B),"")</f>
        <v/>
      </c>
      <c r="C95" s="7" t="str">
        <f ca="1">IFERROR(_xludf.XLOOKUP(A95,PENYEBAB!$E:$E,PENYEBAB!$C:$C),"")</f>
        <v/>
      </c>
      <c r="D95" s="7" t="str">
        <f ca="1">IFERROR(_xludf.XLOOKUP(A95,PENYEBAB!$E:$E,PENYEBAB!$K:$K),"")</f>
        <v/>
      </c>
      <c r="E95" s="7" t="str">
        <f ca="1">IFERROR(_xludf.XLOOKUP(A95,PENYEBAB!$E:$E,PENYEBAB!$L:$L),"")</f>
        <v/>
      </c>
      <c r="F95" s="5"/>
      <c r="G95" s="5"/>
      <c r="H95" s="5"/>
      <c r="I95" s="5"/>
      <c r="J95" s="5"/>
      <c r="K95" s="5"/>
      <c r="L95" s="7" t="str">
        <f t="shared" si="2"/>
        <v/>
      </c>
      <c r="M95" s="7" t="str">
        <f>IF(L95="","",_xludf.IFS(L95&gt;=20,5,L95&gt;=16,4,L95&gt;=11,3,L95&gt;=6,2,L95&gt;0,1,TRUE,""))</f>
        <v/>
      </c>
      <c r="N95" s="7" t="str">
        <f>IFERROR(INDEX({"","Sangat Rendah","Rendah","Sedang","Tinggi","Sangat Tinggi"},M95+1),"")</f>
        <v/>
      </c>
      <c r="O95" s="5"/>
    </row>
    <row r="96" spans="1:15" ht="24" customHeight="1" x14ac:dyDescent="0.3">
      <c r="A96" s="5"/>
      <c r="B96" s="7" t="str">
        <f ca="1">IFERROR(_xludf.XLOOKUP(A96,PENYEBAB!$E:$E,PENYEBAB!$B:$B),"")</f>
        <v/>
      </c>
      <c r="C96" s="7" t="str">
        <f ca="1">IFERROR(_xludf.XLOOKUP(A96,PENYEBAB!$E:$E,PENYEBAB!$C:$C),"")</f>
        <v/>
      </c>
      <c r="D96" s="7" t="str">
        <f ca="1">IFERROR(_xludf.XLOOKUP(A96,PENYEBAB!$E:$E,PENYEBAB!$K:$K),"")</f>
        <v/>
      </c>
      <c r="E96" s="7" t="str">
        <f ca="1">IFERROR(_xludf.XLOOKUP(A96,PENYEBAB!$E:$E,PENYEBAB!$L:$L),"")</f>
        <v/>
      </c>
      <c r="F96" s="5"/>
      <c r="G96" s="5"/>
      <c r="H96" s="5"/>
      <c r="I96" s="5"/>
      <c r="J96" s="5"/>
      <c r="K96" s="5"/>
      <c r="L96" s="7" t="str">
        <f t="shared" si="2"/>
        <v/>
      </c>
      <c r="M96" s="7" t="str">
        <f>IF(L96="","",_xludf.IFS(L96&gt;=20,5,L96&gt;=16,4,L96&gt;=11,3,L96&gt;=6,2,L96&gt;0,1,TRUE,""))</f>
        <v/>
      </c>
      <c r="N96" s="7" t="str">
        <f>IFERROR(INDEX({"","Sangat Rendah","Rendah","Sedang","Tinggi","Sangat Tinggi"},M96+1),"")</f>
        <v/>
      </c>
      <c r="O96" s="5"/>
    </row>
    <row r="97" spans="1:15" ht="24" customHeight="1" x14ac:dyDescent="0.3">
      <c r="A97" s="5"/>
      <c r="B97" s="7" t="str">
        <f ca="1">IFERROR(_xludf.XLOOKUP(A97,PENYEBAB!$E:$E,PENYEBAB!$B:$B),"")</f>
        <v/>
      </c>
      <c r="C97" s="7" t="str">
        <f ca="1">IFERROR(_xludf.XLOOKUP(A97,PENYEBAB!$E:$E,PENYEBAB!$C:$C),"")</f>
        <v/>
      </c>
      <c r="D97" s="7" t="str">
        <f ca="1">IFERROR(_xludf.XLOOKUP(A97,PENYEBAB!$E:$E,PENYEBAB!$K:$K),"")</f>
        <v/>
      </c>
      <c r="E97" s="7" t="str">
        <f ca="1">IFERROR(_xludf.XLOOKUP(A97,PENYEBAB!$E:$E,PENYEBAB!$L:$L),"")</f>
        <v/>
      </c>
      <c r="F97" s="5"/>
      <c r="G97" s="5"/>
      <c r="H97" s="5"/>
      <c r="I97" s="5"/>
      <c r="J97" s="5"/>
      <c r="K97" s="5"/>
      <c r="L97" s="7" t="str">
        <f t="shared" si="2"/>
        <v/>
      </c>
      <c r="M97" s="7" t="str">
        <f>IF(L97="","",_xludf.IFS(L97&gt;=20,5,L97&gt;=16,4,L97&gt;=11,3,L97&gt;=6,2,L97&gt;0,1,TRUE,""))</f>
        <v/>
      </c>
      <c r="N97" s="7" t="str">
        <f>IFERROR(INDEX({"","Sangat Rendah","Rendah","Sedang","Tinggi","Sangat Tinggi"},M97+1),"")</f>
        <v/>
      </c>
      <c r="O97" s="5"/>
    </row>
    <row r="98" spans="1:15" ht="24" customHeight="1" x14ac:dyDescent="0.3">
      <c r="A98" s="5"/>
      <c r="B98" s="7" t="str">
        <f ca="1">IFERROR(_xludf.XLOOKUP(A98,PENYEBAB!$E:$E,PENYEBAB!$B:$B),"")</f>
        <v/>
      </c>
      <c r="C98" s="7" t="str">
        <f ca="1">IFERROR(_xludf.XLOOKUP(A98,PENYEBAB!$E:$E,PENYEBAB!$C:$C),"")</f>
        <v/>
      </c>
      <c r="D98" s="7" t="str">
        <f ca="1">IFERROR(_xludf.XLOOKUP(A98,PENYEBAB!$E:$E,PENYEBAB!$K:$K),"")</f>
        <v/>
      </c>
      <c r="E98" s="7" t="str">
        <f ca="1">IFERROR(_xludf.XLOOKUP(A98,PENYEBAB!$E:$E,PENYEBAB!$L:$L),"")</f>
        <v/>
      </c>
      <c r="F98" s="5"/>
      <c r="G98" s="5"/>
      <c r="H98" s="5"/>
      <c r="I98" s="5"/>
      <c r="J98" s="5"/>
      <c r="K98" s="5"/>
      <c r="L98" s="7" t="str">
        <f t="shared" si="2"/>
        <v/>
      </c>
      <c r="M98" s="7" t="str">
        <f>IF(L98="","",_xludf.IFS(L98&gt;=20,5,L98&gt;=16,4,L98&gt;=11,3,L98&gt;=6,2,L98&gt;0,1,TRUE,""))</f>
        <v/>
      </c>
      <c r="N98" s="7" t="str">
        <f>IFERROR(INDEX({"","Sangat Rendah","Rendah","Sedang","Tinggi","Sangat Tinggi"},M98+1),"")</f>
        <v/>
      </c>
      <c r="O98" s="5"/>
    </row>
    <row r="99" spans="1:15" ht="24" customHeight="1" x14ac:dyDescent="0.3">
      <c r="A99" s="5"/>
      <c r="B99" s="7" t="str">
        <f ca="1">IFERROR(_xludf.XLOOKUP(A99,PENYEBAB!$E:$E,PENYEBAB!$B:$B),"")</f>
        <v/>
      </c>
      <c r="C99" s="7" t="str">
        <f ca="1">IFERROR(_xludf.XLOOKUP(A99,PENYEBAB!$E:$E,PENYEBAB!$C:$C),"")</f>
        <v/>
      </c>
      <c r="D99" s="7" t="str">
        <f ca="1">IFERROR(_xludf.XLOOKUP(A99,PENYEBAB!$E:$E,PENYEBAB!$K:$K),"")</f>
        <v/>
      </c>
      <c r="E99" s="7" t="str">
        <f ca="1">IFERROR(_xludf.XLOOKUP(A99,PENYEBAB!$E:$E,PENYEBAB!$L:$L),"")</f>
        <v/>
      </c>
      <c r="F99" s="5"/>
      <c r="G99" s="5"/>
      <c r="H99" s="5"/>
      <c r="I99" s="5"/>
      <c r="J99" s="5"/>
      <c r="K99" s="5"/>
      <c r="L99" s="7" t="str">
        <f t="shared" si="2"/>
        <v/>
      </c>
      <c r="M99" s="7" t="str">
        <f>IF(L99="","",_xludf.IFS(L99&gt;=20,5,L99&gt;=16,4,L99&gt;=11,3,L99&gt;=6,2,L99&gt;0,1,TRUE,""))</f>
        <v/>
      </c>
      <c r="N99" s="7" t="str">
        <f>IFERROR(INDEX({"","Sangat Rendah","Rendah","Sedang","Tinggi","Sangat Tinggi"},M99+1),"")</f>
        <v/>
      </c>
      <c r="O99" s="5"/>
    </row>
    <row r="100" spans="1:15" ht="24" customHeight="1" x14ac:dyDescent="0.3">
      <c r="A100" s="5"/>
      <c r="B100" s="7" t="str">
        <f ca="1">IFERROR(_xludf.XLOOKUP(A100,PENYEBAB!$E:$E,PENYEBAB!$B:$B),"")</f>
        <v/>
      </c>
      <c r="C100" s="7" t="str">
        <f ca="1">IFERROR(_xludf.XLOOKUP(A100,PENYEBAB!$E:$E,PENYEBAB!$C:$C),"")</f>
        <v/>
      </c>
      <c r="D100" s="7" t="str">
        <f ca="1">IFERROR(_xludf.XLOOKUP(A100,PENYEBAB!$E:$E,PENYEBAB!$K:$K),"")</f>
        <v/>
      </c>
      <c r="E100" s="7" t="str">
        <f ca="1">IFERROR(_xludf.XLOOKUP(A100,PENYEBAB!$E:$E,PENYEBAB!$L:$L),"")</f>
        <v/>
      </c>
      <c r="F100" s="5"/>
      <c r="G100" s="5"/>
      <c r="H100" s="5"/>
      <c r="I100" s="5"/>
      <c r="J100" s="5"/>
      <c r="K100" s="5"/>
      <c r="L100" s="7" t="str">
        <f t="shared" ref="L100:L131" si="3">IF(AND(J100&lt;&gt;"",K100&lt;&gt;""),J100*K100,"")</f>
        <v/>
      </c>
      <c r="M100" s="7" t="str">
        <f>IF(L100="","",_xludf.IFS(L100&gt;=20,5,L100&gt;=16,4,L100&gt;=11,3,L100&gt;=6,2,L100&gt;0,1,TRUE,""))</f>
        <v/>
      </c>
      <c r="N100" s="7" t="str">
        <f>IFERROR(INDEX({"","Sangat Rendah","Rendah","Sedang","Tinggi","Sangat Tinggi"},M100+1),"")</f>
        <v/>
      </c>
      <c r="O100" s="5"/>
    </row>
    <row r="101" spans="1:15" ht="24" customHeight="1" x14ac:dyDescent="0.3">
      <c r="A101" s="5"/>
      <c r="B101" s="7" t="str">
        <f ca="1">IFERROR(_xludf.XLOOKUP(A101,PENYEBAB!$E:$E,PENYEBAB!$B:$B),"")</f>
        <v/>
      </c>
      <c r="C101" s="7" t="str">
        <f ca="1">IFERROR(_xludf.XLOOKUP(A101,PENYEBAB!$E:$E,PENYEBAB!$C:$C),"")</f>
        <v/>
      </c>
      <c r="D101" s="7" t="str">
        <f ca="1">IFERROR(_xludf.XLOOKUP(A101,PENYEBAB!$E:$E,PENYEBAB!$K:$K),"")</f>
        <v/>
      </c>
      <c r="E101" s="7" t="str">
        <f ca="1">IFERROR(_xludf.XLOOKUP(A101,PENYEBAB!$E:$E,PENYEBAB!$L:$L),"")</f>
        <v/>
      </c>
      <c r="F101" s="5"/>
      <c r="G101" s="5"/>
      <c r="H101" s="5"/>
      <c r="I101" s="5"/>
      <c r="J101" s="5"/>
      <c r="K101" s="5"/>
      <c r="L101" s="7" t="str">
        <f t="shared" si="3"/>
        <v/>
      </c>
      <c r="M101" s="7" t="str">
        <f>IF(L101="","",_xludf.IFS(L101&gt;=20,5,L101&gt;=16,4,L101&gt;=11,3,L101&gt;=6,2,L101&gt;0,1,TRUE,""))</f>
        <v/>
      </c>
      <c r="N101" s="7" t="str">
        <f>IFERROR(INDEX({"","Sangat Rendah","Rendah","Sedang","Tinggi","Sangat Tinggi"},M101+1),"")</f>
        <v/>
      </c>
      <c r="O101" s="5"/>
    </row>
    <row r="102" spans="1:15" ht="24" customHeight="1" x14ac:dyDescent="0.3">
      <c r="A102" s="5"/>
      <c r="B102" s="7" t="str">
        <f ca="1">IFERROR(_xludf.XLOOKUP(A102,PENYEBAB!$E:$E,PENYEBAB!$B:$B),"")</f>
        <v/>
      </c>
      <c r="C102" s="7" t="str">
        <f ca="1">IFERROR(_xludf.XLOOKUP(A102,PENYEBAB!$E:$E,PENYEBAB!$C:$C),"")</f>
        <v/>
      </c>
      <c r="D102" s="7" t="str">
        <f ca="1">IFERROR(_xludf.XLOOKUP(A102,PENYEBAB!$E:$E,PENYEBAB!$K:$K),"")</f>
        <v/>
      </c>
      <c r="E102" s="7" t="str">
        <f ca="1">IFERROR(_xludf.XLOOKUP(A102,PENYEBAB!$E:$E,PENYEBAB!$L:$L),"")</f>
        <v/>
      </c>
      <c r="F102" s="5"/>
      <c r="G102" s="5"/>
      <c r="H102" s="5"/>
      <c r="I102" s="5"/>
      <c r="J102" s="5"/>
      <c r="K102" s="5"/>
      <c r="L102" s="7" t="str">
        <f t="shared" si="3"/>
        <v/>
      </c>
      <c r="M102" s="7" t="str">
        <f>IF(L102="","",_xludf.IFS(L102&gt;=20,5,L102&gt;=16,4,L102&gt;=11,3,L102&gt;=6,2,L102&gt;0,1,TRUE,""))</f>
        <v/>
      </c>
      <c r="N102" s="7" t="str">
        <f>IFERROR(INDEX({"","Sangat Rendah","Rendah","Sedang","Tinggi","Sangat Tinggi"},M102+1),"")</f>
        <v/>
      </c>
      <c r="O102" s="5"/>
    </row>
    <row r="103" spans="1:15" ht="24" customHeight="1" x14ac:dyDescent="0.3">
      <c r="A103" s="5"/>
      <c r="B103" s="7" t="str">
        <f ca="1">IFERROR(_xludf.XLOOKUP(A103,PENYEBAB!$E:$E,PENYEBAB!$B:$B),"")</f>
        <v/>
      </c>
      <c r="C103" s="7" t="str">
        <f ca="1">IFERROR(_xludf.XLOOKUP(A103,PENYEBAB!$E:$E,PENYEBAB!$C:$C),"")</f>
        <v/>
      </c>
      <c r="D103" s="7" t="str">
        <f ca="1">IFERROR(_xludf.XLOOKUP(A103,PENYEBAB!$E:$E,PENYEBAB!$K:$K),"")</f>
        <v/>
      </c>
      <c r="E103" s="7" t="str">
        <f ca="1">IFERROR(_xludf.XLOOKUP(A103,PENYEBAB!$E:$E,PENYEBAB!$L:$L),"")</f>
        <v/>
      </c>
      <c r="F103" s="5"/>
      <c r="G103" s="5"/>
      <c r="H103" s="5"/>
      <c r="I103" s="5"/>
      <c r="J103" s="5"/>
      <c r="K103" s="5"/>
      <c r="L103" s="7" t="str">
        <f t="shared" si="3"/>
        <v/>
      </c>
      <c r="M103" s="7" t="str">
        <f>IF(L103="","",_xludf.IFS(L103&gt;=20,5,L103&gt;=16,4,L103&gt;=11,3,L103&gt;=6,2,L103&gt;0,1,TRUE,""))</f>
        <v/>
      </c>
      <c r="N103" s="7" t="str">
        <f>IFERROR(INDEX({"","Sangat Rendah","Rendah","Sedang","Tinggi","Sangat Tinggi"},M103+1),"")</f>
        <v/>
      </c>
      <c r="O103" s="5"/>
    </row>
    <row r="104" spans="1:15" ht="24" customHeight="1" x14ac:dyDescent="0.3">
      <c r="A104" s="5"/>
      <c r="B104" s="7" t="str">
        <f ca="1">IFERROR(_xludf.XLOOKUP(A104,PENYEBAB!$E:$E,PENYEBAB!$B:$B),"")</f>
        <v/>
      </c>
      <c r="C104" s="7" t="str">
        <f ca="1">IFERROR(_xludf.XLOOKUP(A104,PENYEBAB!$E:$E,PENYEBAB!$C:$C),"")</f>
        <v/>
      </c>
      <c r="D104" s="7" t="str">
        <f ca="1">IFERROR(_xludf.XLOOKUP(A104,PENYEBAB!$E:$E,PENYEBAB!$K:$K),"")</f>
        <v/>
      </c>
      <c r="E104" s="7" t="str">
        <f ca="1">IFERROR(_xludf.XLOOKUP(A104,PENYEBAB!$E:$E,PENYEBAB!$L:$L),"")</f>
        <v/>
      </c>
      <c r="F104" s="5"/>
      <c r="G104" s="5"/>
      <c r="H104" s="5"/>
      <c r="I104" s="5"/>
      <c r="J104" s="5"/>
      <c r="K104" s="5"/>
      <c r="L104" s="7" t="str">
        <f t="shared" si="3"/>
        <v/>
      </c>
      <c r="M104" s="7" t="str">
        <f>IF(L104="","",_xludf.IFS(L104&gt;=20,5,L104&gt;=16,4,L104&gt;=11,3,L104&gt;=6,2,L104&gt;0,1,TRUE,""))</f>
        <v/>
      </c>
      <c r="N104" s="7" t="str">
        <f>IFERROR(INDEX({"","Sangat Rendah","Rendah","Sedang","Tinggi","Sangat Tinggi"},M104+1),"")</f>
        <v/>
      </c>
      <c r="O104" s="5"/>
    </row>
    <row r="105" spans="1:15" ht="24" customHeight="1" x14ac:dyDescent="0.3">
      <c r="A105" s="5"/>
      <c r="B105" s="7" t="str">
        <f ca="1">IFERROR(_xludf.XLOOKUP(A105,PENYEBAB!$E:$E,PENYEBAB!$B:$B),"")</f>
        <v/>
      </c>
      <c r="C105" s="7" t="str">
        <f ca="1">IFERROR(_xludf.XLOOKUP(A105,PENYEBAB!$E:$E,PENYEBAB!$C:$C),"")</f>
        <v/>
      </c>
      <c r="D105" s="7" t="str">
        <f ca="1">IFERROR(_xludf.XLOOKUP(A105,PENYEBAB!$E:$E,PENYEBAB!$K:$K),"")</f>
        <v/>
      </c>
      <c r="E105" s="7" t="str">
        <f ca="1">IFERROR(_xludf.XLOOKUP(A105,PENYEBAB!$E:$E,PENYEBAB!$L:$L),"")</f>
        <v/>
      </c>
      <c r="F105" s="5"/>
      <c r="G105" s="5"/>
      <c r="H105" s="5"/>
      <c r="I105" s="5"/>
      <c r="J105" s="5"/>
      <c r="K105" s="5"/>
      <c r="L105" s="7" t="str">
        <f t="shared" si="3"/>
        <v/>
      </c>
      <c r="M105" s="7" t="str">
        <f>IF(L105="","",_xludf.IFS(L105&gt;=20,5,L105&gt;=16,4,L105&gt;=11,3,L105&gt;=6,2,L105&gt;0,1,TRUE,""))</f>
        <v/>
      </c>
      <c r="N105" s="7" t="str">
        <f>IFERROR(INDEX({"","Sangat Rendah","Rendah","Sedang","Tinggi","Sangat Tinggi"},M105+1),"")</f>
        <v/>
      </c>
      <c r="O105" s="5"/>
    </row>
    <row r="106" spans="1:15" ht="24" customHeight="1" x14ac:dyDescent="0.3">
      <c r="A106" s="5"/>
      <c r="B106" s="7" t="str">
        <f ca="1">IFERROR(_xludf.XLOOKUP(A106,PENYEBAB!$E:$E,PENYEBAB!$B:$B),"")</f>
        <v/>
      </c>
      <c r="C106" s="7" t="str">
        <f ca="1">IFERROR(_xludf.XLOOKUP(A106,PENYEBAB!$E:$E,PENYEBAB!$C:$C),"")</f>
        <v/>
      </c>
      <c r="D106" s="7" t="str">
        <f ca="1">IFERROR(_xludf.XLOOKUP(A106,PENYEBAB!$E:$E,PENYEBAB!$K:$K),"")</f>
        <v/>
      </c>
      <c r="E106" s="7" t="str">
        <f ca="1">IFERROR(_xludf.XLOOKUP(A106,PENYEBAB!$E:$E,PENYEBAB!$L:$L),"")</f>
        <v/>
      </c>
      <c r="F106" s="5"/>
      <c r="G106" s="5"/>
      <c r="H106" s="5"/>
      <c r="I106" s="5"/>
      <c r="J106" s="5"/>
      <c r="K106" s="5"/>
      <c r="L106" s="7" t="str">
        <f t="shared" si="3"/>
        <v/>
      </c>
      <c r="M106" s="7" t="str">
        <f>IF(L106="","",_xludf.IFS(L106&gt;=20,5,L106&gt;=16,4,L106&gt;=11,3,L106&gt;=6,2,L106&gt;0,1,TRUE,""))</f>
        <v/>
      </c>
      <c r="N106" s="7" t="str">
        <f>IFERROR(INDEX({"","Sangat Rendah","Rendah","Sedang","Tinggi","Sangat Tinggi"},M106+1),"")</f>
        <v/>
      </c>
      <c r="O106" s="5"/>
    </row>
    <row r="107" spans="1:15" ht="24" customHeight="1" x14ac:dyDescent="0.3">
      <c r="A107" s="5"/>
      <c r="B107" s="7" t="str">
        <f ca="1">IFERROR(_xludf.XLOOKUP(A107,PENYEBAB!$E:$E,PENYEBAB!$B:$B),"")</f>
        <v/>
      </c>
      <c r="C107" s="7" t="str">
        <f ca="1">IFERROR(_xludf.XLOOKUP(A107,PENYEBAB!$E:$E,PENYEBAB!$C:$C),"")</f>
        <v/>
      </c>
      <c r="D107" s="7" t="str">
        <f ca="1">IFERROR(_xludf.XLOOKUP(A107,PENYEBAB!$E:$E,PENYEBAB!$K:$K),"")</f>
        <v/>
      </c>
      <c r="E107" s="7" t="str">
        <f ca="1">IFERROR(_xludf.XLOOKUP(A107,PENYEBAB!$E:$E,PENYEBAB!$L:$L),"")</f>
        <v/>
      </c>
      <c r="F107" s="5"/>
      <c r="G107" s="5"/>
      <c r="H107" s="5"/>
      <c r="I107" s="5"/>
      <c r="J107" s="5"/>
      <c r="K107" s="5"/>
      <c r="L107" s="7" t="str">
        <f t="shared" si="3"/>
        <v/>
      </c>
      <c r="M107" s="7" t="str">
        <f>IF(L107="","",_xludf.IFS(L107&gt;=20,5,L107&gt;=16,4,L107&gt;=11,3,L107&gt;=6,2,L107&gt;0,1,TRUE,""))</f>
        <v/>
      </c>
      <c r="N107" s="7" t="str">
        <f>IFERROR(INDEX({"","Sangat Rendah","Rendah","Sedang","Tinggi","Sangat Tinggi"},M107+1),"")</f>
        <v/>
      </c>
      <c r="O107" s="5"/>
    </row>
    <row r="108" spans="1:15" ht="24" customHeight="1" x14ac:dyDescent="0.3">
      <c r="A108" s="5"/>
      <c r="B108" s="7" t="str">
        <f ca="1">IFERROR(_xludf.XLOOKUP(A108,PENYEBAB!$E:$E,PENYEBAB!$B:$B),"")</f>
        <v/>
      </c>
      <c r="C108" s="7" t="str">
        <f ca="1">IFERROR(_xludf.XLOOKUP(A108,PENYEBAB!$E:$E,PENYEBAB!$C:$C),"")</f>
        <v/>
      </c>
      <c r="D108" s="7" t="str">
        <f ca="1">IFERROR(_xludf.XLOOKUP(A108,PENYEBAB!$E:$E,PENYEBAB!$K:$K),"")</f>
        <v/>
      </c>
      <c r="E108" s="7" t="str">
        <f ca="1">IFERROR(_xludf.XLOOKUP(A108,PENYEBAB!$E:$E,PENYEBAB!$L:$L),"")</f>
        <v/>
      </c>
      <c r="F108" s="5"/>
      <c r="G108" s="5"/>
      <c r="H108" s="5"/>
      <c r="I108" s="5"/>
      <c r="J108" s="5"/>
      <c r="K108" s="5"/>
      <c r="L108" s="7" t="str">
        <f t="shared" si="3"/>
        <v/>
      </c>
      <c r="M108" s="7" t="str">
        <f>IF(L108="","",_xludf.IFS(L108&gt;=20,5,L108&gt;=16,4,L108&gt;=11,3,L108&gt;=6,2,L108&gt;0,1,TRUE,""))</f>
        <v/>
      </c>
      <c r="N108" s="7" t="str">
        <f>IFERROR(INDEX({"","Sangat Rendah","Rendah","Sedang","Tinggi","Sangat Tinggi"},M108+1),"")</f>
        <v/>
      </c>
      <c r="O108" s="5"/>
    </row>
    <row r="109" spans="1:15" ht="24" customHeight="1" x14ac:dyDescent="0.3">
      <c r="A109" s="5"/>
      <c r="B109" s="7" t="str">
        <f ca="1">IFERROR(_xludf.XLOOKUP(A109,PENYEBAB!$E:$E,PENYEBAB!$B:$B),"")</f>
        <v/>
      </c>
      <c r="C109" s="7" t="str">
        <f ca="1">IFERROR(_xludf.XLOOKUP(A109,PENYEBAB!$E:$E,PENYEBAB!$C:$C),"")</f>
        <v/>
      </c>
      <c r="D109" s="7" t="str">
        <f ca="1">IFERROR(_xludf.XLOOKUP(A109,PENYEBAB!$E:$E,PENYEBAB!$K:$K),"")</f>
        <v/>
      </c>
      <c r="E109" s="7" t="str">
        <f ca="1">IFERROR(_xludf.XLOOKUP(A109,PENYEBAB!$E:$E,PENYEBAB!$L:$L),"")</f>
        <v/>
      </c>
      <c r="F109" s="5"/>
      <c r="G109" s="5"/>
      <c r="H109" s="5"/>
      <c r="I109" s="5"/>
      <c r="J109" s="5"/>
      <c r="K109" s="5"/>
      <c r="L109" s="7" t="str">
        <f t="shared" si="3"/>
        <v/>
      </c>
      <c r="M109" s="7" t="str">
        <f>IF(L109="","",_xludf.IFS(L109&gt;=20,5,L109&gt;=16,4,L109&gt;=11,3,L109&gt;=6,2,L109&gt;0,1,TRUE,""))</f>
        <v/>
      </c>
      <c r="N109" s="7" t="str">
        <f>IFERROR(INDEX({"","Sangat Rendah","Rendah","Sedang","Tinggi","Sangat Tinggi"},M109+1),"")</f>
        <v/>
      </c>
      <c r="O109" s="5"/>
    </row>
    <row r="110" spans="1:15" ht="24" customHeight="1" x14ac:dyDescent="0.3">
      <c r="A110" s="5"/>
      <c r="B110" s="7" t="str">
        <f ca="1">IFERROR(_xludf.XLOOKUP(A110,PENYEBAB!$E:$E,PENYEBAB!$B:$B),"")</f>
        <v/>
      </c>
      <c r="C110" s="7" t="str">
        <f ca="1">IFERROR(_xludf.XLOOKUP(A110,PENYEBAB!$E:$E,PENYEBAB!$C:$C),"")</f>
        <v/>
      </c>
      <c r="D110" s="7" t="str">
        <f ca="1">IFERROR(_xludf.XLOOKUP(A110,PENYEBAB!$E:$E,PENYEBAB!$K:$K),"")</f>
        <v/>
      </c>
      <c r="E110" s="7" t="str">
        <f ca="1">IFERROR(_xludf.XLOOKUP(A110,PENYEBAB!$E:$E,PENYEBAB!$L:$L),"")</f>
        <v/>
      </c>
      <c r="F110" s="5"/>
      <c r="G110" s="5"/>
      <c r="H110" s="5"/>
      <c r="I110" s="5"/>
      <c r="J110" s="5"/>
      <c r="K110" s="5"/>
      <c r="L110" s="7" t="str">
        <f t="shared" si="3"/>
        <v/>
      </c>
      <c r="M110" s="7" t="str">
        <f>IF(L110="","",_xludf.IFS(L110&gt;=20,5,L110&gt;=16,4,L110&gt;=11,3,L110&gt;=6,2,L110&gt;0,1,TRUE,""))</f>
        <v/>
      </c>
      <c r="N110" s="7" t="str">
        <f>IFERROR(INDEX({"","Sangat Rendah","Rendah","Sedang","Tinggi","Sangat Tinggi"},M110+1),"")</f>
        <v/>
      </c>
      <c r="O110" s="5"/>
    </row>
    <row r="111" spans="1:15" ht="24" customHeight="1" x14ac:dyDescent="0.3">
      <c r="A111" s="5"/>
      <c r="B111" s="7" t="str">
        <f ca="1">IFERROR(_xludf.XLOOKUP(A111,PENYEBAB!$E:$E,PENYEBAB!$B:$B),"")</f>
        <v/>
      </c>
      <c r="C111" s="7" t="str">
        <f ca="1">IFERROR(_xludf.XLOOKUP(A111,PENYEBAB!$E:$E,PENYEBAB!$C:$C),"")</f>
        <v/>
      </c>
      <c r="D111" s="7" t="str">
        <f ca="1">IFERROR(_xludf.XLOOKUP(A111,PENYEBAB!$E:$E,PENYEBAB!$K:$K),"")</f>
        <v/>
      </c>
      <c r="E111" s="7" t="str">
        <f ca="1">IFERROR(_xludf.XLOOKUP(A111,PENYEBAB!$E:$E,PENYEBAB!$L:$L),"")</f>
        <v/>
      </c>
      <c r="F111" s="5"/>
      <c r="G111" s="5"/>
      <c r="H111" s="5"/>
      <c r="I111" s="5"/>
      <c r="J111" s="5"/>
      <c r="K111" s="5"/>
      <c r="L111" s="7" t="str">
        <f t="shared" si="3"/>
        <v/>
      </c>
      <c r="M111" s="7" t="str">
        <f>IF(L111="","",_xludf.IFS(L111&gt;=20,5,L111&gt;=16,4,L111&gt;=11,3,L111&gt;=6,2,L111&gt;0,1,TRUE,""))</f>
        <v/>
      </c>
      <c r="N111" s="7" t="str">
        <f>IFERROR(INDEX({"","Sangat Rendah","Rendah","Sedang","Tinggi","Sangat Tinggi"},M111+1),"")</f>
        <v/>
      </c>
      <c r="O111" s="5"/>
    </row>
    <row r="112" spans="1:15" ht="24" customHeight="1" x14ac:dyDescent="0.3">
      <c r="A112" s="5"/>
      <c r="B112" s="7" t="str">
        <f ca="1">IFERROR(_xludf.XLOOKUP(A112,PENYEBAB!$E:$E,PENYEBAB!$B:$B),"")</f>
        <v/>
      </c>
      <c r="C112" s="7" t="str">
        <f ca="1">IFERROR(_xludf.XLOOKUP(A112,PENYEBAB!$E:$E,PENYEBAB!$C:$C),"")</f>
        <v/>
      </c>
      <c r="D112" s="7" t="str">
        <f ca="1">IFERROR(_xludf.XLOOKUP(A112,PENYEBAB!$E:$E,PENYEBAB!$K:$K),"")</f>
        <v/>
      </c>
      <c r="E112" s="7" t="str">
        <f ca="1">IFERROR(_xludf.XLOOKUP(A112,PENYEBAB!$E:$E,PENYEBAB!$L:$L),"")</f>
        <v/>
      </c>
      <c r="F112" s="5"/>
      <c r="G112" s="5"/>
      <c r="H112" s="5"/>
      <c r="I112" s="5"/>
      <c r="J112" s="5"/>
      <c r="K112" s="5"/>
      <c r="L112" s="7" t="str">
        <f t="shared" si="3"/>
        <v/>
      </c>
      <c r="M112" s="7" t="str">
        <f>IF(L112="","",_xludf.IFS(L112&gt;=20,5,L112&gt;=16,4,L112&gt;=11,3,L112&gt;=6,2,L112&gt;0,1,TRUE,""))</f>
        <v/>
      </c>
      <c r="N112" s="7" t="str">
        <f>IFERROR(INDEX({"","Sangat Rendah","Rendah","Sedang","Tinggi","Sangat Tinggi"},M112+1),"")</f>
        <v/>
      </c>
      <c r="O112" s="5"/>
    </row>
    <row r="113" spans="1:15" ht="24" customHeight="1" x14ac:dyDescent="0.3">
      <c r="A113" s="5"/>
      <c r="B113" s="7" t="str">
        <f ca="1">IFERROR(_xludf.XLOOKUP(A113,PENYEBAB!$E:$E,PENYEBAB!$B:$B),"")</f>
        <v/>
      </c>
      <c r="C113" s="7" t="str">
        <f ca="1">IFERROR(_xludf.XLOOKUP(A113,PENYEBAB!$E:$E,PENYEBAB!$C:$C),"")</f>
        <v/>
      </c>
      <c r="D113" s="7" t="str">
        <f ca="1">IFERROR(_xludf.XLOOKUP(A113,PENYEBAB!$E:$E,PENYEBAB!$K:$K),"")</f>
        <v/>
      </c>
      <c r="E113" s="7" t="str">
        <f ca="1">IFERROR(_xludf.XLOOKUP(A113,PENYEBAB!$E:$E,PENYEBAB!$L:$L),"")</f>
        <v/>
      </c>
      <c r="F113" s="5"/>
      <c r="G113" s="5"/>
      <c r="H113" s="5"/>
      <c r="I113" s="5"/>
      <c r="J113" s="5"/>
      <c r="K113" s="5"/>
      <c r="L113" s="7" t="str">
        <f t="shared" si="3"/>
        <v/>
      </c>
      <c r="M113" s="7" t="str">
        <f>IF(L113="","",_xludf.IFS(L113&gt;=20,5,L113&gt;=16,4,L113&gt;=11,3,L113&gt;=6,2,L113&gt;0,1,TRUE,""))</f>
        <v/>
      </c>
      <c r="N113" s="7" t="str">
        <f>IFERROR(INDEX({"","Sangat Rendah","Rendah","Sedang","Tinggi","Sangat Tinggi"},M113+1),"")</f>
        <v/>
      </c>
      <c r="O113" s="5"/>
    </row>
    <row r="114" spans="1:15" ht="24" customHeight="1" x14ac:dyDescent="0.3">
      <c r="A114" s="5"/>
      <c r="B114" s="7" t="str">
        <f ca="1">IFERROR(_xludf.XLOOKUP(A114,PENYEBAB!$E:$E,PENYEBAB!$B:$B),"")</f>
        <v/>
      </c>
      <c r="C114" s="7" t="str">
        <f ca="1">IFERROR(_xludf.XLOOKUP(A114,PENYEBAB!$E:$E,PENYEBAB!$C:$C),"")</f>
        <v/>
      </c>
      <c r="D114" s="7" t="str">
        <f ca="1">IFERROR(_xludf.XLOOKUP(A114,PENYEBAB!$E:$E,PENYEBAB!$K:$K),"")</f>
        <v/>
      </c>
      <c r="E114" s="7" t="str">
        <f ca="1">IFERROR(_xludf.XLOOKUP(A114,PENYEBAB!$E:$E,PENYEBAB!$L:$L),"")</f>
        <v/>
      </c>
      <c r="F114" s="5"/>
      <c r="G114" s="5"/>
      <c r="H114" s="5"/>
      <c r="I114" s="5"/>
      <c r="J114" s="5"/>
      <c r="K114" s="5"/>
      <c r="L114" s="7" t="str">
        <f t="shared" si="3"/>
        <v/>
      </c>
      <c r="M114" s="7" t="str">
        <f>IF(L114="","",_xludf.IFS(L114&gt;=20,5,L114&gt;=16,4,L114&gt;=11,3,L114&gt;=6,2,L114&gt;0,1,TRUE,""))</f>
        <v/>
      </c>
      <c r="N114" s="7" t="str">
        <f>IFERROR(INDEX({"","Sangat Rendah","Rendah","Sedang","Tinggi","Sangat Tinggi"},M114+1),"")</f>
        <v/>
      </c>
      <c r="O114" s="5"/>
    </row>
    <row r="115" spans="1:15" ht="24" customHeight="1" x14ac:dyDescent="0.3">
      <c r="A115" s="5"/>
      <c r="B115" s="7" t="str">
        <f ca="1">IFERROR(_xludf.XLOOKUP(A115,PENYEBAB!$E:$E,PENYEBAB!$B:$B),"")</f>
        <v/>
      </c>
      <c r="C115" s="7" t="str">
        <f ca="1">IFERROR(_xludf.XLOOKUP(A115,PENYEBAB!$E:$E,PENYEBAB!$C:$C),"")</f>
        <v/>
      </c>
      <c r="D115" s="7" t="str">
        <f ca="1">IFERROR(_xludf.XLOOKUP(A115,PENYEBAB!$E:$E,PENYEBAB!$K:$K),"")</f>
        <v/>
      </c>
      <c r="E115" s="7" t="str">
        <f ca="1">IFERROR(_xludf.XLOOKUP(A115,PENYEBAB!$E:$E,PENYEBAB!$L:$L),"")</f>
        <v/>
      </c>
      <c r="F115" s="5"/>
      <c r="G115" s="5"/>
      <c r="H115" s="5"/>
      <c r="I115" s="5"/>
      <c r="J115" s="5"/>
      <c r="K115" s="5"/>
      <c r="L115" s="7" t="str">
        <f t="shared" si="3"/>
        <v/>
      </c>
      <c r="M115" s="7" t="str">
        <f>IF(L115="","",_xludf.IFS(L115&gt;=20,5,L115&gt;=16,4,L115&gt;=11,3,L115&gt;=6,2,L115&gt;0,1,TRUE,""))</f>
        <v/>
      </c>
      <c r="N115" s="7" t="str">
        <f>IFERROR(INDEX({"","Sangat Rendah","Rendah","Sedang","Tinggi","Sangat Tinggi"},M115+1),"")</f>
        <v/>
      </c>
      <c r="O115" s="5"/>
    </row>
    <row r="116" spans="1:15" ht="24" customHeight="1" x14ac:dyDescent="0.3">
      <c r="A116" s="5"/>
      <c r="B116" s="7" t="str">
        <f ca="1">IFERROR(_xludf.XLOOKUP(A116,PENYEBAB!$E:$E,PENYEBAB!$B:$B),"")</f>
        <v/>
      </c>
      <c r="C116" s="7" t="str">
        <f ca="1">IFERROR(_xludf.XLOOKUP(A116,PENYEBAB!$E:$E,PENYEBAB!$C:$C),"")</f>
        <v/>
      </c>
      <c r="D116" s="7" t="str">
        <f ca="1">IFERROR(_xludf.XLOOKUP(A116,PENYEBAB!$E:$E,PENYEBAB!$K:$K),"")</f>
        <v/>
      </c>
      <c r="E116" s="7" t="str">
        <f ca="1">IFERROR(_xludf.XLOOKUP(A116,PENYEBAB!$E:$E,PENYEBAB!$L:$L),"")</f>
        <v/>
      </c>
      <c r="F116" s="5"/>
      <c r="G116" s="5"/>
      <c r="H116" s="5"/>
      <c r="I116" s="5"/>
      <c r="J116" s="5"/>
      <c r="K116" s="5"/>
      <c r="L116" s="7" t="str">
        <f t="shared" si="3"/>
        <v/>
      </c>
      <c r="M116" s="7" t="str">
        <f>IF(L116="","",_xludf.IFS(L116&gt;=20,5,L116&gt;=16,4,L116&gt;=11,3,L116&gt;=6,2,L116&gt;0,1,TRUE,""))</f>
        <v/>
      </c>
      <c r="N116" s="7" t="str">
        <f>IFERROR(INDEX({"","Sangat Rendah","Rendah","Sedang","Tinggi","Sangat Tinggi"},M116+1),"")</f>
        <v/>
      </c>
      <c r="O116" s="5"/>
    </row>
    <row r="117" spans="1:15" ht="24" customHeight="1" x14ac:dyDescent="0.3">
      <c r="A117" s="5"/>
      <c r="B117" s="7" t="str">
        <f ca="1">IFERROR(_xludf.XLOOKUP(A117,PENYEBAB!$E:$E,PENYEBAB!$B:$B),"")</f>
        <v/>
      </c>
      <c r="C117" s="7" t="str">
        <f ca="1">IFERROR(_xludf.XLOOKUP(A117,PENYEBAB!$E:$E,PENYEBAB!$C:$C),"")</f>
        <v/>
      </c>
      <c r="D117" s="7" t="str">
        <f ca="1">IFERROR(_xludf.XLOOKUP(A117,PENYEBAB!$E:$E,PENYEBAB!$K:$K),"")</f>
        <v/>
      </c>
      <c r="E117" s="7" t="str">
        <f ca="1">IFERROR(_xludf.XLOOKUP(A117,PENYEBAB!$E:$E,PENYEBAB!$L:$L),"")</f>
        <v/>
      </c>
      <c r="F117" s="5"/>
      <c r="G117" s="5"/>
      <c r="H117" s="5"/>
      <c r="I117" s="5"/>
      <c r="J117" s="5"/>
      <c r="K117" s="5"/>
      <c r="L117" s="7" t="str">
        <f t="shared" si="3"/>
        <v/>
      </c>
      <c r="M117" s="7" t="str">
        <f>IF(L117="","",_xludf.IFS(L117&gt;=20,5,L117&gt;=16,4,L117&gt;=11,3,L117&gt;=6,2,L117&gt;0,1,TRUE,""))</f>
        <v/>
      </c>
      <c r="N117" s="7" t="str">
        <f>IFERROR(INDEX({"","Sangat Rendah","Rendah","Sedang","Tinggi","Sangat Tinggi"},M117+1),"")</f>
        <v/>
      </c>
      <c r="O117" s="5"/>
    </row>
    <row r="118" spans="1:15" ht="24" customHeight="1" x14ac:dyDescent="0.3">
      <c r="A118" s="5"/>
      <c r="B118" s="7" t="str">
        <f ca="1">IFERROR(_xludf.XLOOKUP(A118,PENYEBAB!$E:$E,PENYEBAB!$B:$B),"")</f>
        <v/>
      </c>
      <c r="C118" s="7" t="str">
        <f ca="1">IFERROR(_xludf.XLOOKUP(A118,PENYEBAB!$E:$E,PENYEBAB!$C:$C),"")</f>
        <v/>
      </c>
      <c r="D118" s="7" t="str">
        <f ca="1">IFERROR(_xludf.XLOOKUP(A118,PENYEBAB!$E:$E,PENYEBAB!$K:$K),"")</f>
        <v/>
      </c>
      <c r="E118" s="7" t="str">
        <f ca="1">IFERROR(_xludf.XLOOKUP(A118,PENYEBAB!$E:$E,PENYEBAB!$L:$L),"")</f>
        <v/>
      </c>
      <c r="F118" s="5"/>
      <c r="G118" s="5"/>
      <c r="H118" s="5"/>
      <c r="I118" s="5"/>
      <c r="J118" s="5"/>
      <c r="K118" s="5"/>
      <c r="L118" s="7" t="str">
        <f t="shared" si="3"/>
        <v/>
      </c>
      <c r="M118" s="7" t="str">
        <f>IF(L118="","",_xludf.IFS(L118&gt;=20,5,L118&gt;=16,4,L118&gt;=11,3,L118&gt;=6,2,L118&gt;0,1,TRUE,""))</f>
        <v/>
      </c>
      <c r="N118" s="7" t="str">
        <f>IFERROR(INDEX({"","Sangat Rendah","Rendah","Sedang","Tinggi","Sangat Tinggi"},M118+1),"")</f>
        <v/>
      </c>
      <c r="O118" s="5"/>
    </row>
    <row r="119" spans="1:15" ht="24" customHeight="1" x14ac:dyDescent="0.3">
      <c r="A119" s="5"/>
      <c r="B119" s="7" t="str">
        <f ca="1">IFERROR(_xludf.XLOOKUP(A119,PENYEBAB!$E:$E,PENYEBAB!$B:$B),"")</f>
        <v/>
      </c>
      <c r="C119" s="7" t="str">
        <f ca="1">IFERROR(_xludf.XLOOKUP(A119,PENYEBAB!$E:$E,PENYEBAB!$C:$C),"")</f>
        <v/>
      </c>
      <c r="D119" s="7" t="str">
        <f ca="1">IFERROR(_xludf.XLOOKUP(A119,PENYEBAB!$E:$E,PENYEBAB!$K:$K),"")</f>
        <v/>
      </c>
      <c r="E119" s="7" t="str">
        <f ca="1">IFERROR(_xludf.XLOOKUP(A119,PENYEBAB!$E:$E,PENYEBAB!$L:$L),"")</f>
        <v/>
      </c>
      <c r="F119" s="5"/>
      <c r="G119" s="5"/>
      <c r="H119" s="5"/>
      <c r="I119" s="5"/>
      <c r="J119" s="5"/>
      <c r="K119" s="5"/>
      <c r="L119" s="7" t="str">
        <f t="shared" si="3"/>
        <v/>
      </c>
      <c r="M119" s="7" t="str">
        <f>IF(L119="","",_xludf.IFS(L119&gt;=20,5,L119&gt;=16,4,L119&gt;=11,3,L119&gt;=6,2,L119&gt;0,1,TRUE,""))</f>
        <v/>
      </c>
      <c r="N119" s="7" t="str">
        <f>IFERROR(INDEX({"","Sangat Rendah","Rendah","Sedang","Tinggi","Sangat Tinggi"},M119+1),"")</f>
        <v/>
      </c>
      <c r="O119" s="5"/>
    </row>
    <row r="120" spans="1:15" ht="24" customHeight="1" x14ac:dyDescent="0.3">
      <c r="A120" s="5"/>
      <c r="B120" s="7" t="str">
        <f ca="1">IFERROR(_xludf.XLOOKUP(A120,PENYEBAB!$E:$E,PENYEBAB!$B:$B),"")</f>
        <v/>
      </c>
      <c r="C120" s="7" t="str">
        <f ca="1">IFERROR(_xludf.XLOOKUP(A120,PENYEBAB!$E:$E,PENYEBAB!$C:$C),"")</f>
        <v/>
      </c>
      <c r="D120" s="7" t="str">
        <f ca="1">IFERROR(_xludf.XLOOKUP(A120,PENYEBAB!$E:$E,PENYEBAB!$K:$K),"")</f>
        <v/>
      </c>
      <c r="E120" s="7" t="str">
        <f ca="1">IFERROR(_xludf.XLOOKUP(A120,PENYEBAB!$E:$E,PENYEBAB!$L:$L),"")</f>
        <v/>
      </c>
      <c r="F120" s="5"/>
      <c r="G120" s="5"/>
      <c r="H120" s="5"/>
      <c r="I120" s="5"/>
      <c r="J120" s="5"/>
      <c r="K120" s="5"/>
      <c r="L120" s="7" t="str">
        <f t="shared" si="3"/>
        <v/>
      </c>
      <c r="M120" s="7" t="str">
        <f>IF(L120="","",_xludf.IFS(L120&gt;=20,5,L120&gt;=16,4,L120&gt;=11,3,L120&gt;=6,2,L120&gt;0,1,TRUE,""))</f>
        <v/>
      </c>
      <c r="N120" s="7" t="str">
        <f>IFERROR(INDEX({"","Sangat Rendah","Rendah","Sedang","Tinggi","Sangat Tinggi"},M120+1),"")</f>
        <v/>
      </c>
      <c r="O120" s="5"/>
    </row>
    <row r="121" spans="1:15" ht="24" customHeight="1" x14ac:dyDescent="0.3">
      <c r="A121" s="5"/>
      <c r="B121" s="7" t="str">
        <f ca="1">IFERROR(_xludf.XLOOKUP(A121,PENYEBAB!$E:$E,PENYEBAB!$B:$B),"")</f>
        <v/>
      </c>
      <c r="C121" s="7" t="str">
        <f ca="1">IFERROR(_xludf.XLOOKUP(A121,PENYEBAB!$E:$E,PENYEBAB!$C:$C),"")</f>
        <v/>
      </c>
      <c r="D121" s="7" t="str">
        <f ca="1">IFERROR(_xludf.XLOOKUP(A121,PENYEBAB!$E:$E,PENYEBAB!$K:$K),"")</f>
        <v/>
      </c>
      <c r="E121" s="7" t="str">
        <f ca="1">IFERROR(_xludf.XLOOKUP(A121,PENYEBAB!$E:$E,PENYEBAB!$L:$L),"")</f>
        <v/>
      </c>
      <c r="F121" s="5"/>
      <c r="G121" s="5"/>
      <c r="H121" s="5"/>
      <c r="I121" s="5"/>
      <c r="J121" s="5"/>
      <c r="K121" s="5"/>
      <c r="L121" s="7" t="str">
        <f t="shared" si="3"/>
        <v/>
      </c>
      <c r="M121" s="7" t="str">
        <f>IF(L121="","",_xludf.IFS(L121&gt;=20,5,L121&gt;=16,4,L121&gt;=11,3,L121&gt;=6,2,L121&gt;0,1,TRUE,""))</f>
        <v/>
      </c>
      <c r="N121" s="7" t="str">
        <f>IFERROR(INDEX({"","Sangat Rendah","Rendah","Sedang","Tinggi","Sangat Tinggi"},M121+1),"")</f>
        <v/>
      </c>
      <c r="O121" s="5"/>
    </row>
    <row r="122" spans="1:15" ht="24" customHeight="1" x14ac:dyDescent="0.3">
      <c r="A122" s="5"/>
      <c r="B122" s="7" t="str">
        <f ca="1">IFERROR(_xludf.XLOOKUP(A122,PENYEBAB!$E:$E,PENYEBAB!$B:$B),"")</f>
        <v/>
      </c>
      <c r="C122" s="7" t="str">
        <f ca="1">IFERROR(_xludf.XLOOKUP(A122,PENYEBAB!$E:$E,PENYEBAB!$C:$C),"")</f>
        <v/>
      </c>
      <c r="D122" s="7" t="str">
        <f ca="1">IFERROR(_xludf.XLOOKUP(A122,PENYEBAB!$E:$E,PENYEBAB!$K:$K),"")</f>
        <v/>
      </c>
      <c r="E122" s="7" t="str">
        <f ca="1">IFERROR(_xludf.XLOOKUP(A122,PENYEBAB!$E:$E,PENYEBAB!$L:$L),"")</f>
        <v/>
      </c>
      <c r="F122" s="5"/>
      <c r="G122" s="5"/>
      <c r="H122" s="5"/>
      <c r="I122" s="5"/>
      <c r="J122" s="5"/>
      <c r="K122" s="5"/>
      <c r="L122" s="7" t="str">
        <f t="shared" si="3"/>
        <v/>
      </c>
      <c r="M122" s="7" t="str">
        <f>IF(L122="","",_xludf.IFS(L122&gt;=20,5,L122&gt;=16,4,L122&gt;=11,3,L122&gt;=6,2,L122&gt;0,1,TRUE,""))</f>
        <v/>
      </c>
      <c r="N122" s="7" t="str">
        <f>IFERROR(INDEX({"","Sangat Rendah","Rendah","Sedang","Tinggi","Sangat Tinggi"},M122+1),"")</f>
        <v/>
      </c>
      <c r="O122" s="5"/>
    </row>
    <row r="123" spans="1:15" ht="24" customHeight="1" x14ac:dyDescent="0.3">
      <c r="A123" s="5"/>
      <c r="B123" s="7" t="str">
        <f ca="1">IFERROR(_xludf.XLOOKUP(A123,PENYEBAB!$E:$E,PENYEBAB!$B:$B),"")</f>
        <v/>
      </c>
      <c r="C123" s="7" t="str">
        <f ca="1">IFERROR(_xludf.XLOOKUP(A123,PENYEBAB!$E:$E,PENYEBAB!$C:$C),"")</f>
        <v/>
      </c>
      <c r="D123" s="7" t="str">
        <f ca="1">IFERROR(_xludf.XLOOKUP(A123,PENYEBAB!$E:$E,PENYEBAB!$K:$K),"")</f>
        <v/>
      </c>
      <c r="E123" s="7" t="str">
        <f ca="1">IFERROR(_xludf.XLOOKUP(A123,PENYEBAB!$E:$E,PENYEBAB!$L:$L),"")</f>
        <v/>
      </c>
      <c r="F123" s="5"/>
      <c r="G123" s="5"/>
      <c r="H123" s="5"/>
      <c r="I123" s="5"/>
      <c r="J123" s="5"/>
      <c r="K123" s="5"/>
      <c r="L123" s="7" t="str">
        <f t="shared" si="3"/>
        <v/>
      </c>
      <c r="M123" s="7" t="str">
        <f>IF(L123="","",_xludf.IFS(L123&gt;=20,5,L123&gt;=16,4,L123&gt;=11,3,L123&gt;=6,2,L123&gt;0,1,TRUE,""))</f>
        <v/>
      </c>
      <c r="N123" s="7" t="str">
        <f>IFERROR(INDEX({"","Sangat Rendah","Rendah","Sedang","Tinggi","Sangat Tinggi"},M123+1),"")</f>
        <v/>
      </c>
      <c r="O123" s="5"/>
    </row>
    <row r="124" spans="1:15" ht="24" customHeight="1" x14ac:dyDescent="0.3">
      <c r="A124" s="5"/>
      <c r="B124" s="7" t="str">
        <f ca="1">IFERROR(_xludf.XLOOKUP(A124,PENYEBAB!$E:$E,PENYEBAB!$B:$B),"")</f>
        <v/>
      </c>
      <c r="C124" s="7" t="str">
        <f ca="1">IFERROR(_xludf.XLOOKUP(A124,PENYEBAB!$E:$E,PENYEBAB!$C:$C),"")</f>
        <v/>
      </c>
      <c r="D124" s="7" t="str">
        <f ca="1">IFERROR(_xludf.XLOOKUP(A124,PENYEBAB!$E:$E,PENYEBAB!$K:$K),"")</f>
        <v/>
      </c>
      <c r="E124" s="7" t="str">
        <f ca="1">IFERROR(_xludf.XLOOKUP(A124,PENYEBAB!$E:$E,PENYEBAB!$L:$L),"")</f>
        <v/>
      </c>
      <c r="F124" s="5"/>
      <c r="G124" s="5"/>
      <c r="H124" s="5"/>
      <c r="I124" s="5"/>
      <c r="J124" s="5"/>
      <c r="K124" s="5"/>
      <c r="L124" s="7" t="str">
        <f t="shared" si="3"/>
        <v/>
      </c>
      <c r="M124" s="7" t="str">
        <f>IF(L124="","",_xludf.IFS(L124&gt;=20,5,L124&gt;=16,4,L124&gt;=11,3,L124&gt;=6,2,L124&gt;0,1,TRUE,""))</f>
        <v/>
      </c>
      <c r="N124" s="7" t="str">
        <f>IFERROR(INDEX({"","Sangat Rendah","Rendah","Sedang","Tinggi","Sangat Tinggi"},M124+1),"")</f>
        <v/>
      </c>
      <c r="O124" s="5"/>
    </row>
    <row r="125" spans="1:15" ht="24" customHeight="1" x14ac:dyDescent="0.3">
      <c r="A125" s="5"/>
      <c r="B125" s="7" t="str">
        <f ca="1">IFERROR(_xludf.XLOOKUP(A125,PENYEBAB!$E:$E,PENYEBAB!$B:$B),"")</f>
        <v/>
      </c>
      <c r="C125" s="7" t="str">
        <f ca="1">IFERROR(_xludf.XLOOKUP(A125,PENYEBAB!$E:$E,PENYEBAB!$C:$C),"")</f>
        <v/>
      </c>
      <c r="D125" s="7" t="str">
        <f ca="1">IFERROR(_xludf.XLOOKUP(A125,PENYEBAB!$E:$E,PENYEBAB!$K:$K),"")</f>
        <v/>
      </c>
      <c r="E125" s="7" t="str">
        <f ca="1">IFERROR(_xludf.XLOOKUP(A125,PENYEBAB!$E:$E,PENYEBAB!$L:$L),"")</f>
        <v/>
      </c>
      <c r="F125" s="5"/>
      <c r="G125" s="5"/>
      <c r="H125" s="5"/>
      <c r="I125" s="5"/>
      <c r="J125" s="5"/>
      <c r="K125" s="5"/>
      <c r="L125" s="7" t="str">
        <f t="shared" si="3"/>
        <v/>
      </c>
      <c r="M125" s="7" t="str">
        <f>IF(L125="","",_xludf.IFS(L125&gt;=20,5,L125&gt;=16,4,L125&gt;=11,3,L125&gt;=6,2,L125&gt;0,1,TRUE,""))</f>
        <v/>
      </c>
      <c r="N125" s="7" t="str">
        <f>IFERROR(INDEX({"","Sangat Rendah","Rendah","Sedang","Tinggi","Sangat Tinggi"},M125+1),"")</f>
        <v/>
      </c>
      <c r="O125" s="5"/>
    </row>
    <row r="126" spans="1:15" ht="24" customHeight="1" x14ac:dyDescent="0.3">
      <c r="A126" s="5"/>
      <c r="B126" s="7" t="str">
        <f ca="1">IFERROR(_xludf.XLOOKUP(A126,PENYEBAB!$E:$E,PENYEBAB!$B:$B),"")</f>
        <v/>
      </c>
      <c r="C126" s="7" t="str">
        <f ca="1">IFERROR(_xludf.XLOOKUP(A126,PENYEBAB!$E:$E,PENYEBAB!$C:$C),"")</f>
        <v/>
      </c>
      <c r="D126" s="7" t="str">
        <f ca="1">IFERROR(_xludf.XLOOKUP(A126,PENYEBAB!$E:$E,PENYEBAB!$K:$K),"")</f>
        <v/>
      </c>
      <c r="E126" s="7" t="str">
        <f ca="1">IFERROR(_xludf.XLOOKUP(A126,PENYEBAB!$E:$E,PENYEBAB!$L:$L),"")</f>
        <v/>
      </c>
      <c r="F126" s="5"/>
      <c r="G126" s="5"/>
      <c r="H126" s="5"/>
      <c r="I126" s="5"/>
      <c r="J126" s="5"/>
      <c r="K126" s="5"/>
      <c r="L126" s="7" t="str">
        <f t="shared" si="3"/>
        <v/>
      </c>
      <c r="M126" s="7" t="str">
        <f>IF(L126="","",_xludf.IFS(L126&gt;=20,5,L126&gt;=16,4,L126&gt;=11,3,L126&gt;=6,2,L126&gt;0,1,TRUE,""))</f>
        <v/>
      </c>
      <c r="N126" s="7" t="str">
        <f>IFERROR(INDEX({"","Sangat Rendah","Rendah","Sedang","Tinggi","Sangat Tinggi"},M126+1),"")</f>
        <v/>
      </c>
      <c r="O126" s="5"/>
    </row>
    <row r="127" spans="1:15" ht="24" customHeight="1" x14ac:dyDescent="0.3">
      <c r="A127" s="5"/>
      <c r="B127" s="7" t="str">
        <f ca="1">IFERROR(_xludf.XLOOKUP(A127,PENYEBAB!$E:$E,PENYEBAB!$B:$B),"")</f>
        <v/>
      </c>
      <c r="C127" s="7" t="str">
        <f ca="1">IFERROR(_xludf.XLOOKUP(A127,PENYEBAB!$E:$E,PENYEBAB!$C:$C),"")</f>
        <v/>
      </c>
      <c r="D127" s="7" t="str">
        <f ca="1">IFERROR(_xludf.XLOOKUP(A127,PENYEBAB!$E:$E,PENYEBAB!$K:$K),"")</f>
        <v/>
      </c>
      <c r="E127" s="7" t="str">
        <f ca="1">IFERROR(_xludf.XLOOKUP(A127,PENYEBAB!$E:$E,PENYEBAB!$L:$L),"")</f>
        <v/>
      </c>
      <c r="F127" s="5"/>
      <c r="G127" s="5"/>
      <c r="H127" s="5"/>
      <c r="I127" s="5"/>
      <c r="J127" s="5"/>
      <c r="K127" s="5"/>
      <c r="L127" s="7" t="str">
        <f t="shared" si="3"/>
        <v/>
      </c>
      <c r="M127" s="7" t="str">
        <f>IF(L127="","",_xludf.IFS(L127&gt;=20,5,L127&gt;=16,4,L127&gt;=11,3,L127&gt;=6,2,L127&gt;0,1,TRUE,""))</f>
        <v/>
      </c>
      <c r="N127" s="7" t="str">
        <f>IFERROR(INDEX({"","Sangat Rendah","Rendah","Sedang","Tinggi","Sangat Tinggi"},M127+1),"")</f>
        <v/>
      </c>
      <c r="O127" s="5"/>
    </row>
    <row r="128" spans="1:15" ht="24" customHeight="1" x14ac:dyDescent="0.3">
      <c r="A128" s="5"/>
      <c r="B128" s="7" t="str">
        <f ca="1">IFERROR(_xludf.XLOOKUP(A128,PENYEBAB!$E:$E,PENYEBAB!$B:$B),"")</f>
        <v/>
      </c>
      <c r="C128" s="7" t="str">
        <f ca="1">IFERROR(_xludf.XLOOKUP(A128,PENYEBAB!$E:$E,PENYEBAB!$C:$C),"")</f>
        <v/>
      </c>
      <c r="D128" s="7" t="str">
        <f ca="1">IFERROR(_xludf.XLOOKUP(A128,PENYEBAB!$E:$E,PENYEBAB!$K:$K),"")</f>
        <v/>
      </c>
      <c r="E128" s="7" t="str">
        <f ca="1">IFERROR(_xludf.XLOOKUP(A128,PENYEBAB!$E:$E,PENYEBAB!$L:$L),"")</f>
        <v/>
      </c>
      <c r="F128" s="5"/>
      <c r="G128" s="5"/>
      <c r="H128" s="5"/>
      <c r="I128" s="5"/>
      <c r="J128" s="5"/>
      <c r="K128" s="5"/>
      <c r="L128" s="7" t="str">
        <f t="shared" si="3"/>
        <v/>
      </c>
      <c r="M128" s="7" t="str">
        <f>IF(L128="","",_xludf.IFS(L128&gt;=20,5,L128&gt;=16,4,L128&gt;=11,3,L128&gt;=6,2,L128&gt;0,1,TRUE,""))</f>
        <v/>
      </c>
      <c r="N128" s="7" t="str">
        <f>IFERROR(INDEX({"","Sangat Rendah","Rendah","Sedang","Tinggi","Sangat Tinggi"},M128+1),"")</f>
        <v/>
      </c>
      <c r="O128" s="5"/>
    </row>
    <row r="129" spans="1:15" ht="24" customHeight="1" x14ac:dyDescent="0.3">
      <c r="A129" s="5"/>
      <c r="B129" s="7" t="str">
        <f ca="1">IFERROR(_xludf.XLOOKUP(A129,PENYEBAB!$E:$E,PENYEBAB!$B:$B),"")</f>
        <v/>
      </c>
      <c r="C129" s="7" t="str">
        <f ca="1">IFERROR(_xludf.XLOOKUP(A129,PENYEBAB!$E:$E,PENYEBAB!$C:$C),"")</f>
        <v/>
      </c>
      <c r="D129" s="7" t="str">
        <f ca="1">IFERROR(_xludf.XLOOKUP(A129,PENYEBAB!$E:$E,PENYEBAB!$K:$K),"")</f>
        <v/>
      </c>
      <c r="E129" s="7" t="str">
        <f ca="1">IFERROR(_xludf.XLOOKUP(A129,PENYEBAB!$E:$E,PENYEBAB!$L:$L),"")</f>
        <v/>
      </c>
      <c r="F129" s="5"/>
      <c r="G129" s="5"/>
      <c r="H129" s="5"/>
      <c r="I129" s="5"/>
      <c r="J129" s="5"/>
      <c r="K129" s="5"/>
      <c r="L129" s="7" t="str">
        <f t="shared" si="3"/>
        <v/>
      </c>
      <c r="M129" s="7" t="str">
        <f>IF(L129="","",_xludf.IFS(L129&gt;=20,5,L129&gt;=16,4,L129&gt;=11,3,L129&gt;=6,2,L129&gt;0,1,TRUE,""))</f>
        <v/>
      </c>
      <c r="N129" s="7" t="str">
        <f>IFERROR(INDEX({"","Sangat Rendah","Rendah","Sedang","Tinggi","Sangat Tinggi"},M129+1),"")</f>
        <v/>
      </c>
      <c r="O129" s="5"/>
    </row>
    <row r="130" spans="1:15" ht="24" customHeight="1" x14ac:dyDescent="0.3">
      <c r="A130" s="5"/>
      <c r="B130" s="7" t="str">
        <f ca="1">IFERROR(_xludf.XLOOKUP(A130,PENYEBAB!$E:$E,PENYEBAB!$B:$B),"")</f>
        <v/>
      </c>
      <c r="C130" s="7" t="str">
        <f ca="1">IFERROR(_xludf.XLOOKUP(A130,PENYEBAB!$E:$E,PENYEBAB!$C:$C),"")</f>
        <v/>
      </c>
      <c r="D130" s="7" t="str">
        <f ca="1">IFERROR(_xludf.XLOOKUP(A130,PENYEBAB!$E:$E,PENYEBAB!$K:$K),"")</f>
        <v/>
      </c>
      <c r="E130" s="7" t="str">
        <f ca="1">IFERROR(_xludf.XLOOKUP(A130,PENYEBAB!$E:$E,PENYEBAB!$L:$L),"")</f>
        <v/>
      </c>
      <c r="F130" s="5"/>
      <c r="G130" s="5"/>
      <c r="H130" s="5"/>
      <c r="I130" s="5"/>
      <c r="J130" s="5"/>
      <c r="K130" s="5"/>
      <c r="L130" s="7" t="str">
        <f t="shared" si="3"/>
        <v/>
      </c>
      <c r="M130" s="7" t="str">
        <f>IF(L130="","",_xludf.IFS(L130&gt;=20,5,L130&gt;=16,4,L130&gt;=11,3,L130&gt;=6,2,L130&gt;0,1,TRUE,""))</f>
        <v/>
      </c>
      <c r="N130" s="7" t="str">
        <f>IFERROR(INDEX({"","Sangat Rendah","Rendah","Sedang","Tinggi","Sangat Tinggi"},M130+1),"")</f>
        <v/>
      </c>
      <c r="O130" s="5"/>
    </row>
    <row r="131" spans="1:15" ht="24" customHeight="1" x14ac:dyDescent="0.3">
      <c r="A131" s="5"/>
      <c r="B131" s="7" t="str">
        <f ca="1">IFERROR(_xludf.XLOOKUP(A131,PENYEBAB!$E:$E,PENYEBAB!$B:$B),"")</f>
        <v/>
      </c>
      <c r="C131" s="7" t="str">
        <f ca="1">IFERROR(_xludf.XLOOKUP(A131,PENYEBAB!$E:$E,PENYEBAB!$C:$C),"")</f>
        <v/>
      </c>
      <c r="D131" s="7" t="str">
        <f ca="1">IFERROR(_xludf.XLOOKUP(A131,PENYEBAB!$E:$E,PENYEBAB!$K:$K),"")</f>
        <v/>
      </c>
      <c r="E131" s="7" t="str">
        <f ca="1">IFERROR(_xludf.XLOOKUP(A131,PENYEBAB!$E:$E,PENYEBAB!$L:$L),"")</f>
        <v/>
      </c>
      <c r="F131" s="5"/>
      <c r="G131" s="5"/>
      <c r="H131" s="5"/>
      <c r="I131" s="5"/>
      <c r="J131" s="5"/>
      <c r="K131" s="5"/>
      <c r="L131" s="7" t="str">
        <f t="shared" si="3"/>
        <v/>
      </c>
      <c r="M131" s="7" t="str">
        <f>IF(L131="","",_xludf.IFS(L131&gt;=20,5,L131&gt;=16,4,L131&gt;=11,3,L131&gt;=6,2,L131&gt;0,1,TRUE,""))</f>
        <v/>
      </c>
      <c r="N131" s="7" t="str">
        <f>IFERROR(INDEX({"","Sangat Rendah","Rendah","Sedang","Tinggi","Sangat Tinggi"},M131+1),"")</f>
        <v/>
      </c>
      <c r="O131" s="5"/>
    </row>
    <row r="132" spans="1:15" ht="24" customHeight="1" x14ac:dyDescent="0.3">
      <c r="A132" s="5"/>
      <c r="B132" s="7" t="str">
        <f ca="1">IFERROR(_xludf.XLOOKUP(A132,PENYEBAB!$E:$E,PENYEBAB!$B:$B),"")</f>
        <v/>
      </c>
      <c r="C132" s="7" t="str">
        <f ca="1">IFERROR(_xludf.XLOOKUP(A132,PENYEBAB!$E:$E,PENYEBAB!$C:$C),"")</f>
        <v/>
      </c>
      <c r="D132" s="7" t="str">
        <f ca="1">IFERROR(_xludf.XLOOKUP(A132,PENYEBAB!$E:$E,PENYEBAB!$K:$K),"")</f>
        <v/>
      </c>
      <c r="E132" s="7" t="str">
        <f ca="1">IFERROR(_xludf.XLOOKUP(A132,PENYEBAB!$E:$E,PENYEBAB!$L:$L),"")</f>
        <v/>
      </c>
      <c r="F132" s="5"/>
      <c r="G132" s="5"/>
      <c r="H132" s="5"/>
      <c r="I132" s="5"/>
      <c r="J132" s="5"/>
      <c r="K132" s="5"/>
      <c r="L132" s="7" t="str">
        <f t="shared" ref="L132:L153" si="4">IF(AND(J132&lt;&gt;"",K132&lt;&gt;""),J132*K132,"")</f>
        <v/>
      </c>
      <c r="M132" s="7" t="str">
        <f>IF(L132="","",_xludf.IFS(L132&gt;=20,5,L132&gt;=16,4,L132&gt;=11,3,L132&gt;=6,2,L132&gt;0,1,TRUE,""))</f>
        <v/>
      </c>
      <c r="N132" s="7" t="str">
        <f>IFERROR(INDEX({"","Sangat Rendah","Rendah","Sedang","Tinggi","Sangat Tinggi"},M132+1),"")</f>
        <v/>
      </c>
      <c r="O132" s="5"/>
    </row>
    <row r="133" spans="1:15" ht="24" customHeight="1" x14ac:dyDescent="0.3">
      <c r="A133" s="5"/>
      <c r="B133" s="7" t="str">
        <f ca="1">IFERROR(_xludf.XLOOKUP(A133,PENYEBAB!$E:$E,PENYEBAB!$B:$B),"")</f>
        <v/>
      </c>
      <c r="C133" s="7" t="str">
        <f ca="1">IFERROR(_xludf.XLOOKUP(A133,PENYEBAB!$E:$E,PENYEBAB!$C:$C),"")</f>
        <v/>
      </c>
      <c r="D133" s="7" t="str">
        <f ca="1">IFERROR(_xludf.XLOOKUP(A133,PENYEBAB!$E:$E,PENYEBAB!$K:$K),"")</f>
        <v/>
      </c>
      <c r="E133" s="7" t="str">
        <f ca="1">IFERROR(_xludf.XLOOKUP(A133,PENYEBAB!$E:$E,PENYEBAB!$L:$L),"")</f>
        <v/>
      </c>
      <c r="F133" s="5"/>
      <c r="G133" s="5"/>
      <c r="H133" s="5"/>
      <c r="I133" s="5"/>
      <c r="J133" s="5"/>
      <c r="K133" s="5"/>
      <c r="L133" s="7" t="str">
        <f t="shared" si="4"/>
        <v/>
      </c>
      <c r="M133" s="7" t="str">
        <f>IF(L133="","",_xludf.IFS(L133&gt;=20,5,L133&gt;=16,4,L133&gt;=11,3,L133&gt;=6,2,L133&gt;0,1,TRUE,""))</f>
        <v/>
      </c>
      <c r="N133" s="7" t="str">
        <f>IFERROR(INDEX({"","Sangat Rendah","Rendah","Sedang","Tinggi","Sangat Tinggi"},M133+1),"")</f>
        <v/>
      </c>
      <c r="O133" s="5"/>
    </row>
    <row r="134" spans="1:15" ht="24" customHeight="1" x14ac:dyDescent="0.3">
      <c r="A134" s="5"/>
      <c r="B134" s="7" t="str">
        <f ca="1">IFERROR(_xludf.XLOOKUP(A134,PENYEBAB!$E:$E,PENYEBAB!$B:$B),"")</f>
        <v/>
      </c>
      <c r="C134" s="7" t="str">
        <f ca="1">IFERROR(_xludf.XLOOKUP(A134,PENYEBAB!$E:$E,PENYEBAB!$C:$C),"")</f>
        <v/>
      </c>
      <c r="D134" s="7" t="str">
        <f ca="1">IFERROR(_xludf.XLOOKUP(A134,PENYEBAB!$E:$E,PENYEBAB!$K:$K),"")</f>
        <v/>
      </c>
      <c r="E134" s="7" t="str">
        <f ca="1">IFERROR(_xludf.XLOOKUP(A134,PENYEBAB!$E:$E,PENYEBAB!$L:$L),"")</f>
        <v/>
      </c>
      <c r="F134" s="5"/>
      <c r="G134" s="5"/>
      <c r="H134" s="5"/>
      <c r="I134" s="5"/>
      <c r="J134" s="5"/>
      <c r="K134" s="5"/>
      <c r="L134" s="7" t="str">
        <f t="shared" si="4"/>
        <v/>
      </c>
      <c r="M134" s="7" t="str">
        <f>IF(L134="","",_xludf.IFS(L134&gt;=20,5,L134&gt;=16,4,L134&gt;=11,3,L134&gt;=6,2,L134&gt;0,1,TRUE,""))</f>
        <v/>
      </c>
      <c r="N134" s="7" t="str">
        <f>IFERROR(INDEX({"","Sangat Rendah","Rendah","Sedang","Tinggi","Sangat Tinggi"},M134+1),"")</f>
        <v/>
      </c>
      <c r="O134" s="5"/>
    </row>
    <row r="135" spans="1:15" ht="24" customHeight="1" x14ac:dyDescent="0.3">
      <c r="A135" s="5"/>
      <c r="B135" s="7" t="str">
        <f ca="1">IFERROR(_xludf.XLOOKUP(A135,PENYEBAB!$E:$E,PENYEBAB!$B:$B),"")</f>
        <v/>
      </c>
      <c r="C135" s="7" t="str">
        <f ca="1">IFERROR(_xludf.XLOOKUP(A135,PENYEBAB!$E:$E,PENYEBAB!$C:$C),"")</f>
        <v/>
      </c>
      <c r="D135" s="7" t="str">
        <f ca="1">IFERROR(_xludf.XLOOKUP(A135,PENYEBAB!$E:$E,PENYEBAB!$K:$K),"")</f>
        <v/>
      </c>
      <c r="E135" s="7" t="str">
        <f ca="1">IFERROR(_xludf.XLOOKUP(A135,PENYEBAB!$E:$E,PENYEBAB!$L:$L),"")</f>
        <v/>
      </c>
      <c r="F135" s="5"/>
      <c r="G135" s="5"/>
      <c r="H135" s="5"/>
      <c r="I135" s="5"/>
      <c r="J135" s="5"/>
      <c r="K135" s="5"/>
      <c r="L135" s="7" t="str">
        <f t="shared" si="4"/>
        <v/>
      </c>
      <c r="M135" s="7" t="str">
        <f>IF(L135="","",_xludf.IFS(L135&gt;=20,5,L135&gt;=16,4,L135&gt;=11,3,L135&gt;=6,2,L135&gt;0,1,TRUE,""))</f>
        <v/>
      </c>
      <c r="N135" s="7" t="str">
        <f>IFERROR(INDEX({"","Sangat Rendah","Rendah","Sedang","Tinggi","Sangat Tinggi"},M135+1),"")</f>
        <v/>
      </c>
      <c r="O135" s="5"/>
    </row>
    <row r="136" spans="1:15" ht="24" customHeight="1" x14ac:dyDescent="0.3">
      <c r="A136" s="5"/>
      <c r="B136" s="7" t="str">
        <f ca="1">IFERROR(_xludf.XLOOKUP(A136,PENYEBAB!$E:$E,PENYEBAB!$B:$B),"")</f>
        <v/>
      </c>
      <c r="C136" s="7" t="str">
        <f ca="1">IFERROR(_xludf.XLOOKUP(A136,PENYEBAB!$E:$E,PENYEBAB!$C:$C),"")</f>
        <v/>
      </c>
      <c r="D136" s="7" t="str">
        <f ca="1">IFERROR(_xludf.XLOOKUP(A136,PENYEBAB!$E:$E,PENYEBAB!$K:$K),"")</f>
        <v/>
      </c>
      <c r="E136" s="7" t="str">
        <f ca="1">IFERROR(_xludf.XLOOKUP(A136,PENYEBAB!$E:$E,PENYEBAB!$L:$L),"")</f>
        <v/>
      </c>
      <c r="F136" s="5"/>
      <c r="G136" s="5"/>
      <c r="H136" s="5"/>
      <c r="I136" s="5"/>
      <c r="J136" s="5"/>
      <c r="K136" s="5"/>
      <c r="L136" s="7" t="str">
        <f t="shared" si="4"/>
        <v/>
      </c>
      <c r="M136" s="7" t="str">
        <f>IF(L136="","",_xludf.IFS(L136&gt;=20,5,L136&gt;=16,4,L136&gt;=11,3,L136&gt;=6,2,L136&gt;0,1,TRUE,""))</f>
        <v/>
      </c>
      <c r="N136" s="7" t="str">
        <f>IFERROR(INDEX({"","Sangat Rendah","Rendah","Sedang","Tinggi","Sangat Tinggi"},M136+1),"")</f>
        <v/>
      </c>
      <c r="O136" s="5"/>
    </row>
    <row r="137" spans="1:15" ht="24" customHeight="1" x14ac:dyDescent="0.3">
      <c r="A137" s="5"/>
      <c r="B137" s="7" t="str">
        <f ca="1">IFERROR(_xludf.XLOOKUP(A137,PENYEBAB!$E:$E,PENYEBAB!$B:$B),"")</f>
        <v/>
      </c>
      <c r="C137" s="7" t="str">
        <f ca="1">IFERROR(_xludf.XLOOKUP(A137,PENYEBAB!$E:$E,PENYEBAB!$C:$C),"")</f>
        <v/>
      </c>
      <c r="D137" s="7" t="str">
        <f ca="1">IFERROR(_xludf.XLOOKUP(A137,PENYEBAB!$E:$E,PENYEBAB!$K:$K),"")</f>
        <v/>
      </c>
      <c r="E137" s="7" t="str">
        <f ca="1">IFERROR(_xludf.XLOOKUP(A137,PENYEBAB!$E:$E,PENYEBAB!$L:$L),"")</f>
        <v/>
      </c>
      <c r="F137" s="5"/>
      <c r="G137" s="5"/>
      <c r="H137" s="5"/>
      <c r="I137" s="5"/>
      <c r="J137" s="5"/>
      <c r="K137" s="5"/>
      <c r="L137" s="7" t="str">
        <f t="shared" si="4"/>
        <v/>
      </c>
      <c r="M137" s="7" t="str">
        <f>IF(L137="","",_xludf.IFS(L137&gt;=20,5,L137&gt;=16,4,L137&gt;=11,3,L137&gt;=6,2,L137&gt;0,1,TRUE,""))</f>
        <v/>
      </c>
      <c r="N137" s="7" t="str">
        <f>IFERROR(INDEX({"","Sangat Rendah","Rendah","Sedang","Tinggi","Sangat Tinggi"},M137+1),"")</f>
        <v/>
      </c>
      <c r="O137" s="5"/>
    </row>
    <row r="138" spans="1:15" ht="24" customHeight="1" x14ac:dyDescent="0.3">
      <c r="A138" s="5"/>
      <c r="B138" s="7" t="str">
        <f ca="1">IFERROR(_xludf.XLOOKUP(A138,PENYEBAB!$E:$E,PENYEBAB!$B:$B),"")</f>
        <v/>
      </c>
      <c r="C138" s="7" t="str">
        <f ca="1">IFERROR(_xludf.XLOOKUP(A138,PENYEBAB!$E:$E,PENYEBAB!$C:$C),"")</f>
        <v/>
      </c>
      <c r="D138" s="7" t="str">
        <f ca="1">IFERROR(_xludf.XLOOKUP(A138,PENYEBAB!$E:$E,PENYEBAB!$K:$K),"")</f>
        <v/>
      </c>
      <c r="E138" s="7" t="str">
        <f ca="1">IFERROR(_xludf.XLOOKUP(A138,PENYEBAB!$E:$E,PENYEBAB!$L:$L),"")</f>
        <v/>
      </c>
      <c r="F138" s="5"/>
      <c r="G138" s="5"/>
      <c r="H138" s="5"/>
      <c r="I138" s="5"/>
      <c r="J138" s="5"/>
      <c r="K138" s="5"/>
      <c r="L138" s="7" t="str">
        <f t="shared" si="4"/>
        <v/>
      </c>
      <c r="M138" s="7" t="str">
        <f>IF(L138="","",_xludf.IFS(L138&gt;=20,5,L138&gt;=16,4,L138&gt;=11,3,L138&gt;=6,2,L138&gt;0,1,TRUE,""))</f>
        <v/>
      </c>
      <c r="N138" s="7" t="str">
        <f>IFERROR(INDEX({"","Sangat Rendah","Rendah","Sedang","Tinggi","Sangat Tinggi"},M138+1),"")</f>
        <v/>
      </c>
      <c r="O138" s="5"/>
    </row>
    <row r="139" spans="1:15" ht="24" customHeight="1" x14ac:dyDescent="0.3">
      <c r="A139" s="5"/>
      <c r="B139" s="7" t="str">
        <f ca="1">IFERROR(_xludf.XLOOKUP(A139,PENYEBAB!$E:$E,PENYEBAB!$B:$B),"")</f>
        <v/>
      </c>
      <c r="C139" s="7" t="str">
        <f ca="1">IFERROR(_xludf.XLOOKUP(A139,PENYEBAB!$E:$E,PENYEBAB!$C:$C),"")</f>
        <v/>
      </c>
      <c r="D139" s="7" t="str">
        <f ca="1">IFERROR(_xludf.XLOOKUP(A139,PENYEBAB!$E:$E,PENYEBAB!$K:$K),"")</f>
        <v/>
      </c>
      <c r="E139" s="7" t="str">
        <f ca="1">IFERROR(_xludf.XLOOKUP(A139,PENYEBAB!$E:$E,PENYEBAB!$L:$L),"")</f>
        <v/>
      </c>
      <c r="F139" s="5"/>
      <c r="G139" s="5"/>
      <c r="H139" s="5"/>
      <c r="I139" s="5"/>
      <c r="J139" s="5"/>
      <c r="K139" s="5"/>
      <c r="L139" s="7" t="str">
        <f t="shared" si="4"/>
        <v/>
      </c>
      <c r="M139" s="7" t="str">
        <f>IF(L139="","",_xludf.IFS(L139&gt;=20,5,L139&gt;=16,4,L139&gt;=11,3,L139&gt;=6,2,L139&gt;0,1,TRUE,""))</f>
        <v/>
      </c>
      <c r="N139" s="7" t="str">
        <f>IFERROR(INDEX({"","Sangat Rendah","Rendah","Sedang","Tinggi","Sangat Tinggi"},M139+1),"")</f>
        <v/>
      </c>
      <c r="O139" s="5"/>
    </row>
    <row r="140" spans="1:15" ht="24" customHeight="1" x14ac:dyDescent="0.3">
      <c r="A140" s="5"/>
      <c r="B140" s="7" t="str">
        <f ca="1">IFERROR(_xludf.XLOOKUP(A140,PENYEBAB!$E:$E,PENYEBAB!$B:$B),"")</f>
        <v/>
      </c>
      <c r="C140" s="7" t="str">
        <f ca="1">IFERROR(_xludf.XLOOKUP(A140,PENYEBAB!$E:$E,PENYEBAB!$C:$C),"")</f>
        <v/>
      </c>
      <c r="D140" s="7" t="str">
        <f ca="1">IFERROR(_xludf.XLOOKUP(A140,PENYEBAB!$E:$E,PENYEBAB!$K:$K),"")</f>
        <v/>
      </c>
      <c r="E140" s="7" t="str">
        <f ca="1">IFERROR(_xludf.XLOOKUP(A140,PENYEBAB!$E:$E,PENYEBAB!$L:$L),"")</f>
        <v/>
      </c>
      <c r="F140" s="5"/>
      <c r="G140" s="5"/>
      <c r="H140" s="5"/>
      <c r="I140" s="5"/>
      <c r="J140" s="5"/>
      <c r="K140" s="5"/>
      <c r="L140" s="7" t="str">
        <f t="shared" si="4"/>
        <v/>
      </c>
      <c r="M140" s="7" t="str">
        <f>IF(L140="","",_xludf.IFS(L140&gt;=20,5,L140&gt;=16,4,L140&gt;=11,3,L140&gt;=6,2,L140&gt;0,1,TRUE,""))</f>
        <v/>
      </c>
      <c r="N140" s="7" t="str">
        <f>IFERROR(INDEX({"","Sangat Rendah","Rendah","Sedang","Tinggi","Sangat Tinggi"},M140+1),"")</f>
        <v/>
      </c>
      <c r="O140" s="5"/>
    </row>
    <row r="141" spans="1:15" ht="24" customHeight="1" x14ac:dyDescent="0.3">
      <c r="A141" s="5"/>
      <c r="B141" s="7" t="str">
        <f ca="1">IFERROR(_xludf.XLOOKUP(A141,PENYEBAB!$E:$E,PENYEBAB!$B:$B),"")</f>
        <v/>
      </c>
      <c r="C141" s="7" t="str">
        <f ca="1">IFERROR(_xludf.XLOOKUP(A141,PENYEBAB!$E:$E,PENYEBAB!$C:$C),"")</f>
        <v/>
      </c>
      <c r="D141" s="7" t="str">
        <f ca="1">IFERROR(_xludf.XLOOKUP(A141,PENYEBAB!$E:$E,PENYEBAB!$K:$K),"")</f>
        <v/>
      </c>
      <c r="E141" s="7" t="str">
        <f ca="1">IFERROR(_xludf.XLOOKUP(A141,PENYEBAB!$E:$E,PENYEBAB!$L:$L),"")</f>
        <v/>
      </c>
      <c r="F141" s="5"/>
      <c r="G141" s="5"/>
      <c r="H141" s="5"/>
      <c r="I141" s="5"/>
      <c r="J141" s="5"/>
      <c r="K141" s="5"/>
      <c r="L141" s="7" t="str">
        <f t="shared" si="4"/>
        <v/>
      </c>
      <c r="M141" s="7" t="str">
        <f>IF(L141="","",_xludf.IFS(L141&gt;=20,5,L141&gt;=16,4,L141&gt;=11,3,L141&gt;=6,2,L141&gt;0,1,TRUE,""))</f>
        <v/>
      </c>
      <c r="N141" s="7" t="str">
        <f>IFERROR(INDEX({"","Sangat Rendah","Rendah","Sedang","Tinggi","Sangat Tinggi"},M141+1),"")</f>
        <v/>
      </c>
      <c r="O141" s="5"/>
    </row>
    <row r="142" spans="1:15" ht="24" customHeight="1" x14ac:dyDescent="0.3">
      <c r="A142" s="5"/>
      <c r="B142" s="7" t="str">
        <f ca="1">IFERROR(_xludf.XLOOKUP(A142,PENYEBAB!$E:$E,PENYEBAB!$B:$B),"")</f>
        <v/>
      </c>
      <c r="C142" s="7" t="str">
        <f ca="1">IFERROR(_xludf.XLOOKUP(A142,PENYEBAB!$E:$E,PENYEBAB!$C:$C),"")</f>
        <v/>
      </c>
      <c r="D142" s="7" t="str">
        <f ca="1">IFERROR(_xludf.XLOOKUP(A142,PENYEBAB!$E:$E,PENYEBAB!$K:$K),"")</f>
        <v/>
      </c>
      <c r="E142" s="7" t="str">
        <f ca="1">IFERROR(_xludf.XLOOKUP(A142,PENYEBAB!$E:$E,PENYEBAB!$L:$L),"")</f>
        <v/>
      </c>
      <c r="F142" s="5"/>
      <c r="G142" s="5"/>
      <c r="H142" s="5"/>
      <c r="I142" s="5"/>
      <c r="J142" s="5"/>
      <c r="K142" s="5"/>
      <c r="L142" s="7" t="str">
        <f t="shared" si="4"/>
        <v/>
      </c>
      <c r="M142" s="7" t="str">
        <f>IF(L142="","",_xludf.IFS(L142&gt;=20,5,L142&gt;=16,4,L142&gt;=11,3,L142&gt;=6,2,L142&gt;0,1,TRUE,""))</f>
        <v/>
      </c>
      <c r="N142" s="7" t="str">
        <f>IFERROR(INDEX({"","Sangat Rendah","Rendah","Sedang","Tinggi","Sangat Tinggi"},M142+1),"")</f>
        <v/>
      </c>
      <c r="O142" s="5"/>
    </row>
    <row r="143" spans="1:15" ht="24" customHeight="1" x14ac:dyDescent="0.3">
      <c r="A143" s="5"/>
      <c r="B143" s="7" t="str">
        <f ca="1">IFERROR(_xludf.XLOOKUP(A143,PENYEBAB!$E:$E,PENYEBAB!$B:$B),"")</f>
        <v/>
      </c>
      <c r="C143" s="7" t="str">
        <f ca="1">IFERROR(_xludf.XLOOKUP(A143,PENYEBAB!$E:$E,PENYEBAB!$C:$C),"")</f>
        <v/>
      </c>
      <c r="D143" s="7" t="str">
        <f ca="1">IFERROR(_xludf.XLOOKUP(A143,PENYEBAB!$E:$E,PENYEBAB!$K:$K),"")</f>
        <v/>
      </c>
      <c r="E143" s="7" t="str">
        <f ca="1">IFERROR(_xludf.XLOOKUP(A143,PENYEBAB!$E:$E,PENYEBAB!$L:$L),"")</f>
        <v/>
      </c>
      <c r="F143" s="5"/>
      <c r="G143" s="5"/>
      <c r="H143" s="5"/>
      <c r="I143" s="5"/>
      <c r="J143" s="5"/>
      <c r="K143" s="5"/>
      <c r="L143" s="7" t="str">
        <f t="shared" si="4"/>
        <v/>
      </c>
      <c r="M143" s="7" t="str">
        <f>IF(L143="","",_xludf.IFS(L143&gt;=20,5,L143&gt;=16,4,L143&gt;=11,3,L143&gt;=6,2,L143&gt;0,1,TRUE,""))</f>
        <v/>
      </c>
      <c r="N143" s="7" t="str">
        <f>IFERROR(INDEX({"","Sangat Rendah","Rendah","Sedang","Tinggi","Sangat Tinggi"},M143+1),"")</f>
        <v/>
      </c>
      <c r="O143" s="5"/>
    </row>
    <row r="144" spans="1:15" ht="24" customHeight="1" x14ac:dyDescent="0.3">
      <c r="A144" s="5"/>
      <c r="B144" s="7" t="str">
        <f ca="1">IFERROR(_xludf.XLOOKUP(A144,PENYEBAB!$E:$E,PENYEBAB!$B:$B),"")</f>
        <v/>
      </c>
      <c r="C144" s="7" t="str">
        <f ca="1">IFERROR(_xludf.XLOOKUP(A144,PENYEBAB!$E:$E,PENYEBAB!$C:$C),"")</f>
        <v/>
      </c>
      <c r="D144" s="7" t="str">
        <f ca="1">IFERROR(_xludf.XLOOKUP(A144,PENYEBAB!$E:$E,PENYEBAB!$K:$K),"")</f>
        <v/>
      </c>
      <c r="E144" s="7" t="str">
        <f ca="1">IFERROR(_xludf.XLOOKUP(A144,PENYEBAB!$E:$E,PENYEBAB!$L:$L),"")</f>
        <v/>
      </c>
      <c r="F144" s="5"/>
      <c r="G144" s="5"/>
      <c r="H144" s="5"/>
      <c r="I144" s="5"/>
      <c r="J144" s="5"/>
      <c r="K144" s="5"/>
      <c r="L144" s="7" t="str">
        <f t="shared" si="4"/>
        <v/>
      </c>
      <c r="M144" s="7" t="str">
        <f>IF(L144="","",_xludf.IFS(L144&gt;=20,5,L144&gt;=16,4,L144&gt;=11,3,L144&gt;=6,2,L144&gt;0,1,TRUE,""))</f>
        <v/>
      </c>
      <c r="N144" s="7" t="str">
        <f>IFERROR(INDEX({"","Sangat Rendah","Rendah","Sedang","Tinggi","Sangat Tinggi"},M144+1),"")</f>
        <v/>
      </c>
      <c r="O144" s="5"/>
    </row>
    <row r="145" spans="1:15" ht="24" customHeight="1" x14ac:dyDescent="0.3">
      <c r="A145" s="5"/>
      <c r="B145" s="7" t="str">
        <f ca="1">IFERROR(_xludf.XLOOKUP(A145,PENYEBAB!$E:$E,PENYEBAB!$B:$B),"")</f>
        <v/>
      </c>
      <c r="C145" s="7" t="str">
        <f ca="1">IFERROR(_xludf.XLOOKUP(A145,PENYEBAB!$E:$E,PENYEBAB!$C:$C),"")</f>
        <v/>
      </c>
      <c r="D145" s="7" t="str">
        <f ca="1">IFERROR(_xludf.XLOOKUP(A145,PENYEBAB!$E:$E,PENYEBAB!$K:$K),"")</f>
        <v/>
      </c>
      <c r="E145" s="7" t="str">
        <f ca="1">IFERROR(_xludf.XLOOKUP(A145,PENYEBAB!$E:$E,PENYEBAB!$L:$L),"")</f>
        <v/>
      </c>
      <c r="F145" s="5"/>
      <c r="G145" s="5"/>
      <c r="H145" s="5"/>
      <c r="I145" s="5"/>
      <c r="J145" s="5"/>
      <c r="K145" s="5"/>
      <c r="L145" s="7" t="str">
        <f t="shared" si="4"/>
        <v/>
      </c>
      <c r="M145" s="7" t="str">
        <f>IF(L145="","",_xludf.IFS(L145&gt;=20,5,L145&gt;=16,4,L145&gt;=11,3,L145&gt;=6,2,L145&gt;0,1,TRUE,""))</f>
        <v/>
      </c>
      <c r="N145" s="7" t="str">
        <f>IFERROR(INDEX({"","Sangat Rendah","Rendah","Sedang","Tinggi","Sangat Tinggi"},M145+1),"")</f>
        <v/>
      </c>
      <c r="O145" s="5"/>
    </row>
    <row r="146" spans="1:15" ht="24" customHeight="1" x14ac:dyDescent="0.3">
      <c r="A146" s="5"/>
      <c r="B146" s="7" t="str">
        <f ca="1">IFERROR(_xludf.XLOOKUP(A146,PENYEBAB!$E:$E,PENYEBAB!$B:$B),"")</f>
        <v/>
      </c>
      <c r="C146" s="7" t="str">
        <f ca="1">IFERROR(_xludf.XLOOKUP(A146,PENYEBAB!$E:$E,PENYEBAB!$C:$C),"")</f>
        <v/>
      </c>
      <c r="D146" s="7" t="str">
        <f ca="1">IFERROR(_xludf.XLOOKUP(A146,PENYEBAB!$E:$E,PENYEBAB!$K:$K),"")</f>
        <v/>
      </c>
      <c r="E146" s="7" t="str">
        <f ca="1">IFERROR(_xludf.XLOOKUP(A146,PENYEBAB!$E:$E,PENYEBAB!$L:$L),"")</f>
        <v/>
      </c>
      <c r="F146" s="5"/>
      <c r="G146" s="5"/>
      <c r="H146" s="5"/>
      <c r="I146" s="5"/>
      <c r="J146" s="5"/>
      <c r="K146" s="5"/>
      <c r="L146" s="7" t="str">
        <f t="shared" si="4"/>
        <v/>
      </c>
      <c r="M146" s="7" t="str">
        <f>IF(L146="","",_xludf.IFS(L146&gt;=20,5,L146&gt;=16,4,L146&gt;=11,3,L146&gt;=6,2,L146&gt;0,1,TRUE,""))</f>
        <v/>
      </c>
      <c r="N146" s="7" t="str">
        <f>IFERROR(INDEX({"","Sangat Rendah","Rendah","Sedang","Tinggi","Sangat Tinggi"},M146+1),"")</f>
        <v/>
      </c>
      <c r="O146" s="5"/>
    </row>
    <row r="147" spans="1:15" ht="24" customHeight="1" x14ac:dyDescent="0.3">
      <c r="A147" s="5"/>
      <c r="B147" s="7" t="str">
        <f ca="1">IFERROR(_xludf.XLOOKUP(A147,PENYEBAB!$E:$E,PENYEBAB!$B:$B),"")</f>
        <v/>
      </c>
      <c r="C147" s="7" t="str">
        <f ca="1">IFERROR(_xludf.XLOOKUP(A147,PENYEBAB!$E:$E,PENYEBAB!$C:$C),"")</f>
        <v/>
      </c>
      <c r="D147" s="7" t="str">
        <f ca="1">IFERROR(_xludf.XLOOKUP(A147,PENYEBAB!$E:$E,PENYEBAB!$K:$K),"")</f>
        <v/>
      </c>
      <c r="E147" s="7" t="str">
        <f ca="1">IFERROR(_xludf.XLOOKUP(A147,PENYEBAB!$E:$E,PENYEBAB!$L:$L),"")</f>
        <v/>
      </c>
      <c r="F147" s="5"/>
      <c r="G147" s="5"/>
      <c r="H147" s="5"/>
      <c r="I147" s="5"/>
      <c r="J147" s="5"/>
      <c r="K147" s="5"/>
      <c r="L147" s="7" t="str">
        <f t="shared" si="4"/>
        <v/>
      </c>
      <c r="M147" s="7" t="str">
        <f>IF(L147="","",_xludf.IFS(L147&gt;=20,5,L147&gt;=16,4,L147&gt;=11,3,L147&gt;=6,2,L147&gt;0,1,TRUE,""))</f>
        <v/>
      </c>
      <c r="N147" s="7" t="str">
        <f>IFERROR(INDEX({"","Sangat Rendah","Rendah","Sedang","Tinggi","Sangat Tinggi"},M147+1),"")</f>
        <v/>
      </c>
      <c r="O147" s="5"/>
    </row>
    <row r="148" spans="1:15" ht="24" customHeight="1" x14ac:dyDescent="0.3">
      <c r="A148" s="5"/>
      <c r="B148" s="7" t="str">
        <f ca="1">IFERROR(_xludf.XLOOKUP(A148,PENYEBAB!$E:$E,PENYEBAB!$B:$B),"")</f>
        <v/>
      </c>
      <c r="C148" s="7" t="str">
        <f ca="1">IFERROR(_xludf.XLOOKUP(A148,PENYEBAB!$E:$E,PENYEBAB!$C:$C),"")</f>
        <v/>
      </c>
      <c r="D148" s="7" t="str">
        <f ca="1">IFERROR(_xludf.XLOOKUP(A148,PENYEBAB!$E:$E,PENYEBAB!$K:$K),"")</f>
        <v/>
      </c>
      <c r="E148" s="7" t="str">
        <f ca="1">IFERROR(_xludf.XLOOKUP(A148,PENYEBAB!$E:$E,PENYEBAB!$L:$L),"")</f>
        <v/>
      </c>
      <c r="F148" s="5"/>
      <c r="G148" s="5"/>
      <c r="H148" s="5"/>
      <c r="I148" s="5"/>
      <c r="J148" s="5"/>
      <c r="K148" s="5"/>
      <c r="L148" s="7" t="str">
        <f t="shared" si="4"/>
        <v/>
      </c>
      <c r="M148" s="7" t="str">
        <f>IF(L148="","",_xludf.IFS(L148&gt;=20,5,L148&gt;=16,4,L148&gt;=11,3,L148&gt;=6,2,L148&gt;0,1,TRUE,""))</f>
        <v/>
      </c>
      <c r="N148" s="7" t="str">
        <f>IFERROR(INDEX({"","Sangat Rendah","Rendah","Sedang","Tinggi","Sangat Tinggi"},M148+1),"")</f>
        <v/>
      </c>
      <c r="O148" s="5"/>
    </row>
    <row r="149" spans="1:15" ht="24" customHeight="1" x14ac:dyDescent="0.3">
      <c r="A149" s="5"/>
      <c r="B149" s="7" t="str">
        <f ca="1">IFERROR(_xludf.XLOOKUP(A149,PENYEBAB!$E:$E,PENYEBAB!$B:$B),"")</f>
        <v/>
      </c>
      <c r="C149" s="7" t="str">
        <f ca="1">IFERROR(_xludf.XLOOKUP(A149,PENYEBAB!$E:$E,PENYEBAB!$C:$C),"")</f>
        <v/>
      </c>
      <c r="D149" s="7" t="str">
        <f ca="1">IFERROR(_xludf.XLOOKUP(A149,PENYEBAB!$E:$E,PENYEBAB!$K:$K),"")</f>
        <v/>
      </c>
      <c r="E149" s="7" t="str">
        <f ca="1">IFERROR(_xludf.XLOOKUP(A149,PENYEBAB!$E:$E,PENYEBAB!$L:$L),"")</f>
        <v/>
      </c>
      <c r="F149" s="5"/>
      <c r="G149" s="5"/>
      <c r="H149" s="5"/>
      <c r="I149" s="5"/>
      <c r="J149" s="5"/>
      <c r="K149" s="5"/>
      <c r="L149" s="7" t="str">
        <f t="shared" si="4"/>
        <v/>
      </c>
      <c r="M149" s="7" t="str">
        <f>IF(L149="","",_xludf.IFS(L149&gt;=20,5,L149&gt;=16,4,L149&gt;=11,3,L149&gt;=6,2,L149&gt;0,1,TRUE,""))</f>
        <v/>
      </c>
      <c r="N149" s="7" t="str">
        <f>IFERROR(INDEX({"","Sangat Rendah","Rendah","Sedang","Tinggi","Sangat Tinggi"},M149+1),"")</f>
        <v/>
      </c>
      <c r="O149" s="5"/>
    </row>
    <row r="150" spans="1:15" ht="24" customHeight="1" x14ac:dyDescent="0.3">
      <c r="A150" s="5"/>
      <c r="B150" s="7" t="str">
        <f ca="1">IFERROR(_xludf.XLOOKUP(A150,PENYEBAB!$E:$E,PENYEBAB!$B:$B),"")</f>
        <v/>
      </c>
      <c r="C150" s="7" t="str">
        <f ca="1">IFERROR(_xludf.XLOOKUP(A150,PENYEBAB!$E:$E,PENYEBAB!$C:$C),"")</f>
        <v/>
      </c>
      <c r="D150" s="7" t="str">
        <f ca="1">IFERROR(_xludf.XLOOKUP(A150,PENYEBAB!$E:$E,PENYEBAB!$K:$K),"")</f>
        <v/>
      </c>
      <c r="E150" s="7" t="str">
        <f ca="1">IFERROR(_xludf.XLOOKUP(A150,PENYEBAB!$E:$E,PENYEBAB!$L:$L),"")</f>
        <v/>
      </c>
      <c r="F150" s="5"/>
      <c r="G150" s="5"/>
      <c r="H150" s="5"/>
      <c r="I150" s="5"/>
      <c r="J150" s="5"/>
      <c r="K150" s="5"/>
      <c r="L150" s="7" t="str">
        <f t="shared" si="4"/>
        <v/>
      </c>
      <c r="M150" s="7" t="str">
        <f>IF(L150="","",_xludf.IFS(L150&gt;=20,5,L150&gt;=16,4,L150&gt;=11,3,L150&gt;=6,2,L150&gt;0,1,TRUE,""))</f>
        <v/>
      </c>
      <c r="N150" s="7" t="str">
        <f>IFERROR(INDEX({"","Sangat Rendah","Rendah","Sedang","Tinggi","Sangat Tinggi"},M150+1),"")</f>
        <v/>
      </c>
      <c r="O150" s="5"/>
    </row>
    <row r="151" spans="1:15" ht="24" customHeight="1" x14ac:dyDescent="0.3">
      <c r="A151" s="5"/>
      <c r="B151" s="7" t="str">
        <f ca="1">IFERROR(_xludf.XLOOKUP(A151,PENYEBAB!$E:$E,PENYEBAB!$B:$B),"")</f>
        <v/>
      </c>
      <c r="C151" s="7" t="str">
        <f ca="1">IFERROR(_xludf.XLOOKUP(A151,PENYEBAB!$E:$E,PENYEBAB!$C:$C),"")</f>
        <v/>
      </c>
      <c r="D151" s="7" t="str">
        <f ca="1">IFERROR(_xludf.XLOOKUP(A151,PENYEBAB!$E:$E,PENYEBAB!$K:$K),"")</f>
        <v/>
      </c>
      <c r="E151" s="7" t="str">
        <f ca="1">IFERROR(_xludf.XLOOKUP(A151,PENYEBAB!$E:$E,PENYEBAB!$L:$L),"")</f>
        <v/>
      </c>
      <c r="F151" s="5"/>
      <c r="G151" s="5"/>
      <c r="H151" s="5"/>
      <c r="I151" s="5"/>
      <c r="J151" s="5"/>
      <c r="K151" s="5"/>
      <c r="L151" s="7" t="str">
        <f t="shared" si="4"/>
        <v/>
      </c>
      <c r="M151" s="7" t="str">
        <f>IF(L151="","",_xludf.IFS(L151&gt;=20,5,L151&gt;=16,4,L151&gt;=11,3,L151&gt;=6,2,L151&gt;0,1,TRUE,""))</f>
        <v/>
      </c>
      <c r="N151" s="7" t="str">
        <f>IFERROR(INDEX({"","Sangat Rendah","Rendah","Sedang","Tinggi","Sangat Tinggi"},M151+1),"")</f>
        <v/>
      </c>
      <c r="O151" s="5"/>
    </row>
    <row r="152" spans="1:15" ht="24" customHeight="1" x14ac:dyDescent="0.3">
      <c r="A152" s="5"/>
      <c r="B152" s="7" t="str">
        <f ca="1">IFERROR(_xludf.XLOOKUP(A152,PENYEBAB!$E:$E,PENYEBAB!$B:$B),"")</f>
        <v/>
      </c>
      <c r="C152" s="7" t="str">
        <f ca="1">IFERROR(_xludf.XLOOKUP(A152,PENYEBAB!$E:$E,PENYEBAB!$C:$C),"")</f>
        <v/>
      </c>
      <c r="D152" s="7" t="str">
        <f ca="1">IFERROR(_xludf.XLOOKUP(A152,PENYEBAB!$E:$E,PENYEBAB!$K:$K),"")</f>
        <v/>
      </c>
      <c r="E152" s="7" t="str">
        <f ca="1">IFERROR(_xludf.XLOOKUP(A152,PENYEBAB!$E:$E,PENYEBAB!$L:$L),"")</f>
        <v/>
      </c>
      <c r="F152" s="5"/>
      <c r="G152" s="5"/>
      <c r="H152" s="5"/>
      <c r="I152" s="5"/>
      <c r="J152" s="5"/>
      <c r="K152" s="5"/>
      <c r="L152" s="7" t="str">
        <f t="shared" si="4"/>
        <v/>
      </c>
      <c r="M152" s="7" t="str">
        <f>IF(L152="","",_xludf.IFS(L152&gt;=20,5,L152&gt;=16,4,L152&gt;=11,3,L152&gt;=6,2,L152&gt;0,1,TRUE,""))</f>
        <v/>
      </c>
      <c r="N152" s="7" t="str">
        <f>IFERROR(INDEX({"","Sangat Rendah","Rendah","Sedang","Tinggi","Sangat Tinggi"},M152+1),"")</f>
        <v/>
      </c>
      <c r="O152" s="5"/>
    </row>
    <row r="153" spans="1:15" ht="24" customHeight="1" x14ac:dyDescent="0.3">
      <c r="A153" s="5"/>
      <c r="B153" s="7" t="str">
        <f ca="1">IFERROR(_xludf.XLOOKUP(A153,PENYEBAB!$E:$E,PENYEBAB!$B:$B),"")</f>
        <v/>
      </c>
      <c r="C153" s="7" t="str">
        <f ca="1">IFERROR(_xludf.XLOOKUP(A153,PENYEBAB!$E:$E,PENYEBAB!$C:$C),"")</f>
        <v/>
      </c>
      <c r="D153" s="7" t="str">
        <f ca="1">IFERROR(_xludf.XLOOKUP(A153,PENYEBAB!$E:$E,PENYEBAB!$K:$K),"")</f>
        <v/>
      </c>
      <c r="E153" s="7" t="str">
        <f ca="1">IFERROR(_xludf.XLOOKUP(A153,PENYEBAB!$E:$E,PENYEBAB!$L:$L),"")</f>
        <v/>
      </c>
      <c r="F153" s="5"/>
      <c r="G153" s="5"/>
      <c r="H153" s="5"/>
      <c r="I153" s="5"/>
      <c r="J153" s="5"/>
      <c r="K153" s="5"/>
      <c r="L153" s="7" t="str">
        <f t="shared" si="4"/>
        <v/>
      </c>
      <c r="M153" s="7" t="str">
        <f>IF(L153="","",_xludf.IFS(L153&gt;=20,5,L153&gt;=16,4,L153&gt;=11,3,L153&gt;=6,2,L153&gt;0,1,TRUE,""))</f>
        <v/>
      </c>
      <c r="N153" s="7" t="str">
        <f>IFERROR(INDEX({"","Sangat Rendah","Rendah","Sedang","Tinggi","Sangat Tinggi"},M153+1),"")</f>
        <v/>
      </c>
      <c r="O153" s="5"/>
    </row>
  </sheetData>
  <mergeCells count="2">
    <mergeCell ref="A1:O1"/>
    <mergeCell ref="A2:O2"/>
  </mergeCells>
  <conditionalFormatting sqref="M4:M153">
    <cfRule type="cellIs" dxfId="4" priority="1" operator="equal">
      <formula>5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2</formula>
    </cfRule>
    <cfRule type="cellIs" dxfId="0" priority="5" operator="equal">
      <formula>1</formula>
    </cfRule>
  </conditionalFormatting>
  <dataValidations count="1">
    <dataValidation type="list" allowBlank="1" showErrorMessage="1" errorTitle="Nilai tidak valid" error="Pilih dari daftar yang tersedia." sqref="J4:K153" xr:uid="{00000000-0002-0000-0A00-000096000000}">
      <formula1>"1,2,3,4,5"</formula1>
    </dataValidation>
  </dataValidation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Nilai tidak valid" error="Pilih dari daftar yang tersedia." xr:uid="{00000000-0002-0000-0A00-000000000000}">
          <x14:formula1>
            <xm:f>MASTER!$Q$2:$Q$23</xm:f>
          </x14:formula1>
          <xm:sqref>F4:F153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F27"/>
  <sheetViews>
    <sheetView showGridLines="0" tabSelected="1" topLeftCell="A10" workbookViewId="0">
      <selection activeCell="C11" sqref="C11"/>
    </sheetView>
  </sheetViews>
  <sheetFormatPr defaultRowHeight="14.4" x14ac:dyDescent="0.3"/>
  <cols>
    <col min="1" max="1" width="4" customWidth="1"/>
    <col min="2" max="6" width="22" customWidth="1"/>
  </cols>
  <sheetData>
    <row r="1" spans="2:6" ht="36" customHeight="1" x14ac:dyDescent="0.3">
      <c r="B1" s="56" t="s">
        <v>351</v>
      </c>
      <c r="C1" s="56"/>
      <c r="D1" s="56"/>
      <c r="E1" s="56"/>
      <c r="F1" s="56"/>
    </row>
    <row r="2" spans="2:6" ht="24" customHeight="1" x14ac:dyDescent="0.3">
      <c r="B2" s="64" t="str">
        <f>"Unit Kerja: "&amp;KONTEKS!C4&amp;"  |  Tahun: "&amp;KONTEKS!C6</f>
        <v>Unit Kerja: Badan Penelitian Dan Pengembangan Dan Pendidikan Dan Pelatihan Hukum Dan Peradilan  |  Tahun: 2026</v>
      </c>
      <c r="C2" s="64"/>
      <c r="D2" s="64"/>
      <c r="E2" s="64"/>
      <c r="F2" s="64"/>
    </row>
    <row r="4" spans="2:6" ht="22.05" customHeight="1" x14ac:dyDescent="0.3">
      <c r="B4" s="40" t="s">
        <v>352</v>
      </c>
      <c r="C4" s="40"/>
      <c r="D4" s="40"/>
      <c r="E4" s="40"/>
      <c r="F4" s="40"/>
    </row>
    <row r="5" spans="2:6" ht="36" customHeight="1" x14ac:dyDescent="0.3">
      <c r="B5" s="25" t="s">
        <v>353</v>
      </c>
      <c r="C5" s="26" t="s">
        <v>354</v>
      </c>
      <c r="D5" s="27" t="s">
        <v>355</v>
      </c>
      <c r="E5" s="28" t="s">
        <v>356</v>
      </c>
      <c r="F5" s="29"/>
    </row>
    <row r="6" spans="2:6" ht="64.8" customHeight="1" x14ac:dyDescent="0.3">
      <c r="B6" s="30">
        <f>COUNTA(IDENTIFIKASI!G3:G52)</f>
        <v>1</v>
      </c>
      <c r="C6" s="31">
        <f ca="1">COUNTIF(ANALISIS!T3:T52,"YA ⚠")</f>
        <v>1</v>
      </c>
      <c r="D6" s="32">
        <f>COUNTA(RTP!A4:A153)</f>
        <v>0</v>
      </c>
      <c r="E6" s="33">
        <f>IFERROR(AVERAGE(ANALISIS!P3:P52),"—")</f>
        <v>19</v>
      </c>
      <c r="F6" s="63"/>
    </row>
    <row r="8" spans="2:6" ht="22.05" customHeight="1" x14ac:dyDescent="0.3">
      <c r="B8" s="40" t="s">
        <v>357</v>
      </c>
      <c r="C8" s="40"/>
      <c r="D8" s="40"/>
      <c r="E8" s="40"/>
      <c r="F8" s="40"/>
    </row>
    <row r="9" spans="2:6" ht="22.05" customHeight="1" x14ac:dyDescent="0.3">
      <c r="B9" s="13" t="s">
        <v>53</v>
      </c>
      <c r="C9" s="13" t="s">
        <v>358</v>
      </c>
      <c r="D9" s="13" t="s">
        <v>359</v>
      </c>
      <c r="E9" s="13" t="s">
        <v>360</v>
      </c>
      <c r="F9" s="13" t="s">
        <v>356</v>
      </c>
    </row>
    <row r="10" spans="2:6" ht="19.95" customHeight="1" x14ac:dyDescent="0.3">
      <c r="B10" s="6" t="s">
        <v>68</v>
      </c>
      <c r="C10" s="7">
        <f>COUNTIF(IDENTIFIKASI!H3:H52,"Strategis")</f>
        <v>0</v>
      </c>
      <c r="D10" s="7">
        <f ca="1">COUNTIFS(ANALISIS!C3:C52,"Strategis",ANALISIS!T3:T52,"YA ⚠")</f>
        <v>0</v>
      </c>
      <c r="E10" s="7">
        <f>IFERROR(COUNTIFS(RTP!A4:A153,"&lt;&gt;"),0)</f>
        <v>0</v>
      </c>
      <c r="F10" s="7" t="str">
        <f ca="1">IFERROR(AVERAGEIF(ANALISIS!C3:C52,"Strategis",ANALISIS!P3:P52),"—")</f>
        <v>—</v>
      </c>
    </row>
    <row r="11" spans="2:6" ht="19.95" customHeight="1" x14ac:dyDescent="0.3">
      <c r="B11" s="6" t="s">
        <v>82</v>
      </c>
      <c r="C11" s="7">
        <f>COUNTIF(IDENTIFIKASI!H3:H52,"Kebijakan")</f>
        <v>1</v>
      </c>
      <c r="D11" s="7">
        <f ca="1">COUNTIFS(ANALISIS!C3:C52,"Kebijakan",ANALISIS!T3:T52,"YA ⚠")</f>
        <v>1</v>
      </c>
      <c r="E11" s="7">
        <f>IFERROR(COUNTIFS(RTP!A4:A153,"&lt;&gt;"),0)</f>
        <v>0</v>
      </c>
      <c r="F11" s="7">
        <f ca="1">IFERROR(AVERAGEIF(ANALISIS!C3:C52,"Kebijakan",ANALISIS!P3:P52),"—")</f>
        <v>19</v>
      </c>
    </row>
    <row r="12" spans="2:6" ht="19.95" customHeight="1" x14ac:dyDescent="0.3">
      <c r="B12" s="6" t="s">
        <v>94</v>
      </c>
      <c r="C12" s="7">
        <f>COUNTIF(IDENTIFIKASI!H3:H52,"Kecurangan")</f>
        <v>0</v>
      </c>
      <c r="D12" s="7">
        <f ca="1">COUNTIFS(ANALISIS!C3:C52,"Kecurangan",ANALISIS!T3:T52,"YA ⚠")</f>
        <v>0</v>
      </c>
      <c r="E12" s="7">
        <f>IFERROR(COUNTIFS(RTP!A4:A153,"&lt;&gt;"),0)</f>
        <v>0</v>
      </c>
      <c r="F12" s="7" t="str">
        <f ca="1">IFERROR(AVERAGEIF(ANALISIS!C3:C52,"Kecurangan",ANALISIS!P3:P52),"—")</f>
        <v>—</v>
      </c>
    </row>
    <row r="13" spans="2:6" ht="19.95" customHeight="1" x14ac:dyDescent="0.3">
      <c r="B13" s="6" t="s">
        <v>106</v>
      </c>
      <c r="C13" s="7">
        <f>COUNTIF(IDENTIFIKASI!H3:H52,"Bencana")</f>
        <v>0</v>
      </c>
      <c r="D13" s="7">
        <f ca="1">COUNTIFS(ANALISIS!C3:C52,"Bencana",ANALISIS!T3:T52,"YA ⚠")</f>
        <v>0</v>
      </c>
      <c r="E13" s="7">
        <f>IFERROR(COUNTIFS(RTP!A4:A153,"&lt;&gt;"),0)</f>
        <v>0</v>
      </c>
      <c r="F13" s="7" t="str">
        <f ca="1">IFERROR(AVERAGEIF(ANALISIS!C3:C52,"Bencana",ANALISIS!P3:P52),"—")</f>
        <v>—</v>
      </c>
    </row>
    <row r="14" spans="2:6" ht="19.95" customHeight="1" x14ac:dyDescent="0.3">
      <c r="B14" s="6" t="s">
        <v>117</v>
      </c>
      <c r="C14" s="7">
        <f>COUNTIF(IDENTIFIKASI!H3:H52,"Kepatuhan")</f>
        <v>0</v>
      </c>
      <c r="D14" s="7">
        <f ca="1">COUNTIFS(ANALISIS!C3:C52,"Kepatuhan",ANALISIS!T3:T52,"YA ⚠")</f>
        <v>0</v>
      </c>
      <c r="E14" s="7">
        <f>IFERROR(COUNTIFS(RTP!A4:A153,"&lt;&gt;"),0)</f>
        <v>0</v>
      </c>
      <c r="F14" s="7" t="str">
        <f ca="1">IFERROR(AVERAGEIF(ANALISIS!C3:C52,"Kepatuhan",ANALISIS!P3:P52),"—")</f>
        <v>—</v>
      </c>
    </row>
    <row r="15" spans="2:6" ht="19.95" customHeight="1" x14ac:dyDescent="0.3">
      <c r="B15" s="6" t="s">
        <v>129</v>
      </c>
      <c r="C15" s="7">
        <f>COUNTIF(IDENTIFIKASI!H3:H52,"Operasional")</f>
        <v>0</v>
      </c>
      <c r="D15" s="7">
        <f ca="1">COUNTIFS(ANALISIS!C3:C52,"Operasional",ANALISIS!T3:T52,"YA ⚠")</f>
        <v>0</v>
      </c>
      <c r="E15" s="7">
        <f>IFERROR(COUNTIFS(RTP!A4:A153,"&lt;&gt;"),0)</f>
        <v>0</v>
      </c>
      <c r="F15" s="7" t="str">
        <f ca="1">IFERROR(AVERAGEIF(ANALISIS!C3:C52,"Operasional",ANALISIS!P3:P52),"—")</f>
        <v>—</v>
      </c>
    </row>
    <row r="16" spans="2:6" ht="19.95" customHeight="1" x14ac:dyDescent="0.3">
      <c r="B16" s="6" t="s">
        <v>139</v>
      </c>
      <c r="C16" s="7">
        <f>COUNTIF(IDENTIFIKASI!H3:H52,"Kemitraan")</f>
        <v>0</v>
      </c>
      <c r="D16" s="7">
        <f ca="1">COUNTIFS(ANALISIS!C3:C52,"Kemitraan",ANALISIS!T3:T52,"YA ⚠")</f>
        <v>0</v>
      </c>
      <c r="E16" s="7">
        <f>IFERROR(COUNTIFS(RTP!A4:A153,"&lt;&gt;"),0)</f>
        <v>0</v>
      </c>
      <c r="F16" s="7" t="str">
        <f ca="1">IFERROR(AVERAGEIF(ANALISIS!C3:C52,"Kemitraan",ANALISIS!P3:P52),"—")</f>
        <v>—</v>
      </c>
    </row>
    <row r="19" spans="2:6" ht="22.05" customHeight="1" x14ac:dyDescent="0.3">
      <c r="B19" s="40" t="s">
        <v>361</v>
      </c>
      <c r="C19" s="40"/>
      <c r="D19" s="40"/>
      <c r="E19" s="40"/>
      <c r="F19" s="40"/>
    </row>
    <row r="20" spans="2:6" ht="22.05" customHeight="1" x14ac:dyDescent="0.3">
      <c r="B20" s="14" t="s">
        <v>269</v>
      </c>
      <c r="C20" s="14" t="s">
        <v>273</v>
      </c>
      <c r="D20" s="14" t="s">
        <v>293</v>
      </c>
      <c r="E20" s="14" t="s">
        <v>315</v>
      </c>
      <c r="F20" s="14" t="s">
        <v>63</v>
      </c>
    </row>
    <row r="21" spans="2:6" ht="22.05" customHeight="1" x14ac:dyDescent="0.3">
      <c r="B21" s="7" t="str">
        <f>IFERROR(INDEX(ANALISIS!A:A,MATCH(LARGE(ANALISIS!P$3:P$52,1),ANALISIS!P$3:P$52,0)+2),"—")</f>
        <v>E1-BSDK.KBJ.001</v>
      </c>
      <c r="C21" s="7" t="str">
        <f>IFERROR(INDEX(ANALISIS!B:B,MATCH(LARGE(ANALISIS!P$3:P$52,1),ANALISIS!P$3:P$52,0)+2),"—")</f>
        <v>Pernyataan 1</v>
      </c>
      <c r="D21" s="7" t="str">
        <f>IFERROR(INDEX(ANALISIS!C:C,MATCH(LARGE(ANALISIS!P$3:P$52,1),ANALISIS!P$3:P$52,0)+2),"—")</f>
        <v>Kebijakan</v>
      </c>
      <c r="E21" s="7">
        <f>IFERROR(LARGE(ANALISIS!P$3:P$52,1),"—")</f>
        <v>19</v>
      </c>
      <c r="F21" s="7" t="str">
        <f>IFERROR(INDEX(ANALISIS!R:R,MATCH(LARGE(ANALISIS!P$3:P$52,1),ANALISIS!P$3:P$52,0)+2),"—")</f>
        <v>Tinggi</v>
      </c>
    </row>
    <row r="22" spans="2:6" ht="22.05" customHeight="1" x14ac:dyDescent="0.3">
      <c r="B22" s="7" t="str">
        <f>IFERROR(INDEX(ANALISIS!A:A,MATCH(LARGE(ANALISIS!P$3:P$52,2),ANALISIS!P$3:P$52,0)+2),"—")</f>
        <v>—</v>
      </c>
      <c r="C22" s="7" t="str">
        <f>IFERROR(INDEX(ANALISIS!B:B,MATCH(LARGE(ANALISIS!P$3:P$52,2),ANALISIS!P$3:P$52,0)+2),"—")</f>
        <v>—</v>
      </c>
      <c r="D22" s="7" t="str">
        <f>IFERROR(INDEX(ANALISIS!C:C,MATCH(LARGE(ANALISIS!P$3:P$52,2),ANALISIS!P$3:P$52,0)+2),"—")</f>
        <v>—</v>
      </c>
      <c r="E22" s="7" t="str">
        <f>IFERROR(LARGE(ANALISIS!P$3:P$52,2),"—")</f>
        <v>—</v>
      </c>
      <c r="F22" s="7" t="str">
        <f>IFERROR(INDEX(ANALISIS!R:R,MATCH(LARGE(ANALISIS!P$3:P$52,2),ANALISIS!P$3:P$52,0)+2),"—")</f>
        <v>—</v>
      </c>
    </row>
    <row r="23" spans="2:6" ht="22.05" customHeight="1" x14ac:dyDescent="0.3">
      <c r="B23" s="7" t="str">
        <f>IFERROR(INDEX(ANALISIS!A:A,MATCH(LARGE(ANALISIS!P$3:P$52,3),ANALISIS!P$3:P$52,0)+2),"—")</f>
        <v>—</v>
      </c>
      <c r="C23" s="7" t="str">
        <f>IFERROR(INDEX(ANALISIS!B:B,MATCH(LARGE(ANALISIS!P$3:P$52,3),ANALISIS!P$3:P$52,0)+2),"—")</f>
        <v>—</v>
      </c>
      <c r="D23" s="7" t="str">
        <f>IFERROR(INDEX(ANALISIS!C:C,MATCH(LARGE(ANALISIS!P$3:P$52,3),ANALISIS!P$3:P$52,0)+2),"—")</f>
        <v>—</v>
      </c>
      <c r="E23" s="7" t="str">
        <f>IFERROR(LARGE(ANALISIS!P$3:P$52,3),"—")</f>
        <v>—</v>
      </c>
      <c r="F23" s="7" t="str">
        <f>IFERROR(INDEX(ANALISIS!R:R,MATCH(LARGE(ANALISIS!P$3:P$52,3),ANALISIS!P$3:P$52,0)+2),"—")</f>
        <v>—</v>
      </c>
    </row>
    <row r="24" spans="2:6" ht="22.05" customHeight="1" x14ac:dyDescent="0.3">
      <c r="B24" s="7" t="str">
        <f>IFERROR(INDEX(ANALISIS!A:A,MATCH(LARGE(ANALISIS!P$3:P$52,4),ANALISIS!P$3:P$52,0)+2),"—")</f>
        <v>—</v>
      </c>
      <c r="C24" s="7" t="str">
        <f>IFERROR(INDEX(ANALISIS!B:B,MATCH(LARGE(ANALISIS!P$3:P$52,4),ANALISIS!P$3:P$52,0)+2),"—")</f>
        <v>—</v>
      </c>
      <c r="D24" s="7" t="str">
        <f>IFERROR(INDEX(ANALISIS!C:C,MATCH(LARGE(ANALISIS!P$3:P$52,4),ANALISIS!P$3:P$52,0)+2),"—")</f>
        <v>—</v>
      </c>
      <c r="E24" s="7" t="str">
        <f>IFERROR(LARGE(ANALISIS!P$3:P$52,4),"—")</f>
        <v>—</v>
      </c>
      <c r="F24" s="7" t="str">
        <f>IFERROR(INDEX(ANALISIS!R:R,MATCH(LARGE(ANALISIS!P$3:P$52,4),ANALISIS!P$3:P$52,0)+2),"—")</f>
        <v>—</v>
      </c>
    </row>
    <row r="25" spans="2:6" ht="22.05" customHeight="1" x14ac:dyDescent="0.3">
      <c r="B25" s="7" t="str">
        <f>IFERROR(INDEX(ANALISIS!A:A,MATCH(LARGE(ANALISIS!P$3:P$52,5),ANALISIS!P$3:P$52,0)+2),"—")</f>
        <v>—</v>
      </c>
      <c r="C25" s="7" t="str">
        <f>IFERROR(INDEX(ANALISIS!B:B,MATCH(LARGE(ANALISIS!P$3:P$52,5),ANALISIS!P$3:P$52,0)+2),"—")</f>
        <v>—</v>
      </c>
      <c r="D25" s="7" t="str">
        <f>IFERROR(INDEX(ANALISIS!C:C,MATCH(LARGE(ANALISIS!P$3:P$52,5),ANALISIS!P$3:P$52,0)+2),"—")</f>
        <v>—</v>
      </c>
      <c r="E25" s="7" t="str">
        <f>IFERROR(LARGE(ANALISIS!P$3:P$52,5),"—")</f>
        <v>—</v>
      </c>
      <c r="F25" s="7" t="str">
        <f>IFERROR(INDEX(ANALISIS!R:R,MATCH(LARGE(ANALISIS!P$3:P$52,5),ANALISIS!P$3:P$52,0)+2),"—")</f>
        <v>—</v>
      </c>
    </row>
    <row r="27" spans="2:6" x14ac:dyDescent="0.3">
      <c r="B27" s="55" t="str">
        <f ca="1">"Laporan di-generate: "&amp;TEXT(NOW(),"DD MMMM YYYY HH:MM")</f>
        <v>Laporan di-generate: 26 April 2026 18:12</v>
      </c>
      <c r="C27" s="55"/>
      <c r="D27" s="55"/>
      <c r="E27" s="55"/>
      <c r="F27" s="55"/>
    </row>
  </sheetData>
  <mergeCells count="6">
    <mergeCell ref="B27:F27"/>
    <mergeCell ref="B1:F1"/>
    <mergeCell ref="B2:F2"/>
    <mergeCell ref="B4:F4"/>
    <mergeCell ref="B8:F8"/>
    <mergeCell ref="B19:F19"/>
  </mergeCell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COVER</vt:lpstr>
      <vt:lpstr>MASTER</vt:lpstr>
      <vt:lpstr>KONTEKS</vt:lpstr>
      <vt:lpstr>SELERA_RISIKO</vt:lpstr>
      <vt:lpstr>IDENTIFIKASI</vt:lpstr>
      <vt:lpstr>PENYEBAB</vt:lpstr>
      <vt:lpstr>ANALISIS</vt:lpstr>
      <vt:lpstr>EVALUASI</vt:lpstr>
      <vt:lpstr>EVAL_PENG</vt:lpstr>
      <vt:lpstr>RTP</vt:lpstr>
      <vt:lpstr>LAPORAN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2026-04-21T10:09:04Z</dcterms:created>
  <dcterms:modified xsi:type="dcterms:W3CDTF">2026-04-26T11:12:49Z</dcterms:modified>
  <cp:category/>
</cp:coreProperties>
</file>