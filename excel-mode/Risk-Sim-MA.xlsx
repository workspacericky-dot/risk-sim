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MASTER" state="visible" r:id="rId5"/>
    <sheet sheetId="3" name="KONTEKS" state="visible" r:id="rId6"/>
    <sheet sheetId="4" name="SELERA_RISIKO" state="visible" r:id="rId7"/>
    <sheet sheetId="5" name="IDENTIFIKASI" state="visible" r:id="rId8"/>
    <sheet sheetId="6" name="PENYEBAB" state="visible" r:id="rId9"/>
    <sheet sheetId="7" name="ANALISIS" state="visible" r:id="rId10"/>
    <sheet sheetId="8" name="EVALUASI" state="visible" r:id="rId11"/>
    <sheet sheetId="9" name="EVAL_PENG" state="visible" r:id="rId12"/>
    <sheet sheetId="10" name="PROGRAM_AUDIT" state="visible" r:id="rId13"/>
    <sheet sheetId="11" name="RTP" state="visible" r:id="rId14"/>
    <sheet sheetId="12" name="MATURITAS" state="visible" r:id="rId15"/>
    <sheet sheetId="13" name="LAPORAN" state="visible" r:id="rId16"/>
  </sheets>
  <calcPr calcId="171027"/>
</workbook>
</file>

<file path=xl/sharedStrings.xml><?xml version="1.0" encoding="utf-8"?>
<sst xmlns="http://schemas.openxmlformats.org/spreadsheetml/2006/main" count="512" uniqueCount="426">
  <si>
    <t>DOKUMEN MANAJEMEN RISIKO</t>
  </si>
  <si>
    <t>Mahkamah Agung Republik Indonesia — Risk-Sim</t>
  </si>
  <si>
    <t>Berbasis SPIP — PP No. 60 Tahun 2008</t>
  </si>
  <si>
    <t>Tab</t>
  </si>
  <si>
    <t>Nama Sheet</t>
  </si>
  <si>
    <t>Fungsi</t>
  </si>
  <si>
    <t>Diisi Oleh</t>
  </si>
  <si>
    <t>MASTER</t>
  </si>
  <si>
    <t>Master Data &amp; Referensi</t>
  </si>
  <si>
    <t>Data unit kerja, kategori, proses bisnis MA</t>
  </si>
  <si>
    <t>Admin Sistem</t>
  </si>
  <si>
    <t>KONTEKS</t>
  </si>
  <si>
    <t>Penetapan Konteks</t>
  </si>
  <si>
    <t>Kerangka MR: unit kerja, tahun, sasaran, proses bisnis</t>
  </si>
  <si>
    <t>Pengelola Risiko</t>
  </si>
  <si>
    <t>SELERA_RISIKO</t>
  </si>
  <si>
    <t>Penetapan Selera Risiko</t>
  </si>
  <si>
    <t>Threshold toleransi per 7 kategori risiko</t>
  </si>
  <si>
    <t>Pemilik Risiko</t>
  </si>
  <si>
    <t>IDENTIFIKASI</t>
  </si>
  <si>
    <t>Identifikasi Risiko (Lamp. 5)</t>
  </si>
  <si>
    <t>Daftar risiko + kode otomatis</t>
  </si>
  <si>
    <t>PENYEBAB</t>
  </si>
  <si>
    <t>Identifikasi Penyebab (Lamp. 9)</t>
  </si>
  <si>
    <t>5-Whys per risiko + kode penyebab otomatis</t>
  </si>
  <si>
    <t>ANALISIS</t>
  </si>
  <si>
    <t>Analisis Risiko</t>
  </si>
  <si>
    <t>Matriks 5×5, skor inheren &amp; residual</t>
  </si>
  <si>
    <t>EVALUASI</t>
  </si>
  <si>
    <t>Evaluasi Risiko</t>
  </si>
  <si>
    <t>Prioritas + heatmap 5×5 residual</t>
  </si>
  <si>
    <t>EVAL_PENG</t>
  </si>
  <si>
    <t>Evaluasi Pengendalian Utama</t>
  </si>
  <si>
    <t>Pengendalian kunci per risiko prioritas</t>
  </si>
  <si>
    <t>APIP</t>
  </si>
  <si>
    <t>PROGRAM_AUDIT</t>
  </si>
  <si>
    <t>Program Kerja Audit</t>
  </si>
  <si>
    <t>PKA per risiko kecukupan kurang/tidak memadai</t>
  </si>
  <si>
    <t>RTP</t>
  </si>
  <si>
    <t>Rencana Tindak Pengendalian (Lamp. 10)</t>
  </si>
  <si>
    <t>Mitigasi per penyebab risiko prioritas</t>
  </si>
  <si>
    <t>MATURITAS</t>
  </si>
  <si>
    <t>Maturitas Manajemen Risiko</t>
  </si>
  <si>
    <t>Penilaian kapabilitas MR level 1–5</t>
  </si>
  <si>
    <t>APIP / UMR</t>
  </si>
  <si>
    <t>LAPORAN</t>
  </si>
  <si>
    <t>Laporan Eksekutif</t>
  </si>
  <si>
    <t>Dashboard ringkasan lintas modul</t>
  </si>
  <si>
    <t>Unit MR MA</t>
  </si>
  <si>
    <t>⚠  Catatan Penggunaan: Workbook ini dirancang untuk SATU konteks (satu unit kerja × satu tahun). Isi sheet secara berurutan dari [1] KONTEKS hingga [9] RTP. Sheet EVALUASI, [7], [8], dan [9] otomatis menarik data — tidak perlu diisi manual selain kolom input berwarna putih.</t>
  </si>
  <si>
    <t>Kode Unit</t>
  </si>
  <si>
    <t>Nama Unit Kerja</t>
  </si>
  <si>
    <t>No</t>
  </si>
  <si>
    <t>Kategori Risiko</t>
  </si>
  <si>
    <t>Kode</t>
  </si>
  <si>
    <t>Kode 5M</t>
  </si>
  <si>
    <t>Kategori Penyebab</t>
  </si>
  <si>
    <t>Kode Proses</t>
  </si>
  <si>
    <t>Kelompok Proses</t>
  </si>
  <si>
    <t>Sub Proses</t>
  </si>
  <si>
    <t>Indikator Default</t>
  </si>
  <si>
    <t>Klasifikasi SPIP</t>
  </si>
  <si>
    <t>Besaran</t>
  </si>
  <si>
    <t>Level</t>
  </si>
  <si>
    <t>Label</t>
  </si>
  <si>
    <t>KMA</t>
  </si>
  <si>
    <t>Ketua Mahkamah Agung</t>
  </si>
  <si>
    <t>1</t>
  </si>
  <si>
    <t>Strategis</t>
  </si>
  <si>
    <t>STR</t>
  </si>
  <si>
    <t>MN</t>
  </si>
  <si>
    <t>Manusia (Man)</t>
  </si>
  <si>
    <t>MA-01.01</t>
  </si>
  <si>
    <t>MA-01 Pengelolaan Proses Peradilan</t>
  </si>
  <si>
    <t>Peningkatan Penyelesaian Perkara Tepat Waktu</t>
  </si>
  <si>
    <t>Persentase perkara diselesaikan tepat waktu</t>
  </si>
  <si>
    <t>Lingkungan Pengendalian — Komitmen terhadap kompetensi</t>
  </si>
  <si>
    <t>1–5</t>
  </si>
  <si>
    <t>Sangat Rendah</t>
  </si>
  <si>
    <t>SEKMA</t>
  </si>
  <si>
    <t>Sekretariat Mahkamah Agung</t>
  </si>
  <si>
    <t>2</t>
  </si>
  <si>
    <t>Kebijakan</t>
  </si>
  <si>
    <t>KBJ</t>
  </si>
  <si>
    <t>MY</t>
  </si>
  <si>
    <t>Dana (Money)</t>
  </si>
  <si>
    <t>MA-01.02</t>
  </si>
  <si>
    <t>Peningkatan putusan pendekatan keadilan restoratif</t>
  </si>
  <si>
    <t>Jumlah putusan restoratif</t>
  </si>
  <si>
    <t>Lingkungan Pengendalian — Kepemimpinan yang kondusif</t>
  </si>
  <si>
    <t>6–10</t>
  </si>
  <si>
    <t>Rendah</t>
  </si>
  <si>
    <t>BAWAS</t>
  </si>
  <si>
    <t>Badan Pengawasan</t>
  </si>
  <si>
    <t>3</t>
  </si>
  <si>
    <t>Kecurangan</t>
  </si>
  <si>
    <t>KCR</t>
  </si>
  <si>
    <t>MD</t>
  </si>
  <si>
    <t>Metode (Method)</t>
  </si>
  <si>
    <t>MA-01.03</t>
  </si>
  <si>
    <t>Peningkatan perkara tidak mengajukan upaya hukum</t>
  </si>
  <si>
    <t>Persentase perkara inkracht</t>
  </si>
  <si>
    <t>Lingkungan Pengendalian — Struktur organisasi</t>
  </si>
  <si>
    <t>11–15</t>
  </si>
  <si>
    <t>Sedang</t>
  </si>
  <si>
    <t>DJU</t>
  </si>
  <si>
    <t>Direktorat Jenderal Badan Peradilan Umum</t>
  </si>
  <si>
    <t>4</t>
  </si>
  <si>
    <t>Bencana</t>
  </si>
  <si>
    <t>BNC</t>
  </si>
  <si>
    <t>MR</t>
  </si>
  <si>
    <t>Bahan (Material)</t>
  </si>
  <si>
    <t>MA-01.04</t>
  </si>
  <si>
    <t>Peningkatan penyelesaian perkara pidana anak dengan diversi</t>
  </si>
  <si>
    <t>Jumlah perkara diversi</t>
  </si>
  <si>
    <t>Lingkungan Pengendalian — Pendelegasian wewenang dan tanggung jawab</t>
  </si>
  <si>
    <t>16–19</t>
  </si>
  <si>
    <t>Tinggi</t>
  </si>
  <si>
    <t>DJMIL</t>
  </si>
  <si>
    <t>Direktorat Jenderal Badan Peradilan Militer</t>
  </si>
  <si>
    <t>5</t>
  </si>
  <si>
    <t>Kepatuhan</t>
  </si>
  <si>
    <t>KPT</t>
  </si>
  <si>
    <t>MC</t>
  </si>
  <si>
    <t>Mesin (Machine)</t>
  </si>
  <si>
    <t>MA-02.01</t>
  </si>
  <si>
    <t>MA-02 Efektivitas Penyelesaian Perkara</t>
  </si>
  <si>
    <t>Pengiriman salinan putusan tepat waktu</t>
  </si>
  <si>
    <t>Persentase pengiriman tepat waktu</t>
  </si>
  <si>
    <t>Lingkungan Pengendalian — Kebijakan pembinaan SDM</t>
  </si>
  <si>
    <t>20–25</t>
  </si>
  <si>
    <t>Sangat Tinggi</t>
  </si>
  <si>
    <t>DJTA</t>
  </si>
  <si>
    <t>Direktorat Jenderal Badan Peradilan TUN</t>
  </si>
  <si>
    <t>6</t>
  </si>
  <si>
    <t>Operasional</t>
  </si>
  <si>
    <t>OPS</t>
  </si>
  <si>
    <t>EX</t>
  </si>
  <si>
    <t>Eksternal</t>
  </si>
  <si>
    <t>MA-02.02</t>
  </si>
  <si>
    <t>Penyelesaian perkara melalui mediasi</t>
  </si>
  <si>
    <t>Jumlah perkara mediasi berhasil</t>
  </si>
  <si>
    <t>Penilaian Risiko — Identifikasi risiko</t>
  </si>
  <si>
    <t>DJAG</t>
  </si>
  <si>
    <t>Direktorat Jenderal Badan Peradilan Agama</t>
  </si>
  <si>
    <t>7</t>
  </si>
  <si>
    <t>Kemitraan</t>
  </si>
  <si>
    <t>KMT</t>
  </si>
  <si>
    <t>MA-03.01</t>
  </si>
  <si>
    <t>MA-03 Akses Peradilan</t>
  </si>
  <si>
    <t>Penyelesaian perkara prodeo</t>
  </si>
  <si>
    <t>Jumlah perkara prodeo diselesaikan</t>
  </si>
  <si>
    <t>Penilaian Risiko — Analisis risiko</t>
  </si>
  <si>
    <t>BALITB</t>
  </si>
  <si>
    <t>Badan Penelitian dan Pengembangan</t>
  </si>
  <si>
    <t>MA-03.02</t>
  </si>
  <si>
    <t>Penyelesaian perkara di luar gedung</t>
  </si>
  <si>
    <t>Jumlah sidang luar gedung</t>
  </si>
  <si>
    <t>Kegiatan Pengendalian — Review kinerja</t>
  </si>
  <si>
    <t>BADIKL</t>
  </si>
  <si>
    <t>Badan Diklat Teknis Hukum dan Peradilan</t>
  </si>
  <si>
    <t>MA-03.03</t>
  </si>
  <si>
    <t>Perkara permohonan identitas hukum</t>
  </si>
  <si>
    <t>Jumlah permohonan identitas</t>
  </si>
  <si>
    <t>Kegiatan Pengendalian — Pengendalian atas pengelolaan sistem informasi</t>
  </si>
  <si>
    <t>PT-JKT</t>
  </si>
  <si>
    <t>Pengadilan Tinggi Jakarta</t>
  </si>
  <si>
    <t>MA-03.04</t>
  </si>
  <si>
    <t>Layanan bantuan hukum (Posbankum)</t>
  </si>
  <si>
    <t>Jumlah penerima bantuan hukum</t>
  </si>
  <si>
    <t>Kegiatan Pengendalian — Pengendalian fisik atas aset</t>
  </si>
  <si>
    <t>PT-BDG</t>
  </si>
  <si>
    <t>Pengadilan Tinggi Bandung</t>
  </si>
  <si>
    <t>MA-04.01</t>
  </si>
  <si>
    <t>MA-04 Kepatuhan Putusan</t>
  </si>
  <si>
    <t>Putusan perkara perdata dieksekusi</t>
  </si>
  <si>
    <t>Persentase putusan perdata dieksekusi</t>
  </si>
  <si>
    <t>Kegiatan Pengendalian — Penetapan dan reviu atas indikator kinerja</t>
  </si>
  <si>
    <t>PA-JKT</t>
  </si>
  <si>
    <t>Pengadilan Agama Jakarta Pusat</t>
  </si>
  <si>
    <t>MA-04.02</t>
  </si>
  <si>
    <t>Putusan perkara TUN dieksekusi</t>
  </si>
  <si>
    <t>Persentase putusan TUN dieksekusi</t>
  </si>
  <si>
    <t>Kegiatan Pengendalian — Pemisahan fungsi</t>
  </si>
  <si>
    <t>MA-05.01</t>
  </si>
  <si>
    <t>MA-05 Pembinaan SDM</t>
  </si>
  <si>
    <t>Pengadaan dan Rekrutmen Tenaga</t>
  </si>
  <si>
    <t>Jumlah tenaga rekrut</t>
  </si>
  <si>
    <t>Kegiatan Pengendalian — Otorisasi atas transaksi</t>
  </si>
  <si>
    <t>MA-05.02</t>
  </si>
  <si>
    <t>Pembinaan dan Pelatihan Tenaga Teknis</t>
  </si>
  <si>
    <t>Jumlah peserta diklat teknis</t>
  </si>
  <si>
    <t>Kegiatan Pengendalian — Pencatatan yang akurat dan tepat waktu</t>
  </si>
  <si>
    <t>MA-05.03</t>
  </si>
  <si>
    <t>Pembinaan dan Pelatihan Tenaga Non Teknis</t>
  </si>
  <si>
    <t>Jumlah peserta diklat non teknis</t>
  </si>
  <si>
    <t>Kegiatan Pengendalian — Pembatasan akses atas sumber daya</t>
  </si>
  <si>
    <t>MA-05.04</t>
  </si>
  <si>
    <t>Promosi dan Mutasi</t>
  </si>
  <si>
    <t>Jumlah SK promosi/mutasi</t>
  </si>
  <si>
    <t>Kegiatan Pengendalian — Akuntabilitas terhadap sumber daya</t>
  </si>
  <si>
    <t>MA-06.01</t>
  </si>
  <si>
    <t>MA-06 Pengembangan Kebijakan</t>
  </si>
  <si>
    <t>Pengembangan Peraturan Perundang-Undangan</t>
  </si>
  <si>
    <t>Jumlah peraturan diterbitkan</t>
  </si>
  <si>
    <t>Kegiatan Pengendalian — Dokumentasi atas sistem pengendalian intern</t>
  </si>
  <si>
    <t>MA-06.02</t>
  </si>
  <si>
    <t>Pengembangan SK Ketua MA</t>
  </si>
  <si>
    <t>Jumlah SKKMA diterbitkan</t>
  </si>
  <si>
    <t>Informasi dan Komunikasi — Informasi yang relevan</t>
  </si>
  <si>
    <t>MA-06.03</t>
  </si>
  <si>
    <t>Pengembangan Keputusan Pejabat Eselon I</t>
  </si>
  <si>
    <t>Jumlah SK Eselon I</t>
  </si>
  <si>
    <t>Informasi dan Komunikasi — Komunikasi yang efektif</t>
  </si>
  <si>
    <t>MA-07.01</t>
  </si>
  <si>
    <t>MA-07 Pengawasan Kinerja</t>
  </si>
  <si>
    <t>Pengembangan Sistem Pengawasan Berbasis TI</t>
  </si>
  <si>
    <t>Persentase sistem pengawasan TI terimplementasi</t>
  </si>
  <si>
    <t>Pemantauan — Pemantauan berkelanjutan</t>
  </si>
  <si>
    <t>MA-07.02</t>
  </si>
  <si>
    <t>Implementasi Pengawasan Internal</t>
  </si>
  <si>
    <t>Jumlah laporan pengawasan internal</t>
  </si>
  <si>
    <t>Pemantauan — Evaluasi terpisah</t>
  </si>
  <si>
    <t>MA-07.03</t>
  </si>
  <si>
    <t>Implementasi Pengawasan Eksternal</t>
  </si>
  <si>
    <t>Jumlah tindak lanjut pengawasan eksternal</t>
  </si>
  <si>
    <t>Pemantauan — Tindak lanjut rekomendasi</t>
  </si>
  <si>
    <t>MA-08.01</t>
  </si>
  <si>
    <t>MA-08 Administrasi</t>
  </si>
  <si>
    <t>Rencana Program dan Penganggaran</t>
  </si>
  <si>
    <t>Persentase realisasi anggaran</t>
  </si>
  <si>
    <t>MA-08.02</t>
  </si>
  <si>
    <t>Pengelolaan Organisasi dan Tata Laksana</t>
  </si>
  <si>
    <t>Jumlah dokumen tata laksana</t>
  </si>
  <si>
    <t>MA-08.03</t>
  </si>
  <si>
    <t>Pengelolaan Sarana dan Prasarana</t>
  </si>
  <si>
    <t>Persentase sapras terpelihara</t>
  </si>
  <si>
    <t>MA-08.04</t>
  </si>
  <si>
    <t>Layanan Kehumasan dan Informasi Publik</t>
  </si>
  <si>
    <t>Indeks kepuasan informasi publik</t>
  </si>
  <si>
    <t>MA-09.01</t>
  </si>
  <si>
    <t>MA-09 Teknologi Informasi</t>
  </si>
  <si>
    <t>Perencanaan Pembangunan TI</t>
  </si>
  <si>
    <t>Jumlah dokumen perencanaan TI</t>
  </si>
  <si>
    <t>MA-09.02</t>
  </si>
  <si>
    <t>Pembangunan dan Pengembangan TI</t>
  </si>
  <si>
    <t>Jumlah sistem TI dikembangkan</t>
  </si>
  <si>
    <t>MA-09.03</t>
  </si>
  <si>
    <t>Pengelolaan dan Pemeliharaan TI</t>
  </si>
  <si>
    <t>Persentase uptime sistem TI</t>
  </si>
  <si>
    <t>MA-10.01</t>
  </si>
  <si>
    <t>MA-10 Koordinasi K/L</t>
  </si>
  <si>
    <t>Rencana Program Sinergitas Antar Instansi</t>
  </si>
  <si>
    <t>Jumlah MoU/PKS aktif</t>
  </si>
  <si>
    <t>MA-10.02</t>
  </si>
  <si>
    <t>Pertukaran Data Peningkatan Layanan Peradilan</t>
  </si>
  <si>
    <t>Jumlah sistem data terintegrasi</t>
  </si>
  <si>
    <t>[1] PENETAPAN KONTEKS</t>
  </si>
  <si>
    <t>A. IDENTITAS KONTEKS</t>
  </si>
  <si>
    <t>Unit Kerja</t>
  </si>
  <si>
    <t>Tahun Penerapan</t>
  </si>
  <si>
    <t>Periode Mulai</t>
  </si>
  <si>
    <t>Periode Selesai</t>
  </si>
  <si>
    <t>B. PEJABAT PENANGGUNG JAWAB</t>
  </si>
  <si>
    <t>Nama Pemilik Risiko</t>
  </si>
  <si>
    <t>Jabatan Pemilik Risiko</t>
  </si>
  <si>
    <t>Nama Pengelola Risiko</t>
  </si>
  <si>
    <t>Jabatan Pengelola Risiko</t>
  </si>
  <si>
    <t>C. SASARAN STRATEGIS (maks. 5)</t>
  </si>
  <si>
    <t>Uraian Sasaran Strategis</t>
  </si>
  <si>
    <t>Indikator Kinerja</t>
  </si>
  <si>
    <t>Target</t>
  </si>
  <si>
    <t>D. PROSES BISNIS UTAMA (maks. 5)</t>
  </si>
  <si>
    <t>Kode Proses (pilih)</t>
  </si>
  <si>
    <t>Sub Proses (otomatis)</t>
  </si>
  <si>
    <t>Indikator Proses (otomatis)</t>
  </si>
  <si>
    <t>E. PEMANGKU KEPENTINGAN</t>
  </si>
  <si>
    <t>[2] PENETAPAN SELERA RISIKO</t>
  </si>
  <si>
    <t>Isi threshold 1–5 untuk setiap kategori. Risiko dengan level residual DI ATAS threshold = PRIORITAS.</t>
  </si>
  <si>
    <t>Threshold (1–5)</t>
  </si>
  <si>
    <t>Makna Threshold</t>
  </si>
  <si>
    <t>[3] IDENTIFIKASI RISIKO — Format Lampiran 5</t>
  </si>
  <si>
    <t>ID</t>
  </si>
  <si>
    <t>Kode Risiko</t>
  </si>
  <si>
    <t>Kode Proses Bisnis</t>
  </si>
  <si>
    <t>Indikator Konteks</t>
  </si>
  <si>
    <t>Sasaran Strategis</t>
  </si>
  <si>
    <t>Pernyataan Risiko</t>
  </si>
  <si>
    <t>Dampak Potensial</t>
  </si>
  <si>
    <t>Metode SPIP</t>
  </si>
  <si>
    <t>Sumber Risiko</t>
  </si>
  <si>
    <t>Keterangan</t>
  </si>
  <si>
    <t>[4] IDENTIFIKASI PENYEBAB RISIKO (5-WHYS) — Format Lampiran 9</t>
  </si>
  <si>
    <t>Penyebab ID</t>
  </si>
  <si>
    <t>Kode Risiko (pilih ID dari [3])</t>
  </si>
  <si>
    <t>Kat. Penyebab (5M+EX)</t>
  </si>
  <si>
    <t>Kode Penyebab</t>
  </si>
  <si>
    <t>Why 1</t>
  </si>
  <si>
    <t>Why 2</t>
  </si>
  <si>
    <t>Why 3</t>
  </si>
  <si>
    <t>Why 4</t>
  </si>
  <si>
    <t>Why 5</t>
  </si>
  <si>
    <t>Akar Penyebab</t>
  </si>
  <si>
    <t>Kegiatan Pengendalian Eksisting</t>
  </si>
  <si>
    <t>Kolom B: isi Kode Risiko (salin dari kolom B sheet [3] IDENTIFIKASI). Kolom D: pilih kategori 5M+EX dari dropdown. Kolom E: terisi otomatis.</t>
  </si>
  <si>
    <t>[5] ANALISIS RISIKO — Matriks 5×5 Kemungkinan × Dampak</t>
  </si>
  <si>
    <t xml:space="preserve">Kode Risiko
(dari [3])</t>
  </si>
  <si>
    <t>Kategori</t>
  </si>
  <si>
    <t xml:space="preserve">Kemungkinan
Inheren (1–5)</t>
  </si>
  <si>
    <t xml:space="preserve">Dampak
Inheren (1–5)</t>
  </si>
  <si>
    <t xml:space="preserve">Besaran
Inheren</t>
  </si>
  <si>
    <t xml:space="preserve">Level
Inheren</t>
  </si>
  <si>
    <t xml:space="preserve">Label
Inheren</t>
  </si>
  <si>
    <t xml:space="preserve">Ada
Pengendalian?</t>
  </si>
  <si>
    <t>Pengendalian Eksisting</t>
  </si>
  <si>
    <t xml:space="preserve">Efektivitas
Pengendalian</t>
  </si>
  <si>
    <t xml:space="preserve">Kecukupan
Pengendalian</t>
  </si>
  <si>
    <t xml:space="preserve">Kemungkinan
Residual (1–5)</t>
  </si>
  <si>
    <t xml:space="preserve">Dampak
Residual (1–5)</t>
  </si>
  <si>
    <t xml:space="preserve">Besaran
Residual</t>
  </si>
  <si>
    <t xml:space="preserve">Level
Residual</t>
  </si>
  <si>
    <t xml:space="preserve">Label
Residual</t>
  </si>
  <si>
    <t xml:space="preserve">Threshold
(dari [2])</t>
  </si>
  <si>
    <t xml:space="preserve">Di Atas
Selera?</t>
  </si>
  <si>
    <t>[6] EVALUASI RISIKO — Daftar Prioritas &amp; Heatmap 5×5</t>
  </si>
  <si>
    <t>A. RISIKO PRIORITAS (Di Atas Selera Risiko)</t>
  </si>
  <si>
    <t>Proses Bisnis</t>
  </si>
  <si>
    <t>Skor Inheren</t>
  </si>
  <si>
    <t>Level Inheren</t>
  </si>
  <si>
    <t>Skor Residual</t>
  </si>
  <si>
    <t>Level Residual</t>
  </si>
  <si>
    <t>Threshold</t>
  </si>
  <si>
    <t>Status</t>
  </si>
  <si>
    <t>Formula FILTER untuk kolom A4 (salin ke A4, lalu expand): =IFERROR(FILTER(ANALISIS!A3:T52,ANALISIS!S3:S52="YA ⚠"),"Belum ada risiko prioritas")</t>
  </si>
  <si>
    <t>B. HEATMAP 5×5 — RISIKO RESIDUAL</t>
  </si>
  <si>
    <t>K\D →</t>
  </si>
  <si>
    <t>Dampak 1</t>
  </si>
  <si>
    <t>Dampak 2</t>
  </si>
  <si>
    <t>Dampak 3</t>
  </si>
  <si>
    <t>Dampak 4</t>
  </si>
  <si>
    <t>Dampak 5</t>
  </si>
  <si>
    <t>K=5</t>
  </si>
  <si>
    <t>K=4</t>
  </si>
  <si>
    <t>K=3</t>
  </si>
  <si>
    <t>K=2</t>
  </si>
  <si>
    <t>K=1</t>
  </si>
  <si>
    <t>🔴 Sangat Tinggi (≥20)   🟠 Tinggi (16–19)   🟡 Sedang (11–15)   🟨 Rendah (6–10)   🟢 Sangat Rendah (1–5)</t>
  </si>
  <si>
    <t>[7] EVALUASI PENGENDALIAN UTAMA — Risiko Prioritas</t>
  </si>
  <si>
    <t>Isi kolom B (Kode Risiko) dengan kode dari risiko PRIORITAS (kolom S = "YA ⚠" di sheet [5] ANALISIS). Kolom lain terisi otomatis.</t>
  </si>
  <si>
    <t>Kode Risiko (prioritas)</t>
  </si>
  <si>
    <t xml:space="preserve">Pengendalian Eksisting
(dari [5] ANALISIS)</t>
  </si>
  <si>
    <t xml:space="preserve">Pengendalian Utama
(isi manual)</t>
  </si>
  <si>
    <t>Catatan APIP</t>
  </si>
  <si>
    <t>[8] PROGRAM KERJA AUDIT — Kecukupan Pengendalian ≠ Memadai</t>
  </si>
  <si>
    <t>Isi kolom A (Kode Risiko) untuk risiko dengan kecukupan pengendalian: Cukup / Kurang / Tidak Memiliki. Kolom Uraian dapat diedit setelah terisi otomatis.</t>
  </si>
  <si>
    <t>Kecukupan Pengendalian</t>
  </si>
  <si>
    <t xml:space="preserve">Uraian Program Kerja Audit
(otomatis, dapat diedit)</t>
  </si>
  <si>
    <t>No. KKA</t>
  </si>
  <si>
    <t>Waktu Pelaksanaan</t>
  </si>
  <si>
    <t>Dilaksanakan Oleh</t>
  </si>
  <si>
    <t>Catatan</t>
  </si>
  <si>
    <t>[9] RENCANA TINDAK PENGENDALIAN — Format Lampiran 10</t>
  </si>
  <si>
    <t>Isi kolom A (Kode Penyebab) dari penyebab risiko PRIORITAS. Salin dari kolom E sheet [4] PENYEBAB, hanya untuk penyebab dari risiko yang di_atas_selera = YA.</t>
  </si>
  <si>
    <t xml:space="preserve">Kode Penyebab
(dari [4])</t>
  </si>
  <si>
    <t xml:space="preserve">Kegiatan
Pengendalian
Eksisting</t>
  </si>
  <si>
    <t>Penanggung Jawab</t>
  </si>
  <si>
    <t>Indikator Keluaran</t>
  </si>
  <si>
    <t>Target Waktu</t>
  </si>
  <si>
    <t xml:space="preserve">Kemungkinan
Rencana (1–5)</t>
  </si>
  <si>
    <t xml:space="preserve">Dampak
Rencana (1–5)</t>
  </si>
  <si>
    <t xml:space="preserve">Besaran
RTP</t>
  </si>
  <si>
    <t>Level RTP</t>
  </si>
  <si>
    <t>Label RTP</t>
  </si>
  <si>
    <t>PENILAIAN MATURITAS MANAJEMEN RISIKO — Skala 1–5</t>
  </si>
  <si>
    <t>Dimensi Penilaian</t>
  </si>
  <si>
    <t>Level 1 — Rintisan</t>
  </si>
  <si>
    <t>Level 2 — Berkembang</t>
  </si>
  <si>
    <t>Level 3 — Terdefinisi</t>
  </si>
  <si>
    <t>Level 4 — Terkelola</t>
  </si>
  <si>
    <t>Level 5 — Optimum</t>
  </si>
  <si>
    <t>Level Dipilih</t>
  </si>
  <si>
    <t>Lingkungan Pengendalian</t>
  </si>
  <si>
    <t>Belum ada kebijakan MR tertulis; pimpinan belum menunjukkan komitmen</t>
  </si>
  <si>
    <t>Kebijakan MR dalam proses; beberapa pimpinan mulai mendukung</t>
  </si>
  <si>
    <t>Kebijakan MR formal; komitmen pimpinan terdokumentasi</t>
  </si>
  <si>
    <t>Kebijakan MR diimplementasikan penuh; review berkala dilakukan</t>
  </si>
  <si>
    <t>Budaya risiko melekat; MR terintegrasi dalam semua keputusan strategis</t>
  </si>
  <si>
    <t>Penilaian Risiko</t>
  </si>
  <si>
    <t>Risiko diidentifikasi secara ad-hoc; tidak ada metodologi</t>
  </si>
  <si>
    <t>Metodologi penilaian risiko mulai diterapkan; belum konsisten</t>
  </si>
  <si>
    <t>Metodologi baku (5×5 SPIP) diterapkan di semua satker</t>
  </si>
  <si>
    <t>Penilaian risiko dikaitkan dengan KPI; analisis kuantitatif sebagian</t>
  </si>
  <si>
    <t>Penilaian risiko terintegrasi penuh; prediktif berbasis data historis</t>
  </si>
  <si>
    <t>Kegiatan Pengendalian</t>
  </si>
  <si>
    <t>Pengendalian tidak terdokumentasi; efektivitas tidak diukur</t>
  </si>
  <si>
    <t>Beberapa pengendalian terdokumentasi; uji efektivitas sporadis</t>
  </si>
  <si>
    <t>Pengendalian utama terdokumentasi &amp; diuji secara berkala</t>
  </si>
  <si>
    <t>Pengendalian terintegrasi dengan proses bisnis; monitoring otomatis</t>
  </si>
  <si>
    <t>Pengendalian adaptif; diperbarui real-time berdasarkan data risiko</t>
  </si>
  <si>
    <t>Informasi &amp; Komunikasi</t>
  </si>
  <si>
    <t>Informasi risiko tidak dikomunikasikan; pelaporan tidak ada</t>
  </si>
  <si>
    <t>Laporan risiko dibuat tapi distribusinya tidak terstruktur</t>
  </si>
  <si>
    <t>Laporan risiko reguler ke pimpinan; format standar APIP</t>
  </si>
  <si>
    <t>Dashboard risiko real-time; integrasi dengan sistem manajemen</t>
  </si>
  <si>
    <t>Komunikasi risiko dua arah; sistem peringatan dini terimplementasi</t>
  </si>
  <si>
    <t>Pemantauan</t>
  </si>
  <si>
    <t>Tidak ada pemantauan; RTP tidak ditindaklanjuti</t>
  </si>
  <si>
    <t>Pemantauan sporadis; beberapa RTP ditindaklanjuti</t>
  </si>
  <si>
    <t>Pemantauan berkala terstruktur; semua RTP dimonitor</t>
  </si>
  <si>
    <t>Pemantauan terintegrasi dengan sistem; laporan progres otomatis</t>
  </si>
  <si>
    <t>Pemantauan berkelanjutan; pembelajaran dari risiko menjadi kebijakan</t>
  </si>
  <si>
    <t>HASIL PENILAIAN</t>
  </si>
  <si>
    <t>Rerata Skor</t>
  </si>
  <si>
    <t>Label Maturitas</t>
  </si>
  <si>
    <t>LAPORAN EKSEKUTIF — MANAJEMEN RISIKO</t>
  </si>
  <si>
    <t>INDIKATOR UTAMA</t>
  </si>
  <si>
    <t>Total Risiko Terdaftar</t>
  </si>
  <si>
    <t>Risiko Prioritas</t>
  </si>
  <si>
    <t>Risiko Ber-RTP</t>
  </si>
  <si>
    <t>Rerata Skor Residual</t>
  </si>
  <si>
    <t>Level Maturitas MR</t>
  </si>
  <si>
    <t>DISTRIBUSI RISIKO PER KATEGORI</t>
  </si>
  <si>
    <t>Total Risiko</t>
  </si>
  <si>
    <t>Prioritas</t>
  </si>
  <si>
    <t>Ber-RTP</t>
  </si>
  <si>
    <t>TOP 5 RISIKO RESIDUAL TERTINGGI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</si>
</sst>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color theme="1"/>
      <family val="2"/>
      <scheme val="minor"/>
      <sz val="11"/>
      <name val="Calibri"/>
    </font>
    <font>
      <b/>
      <color rgb="FFFFFFFF"/>
      <sz val="20"/>
    </font>
    <font>
      <b/>
      <color rgb="FFFFFFFF"/>
      <sz val="13"/>
    </font>
    <font>
      <i/>
      <color rgb="FF2B6CB0"/>
      <sz val="11"/>
    </font>
    <font>
      <b/>
      <color rgb="FFFFFFFF"/>
      <sz val="11"/>
    </font>
    <font>
      <sz val="10"/>
    </font>
    <font>
      <i/>
      <color rgb="FF744210"/>
      <sz val="10"/>
    </font>
    <font>
      <b/>
      <color rgb="FFFFFFFF"/>
      <sz val="14"/>
    </font>
    <font>
      <b/>
      <color rgb="FF1E3A5F"/>
      <sz val="10"/>
    </font>
    <font>
      <color rgb="FF1D4ED8"/>
      <sz val="10"/>
    </font>
    <font>
      <b/>
      <color rgb="FFFFFFFF"/>
      <sz val="10"/>
    </font>
    <font>
      <i/>
      <color rgb="FF276749"/>
      <sz val="10"/>
    </font>
    <font>
      <b/>
      <color rgb="FF276749"/>
      <sz val="12"/>
    </font>
    <font>
      <i/>
      <color rgb="FF553C9A"/>
      <sz val="9"/>
    </font>
    <font>
      <b/>
      <color rgb="FF276749"/>
      <sz val="9"/>
    </font>
    <font>
      <b/>
      <color rgb="FFFFFFFF"/>
      <sz val="9"/>
    </font>
    <font>
      <b/>
      <color rgb="FF1A202C"/>
      <sz val="8"/>
    </font>
    <font>
      <b/>
      <color rgb="FFFFFFFF"/>
      <sz val="8"/>
    </font>
    <font>
      <i/>
      <sz val="9"/>
    </font>
    <font>
      <i/>
      <color rgb="FF2C7A7B"/>
      <sz val="10"/>
    </font>
    <font>
      <i/>
      <color rgb="FF1A365D"/>
      <sz val="10"/>
    </font>
    <font>
      <color rgb="FF744210"/>
      <sz val="9"/>
    </font>
    <font>
      <i/>
      <color rgb="FF22543D"/>
      <sz val="10"/>
    </font>
    <font>
      <sz val="9"/>
    </font>
    <font>
      <b/>
      <color rgb="FF744210"/>
      <sz val="14"/>
    </font>
    <font>
      <b/>
      <color rgb="FF744210"/>
      <sz val="16"/>
    </font>
    <font>
      <b/>
      <sz val="13"/>
    </font>
    <font>
      <b/>
      <color rgb="FFFFFFFF"/>
      <sz val="16"/>
    </font>
    <font>
      <b/>
      <color rgb="FF2B6CB0"/>
      <sz val="12"/>
    </font>
    <font>
      <b/>
      <color rgb="FF2B6CB0"/>
      <sz val="9"/>
    </font>
    <font>
      <b/>
      <color rgb="FFC53030"/>
      <sz val="9"/>
    </font>
    <font>
      <b/>
      <color rgb="FFC05621"/>
      <sz val="9"/>
    </font>
    <font>
      <b/>
      <color rgb="FF744210"/>
      <sz val="9"/>
    </font>
    <font>
      <b/>
      <color rgb="FF2B6CB0"/>
      <sz val="22"/>
    </font>
    <font>
      <b/>
      <color rgb="FFC53030"/>
      <sz val="22"/>
    </font>
    <font>
      <b/>
      <color rgb="FF276749"/>
      <sz val="22"/>
    </font>
    <font>
      <b/>
      <color rgb="FFC05621"/>
      <sz val="22"/>
    </font>
    <font>
      <b/>
      <color rgb="FF744210"/>
      <sz val="22"/>
    </font>
    <font>
      <i/>
      <color rgb="FF718096"/>
      <sz val="9"/>
    </font>
  </fonts>
  <fills count="3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B6CB0"/>
      </patternFill>
    </fill>
    <fill>
      <patternFill patternType="solid">
        <fgColor rgb="FFEBF4FF"/>
      </patternFill>
    </fill>
    <fill>
      <patternFill patternType="solid">
        <fgColor rgb="FFF8FAFF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374151"/>
      </patternFill>
    </fill>
    <fill>
      <patternFill patternType="solid">
        <fgColor rgb="FFEFF6FF"/>
      </patternFill>
    </fill>
    <fill>
      <patternFill patternType="solid">
        <fgColor rgb="FF4A5568"/>
      </patternFill>
    </fill>
    <fill>
      <patternFill patternType="solid">
        <fgColor rgb="FF276749"/>
      </patternFill>
    </fill>
    <fill>
      <patternFill patternType="solid">
        <fgColor rgb="FFF0FFF4"/>
      </patternFill>
    </fill>
    <fill>
      <patternFill patternType="solid">
        <fgColor rgb="FFECFDF5"/>
      </patternFill>
    </fill>
    <fill>
      <patternFill patternType="solid">
        <fgColor rgb="FF744210"/>
      </patternFill>
    </fill>
    <fill>
      <patternFill patternType="solid">
        <fgColor rgb="FF553C9A"/>
      </patternFill>
    </fill>
    <fill>
      <patternFill patternType="solid">
        <fgColor rgb="FFFAF5FF"/>
      </patternFill>
    </fill>
    <fill>
      <patternFill patternType="solid">
        <fgColor rgb="FFC05621"/>
      </patternFill>
    </fill>
    <fill>
      <patternFill patternType="solid">
        <fgColor rgb="FF702459"/>
      </patternFill>
    </fill>
    <fill>
      <patternFill patternType="solid">
        <fgColor rgb="FF48BB78"/>
      </patternFill>
    </fill>
    <fill>
      <patternFill patternType="solid">
        <fgColor rgb="FFECC94B"/>
      </patternFill>
    </fill>
    <fill>
      <patternFill patternType="solid">
        <fgColor rgb="FFED8936"/>
      </patternFill>
    </fill>
    <fill>
      <patternFill patternType="solid">
        <fgColor rgb="FFC53030"/>
      </patternFill>
    </fill>
    <fill>
      <patternFill patternType="solid">
        <fgColor rgb="FFE53E3E"/>
      </patternFill>
    </fill>
    <fill>
      <patternFill patternType="solid">
        <fgColor rgb="FF2C7A7B"/>
      </patternFill>
    </fill>
    <fill>
      <patternFill patternType="solid">
        <fgColor rgb="FFE6FFFA"/>
      </patternFill>
    </fill>
    <fill>
      <patternFill patternType="solid">
        <fgColor rgb="FF1A365D"/>
      </patternFill>
    </fill>
    <fill>
      <patternFill patternType="solid">
        <fgColor rgb="FF22543D"/>
      </patternFill>
    </fill>
    <fill>
      <patternFill patternType="solid">
        <fgColor rgb="FFF7FAFC"/>
      </patternFill>
    </fill>
    <fill>
      <patternFill patternType="solid">
        <fgColor rgb="FFFEFCBF"/>
      </patternFill>
    </fill>
  </fills>
  <borders count="2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medium">
        <color rgb="FF276749"/>
      </left>
      <right style="medium">
        <color rgb="FF276749"/>
      </right>
      <top style="medium">
        <color rgb="FF276749"/>
      </top>
      <bottom style="medium">
        <color rgb="FF27674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BD38D"/>
      </left>
      <right style="thin">
        <color rgb="FFFBD38D"/>
      </right>
      <top style="thin">
        <color rgb="FFFBD38D"/>
      </top>
      <bottom style="thin">
        <color rgb="FFFBD38D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medium">
        <color rgb="FF744210"/>
      </left>
      <right style="medium">
        <color rgb="FF744210"/>
      </right>
      <top style="medium">
        <color rgb="FF744210"/>
      </top>
      <bottom style="medium">
        <color rgb="FF744210"/>
      </bottom>
      <diagonal/>
    </border>
    <border>
      <left style="thin">
        <color rgb="FFCBD5E0"/>
      </left>
      <right style="thin">
        <color rgb="FFCBD5E0"/>
      </right>
      <top style="medium">
        <color rgb="FF2B6CB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medium">
        <color rgb="FFC5303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medium">
        <color rgb="FF276749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medium">
        <color rgb="FFC05621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medium">
        <color rgb="FF74421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2B6CB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C5303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276749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C05621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74421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7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9" fillId="9" borderId="4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vertical="center" wrapText="1"/>
    </xf>
    <xf numFmtId="0" fontId="0" fillId="6" borderId="3" xfId="0" applyFill="1" applyBorder="1" applyAlignment="1">
      <alignment vertical="top" wrapText="1"/>
    </xf>
    <xf numFmtId="0" fontId="7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vertical="center" wrapText="1"/>
    </xf>
    <xf numFmtId="0" fontId="0" fillId="6" borderId="3" xfId="0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4" fillId="14" borderId="1" xfId="0" applyFont="1" applyFill="1" applyBorder="1" applyAlignment="1">
      <alignment vertical="center" wrapText="1"/>
    </xf>
    <xf numFmtId="0" fontId="2" fillId="15" borderId="0" xfId="0" applyFont="1" applyFill="1" applyAlignment="1">
      <alignment horizontal="center" vertical="center"/>
    </xf>
    <xf numFmtId="0" fontId="4" fillId="15" borderId="1" xfId="0" applyFont="1" applyFill="1" applyBorder="1" applyAlignment="1">
      <alignment vertical="center" wrapText="1"/>
    </xf>
    <xf numFmtId="0" fontId="13" fillId="16" borderId="0" xfId="0" applyFont="1" applyFill="1" applyAlignment="1">
      <alignment vertical="center" wrapText="1"/>
    </xf>
    <xf numFmtId="0" fontId="2" fillId="17" borderId="0" xfId="0" applyFont="1" applyFill="1" applyAlignment="1">
      <alignment horizontal="center" vertical="center"/>
    </xf>
    <xf numFmtId="0" fontId="4" fillId="17" borderId="1" xfId="0" applyFont="1" applyFill="1" applyBorder="1" applyAlignment="1">
      <alignment vertical="center" wrapText="1"/>
    </xf>
    <xf numFmtId="0" fontId="2" fillId="18" borderId="0" xfId="0" applyFont="1" applyFill="1" applyAlignment="1">
      <alignment horizontal="center" vertical="center"/>
    </xf>
    <xf numFmtId="0" fontId="4" fillId="18" borderId="1" xfId="0" applyFont="1" applyFill="1" applyBorder="1" applyAlignment="1">
      <alignment vertical="center" wrapText="1"/>
    </xf>
    <xf numFmtId="0" fontId="9" fillId="9" borderId="0" xfId="0" applyFont="1" applyFill="1"/>
    <xf numFmtId="0" fontId="14" fillId="12" borderId="0" xfId="0" applyFont="1" applyFill="1" applyAlignment="1">
      <alignment vertical="center" wrapText="1"/>
    </xf>
    <xf numFmtId="0" fontId="15" fillId="10" borderId="1" xfId="0" applyFont="1" applyFill="1" applyBorder="1" applyAlignment="1">
      <alignment vertical="center" wrapText="1"/>
    </xf>
    <xf numFmtId="0" fontId="15" fillId="10" borderId="0" xfId="0" applyFont="1" applyFill="1" applyAlignment="1">
      <alignment horizontal="center" vertical="center"/>
    </xf>
    <xf numFmtId="0" fontId="16" fillId="19" borderId="6" xfId="0" applyFont="1" applyFill="1" applyBorder="1" applyAlignment="1">
      <alignment horizontal="center" vertical="center" wrapText="1"/>
    </xf>
    <xf numFmtId="0" fontId="16" fillId="20" borderId="6" xfId="0" applyFont="1" applyFill="1" applyBorder="1" applyAlignment="1">
      <alignment horizontal="center" vertical="center" wrapText="1"/>
    </xf>
    <xf numFmtId="0" fontId="16" fillId="21" borderId="6" xfId="0" applyFont="1" applyFill="1" applyBorder="1" applyAlignment="1">
      <alignment horizontal="center" vertical="center" wrapText="1"/>
    </xf>
    <xf numFmtId="0" fontId="17" fillId="22" borderId="6" xfId="0" applyFont="1" applyFill="1" applyBorder="1" applyAlignment="1">
      <alignment horizontal="center" vertical="center" wrapText="1"/>
    </xf>
    <xf numFmtId="0" fontId="17" fillId="23" borderId="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19" fillId="25" borderId="0" xfId="0" applyFont="1" applyFill="1" applyAlignment="1">
      <alignment vertical="center" wrapText="1"/>
    </xf>
    <xf numFmtId="0" fontId="4" fillId="24" borderId="1" xfId="0" applyFont="1" applyFill="1" applyBorder="1" applyAlignment="1">
      <alignment vertical="center" wrapText="1"/>
    </xf>
    <xf numFmtId="0" fontId="2" fillId="26" borderId="0" xfId="0" applyFont="1" applyFill="1" applyAlignment="1">
      <alignment horizontal="center" vertical="center"/>
    </xf>
    <xf numFmtId="0" fontId="20" fillId="4" borderId="0" xfId="0" applyFont="1" applyFill="1" applyAlignment="1">
      <alignment vertical="center" wrapText="1"/>
    </xf>
    <xf numFmtId="0" fontId="4" fillId="26" borderId="1" xfId="0" applyFont="1" applyFill="1" applyBorder="1" applyAlignment="1">
      <alignment vertical="center" wrapText="1"/>
    </xf>
    <xf numFmtId="0" fontId="21" fillId="7" borderId="7" xfId="0" applyFont="1" applyFill="1" applyBorder="1" applyAlignment="1">
      <alignment vertical="top" wrapText="1"/>
    </xf>
    <xf numFmtId="0" fontId="2" fillId="27" borderId="0" xfId="0" applyFont="1" applyFill="1" applyAlignment="1">
      <alignment horizontal="center" vertical="center"/>
    </xf>
    <xf numFmtId="0" fontId="22" fillId="12" borderId="0" xfId="0" applyFont="1" applyFill="1" applyAlignment="1">
      <alignment vertical="center" wrapText="1"/>
    </xf>
    <xf numFmtId="0" fontId="4" fillId="27" borderId="1" xfId="0" applyFont="1" applyFill="1" applyBorder="1" applyAlignment="1">
      <alignment vertical="center" wrapText="1"/>
    </xf>
    <xf numFmtId="0" fontId="23" fillId="28" borderId="8" xfId="0" applyFont="1" applyFill="1" applyBorder="1" applyAlignment="1">
      <alignment vertical="top" wrapText="1"/>
    </xf>
    <xf numFmtId="0" fontId="24" fillId="29" borderId="9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vertical="top" wrapText="1"/>
    </xf>
    <xf numFmtId="0" fontId="25" fillId="9" borderId="4" xfId="0" applyFont="1" applyFill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0" fontId="27" fillId="26" borderId="0" xfId="0" applyFont="1" applyFill="1" applyAlignment="1">
      <alignment horizontal="center" vertical="center"/>
    </xf>
    <xf numFmtId="0" fontId="28" fillId="4" borderId="4" xfId="0" applyFont="1" applyFill="1" applyBorder="1" applyAlignment="1">
      <alignment horizontal="center" vertical="center"/>
    </xf>
    <xf numFmtId="0" fontId="29" fillId="28" borderId="10" xfId="0" applyFont="1" applyFill="1" applyBorder="1" applyAlignment="1">
      <alignment horizontal="center" vertical="bottom" wrapText="1"/>
    </xf>
    <xf numFmtId="0" fontId="30" fillId="28" borderId="11" xfId="0" applyFont="1" applyFill="1" applyBorder="1" applyAlignment="1">
      <alignment horizontal="center" vertical="bottom" wrapText="1"/>
    </xf>
    <xf numFmtId="0" fontId="14" fillId="28" borderId="12" xfId="0" applyFont="1" applyFill="1" applyBorder="1" applyAlignment="1">
      <alignment horizontal="center" vertical="bottom" wrapText="1"/>
    </xf>
    <xf numFmtId="0" fontId="31" fillId="28" borderId="13" xfId="0" applyFont="1" applyFill="1" applyBorder="1" applyAlignment="1">
      <alignment horizontal="center" vertical="bottom" wrapText="1"/>
    </xf>
    <xf numFmtId="0" fontId="32" fillId="28" borderId="14" xfId="0" applyFont="1" applyFill="1" applyBorder="1" applyAlignment="1">
      <alignment horizontal="center" vertical="bottom" wrapText="1"/>
    </xf>
    <xf numFmtId="0" fontId="33" fillId="28" borderId="15" xfId="0" applyFont="1" applyFill="1" applyBorder="1" applyAlignment="1">
      <alignment horizontal="center" vertical="center"/>
    </xf>
    <xf numFmtId="0" fontId="34" fillId="28" borderId="16" xfId="0" applyFont="1" applyFill="1" applyBorder="1" applyAlignment="1">
      <alignment horizontal="center" vertical="center"/>
    </xf>
    <xf numFmtId="0" fontId="35" fillId="28" borderId="17" xfId="0" applyFont="1" applyFill="1" applyBorder="1" applyAlignment="1">
      <alignment horizontal="center" vertical="center"/>
    </xf>
    <xf numFmtId="0" fontId="36" fillId="28" borderId="18" xfId="0" applyFont="1" applyFill="1" applyBorder="1" applyAlignment="1">
      <alignment horizontal="center" vertical="center"/>
    </xf>
    <xf numFmtId="0" fontId="37" fillId="28" borderId="19" xfId="0" applyFont="1" applyFill="1" applyBorder="1" applyAlignment="1">
      <alignment horizontal="center" vertical="center"/>
    </xf>
    <xf numFmtId="0" fontId="38" fillId="0" borderId="0" xfId="0" applyFont="1" applyAlignment="1">
      <alignment horizontal="right"/>
    </xf>
  </cellXfs>
  <cellStyles count="1">
    <cellStyle name="Normal" xfId="0" builtinId="0"/>
  </cellStyles>
  <dxfs count="16">
    <dxf>
      <font>
        <color rgb="FFFFFFFF"/>
      </font>
      <fill>
        <patternFill patternType="solid">
          <bgColor rgb="FFC53030"/>
        </patternFill>
      </fill>
    </dxf>
    <dxf>
      <font>
        <color rgb="FFFFFFFF"/>
      </font>
      <fill>
        <patternFill patternType="solid">
          <bgColor rgb="FFED8936"/>
        </patternFill>
      </fill>
    </dxf>
    <dxf>
      <fill>
        <patternFill patternType="solid">
          <bgColor rgb="FFECC94B"/>
        </patternFill>
      </fill>
    </dxf>
    <dxf>
      <fill>
        <patternFill patternType="solid">
          <bgColor rgb="FF68D391"/>
        </patternFill>
      </fill>
    </dxf>
    <dxf>
      <fill>
        <patternFill patternType="solid">
          <bgColor rgb="FF48BB78"/>
        </patternFill>
      </fill>
    </dxf>
    <dxf>
      <font>
        <b/>
        <color rgb="FFC53030"/>
      </font>
      <fill>
        <patternFill patternType="solid">
          <bgColor rgb="FFFEB2B2"/>
        </patternFill>
      </fill>
    </dxf>
    <dxf>
      <font>
        <color rgb="FFFFFFFF"/>
      </font>
      <fill>
        <patternFill patternType="solid">
          <bgColor rgb="FFC53030"/>
        </patternFill>
      </fill>
    </dxf>
    <dxf>
      <fill>
        <patternFill patternType="solid">
          <bgColor rgb="FFFC8181"/>
        </patternFill>
      </fill>
    </dxf>
    <dxf>
      <fill>
        <patternFill patternType="solid">
          <bgColor rgb="FFFBD38D"/>
        </patternFill>
      </fill>
    </dxf>
    <dxf>
      <fill>
        <patternFill patternType="solid">
          <bgColor rgb="FFFAF089"/>
        </patternFill>
      </fill>
    </dxf>
    <dxf>
      <fill>
        <patternFill patternType="solid">
          <bgColor rgb="FF9AE6B4"/>
        </patternFill>
      </fill>
    </dxf>
    <dxf>
      <font>
        <color rgb="FFFFFFFF"/>
      </font>
      <fill>
        <patternFill patternType="solid">
          <bgColor rgb="FFC53030"/>
        </patternFill>
      </fill>
    </dxf>
    <dxf>
      <fill>
        <patternFill patternType="solid">
          <bgColor rgb="FFFC8181"/>
        </patternFill>
      </fill>
    </dxf>
    <dxf>
      <fill>
        <patternFill patternType="solid">
          <bgColor rgb="FFFBD38D"/>
        </patternFill>
      </fill>
    </dxf>
    <dxf>
      <fill>
        <patternFill patternType="solid">
          <bgColor rgb="FFFAF089"/>
        </patternFill>
      </fill>
    </dxf>
    <dxf>
      <fill>
        <patternFill patternType="solid">
          <bgColor rgb="FF9AE6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 showGridLines="0"/>
  </sheetViews>
  <sheetFormatPr defaultRowHeight="15" outlineLevelRow="0" outlineLevelCol="0" x14ac:dyDescent="55"/>
  <cols>
    <col min="1" max="1" width="4" customWidth="1"/>
    <col min="2" max="3" width="40" customWidth="1"/>
    <col min="4" max="4" width="20" customWidth="1"/>
  </cols>
  <sheetData>
    <row r="2" ht="40" customHeight="1" spans="2:4" x14ac:dyDescent="0.25">
      <c r="B2" s="1" t="s">
        <v>0</v>
      </c>
      <c r="C2" s="1"/>
      <c r="D2" s="1"/>
    </row>
    <row r="3" ht="28" customHeight="1" spans="2:4" x14ac:dyDescent="0.25">
      <c r="B3" s="2" t="s">
        <v>1</v>
      </c>
      <c r="C3" s="2"/>
      <c r="D3" s="2"/>
    </row>
    <row r="4" ht="24" customHeight="1" spans="2:4" x14ac:dyDescent="0.25">
      <c r="B4" s="3" t="s">
        <v>2</v>
      </c>
      <c r="C4" s="3"/>
      <c r="D4" s="3"/>
    </row>
    <row r="6" ht="20" customHeight="1" spans="2:5" x14ac:dyDescent="0.25">
      <c r="B6" s="4" t="s">
        <v>3</v>
      </c>
      <c r="C6" s="4" t="s">
        <v>4</v>
      </c>
      <c r="D6" s="4" t="s">
        <v>5</v>
      </c>
      <c r="E6" s="4" t="s">
        <v>6</v>
      </c>
    </row>
    <row r="7" ht="22" customHeight="1" spans="2:5" x14ac:dyDescent="0.25">
      <c r="B7" s="5" t="s">
        <v>7</v>
      </c>
      <c r="C7" s="5" t="s">
        <v>8</v>
      </c>
      <c r="D7" s="5" t="s">
        <v>9</v>
      </c>
      <c r="E7" s="5" t="s">
        <v>10</v>
      </c>
    </row>
    <row r="8" ht="22" customHeight="1" spans="2:5" x14ac:dyDescent="0.25">
      <c r="B8" s="6" t="s">
        <v>11</v>
      </c>
      <c r="C8" s="6" t="s">
        <v>12</v>
      </c>
      <c r="D8" s="6" t="s">
        <v>13</v>
      </c>
      <c r="E8" s="6" t="s">
        <v>14</v>
      </c>
    </row>
    <row r="9" ht="22" customHeight="1" spans="2:5" x14ac:dyDescent="0.25">
      <c r="B9" s="5" t="s">
        <v>15</v>
      </c>
      <c r="C9" s="5" t="s">
        <v>16</v>
      </c>
      <c r="D9" s="5" t="s">
        <v>17</v>
      </c>
      <c r="E9" s="5" t="s">
        <v>18</v>
      </c>
    </row>
    <row r="10" ht="22" customHeight="1" spans="2:5" x14ac:dyDescent="0.25">
      <c r="B10" s="6" t="s">
        <v>19</v>
      </c>
      <c r="C10" s="6" t="s">
        <v>20</v>
      </c>
      <c r="D10" s="6" t="s">
        <v>21</v>
      </c>
      <c r="E10" s="6" t="s">
        <v>14</v>
      </c>
    </row>
    <row r="11" ht="22" customHeight="1" spans="2:5" x14ac:dyDescent="0.25">
      <c r="B11" s="5" t="s">
        <v>22</v>
      </c>
      <c r="C11" s="5" t="s">
        <v>23</v>
      </c>
      <c r="D11" s="5" t="s">
        <v>24</v>
      </c>
      <c r="E11" s="5" t="s">
        <v>14</v>
      </c>
    </row>
    <row r="12" ht="22" customHeight="1" spans="2:5" x14ac:dyDescent="0.25">
      <c r="B12" s="6" t="s">
        <v>25</v>
      </c>
      <c r="C12" s="6" t="s">
        <v>26</v>
      </c>
      <c r="D12" s="6" t="s">
        <v>27</v>
      </c>
      <c r="E12" s="6" t="s">
        <v>14</v>
      </c>
    </row>
    <row r="13" ht="22" customHeight="1" spans="2:5" x14ac:dyDescent="0.25">
      <c r="B13" s="5" t="s">
        <v>28</v>
      </c>
      <c r="C13" s="5" t="s">
        <v>29</v>
      </c>
      <c r="D13" s="5" t="s">
        <v>30</v>
      </c>
      <c r="E13" s="5" t="s">
        <v>18</v>
      </c>
    </row>
    <row r="14" ht="22" customHeight="1" spans="2:5" x14ac:dyDescent="0.25">
      <c r="B14" s="6" t="s">
        <v>31</v>
      </c>
      <c r="C14" s="6" t="s">
        <v>32</v>
      </c>
      <c r="D14" s="6" t="s">
        <v>33</v>
      </c>
      <c r="E14" s="6" t="s">
        <v>34</v>
      </c>
    </row>
    <row r="15" ht="22" customHeight="1" spans="2:5" x14ac:dyDescent="0.25">
      <c r="B15" s="5" t="s">
        <v>35</v>
      </c>
      <c r="C15" s="5" t="s">
        <v>36</v>
      </c>
      <c r="D15" s="5" t="s">
        <v>37</v>
      </c>
      <c r="E15" s="5" t="s">
        <v>34</v>
      </c>
    </row>
    <row r="16" ht="22" customHeight="1" spans="2:5" x14ac:dyDescent="0.25">
      <c r="B16" s="6" t="s">
        <v>38</v>
      </c>
      <c r="C16" s="6" t="s">
        <v>39</v>
      </c>
      <c r="D16" s="6" t="s">
        <v>40</v>
      </c>
      <c r="E16" s="6" t="s">
        <v>14</v>
      </c>
    </row>
    <row r="17" ht="22" customHeight="1" spans="2:5" x14ac:dyDescent="0.25">
      <c r="B17" s="5" t="s">
        <v>41</v>
      </c>
      <c r="C17" s="5" t="s">
        <v>42</v>
      </c>
      <c r="D17" s="5" t="s">
        <v>43</v>
      </c>
      <c r="E17" s="5" t="s">
        <v>44</v>
      </c>
    </row>
    <row r="18" ht="22" customHeight="1" spans="2:5" x14ac:dyDescent="0.25">
      <c r="B18" s="6" t="s">
        <v>45</v>
      </c>
      <c r="C18" s="6" t="s">
        <v>46</v>
      </c>
      <c r="D18" s="6" t="s">
        <v>47</v>
      </c>
      <c r="E18" s="6" t="s">
        <v>48</v>
      </c>
    </row>
    <row r="21" ht="50" customHeight="1" spans="2:4" x14ac:dyDescent="0.25">
      <c r="B21" s="7" t="s">
        <v>49</v>
      </c>
      <c r="C21" s="7"/>
      <c r="D21" s="7"/>
    </row>
  </sheetData>
  <mergeCells count="4">
    <mergeCell ref="B2:D2"/>
    <mergeCell ref="B3:D3"/>
    <mergeCell ref="B4:D4"/>
    <mergeCell ref="B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4" max="4" width="6" customWidth="1"/>
    <col min="5" max="5" width="20" customWidth="1"/>
    <col min="6" max="6" width="8" customWidth="1"/>
    <col min="8" max="8" width="10" customWidth="1"/>
    <col min="9" max="9" width="24" customWidth="1"/>
    <col min="11" max="11" width="12" customWidth="1"/>
    <col min="12" max="12" width="36" customWidth="1"/>
    <col min="13" max="13" width="46" customWidth="1"/>
    <col min="14" max="14" width="40" customWidth="1"/>
    <col min="16" max="16" width="6" customWidth="1"/>
    <col min="17" max="17" width="56" customWidth="1"/>
    <col min="19" max="19" width="10" customWidth="1"/>
    <col min="20" max="20" width="8" customWidth="1"/>
    <col min="21" max="21" width="16" customWidth="1"/>
  </cols>
  <sheetData>
    <row r="1" spans="1:21" x14ac:dyDescent="0.25">
      <c r="A1" s="8" t="s">
        <v>50</v>
      </c>
      <c r="B1" s="8" t="s">
        <v>51</v>
      </c>
      <c r="D1" s="8" t="s">
        <v>52</v>
      </c>
      <c r="E1" s="8" t="s">
        <v>53</v>
      </c>
      <c r="F1" s="8" t="s">
        <v>54</v>
      </c>
      <c r="H1" s="8" t="s">
        <v>55</v>
      </c>
      <c r="I1" s="8" t="s">
        <v>56</v>
      </c>
      <c r="K1" s="8" t="s">
        <v>57</v>
      </c>
      <c r="L1" s="8" t="s">
        <v>58</v>
      </c>
      <c r="M1" s="8" t="s">
        <v>59</v>
      </c>
      <c r="N1" s="8" t="s">
        <v>60</v>
      </c>
      <c r="P1" s="8" t="s">
        <v>52</v>
      </c>
      <c r="Q1" s="8" t="s">
        <v>61</v>
      </c>
      <c r="S1" s="8" t="s">
        <v>62</v>
      </c>
      <c r="T1" s="8" t="s">
        <v>63</v>
      </c>
      <c r="U1" s="8" t="s">
        <v>64</v>
      </c>
    </row>
    <row r="2" spans="1:21" x14ac:dyDescent="0.25">
      <c r="A2" s="9" t="s">
        <v>65</v>
      </c>
      <c r="B2" s="9" t="s">
        <v>66</v>
      </c>
      <c r="D2" s="9" t="s">
        <v>67</v>
      </c>
      <c r="E2" s="9" t="s">
        <v>68</v>
      </c>
      <c r="F2" s="9" t="s">
        <v>69</v>
      </c>
      <c r="H2" s="9" t="s">
        <v>70</v>
      </c>
      <c r="I2" s="9" t="s">
        <v>71</v>
      </c>
      <c r="K2" s="9" t="s">
        <v>72</v>
      </c>
      <c r="L2" s="9" t="s">
        <v>73</v>
      </c>
      <c r="M2" s="9" t="s">
        <v>74</v>
      </c>
      <c r="N2" s="9" t="s">
        <v>75</v>
      </c>
      <c r="P2" s="9">
        <v>1</v>
      </c>
      <c r="Q2" s="9" t="s">
        <v>76</v>
      </c>
      <c r="S2" s="9" t="s">
        <v>77</v>
      </c>
      <c r="T2" s="9">
        <v>1</v>
      </c>
      <c r="U2" s="9" t="s">
        <v>78</v>
      </c>
    </row>
    <row r="3" spans="1:21" x14ac:dyDescent="0.25">
      <c r="A3" s="9" t="s">
        <v>79</v>
      </c>
      <c r="B3" s="9" t="s">
        <v>80</v>
      </c>
      <c r="D3" s="9" t="s">
        <v>81</v>
      </c>
      <c r="E3" s="9" t="s">
        <v>82</v>
      </c>
      <c r="F3" s="9" t="s">
        <v>83</v>
      </c>
      <c r="H3" s="9" t="s">
        <v>84</v>
      </c>
      <c r="I3" s="9" t="s">
        <v>85</v>
      </c>
      <c r="K3" s="9" t="s">
        <v>86</v>
      </c>
      <c r="L3" s="9" t="s">
        <v>73</v>
      </c>
      <c r="M3" s="9" t="s">
        <v>87</v>
      </c>
      <c r="N3" s="9" t="s">
        <v>88</v>
      </c>
      <c r="P3" s="9">
        <v>2</v>
      </c>
      <c r="Q3" s="9" t="s">
        <v>89</v>
      </c>
      <c r="S3" s="9" t="s">
        <v>90</v>
      </c>
      <c r="T3" s="9">
        <v>2</v>
      </c>
      <c r="U3" s="9" t="s">
        <v>91</v>
      </c>
    </row>
    <row r="4" spans="1:21" x14ac:dyDescent="0.25">
      <c r="A4" s="9" t="s">
        <v>92</v>
      </c>
      <c r="B4" s="9" t="s">
        <v>93</v>
      </c>
      <c r="D4" s="9" t="s">
        <v>94</v>
      </c>
      <c r="E4" s="9" t="s">
        <v>95</v>
      </c>
      <c r="F4" s="9" t="s">
        <v>96</v>
      </c>
      <c r="H4" s="9" t="s">
        <v>97</v>
      </c>
      <c r="I4" s="9" t="s">
        <v>98</v>
      </c>
      <c r="K4" s="9" t="s">
        <v>99</v>
      </c>
      <c r="L4" s="9" t="s">
        <v>73</v>
      </c>
      <c r="M4" s="9" t="s">
        <v>100</v>
      </c>
      <c r="N4" s="9" t="s">
        <v>101</v>
      </c>
      <c r="P4" s="9">
        <v>3</v>
      </c>
      <c r="Q4" s="9" t="s">
        <v>102</v>
      </c>
      <c r="S4" s="9" t="s">
        <v>103</v>
      </c>
      <c r="T4" s="9">
        <v>3</v>
      </c>
      <c r="U4" s="9" t="s">
        <v>104</v>
      </c>
    </row>
    <row r="5" spans="1:21" x14ac:dyDescent="0.25">
      <c r="A5" s="9" t="s">
        <v>105</v>
      </c>
      <c r="B5" s="9" t="s">
        <v>106</v>
      </c>
      <c r="D5" s="9" t="s">
        <v>107</v>
      </c>
      <c r="E5" s="9" t="s">
        <v>108</v>
      </c>
      <c r="F5" s="9" t="s">
        <v>109</v>
      </c>
      <c r="H5" s="9" t="s">
        <v>110</v>
      </c>
      <c r="I5" s="9" t="s">
        <v>111</v>
      </c>
      <c r="K5" s="9" t="s">
        <v>112</v>
      </c>
      <c r="L5" s="9" t="s">
        <v>73</v>
      </c>
      <c r="M5" s="9" t="s">
        <v>113</v>
      </c>
      <c r="N5" s="9" t="s">
        <v>114</v>
      </c>
      <c r="P5" s="9">
        <v>4</v>
      </c>
      <c r="Q5" s="9" t="s">
        <v>115</v>
      </c>
      <c r="S5" s="9" t="s">
        <v>116</v>
      </c>
      <c r="T5" s="9">
        <v>4</v>
      </c>
      <c r="U5" s="9" t="s">
        <v>117</v>
      </c>
    </row>
    <row r="6" spans="1:21" x14ac:dyDescent="0.25">
      <c r="A6" s="9" t="s">
        <v>118</v>
      </c>
      <c r="B6" s="9" t="s">
        <v>119</v>
      </c>
      <c r="D6" s="9" t="s">
        <v>120</v>
      </c>
      <c r="E6" s="9" t="s">
        <v>121</v>
      </c>
      <c r="F6" s="9" t="s">
        <v>122</v>
      </c>
      <c r="H6" s="9" t="s">
        <v>123</v>
      </c>
      <c r="I6" s="9" t="s">
        <v>124</v>
      </c>
      <c r="K6" s="9" t="s">
        <v>125</v>
      </c>
      <c r="L6" s="9" t="s">
        <v>126</v>
      </c>
      <c r="M6" s="9" t="s">
        <v>127</v>
      </c>
      <c r="N6" s="9" t="s">
        <v>128</v>
      </c>
      <c r="P6" s="9">
        <v>5</v>
      </c>
      <c r="Q6" s="9" t="s">
        <v>129</v>
      </c>
      <c r="S6" s="9" t="s">
        <v>130</v>
      </c>
      <c r="T6" s="9">
        <v>5</v>
      </c>
      <c r="U6" s="9" t="s">
        <v>131</v>
      </c>
    </row>
    <row r="7" spans="1:17" x14ac:dyDescent="0.25">
      <c r="A7" s="9" t="s">
        <v>132</v>
      </c>
      <c r="B7" s="9" t="s">
        <v>133</v>
      </c>
      <c r="D7" s="9" t="s">
        <v>134</v>
      </c>
      <c r="E7" s="9" t="s">
        <v>135</v>
      </c>
      <c r="F7" s="9" t="s">
        <v>136</v>
      </c>
      <c r="H7" s="9" t="s">
        <v>137</v>
      </c>
      <c r="I7" s="9" t="s">
        <v>138</v>
      </c>
      <c r="K7" s="9" t="s">
        <v>139</v>
      </c>
      <c r="L7" s="9" t="s">
        <v>126</v>
      </c>
      <c r="M7" s="9" t="s">
        <v>140</v>
      </c>
      <c r="N7" s="9" t="s">
        <v>141</v>
      </c>
      <c r="P7" s="9">
        <v>6</v>
      </c>
      <c r="Q7" s="9" t="s">
        <v>142</v>
      </c>
    </row>
    <row r="8" spans="1:17" x14ac:dyDescent="0.25">
      <c r="A8" s="9" t="s">
        <v>143</v>
      </c>
      <c r="B8" s="9" t="s">
        <v>144</v>
      </c>
      <c r="D8" s="9" t="s">
        <v>145</v>
      </c>
      <c r="E8" s="9" t="s">
        <v>146</v>
      </c>
      <c r="F8" s="9" t="s">
        <v>147</v>
      </c>
      <c r="K8" s="9" t="s">
        <v>148</v>
      </c>
      <c r="L8" s="9" t="s">
        <v>149</v>
      </c>
      <c r="M8" s="9" t="s">
        <v>150</v>
      </c>
      <c r="N8" s="9" t="s">
        <v>151</v>
      </c>
      <c r="P8" s="9">
        <v>7</v>
      </c>
      <c r="Q8" s="9" t="s">
        <v>152</v>
      </c>
    </row>
    <row r="9" spans="1:17" x14ac:dyDescent="0.25">
      <c r="A9" s="9" t="s">
        <v>153</v>
      </c>
      <c r="B9" s="9" t="s">
        <v>154</v>
      </c>
      <c r="K9" s="9" t="s">
        <v>155</v>
      </c>
      <c r="L9" s="9" t="s">
        <v>149</v>
      </c>
      <c r="M9" s="9" t="s">
        <v>156</v>
      </c>
      <c r="N9" s="9" t="s">
        <v>157</v>
      </c>
      <c r="P9" s="9">
        <v>8</v>
      </c>
      <c r="Q9" s="9" t="s">
        <v>158</v>
      </c>
    </row>
    <row r="10" spans="1:17" x14ac:dyDescent="0.25">
      <c r="A10" s="9" t="s">
        <v>159</v>
      </c>
      <c r="B10" s="9" t="s">
        <v>160</v>
      </c>
      <c r="K10" s="9" t="s">
        <v>161</v>
      </c>
      <c r="L10" s="9" t="s">
        <v>149</v>
      </c>
      <c r="M10" s="9" t="s">
        <v>162</v>
      </c>
      <c r="N10" s="9" t="s">
        <v>163</v>
      </c>
      <c r="P10" s="9">
        <v>9</v>
      </c>
      <c r="Q10" s="9" t="s">
        <v>164</v>
      </c>
    </row>
    <row r="11" spans="1:17" x14ac:dyDescent="0.25">
      <c r="A11" s="9" t="s">
        <v>165</v>
      </c>
      <c r="B11" s="9" t="s">
        <v>166</v>
      </c>
      <c r="K11" s="9" t="s">
        <v>167</v>
      </c>
      <c r="L11" s="9" t="s">
        <v>149</v>
      </c>
      <c r="M11" s="9" t="s">
        <v>168</v>
      </c>
      <c r="N11" s="9" t="s">
        <v>169</v>
      </c>
      <c r="P11" s="9">
        <v>10</v>
      </c>
      <c r="Q11" s="9" t="s">
        <v>170</v>
      </c>
    </row>
    <row r="12" spans="1:17" x14ac:dyDescent="0.25">
      <c r="A12" s="9" t="s">
        <v>171</v>
      </c>
      <c r="B12" s="9" t="s">
        <v>172</v>
      </c>
      <c r="K12" s="9" t="s">
        <v>173</v>
      </c>
      <c r="L12" s="9" t="s">
        <v>174</v>
      </c>
      <c r="M12" s="9" t="s">
        <v>175</v>
      </c>
      <c r="N12" s="9" t="s">
        <v>176</v>
      </c>
      <c r="P12" s="9">
        <v>11</v>
      </c>
      <c r="Q12" s="9" t="s">
        <v>177</v>
      </c>
    </row>
    <row r="13" spans="1:17" x14ac:dyDescent="0.25">
      <c r="A13" s="9" t="s">
        <v>178</v>
      </c>
      <c r="B13" s="9" t="s">
        <v>179</v>
      </c>
      <c r="K13" s="9" t="s">
        <v>180</v>
      </c>
      <c r="L13" s="9" t="s">
        <v>174</v>
      </c>
      <c r="M13" s="9" t="s">
        <v>181</v>
      </c>
      <c r="N13" s="9" t="s">
        <v>182</v>
      </c>
      <c r="P13" s="9">
        <v>12</v>
      </c>
      <c r="Q13" s="9" t="s">
        <v>183</v>
      </c>
    </row>
    <row r="14" spans="11:17" x14ac:dyDescent="0.25">
      <c r="K14" s="9" t="s">
        <v>184</v>
      </c>
      <c r="L14" s="9" t="s">
        <v>185</v>
      </c>
      <c r="M14" s="9" t="s">
        <v>186</v>
      </c>
      <c r="N14" s="9" t="s">
        <v>187</v>
      </c>
      <c r="P14" s="9">
        <v>13</v>
      </c>
      <c r="Q14" s="9" t="s">
        <v>188</v>
      </c>
    </row>
    <row r="15" spans="11:17" x14ac:dyDescent="0.25">
      <c r="K15" s="9" t="s">
        <v>189</v>
      </c>
      <c r="L15" s="9" t="s">
        <v>185</v>
      </c>
      <c r="M15" s="9" t="s">
        <v>190</v>
      </c>
      <c r="N15" s="9" t="s">
        <v>191</v>
      </c>
      <c r="P15" s="9">
        <v>14</v>
      </c>
      <c r="Q15" s="9" t="s">
        <v>192</v>
      </c>
    </row>
    <row r="16" spans="11:17" x14ac:dyDescent="0.25">
      <c r="K16" s="9" t="s">
        <v>193</v>
      </c>
      <c r="L16" s="9" t="s">
        <v>185</v>
      </c>
      <c r="M16" s="9" t="s">
        <v>194</v>
      </c>
      <c r="N16" s="9" t="s">
        <v>195</v>
      </c>
      <c r="P16" s="9">
        <v>15</v>
      </c>
      <c r="Q16" s="9" t="s">
        <v>196</v>
      </c>
    </row>
    <row r="17" spans="11:17" x14ac:dyDescent="0.25">
      <c r="K17" s="9" t="s">
        <v>197</v>
      </c>
      <c r="L17" s="9" t="s">
        <v>185</v>
      </c>
      <c r="M17" s="9" t="s">
        <v>198</v>
      </c>
      <c r="N17" s="9" t="s">
        <v>199</v>
      </c>
      <c r="P17" s="9">
        <v>16</v>
      </c>
      <c r="Q17" s="9" t="s">
        <v>200</v>
      </c>
    </row>
    <row r="18" spans="11:17" x14ac:dyDescent="0.25">
      <c r="K18" s="9" t="s">
        <v>201</v>
      </c>
      <c r="L18" s="9" t="s">
        <v>202</v>
      </c>
      <c r="M18" s="9" t="s">
        <v>203</v>
      </c>
      <c r="N18" s="9" t="s">
        <v>204</v>
      </c>
      <c r="P18" s="9">
        <v>17</v>
      </c>
      <c r="Q18" s="9" t="s">
        <v>205</v>
      </c>
    </row>
    <row r="19" spans="11:17" x14ac:dyDescent="0.25">
      <c r="K19" s="9" t="s">
        <v>206</v>
      </c>
      <c r="L19" s="9" t="s">
        <v>202</v>
      </c>
      <c r="M19" s="9" t="s">
        <v>207</v>
      </c>
      <c r="N19" s="9" t="s">
        <v>208</v>
      </c>
      <c r="P19" s="9">
        <v>18</v>
      </c>
      <c r="Q19" s="9" t="s">
        <v>209</v>
      </c>
    </row>
    <row r="20" spans="11:17" x14ac:dyDescent="0.25">
      <c r="K20" s="9" t="s">
        <v>210</v>
      </c>
      <c r="L20" s="9" t="s">
        <v>202</v>
      </c>
      <c r="M20" s="9" t="s">
        <v>211</v>
      </c>
      <c r="N20" s="9" t="s">
        <v>212</v>
      </c>
      <c r="P20" s="9">
        <v>19</v>
      </c>
      <c r="Q20" s="9" t="s">
        <v>213</v>
      </c>
    </row>
    <row r="21" spans="11:17" x14ac:dyDescent="0.25">
      <c r="K21" s="9" t="s">
        <v>214</v>
      </c>
      <c r="L21" s="9" t="s">
        <v>215</v>
      </c>
      <c r="M21" s="9" t="s">
        <v>216</v>
      </c>
      <c r="N21" s="9" t="s">
        <v>217</v>
      </c>
      <c r="P21" s="9">
        <v>20</v>
      </c>
      <c r="Q21" s="9" t="s">
        <v>218</v>
      </c>
    </row>
    <row r="22" spans="11:17" x14ac:dyDescent="0.25">
      <c r="K22" s="9" t="s">
        <v>219</v>
      </c>
      <c r="L22" s="9" t="s">
        <v>215</v>
      </c>
      <c r="M22" s="9" t="s">
        <v>220</v>
      </c>
      <c r="N22" s="9" t="s">
        <v>221</v>
      </c>
      <c r="P22" s="9">
        <v>21</v>
      </c>
      <c r="Q22" s="9" t="s">
        <v>222</v>
      </c>
    </row>
    <row r="23" spans="11:17" x14ac:dyDescent="0.25">
      <c r="K23" s="9" t="s">
        <v>223</v>
      </c>
      <c r="L23" s="9" t="s">
        <v>215</v>
      </c>
      <c r="M23" s="9" t="s">
        <v>224</v>
      </c>
      <c r="N23" s="9" t="s">
        <v>225</v>
      </c>
      <c r="P23" s="9">
        <v>22</v>
      </c>
      <c r="Q23" s="9" t="s">
        <v>226</v>
      </c>
    </row>
    <row r="24" spans="11:14" x14ac:dyDescent="0.25">
      <c r="K24" s="9" t="s">
        <v>227</v>
      </c>
      <c r="L24" s="9" t="s">
        <v>228</v>
      </c>
      <c r="M24" s="9" t="s">
        <v>229</v>
      </c>
      <c r="N24" s="9" t="s">
        <v>230</v>
      </c>
    </row>
    <row r="25" spans="11:14" x14ac:dyDescent="0.25">
      <c r="K25" s="9" t="s">
        <v>231</v>
      </c>
      <c r="L25" s="9" t="s">
        <v>228</v>
      </c>
      <c r="M25" s="9" t="s">
        <v>232</v>
      </c>
      <c r="N25" s="9" t="s">
        <v>233</v>
      </c>
    </row>
    <row r="26" spans="11:14" x14ac:dyDescent="0.25">
      <c r="K26" s="9" t="s">
        <v>234</v>
      </c>
      <c r="L26" s="9" t="s">
        <v>228</v>
      </c>
      <c r="M26" s="9" t="s">
        <v>235</v>
      </c>
      <c r="N26" s="9" t="s">
        <v>236</v>
      </c>
    </row>
    <row r="27" spans="11:14" x14ac:dyDescent="0.25">
      <c r="K27" s="9" t="s">
        <v>237</v>
      </c>
      <c r="L27" s="9" t="s">
        <v>228</v>
      </c>
      <c r="M27" s="9" t="s">
        <v>238</v>
      </c>
      <c r="N27" s="9" t="s">
        <v>239</v>
      </c>
    </row>
    <row r="28" spans="11:14" x14ac:dyDescent="0.25">
      <c r="K28" s="9" t="s">
        <v>240</v>
      </c>
      <c r="L28" s="9" t="s">
        <v>241</v>
      </c>
      <c r="M28" s="9" t="s">
        <v>242</v>
      </c>
      <c r="N28" s="9" t="s">
        <v>243</v>
      </c>
    </row>
    <row r="29" spans="11:14" x14ac:dyDescent="0.25">
      <c r="K29" s="9" t="s">
        <v>244</v>
      </c>
      <c r="L29" s="9" t="s">
        <v>241</v>
      </c>
      <c r="M29" s="9" t="s">
        <v>245</v>
      </c>
      <c r="N29" s="9" t="s">
        <v>246</v>
      </c>
    </row>
    <row r="30" spans="11:14" x14ac:dyDescent="0.25">
      <c r="K30" s="9" t="s">
        <v>247</v>
      </c>
      <c r="L30" s="9" t="s">
        <v>241</v>
      </c>
      <c r="M30" s="9" t="s">
        <v>248</v>
      </c>
      <c r="N30" s="9" t="s">
        <v>249</v>
      </c>
    </row>
    <row r="31" spans="11:14" x14ac:dyDescent="0.25">
      <c r="K31" s="9" t="s">
        <v>250</v>
      </c>
      <c r="L31" s="9" t="s">
        <v>251</v>
      </c>
      <c r="M31" s="9" t="s">
        <v>252</v>
      </c>
      <c r="N31" s="9" t="s">
        <v>253</v>
      </c>
    </row>
    <row r="32" spans="11:14" x14ac:dyDescent="0.25">
      <c r="K32" s="9" t="s">
        <v>254</v>
      </c>
      <c r="L32" s="9" t="s">
        <v>251</v>
      </c>
      <c r="M32" s="9" t="s">
        <v>255</v>
      </c>
      <c r="N32" s="9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6" customWidth="1"/>
    <col min="3" max="3" width="40" customWidth="1"/>
    <col min="4" max="5" width="20" customWidth="1"/>
  </cols>
  <sheetData>
    <row r="1" ht="32" customHeight="1" spans="2:5" x14ac:dyDescent="0.25">
      <c r="B1" s="10" t="s">
        <v>257</v>
      </c>
      <c r="C1" s="10"/>
      <c r="D1" s="10"/>
      <c r="E1" s="10"/>
    </row>
    <row r="3" spans="2:5" x14ac:dyDescent="0.25">
      <c r="B3" s="11" t="s">
        <v>258</v>
      </c>
      <c r="C3" s="11"/>
      <c r="D3" s="11"/>
      <c r="E3" s="11"/>
    </row>
    <row r="4" ht="22" customHeight="1" spans="2:5" x14ac:dyDescent="0.25">
      <c r="B4" s="12" t="s">
        <v>259</v>
      </c>
      <c r="C4" s="9"/>
      <c r="D4" s="9"/>
      <c r="E4" s="9"/>
    </row>
    <row r="5" ht="22" customHeight="1" spans="2:5" x14ac:dyDescent="0.25">
      <c r="B5" s="12" t="s">
        <v>50</v>
      </c>
      <c r="C5" s="13">
        <f>IFERROR(XLOOKUP(C4,MASTER!$B:$B,MASTER!$A:$A),"")</f>
      </c>
      <c r="D5" s="13"/>
      <c r="E5" s="13"/>
    </row>
    <row r="6" ht="22" customHeight="1" spans="2:5" x14ac:dyDescent="0.25">
      <c r="B6" s="12" t="s">
        <v>260</v>
      </c>
      <c r="C6" s="9"/>
      <c r="D6" s="9"/>
      <c r="E6" s="9"/>
    </row>
    <row r="7" ht="22" customHeight="1" spans="2:5" x14ac:dyDescent="0.25">
      <c r="B7" s="12" t="s">
        <v>261</v>
      </c>
      <c r="C7" s="9"/>
      <c r="D7" s="9"/>
      <c r="E7" s="9"/>
    </row>
    <row r="8" ht="22" customHeight="1" spans="2:5" x14ac:dyDescent="0.25">
      <c r="B8" s="12" t="s">
        <v>262</v>
      </c>
      <c r="C8" s="9"/>
      <c r="D8" s="9"/>
      <c r="E8" s="9"/>
    </row>
    <row r="10" spans="2:5" x14ac:dyDescent="0.25">
      <c r="B10" s="11" t="s">
        <v>263</v>
      </c>
      <c r="C10" s="11"/>
      <c r="D10" s="11"/>
      <c r="E10" s="11"/>
    </row>
    <row r="11" ht="22" customHeight="1" spans="2:5" x14ac:dyDescent="0.25">
      <c r="B11" s="12" t="s">
        <v>264</v>
      </c>
      <c r="C11" s="9"/>
      <c r="D11" s="9"/>
      <c r="E11" s="9"/>
    </row>
    <row r="12" ht="22" customHeight="1" spans="2:5" x14ac:dyDescent="0.25">
      <c r="B12" s="12" t="s">
        <v>265</v>
      </c>
      <c r="C12" s="9"/>
      <c r="D12" s="9"/>
      <c r="E12" s="9"/>
    </row>
    <row r="13" ht="22" customHeight="1" spans="2:5" x14ac:dyDescent="0.25">
      <c r="B13" s="12" t="s">
        <v>266</v>
      </c>
      <c r="C13" s="9"/>
      <c r="D13" s="9"/>
      <c r="E13" s="9"/>
    </row>
    <row r="14" ht="22" customHeight="1" spans="2:5" x14ac:dyDescent="0.25">
      <c r="B14" s="12" t="s">
        <v>267</v>
      </c>
      <c r="C14" s="9"/>
      <c r="D14" s="9"/>
      <c r="E14" s="9"/>
    </row>
    <row r="16" spans="2:5" x14ac:dyDescent="0.25">
      <c r="B16" s="11" t="s">
        <v>268</v>
      </c>
      <c r="C16" s="11"/>
      <c r="D16" s="11"/>
      <c r="E16" s="11"/>
    </row>
    <row r="17" spans="2:5" x14ac:dyDescent="0.25">
      <c r="B17" s="14" t="s">
        <v>52</v>
      </c>
      <c r="C17" s="14" t="s">
        <v>269</v>
      </c>
      <c r="D17" s="14" t="s">
        <v>270</v>
      </c>
      <c r="E17" s="14" t="s">
        <v>271</v>
      </c>
    </row>
    <row r="18" ht="22" customHeight="1" spans="2:5" x14ac:dyDescent="0.25">
      <c r="B18" s="12" t="s">
        <v>67</v>
      </c>
      <c r="C18" s="9"/>
      <c r="D18" s="9"/>
      <c r="E18" s="9"/>
    </row>
    <row r="19" ht="22" customHeight="1" spans="2:5" x14ac:dyDescent="0.25">
      <c r="B19" s="12" t="s">
        <v>81</v>
      </c>
      <c r="C19" s="9"/>
      <c r="D19" s="9"/>
      <c r="E19" s="9"/>
    </row>
    <row r="20" ht="22" customHeight="1" spans="2:5" x14ac:dyDescent="0.25">
      <c r="B20" s="12" t="s">
        <v>94</v>
      </c>
      <c r="C20" s="9"/>
      <c r="D20" s="9"/>
      <c r="E20" s="9"/>
    </row>
    <row r="21" ht="22" customHeight="1" spans="2:5" x14ac:dyDescent="0.25">
      <c r="B21" s="12" t="s">
        <v>107</v>
      </c>
      <c r="C21" s="9"/>
      <c r="D21" s="9"/>
      <c r="E21" s="9"/>
    </row>
    <row r="22" ht="22" customHeight="1" spans="2:5" x14ac:dyDescent="0.25">
      <c r="B22" s="12" t="s">
        <v>120</v>
      </c>
      <c r="C22" s="9"/>
      <c r="D22" s="9"/>
      <c r="E22" s="9"/>
    </row>
    <row r="24" spans="2:5" x14ac:dyDescent="0.25">
      <c r="B24" s="11" t="s">
        <v>272</v>
      </c>
      <c r="C24" s="11"/>
      <c r="D24" s="11"/>
      <c r="E24" s="11"/>
    </row>
    <row r="25" spans="2:5" x14ac:dyDescent="0.25">
      <c r="B25" s="14" t="s">
        <v>52</v>
      </c>
      <c r="C25" s="14" t="s">
        <v>273</v>
      </c>
      <c r="D25" s="14" t="s">
        <v>274</v>
      </c>
      <c r="E25" s="14" t="s">
        <v>275</v>
      </c>
    </row>
    <row r="26" ht="24" customHeight="1" spans="2:5" x14ac:dyDescent="0.25">
      <c r="B26" s="12" t="s">
        <v>67</v>
      </c>
      <c r="C26" s="9"/>
      <c r="D26" s="13">
        <f>IFERROR(XLOOKUP(C26,MASTER!$K:$K,MASTER!$M:$M),"")</f>
      </c>
      <c r="E26" s="13">
        <f>IFERROR(XLOOKUP(C26,MASTER!$K:$K,MASTER!$N:$N),"")</f>
      </c>
    </row>
    <row r="27" ht="24" customHeight="1" spans="2:5" x14ac:dyDescent="0.25">
      <c r="B27" s="12" t="s">
        <v>81</v>
      </c>
      <c r="C27" s="9"/>
      <c r="D27" s="13">
        <f>IFERROR(XLOOKUP(C27,MASTER!$K:$K,MASTER!$M:$M),"")</f>
      </c>
      <c r="E27" s="13">
        <f>IFERROR(XLOOKUP(C27,MASTER!$K:$K,MASTER!$N:$N),"")</f>
      </c>
    </row>
    <row r="28" ht="24" customHeight="1" spans="2:5" x14ac:dyDescent="0.25">
      <c r="B28" s="12" t="s">
        <v>94</v>
      </c>
      <c r="C28" s="9"/>
      <c r="D28" s="13">
        <f>IFERROR(XLOOKUP(C28,MASTER!$K:$K,MASTER!$M:$M),"")</f>
      </c>
      <c r="E28" s="13">
        <f>IFERROR(XLOOKUP(C28,MASTER!$K:$K,MASTER!$N:$N),"")</f>
      </c>
    </row>
    <row r="29" ht="24" customHeight="1" spans="2:5" x14ac:dyDescent="0.25">
      <c r="B29" s="12" t="s">
        <v>107</v>
      </c>
      <c r="C29" s="9"/>
      <c r="D29" s="13">
        <f>IFERROR(XLOOKUP(C29,MASTER!$K:$K,MASTER!$M:$M),"")</f>
      </c>
      <c r="E29" s="13">
        <f>IFERROR(XLOOKUP(C29,MASTER!$K:$K,MASTER!$N:$N),"")</f>
      </c>
    </row>
    <row r="30" ht="24" customHeight="1" spans="2:5" x14ac:dyDescent="0.25">
      <c r="B30" s="12" t="s">
        <v>120</v>
      </c>
      <c r="C30" s="9"/>
      <c r="D30" s="13">
        <f>IFERROR(XLOOKUP(C30,MASTER!$K:$K,MASTER!$M:$M),"")</f>
      </c>
      <c r="E30" s="13">
        <f>IFERROR(XLOOKUP(C30,MASTER!$K:$K,MASTER!$N:$N),"")</f>
      </c>
    </row>
    <row r="32" spans="2:5" x14ac:dyDescent="0.25">
      <c r="B32" s="11" t="s">
        <v>276</v>
      </c>
      <c r="C32" s="11"/>
      <c r="D32" s="11"/>
      <c r="E32" s="11"/>
    </row>
    <row r="33" ht="60" customHeight="1" spans="2:5" x14ac:dyDescent="0.25">
      <c r="B33" s="15"/>
      <c r="C33" s="15"/>
      <c r="D33" s="15"/>
      <c r="E33" s="15"/>
    </row>
    <row r="34" spans="2:5" x14ac:dyDescent="0.25">
      <c r="B34" s="15"/>
      <c r="C34" s="15"/>
      <c r="D34" s="15"/>
      <c r="E34" s="15"/>
    </row>
    <row r="35" spans="2:5" x14ac:dyDescent="0.25">
      <c r="B35" s="15"/>
      <c r="C35" s="15"/>
      <c r="D35" s="15"/>
      <c r="E35" s="15"/>
    </row>
  </sheetData>
  <mergeCells count="16">
    <mergeCell ref="B1:E1"/>
    <mergeCell ref="B3:E3"/>
    <mergeCell ref="C4:E4"/>
    <mergeCell ref="C5:E5"/>
    <mergeCell ref="C6:E6"/>
    <mergeCell ref="C7:E7"/>
    <mergeCell ref="C8:E8"/>
    <mergeCell ref="B10:E10"/>
    <mergeCell ref="C11:E11"/>
    <mergeCell ref="C12:E12"/>
    <mergeCell ref="C13:E13"/>
    <mergeCell ref="C14:E14"/>
    <mergeCell ref="B16:E16"/>
    <mergeCell ref="B24:E24"/>
    <mergeCell ref="B32:E32"/>
    <mergeCell ref="B33:E35"/>
  </mergeCells>
  <dataValidations count="6">
    <dataValidation type="list" allowBlank="1" showErrorMessage="1" errorTitle="Nilai tidak valid" error="Pilih dari daftar yang tersedia." sqref="C26:C26">
      <formula1>MASTER!$K$2:$K$32</formula1>
    </dataValidation>
    <dataValidation type="list" allowBlank="1" showErrorMessage="1" errorTitle="Nilai tidak valid" error="Pilih dari daftar yang tersedia." sqref="C27:C27">
      <formula1>MASTER!$K$2:$K$32</formula1>
    </dataValidation>
    <dataValidation type="list" allowBlank="1" showErrorMessage="1" errorTitle="Nilai tidak valid" error="Pilih dari daftar yang tersedia." sqref="C28:C28">
      <formula1>MASTER!$K$2:$K$32</formula1>
    </dataValidation>
    <dataValidation type="list" allowBlank="1" showErrorMessage="1" errorTitle="Nilai tidak valid" error="Pilih dari daftar yang tersedia." sqref="C29:C29">
      <formula1>MASTER!$K$2:$K$32</formula1>
    </dataValidation>
    <dataValidation type="list" allowBlank="1" showErrorMessage="1" errorTitle="Nilai tidak valid" error="Pilih dari daftar yang tersedia." sqref="C30:C30">
      <formula1>MASTER!$K$2:$K$32</formula1>
    </dataValidation>
    <dataValidation type="list" allowBlank="1" showErrorMessage="1" errorTitle="Nilai tidak valid" error="Pilih dari daftar yang tersedia." sqref="C4:C4">
      <formula1>MASTER!$B$2:$B$13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8" customWidth="1"/>
    <col min="3" max="3" width="22" customWidth="1"/>
    <col min="4" max="4" width="18" customWidth="1"/>
    <col min="5" max="5" width="52" customWidth="1"/>
  </cols>
  <sheetData>
    <row r="1" ht="32" customHeight="1" spans="2:5" x14ac:dyDescent="0.25">
      <c r="B1" s="16" t="s">
        <v>277</v>
      </c>
      <c r="C1" s="16"/>
      <c r="D1" s="16"/>
      <c r="E1" s="16"/>
    </row>
    <row r="2" ht="20" customHeight="1" spans="2:5" x14ac:dyDescent="0.25">
      <c r="B2" s="17" t="s">
        <v>278</v>
      </c>
      <c r="C2" s="17"/>
      <c r="D2" s="17"/>
      <c r="E2" s="17"/>
    </row>
    <row r="4" ht="22" customHeight="1" spans="2:5" x14ac:dyDescent="0.25">
      <c r="B4" s="18" t="s">
        <v>52</v>
      </c>
      <c r="C4" s="18" t="s">
        <v>53</v>
      </c>
      <c r="D4" s="18" t="s">
        <v>279</v>
      </c>
      <c r="E4" s="18" t="s">
        <v>280</v>
      </c>
    </row>
    <row r="5" ht="22" customHeight="1" spans="2:5" x14ac:dyDescent="0.25">
      <c r="B5" s="19">
        <v>1</v>
      </c>
      <c r="C5" s="9" t="s">
        <v>68</v>
      </c>
      <c r="D5" s="20">
        <v>3</v>
      </c>
      <c r="E5" s="13">
        <f>IFERROR(INDEX({"1 = Nol toleransi — sekecil apapun harus dimitigasi","2 = Toleransi sangat rendah — risiko rendah pun perlu perhatian","3 = Toleransi sedang — risiko di atas sedang harus dimitigasi","4 = Toleransi tinggi — hanya risiko sangat tinggi yang diprioritaskan","5 = Risiko apapun dapat diterima (tidak disarankan)"},D5),"")</f>
      </c>
    </row>
    <row r="6" ht="22" customHeight="1" spans="2:5" x14ac:dyDescent="0.25">
      <c r="B6" s="19">
        <v>2</v>
      </c>
      <c r="C6" s="9" t="s">
        <v>82</v>
      </c>
      <c r="D6" s="20">
        <v>3</v>
      </c>
      <c r="E6" s="13">
        <f>IFERROR(INDEX({"1 = Nol toleransi — sekecil apapun harus dimitigasi","2 = Toleransi sangat rendah — risiko rendah pun perlu perhatian","3 = Toleransi sedang — risiko di atas sedang harus dimitigasi","4 = Toleransi tinggi — hanya risiko sangat tinggi yang diprioritaskan","5 = Risiko apapun dapat diterima (tidak disarankan)"},D6),"")</f>
      </c>
    </row>
    <row r="7" ht="22" customHeight="1" spans="2:5" x14ac:dyDescent="0.25">
      <c r="B7" s="19">
        <v>3</v>
      </c>
      <c r="C7" s="9" t="s">
        <v>95</v>
      </c>
      <c r="D7" s="20">
        <v>3</v>
      </c>
      <c r="E7" s="13">
        <f>IFERROR(INDEX({"1 = Nol toleransi — sekecil apapun harus dimitigasi","2 = Toleransi sangat rendah — risiko rendah pun perlu perhatian","3 = Toleransi sedang — risiko di atas sedang harus dimitigasi","4 = Toleransi tinggi — hanya risiko sangat tinggi yang diprioritaskan","5 = Risiko apapun dapat diterima (tidak disarankan)"},D7),"")</f>
      </c>
    </row>
    <row r="8" ht="22" customHeight="1" spans="2:5" x14ac:dyDescent="0.25">
      <c r="B8" s="19">
        <v>4</v>
      </c>
      <c r="C8" s="9" t="s">
        <v>108</v>
      </c>
      <c r="D8" s="20">
        <v>3</v>
      </c>
      <c r="E8" s="13">
        <f>IFERROR(INDEX({"1 = Nol toleransi — sekecil apapun harus dimitigasi","2 = Toleransi sangat rendah — risiko rendah pun perlu perhatian","3 = Toleransi sedang — risiko di atas sedang harus dimitigasi","4 = Toleransi tinggi — hanya risiko sangat tinggi yang diprioritaskan","5 = Risiko apapun dapat diterima (tidak disarankan)"},D8),"")</f>
      </c>
    </row>
    <row r="9" ht="22" customHeight="1" spans="2:5" x14ac:dyDescent="0.25">
      <c r="B9" s="19">
        <v>5</v>
      </c>
      <c r="C9" s="9" t="s">
        <v>121</v>
      </c>
      <c r="D9" s="20">
        <v>3</v>
      </c>
      <c r="E9" s="13">
        <f>IFERROR(INDEX({"1 = Nol toleransi — sekecil apapun harus dimitigasi","2 = Toleransi sangat rendah — risiko rendah pun perlu perhatian","3 = Toleransi sedang — risiko di atas sedang harus dimitigasi","4 = Toleransi tinggi — hanya risiko sangat tinggi yang diprioritaskan","5 = Risiko apapun dapat diterima (tidak disarankan)"},D9),"")</f>
      </c>
    </row>
    <row r="10" ht="22" customHeight="1" spans="2:5" x14ac:dyDescent="0.25">
      <c r="B10" s="19">
        <v>6</v>
      </c>
      <c r="C10" s="9" t="s">
        <v>135</v>
      </c>
      <c r="D10" s="20">
        <v>3</v>
      </c>
      <c r="E10" s="13">
        <f>IFERROR(INDEX({"1 = Nol toleransi — sekecil apapun harus dimitigasi","2 = Toleransi sangat rendah — risiko rendah pun perlu perhatian","3 = Toleransi sedang — risiko di atas sedang harus dimitigasi","4 = Toleransi tinggi — hanya risiko sangat tinggi yang diprioritaskan","5 = Risiko apapun dapat diterima (tidak disarankan)"},D10),"")</f>
      </c>
    </row>
    <row r="11" ht="22" customHeight="1" spans="2:5" x14ac:dyDescent="0.25">
      <c r="B11" s="19">
        <v>7</v>
      </c>
      <c r="C11" s="9" t="s">
        <v>146</v>
      </c>
      <c r="D11" s="20">
        <v>3</v>
      </c>
      <c r="E11" s="13">
        <f>IFERROR(INDEX({"1 = Nol toleransi — sekecil apapun harus dimitigasi","2 = Toleransi sangat rendah — risiko rendah pun perlu perhatian","3 = Toleransi sedang — risiko di atas sedang harus dimitigasi","4 = Toleransi tinggi — hanya risiko sangat tinggi yang diprioritaskan","5 = Risiko apapun dapat diterima (tidak disarankan)"},D11),"")</f>
      </c>
    </row>
  </sheetData>
  <mergeCells count="2">
    <mergeCell ref="B1:E1"/>
    <mergeCell ref="B2:E2"/>
  </mergeCells>
  <conditionalFormatting sqref="D5:D11">
    <cfRule type="cellIs" dxfId="0" priority="1" operator="equal">
      <formula>1</formula>
    </cfRule>
    <cfRule type="cellIs" dxfId="1" priority="2" operator="equal">
      <formula>2</formula>
    </cfRule>
    <cfRule type="cellIs" dxfId="2" priority="3" operator="equal">
      <formula>3</formula>
    </cfRule>
    <cfRule type="cellIs" dxfId="3" priority="4" operator="equal">
      <formula>4</formula>
    </cfRule>
    <cfRule type="cellIs" dxfId="4" priority="5" operator="equal">
      <formula>5</formula>
    </cfRule>
  </conditionalFormatting>
  <dataValidations count="7">
    <dataValidation type="list" allowBlank="1" showErrorMessage="1" errorTitle="Nilai tidak valid" error="Pilih dari daftar yang tersedia." sqref="D10:D10">
      <formula1>"1,2,3,4,5"</formula1>
    </dataValidation>
    <dataValidation type="list" allowBlank="1" showErrorMessage="1" errorTitle="Nilai tidak valid" error="Pilih dari daftar yang tersedia." sqref="D11:D11">
      <formula1>"1,2,3,4,5"</formula1>
    </dataValidation>
    <dataValidation type="list" allowBlank="1" showErrorMessage="1" errorTitle="Nilai tidak valid" error="Pilih dari daftar yang tersedia." sqref="D5:D5">
      <formula1>"1,2,3,4,5"</formula1>
    </dataValidation>
    <dataValidation type="list" allowBlank="1" showErrorMessage="1" errorTitle="Nilai tidak valid" error="Pilih dari daftar yang tersedia." sqref="D6:D6">
      <formula1>"1,2,3,4,5"</formula1>
    </dataValidation>
    <dataValidation type="list" allowBlank="1" showErrorMessage="1" errorTitle="Nilai tidak valid" error="Pilih dari daftar yang tersedia." sqref="D7:D7">
      <formula1>"1,2,3,4,5"</formula1>
    </dataValidation>
    <dataValidation type="list" allowBlank="1" showErrorMessage="1" errorTitle="Nilai tidak valid" error="Pilih dari daftar yang tersedia." sqref="D8:D8">
      <formula1>"1,2,3,4,5"</formula1>
    </dataValidation>
    <dataValidation type="list" allowBlank="1" showErrorMessage="1" errorTitle="Nilai tidak valid" error="Pilih dari daftar yang tersedia." sqref="D9:D9">
      <formula1>"1,2,3,4,5"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14" customWidth="1"/>
    <col min="4" max="4" width="36" customWidth="1"/>
    <col min="5" max="5" width="30" customWidth="1"/>
    <col min="6" max="6" width="36" customWidth="1"/>
    <col min="7" max="7" width="44" customWidth="1"/>
    <col min="8" max="8" width="16" customWidth="1"/>
    <col min="9" max="9" width="36" customWidth="1"/>
    <col min="10" max="10" width="16" customWidth="1"/>
    <col min="11" max="11" width="20" customWidth="1"/>
    <col min="12" max="15" width="28" customWidth="1"/>
    <col min="16" max="16" width="24" customWidth="1"/>
  </cols>
  <sheetData>
    <row r="1" ht="28" customHeight="1" spans="1:16" x14ac:dyDescent="0.25">
      <c r="A1" s="21" t="s">
        <v>281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ht="36" customHeight="1" spans="1:16" x14ac:dyDescent="0.25">
      <c r="A2" s="22" t="s">
        <v>282</v>
      </c>
      <c r="B2" s="22" t="s">
        <v>283</v>
      </c>
      <c r="C2" s="22" t="s">
        <v>284</v>
      </c>
      <c r="D2" s="22" t="s">
        <v>59</v>
      </c>
      <c r="E2" s="22" t="s">
        <v>285</v>
      </c>
      <c r="F2" s="22" t="s">
        <v>286</v>
      </c>
      <c r="G2" s="22" t="s">
        <v>287</v>
      </c>
      <c r="H2" s="22" t="s">
        <v>53</v>
      </c>
      <c r="I2" s="22" t="s">
        <v>288</v>
      </c>
      <c r="J2" s="22" t="s">
        <v>289</v>
      </c>
      <c r="K2" s="22" t="s">
        <v>290</v>
      </c>
      <c r="L2" s="22" t="s">
        <v>264</v>
      </c>
      <c r="M2" s="22" t="s">
        <v>265</v>
      </c>
      <c r="N2" s="22" t="s">
        <v>266</v>
      </c>
      <c r="O2" s="22" t="s">
        <v>267</v>
      </c>
      <c r="P2" s="22" t="s">
        <v>291</v>
      </c>
    </row>
    <row r="3" ht="20" customHeight="1" spans="1:16" x14ac:dyDescent="0.25">
      <c r="A3" s="13">
        <f>IF(G3&lt;&gt;"",ROW()-2,"")</f>
      </c>
      <c r="B3" s="13">
        <f>IF(G3="","",IFERROR(XLOOKUP(KONTEKS!C5,KONTEKS!C5,KONTEKS!C5,"?"),"?")&amp;"."&amp;IFERROR(XLOOKUP(H3,MASTER!$E:$E,MASTER!$F:$F),"?")&amp;"."&amp;TEXT(COUNTIFS($H$3:H3,H3,$G$3:G3,"&lt;&gt;"),"000")</f>
      </c>
      <c r="C3" s="9"/>
      <c r="D3" s="13">
        <f>IFERROR(XLOOKUP(C3,MASTER!$K:$K,MASTER!$M:$M),"")</f>
      </c>
      <c r="E3" s="13">
        <f>IFERROR(XLOOKUP(C3,MASTER!$K:$K,MASTER!$N:$N),"")</f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ht="20" customHeight="1" spans="1:16" x14ac:dyDescent="0.25">
      <c r="A4" s="13">
        <f>IF(G4&lt;&gt;"",ROW()-2,"")</f>
      </c>
      <c r="B4" s="13">
        <f>IF(G4="","",IFERROR(XLOOKUP(KONTEKS!C5,KONTEKS!C5,KONTEKS!C5,"?"),"?")&amp;"."&amp;IFERROR(XLOOKUP(H4,MASTER!$E:$E,MASTER!$F:$F),"?")&amp;"."&amp;TEXT(COUNTIFS($H$3:H4,H4,$G$3:G4,"&lt;&gt;"),"000")</f>
      </c>
      <c r="C4" s="9"/>
      <c r="D4" s="13">
        <f>IFERROR(XLOOKUP(C4,MASTER!$K:$K,MASTER!$M:$M),"")</f>
      </c>
      <c r="E4" s="13">
        <f>IFERROR(XLOOKUP(C4,MASTER!$K:$K,MASTER!$N:$N),"")</f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ht="20" customHeight="1" spans="1:16" x14ac:dyDescent="0.25">
      <c r="A5" s="13">
        <f>IF(G5&lt;&gt;"",ROW()-2,"")</f>
      </c>
      <c r="B5" s="13">
        <f>IF(G5="","",IFERROR(XLOOKUP(KONTEKS!C5,KONTEKS!C5,KONTEKS!C5,"?"),"?")&amp;"."&amp;IFERROR(XLOOKUP(H5,MASTER!$E:$E,MASTER!$F:$F),"?")&amp;"."&amp;TEXT(COUNTIFS($H$3:H5,H5,$G$3:G5,"&lt;&gt;"),"000")</f>
      </c>
      <c r="C5" s="9"/>
      <c r="D5" s="13">
        <f>IFERROR(XLOOKUP(C5,MASTER!$K:$K,MASTER!$M:$M),"")</f>
      </c>
      <c r="E5" s="13">
        <f>IFERROR(XLOOKUP(C5,MASTER!$K:$K,MASTER!$N:$N),"")</f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ht="20" customHeight="1" spans="1:16" x14ac:dyDescent="0.25">
      <c r="A6" s="13">
        <f>IF(G6&lt;&gt;"",ROW()-2,"")</f>
      </c>
      <c r="B6" s="13">
        <f>IF(G6="","",IFERROR(XLOOKUP(KONTEKS!C5,KONTEKS!C5,KONTEKS!C5,"?"),"?")&amp;"."&amp;IFERROR(XLOOKUP(H6,MASTER!$E:$E,MASTER!$F:$F),"?")&amp;"."&amp;TEXT(COUNTIFS($H$3:H6,H6,$G$3:G6,"&lt;&gt;"),"000")</f>
      </c>
      <c r="C6" s="9"/>
      <c r="D6" s="13">
        <f>IFERROR(XLOOKUP(C6,MASTER!$K:$K,MASTER!$M:$M),"")</f>
      </c>
      <c r="E6" s="13">
        <f>IFERROR(XLOOKUP(C6,MASTER!$K:$K,MASTER!$N:$N),"")</f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ht="20" customHeight="1" spans="1:16" x14ac:dyDescent="0.25">
      <c r="A7" s="13">
        <f>IF(G7&lt;&gt;"",ROW()-2,"")</f>
      </c>
      <c r="B7" s="13">
        <f>IF(G7="","",IFERROR(XLOOKUP(KONTEKS!C5,KONTEKS!C5,KONTEKS!C5,"?"),"?")&amp;"."&amp;IFERROR(XLOOKUP(H7,MASTER!$E:$E,MASTER!$F:$F),"?")&amp;"."&amp;TEXT(COUNTIFS($H$3:H7,H7,$G$3:G7,"&lt;&gt;"),"000")</f>
      </c>
      <c r="C7" s="9"/>
      <c r="D7" s="13">
        <f>IFERROR(XLOOKUP(C7,MASTER!$K:$K,MASTER!$M:$M),"")</f>
      </c>
      <c r="E7" s="13">
        <f>IFERROR(XLOOKUP(C7,MASTER!$K:$K,MASTER!$N:$N),"")</f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ht="20" customHeight="1" spans="1:16" x14ac:dyDescent="0.25">
      <c r="A8" s="13">
        <f>IF(G8&lt;&gt;"",ROW()-2,"")</f>
      </c>
      <c r="B8" s="13">
        <f>IF(G8="","",IFERROR(XLOOKUP(KONTEKS!C5,KONTEKS!C5,KONTEKS!C5,"?"),"?")&amp;"."&amp;IFERROR(XLOOKUP(H8,MASTER!$E:$E,MASTER!$F:$F),"?")&amp;"."&amp;TEXT(COUNTIFS($H$3:H8,H8,$G$3:G8,"&lt;&gt;"),"000")</f>
      </c>
      <c r="C8" s="9"/>
      <c r="D8" s="13">
        <f>IFERROR(XLOOKUP(C8,MASTER!$K:$K,MASTER!$M:$M),"")</f>
      </c>
      <c r="E8" s="13">
        <f>IFERROR(XLOOKUP(C8,MASTER!$K:$K,MASTER!$N:$N),"")</f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ht="20" customHeight="1" spans="1:16" x14ac:dyDescent="0.25">
      <c r="A9" s="13">
        <f>IF(G9&lt;&gt;"",ROW()-2,"")</f>
      </c>
      <c r="B9" s="13">
        <f>IF(G9="","",IFERROR(XLOOKUP(KONTEKS!C5,KONTEKS!C5,KONTEKS!C5,"?"),"?")&amp;"."&amp;IFERROR(XLOOKUP(H9,MASTER!$E:$E,MASTER!$F:$F),"?")&amp;"."&amp;TEXT(COUNTIFS($H$3:H9,H9,$G$3:G9,"&lt;&gt;"),"000")</f>
      </c>
      <c r="C9" s="9"/>
      <c r="D9" s="13">
        <f>IFERROR(XLOOKUP(C9,MASTER!$K:$K,MASTER!$M:$M),"")</f>
      </c>
      <c r="E9" s="13">
        <f>IFERROR(XLOOKUP(C9,MASTER!$K:$K,MASTER!$N:$N),"")</f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ht="20" customHeight="1" spans="1:16" x14ac:dyDescent="0.25">
      <c r="A10" s="13">
        <f>IF(G10&lt;&gt;"",ROW()-2,"")</f>
      </c>
      <c r="B10" s="13">
        <f>IF(G10="","",IFERROR(XLOOKUP(KONTEKS!C5,KONTEKS!C5,KONTEKS!C5,"?"),"?")&amp;"."&amp;IFERROR(XLOOKUP(H10,MASTER!$E:$E,MASTER!$F:$F),"?")&amp;"."&amp;TEXT(COUNTIFS($H$3:H10,H10,$G$3:G10,"&lt;&gt;"),"000")</f>
      </c>
      <c r="C10" s="9"/>
      <c r="D10" s="13">
        <f>IFERROR(XLOOKUP(C10,MASTER!$K:$K,MASTER!$M:$M),"")</f>
      </c>
      <c r="E10" s="13">
        <f>IFERROR(XLOOKUP(C10,MASTER!$K:$K,MASTER!$N:$N),"")</f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ht="20" customHeight="1" spans="1:16" x14ac:dyDescent="0.25">
      <c r="A11" s="13">
        <f>IF(G11&lt;&gt;"",ROW()-2,"")</f>
      </c>
      <c r="B11" s="13">
        <f>IF(G11="","",IFERROR(XLOOKUP(KONTEKS!C5,KONTEKS!C5,KONTEKS!C5,"?"),"?")&amp;"."&amp;IFERROR(XLOOKUP(H11,MASTER!$E:$E,MASTER!$F:$F),"?")&amp;"."&amp;TEXT(COUNTIFS($H$3:H11,H11,$G$3:G11,"&lt;&gt;"),"000")</f>
      </c>
      <c r="C11" s="9"/>
      <c r="D11" s="13">
        <f>IFERROR(XLOOKUP(C11,MASTER!$K:$K,MASTER!$M:$M),"")</f>
      </c>
      <c r="E11" s="13">
        <f>IFERROR(XLOOKUP(C11,MASTER!$K:$K,MASTER!$N:$N),"")</f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ht="20" customHeight="1" spans="1:16" x14ac:dyDescent="0.25">
      <c r="A12" s="13">
        <f>IF(G12&lt;&gt;"",ROW()-2,"")</f>
      </c>
      <c r="B12" s="13">
        <f>IF(G12="","",IFERROR(XLOOKUP(KONTEKS!C5,KONTEKS!C5,KONTEKS!C5,"?"),"?")&amp;"."&amp;IFERROR(XLOOKUP(H12,MASTER!$E:$E,MASTER!$F:$F),"?")&amp;"."&amp;TEXT(COUNTIFS($H$3:H12,H12,$G$3:G12,"&lt;&gt;"),"000")</f>
      </c>
      <c r="C12" s="9"/>
      <c r="D12" s="13">
        <f>IFERROR(XLOOKUP(C12,MASTER!$K:$K,MASTER!$M:$M),"")</f>
      </c>
      <c r="E12" s="13">
        <f>IFERROR(XLOOKUP(C12,MASTER!$K:$K,MASTER!$N:$N),"")</f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ht="20" customHeight="1" spans="1:16" x14ac:dyDescent="0.25">
      <c r="A13" s="13">
        <f>IF(G13&lt;&gt;"",ROW()-2,"")</f>
      </c>
      <c r="B13" s="13">
        <f>IF(G13="","",IFERROR(XLOOKUP(KONTEKS!C5,KONTEKS!C5,KONTEKS!C5,"?"),"?")&amp;"."&amp;IFERROR(XLOOKUP(H13,MASTER!$E:$E,MASTER!$F:$F),"?")&amp;"."&amp;TEXT(COUNTIFS($H$3:H13,H13,$G$3:G13,"&lt;&gt;"),"000")</f>
      </c>
      <c r="C13" s="9"/>
      <c r="D13" s="13">
        <f>IFERROR(XLOOKUP(C13,MASTER!$K:$K,MASTER!$M:$M),"")</f>
      </c>
      <c r="E13" s="13">
        <f>IFERROR(XLOOKUP(C13,MASTER!$K:$K,MASTER!$N:$N),"")</f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ht="20" customHeight="1" spans="1:16" x14ac:dyDescent="0.25">
      <c r="A14" s="13">
        <f>IF(G14&lt;&gt;"",ROW()-2,"")</f>
      </c>
      <c r="B14" s="13">
        <f>IF(G14="","",IFERROR(XLOOKUP(KONTEKS!C5,KONTEKS!C5,KONTEKS!C5,"?"),"?")&amp;"."&amp;IFERROR(XLOOKUP(H14,MASTER!$E:$E,MASTER!$F:$F),"?")&amp;"."&amp;TEXT(COUNTIFS($H$3:H14,H14,$G$3:G14,"&lt;&gt;"),"000")</f>
      </c>
      <c r="C14" s="9"/>
      <c r="D14" s="13">
        <f>IFERROR(XLOOKUP(C14,MASTER!$K:$K,MASTER!$M:$M),"")</f>
      </c>
      <c r="E14" s="13">
        <f>IFERROR(XLOOKUP(C14,MASTER!$K:$K,MASTER!$N:$N),"")</f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ht="20" customHeight="1" spans="1:16" x14ac:dyDescent="0.25">
      <c r="A15" s="13">
        <f>IF(G15&lt;&gt;"",ROW()-2,"")</f>
      </c>
      <c r="B15" s="13">
        <f>IF(G15="","",IFERROR(XLOOKUP(KONTEKS!C5,KONTEKS!C5,KONTEKS!C5,"?"),"?")&amp;"."&amp;IFERROR(XLOOKUP(H15,MASTER!$E:$E,MASTER!$F:$F),"?")&amp;"."&amp;TEXT(COUNTIFS($H$3:H15,H15,$G$3:G15,"&lt;&gt;"),"000")</f>
      </c>
      <c r="C15" s="9"/>
      <c r="D15" s="13">
        <f>IFERROR(XLOOKUP(C15,MASTER!$K:$K,MASTER!$M:$M),"")</f>
      </c>
      <c r="E15" s="13">
        <f>IFERROR(XLOOKUP(C15,MASTER!$K:$K,MASTER!$N:$N),"")</f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ht="20" customHeight="1" spans="1:16" x14ac:dyDescent="0.25">
      <c r="A16" s="13">
        <f>IF(G16&lt;&gt;"",ROW()-2,"")</f>
      </c>
      <c r="B16" s="13">
        <f>IF(G16="","",IFERROR(XLOOKUP(KONTEKS!C5,KONTEKS!C5,KONTEKS!C5,"?"),"?")&amp;"."&amp;IFERROR(XLOOKUP(H16,MASTER!$E:$E,MASTER!$F:$F),"?")&amp;"."&amp;TEXT(COUNTIFS($H$3:H16,H16,$G$3:G16,"&lt;&gt;"),"000")</f>
      </c>
      <c r="C16" s="9"/>
      <c r="D16" s="13">
        <f>IFERROR(XLOOKUP(C16,MASTER!$K:$K,MASTER!$M:$M),"")</f>
      </c>
      <c r="E16" s="13">
        <f>IFERROR(XLOOKUP(C16,MASTER!$K:$K,MASTER!$N:$N),"")</f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ht="20" customHeight="1" spans="1:16" x14ac:dyDescent="0.25">
      <c r="A17" s="13">
        <f>IF(G17&lt;&gt;"",ROW()-2,"")</f>
      </c>
      <c r="B17" s="13">
        <f>IF(G17="","",IFERROR(XLOOKUP(KONTEKS!C5,KONTEKS!C5,KONTEKS!C5,"?"),"?")&amp;"."&amp;IFERROR(XLOOKUP(H17,MASTER!$E:$E,MASTER!$F:$F),"?")&amp;"."&amp;TEXT(COUNTIFS($H$3:H17,H17,$G$3:G17,"&lt;&gt;"),"000")</f>
      </c>
      <c r="C17" s="9"/>
      <c r="D17" s="13">
        <f>IFERROR(XLOOKUP(C17,MASTER!$K:$K,MASTER!$M:$M),"")</f>
      </c>
      <c r="E17" s="13">
        <f>IFERROR(XLOOKUP(C17,MASTER!$K:$K,MASTER!$N:$N),"")</f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ht="20" customHeight="1" spans="1:16" x14ac:dyDescent="0.25">
      <c r="A18" s="13">
        <f>IF(G18&lt;&gt;"",ROW()-2,"")</f>
      </c>
      <c r="B18" s="13">
        <f>IF(G18="","",IFERROR(XLOOKUP(KONTEKS!C5,KONTEKS!C5,KONTEKS!C5,"?"),"?")&amp;"."&amp;IFERROR(XLOOKUP(H18,MASTER!$E:$E,MASTER!$F:$F),"?")&amp;"."&amp;TEXT(COUNTIFS($H$3:H18,H18,$G$3:G18,"&lt;&gt;"),"000")</f>
      </c>
      <c r="C18" s="9"/>
      <c r="D18" s="13">
        <f>IFERROR(XLOOKUP(C18,MASTER!$K:$K,MASTER!$M:$M),"")</f>
      </c>
      <c r="E18" s="13">
        <f>IFERROR(XLOOKUP(C18,MASTER!$K:$K,MASTER!$N:$N),"")</f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ht="20" customHeight="1" spans="1:16" x14ac:dyDescent="0.25">
      <c r="A19" s="13">
        <f>IF(G19&lt;&gt;"",ROW()-2,"")</f>
      </c>
      <c r="B19" s="13">
        <f>IF(G19="","",IFERROR(XLOOKUP(KONTEKS!C5,KONTEKS!C5,KONTEKS!C5,"?"),"?")&amp;"."&amp;IFERROR(XLOOKUP(H19,MASTER!$E:$E,MASTER!$F:$F),"?")&amp;"."&amp;TEXT(COUNTIFS($H$3:H19,H19,$G$3:G19,"&lt;&gt;"),"000")</f>
      </c>
      <c r="C19" s="9"/>
      <c r="D19" s="13">
        <f>IFERROR(XLOOKUP(C19,MASTER!$K:$K,MASTER!$M:$M),"")</f>
      </c>
      <c r="E19" s="13">
        <f>IFERROR(XLOOKUP(C19,MASTER!$K:$K,MASTER!$N:$N),"")</f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ht="20" customHeight="1" spans="1:16" x14ac:dyDescent="0.25">
      <c r="A20" s="13">
        <f>IF(G20&lt;&gt;"",ROW()-2,"")</f>
      </c>
      <c r="B20" s="13">
        <f>IF(G20="","",IFERROR(XLOOKUP(KONTEKS!C5,KONTEKS!C5,KONTEKS!C5,"?"),"?")&amp;"."&amp;IFERROR(XLOOKUP(H20,MASTER!$E:$E,MASTER!$F:$F),"?")&amp;"."&amp;TEXT(COUNTIFS($H$3:H20,H20,$G$3:G20,"&lt;&gt;"),"000")</f>
      </c>
      <c r="C20" s="9"/>
      <c r="D20" s="13">
        <f>IFERROR(XLOOKUP(C20,MASTER!$K:$K,MASTER!$M:$M),"")</f>
      </c>
      <c r="E20" s="13">
        <f>IFERROR(XLOOKUP(C20,MASTER!$K:$K,MASTER!$N:$N),"")</f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ht="20" customHeight="1" spans="1:16" x14ac:dyDescent="0.25">
      <c r="A21" s="13">
        <f>IF(G21&lt;&gt;"",ROW()-2,"")</f>
      </c>
      <c r="B21" s="13">
        <f>IF(G21="","",IFERROR(XLOOKUP(KONTEKS!C5,KONTEKS!C5,KONTEKS!C5,"?"),"?")&amp;"."&amp;IFERROR(XLOOKUP(H21,MASTER!$E:$E,MASTER!$F:$F),"?")&amp;"."&amp;TEXT(COUNTIFS($H$3:H21,H21,$G$3:G21,"&lt;&gt;"),"000")</f>
      </c>
      <c r="C21" s="9"/>
      <c r="D21" s="13">
        <f>IFERROR(XLOOKUP(C21,MASTER!$K:$K,MASTER!$M:$M),"")</f>
      </c>
      <c r="E21" s="13">
        <f>IFERROR(XLOOKUP(C21,MASTER!$K:$K,MASTER!$N:$N),"")</f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ht="20" customHeight="1" spans="1:16" x14ac:dyDescent="0.25">
      <c r="A22" s="13">
        <f>IF(G22&lt;&gt;"",ROW()-2,"")</f>
      </c>
      <c r="B22" s="13">
        <f>IF(G22="","",IFERROR(XLOOKUP(KONTEKS!C5,KONTEKS!C5,KONTEKS!C5,"?"),"?")&amp;"."&amp;IFERROR(XLOOKUP(H22,MASTER!$E:$E,MASTER!$F:$F),"?")&amp;"."&amp;TEXT(COUNTIFS($H$3:H22,H22,$G$3:G22,"&lt;&gt;"),"000")</f>
      </c>
      <c r="C22" s="9"/>
      <c r="D22" s="13">
        <f>IFERROR(XLOOKUP(C22,MASTER!$K:$K,MASTER!$M:$M),"")</f>
      </c>
      <c r="E22" s="13">
        <f>IFERROR(XLOOKUP(C22,MASTER!$K:$K,MASTER!$N:$N),"")</f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ht="20" customHeight="1" spans="1:16" x14ac:dyDescent="0.25">
      <c r="A23" s="13">
        <f>IF(G23&lt;&gt;"",ROW()-2,"")</f>
      </c>
      <c r="B23" s="13">
        <f>IF(G23="","",IFERROR(XLOOKUP(KONTEKS!C5,KONTEKS!C5,KONTEKS!C5,"?"),"?")&amp;"."&amp;IFERROR(XLOOKUP(H23,MASTER!$E:$E,MASTER!$F:$F),"?")&amp;"."&amp;TEXT(COUNTIFS($H$3:H23,H23,$G$3:G23,"&lt;&gt;"),"000")</f>
      </c>
      <c r="C23" s="9"/>
      <c r="D23" s="13">
        <f>IFERROR(XLOOKUP(C23,MASTER!$K:$K,MASTER!$M:$M),"")</f>
      </c>
      <c r="E23" s="13">
        <f>IFERROR(XLOOKUP(C23,MASTER!$K:$K,MASTER!$N:$N),"")</f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ht="20" customHeight="1" spans="1:16" x14ac:dyDescent="0.25">
      <c r="A24" s="13">
        <f>IF(G24&lt;&gt;"",ROW()-2,"")</f>
      </c>
      <c r="B24" s="13">
        <f>IF(G24="","",IFERROR(XLOOKUP(KONTEKS!C5,KONTEKS!C5,KONTEKS!C5,"?"),"?")&amp;"."&amp;IFERROR(XLOOKUP(H24,MASTER!$E:$E,MASTER!$F:$F),"?")&amp;"."&amp;TEXT(COUNTIFS($H$3:H24,H24,$G$3:G24,"&lt;&gt;"),"000")</f>
      </c>
      <c r="C24" s="9"/>
      <c r="D24" s="13">
        <f>IFERROR(XLOOKUP(C24,MASTER!$K:$K,MASTER!$M:$M),"")</f>
      </c>
      <c r="E24" s="13">
        <f>IFERROR(XLOOKUP(C24,MASTER!$K:$K,MASTER!$N:$N),"")</f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ht="20" customHeight="1" spans="1:16" x14ac:dyDescent="0.25">
      <c r="A25" s="13">
        <f>IF(G25&lt;&gt;"",ROW()-2,"")</f>
      </c>
      <c r="B25" s="13">
        <f>IF(G25="","",IFERROR(XLOOKUP(KONTEKS!C5,KONTEKS!C5,KONTEKS!C5,"?"),"?")&amp;"."&amp;IFERROR(XLOOKUP(H25,MASTER!$E:$E,MASTER!$F:$F),"?")&amp;"."&amp;TEXT(COUNTIFS($H$3:H25,H25,$G$3:G25,"&lt;&gt;"),"000")</f>
      </c>
      <c r="C25" s="9"/>
      <c r="D25" s="13">
        <f>IFERROR(XLOOKUP(C25,MASTER!$K:$K,MASTER!$M:$M),"")</f>
      </c>
      <c r="E25" s="13">
        <f>IFERROR(XLOOKUP(C25,MASTER!$K:$K,MASTER!$N:$N),"")</f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ht="20" customHeight="1" spans="1:16" x14ac:dyDescent="0.25">
      <c r="A26" s="13">
        <f>IF(G26&lt;&gt;"",ROW()-2,"")</f>
      </c>
      <c r="B26" s="13">
        <f>IF(G26="","",IFERROR(XLOOKUP(KONTEKS!C5,KONTEKS!C5,KONTEKS!C5,"?"),"?")&amp;"."&amp;IFERROR(XLOOKUP(H26,MASTER!$E:$E,MASTER!$F:$F),"?")&amp;"."&amp;TEXT(COUNTIFS($H$3:H26,H26,$G$3:G26,"&lt;&gt;"),"000")</f>
      </c>
      <c r="C26" s="9"/>
      <c r="D26" s="13">
        <f>IFERROR(XLOOKUP(C26,MASTER!$K:$K,MASTER!$M:$M),"")</f>
      </c>
      <c r="E26" s="13">
        <f>IFERROR(XLOOKUP(C26,MASTER!$K:$K,MASTER!$N:$N),"")</f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ht="20" customHeight="1" spans="1:16" x14ac:dyDescent="0.25">
      <c r="A27" s="13">
        <f>IF(G27&lt;&gt;"",ROW()-2,"")</f>
      </c>
      <c r="B27" s="13">
        <f>IF(G27="","",IFERROR(XLOOKUP(KONTEKS!C5,KONTEKS!C5,KONTEKS!C5,"?"),"?")&amp;"."&amp;IFERROR(XLOOKUP(H27,MASTER!$E:$E,MASTER!$F:$F),"?")&amp;"."&amp;TEXT(COUNTIFS($H$3:H27,H27,$G$3:G27,"&lt;&gt;"),"000")</f>
      </c>
      <c r="C27" s="9"/>
      <c r="D27" s="13">
        <f>IFERROR(XLOOKUP(C27,MASTER!$K:$K,MASTER!$M:$M),"")</f>
      </c>
      <c r="E27" s="13">
        <f>IFERROR(XLOOKUP(C27,MASTER!$K:$K,MASTER!$N:$N),"")</f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ht="20" customHeight="1" spans="1:16" x14ac:dyDescent="0.25">
      <c r="A28" s="13">
        <f>IF(G28&lt;&gt;"",ROW()-2,"")</f>
      </c>
      <c r="B28" s="13">
        <f>IF(G28="","",IFERROR(XLOOKUP(KONTEKS!C5,KONTEKS!C5,KONTEKS!C5,"?"),"?")&amp;"."&amp;IFERROR(XLOOKUP(H28,MASTER!$E:$E,MASTER!$F:$F),"?")&amp;"."&amp;TEXT(COUNTIFS($H$3:H28,H28,$G$3:G28,"&lt;&gt;"),"000")</f>
      </c>
      <c r="C28" s="9"/>
      <c r="D28" s="13">
        <f>IFERROR(XLOOKUP(C28,MASTER!$K:$K,MASTER!$M:$M),"")</f>
      </c>
      <c r="E28" s="13">
        <f>IFERROR(XLOOKUP(C28,MASTER!$K:$K,MASTER!$N:$N),"")</f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ht="20" customHeight="1" spans="1:16" x14ac:dyDescent="0.25">
      <c r="A29" s="13">
        <f>IF(G29&lt;&gt;"",ROW()-2,"")</f>
      </c>
      <c r="B29" s="13">
        <f>IF(G29="","",IFERROR(XLOOKUP(KONTEKS!C5,KONTEKS!C5,KONTEKS!C5,"?"),"?")&amp;"."&amp;IFERROR(XLOOKUP(H29,MASTER!$E:$E,MASTER!$F:$F),"?")&amp;"."&amp;TEXT(COUNTIFS($H$3:H29,H29,$G$3:G29,"&lt;&gt;"),"000")</f>
      </c>
      <c r="C29" s="9"/>
      <c r="D29" s="13">
        <f>IFERROR(XLOOKUP(C29,MASTER!$K:$K,MASTER!$M:$M),"")</f>
      </c>
      <c r="E29" s="13">
        <f>IFERROR(XLOOKUP(C29,MASTER!$K:$K,MASTER!$N:$N),"")</f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ht="20" customHeight="1" spans="1:16" x14ac:dyDescent="0.25">
      <c r="A30" s="13">
        <f>IF(G30&lt;&gt;"",ROW()-2,"")</f>
      </c>
      <c r="B30" s="13">
        <f>IF(G30="","",IFERROR(XLOOKUP(KONTEKS!C5,KONTEKS!C5,KONTEKS!C5,"?"),"?")&amp;"."&amp;IFERROR(XLOOKUP(H30,MASTER!$E:$E,MASTER!$F:$F),"?")&amp;"."&amp;TEXT(COUNTIFS($H$3:H30,H30,$G$3:G30,"&lt;&gt;"),"000")</f>
      </c>
      <c r="C30" s="9"/>
      <c r="D30" s="13">
        <f>IFERROR(XLOOKUP(C30,MASTER!$K:$K,MASTER!$M:$M),"")</f>
      </c>
      <c r="E30" s="13">
        <f>IFERROR(XLOOKUP(C30,MASTER!$K:$K,MASTER!$N:$N),"")</f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ht="20" customHeight="1" spans="1:16" x14ac:dyDescent="0.25">
      <c r="A31" s="13">
        <f>IF(G31&lt;&gt;"",ROW()-2,"")</f>
      </c>
      <c r="B31" s="13">
        <f>IF(G31="","",IFERROR(XLOOKUP(KONTEKS!C5,KONTEKS!C5,KONTEKS!C5,"?"),"?")&amp;"."&amp;IFERROR(XLOOKUP(H31,MASTER!$E:$E,MASTER!$F:$F),"?")&amp;"."&amp;TEXT(COUNTIFS($H$3:H31,H31,$G$3:G31,"&lt;&gt;"),"000")</f>
      </c>
      <c r="C31" s="9"/>
      <c r="D31" s="13">
        <f>IFERROR(XLOOKUP(C31,MASTER!$K:$K,MASTER!$M:$M),"")</f>
      </c>
      <c r="E31" s="13">
        <f>IFERROR(XLOOKUP(C31,MASTER!$K:$K,MASTER!$N:$N),"")</f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ht="20" customHeight="1" spans="1:16" x14ac:dyDescent="0.25">
      <c r="A32" s="13">
        <f>IF(G32&lt;&gt;"",ROW()-2,"")</f>
      </c>
      <c r="B32" s="13">
        <f>IF(G32="","",IFERROR(XLOOKUP(KONTEKS!C5,KONTEKS!C5,KONTEKS!C5,"?"),"?")&amp;"."&amp;IFERROR(XLOOKUP(H32,MASTER!$E:$E,MASTER!$F:$F),"?")&amp;"."&amp;TEXT(COUNTIFS($H$3:H32,H32,$G$3:G32,"&lt;&gt;"),"000")</f>
      </c>
      <c r="C32" s="9"/>
      <c r="D32" s="13">
        <f>IFERROR(XLOOKUP(C32,MASTER!$K:$K,MASTER!$M:$M),"")</f>
      </c>
      <c r="E32" s="13">
        <f>IFERROR(XLOOKUP(C32,MASTER!$K:$K,MASTER!$N:$N),"")</f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ht="20" customHeight="1" spans="1:16" x14ac:dyDescent="0.25">
      <c r="A33" s="13">
        <f>IF(G33&lt;&gt;"",ROW()-2,"")</f>
      </c>
      <c r="B33" s="13">
        <f>IF(G33="","",IFERROR(XLOOKUP(KONTEKS!C5,KONTEKS!C5,KONTEKS!C5,"?"),"?")&amp;"."&amp;IFERROR(XLOOKUP(H33,MASTER!$E:$E,MASTER!$F:$F),"?")&amp;"."&amp;TEXT(COUNTIFS($H$3:H33,H33,$G$3:G33,"&lt;&gt;"),"000")</f>
      </c>
      <c r="C33" s="9"/>
      <c r="D33" s="13">
        <f>IFERROR(XLOOKUP(C33,MASTER!$K:$K,MASTER!$M:$M),"")</f>
      </c>
      <c r="E33" s="13">
        <f>IFERROR(XLOOKUP(C33,MASTER!$K:$K,MASTER!$N:$N),"")</f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ht="20" customHeight="1" spans="1:16" x14ac:dyDescent="0.25">
      <c r="A34" s="13">
        <f>IF(G34&lt;&gt;"",ROW()-2,"")</f>
      </c>
      <c r="B34" s="13">
        <f>IF(G34="","",IFERROR(XLOOKUP(KONTEKS!C5,KONTEKS!C5,KONTEKS!C5,"?"),"?")&amp;"."&amp;IFERROR(XLOOKUP(H34,MASTER!$E:$E,MASTER!$F:$F),"?")&amp;"."&amp;TEXT(COUNTIFS($H$3:H34,H34,$G$3:G34,"&lt;&gt;"),"000")</f>
      </c>
      <c r="C34" s="9"/>
      <c r="D34" s="13">
        <f>IFERROR(XLOOKUP(C34,MASTER!$K:$K,MASTER!$M:$M),"")</f>
      </c>
      <c r="E34" s="13">
        <f>IFERROR(XLOOKUP(C34,MASTER!$K:$K,MASTER!$N:$N),"")</f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ht="20" customHeight="1" spans="1:16" x14ac:dyDescent="0.25">
      <c r="A35" s="13">
        <f>IF(G35&lt;&gt;"",ROW()-2,"")</f>
      </c>
      <c r="B35" s="13">
        <f>IF(G35="","",IFERROR(XLOOKUP(KONTEKS!C5,KONTEKS!C5,KONTEKS!C5,"?"),"?")&amp;"."&amp;IFERROR(XLOOKUP(H35,MASTER!$E:$E,MASTER!$F:$F),"?")&amp;"."&amp;TEXT(COUNTIFS($H$3:H35,H35,$G$3:G35,"&lt;&gt;"),"000")</f>
      </c>
      <c r="C35" s="9"/>
      <c r="D35" s="13">
        <f>IFERROR(XLOOKUP(C35,MASTER!$K:$K,MASTER!$M:$M),"")</f>
      </c>
      <c r="E35" s="13">
        <f>IFERROR(XLOOKUP(C35,MASTER!$K:$K,MASTER!$N:$N),"")</f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ht="20" customHeight="1" spans="1:16" x14ac:dyDescent="0.25">
      <c r="A36" s="13">
        <f>IF(G36&lt;&gt;"",ROW()-2,"")</f>
      </c>
      <c r="B36" s="13">
        <f>IF(G36="","",IFERROR(XLOOKUP(KONTEKS!C5,KONTEKS!C5,KONTEKS!C5,"?"),"?")&amp;"."&amp;IFERROR(XLOOKUP(H36,MASTER!$E:$E,MASTER!$F:$F),"?")&amp;"."&amp;TEXT(COUNTIFS($H$3:H36,H36,$G$3:G36,"&lt;&gt;"),"000")</f>
      </c>
      <c r="C36" s="9"/>
      <c r="D36" s="13">
        <f>IFERROR(XLOOKUP(C36,MASTER!$K:$K,MASTER!$M:$M),"")</f>
      </c>
      <c r="E36" s="13">
        <f>IFERROR(XLOOKUP(C36,MASTER!$K:$K,MASTER!$N:$N),"")</f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ht="20" customHeight="1" spans="1:16" x14ac:dyDescent="0.25">
      <c r="A37" s="13">
        <f>IF(G37&lt;&gt;"",ROW()-2,"")</f>
      </c>
      <c r="B37" s="13">
        <f>IF(G37="","",IFERROR(XLOOKUP(KONTEKS!C5,KONTEKS!C5,KONTEKS!C5,"?"),"?")&amp;"."&amp;IFERROR(XLOOKUP(H37,MASTER!$E:$E,MASTER!$F:$F),"?")&amp;"."&amp;TEXT(COUNTIFS($H$3:H37,H37,$G$3:G37,"&lt;&gt;"),"000")</f>
      </c>
      <c r="C37" s="9"/>
      <c r="D37" s="13">
        <f>IFERROR(XLOOKUP(C37,MASTER!$K:$K,MASTER!$M:$M),"")</f>
      </c>
      <c r="E37" s="13">
        <f>IFERROR(XLOOKUP(C37,MASTER!$K:$K,MASTER!$N:$N),"")</f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ht="20" customHeight="1" spans="1:16" x14ac:dyDescent="0.25">
      <c r="A38" s="13">
        <f>IF(G38&lt;&gt;"",ROW()-2,"")</f>
      </c>
      <c r="B38" s="13">
        <f>IF(G38="","",IFERROR(XLOOKUP(KONTEKS!C5,KONTEKS!C5,KONTEKS!C5,"?"),"?")&amp;"."&amp;IFERROR(XLOOKUP(H38,MASTER!$E:$E,MASTER!$F:$F),"?")&amp;"."&amp;TEXT(COUNTIFS($H$3:H38,H38,$G$3:G38,"&lt;&gt;"),"000")</f>
      </c>
      <c r="C38" s="9"/>
      <c r="D38" s="13">
        <f>IFERROR(XLOOKUP(C38,MASTER!$K:$K,MASTER!$M:$M),"")</f>
      </c>
      <c r="E38" s="13">
        <f>IFERROR(XLOOKUP(C38,MASTER!$K:$K,MASTER!$N:$N),"")</f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ht="20" customHeight="1" spans="1:16" x14ac:dyDescent="0.25">
      <c r="A39" s="13">
        <f>IF(G39&lt;&gt;"",ROW()-2,"")</f>
      </c>
      <c r="B39" s="13">
        <f>IF(G39="","",IFERROR(XLOOKUP(KONTEKS!C5,KONTEKS!C5,KONTEKS!C5,"?"),"?")&amp;"."&amp;IFERROR(XLOOKUP(H39,MASTER!$E:$E,MASTER!$F:$F),"?")&amp;"."&amp;TEXT(COUNTIFS($H$3:H39,H39,$G$3:G39,"&lt;&gt;"),"000")</f>
      </c>
      <c r="C39" s="9"/>
      <c r="D39" s="13">
        <f>IFERROR(XLOOKUP(C39,MASTER!$K:$K,MASTER!$M:$M),"")</f>
      </c>
      <c r="E39" s="13">
        <f>IFERROR(XLOOKUP(C39,MASTER!$K:$K,MASTER!$N:$N),"")</f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ht="20" customHeight="1" spans="1:16" x14ac:dyDescent="0.25">
      <c r="A40" s="13">
        <f>IF(G40&lt;&gt;"",ROW()-2,"")</f>
      </c>
      <c r="B40" s="13">
        <f>IF(G40="","",IFERROR(XLOOKUP(KONTEKS!C5,KONTEKS!C5,KONTEKS!C5,"?"),"?")&amp;"."&amp;IFERROR(XLOOKUP(H40,MASTER!$E:$E,MASTER!$F:$F),"?")&amp;"."&amp;TEXT(COUNTIFS($H$3:H40,H40,$G$3:G40,"&lt;&gt;"),"000")</f>
      </c>
      <c r="C40" s="9"/>
      <c r="D40" s="13">
        <f>IFERROR(XLOOKUP(C40,MASTER!$K:$K,MASTER!$M:$M),"")</f>
      </c>
      <c r="E40" s="13">
        <f>IFERROR(XLOOKUP(C40,MASTER!$K:$K,MASTER!$N:$N),"")</f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ht="20" customHeight="1" spans="1:16" x14ac:dyDescent="0.25">
      <c r="A41" s="13">
        <f>IF(G41&lt;&gt;"",ROW()-2,"")</f>
      </c>
      <c r="B41" s="13">
        <f>IF(G41="","",IFERROR(XLOOKUP(KONTEKS!C5,KONTEKS!C5,KONTEKS!C5,"?"),"?")&amp;"."&amp;IFERROR(XLOOKUP(H41,MASTER!$E:$E,MASTER!$F:$F),"?")&amp;"."&amp;TEXT(COUNTIFS($H$3:H41,H41,$G$3:G41,"&lt;&gt;"),"000")</f>
      </c>
      <c r="C41" s="9"/>
      <c r="D41" s="13">
        <f>IFERROR(XLOOKUP(C41,MASTER!$K:$K,MASTER!$M:$M),"")</f>
      </c>
      <c r="E41" s="13">
        <f>IFERROR(XLOOKUP(C41,MASTER!$K:$K,MASTER!$N:$N),"")</f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ht="20" customHeight="1" spans="1:16" x14ac:dyDescent="0.25">
      <c r="A42" s="13">
        <f>IF(G42&lt;&gt;"",ROW()-2,"")</f>
      </c>
      <c r="B42" s="13">
        <f>IF(G42="","",IFERROR(XLOOKUP(KONTEKS!C5,KONTEKS!C5,KONTEKS!C5,"?"),"?")&amp;"."&amp;IFERROR(XLOOKUP(H42,MASTER!$E:$E,MASTER!$F:$F),"?")&amp;"."&amp;TEXT(COUNTIFS($H$3:H42,H42,$G$3:G42,"&lt;&gt;"),"000")</f>
      </c>
      <c r="C42" s="9"/>
      <c r="D42" s="13">
        <f>IFERROR(XLOOKUP(C42,MASTER!$K:$K,MASTER!$M:$M),"")</f>
      </c>
      <c r="E42" s="13">
        <f>IFERROR(XLOOKUP(C42,MASTER!$K:$K,MASTER!$N:$N),"")</f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ht="20" customHeight="1" spans="1:16" x14ac:dyDescent="0.25">
      <c r="A43" s="13">
        <f>IF(G43&lt;&gt;"",ROW()-2,"")</f>
      </c>
      <c r="B43" s="13">
        <f>IF(G43="","",IFERROR(XLOOKUP(KONTEKS!C5,KONTEKS!C5,KONTEKS!C5,"?"),"?")&amp;"."&amp;IFERROR(XLOOKUP(H43,MASTER!$E:$E,MASTER!$F:$F),"?")&amp;"."&amp;TEXT(COUNTIFS($H$3:H43,H43,$G$3:G43,"&lt;&gt;"),"000")</f>
      </c>
      <c r="C43" s="9"/>
      <c r="D43" s="13">
        <f>IFERROR(XLOOKUP(C43,MASTER!$K:$K,MASTER!$M:$M),"")</f>
      </c>
      <c r="E43" s="13">
        <f>IFERROR(XLOOKUP(C43,MASTER!$K:$K,MASTER!$N:$N),"")</f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ht="20" customHeight="1" spans="1:16" x14ac:dyDescent="0.25">
      <c r="A44" s="13">
        <f>IF(G44&lt;&gt;"",ROW()-2,"")</f>
      </c>
      <c r="B44" s="13">
        <f>IF(G44="","",IFERROR(XLOOKUP(KONTEKS!C5,KONTEKS!C5,KONTEKS!C5,"?"),"?")&amp;"."&amp;IFERROR(XLOOKUP(H44,MASTER!$E:$E,MASTER!$F:$F),"?")&amp;"."&amp;TEXT(COUNTIFS($H$3:H44,H44,$G$3:G44,"&lt;&gt;"),"000")</f>
      </c>
      <c r="C44" s="9"/>
      <c r="D44" s="13">
        <f>IFERROR(XLOOKUP(C44,MASTER!$K:$K,MASTER!$M:$M),"")</f>
      </c>
      <c r="E44" s="13">
        <f>IFERROR(XLOOKUP(C44,MASTER!$K:$K,MASTER!$N:$N),"")</f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ht="20" customHeight="1" spans="1:16" x14ac:dyDescent="0.25">
      <c r="A45" s="13">
        <f>IF(G45&lt;&gt;"",ROW()-2,"")</f>
      </c>
      <c r="B45" s="13">
        <f>IF(G45="","",IFERROR(XLOOKUP(KONTEKS!C5,KONTEKS!C5,KONTEKS!C5,"?"),"?")&amp;"."&amp;IFERROR(XLOOKUP(H45,MASTER!$E:$E,MASTER!$F:$F),"?")&amp;"."&amp;TEXT(COUNTIFS($H$3:H45,H45,$G$3:G45,"&lt;&gt;"),"000")</f>
      </c>
      <c r="C45" s="9"/>
      <c r="D45" s="13">
        <f>IFERROR(XLOOKUP(C45,MASTER!$K:$K,MASTER!$M:$M),"")</f>
      </c>
      <c r="E45" s="13">
        <f>IFERROR(XLOOKUP(C45,MASTER!$K:$K,MASTER!$N:$N),"")</f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ht="20" customHeight="1" spans="1:16" x14ac:dyDescent="0.25">
      <c r="A46" s="13">
        <f>IF(G46&lt;&gt;"",ROW()-2,"")</f>
      </c>
      <c r="B46" s="13">
        <f>IF(G46="","",IFERROR(XLOOKUP(KONTEKS!C5,KONTEKS!C5,KONTEKS!C5,"?"),"?")&amp;"."&amp;IFERROR(XLOOKUP(H46,MASTER!$E:$E,MASTER!$F:$F),"?")&amp;"."&amp;TEXT(COUNTIFS($H$3:H46,H46,$G$3:G46,"&lt;&gt;"),"000")</f>
      </c>
      <c r="C46" s="9"/>
      <c r="D46" s="13">
        <f>IFERROR(XLOOKUP(C46,MASTER!$K:$K,MASTER!$M:$M),"")</f>
      </c>
      <c r="E46" s="13">
        <f>IFERROR(XLOOKUP(C46,MASTER!$K:$K,MASTER!$N:$N),"")</f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ht="20" customHeight="1" spans="1:16" x14ac:dyDescent="0.25">
      <c r="A47" s="13">
        <f>IF(G47&lt;&gt;"",ROW()-2,"")</f>
      </c>
      <c r="B47" s="13">
        <f>IF(G47="","",IFERROR(XLOOKUP(KONTEKS!C5,KONTEKS!C5,KONTEKS!C5,"?"),"?")&amp;"."&amp;IFERROR(XLOOKUP(H47,MASTER!$E:$E,MASTER!$F:$F),"?")&amp;"."&amp;TEXT(COUNTIFS($H$3:H47,H47,$G$3:G47,"&lt;&gt;"),"000")</f>
      </c>
      <c r="C47" s="9"/>
      <c r="D47" s="13">
        <f>IFERROR(XLOOKUP(C47,MASTER!$K:$K,MASTER!$M:$M),"")</f>
      </c>
      <c r="E47" s="13">
        <f>IFERROR(XLOOKUP(C47,MASTER!$K:$K,MASTER!$N:$N),"")</f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ht="20" customHeight="1" spans="1:16" x14ac:dyDescent="0.25">
      <c r="A48" s="13">
        <f>IF(G48&lt;&gt;"",ROW()-2,"")</f>
      </c>
      <c r="B48" s="13">
        <f>IF(G48="","",IFERROR(XLOOKUP(KONTEKS!C5,KONTEKS!C5,KONTEKS!C5,"?"),"?")&amp;"."&amp;IFERROR(XLOOKUP(H48,MASTER!$E:$E,MASTER!$F:$F),"?")&amp;"."&amp;TEXT(COUNTIFS($H$3:H48,H48,$G$3:G48,"&lt;&gt;"),"000")</f>
      </c>
      <c r="C48" s="9"/>
      <c r="D48" s="13">
        <f>IFERROR(XLOOKUP(C48,MASTER!$K:$K,MASTER!$M:$M),"")</f>
      </c>
      <c r="E48" s="13">
        <f>IFERROR(XLOOKUP(C48,MASTER!$K:$K,MASTER!$N:$N),"")</f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ht="20" customHeight="1" spans="1:16" x14ac:dyDescent="0.25">
      <c r="A49" s="13">
        <f>IF(G49&lt;&gt;"",ROW()-2,"")</f>
      </c>
      <c r="B49" s="13">
        <f>IF(G49="","",IFERROR(XLOOKUP(KONTEKS!C5,KONTEKS!C5,KONTEKS!C5,"?"),"?")&amp;"."&amp;IFERROR(XLOOKUP(H49,MASTER!$E:$E,MASTER!$F:$F),"?")&amp;"."&amp;TEXT(COUNTIFS($H$3:H49,H49,$G$3:G49,"&lt;&gt;"),"000")</f>
      </c>
      <c r="C49" s="9"/>
      <c r="D49" s="13">
        <f>IFERROR(XLOOKUP(C49,MASTER!$K:$K,MASTER!$M:$M),"")</f>
      </c>
      <c r="E49" s="13">
        <f>IFERROR(XLOOKUP(C49,MASTER!$K:$K,MASTER!$N:$N),"")</f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ht="20" customHeight="1" spans="1:16" x14ac:dyDescent="0.25">
      <c r="A50" s="13">
        <f>IF(G50&lt;&gt;"",ROW()-2,"")</f>
      </c>
      <c r="B50" s="13">
        <f>IF(G50="","",IFERROR(XLOOKUP(KONTEKS!C5,KONTEKS!C5,KONTEKS!C5,"?"),"?")&amp;"."&amp;IFERROR(XLOOKUP(H50,MASTER!$E:$E,MASTER!$F:$F),"?")&amp;"."&amp;TEXT(COUNTIFS($H$3:H50,H50,$G$3:G50,"&lt;&gt;"),"000")</f>
      </c>
      <c r="C50" s="9"/>
      <c r="D50" s="13">
        <f>IFERROR(XLOOKUP(C50,MASTER!$K:$K,MASTER!$M:$M),"")</f>
      </c>
      <c r="E50" s="13">
        <f>IFERROR(XLOOKUP(C50,MASTER!$K:$K,MASTER!$N:$N),"")</f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ht="20" customHeight="1" spans="1:16" x14ac:dyDescent="0.25">
      <c r="A51" s="13">
        <f>IF(G51&lt;&gt;"",ROW()-2,"")</f>
      </c>
      <c r="B51" s="13">
        <f>IF(G51="","",IFERROR(XLOOKUP(KONTEKS!C5,KONTEKS!C5,KONTEKS!C5,"?"),"?")&amp;"."&amp;IFERROR(XLOOKUP(H51,MASTER!$E:$E,MASTER!$F:$F),"?")&amp;"."&amp;TEXT(COUNTIFS($H$3:H51,H51,$G$3:G51,"&lt;&gt;"),"000")</f>
      </c>
      <c r="C51" s="9"/>
      <c r="D51" s="13">
        <f>IFERROR(XLOOKUP(C51,MASTER!$K:$K,MASTER!$M:$M),"")</f>
      </c>
      <c r="E51" s="13">
        <f>IFERROR(XLOOKUP(C51,MASTER!$K:$K,MASTER!$N:$N),"")</f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ht="20" customHeight="1" spans="1:16" x14ac:dyDescent="0.25">
      <c r="A52" s="13">
        <f>IF(G52&lt;&gt;"",ROW()-2,"")</f>
      </c>
      <c r="B52" s="13">
        <f>IF(G52="","",IFERROR(XLOOKUP(KONTEKS!C5,KONTEKS!C5,KONTEKS!C5,"?"),"?")&amp;"."&amp;IFERROR(XLOOKUP(H52,MASTER!$E:$E,MASTER!$F:$F),"?")&amp;"."&amp;TEXT(COUNTIFS($H$3:H52,H52,$G$3:G52,"&lt;&gt;"),"000")</f>
      </c>
      <c r="C52" s="9"/>
      <c r="D52" s="13">
        <f>IFERROR(XLOOKUP(C52,MASTER!$K:$K,MASTER!$M:$M),"")</f>
      </c>
      <c r="E52" s="13">
        <f>IFERROR(XLOOKUP(C52,MASTER!$K:$K,MASTER!$N:$N),"")</f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</sheetData>
  <mergeCells count="1">
    <mergeCell ref="A1:P1"/>
  </mergeCells>
  <dataValidations count="200">
    <dataValidation type="list" allowBlank="1" showErrorMessage="1" errorTitle="Nilai tidak valid" error="Pilih dari daftar yang tersedia." sqref="C10:C10">
      <formula1>MASTER!$K$2:$K$32</formula1>
    </dataValidation>
    <dataValidation type="list" allowBlank="1" showErrorMessage="1" errorTitle="Nilai tidak valid" error="Pilih dari daftar yang tersedia." sqref="C11:C11">
      <formula1>MASTER!$K$2:$K$32</formula1>
    </dataValidation>
    <dataValidation type="list" allowBlank="1" showErrorMessage="1" errorTitle="Nilai tidak valid" error="Pilih dari daftar yang tersedia." sqref="C12:C12">
      <formula1>MASTER!$K$2:$K$32</formula1>
    </dataValidation>
    <dataValidation type="list" allowBlank="1" showErrorMessage="1" errorTitle="Nilai tidak valid" error="Pilih dari daftar yang tersedia." sqref="C13:C13">
      <formula1>MASTER!$K$2:$K$32</formula1>
    </dataValidation>
    <dataValidation type="list" allowBlank="1" showErrorMessage="1" errorTitle="Nilai tidak valid" error="Pilih dari daftar yang tersedia." sqref="C14:C14">
      <formula1>MASTER!$K$2:$K$32</formula1>
    </dataValidation>
    <dataValidation type="list" allowBlank="1" showErrorMessage="1" errorTitle="Nilai tidak valid" error="Pilih dari daftar yang tersedia." sqref="C15:C15">
      <formula1>MASTER!$K$2:$K$32</formula1>
    </dataValidation>
    <dataValidation type="list" allowBlank="1" showErrorMessage="1" errorTitle="Nilai tidak valid" error="Pilih dari daftar yang tersedia." sqref="C16:C16">
      <formula1>MASTER!$K$2:$K$32</formula1>
    </dataValidation>
    <dataValidation type="list" allowBlank="1" showErrorMessage="1" errorTitle="Nilai tidak valid" error="Pilih dari daftar yang tersedia." sqref="C17:C17">
      <formula1>MASTER!$K$2:$K$32</formula1>
    </dataValidation>
    <dataValidation type="list" allowBlank="1" showErrorMessage="1" errorTitle="Nilai tidak valid" error="Pilih dari daftar yang tersedia." sqref="C18:C18">
      <formula1>MASTER!$K$2:$K$32</formula1>
    </dataValidation>
    <dataValidation type="list" allowBlank="1" showErrorMessage="1" errorTitle="Nilai tidak valid" error="Pilih dari daftar yang tersedia." sqref="C19:C19">
      <formula1>MASTER!$K$2:$K$32</formula1>
    </dataValidation>
    <dataValidation type="list" allowBlank="1" showErrorMessage="1" errorTitle="Nilai tidak valid" error="Pilih dari daftar yang tersedia." sqref="C20:C20">
      <formula1>MASTER!$K$2:$K$32</formula1>
    </dataValidation>
    <dataValidation type="list" allowBlank="1" showErrorMessage="1" errorTitle="Nilai tidak valid" error="Pilih dari daftar yang tersedia." sqref="C21:C21">
      <formula1>MASTER!$K$2:$K$32</formula1>
    </dataValidation>
    <dataValidation type="list" allowBlank="1" showErrorMessage="1" errorTitle="Nilai tidak valid" error="Pilih dari daftar yang tersedia." sqref="C22:C22">
      <formula1>MASTER!$K$2:$K$32</formula1>
    </dataValidation>
    <dataValidation type="list" allowBlank="1" showErrorMessage="1" errorTitle="Nilai tidak valid" error="Pilih dari daftar yang tersedia." sqref="C23:C23">
      <formula1>MASTER!$K$2:$K$32</formula1>
    </dataValidation>
    <dataValidation type="list" allowBlank="1" showErrorMessage="1" errorTitle="Nilai tidak valid" error="Pilih dari daftar yang tersedia." sqref="C24:C24">
      <formula1>MASTER!$K$2:$K$32</formula1>
    </dataValidation>
    <dataValidation type="list" allowBlank="1" showErrorMessage="1" errorTitle="Nilai tidak valid" error="Pilih dari daftar yang tersedia." sqref="C25:C25">
      <formula1>MASTER!$K$2:$K$32</formula1>
    </dataValidation>
    <dataValidation type="list" allowBlank="1" showErrorMessage="1" errorTitle="Nilai tidak valid" error="Pilih dari daftar yang tersedia." sqref="C26:C26">
      <formula1>MASTER!$K$2:$K$32</formula1>
    </dataValidation>
    <dataValidation type="list" allowBlank="1" showErrorMessage="1" errorTitle="Nilai tidak valid" error="Pilih dari daftar yang tersedia." sqref="C27:C27">
      <formula1>MASTER!$K$2:$K$32</formula1>
    </dataValidation>
    <dataValidation type="list" allowBlank="1" showErrorMessage="1" errorTitle="Nilai tidak valid" error="Pilih dari daftar yang tersedia." sqref="C28:C28">
      <formula1>MASTER!$K$2:$K$32</formula1>
    </dataValidation>
    <dataValidation type="list" allowBlank="1" showErrorMessage="1" errorTitle="Nilai tidak valid" error="Pilih dari daftar yang tersedia." sqref="C29:C29">
      <formula1>MASTER!$K$2:$K$32</formula1>
    </dataValidation>
    <dataValidation type="list" allowBlank="1" showErrorMessage="1" errorTitle="Nilai tidak valid" error="Pilih dari daftar yang tersedia." sqref="C30:C30">
      <formula1>MASTER!$K$2:$K$32</formula1>
    </dataValidation>
    <dataValidation type="list" allowBlank="1" showErrorMessage="1" errorTitle="Nilai tidak valid" error="Pilih dari daftar yang tersedia." sqref="C31:C31">
      <formula1>MASTER!$K$2:$K$32</formula1>
    </dataValidation>
    <dataValidation type="list" allowBlank="1" showErrorMessage="1" errorTitle="Nilai tidak valid" error="Pilih dari daftar yang tersedia." sqref="C32:C32">
      <formula1>MASTER!$K$2:$K$32</formula1>
    </dataValidation>
    <dataValidation type="list" allowBlank="1" showErrorMessage="1" errorTitle="Nilai tidak valid" error="Pilih dari daftar yang tersedia." sqref="C33:C33">
      <formula1>MASTER!$K$2:$K$32</formula1>
    </dataValidation>
    <dataValidation type="list" allowBlank="1" showErrorMessage="1" errorTitle="Nilai tidak valid" error="Pilih dari daftar yang tersedia." sqref="C34:C34">
      <formula1>MASTER!$K$2:$K$32</formula1>
    </dataValidation>
    <dataValidation type="list" allowBlank="1" showErrorMessage="1" errorTitle="Nilai tidak valid" error="Pilih dari daftar yang tersedia." sqref="C35:C35">
      <formula1>MASTER!$K$2:$K$32</formula1>
    </dataValidation>
    <dataValidation type="list" allowBlank="1" showErrorMessage="1" errorTitle="Nilai tidak valid" error="Pilih dari daftar yang tersedia." sqref="C36:C36">
      <formula1>MASTER!$K$2:$K$32</formula1>
    </dataValidation>
    <dataValidation type="list" allowBlank="1" showErrorMessage="1" errorTitle="Nilai tidak valid" error="Pilih dari daftar yang tersedia." sqref="C37:C37">
      <formula1>MASTER!$K$2:$K$32</formula1>
    </dataValidation>
    <dataValidation type="list" allowBlank="1" showErrorMessage="1" errorTitle="Nilai tidak valid" error="Pilih dari daftar yang tersedia." sqref="C38:C38">
      <formula1>MASTER!$K$2:$K$32</formula1>
    </dataValidation>
    <dataValidation type="list" allowBlank="1" showErrorMessage="1" errorTitle="Nilai tidak valid" error="Pilih dari daftar yang tersedia." sqref="C39:C39">
      <formula1>MASTER!$K$2:$K$32</formula1>
    </dataValidation>
    <dataValidation type="list" allowBlank="1" showErrorMessage="1" errorTitle="Nilai tidak valid" error="Pilih dari daftar yang tersedia." sqref="C3:C3">
      <formula1>MASTER!$K$2:$K$32</formula1>
    </dataValidation>
    <dataValidation type="list" allowBlank="1" showErrorMessage="1" errorTitle="Nilai tidak valid" error="Pilih dari daftar yang tersedia." sqref="C40:C40">
      <formula1>MASTER!$K$2:$K$32</formula1>
    </dataValidation>
    <dataValidation type="list" allowBlank="1" showErrorMessage="1" errorTitle="Nilai tidak valid" error="Pilih dari daftar yang tersedia." sqref="C41:C41">
      <formula1>MASTER!$K$2:$K$32</formula1>
    </dataValidation>
    <dataValidation type="list" allowBlank="1" showErrorMessage="1" errorTitle="Nilai tidak valid" error="Pilih dari daftar yang tersedia." sqref="C42:C42">
      <formula1>MASTER!$K$2:$K$32</formula1>
    </dataValidation>
    <dataValidation type="list" allowBlank="1" showErrorMessage="1" errorTitle="Nilai tidak valid" error="Pilih dari daftar yang tersedia." sqref="C43:C43">
      <formula1>MASTER!$K$2:$K$32</formula1>
    </dataValidation>
    <dataValidation type="list" allowBlank="1" showErrorMessage="1" errorTitle="Nilai tidak valid" error="Pilih dari daftar yang tersedia." sqref="C44:C44">
      <formula1>MASTER!$K$2:$K$32</formula1>
    </dataValidation>
    <dataValidation type="list" allowBlank="1" showErrorMessage="1" errorTitle="Nilai tidak valid" error="Pilih dari daftar yang tersedia." sqref="C45:C45">
      <formula1>MASTER!$K$2:$K$32</formula1>
    </dataValidation>
    <dataValidation type="list" allowBlank="1" showErrorMessage="1" errorTitle="Nilai tidak valid" error="Pilih dari daftar yang tersedia." sqref="C46:C46">
      <formula1>MASTER!$K$2:$K$32</formula1>
    </dataValidation>
    <dataValidation type="list" allowBlank="1" showErrorMessage="1" errorTitle="Nilai tidak valid" error="Pilih dari daftar yang tersedia." sqref="C47:C47">
      <formula1>MASTER!$K$2:$K$32</formula1>
    </dataValidation>
    <dataValidation type="list" allowBlank="1" showErrorMessage="1" errorTitle="Nilai tidak valid" error="Pilih dari daftar yang tersedia." sqref="C48:C48">
      <formula1>MASTER!$K$2:$K$32</formula1>
    </dataValidation>
    <dataValidation type="list" allowBlank="1" showErrorMessage="1" errorTitle="Nilai tidak valid" error="Pilih dari daftar yang tersedia." sqref="C49:C49">
      <formula1>MASTER!$K$2:$K$32</formula1>
    </dataValidation>
    <dataValidation type="list" allowBlank="1" showErrorMessage="1" errorTitle="Nilai tidak valid" error="Pilih dari daftar yang tersedia." sqref="C4:C4">
      <formula1>MASTER!$K$2:$K$32</formula1>
    </dataValidation>
    <dataValidation type="list" allowBlank="1" showErrorMessage="1" errorTitle="Nilai tidak valid" error="Pilih dari daftar yang tersedia." sqref="C50:C50">
      <formula1>MASTER!$K$2:$K$32</formula1>
    </dataValidation>
    <dataValidation type="list" allowBlank="1" showErrorMessage="1" errorTitle="Nilai tidak valid" error="Pilih dari daftar yang tersedia." sqref="C51:C51">
      <formula1>MASTER!$K$2:$K$32</formula1>
    </dataValidation>
    <dataValidation type="list" allowBlank="1" showErrorMessage="1" errorTitle="Nilai tidak valid" error="Pilih dari daftar yang tersedia." sqref="C52:C52">
      <formula1>MASTER!$K$2:$K$32</formula1>
    </dataValidation>
    <dataValidation type="list" allowBlank="1" showErrorMessage="1" errorTitle="Nilai tidak valid" error="Pilih dari daftar yang tersedia." sqref="C5:C5">
      <formula1>MASTER!$K$2:$K$32</formula1>
    </dataValidation>
    <dataValidation type="list" allowBlank="1" showErrorMessage="1" errorTitle="Nilai tidak valid" error="Pilih dari daftar yang tersedia." sqref="C6:C6">
      <formula1>MASTER!$K$2:$K$32</formula1>
    </dataValidation>
    <dataValidation type="list" allowBlank="1" showErrorMessage="1" errorTitle="Nilai tidak valid" error="Pilih dari daftar yang tersedia." sqref="C7:C7">
      <formula1>MASTER!$K$2:$K$32</formula1>
    </dataValidation>
    <dataValidation type="list" allowBlank="1" showErrorMessage="1" errorTitle="Nilai tidak valid" error="Pilih dari daftar yang tersedia." sqref="C8:C8">
      <formula1>MASTER!$K$2:$K$32</formula1>
    </dataValidation>
    <dataValidation type="list" allowBlank="1" showErrorMessage="1" errorTitle="Nilai tidak valid" error="Pilih dari daftar yang tersedia." sqref="C9:C9">
      <formula1>MASTER!$K$2:$K$32</formula1>
    </dataValidation>
    <dataValidation type="list" allowBlank="1" showErrorMessage="1" errorTitle="Nilai tidak valid" error="Pilih dari daftar yang tersedia." sqref="H10:H10">
      <formula1>MASTER!$E$2:$E$8</formula1>
    </dataValidation>
    <dataValidation type="list" allowBlank="1" showErrorMessage="1" errorTitle="Nilai tidak valid" error="Pilih dari daftar yang tersedia." sqref="H11:H11">
      <formula1>MASTER!$E$2:$E$8</formula1>
    </dataValidation>
    <dataValidation type="list" allowBlank="1" showErrorMessage="1" errorTitle="Nilai tidak valid" error="Pilih dari daftar yang tersedia." sqref="H12:H12">
      <formula1>MASTER!$E$2:$E$8</formula1>
    </dataValidation>
    <dataValidation type="list" allowBlank="1" showErrorMessage="1" errorTitle="Nilai tidak valid" error="Pilih dari daftar yang tersedia." sqref="H13:H13">
      <formula1>MASTER!$E$2:$E$8</formula1>
    </dataValidation>
    <dataValidation type="list" allowBlank="1" showErrorMessage="1" errorTitle="Nilai tidak valid" error="Pilih dari daftar yang tersedia." sqref="H14:H14">
      <formula1>MASTER!$E$2:$E$8</formula1>
    </dataValidation>
    <dataValidation type="list" allowBlank="1" showErrorMessage="1" errorTitle="Nilai tidak valid" error="Pilih dari daftar yang tersedia." sqref="H15:H15">
      <formula1>MASTER!$E$2:$E$8</formula1>
    </dataValidation>
    <dataValidation type="list" allowBlank="1" showErrorMessage="1" errorTitle="Nilai tidak valid" error="Pilih dari daftar yang tersedia." sqref="H16:H16">
      <formula1>MASTER!$E$2:$E$8</formula1>
    </dataValidation>
    <dataValidation type="list" allowBlank="1" showErrorMessage="1" errorTitle="Nilai tidak valid" error="Pilih dari daftar yang tersedia." sqref="H17:H17">
      <formula1>MASTER!$E$2:$E$8</formula1>
    </dataValidation>
    <dataValidation type="list" allowBlank="1" showErrorMessage="1" errorTitle="Nilai tidak valid" error="Pilih dari daftar yang tersedia." sqref="H18:H18">
      <formula1>MASTER!$E$2:$E$8</formula1>
    </dataValidation>
    <dataValidation type="list" allowBlank="1" showErrorMessage="1" errorTitle="Nilai tidak valid" error="Pilih dari daftar yang tersedia." sqref="H19:H19">
      <formula1>MASTER!$E$2:$E$8</formula1>
    </dataValidation>
    <dataValidation type="list" allowBlank="1" showErrorMessage="1" errorTitle="Nilai tidak valid" error="Pilih dari daftar yang tersedia." sqref="H20:H20">
      <formula1>MASTER!$E$2:$E$8</formula1>
    </dataValidation>
    <dataValidation type="list" allowBlank="1" showErrorMessage="1" errorTitle="Nilai tidak valid" error="Pilih dari daftar yang tersedia." sqref="H21:H21">
      <formula1>MASTER!$E$2:$E$8</formula1>
    </dataValidation>
    <dataValidation type="list" allowBlank="1" showErrorMessage="1" errorTitle="Nilai tidak valid" error="Pilih dari daftar yang tersedia." sqref="H22:H22">
      <formula1>MASTER!$E$2:$E$8</formula1>
    </dataValidation>
    <dataValidation type="list" allowBlank="1" showErrorMessage="1" errorTitle="Nilai tidak valid" error="Pilih dari daftar yang tersedia." sqref="H23:H23">
      <formula1>MASTER!$E$2:$E$8</formula1>
    </dataValidation>
    <dataValidation type="list" allowBlank="1" showErrorMessage="1" errorTitle="Nilai tidak valid" error="Pilih dari daftar yang tersedia." sqref="H24:H24">
      <formula1>MASTER!$E$2:$E$8</formula1>
    </dataValidation>
    <dataValidation type="list" allowBlank="1" showErrorMessage="1" errorTitle="Nilai tidak valid" error="Pilih dari daftar yang tersedia." sqref="H25:H25">
      <formula1>MASTER!$E$2:$E$8</formula1>
    </dataValidation>
    <dataValidation type="list" allowBlank="1" showErrorMessage="1" errorTitle="Nilai tidak valid" error="Pilih dari daftar yang tersedia." sqref="H26:H26">
      <formula1>MASTER!$E$2:$E$8</formula1>
    </dataValidation>
    <dataValidation type="list" allowBlank="1" showErrorMessage="1" errorTitle="Nilai tidak valid" error="Pilih dari daftar yang tersedia." sqref="H27:H27">
      <formula1>MASTER!$E$2:$E$8</formula1>
    </dataValidation>
    <dataValidation type="list" allowBlank="1" showErrorMessage="1" errorTitle="Nilai tidak valid" error="Pilih dari daftar yang tersedia." sqref="H28:H28">
      <formula1>MASTER!$E$2:$E$8</formula1>
    </dataValidation>
    <dataValidation type="list" allowBlank="1" showErrorMessage="1" errorTitle="Nilai tidak valid" error="Pilih dari daftar yang tersedia." sqref="H29:H29">
      <formula1>MASTER!$E$2:$E$8</formula1>
    </dataValidation>
    <dataValidation type="list" allowBlank="1" showErrorMessage="1" errorTitle="Nilai tidak valid" error="Pilih dari daftar yang tersedia." sqref="H30:H30">
      <formula1>MASTER!$E$2:$E$8</formula1>
    </dataValidation>
    <dataValidation type="list" allowBlank="1" showErrorMessage="1" errorTitle="Nilai tidak valid" error="Pilih dari daftar yang tersedia." sqref="H31:H31">
      <formula1>MASTER!$E$2:$E$8</formula1>
    </dataValidation>
    <dataValidation type="list" allowBlank="1" showErrorMessage="1" errorTitle="Nilai tidak valid" error="Pilih dari daftar yang tersedia." sqref="H32:H32">
      <formula1>MASTER!$E$2:$E$8</formula1>
    </dataValidation>
    <dataValidation type="list" allowBlank="1" showErrorMessage="1" errorTitle="Nilai tidak valid" error="Pilih dari daftar yang tersedia." sqref="H33:H33">
      <formula1>MASTER!$E$2:$E$8</formula1>
    </dataValidation>
    <dataValidation type="list" allowBlank="1" showErrorMessage="1" errorTitle="Nilai tidak valid" error="Pilih dari daftar yang tersedia." sqref="H34:H34">
      <formula1>MASTER!$E$2:$E$8</formula1>
    </dataValidation>
    <dataValidation type="list" allowBlank="1" showErrorMessage="1" errorTitle="Nilai tidak valid" error="Pilih dari daftar yang tersedia." sqref="H35:H35">
      <formula1>MASTER!$E$2:$E$8</formula1>
    </dataValidation>
    <dataValidation type="list" allowBlank="1" showErrorMessage="1" errorTitle="Nilai tidak valid" error="Pilih dari daftar yang tersedia." sqref="H36:H36">
      <formula1>MASTER!$E$2:$E$8</formula1>
    </dataValidation>
    <dataValidation type="list" allowBlank="1" showErrorMessage="1" errorTitle="Nilai tidak valid" error="Pilih dari daftar yang tersedia." sqref="H37:H37">
      <formula1>MASTER!$E$2:$E$8</formula1>
    </dataValidation>
    <dataValidation type="list" allowBlank="1" showErrorMessage="1" errorTitle="Nilai tidak valid" error="Pilih dari daftar yang tersedia." sqref="H38:H38">
      <formula1>MASTER!$E$2:$E$8</formula1>
    </dataValidation>
    <dataValidation type="list" allowBlank="1" showErrorMessage="1" errorTitle="Nilai tidak valid" error="Pilih dari daftar yang tersedia." sqref="H39:H39">
      <formula1>MASTER!$E$2:$E$8</formula1>
    </dataValidation>
    <dataValidation type="list" allowBlank="1" showErrorMessage="1" errorTitle="Nilai tidak valid" error="Pilih dari daftar yang tersedia." sqref="H3:H3">
      <formula1>MASTER!$E$2:$E$8</formula1>
    </dataValidation>
    <dataValidation type="list" allowBlank="1" showErrorMessage="1" errorTitle="Nilai tidak valid" error="Pilih dari daftar yang tersedia." sqref="H40:H40">
      <formula1>MASTER!$E$2:$E$8</formula1>
    </dataValidation>
    <dataValidation type="list" allowBlank="1" showErrorMessage="1" errorTitle="Nilai tidak valid" error="Pilih dari daftar yang tersedia." sqref="H41:H41">
      <formula1>MASTER!$E$2:$E$8</formula1>
    </dataValidation>
    <dataValidation type="list" allowBlank="1" showErrorMessage="1" errorTitle="Nilai tidak valid" error="Pilih dari daftar yang tersedia." sqref="H42:H42">
      <formula1>MASTER!$E$2:$E$8</formula1>
    </dataValidation>
    <dataValidation type="list" allowBlank="1" showErrorMessage="1" errorTitle="Nilai tidak valid" error="Pilih dari daftar yang tersedia." sqref="H43:H43">
      <formula1>MASTER!$E$2:$E$8</formula1>
    </dataValidation>
    <dataValidation type="list" allowBlank="1" showErrorMessage="1" errorTitle="Nilai tidak valid" error="Pilih dari daftar yang tersedia." sqref="H44:H44">
      <formula1>MASTER!$E$2:$E$8</formula1>
    </dataValidation>
    <dataValidation type="list" allowBlank="1" showErrorMessage="1" errorTitle="Nilai tidak valid" error="Pilih dari daftar yang tersedia." sqref="H45:H45">
      <formula1>MASTER!$E$2:$E$8</formula1>
    </dataValidation>
    <dataValidation type="list" allowBlank="1" showErrorMessage="1" errorTitle="Nilai tidak valid" error="Pilih dari daftar yang tersedia." sqref="H46:H46">
      <formula1>MASTER!$E$2:$E$8</formula1>
    </dataValidation>
    <dataValidation type="list" allowBlank="1" showErrorMessage="1" errorTitle="Nilai tidak valid" error="Pilih dari daftar yang tersedia." sqref="H47:H47">
      <formula1>MASTER!$E$2:$E$8</formula1>
    </dataValidation>
    <dataValidation type="list" allowBlank="1" showErrorMessage="1" errorTitle="Nilai tidak valid" error="Pilih dari daftar yang tersedia." sqref="H48:H48">
      <formula1>MASTER!$E$2:$E$8</formula1>
    </dataValidation>
    <dataValidation type="list" allowBlank="1" showErrorMessage="1" errorTitle="Nilai tidak valid" error="Pilih dari daftar yang tersedia." sqref="H49:H49">
      <formula1>MASTER!$E$2:$E$8</formula1>
    </dataValidation>
    <dataValidation type="list" allowBlank="1" showErrorMessage="1" errorTitle="Nilai tidak valid" error="Pilih dari daftar yang tersedia." sqref="H4:H4">
      <formula1>MASTER!$E$2:$E$8</formula1>
    </dataValidation>
    <dataValidation type="list" allowBlank="1" showErrorMessage="1" errorTitle="Nilai tidak valid" error="Pilih dari daftar yang tersedia." sqref="H50:H50">
      <formula1>MASTER!$E$2:$E$8</formula1>
    </dataValidation>
    <dataValidation type="list" allowBlank="1" showErrorMessage="1" errorTitle="Nilai tidak valid" error="Pilih dari daftar yang tersedia." sqref="H51:H51">
      <formula1>MASTER!$E$2:$E$8</formula1>
    </dataValidation>
    <dataValidation type="list" allowBlank="1" showErrorMessage="1" errorTitle="Nilai tidak valid" error="Pilih dari daftar yang tersedia." sqref="H52:H52">
      <formula1>MASTER!$E$2:$E$8</formula1>
    </dataValidation>
    <dataValidation type="list" allowBlank="1" showErrorMessage="1" errorTitle="Nilai tidak valid" error="Pilih dari daftar yang tersedia." sqref="H5:H5">
      <formula1>MASTER!$E$2:$E$8</formula1>
    </dataValidation>
    <dataValidation type="list" allowBlank="1" showErrorMessage="1" errorTitle="Nilai tidak valid" error="Pilih dari daftar yang tersedia." sqref="H6:H6">
      <formula1>MASTER!$E$2:$E$8</formula1>
    </dataValidation>
    <dataValidation type="list" allowBlank="1" showErrorMessage="1" errorTitle="Nilai tidak valid" error="Pilih dari daftar yang tersedia." sqref="H7:H7">
      <formula1>MASTER!$E$2:$E$8</formula1>
    </dataValidation>
    <dataValidation type="list" allowBlank="1" showErrorMessage="1" errorTitle="Nilai tidak valid" error="Pilih dari daftar yang tersedia." sqref="H8:H8">
      <formula1>MASTER!$E$2:$E$8</formula1>
    </dataValidation>
    <dataValidation type="list" allowBlank="1" showErrorMessage="1" errorTitle="Nilai tidak valid" error="Pilih dari daftar yang tersedia." sqref="H9:H9">
      <formula1>MASTER!$E$2:$E$8</formula1>
    </dataValidation>
    <dataValidation type="list" allowBlank="1" showErrorMessage="1" errorTitle="Nilai tidak valid" error="Pilih dari daftar yang tersedia." sqref="J10:J10">
      <formula1>"Evaluasi,Audit,Reviu,Pemantauan"</formula1>
    </dataValidation>
    <dataValidation type="list" allowBlank="1" showErrorMessage="1" errorTitle="Nilai tidak valid" error="Pilih dari daftar yang tersedia." sqref="J11:J11">
      <formula1>"Evaluasi,Audit,Reviu,Pemantauan"</formula1>
    </dataValidation>
    <dataValidation type="list" allowBlank="1" showErrorMessage="1" errorTitle="Nilai tidak valid" error="Pilih dari daftar yang tersedia." sqref="J12:J12">
      <formula1>"Evaluasi,Audit,Reviu,Pemantauan"</formula1>
    </dataValidation>
    <dataValidation type="list" allowBlank="1" showErrorMessage="1" errorTitle="Nilai tidak valid" error="Pilih dari daftar yang tersedia." sqref="J13:J13">
      <formula1>"Evaluasi,Audit,Reviu,Pemantauan"</formula1>
    </dataValidation>
    <dataValidation type="list" allowBlank="1" showErrorMessage="1" errorTitle="Nilai tidak valid" error="Pilih dari daftar yang tersedia." sqref="J14:J14">
      <formula1>"Evaluasi,Audit,Reviu,Pemantauan"</formula1>
    </dataValidation>
    <dataValidation type="list" allowBlank="1" showErrorMessage="1" errorTitle="Nilai tidak valid" error="Pilih dari daftar yang tersedia." sqref="J15:J15">
      <formula1>"Evaluasi,Audit,Reviu,Pemantauan"</formula1>
    </dataValidation>
    <dataValidation type="list" allowBlank="1" showErrorMessage="1" errorTitle="Nilai tidak valid" error="Pilih dari daftar yang tersedia." sqref="J16:J16">
      <formula1>"Evaluasi,Audit,Reviu,Pemantauan"</formula1>
    </dataValidation>
    <dataValidation type="list" allowBlank="1" showErrorMessage="1" errorTitle="Nilai tidak valid" error="Pilih dari daftar yang tersedia." sqref="J17:J17">
      <formula1>"Evaluasi,Audit,Reviu,Pemantauan"</formula1>
    </dataValidation>
    <dataValidation type="list" allowBlank="1" showErrorMessage="1" errorTitle="Nilai tidak valid" error="Pilih dari daftar yang tersedia." sqref="J18:J18">
      <formula1>"Evaluasi,Audit,Reviu,Pemantauan"</formula1>
    </dataValidation>
    <dataValidation type="list" allowBlank="1" showErrorMessage="1" errorTitle="Nilai tidak valid" error="Pilih dari daftar yang tersedia." sqref="J19:J19">
      <formula1>"Evaluasi,Audit,Reviu,Pemantauan"</formula1>
    </dataValidation>
    <dataValidation type="list" allowBlank="1" showErrorMessage="1" errorTitle="Nilai tidak valid" error="Pilih dari daftar yang tersedia." sqref="J20:J20">
      <formula1>"Evaluasi,Audit,Reviu,Pemantauan"</formula1>
    </dataValidation>
    <dataValidation type="list" allowBlank="1" showErrorMessage="1" errorTitle="Nilai tidak valid" error="Pilih dari daftar yang tersedia." sqref="J21:J21">
      <formula1>"Evaluasi,Audit,Reviu,Pemantauan"</formula1>
    </dataValidation>
    <dataValidation type="list" allowBlank="1" showErrorMessage="1" errorTitle="Nilai tidak valid" error="Pilih dari daftar yang tersedia." sqref="J22:J22">
      <formula1>"Evaluasi,Audit,Reviu,Pemantauan"</formula1>
    </dataValidation>
    <dataValidation type="list" allowBlank="1" showErrorMessage="1" errorTitle="Nilai tidak valid" error="Pilih dari daftar yang tersedia." sqref="J23:J23">
      <formula1>"Evaluasi,Audit,Reviu,Pemantauan"</formula1>
    </dataValidation>
    <dataValidation type="list" allowBlank="1" showErrorMessage="1" errorTitle="Nilai tidak valid" error="Pilih dari daftar yang tersedia." sqref="J24:J24">
      <formula1>"Evaluasi,Audit,Reviu,Pemantauan"</formula1>
    </dataValidation>
    <dataValidation type="list" allowBlank="1" showErrorMessage="1" errorTitle="Nilai tidak valid" error="Pilih dari daftar yang tersedia." sqref="J25:J25">
      <formula1>"Evaluasi,Audit,Reviu,Pemantauan"</formula1>
    </dataValidation>
    <dataValidation type="list" allowBlank="1" showErrorMessage="1" errorTitle="Nilai tidak valid" error="Pilih dari daftar yang tersedia." sqref="J26:J26">
      <formula1>"Evaluasi,Audit,Reviu,Pemantauan"</formula1>
    </dataValidation>
    <dataValidation type="list" allowBlank="1" showErrorMessage="1" errorTitle="Nilai tidak valid" error="Pilih dari daftar yang tersedia." sqref="J27:J27">
      <formula1>"Evaluasi,Audit,Reviu,Pemantauan"</formula1>
    </dataValidation>
    <dataValidation type="list" allowBlank="1" showErrorMessage="1" errorTitle="Nilai tidak valid" error="Pilih dari daftar yang tersedia." sqref="J28:J28">
      <formula1>"Evaluasi,Audit,Reviu,Pemantauan"</formula1>
    </dataValidation>
    <dataValidation type="list" allowBlank="1" showErrorMessage="1" errorTitle="Nilai tidak valid" error="Pilih dari daftar yang tersedia." sqref="J29:J29">
      <formula1>"Evaluasi,Audit,Reviu,Pemantauan"</formula1>
    </dataValidation>
    <dataValidation type="list" allowBlank="1" showErrorMessage="1" errorTitle="Nilai tidak valid" error="Pilih dari daftar yang tersedia." sqref="J30:J30">
      <formula1>"Evaluasi,Audit,Reviu,Pemantauan"</formula1>
    </dataValidation>
    <dataValidation type="list" allowBlank="1" showErrorMessage="1" errorTitle="Nilai tidak valid" error="Pilih dari daftar yang tersedia." sqref="J31:J31">
      <formula1>"Evaluasi,Audit,Reviu,Pemantauan"</formula1>
    </dataValidation>
    <dataValidation type="list" allowBlank="1" showErrorMessage="1" errorTitle="Nilai tidak valid" error="Pilih dari daftar yang tersedia." sqref="J32:J32">
      <formula1>"Evaluasi,Audit,Reviu,Pemantauan"</formula1>
    </dataValidation>
    <dataValidation type="list" allowBlank="1" showErrorMessage="1" errorTitle="Nilai tidak valid" error="Pilih dari daftar yang tersedia." sqref="J33:J33">
      <formula1>"Evaluasi,Audit,Reviu,Pemantauan"</formula1>
    </dataValidation>
    <dataValidation type="list" allowBlank="1" showErrorMessage="1" errorTitle="Nilai tidak valid" error="Pilih dari daftar yang tersedia." sqref="J34:J34">
      <formula1>"Evaluasi,Audit,Reviu,Pemantauan"</formula1>
    </dataValidation>
    <dataValidation type="list" allowBlank="1" showErrorMessage="1" errorTitle="Nilai tidak valid" error="Pilih dari daftar yang tersedia." sqref="J35:J35">
      <formula1>"Evaluasi,Audit,Reviu,Pemantauan"</formula1>
    </dataValidation>
    <dataValidation type="list" allowBlank="1" showErrorMessage="1" errorTitle="Nilai tidak valid" error="Pilih dari daftar yang tersedia." sqref="J36:J36">
      <formula1>"Evaluasi,Audit,Reviu,Pemantauan"</formula1>
    </dataValidation>
    <dataValidation type="list" allowBlank="1" showErrorMessage="1" errorTitle="Nilai tidak valid" error="Pilih dari daftar yang tersedia." sqref="J37:J37">
      <formula1>"Evaluasi,Audit,Reviu,Pemantauan"</formula1>
    </dataValidation>
    <dataValidation type="list" allowBlank="1" showErrorMessage="1" errorTitle="Nilai tidak valid" error="Pilih dari daftar yang tersedia." sqref="J38:J38">
      <formula1>"Evaluasi,Audit,Reviu,Pemantauan"</formula1>
    </dataValidation>
    <dataValidation type="list" allowBlank="1" showErrorMessage="1" errorTitle="Nilai tidak valid" error="Pilih dari daftar yang tersedia." sqref="J39:J39">
      <formula1>"Evaluasi,Audit,Reviu,Pemantauan"</formula1>
    </dataValidation>
    <dataValidation type="list" allowBlank="1" showErrorMessage="1" errorTitle="Nilai tidak valid" error="Pilih dari daftar yang tersedia." sqref="J3:J3">
      <formula1>"Evaluasi,Audit,Reviu,Pemantauan"</formula1>
    </dataValidation>
    <dataValidation type="list" allowBlank="1" showErrorMessage="1" errorTitle="Nilai tidak valid" error="Pilih dari daftar yang tersedia." sqref="J40:J40">
      <formula1>"Evaluasi,Audit,Reviu,Pemantauan"</formula1>
    </dataValidation>
    <dataValidation type="list" allowBlank="1" showErrorMessage="1" errorTitle="Nilai tidak valid" error="Pilih dari daftar yang tersedia." sqref="J41:J41">
      <formula1>"Evaluasi,Audit,Reviu,Pemantauan"</formula1>
    </dataValidation>
    <dataValidation type="list" allowBlank="1" showErrorMessage="1" errorTitle="Nilai tidak valid" error="Pilih dari daftar yang tersedia." sqref="J42:J42">
      <formula1>"Evaluasi,Audit,Reviu,Pemantauan"</formula1>
    </dataValidation>
    <dataValidation type="list" allowBlank="1" showErrorMessage="1" errorTitle="Nilai tidak valid" error="Pilih dari daftar yang tersedia." sqref="J43:J43">
      <formula1>"Evaluasi,Audit,Reviu,Pemantauan"</formula1>
    </dataValidation>
    <dataValidation type="list" allowBlank="1" showErrorMessage="1" errorTitle="Nilai tidak valid" error="Pilih dari daftar yang tersedia." sqref="J44:J44">
      <formula1>"Evaluasi,Audit,Reviu,Pemantauan"</formula1>
    </dataValidation>
    <dataValidation type="list" allowBlank="1" showErrorMessage="1" errorTitle="Nilai tidak valid" error="Pilih dari daftar yang tersedia." sqref="J45:J45">
      <formula1>"Evaluasi,Audit,Reviu,Pemantauan"</formula1>
    </dataValidation>
    <dataValidation type="list" allowBlank="1" showErrorMessage="1" errorTitle="Nilai tidak valid" error="Pilih dari daftar yang tersedia." sqref="J46:J46">
      <formula1>"Evaluasi,Audit,Reviu,Pemantauan"</formula1>
    </dataValidation>
    <dataValidation type="list" allowBlank="1" showErrorMessage="1" errorTitle="Nilai tidak valid" error="Pilih dari daftar yang tersedia." sqref="J47:J47">
      <formula1>"Evaluasi,Audit,Reviu,Pemantauan"</formula1>
    </dataValidation>
    <dataValidation type="list" allowBlank="1" showErrorMessage="1" errorTitle="Nilai tidak valid" error="Pilih dari daftar yang tersedia." sqref="J48:J48">
      <formula1>"Evaluasi,Audit,Reviu,Pemantauan"</formula1>
    </dataValidation>
    <dataValidation type="list" allowBlank="1" showErrorMessage="1" errorTitle="Nilai tidak valid" error="Pilih dari daftar yang tersedia." sqref="J49:J49">
      <formula1>"Evaluasi,Audit,Reviu,Pemantauan"</formula1>
    </dataValidation>
    <dataValidation type="list" allowBlank="1" showErrorMessage="1" errorTitle="Nilai tidak valid" error="Pilih dari daftar yang tersedia." sqref="J4:J4">
      <formula1>"Evaluasi,Audit,Reviu,Pemantauan"</formula1>
    </dataValidation>
    <dataValidation type="list" allowBlank="1" showErrorMessage="1" errorTitle="Nilai tidak valid" error="Pilih dari daftar yang tersedia." sqref="J50:J50">
      <formula1>"Evaluasi,Audit,Reviu,Pemantauan"</formula1>
    </dataValidation>
    <dataValidation type="list" allowBlank="1" showErrorMessage="1" errorTitle="Nilai tidak valid" error="Pilih dari daftar yang tersedia." sqref="J51:J51">
      <formula1>"Evaluasi,Audit,Reviu,Pemantauan"</formula1>
    </dataValidation>
    <dataValidation type="list" allowBlank="1" showErrorMessage="1" errorTitle="Nilai tidak valid" error="Pilih dari daftar yang tersedia." sqref="J52:J52">
      <formula1>"Evaluasi,Audit,Reviu,Pemantauan"</formula1>
    </dataValidation>
    <dataValidation type="list" allowBlank="1" showErrorMessage="1" errorTitle="Nilai tidak valid" error="Pilih dari daftar yang tersedia." sqref="J5:J5">
      <formula1>"Evaluasi,Audit,Reviu,Pemantauan"</formula1>
    </dataValidation>
    <dataValidation type="list" allowBlank="1" showErrorMessage="1" errorTitle="Nilai tidak valid" error="Pilih dari daftar yang tersedia." sqref="J6:J6">
      <formula1>"Evaluasi,Audit,Reviu,Pemantauan"</formula1>
    </dataValidation>
    <dataValidation type="list" allowBlank="1" showErrorMessage="1" errorTitle="Nilai tidak valid" error="Pilih dari daftar yang tersedia." sqref="J7:J7">
      <formula1>"Evaluasi,Audit,Reviu,Pemantauan"</formula1>
    </dataValidation>
    <dataValidation type="list" allowBlank="1" showErrorMessage="1" errorTitle="Nilai tidak valid" error="Pilih dari daftar yang tersedia." sqref="J8:J8">
      <formula1>"Evaluasi,Audit,Reviu,Pemantauan"</formula1>
    </dataValidation>
    <dataValidation type="list" allowBlank="1" showErrorMessage="1" errorTitle="Nilai tidak valid" error="Pilih dari daftar yang tersedia." sqref="J9:J9">
      <formula1>"Evaluasi,Audit,Reviu,Pemantauan"</formula1>
    </dataValidation>
    <dataValidation type="list" allowBlank="1" showErrorMessage="1" errorTitle="Nilai tidak valid" error="Pilih dari daftar yang tersedia." sqref="K10:K10">
      <formula1>"Internal,Eksternal,Internal &amp; Eksternal"</formula1>
    </dataValidation>
    <dataValidation type="list" allowBlank="1" showErrorMessage="1" errorTitle="Nilai tidak valid" error="Pilih dari daftar yang tersedia." sqref="K11:K11">
      <formula1>"Internal,Eksternal,Internal &amp; Eksternal"</formula1>
    </dataValidation>
    <dataValidation type="list" allowBlank="1" showErrorMessage="1" errorTitle="Nilai tidak valid" error="Pilih dari daftar yang tersedia." sqref="K12:K12">
      <formula1>"Internal,Eksternal,Internal &amp; Eksternal"</formula1>
    </dataValidation>
    <dataValidation type="list" allowBlank="1" showErrorMessage="1" errorTitle="Nilai tidak valid" error="Pilih dari daftar yang tersedia." sqref="K13:K13">
      <formula1>"Internal,Eksternal,Internal &amp; Eksternal"</formula1>
    </dataValidation>
    <dataValidation type="list" allowBlank="1" showErrorMessage="1" errorTitle="Nilai tidak valid" error="Pilih dari daftar yang tersedia." sqref="K14:K14">
      <formula1>"Internal,Eksternal,Internal &amp; Eksternal"</formula1>
    </dataValidation>
    <dataValidation type="list" allowBlank="1" showErrorMessage="1" errorTitle="Nilai tidak valid" error="Pilih dari daftar yang tersedia." sqref="K15:K15">
      <formula1>"Internal,Eksternal,Internal &amp; Eksternal"</formula1>
    </dataValidation>
    <dataValidation type="list" allowBlank="1" showErrorMessage="1" errorTitle="Nilai tidak valid" error="Pilih dari daftar yang tersedia." sqref="K16:K16">
      <formula1>"Internal,Eksternal,Internal &amp; Eksternal"</formula1>
    </dataValidation>
    <dataValidation type="list" allowBlank="1" showErrorMessage="1" errorTitle="Nilai tidak valid" error="Pilih dari daftar yang tersedia." sqref="K17:K17">
      <formula1>"Internal,Eksternal,Internal &amp; Eksternal"</formula1>
    </dataValidation>
    <dataValidation type="list" allowBlank="1" showErrorMessage="1" errorTitle="Nilai tidak valid" error="Pilih dari daftar yang tersedia." sqref="K18:K18">
      <formula1>"Internal,Eksternal,Internal &amp; Eksternal"</formula1>
    </dataValidation>
    <dataValidation type="list" allowBlank="1" showErrorMessage="1" errorTitle="Nilai tidak valid" error="Pilih dari daftar yang tersedia." sqref="K19:K19">
      <formula1>"Internal,Eksternal,Internal &amp; Eksternal"</formula1>
    </dataValidation>
    <dataValidation type="list" allowBlank="1" showErrorMessage="1" errorTitle="Nilai tidak valid" error="Pilih dari daftar yang tersedia." sqref="K20:K20">
      <formula1>"Internal,Eksternal,Internal &amp; Eksternal"</formula1>
    </dataValidation>
    <dataValidation type="list" allowBlank="1" showErrorMessage="1" errorTitle="Nilai tidak valid" error="Pilih dari daftar yang tersedia." sqref="K21:K21">
      <formula1>"Internal,Eksternal,Internal &amp; Eksternal"</formula1>
    </dataValidation>
    <dataValidation type="list" allowBlank="1" showErrorMessage="1" errorTitle="Nilai tidak valid" error="Pilih dari daftar yang tersedia." sqref="K22:K22">
      <formula1>"Internal,Eksternal,Internal &amp; Eksternal"</formula1>
    </dataValidation>
    <dataValidation type="list" allowBlank="1" showErrorMessage="1" errorTitle="Nilai tidak valid" error="Pilih dari daftar yang tersedia." sqref="K23:K23">
      <formula1>"Internal,Eksternal,Internal &amp; Eksternal"</formula1>
    </dataValidation>
    <dataValidation type="list" allowBlank="1" showErrorMessage="1" errorTitle="Nilai tidak valid" error="Pilih dari daftar yang tersedia." sqref="K24:K24">
      <formula1>"Internal,Eksternal,Internal &amp; Eksternal"</formula1>
    </dataValidation>
    <dataValidation type="list" allowBlank="1" showErrorMessage="1" errorTitle="Nilai tidak valid" error="Pilih dari daftar yang tersedia." sqref="K25:K25">
      <formula1>"Internal,Eksternal,Internal &amp; Eksternal"</formula1>
    </dataValidation>
    <dataValidation type="list" allowBlank="1" showErrorMessage="1" errorTitle="Nilai tidak valid" error="Pilih dari daftar yang tersedia." sqref="K26:K26">
      <formula1>"Internal,Eksternal,Internal &amp; Eksternal"</formula1>
    </dataValidation>
    <dataValidation type="list" allowBlank="1" showErrorMessage="1" errorTitle="Nilai tidak valid" error="Pilih dari daftar yang tersedia." sqref="K27:K27">
      <formula1>"Internal,Eksternal,Internal &amp; Eksternal"</formula1>
    </dataValidation>
    <dataValidation type="list" allowBlank="1" showErrorMessage="1" errorTitle="Nilai tidak valid" error="Pilih dari daftar yang tersedia." sqref="K28:K28">
      <formula1>"Internal,Eksternal,Internal &amp; Eksternal"</formula1>
    </dataValidation>
    <dataValidation type="list" allowBlank="1" showErrorMessage="1" errorTitle="Nilai tidak valid" error="Pilih dari daftar yang tersedia." sqref="K29:K29">
      <formula1>"Internal,Eksternal,Internal &amp; Eksternal"</formula1>
    </dataValidation>
    <dataValidation type="list" allowBlank="1" showErrorMessage="1" errorTitle="Nilai tidak valid" error="Pilih dari daftar yang tersedia." sqref="K30:K30">
      <formula1>"Internal,Eksternal,Internal &amp; Eksternal"</formula1>
    </dataValidation>
    <dataValidation type="list" allowBlank="1" showErrorMessage="1" errorTitle="Nilai tidak valid" error="Pilih dari daftar yang tersedia." sqref="K31:K31">
      <formula1>"Internal,Eksternal,Internal &amp; Eksternal"</formula1>
    </dataValidation>
    <dataValidation type="list" allowBlank="1" showErrorMessage="1" errorTitle="Nilai tidak valid" error="Pilih dari daftar yang tersedia." sqref="K32:K32">
      <formula1>"Internal,Eksternal,Internal &amp; Eksternal"</formula1>
    </dataValidation>
    <dataValidation type="list" allowBlank="1" showErrorMessage="1" errorTitle="Nilai tidak valid" error="Pilih dari daftar yang tersedia." sqref="K33:K33">
      <formula1>"Internal,Eksternal,Internal &amp; Eksternal"</formula1>
    </dataValidation>
    <dataValidation type="list" allowBlank="1" showErrorMessage="1" errorTitle="Nilai tidak valid" error="Pilih dari daftar yang tersedia." sqref="K34:K34">
      <formula1>"Internal,Eksternal,Internal &amp; Eksternal"</formula1>
    </dataValidation>
    <dataValidation type="list" allowBlank="1" showErrorMessage="1" errorTitle="Nilai tidak valid" error="Pilih dari daftar yang tersedia." sqref="K35:K35">
      <formula1>"Internal,Eksternal,Internal &amp; Eksternal"</formula1>
    </dataValidation>
    <dataValidation type="list" allowBlank="1" showErrorMessage="1" errorTitle="Nilai tidak valid" error="Pilih dari daftar yang tersedia." sqref="K36:K36">
      <formula1>"Internal,Eksternal,Internal &amp; Eksternal"</formula1>
    </dataValidation>
    <dataValidation type="list" allowBlank="1" showErrorMessage="1" errorTitle="Nilai tidak valid" error="Pilih dari daftar yang tersedia." sqref="K37:K37">
      <formula1>"Internal,Eksternal,Internal &amp; Eksternal"</formula1>
    </dataValidation>
    <dataValidation type="list" allowBlank="1" showErrorMessage="1" errorTitle="Nilai tidak valid" error="Pilih dari daftar yang tersedia." sqref="K38:K38">
      <formula1>"Internal,Eksternal,Internal &amp; Eksternal"</formula1>
    </dataValidation>
    <dataValidation type="list" allowBlank="1" showErrorMessage="1" errorTitle="Nilai tidak valid" error="Pilih dari daftar yang tersedia." sqref="K39:K39">
      <formula1>"Internal,Eksternal,Internal &amp; Eksternal"</formula1>
    </dataValidation>
    <dataValidation type="list" allowBlank="1" showErrorMessage="1" errorTitle="Nilai tidak valid" error="Pilih dari daftar yang tersedia." sqref="K3:K3">
      <formula1>"Internal,Eksternal,Internal &amp; Eksternal"</formula1>
    </dataValidation>
    <dataValidation type="list" allowBlank="1" showErrorMessage="1" errorTitle="Nilai tidak valid" error="Pilih dari daftar yang tersedia." sqref="K40:K40">
      <formula1>"Internal,Eksternal,Internal &amp; Eksternal"</formula1>
    </dataValidation>
    <dataValidation type="list" allowBlank="1" showErrorMessage="1" errorTitle="Nilai tidak valid" error="Pilih dari daftar yang tersedia." sqref="K41:K41">
      <formula1>"Internal,Eksternal,Internal &amp; Eksternal"</formula1>
    </dataValidation>
    <dataValidation type="list" allowBlank="1" showErrorMessage="1" errorTitle="Nilai tidak valid" error="Pilih dari daftar yang tersedia." sqref="K42:K42">
      <formula1>"Internal,Eksternal,Internal &amp; Eksternal"</formula1>
    </dataValidation>
    <dataValidation type="list" allowBlank="1" showErrorMessage="1" errorTitle="Nilai tidak valid" error="Pilih dari daftar yang tersedia." sqref="K43:K43">
      <formula1>"Internal,Eksternal,Internal &amp; Eksternal"</formula1>
    </dataValidation>
    <dataValidation type="list" allowBlank="1" showErrorMessage="1" errorTitle="Nilai tidak valid" error="Pilih dari daftar yang tersedia." sqref="K44:K44">
      <formula1>"Internal,Eksternal,Internal &amp; Eksternal"</formula1>
    </dataValidation>
    <dataValidation type="list" allowBlank="1" showErrorMessage="1" errorTitle="Nilai tidak valid" error="Pilih dari daftar yang tersedia." sqref="K45:K45">
      <formula1>"Internal,Eksternal,Internal &amp; Eksternal"</formula1>
    </dataValidation>
    <dataValidation type="list" allowBlank="1" showErrorMessage="1" errorTitle="Nilai tidak valid" error="Pilih dari daftar yang tersedia." sqref="K46:K46">
      <formula1>"Internal,Eksternal,Internal &amp; Eksternal"</formula1>
    </dataValidation>
    <dataValidation type="list" allowBlank="1" showErrorMessage="1" errorTitle="Nilai tidak valid" error="Pilih dari daftar yang tersedia." sqref="K47:K47">
      <formula1>"Internal,Eksternal,Internal &amp; Eksternal"</formula1>
    </dataValidation>
    <dataValidation type="list" allowBlank="1" showErrorMessage="1" errorTitle="Nilai tidak valid" error="Pilih dari daftar yang tersedia." sqref="K48:K48">
      <formula1>"Internal,Eksternal,Internal &amp; Eksternal"</formula1>
    </dataValidation>
    <dataValidation type="list" allowBlank="1" showErrorMessage="1" errorTitle="Nilai tidak valid" error="Pilih dari daftar yang tersedia." sqref="K49:K49">
      <formula1>"Internal,Eksternal,Internal &amp; Eksternal"</formula1>
    </dataValidation>
    <dataValidation type="list" allowBlank="1" showErrorMessage="1" errorTitle="Nilai tidak valid" error="Pilih dari daftar yang tersedia." sqref="K4:K4">
      <formula1>"Internal,Eksternal,Internal &amp; Eksternal"</formula1>
    </dataValidation>
    <dataValidation type="list" allowBlank="1" showErrorMessage="1" errorTitle="Nilai tidak valid" error="Pilih dari daftar yang tersedia." sqref="K50:K50">
      <formula1>"Internal,Eksternal,Internal &amp; Eksternal"</formula1>
    </dataValidation>
    <dataValidation type="list" allowBlank="1" showErrorMessage="1" errorTitle="Nilai tidak valid" error="Pilih dari daftar yang tersedia." sqref="K51:K51">
      <formula1>"Internal,Eksternal,Internal &amp; Eksternal"</formula1>
    </dataValidation>
    <dataValidation type="list" allowBlank="1" showErrorMessage="1" errorTitle="Nilai tidak valid" error="Pilih dari daftar yang tersedia." sqref="K52:K52">
      <formula1>"Internal,Eksternal,Internal &amp; Eksternal"</formula1>
    </dataValidation>
    <dataValidation type="list" allowBlank="1" showErrorMessage="1" errorTitle="Nilai tidak valid" error="Pilih dari daftar yang tersedia." sqref="K5:K5">
      <formula1>"Internal,Eksternal,Internal &amp; Eksternal"</formula1>
    </dataValidation>
    <dataValidation type="list" allowBlank="1" showErrorMessage="1" errorTitle="Nilai tidak valid" error="Pilih dari daftar yang tersedia." sqref="K6:K6">
      <formula1>"Internal,Eksternal,Internal &amp; Eksternal"</formula1>
    </dataValidation>
    <dataValidation type="list" allowBlank="1" showErrorMessage="1" errorTitle="Nilai tidak valid" error="Pilih dari daftar yang tersedia." sqref="K7:K7">
      <formula1>"Internal,Eksternal,Internal &amp; Eksternal"</formula1>
    </dataValidation>
    <dataValidation type="list" allowBlank="1" showErrorMessage="1" errorTitle="Nilai tidak valid" error="Pilih dari daftar yang tersedia." sqref="K8:K8">
      <formula1>"Internal,Eksternal,Internal &amp; Eksternal"</formula1>
    </dataValidation>
    <dataValidation type="list" allowBlank="1" showErrorMessage="1" errorTitle="Nilai tidak valid" error="Pilih dari daftar yang tersedia." sqref="K9:K9">
      <formula1>"Internal,Eksternal,Internal &amp; Eksternal"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36" customWidth="1"/>
    <col min="4" max="4" width="18" customWidth="1"/>
    <col min="5" max="5" width="22" customWidth="1"/>
    <col min="6" max="10" width="36" customWidth="1"/>
    <col min="11" max="11" width="40" customWidth="1"/>
    <col min="12" max="12" width="44" customWidth="1"/>
    <col min="13" max="13" width="24" customWidth="1"/>
  </cols>
  <sheetData>
    <row r="1" ht="28" customHeight="1" spans="1:13" x14ac:dyDescent="0.25">
      <c r="A1" s="23" t="s">
        <v>292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ht="36" customHeight="1" spans="1:13" x14ac:dyDescent="0.25">
      <c r="A2" s="24" t="s">
        <v>293</v>
      </c>
      <c r="B2" s="24" t="s">
        <v>294</v>
      </c>
      <c r="C2" s="24" t="s">
        <v>287</v>
      </c>
      <c r="D2" s="24" t="s">
        <v>295</v>
      </c>
      <c r="E2" s="24" t="s">
        <v>296</v>
      </c>
      <c r="F2" s="24" t="s">
        <v>297</v>
      </c>
      <c r="G2" s="24" t="s">
        <v>298</v>
      </c>
      <c r="H2" s="24" t="s">
        <v>299</v>
      </c>
      <c r="I2" s="24" t="s">
        <v>300</v>
      </c>
      <c r="J2" s="24" t="s">
        <v>301</v>
      </c>
      <c r="K2" s="24" t="s">
        <v>302</v>
      </c>
      <c r="L2" s="24" t="s">
        <v>303</v>
      </c>
      <c r="M2" s="24" t="s">
        <v>291</v>
      </c>
    </row>
    <row r="3" ht="18" customHeight="1" spans="1:13" x14ac:dyDescent="0.25">
      <c r="A3" s="25" t="s">
        <v>304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ht="20" customHeight="1" spans="1:13" x14ac:dyDescent="0.25">
      <c r="A4" s="13">
        <f>IF(B4&lt;&gt;"",ROW()-3,"")</f>
      </c>
      <c r="B4" s="9"/>
      <c r="C4" s="13">
        <f>IFERROR(XLOOKUP(B4,IDENTIFIKASI!$B:$B,IDENTIFIKASI!$G:$G),"")</f>
      </c>
      <c r="D4" s="9"/>
      <c r="E4" s="13">
        <f>IF(B4="","",B4&amp;"."&amp;IF(D4&lt;&gt;"",D4,"XX")&amp;"."&amp;TEXT(COUNTIFS($B$4:B4,B4,$D$4:D4,D4),"00"))</f>
      </c>
      <c r="F4" s="9"/>
      <c r="G4" s="9"/>
      <c r="H4" s="9"/>
      <c r="I4" s="9"/>
      <c r="J4" s="9"/>
      <c r="K4" s="9"/>
      <c r="L4" s="9"/>
      <c r="M4" s="9"/>
    </row>
    <row r="5" ht="20" customHeight="1" spans="1:13" x14ac:dyDescent="0.25">
      <c r="A5" s="13">
        <f>IF(B5&lt;&gt;"",ROW()-3,"")</f>
      </c>
      <c r="B5" s="9"/>
      <c r="C5" s="13">
        <f>IFERROR(XLOOKUP(B5,IDENTIFIKASI!$B:$B,IDENTIFIKASI!$G:$G),"")</f>
      </c>
      <c r="D5" s="9"/>
      <c r="E5" s="13">
        <f>IF(B5="","",B5&amp;"."&amp;IF(D5&lt;&gt;"",D5,"XX")&amp;"."&amp;TEXT(COUNTIFS($B$4:B5,B5,$D$4:D5,D5),"00"))</f>
      </c>
      <c r="F5" s="9"/>
      <c r="G5" s="9"/>
      <c r="H5" s="9"/>
      <c r="I5" s="9"/>
      <c r="J5" s="9"/>
      <c r="K5" s="9"/>
      <c r="L5" s="9"/>
      <c r="M5" s="9"/>
    </row>
    <row r="6" ht="20" customHeight="1" spans="1:13" x14ac:dyDescent="0.25">
      <c r="A6" s="13">
        <f>IF(B6&lt;&gt;"",ROW()-3,"")</f>
      </c>
      <c r="B6" s="9"/>
      <c r="C6" s="13">
        <f>IFERROR(XLOOKUP(B6,IDENTIFIKASI!$B:$B,IDENTIFIKASI!$G:$G),"")</f>
      </c>
      <c r="D6" s="9"/>
      <c r="E6" s="13">
        <f>IF(B6="","",B6&amp;"."&amp;IF(D6&lt;&gt;"",D6,"XX")&amp;"."&amp;TEXT(COUNTIFS($B$4:B6,B6,$D$4:D6,D6),"00"))</f>
      </c>
      <c r="F6" s="9"/>
      <c r="G6" s="9"/>
      <c r="H6" s="9"/>
      <c r="I6" s="9"/>
      <c r="J6" s="9"/>
      <c r="K6" s="9"/>
      <c r="L6" s="9"/>
      <c r="M6" s="9"/>
    </row>
    <row r="7" ht="20" customHeight="1" spans="1:13" x14ac:dyDescent="0.25">
      <c r="A7" s="13">
        <f>IF(B7&lt;&gt;"",ROW()-3,"")</f>
      </c>
      <c r="B7" s="9"/>
      <c r="C7" s="13">
        <f>IFERROR(XLOOKUP(B7,IDENTIFIKASI!$B:$B,IDENTIFIKASI!$G:$G),"")</f>
      </c>
      <c r="D7" s="9"/>
      <c r="E7" s="13">
        <f>IF(B7="","",B7&amp;"."&amp;IF(D7&lt;&gt;"",D7,"XX")&amp;"."&amp;TEXT(COUNTIFS($B$4:B7,B7,$D$4:D7,D7),"00"))</f>
      </c>
      <c r="F7" s="9"/>
      <c r="G7" s="9"/>
      <c r="H7" s="9"/>
      <c r="I7" s="9"/>
      <c r="J7" s="9"/>
      <c r="K7" s="9"/>
      <c r="L7" s="9"/>
      <c r="M7" s="9"/>
    </row>
    <row r="8" ht="20" customHeight="1" spans="1:13" x14ac:dyDescent="0.25">
      <c r="A8" s="13">
        <f>IF(B8&lt;&gt;"",ROW()-3,"")</f>
      </c>
      <c r="B8" s="9"/>
      <c r="C8" s="13">
        <f>IFERROR(XLOOKUP(B8,IDENTIFIKASI!$B:$B,IDENTIFIKASI!$G:$G),"")</f>
      </c>
      <c r="D8" s="9"/>
      <c r="E8" s="13">
        <f>IF(B8="","",B8&amp;"."&amp;IF(D8&lt;&gt;"",D8,"XX")&amp;"."&amp;TEXT(COUNTIFS($B$4:B8,B8,$D$4:D8,D8),"00"))</f>
      </c>
      <c r="F8" s="9"/>
      <c r="G8" s="9"/>
      <c r="H8" s="9"/>
      <c r="I8" s="9"/>
      <c r="J8" s="9"/>
      <c r="K8" s="9"/>
      <c r="L8" s="9"/>
      <c r="M8" s="9"/>
    </row>
    <row r="9" ht="20" customHeight="1" spans="1:13" x14ac:dyDescent="0.25">
      <c r="A9" s="13">
        <f>IF(B9&lt;&gt;"",ROW()-3,"")</f>
      </c>
      <c r="B9" s="9"/>
      <c r="C9" s="13">
        <f>IFERROR(XLOOKUP(B9,IDENTIFIKASI!$B:$B,IDENTIFIKASI!$G:$G),"")</f>
      </c>
      <c r="D9" s="9"/>
      <c r="E9" s="13">
        <f>IF(B9="","",B9&amp;"."&amp;IF(D9&lt;&gt;"",D9,"XX")&amp;"."&amp;TEXT(COUNTIFS($B$4:B9,B9,$D$4:D9,D9),"00"))</f>
      </c>
      <c r="F9" s="9"/>
      <c r="G9" s="9"/>
      <c r="H9" s="9"/>
      <c r="I9" s="9"/>
      <c r="J9" s="9"/>
      <c r="K9" s="9"/>
      <c r="L9" s="9"/>
      <c r="M9" s="9"/>
    </row>
    <row r="10" ht="20" customHeight="1" spans="1:13" x14ac:dyDescent="0.25">
      <c r="A10" s="13">
        <f>IF(B10&lt;&gt;"",ROW()-3,"")</f>
      </c>
      <c r="B10" s="9"/>
      <c r="C10" s="13">
        <f>IFERROR(XLOOKUP(B10,IDENTIFIKASI!$B:$B,IDENTIFIKASI!$G:$G),"")</f>
      </c>
      <c r="D10" s="9"/>
      <c r="E10" s="13">
        <f>IF(B10="","",B10&amp;"."&amp;IF(D10&lt;&gt;"",D10,"XX")&amp;"."&amp;TEXT(COUNTIFS($B$4:B10,B10,$D$4:D10,D10),"00"))</f>
      </c>
      <c r="F10" s="9"/>
      <c r="G10" s="9"/>
      <c r="H10" s="9"/>
      <c r="I10" s="9"/>
      <c r="J10" s="9"/>
      <c r="K10" s="9"/>
      <c r="L10" s="9"/>
      <c r="M10" s="9"/>
    </row>
    <row r="11" ht="20" customHeight="1" spans="1:13" x14ac:dyDescent="0.25">
      <c r="A11" s="13">
        <f>IF(B11&lt;&gt;"",ROW()-3,"")</f>
      </c>
      <c r="B11" s="9"/>
      <c r="C11" s="13">
        <f>IFERROR(XLOOKUP(B11,IDENTIFIKASI!$B:$B,IDENTIFIKASI!$G:$G),"")</f>
      </c>
      <c r="D11" s="9"/>
      <c r="E11" s="13">
        <f>IF(B11="","",B11&amp;"."&amp;IF(D11&lt;&gt;"",D11,"XX")&amp;"."&amp;TEXT(COUNTIFS($B$4:B11,B11,$D$4:D11,D11),"00"))</f>
      </c>
      <c r="F11" s="9"/>
      <c r="G11" s="9"/>
      <c r="H11" s="9"/>
      <c r="I11" s="9"/>
      <c r="J11" s="9"/>
      <c r="K11" s="9"/>
      <c r="L11" s="9"/>
      <c r="M11" s="9"/>
    </row>
    <row r="12" ht="20" customHeight="1" spans="1:13" x14ac:dyDescent="0.25">
      <c r="A12" s="13">
        <f>IF(B12&lt;&gt;"",ROW()-3,"")</f>
      </c>
      <c r="B12" s="9"/>
      <c r="C12" s="13">
        <f>IFERROR(XLOOKUP(B12,IDENTIFIKASI!$B:$B,IDENTIFIKASI!$G:$G),"")</f>
      </c>
      <c r="D12" s="9"/>
      <c r="E12" s="13">
        <f>IF(B12="","",B12&amp;"."&amp;IF(D12&lt;&gt;"",D12,"XX")&amp;"."&amp;TEXT(COUNTIFS($B$4:B12,B12,$D$4:D12,D12),"00"))</f>
      </c>
      <c r="F12" s="9"/>
      <c r="G12" s="9"/>
      <c r="H12" s="9"/>
      <c r="I12" s="9"/>
      <c r="J12" s="9"/>
      <c r="K12" s="9"/>
      <c r="L12" s="9"/>
      <c r="M12" s="9"/>
    </row>
    <row r="13" ht="20" customHeight="1" spans="1:13" x14ac:dyDescent="0.25">
      <c r="A13" s="13">
        <f>IF(B13&lt;&gt;"",ROW()-3,"")</f>
      </c>
      <c r="B13" s="9"/>
      <c r="C13" s="13">
        <f>IFERROR(XLOOKUP(B13,IDENTIFIKASI!$B:$B,IDENTIFIKASI!$G:$G),"")</f>
      </c>
      <c r="D13" s="9"/>
      <c r="E13" s="13">
        <f>IF(B13="","",B13&amp;"."&amp;IF(D13&lt;&gt;"",D13,"XX")&amp;"."&amp;TEXT(COUNTIFS($B$4:B13,B13,$D$4:D13,D13),"00"))</f>
      </c>
      <c r="F13" s="9"/>
      <c r="G13" s="9"/>
      <c r="H13" s="9"/>
      <c r="I13" s="9"/>
      <c r="J13" s="9"/>
      <c r="K13" s="9"/>
      <c r="L13" s="9"/>
      <c r="M13" s="9"/>
    </row>
    <row r="14" ht="20" customHeight="1" spans="1:13" x14ac:dyDescent="0.25">
      <c r="A14" s="13">
        <f>IF(B14&lt;&gt;"",ROW()-3,"")</f>
      </c>
      <c r="B14" s="9"/>
      <c r="C14" s="13">
        <f>IFERROR(XLOOKUP(B14,IDENTIFIKASI!$B:$B,IDENTIFIKASI!$G:$G),"")</f>
      </c>
      <c r="D14" s="9"/>
      <c r="E14" s="13">
        <f>IF(B14="","",B14&amp;"."&amp;IF(D14&lt;&gt;"",D14,"XX")&amp;"."&amp;TEXT(COUNTIFS($B$4:B14,B14,$D$4:D14,D14),"00"))</f>
      </c>
      <c r="F14" s="9"/>
      <c r="G14" s="9"/>
      <c r="H14" s="9"/>
      <c r="I14" s="9"/>
      <c r="J14" s="9"/>
      <c r="K14" s="9"/>
      <c r="L14" s="9"/>
      <c r="M14" s="9"/>
    </row>
    <row r="15" ht="20" customHeight="1" spans="1:13" x14ac:dyDescent="0.25">
      <c r="A15" s="13">
        <f>IF(B15&lt;&gt;"",ROW()-3,"")</f>
      </c>
      <c r="B15" s="9"/>
      <c r="C15" s="13">
        <f>IFERROR(XLOOKUP(B15,IDENTIFIKASI!$B:$B,IDENTIFIKASI!$G:$G),"")</f>
      </c>
      <c r="D15" s="9"/>
      <c r="E15" s="13">
        <f>IF(B15="","",B15&amp;"."&amp;IF(D15&lt;&gt;"",D15,"XX")&amp;"."&amp;TEXT(COUNTIFS($B$4:B15,B15,$D$4:D15,D15),"00"))</f>
      </c>
      <c r="F15" s="9"/>
      <c r="G15" s="9"/>
      <c r="H15" s="9"/>
      <c r="I15" s="9"/>
      <c r="J15" s="9"/>
      <c r="K15" s="9"/>
      <c r="L15" s="9"/>
      <c r="M15" s="9"/>
    </row>
    <row r="16" ht="20" customHeight="1" spans="1:13" x14ac:dyDescent="0.25">
      <c r="A16" s="13">
        <f>IF(B16&lt;&gt;"",ROW()-3,"")</f>
      </c>
      <c r="B16" s="9"/>
      <c r="C16" s="13">
        <f>IFERROR(XLOOKUP(B16,IDENTIFIKASI!$B:$B,IDENTIFIKASI!$G:$G),"")</f>
      </c>
      <c r="D16" s="9"/>
      <c r="E16" s="13">
        <f>IF(B16="","",B16&amp;"."&amp;IF(D16&lt;&gt;"",D16,"XX")&amp;"."&amp;TEXT(COUNTIFS($B$4:B16,B16,$D$4:D16,D16),"00"))</f>
      </c>
      <c r="F16" s="9"/>
      <c r="G16" s="9"/>
      <c r="H16" s="9"/>
      <c r="I16" s="9"/>
      <c r="J16" s="9"/>
      <c r="K16" s="9"/>
      <c r="L16" s="9"/>
      <c r="M16" s="9"/>
    </row>
    <row r="17" ht="20" customHeight="1" spans="1:13" x14ac:dyDescent="0.25">
      <c r="A17" s="13">
        <f>IF(B17&lt;&gt;"",ROW()-3,"")</f>
      </c>
      <c r="B17" s="9"/>
      <c r="C17" s="13">
        <f>IFERROR(XLOOKUP(B17,IDENTIFIKASI!$B:$B,IDENTIFIKASI!$G:$G),"")</f>
      </c>
      <c r="D17" s="9"/>
      <c r="E17" s="13">
        <f>IF(B17="","",B17&amp;"."&amp;IF(D17&lt;&gt;"",D17,"XX")&amp;"."&amp;TEXT(COUNTIFS($B$4:B17,B17,$D$4:D17,D17),"00"))</f>
      </c>
      <c r="F17" s="9"/>
      <c r="G17" s="9"/>
      <c r="H17" s="9"/>
      <c r="I17" s="9"/>
      <c r="J17" s="9"/>
      <c r="K17" s="9"/>
      <c r="L17" s="9"/>
      <c r="M17" s="9"/>
    </row>
    <row r="18" ht="20" customHeight="1" spans="1:13" x14ac:dyDescent="0.25">
      <c r="A18" s="13">
        <f>IF(B18&lt;&gt;"",ROW()-3,"")</f>
      </c>
      <c r="B18" s="9"/>
      <c r="C18" s="13">
        <f>IFERROR(XLOOKUP(B18,IDENTIFIKASI!$B:$B,IDENTIFIKASI!$G:$G),"")</f>
      </c>
      <c r="D18" s="9"/>
      <c r="E18" s="13">
        <f>IF(B18="","",B18&amp;"."&amp;IF(D18&lt;&gt;"",D18,"XX")&amp;"."&amp;TEXT(COUNTIFS($B$4:B18,B18,$D$4:D18,D18),"00"))</f>
      </c>
      <c r="F18" s="9"/>
      <c r="G18" s="9"/>
      <c r="H18" s="9"/>
      <c r="I18" s="9"/>
      <c r="J18" s="9"/>
      <c r="K18" s="9"/>
      <c r="L18" s="9"/>
      <c r="M18" s="9"/>
    </row>
    <row r="19" ht="20" customHeight="1" spans="1:13" x14ac:dyDescent="0.25">
      <c r="A19" s="13">
        <f>IF(B19&lt;&gt;"",ROW()-3,"")</f>
      </c>
      <c r="B19" s="9"/>
      <c r="C19" s="13">
        <f>IFERROR(XLOOKUP(B19,IDENTIFIKASI!$B:$B,IDENTIFIKASI!$G:$G),"")</f>
      </c>
      <c r="D19" s="9"/>
      <c r="E19" s="13">
        <f>IF(B19="","",B19&amp;"."&amp;IF(D19&lt;&gt;"",D19,"XX")&amp;"."&amp;TEXT(COUNTIFS($B$4:B19,B19,$D$4:D19,D19),"00"))</f>
      </c>
      <c r="F19" s="9"/>
      <c r="G19" s="9"/>
      <c r="H19" s="9"/>
      <c r="I19" s="9"/>
      <c r="J19" s="9"/>
      <c r="K19" s="9"/>
      <c r="L19" s="9"/>
      <c r="M19" s="9"/>
    </row>
    <row r="20" ht="20" customHeight="1" spans="1:13" x14ac:dyDescent="0.25">
      <c r="A20" s="13">
        <f>IF(B20&lt;&gt;"",ROW()-3,"")</f>
      </c>
      <c r="B20" s="9"/>
      <c r="C20" s="13">
        <f>IFERROR(XLOOKUP(B20,IDENTIFIKASI!$B:$B,IDENTIFIKASI!$G:$G),"")</f>
      </c>
      <c r="D20" s="9"/>
      <c r="E20" s="13">
        <f>IF(B20="","",B20&amp;"."&amp;IF(D20&lt;&gt;"",D20,"XX")&amp;"."&amp;TEXT(COUNTIFS($B$4:B20,B20,$D$4:D20,D20),"00"))</f>
      </c>
      <c r="F20" s="9"/>
      <c r="G20" s="9"/>
      <c r="H20" s="9"/>
      <c r="I20" s="9"/>
      <c r="J20" s="9"/>
      <c r="K20" s="9"/>
      <c r="L20" s="9"/>
      <c r="M20" s="9"/>
    </row>
    <row r="21" ht="20" customHeight="1" spans="1:13" x14ac:dyDescent="0.25">
      <c r="A21" s="13">
        <f>IF(B21&lt;&gt;"",ROW()-3,"")</f>
      </c>
      <c r="B21" s="9"/>
      <c r="C21" s="13">
        <f>IFERROR(XLOOKUP(B21,IDENTIFIKASI!$B:$B,IDENTIFIKASI!$G:$G),"")</f>
      </c>
      <c r="D21" s="9"/>
      <c r="E21" s="13">
        <f>IF(B21="","",B21&amp;"."&amp;IF(D21&lt;&gt;"",D21,"XX")&amp;"."&amp;TEXT(COUNTIFS($B$4:B21,B21,$D$4:D21,D21),"00"))</f>
      </c>
      <c r="F21" s="9"/>
      <c r="G21" s="9"/>
      <c r="H21" s="9"/>
      <c r="I21" s="9"/>
      <c r="J21" s="9"/>
      <c r="K21" s="9"/>
      <c r="L21" s="9"/>
      <c r="M21" s="9"/>
    </row>
    <row r="22" ht="20" customHeight="1" spans="1:13" x14ac:dyDescent="0.25">
      <c r="A22" s="13">
        <f>IF(B22&lt;&gt;"",ROW()-3,"")</f>
      </c>
      <c r="B22" s="9"/>
      <c r="C22" s="13">
        <f>IFERROR(XLOOKUP(B22,IDENTIFIKASI!$B:$B,IDENTIFIKASI!$G:$G),"")</f>
      </c>
      <c r="D22" s="9"/>
      <c r="E22" s="13">
        <f>IF(B22="","",B22&amp;"."&amp;IF(D22&lt;&gt;"",D22,"XX")&amp;"."&amp;TEXT(COUNTIFS($B$4:B22,B22,$D$4:D22,D22),"00"))</f>
      </c>
      <c r="F22" s="9"/>
      <c r="G22" s="9"/>
      <c r="H22" s="9"/>
      <c r="I22" s="9"/>
      <c r="J22" s="9"/>
      <c r="K22" s="9"/>
      <c r="L22" s="9"/>
      <c r="M22" s="9"/>
    </row>
    <row r="23" ht="20" customHeight="1" spans="1:13" x14ac:dyDescent="0.25">
      <c r="A23" s="13">
        <f>IF(B23&lt;&gt;"",ROW()-3,"")</f>
      </c>
      <c r="B23" s="9"/>
      <c r="C23" s="13">
        <f>IFERROR(XLOOKUP(B23,IDENTIFIKASI!$B:$B,IDENTIFIKASI!$G:$G),"")</f>
      </c>
      <c r="D23" s="9"/>
      <c r="E23" s="13">
        <f>IF(B23="","",B23&amp;"."&amp;IF(D23&lt;&gt;"",D23,"XX")&amp;"."&amp;TEXT(COUNTIFS($B$4:B23,B23,$D$4:D23,D23),"00"))</f>
      </c>
      <c r="F23" s="9"/>
      <c r="G23" s="9"/>
      <c r="H23" s="9"/>
      <c r="I23" s="9"/>
      <c r="J23" s="9"/>
      <c r="K23" s="9"/>
      <c r="L23" s="9"/>
      <c r="M23" s="9"/>
    </row>
    <row r="24" ht="20" customHeight="1" spans="1:13" x14ac:dyDescent="0.25">
      <c r="A24" s="13">
        <f>IF(B24&lt;&gt;"",ROW()-3,"")</f>
      </c>
      <c r="B24" s="9"/>
      <c r="C24" s="13">
        <f>IFERROR(XLOOKUP(B24,IDENTIFIKASI!$B:$B,IDENTIFIKASI!$G:$G),"")</f>
      </c>
      <c r="D24" s="9"/>
      <c r="E24" s="13">
        <f>IF(B24="","",B24&amp;"."&amp;IF(D24&lt;&gt;"",D24,"XX")&amp;"."&amp;TEXT(COUNTIFS($B$4:B24,B24,$D$4:D24,D24),"00"))</f>
      </c>
      <c r="F24" s="9"/>
      <c r="G24" s="9"/>
      <c r="H24" s="9"/>
      <c r="I24" s="9"/>
      <c r="J24" s="9"/>
      <c r="K24" s="9"/>
      <c r="L24" s="9"/>
      <c r="M24" s="9"/>
    </row>
    <row r="25" ht="20" customHeight="1" spans="1:13" x14ac:dyDescent="0.25">
      <c r="A25" s="13">
        <f>IF(B25&lt;&gt;"",ROW()-3,"")</f>
      </c>
      <c r="B25" s="9"/>
      <c r="C25" s="13">
        <f>IFERROR(XLOOKUP(B25,IDENTIFIKASI!$B:$B,IDENTIFIKASI!$G:$G),"")</f>
      </c>
      <c r="D25" s="9"/>
      <c r="E25" s="13">
        <f>IF(B25="","",B25&amp;"."&amp;IF(D25&lt;&gt;"",D25,"XX")&amp;"."&amp;TEXT(COUNTIFS($B$4:B25,B25,$D$4:D25,D25),"00"))</f>
      </c>
      <c r="F25" s="9"/>
      <c r="G25" s="9"/>
      <c r="H25" s="9"/>
      <c r="I25" s="9"/>
      <c r="J25" s="9"/>
      <c r="K25" s="9"/>
      <c r="L25" s="9"/>
      <c r="M25" s="9"/>
    </row>
    <row r="26" ht="20" customHeight="1" spans="1:13" x14ac:dyDescent="0.25">
      <c r="A26" s="13">
        <f>IF(B26&lt;&gt;"",ROW()-3,"")</f>
      </c>
      <c r="B26" s="9"/>
      <c r="C26" s="13">
        <f>IFERROR(XLOOKUP(B26,IDENTIFIKASI!$B:$B,IDENTIFIKASI!$G:$G),"")</f>
      </c>
      <c r="D26" s="9"/>
      <c r="E26" s="13">
        <f>IF(B26="","",B26&amp;"."&amp;IF(D26&lt;&gt;"",D26,"XX")&amp;"."&amp;TEXT(COUNTIFS($B$4:B26,B26,$D$4:D26,D26),"00"))</f>
      </c>
      <c r="F26" s="9"/>
      <c r="G26" s="9"/>
      <c r="H26" s="9"/>
      <c r="I26" s="9"/>
      <c r="J26" s="9"/>
      <c r="K26" s="9"/>
      <c r="L26" s="9"/>
      <c r="M26" s="9"/>
    </row>
    <row r="27" ht="20" customHeight="1" spans="1:13" x14ac:dyDescent="0.25">
      <c r="A27" s="13">
        <f>IF(B27&lt;&gt;"",ROW()-3,"")</f>
      </c>
      <c r="B27" s="9"/>
      <c r="C27" s="13">
        <f>IFERROR(XLOOKUP(B27,IDENTIFIKASI!$B:$B,IDENTIFIKASI!$G:$G),"")</f>
      </c>
      <c r="D27" s="9"/>
      <c r="E27" s="13">
        <f>IF(B27="","",B27&amp;"."&amp;IF(D27&lt;&gt;"",D27,"XX")&amp;"."&amp;TEXT(COUNTIFS($B$4:B27,B27,$D$4:D27,D27),"00"))</f>
      </c>
      <c r="F27" s="9"/>
      <c r="G27" s="9"/>
      <c r="H27" s="9"/>
      <c r="I27" s="9"/>
      <c r="J27" s="9"/>
      <c r="K27" s="9"/>
      <c r="L27" s="9"/>
      <c r="M27" s="9"/>
    </row>
    <row r="28" ht="20" customHeight="1" spans="1:13" x14ac:dyDescent="0.25">
      <c r="A28" s="13">
        <f>IF(B28&lt;&gt;"",ROW()-3,"")</f>
      </c>
      <c r="B28" s="9"/>
      <c r="C28" s="13">
        <f>IFERROR(XLOOKUP(B28,IDENTIFIKASI!$B:$B,IDENTIFIKASI!$G:$G),"")</f>
      </c>
      <c r="D28" s="9"/>
      <c r="E28" s="13">
        <f>IF(B28="","",B28&amp;"."&amp;IF(D28&lt;&gt;"",D28,"XX")&amp;"."&amp;TEXT(COUNTIFS($B$4:B28,B28,$D$4:D28,D28),"00"))</f>
      </c>
      <c r="F28" s="9"/>
      <c r="G28" s="9"/>
      <c r="H28" s="9"/>
      <c r="I28" s="9"/>
      <c r="J28" s="9"/>
      <c r="K28" s="9"/>
      <c r="L28" s="9"/>
      <c r="M28" s="9"/>
    </row>
    <row r="29" ht="20" customHeight="1" spans="1:13" x14ac:dyDescent="0.25">
      <c r="A29" s="13">
        <f>IF(B29&lt;&gt;"",ROW()-3,"")</f>
      </c>
      <c r="B29" s="9"/>
      <c r="C29" s="13">
        <f>IFERROR(XLOOKUP(B29,IDENTIFIKASI!$B:$B,IDENTIFIKASI!$G:$G),"")</f>
      </c>
      <c r="D29" s="9"/>
      <c r="E29" s="13">
        <f>IF(B29="","",B29&amp;"."&amp;IF(D29&lt;&gt;"",D29,"XX")&amp;"."&amp;TEXT(COUNTIFS($B$4:B29,B29,$D$4:D29,D29),"00"))</f>
      </c>
      <c r="F29" s="9"/>
      <c r="G29" s="9"/>
      <c r="H29" s="9"/>
      <c r="I29" s="9"/>
      <c r="J29" s="9"/>
      <c r="K29" s="9"/>
      <c r="L29" s="9"/>
      <c r="M29" s="9"/>
    </row>
    <row r="30" ht="20" customHeight="1" spans="1:13" x14ac:dyDescent="0.25">
      <c r="A30" s="13">
        <f>IF(B30&lt;&gt;"",ROW()-3,"")</f>
      </c>
      <c r="B30" s="9"/>
      <c r="C30" s="13">
        <f>IFERROR(XLOOKUP(B30,IDENTIFIKASI!$B:$B,IDENTIFIKASI!$G:$G),"")</f>
      </c>
      <c r="D30" s="9"/>
      <c r="E30" s="13">
        <f>IF(B30="","",B30&amp;"."&amp;IF(D30&lt;&gt;"",D30,"XX")&amp;"."&amp;TEXT(COUNTIFS($B$4:B30,B30,$D$4:D30,D30),"00"))</f>
      </c>
      <c r="F30" s="9"/>
      <c r="G30" s="9"/>
      <c r="H30" s="9"/>
      <c r="I30" s="9"/>
      <c r="J30" s="9"/>
      <c r="K30" s="9"/>
      <c r="L30" s="9"/>
      <c r="M30" s="9"/>
    </row>
    <row r="31" ht="20" customHeight="1" spans="1:13" x14ac:dyDescent="0.25">
      <c r="A31" s="13">
        <f>IF(B31&lt;&gt;"",ROW()-3,"")</f>
      </c>
      <c r="B31" s="9"/>
      <c r="C31" s="13">
        <f>IFERROR(XLOOKUP(B31,IDENTIFIKASI!$B:$B,IDENTIFIKASI!$G:$G),"")</f>
      </c>
      <c r="D31" s="9"/>
      <c r="E31" s="13">
        <f>IF(B31="","",B31&amp;"."&amp;IF(D31&lt;&gt;"",D31,"XX")&amp;"."&amp;TEXT(COUNTIFS($B$4:B31,B31,$D$4:D31,D31),"00"))</f>
      </c>
      <c r="F31" s="9"/>
      <c r="G31" s="9"/>
      <c r="H31" s="9"/>
      <c r="I31" s="9"/>
      <c r="J31" s="9"/>
      <c r="K31" s="9"/>
      <c r="L31" s="9"/>
      <c r="M31" s="9"/>
    </row>
    <row r="32" ht="20" customHeight="1" spans="1:13" x14ac:dyDescent="0.25">
      <c r="A32" s="13">
        <f>IF(B32&lt;&gt;"",ROW()-3,"")</f>
      </c>
      <c r="B32" s="9"/>
      <c r="C32" s="13">
        <f>IFERROR(XLOOKUP(B32,IDENTIFIKASI!$B:$B,IDENTIFIKASI!$G:$G),"")</f>
      </c>
      <c r="D32" s="9"/>
      <c r="E32" s="13">
        <f>IF(B32="","",B32&amp;"."&amp;IF(D32&lt;&gt;"",D32,"XX")&amp;"."&amp;TEXT(COUNTIFS($B$4:B32,B32,$D$4:D32,D32),"00"))</f>
      </c>
      <c r="F32" s="9"/>
      <c r="G32" s="9"/>
      <c r="H32" s="9"/>
      <c r="I32" s="9"/>
      <c r="J32" s="9"/>
      <c r="K32" s="9"/>
      <c r="L32" s="9"/>
      <c r="M32" s="9"/>
    </row>
    <row r="33" ht="20" customHeight="1" spans="1:13" x14ac:dyDescent="0.25">
      <c r="A33" s="13">
        <f>IF(B33&lt;&gt;"",ROW()-3,"")</f>
      </c>
      <c r="B33" s="9"/>
      <c r="C33" s="13">
        <f>IFERROR(XLOOKUP(B33,IDENTIFIKASI!$B:$B,IDENTIFIKASI!$G:$G),"")</f>
      </c>
      <c r="D33" s="9"/>
      <c r="E33" s="13">
        <f>IF(B33="","",B33&amp;"."&amp;IF(D33&lt;&gt;"",D33,"XX")&amp;"."&amp;TEXT(COUNTIFS($B$4:B33,B33,$D$4:D33,D33),"00"))</f>
      </c>
      <c r="F33" s="9"/>
      <c r="G33" s="9"/>
      <c r="H33" s="9"/>
      <c r="I33" s="9"/>
      <c r="J33" s="9"/>
      <c r="K33" s="9"/>
      <c r="L33" s="9"/>
      <c r="M33" s="9"/>
    </row>
    <row r="34" ht="20" customHeight="1" spans="1:13" x14ac:dyDescent="0.25">
      <c r="A34" s="13">
        <f>IF(B34&lt;&gt;"",ROW()-3,"")</f>
      </c>
      <c r="B34" s="9"/>
      <c r="C34" s="13">
        <f>IFERROR(XLOOKUP(B34,IDENTIFIKASI!$B:$B,IDENTIFIKASI!$G:$G),"")</f>
      </c>
      <c r="D34" s="9"/>
      <c r="E34" s="13">
        <f>IF(B34="","",B34&amp;"."&amp;IF(D34&lt;&gt;"",D34,"XX")&amp;"."&amp;TEXT(COUNTIFS($B$4:B34,B34,$D$4:D34,D34),"00"))</f>
      </c>
      <c r="F34" s="9"/>
      <c r="G34" s="9"/>
      <c r="H34" s="9"/>
      <c r="I34" s="9"/>
      <c r="J34" s="9"/>
      <c r="K34" s="9"/>
      <c r="L34" s="9"/>
      <c r="M34" s="9"/>
    </row>
    <row r="35" ht="20" customHeight="1" spans="1:13" x14ac:dyDescent="0.25">
      <c r="A35" s="13">
        <f>IF(B35&lt;&gt;"",ROW()-3,"")</f>
      </c>
      <c r="B35" s="9"/>
      <c r="C35" s="13">
        <f>IFERROR(XLOOKUP(B35,IDENTIFIKASI!$B:$B,IDENTIFIKASI!$G:$G),"")</f>
      </c>
      <c r="D35" s="9"/>
      <c r="E35" s="13">
        <f>IF(B35="","",B35&amp;"."&amp;IF(D35&lt;&gt;"",D35,"XX")&amp;"."&amp;TEXT(COUNTIFS($B$4:B35,B35,$D$4:D35,D35),"00"))</f>
      </c>
      <c r="F35" s="9"/>
      <c r="G35" s="9"/>
      <c r="H35" s="9"/>
      <c r="I35" s="9"/>
      <c r="J35" s="9"/>
      <c r="K35" s="9"/>
      <c r="L35" s="9"/>
      <c r="M35" s="9"/>
    </row>
    <row r="36" ht="20" customHeight="1" spans="1:13" x14ac:dyDescent="0.25">
      <c r="A36" s="13">
        <f>IF(B36&lt;&gt;"",ROW()-3,"")</f>
      </c>
      <c r="B36" s="9"/>
      <c r="C36" s="13">
        <f>IFERROR(XLOOKUP(B36,IDENTIFIKASI!$B:$B,IDENTIFIKASI!$G:$G),"")</f>
      </c>
      <c r="D36" s="9"/>
      <c r="E36" s="13">
        <f>IF(B36="","",B36&amp;"."&amp;IF(D36&lt;&gt;"",D36,"XX")&amp;"."&amp;TEXT(COUNTIFS($B$4:B36,B36,$D$4:D36,D36),"00"))</f>
      </c>
      <c r="F36" s="9"/>
      <c r="G36" s="9"/>
      <c r="H36" s="9"/>
      <c r="I36" s="9"/>
      <c r="J36" s="9"/>
      <c r="K36" s="9"/>
      <c r="L36" s="9"/>
      <c r="M36" s="9"/>
    </row>
    <row r="37" ht="20" customHeight="1" spans="1:13" x14ac:dyDescent="0.25">
      <c r="A37" s="13">
        <f>IF(B37&lt;&gt;"",ROW()-3,"")</f>
      </c>
      <c r="B37" s="9"/>
      <c r="C37" s="13">
        <f>IFERROR(XLOOKUP(B37,IDENTIFIKASI!$B:$B,IDENTIFIKASI!$G:$G),"")</f>
      </c>
      <c r="D37" s="9"/>
      <c r="E37" s="13">
        <f>IF(B37="","",B37&amp;"."&amp;IF(D37&lt;&gt;"",D37,"XX")&amp;"."&amp;TEXT(COUNTIFS($B$4:B37,B37,$D$4:D37,D37),"00"))</f>
      </c>
      <c r="F37" s="9"/>
      <c r="G37" s="9"/>
      <c r="H37" s="9"/>
      <c r="I37" s="9"/>
      <c r="J37" s="9"/>
      <c r="K37" s="9"/>
      <c r="L37" s="9"/>
      <c r="M37" s="9"/>
    </row>
    <row r="38" ht="20" customHeight="1" spans="1:13" x14ac:dyDescent="0.25">
      <c r="A38" s="13">
        <f>IF(B38&lt;&gt;"",ROW()-3,"")</f>
      </c>
      <c r="B38" s="9"/>
      <c r="C38" s="13">
        <f>IFERROR(XLOOKUP(B38,IDENTIFIKASI!$B:$B,IDENTIFIKASI!$G:$G),"")</f>
      </c>
      <c r="D38" s="9"/>
      <c r="E38" s="13">
        <f>IF(B38="","",B38&amp;"."&amp;IF(D38&lt;&gt;"",D38,"XX")&amp;"."&amp;TEXT(COUNTIFS($B$4:B38,B38,$D$4:D38,D38),"00"))</f>
      </c>
      <c r="F38" s="9"/>
      <c r="G38" s="9"/>
      <c r="H38" s="9"/>
      <c r="I38" s="9"/>
      <c r="J38" s="9"/>
      <c r="K38" s="9"/>
      <c r="L38" s="9"/>
      <c r="M38" s="9"/>
    </row>
    <row r="39" ht="20" customHeight="1" spans="1:13" x14ac:dyDescent="0.25">
      <c r="A39" s="13">
        <f>IF(B39&lt;&gt;"",ROW()-3,"")</f>
      </c>
      <c r="B39" s="9"/>
      <c r="C39" s="13">
        <f>IFERROR(XLOOKUP(B39,IDENTIFIKASI!$B:$B,IDENTIFIKASI!$G:$G),"")</f>
      </c>
      <c r="D39" s="9"/>
      <c r="E39" s="13">
        <f>IF(B39="","",B39&amp;"."&amp;IF(D39&lt;&gt;"",D39,"XX")&amp;"."&amp;TEXT(COUNTIFS($B$4:B39,B39,$D$4:D39,D39),"00"))</f>
      </c>
      <c r="F39" s="9"/>
      <c r="G39" s="9"/>
      <c r="H39" s="9"/>
      <c r="I39" s="9"/>
      <c r="J39" s="9"/>
      <c r="K39" s="9"/>
      <c r="L39" s="9"/>
      <c r="M39" s="9"/>
    </row>
    <row r="40" ht="20" customHeight="1" spans="1:13" x14ac:dyDescent="0.25">
      <c r="A40" s="13">
        <f>IF(B40&lt;&gt;"",ROW()-3,"")</f>
      </c>
      <c r="B40" s="9"/>
      <c r="C40" s="13">
        <f>IFERROR(XLOOKUP(B40,IDENTIFIKASI!$B:$B,IDENTIFIKASI!$G:$G),"")</f>
      </c>
      <c r="D40" s="9"/>
      <c r="E40" s="13">
        <f>IF(B40="","",B40&amp;"."&amp;IF(D40&lt;&gt;"",D40,"XX")&amp;"."&amp;TEXT(COUNTIFS($B$4:B40,B40,$D$4:D40,D40),"00"))</f>
      </c>
      <c r="F40" s="9"/>
      <c r="G40" s="9"/>
      <c r="H40" s="9"/>
      <c r="I40" s="9"/>
      <c r="J40" s="9"/>
      <c r="K40" s="9"/>
      <c r="L40" s="9"/>
      <c r="M40" s="9"/>
    </row>
    <row r="41" ht="20" customHeight="1" spans="1:13" x14ac:dyDescent="0.25">
      <c r="A41" s="13">
        <f>IF(B41&lt;&gt;"",ROW()-3,"")</f>
      </c>
      <c r="B41" s="9"/>
      <c r="C41" s="13">
        <f>IFERROR(XLOOKUP(B41,IDENTIFIKASI!$B:$B,IDENTIFIKASI!$G:$G),"")</f>
      </c>
      <c r="D41" s="9"/>
      <c r="E41" s="13">
        <f>IF(B41="","",B41&amp;"."&amp;IF(D41&lt;&gt;"",D41,"XX")&amp;"."&amp;TEXT(COUNTIFS($B$4:B41,B41,$D$4:D41,D41),"00"))</f>
      </c>
      <c r="F41" s="9"/>
      <c r="G41" s="9"/>
      <c r="H41" s="9"/>
      <c r="I41" s="9"/>
      <c r="J41" s="9"/>
      <c r="K41" s="9"/>
      <c r="L41" s="9"/>
      <c r="M41" s="9"/>
    </row>
    <row r="42" ht="20" customHeight="1" spans="1:13" x14ac:dyDescent="0.25">
      <c r="A42" s="13">
        <f>IF(B42&lt;&gt;"",ROW()-3,"")</f>
      </c>
      <c r="B42" s="9"/>
      <c r="C42" s="13">
        <f>IFERROR(XLOOKUP(B42,IDENTIFIKASI!$B:$B,IDENTIFIKASI!$G:$G),"")</f>
      </c>
      <c r="D42" s="9"/>
      <c r="E42" s="13">
        <f>IF(B42="","",B42&amp;"."&amp;IF(D42&lt;&gt;"",D42,"XX")&amp;"."&amp;TEXT(COUNTIFS($B$4:B42,B42,$D$4:D42,D42),"00"))</f>
      </c>
      <c r="F42" s="9"/>
      <c r="G42" s="9"/>
      <c r="H42" s="9"/>
      <c r="I42" s="9"/>
      <c r="J42" s="9"/>
      <c r="K42" s="9"/>
      <c r="L42" s="9"/>
      <c r="M42" s="9"/>
    </row>
    <row r="43" ht="20" customHeight="1" spans="1:13" x14ac:dyDescent="0.25">
      <c r="A43" s="13">
        <f>IF(B43&lt;&gt;"",ROW()-3,"")</f>
      </c>
      <c r="B43" s="9"/>
      <c r="C43" s="13">
        <f>IFERROR(XLOOKUP(B43,IDENTIFIKASI!$B:$B,IDENTIFIKASI!$G:$G),"")</f>
      </c>
      <c r="D43" s="9"/>
      <c r="E43" s="13">
        <f>IF(B43="","",B43&amp;"."&amp;IF(D43&lt;&gt;"",D43,"XX")&amp;"."&amp;TEXT(COUNTIFS($B$4:B43,B43,$D$4:D43,D43),"00"))</f>
      </c>
      <c r="F43" s="9"/>
      <c r="G43" s="9"/>
      <c r="H43" s="9"/>
      <c r="I43" s="9"/>
      <c r="J43" s="9"/>
      <c r="K43" s="9"/>
      <c r="L43" s="9"/>
      <c r="M43" s="9"/>
    </row>
    <row r="44" ht="20" customHeight="1" spans="1:13" x14ac:dyDescent="0.25">
      <c r="A44" s="13">
        <f>IF(B44&lt;&gt;"",ROW()-3,"")</f>
      </c>
      <c r="B44" s="9"/>
      <c r="C44" s="13">
        <f>IFERROR(XLOOKUP(B44,IDENTIFIKASI!$B:$B,IDENTIFIKASI!$G:$G),"")</f>
      </c>
      <c r="D44" s="9"/>
      <c r="E44" s="13">
        <f>IF(B44="","",B44&amp;"."&amp;IF(D44&lt;&gt;"",D44,"XX")&amp;"."&amp;TEXT(COUNTIFS($B$4:B44,B44,$D$4:D44,D44),"00"))</f>
      </c>
      <c r="F44" s="9"/>
      <c r="G44" s="9"/>
      <c r="H44" s="9"/>
      <c r="I44" s="9"/>
      <c r="J44" s="9"/>
      <c r="K44" s="9"/>
      <c r="L44" s="9"/>
      <c r="M44" s="9"/>
    </row>
    <row r="45" ht="20" customHeight="1" spans="1:13" x14ac:dyDescent="0.25">
      <c r="A45" s="13">
        <f>IF(B45&lt;&gt;"",ROW()-3,"")</f>
      </c>
      <c r="B45" s="9"/>
      <c r="C45" s="13">
        <f>IFERROR(XLOOKUP(B45,IDENTIFIKASI!$B:$B,IDENTIFIKASI!$G:$G),"")</f>
      </c>
      <c r="D45" s="9"/>
      <c r="E45" s="13">
        <f>IF(B45="","",B45&amp;"."&amp;IF(D45&lt;&gt;"",D45,"XX")&amp;"."&amp;TEXT(COUNTIFS($B$4:B45,B45,$D$4:D45,D45),"00"))</f>
      </c>
      <c r="F45" s="9"/>
      <c r="G45" s="9"/>
      <c r="H45" s="9"/>
      <c r="I45" s="9"/>
      <c r="J45" s="9"/>
      <c r="K45" s="9"/>
      <c r="L45" s="9"/>
      <c r="M45" s="9"/>
    </row>
    <row r="46" ht="20" customHeight="1" spans="1:13" x14ac:dyDescent="0.25">
      <c r="A46" s="13">
        <f>IF(B46&lt;&gt;"",ROW()-3,"")</f>
      </c>
      <c r="B46" s="9"/>
      <c r="C46" s="13">
        <f>IFERROR(XLOOKUP(B46,IDENTIFIKASI!$B:$B,IDENTIFIKASI!$G:$G),"")</f>
      </c>
      <c r="D46" s="9"/>
      <c r="E46" s="13">
        <f>IF(B46="","",B46&amp;"."&amp;IF(D46&lt;&gt;"",D46,"XX")&amp;"."&amp;TEXT(COUNTIFS($B$4:B46,B46,$D$4:D46,D46),"00"))</f>
      </c>
      <c r="F46" s="9"/>
      <c r="G46" s="9"/>
      <c r="H46" s="9"/>
      <c r="I46" s="9"/>
      <c r="J46" s="9"/>
      <c r="K46" s="9"/>
      <c r="L46" s="9"/>
      <c r="M46" s="9"/>
    </row>
    <row r="47" ht="20" customHeight="1" spans="1:13" x14ac:dyDescent="0.25">
      <c r="A47" s="13">
        <f>IF(B47&lt;&gt;"",ROW()-3,"")</f>
      </c>
      <c r="B47" s="9"/>
      <c r="C47" s="13">
        <f>IFERROR(XLOOKUP(B47,IDENTIFIKASI!$B:$B,IDENTIFIKASI!$G:$G),"")</f>
      </c>
      <c r="D47" s="9"/>
      <c r="E47" s="13">
        <f>IF(B47="","",B47&amp;"."&amp;IF(D47&lt;&gt;"",D47,"XX")&amp;"."&amp;TEXT(COUNTIFS($B$4:B47,B47,$D$4:D47,D47),"00"))</f>
      </c>
      <c r="F47" s="9"/>
      <c r="G47" s="9"/>
      <c r="H47" s="9"/>
      <c r="I47" s="9"/>
      <c r="J47" s="9"/>
      <c r="K47" s="9"/>
      <c r="L47" s="9"/>
      <c r="M47" s="9"/>
    </row>
    <row r="48" ht="20" customHeight="1" spans="1:13" x14ac:dyDescent="0.25">
      <c r="A48" s="13">
        <f>IF(B48&lt;&gt;"",ROW()-3,"")</f>
      </c>
      <c r="B48" s="9"/>
      <c r="C48" s="13">
        <f>IFERROR(XLOOKUP(B48,IDENTIFIKASI!$B:$B,IDENTIFIKASI!$G:$G),"")</f>
      </c>
      <c r="D48" s="9"/>
      <c r="E48" s="13">
        <f>IF(B48="","",B48&amp;"."&amp;IF(D48&lt;&gt;"",D48,"XX")&amp;"."&amp;TEXT(COUNTIFS($B$4:B48,B48,$D$4:D48,D48),"00"))</f>
      </c>
      <c r="F48" s="9"/>
      <c r="G48" s="9"/>
      <c r="H48" s="9"/>
      <c r="I48" s="9"/>
      <c r="J48" s="9"/>
      <c r="K48" s="9"/>
      <c r="L48" s="9"/>
      <c r="M48" s="9"/>
    </row>
    <row r="49" ht="20" customHeight="1" spans="1:13" x14ac:dyDescent="0.25">
      <c r="A49" s="13">
        <f>IF(B49&lt;&gt;"",ROW()-3,"")</f>
      </c>
      <c r="B49" s="9"/>
      <c r="C49" s="13">
        <f>IFERROR(XLOOKUP(B49,IDENTIFIKASI!$B:$B,IDENTIFIKASI!$G:$G),"")</f>
      </c>
      <c r="D49" s="9"/>
      <c r="E49" s="13">
        <f>IF(B49="","",B49&amp;"."&amp;IF(D49&lt;&gt;"",D49,"XX")&amp;"."&amp;TEXT(COUNTIFS($B$4:B49,B49,$D$4:D49,D49),"00"))</f>
      </c>
      <c r="F49" s="9"/>
      <c r="G49" s="9"/>
      <c r="H49" s="9"/>
      <c r="I49" s="9"/>
      <c r="J49" s="9"/>
      <c r="K49" s="9"/>
      <c r="L49" s="9"/>
      <c r="M49" s="9"/>
    </row>
    <row r="50" ht="20" customHeight="1" spans="1:13" x14ac:dyDescent="0.25">
      <c r="A50" s="13">
        <f>IF(B50&lt;&gt;"",ROW()-3,"")</f>
      </c>
      <c r="B50" s="9"/>
      <c r="C50" s="13">
        <f>IFERROR(XLOOKUP(B50,IDENTIFIKASI!$B:$B,IDENTIFIKASI!$G:$G),"")</f>
      </c>
      <c r="D50" s="9"/>
      <c r="E50" s="13">
        <f>IF(B50="","",B50&amp;"."&amp;IF(D50&lt;&gt;"",D50,"XX")&amp;"."&amp;TEXT(COUNTIFS($B$4:B50,B50,$D$4:D50,D50),"00"))</f>
      </c>
      <c r="F50" s="9"/>
      <c r="G50" s="9"/>
      <c r="H50" s="9"/>
      <c r="I50" s="9"/>
      <c r="J50" s="9"/>
      <c r="K50" s="9"/>
      <c r="L50" s="9"/>
      <c r="M50" s="9"/>
    </row>
    <row r="51" ht="20" customHeight="1" spans="1:13" x14ac:dyDescent="0.25">
      <c r="A51" s="13">
        <f>IF(B51&lt;&gt;"",ROW()-3,"")</f>
      </c>
      <c r="B51" s="9"/>
      <c r="C51" s="13">
        <f>IFERROR(XLOOKUP(B51,IDENTIFIKASI!$B:$B,IDENTIFIKASI!$G:$G),"")</f>
      </c>
      <c r="D51" s="9"/>
      <c r="E51" s="13">
        <f>IF(B51="","",B51&amp;"."&amp;IF(D51&lt;&gt;"",D51,"XX")&amp;"."&amp;TEXT(COUNTIFS($B$4:B51,B51,$D$4:D51,D51),"00"))</f>
      </c>
      <c r="F51" s="9"/>
      <c r="G51" s="9"/>
      <c r="H51" s="9"/>
      <c r="I51" s="9"/>
      <c r="J51" s="9"/>
      <c r="K51" s="9"/>
      <c r="L51" s="9"/>
      <c r="M51" s="9"/>
    </row>
    <row r="52" ht="20" customHeight="1" spans="1:13" x14ac:dyDescent="0.25">
      <c r="A52" s="13">
        <f>IF(B52&lt;&gt;"",ROW()-3,"")</f>
      </c>
      <c r="B52" s="9"/>
      <c r="C52" s="13">
        <f>IFERROR(XLOOKUP(B52,IDENTIFIKASI!$B:$B,IDENTIFIKASI!$G:$G),"")</f>
      </c>
      <c r="D52" s="9"/>
      <c r="E52" s="13">
        <f>IF(B52="","",B52&amp;"."&amp;IF(D52&lt;&gt;"",D52,"XX")&amp;"."&amp;TEXT(COUNTIFS($B$4:B52,B52,$D$4:D52,D52),"00"))</f>
      </c>
      <c r="F52" s="9"/>
      <c r="G52" s="9"/>
      <c r="H52" s="9"/>
      <c r="I52" s="9"/>
      <c r="J52" s="9"/>
      <c r="K52" s="9"/>
      <c r="L52" s="9"/>
      <c r="M52" s="9"/>
    </row>
    <row r="53" ht="20" customHeight="1" spans="1:13" x14ac:dyDescent="0.25">
      <c r="A53" s="13">
        <f>IF(B53&lt;&gt;"",ROW()-3,"")</f>
      </c>
      <c r="B53" s="9"/>
      <c r="C53" s="13">
        <f>IFERROR(XLOOKUP(B53,IDENTIFIKASI!$B:$B,IDENTIFIKASI!$G:$G),"")</f>
      </c>
      <c r="D53" s="9"/>
      <c r="E53" s="13">
        <f>IF(B53="","",B53&amp;"."&amp;IF(D53&lt;&gt;"",D53,"XX")&amp;"."&amp;TEXT(COUNTIFS($B$4:B53,B53,$D$4:D53,D53),"00"))</f>
      </c>
      <c r="F53" s="9"/>
      <c r="G53" s="9"/>
      <c r="H53" s="9"/>
      <c r="I53" s="9"/>
      <c r="J53" s="9"/>
      <c r="K53" s="9"/>
      <c r="L53" s="9"/>
      <c r="M53" s="9"/>
    </row>
    <row r="54" ht="20" customHeight="1" spans="1:13" x14ac:dyDescent="0.25">
      <c r="A54" s="13">
        <f>IF(B54&lt;&gt;"",ROW()-3,"")</f>
      </c>
      <c r="B54" s="9"/>
      <c r="C54" s="13">
        <f>IFERROR(XLOOKUP(B54,IDENTIFIKASI!$B:$B,IDENTIFIKASI!$G:$G),"")</f>
      </c>
      <c r="D54" s="9"/>
      <c r="E54" s="13">
        <f>IF(B54="","",B54&amp;"."&amp;IF(D54&lt;&gt;"",D54,"XX")&amp;"."&amp;TEXT(COUNTIFS($B$4:B54,B54,$D$4:D54,D54),"00"))</f>
      </c>
      <c r="F54" s="9"/>
      <c r="G54" s="9"/>
      <c r="H54" s="9"/>
      <c r="I54" s="9"/>
      <c r="J54" s="9"/>
      <c r="K54" s="9"/>
      <c r="L54" s="9"/>
      <c r="M54" s="9"/>
    </row>
    <row r="55" ht="20" customHeight="1" spans="1:13" x14ac:dyDescent="0.25">
      <c r="A55" s="13">
        <f>IF(B55&lt;&gt;"",ROW()-3,"")</f>
      </c>
      <c r="B55" s="9"/>
      <c r="C55" s="13">
        <f>IFERROR(XLOOKUP(B55,IDENTIFIKASI!$B:$B,IDENTIFIKASI!$G:$G),"")</f>
      </c>
      <c r="D55" s="9"/>
      <c r="E55" s="13">
        <f>IF(B55="","",B55&amp;"."&amp;IF(D55&lt;&gt;"",D55,"XX")&amp;"."&amp;TEXT(COUNTIFS($B$4:B55,B55,$D$4:D55,D55),"00"))</f>
      </c>
      <c r="F55" s="9"/>
      <c r="G55" s="9"/>
      <c r="H55" s="9"/>
      <c r="I55" s="9"/>
      <c r="J55" s="9"/>
      <c r="K55" s="9"/>
      <c r="L55" s="9"/>
      <c r="M55" s="9"/>
    </row>
    <row r="56" ht="20" customHeight="1" spans="1:13" x14ac:dyDescent="0.25">
      <c r="A56" s="13">
        <f>IF(B56&lt;&gt;"",ROW()-3,"")</f>
      </c>
      <c r="B56" s="9"/>
      <c r="C56" s="13">
        <f>IFERROR(XLOOKUP(B56,IDENTIFIKASI!$B:$B,IDENTIFIKASI!$G:$G),"")</f>
      </c>
      <c r="D56" s="9"/>
      <c r="E56" s="13">
        <f>IF(B56="","",B56&amp;"."&amp;IF(D56&lt;&gt;"",D56,"XX")&amp;"."&amp;TEXT(COUNTIFS($B$4:B56,B56,$D$4:D56,D56),"00"))</f>
      </c>
      <c r="F56" s="9"/>
      <c r="G56" s="9"/>
      <c r="H56" s="9"/>
      <c r="I56" s="9"/>
      <c r="J56" s="9"/>
      <c r="K56" s="9"/>
      <c r="L56" s="9"/>
      <c r="M56" s="9"/>
    </row>
    <row r="57" ht="20" customHeight="1" spans="1:13" x14ac:dyDescent="0.25">
      <c r="A57" s="13">
        <f>IF(B57&lt;&gt;"",ROW()-3,"")</f>
      </c>
      <c r="B57" s="9"/>
      <c r="C57" s="13">
        <f>IFERROR(XLOOKUP(B57,IDENTIFIKASI!$B:$B,IDENTIFIKASI!$G:$G),"")</f>
      </c>
      <c r="D57" s="9"/>
      <c r="E57" s="13">
        <f>IF(B57="","",B57&amp;"."&amp;IF(D57&lt;&gt;"",D57,"XX")&amp;"."&amp;TEXT(COUNTIFS($B$4:B57,B57,$D$4:D57,D57),"00"))</f>
      </c>
      <c r="F57" s="9"/>
      <c r="G57" s="9"/>
      <c r="H57" s="9"/>
      <c r="I57" s="9"/>
      <c r="J57" s="9"/>
      <c r="K57" s="9"/>
      <c r="L57" s="9"/>
      <c r="M57" s="9"/>
    </row>
    <row r="58" ht="20" customHeight="1" spans="1:13" x14ac:dyDescent="0.25">
      <c r="A58" s="13">
        <f>IF(B58&lt;&gt;"",ROW()-3,"")</f>
      </c>
      <c r="B58" s="9"/>
      <c r="C58" s="13">
        <f>IFERROR(XLOOKUP(B58,IDENTIFIKASI!$B:$B,IDENTIFIKASI!$G:$G),"")</f>
      </c>
      <c r="D58" s="9"/>
      <c r="E58" s="13">
        <f>IF(B58="","",B58&amp;"."&amp;IF(D58&lt;&gt;"",D58,"XX")&amp;"."&amp;TEXT(COUNTIFS($B$4:B58,B58,$D$4:D58,D58),"00"))</f>
      </c>
      <c r="F58" s="9"/>
      <c r="G58" s="9"/>
      <c r="H58" s="9"/>
      <c r="I58" s="9"/>
      <c r="J58" s="9"/>
      <c r="K58" s="9"/>
      <c r="L58" s="9"/>
      <c r="M58" s="9"/>
    </row>
    <row r="59" ht="20" customHeight="1" spans="1:13" x14ac:dyDescent="0.25">
      <c r="A59" s="13">
        <f>IF(B59&lt;&gt;"",ROW()-3,"")</f>
      </c>
      <c r="B59" s="9"/>
      <c r="C59" s="13">
        <f>IFERROR(XLOOKUP(B59,IDENTIFIKASI!$B:$B,IDENTIFIKASI!$G:$G),"")</f>
      </c>
      <c r="D59" s="9"/>
      <c r="E59" s="13">
        <f>IF(B59="","",B59&amp;"."&amp;IF(D59&lt;&gt;"",D59,"XX")&amp;"."&amp;TEXT(COUNTIFS($B$4:B59,B59,$D$4:D59,D59),"00"))</f>
      </c>
      <c r="F59" s="9"/>
      <c r="G59" s="9"/>
      <c r="H59" s="9"/>
      <c r="I59" s="9"/>
      <c r="J59" s="9"/>
      <c r="K59" s="9"/>
      <c r="L59" s="9"/>
      <c r="M59" s="9"/>
    </row>
    <row r="60" ht="20" customHeight="1" spans="1:13" x14ac:dyDescent="0.25">
      <c r="A60" s="13">
        <f>IF(B60&lt;&gt;"",ROW()-3,"")</f>
      </c>
      <c r="B60" s="9"/>
      <c r="C60" s="13">
        <f>IFERROR(XLOOKUP(B60,IDENTIFIKASI!$B:$B,IDENTIFIKASI!$G:$G),"")</f>
      </c>
      <c r="D60" s="9"/>
      <c r="E60" s="13">
        <f>IF(B60="","",B60&amp;"."&amp;IF(D60&lt;&gt;"",D60,"XX")&amp;"."&amp;TEXT(COUNTIFS($B$4:B60,B60,$D$4:D60,D60),"00"))</f>
      </c>
      <c r="F60" s="9"/>
      <c r="G60" s="9"/>
      <c r="H60" s="9"/>
      <c r="I60" s="9"/>
      <c r="J60" s="9"/>
      <c r="K60" s="9"/>
      <c r="L60" s="9"/>
      <c r="M60" s="9"/>
    </row>
    <row r="61" ht="20" customHeight="1" spans="1:13" x14ac:dyDescent="0.25">
      <c r="A61" s="13">
        <f>IF(B61&lt;&gt;"",ROW()-3,"")</f>
      </c>
      <c r="B61" s="9"/>
      <c r="C61" s="13">
        <f>IFERROR(XLOOKUP(B61,IDENTIFIKASI!$B:$B,IDENTIFIKASI!$G:$G),"")</f>
      </c>
      <c r="D61" s="9"/>
      <c r="E61" s="13">
        <f>IF(B61="","",B61&amp;"."&amp;IF(D61&lt;&gt;"",D61,"XX")&amp;"."&amp;TEXT(COUNTIFS($B$4:B61,B61,$D$4:D61,D61),"00"))</f>
      </c>
      <c r="F61" s="9"/>
      <c r="G61" s="9"/>
      <c r="H61" s="9"/>
      <c r="I61" s="9"/>
      <c r="J61" s="9"/>
      <c r="K61" s="9"/>
      <c r="L61" s="9"/>
      <c r="M61" s="9"/>
    </row>
    <row r="62" ht="20" customHeight="1" spans="1:13" x14ac:dyDescent="0.25">
      <c r="A62" s="13">
        <f>IF(B62&lt;&gt;"",ROW()-3,"")</f>
      </c>
      <c r="B62" s="9"/>
      <c r="C62" s="13">
        <f>IFERROR(XLOOKUP(B62,IDENTIFIKASI!$B:$B,IDENTIFIKASI!$G:$G),"")</f>
      </c>
      <c r="D62" s="9"/>
      <c r="E62" s="13">
        <f>IF(B62="","",B62&amp;"."&amp;IF(D62&lt;&gt;"",D62,"XX")&amp;"."&amp;TEXT(COUNTIFS($B$4:B62,B62,$D$4:D62,D62),"00"))</f>
      </c>
      <c r="F62" s="9"/>
      <c r="G62" s="9"/>
      <c r="H62" s="9"/>
      <c r="I62" s="9"/>
      <c r="J62" s="9"/>
      <c r="K62" s="9"/>
      <c r="L62" s="9"/>
      <c r="M62" s="9"/>
    </row>
    <row r="63" ht="20" customHeight="1" spans="1:13" x14ac:dyDescent="0.25">
      <c r="A63" s="13">
        <f>IF(B63&lt;&gt;"",ROW()-3,"")</f>
      </c>
      <c r="B63" s="9"/>
      <c r="C63" s="13">
        <f>IFERROR(XLOOKUP(B63,IDENTIFIKASI!$B:$B,IDENTIFIKASI!$G:$G),"")</f>
      </c>
      <c r="D63" s="9"/>
      <c r="E63" s="13">
        <f>IF(B63="","",B63&amp;"."&amp;IF(D63&lt;&gt;"",D63,"XX")&amp;"."&amp;TEXT(COUNTIFS($B$4:B63,B63,$D$4:D63,D63),"00"))</f>
      </c>
      <c r="F63" s="9"/>
      <c r="G63" s="9"/>
      <c r="H63" s="9"/>
      <c r="I63" s="9"/>
      <c r="J63" s="9"/>
      <c r="K63" s="9"/>
      <c r="L63" s="9"/>
      <c r="M63" s="9"/>
    </row>
    <row r="64" ht="20" customHeight="1" spans="1:13" x14ac:dyDescent="0.25">
      <c r="A64" s="13">
        <f>IF(B64&lt;&gt;"",ROW()-3,"")</f>
      </c>
      <c r="B64" s="9"/>
      <c r="C64" s="13">
        <f>IFERROR(XLOOKUP(B64,IDENTIFIKASI!$B:$B,IDENTIFIKASI!$G:$G),"")</f>
      </c>
      <c r="D64" s="9"/>
      <c r="E64" s="13">
        <f>IF(B64="","",B64&amp;"."&amp;IF(D64&lt;&gt;"",D64,"XX")&amp;"."&amp;TEXT(COUNTIFS($B$4:B64,B64,$D$4:D64,D64),"00"))</f>
      </c>
      <c r="F64" s="9"/>
      <c r="G64" s="9"/>
      <c r="H64" s="9"/>
      <c r="I64" s="9"/>
      <c r="J64" s="9"/>
      <c r="K64" s="9"/>
      <c r="L64" s="9"/>
      <c r="M64" s="9"/>
    </row>
    <row r="65" ht="20" customHeight="1" spans="1:13" x14ac:dyDescent="0.25">
      <c r="A65" s="13">
        <f>IF(B65&lt;&gt;"",ROW()-3,"")</f>
      </c>
      <c r="B65" s="9"/>
      <c r="C65" s="13">
        <f>IFERROR(XLOOKUP(B65,IDENTIFIKASI!$B:$B,IDENTIFIKASI!$G:$G),"")</f>
      </c>
      <c r="D65" s="9"/>
      <c r="E65" s="13">
        <f>IF(B65="","",B65&amp;"."&amp;IF(D65&lt;&gt;"",D65,"XX")&amp;"."&amp;TEXT(COUNTIFS($B$4:B65,B65,$D$4:D65,D65),"00"))</f>
      </c>
      <c r="F65" s="9"/>
      <c r="G65" s="9"/>
      <c r="H65" s="9"/>
      <c r="I65" s="9"/>
      <c r="J65" s="9"/>
      <c r="K65" s="9"/>
      <c r="L65" s="9"/>
      <c r="M65" s="9"/>
    </row>
    <row r="66" ht="20" customHeight="1" spans="1:13" x14ac:dyDescent="0.25">
      <c r="A66" s="13">
        <f>IF(B66&lt;&gt;"",ROW()-3,"")</f>
      </c>
      <c r="B66" s="9"/>
      <c r="C66" s="13">
        <f>IFERROR(XLOOKUP(B66,IDENTIFIKASI!$B:$B,IDENTIFIKASI!$G:$G),"")</f>
      </c>
      <c r="D66" s="9"/>
      <c r="E66" s="13">
        <f>IF(B66="","",B66&amp;"."&amp;IF(D66&lt;&gt;"",D66,"XX")&amp;"."&amp;TEXT(COUNTIFS($B$4:B66,B66,$D$4:D66,D66),"00"))</f>
      </c>
      <c r="F66" s="9"/>
      <c r="G66" s="9"/>
      <c r="H66" s="9"/>
      <c r="I66" s="9"/>
      <c r="J66" s="9"/>
      <c r="K66" s="9"/>
      <c r="L66" s="9"/>
      <c r="M66" s="9"/>
    </row>
    <row r="67" ht="20" customHeight="1" spans="1:13" x14ac:dyDescent="0.25">
      <c r="A67" s="13">
        <f>IF(B67&lt;&gt;"",ROW()-3,"")</f>
      </c>
      <c r="B67" s="9"/>
      <c r="C67" s="13">
        <f>IFERROR(XLOOKUP(B67,IDENTIFIKASI!$B:$B,IDENTIFIKASI!$G:$G),"")</f>
      </c>
      <c r="D67" s="9"/>
      <c r="E67" s="13">
        <f>IF(B67="","",B67&amp;"."&amp;IF(D67&lt;&gt;"",D67,"XX")&amp;"."&amp;TEXT(COUNTIFS($B$4:B67,B67,$D$4:D67,D67),"00"))</f>
      </c>
      <c r="F67" s="9"/>
      <c r="G67" s="9"/>
      <c r="H67" s="9"/>
      <c r="I67" s="9"/>
      <c r="J67" s="9"/>
      <c r="K67" s="9"/>
      <c r="L67" s="9"/>
      <c r="M67" s="9"/>
    </row>
    <row r="68" ht="20" customHeight="1" spans="1:13" x14ac:dyDescent="0.25">
      <c r="A68" s="13">
        <f>IF(B68&lt;&gt;"",ROW()-3,"")</f>
      </c>
      <c r="B68" s="9"/>
      <c r="C68" s="13">
        <f>IFERROR(XLOOKUP(B68,IDENTIFIKASI!$B:$B,IDENTIFIKASI!$G:$G),"")</f>
      </c>
      <c r="D68" s="9"/>
      <c r="E68" s="13">
        <f>IF(B68="","",B68&amp;"."&amp;IF(D68&lt;&gt;"",D68,"XX")&amp;"."&amp;TEXT(COUNTIFS($B$4:B68,B68,$D$4:D68,D68),"00"))</f>
      </c>
      <c r="F68" s="9"/>
      <c r="G68" s="9"/>
      <c r="H68" s="9"/>
      <c r="I68" s="9"/>
      <c r="J68" s="9"/>
      <c r="K68" s="9"/>
      <c r="L68" s="9"/>
      <c r="M68" s="9"/>
    </row>
    <row r="69" ht="20" customHeight="1" spans="1:13" x14ac:dyDescent="0.25">
      <c r="A69" s="13">
        <f>IF(B69&lt;&gt;"",ROW()-3,"")</f>
      </c>
      <c r="B69" s="9"/>
      <c r="C69" s="13">
        <f>IFERROR(XLOOKUP(B69,IDENTIFIKASI!$B:$B,IDENTIFIKASI!$G:$G),"")</f>
      </c>
      <c r="D69" s="9"/>
      <c r="E69" s="13">
        <f>IF(B69="","",B69&amp;"."&amp;IF(D69&lt;&gt;"",D69,"XX")&amp;"."&amp;TEXT(COUNTIFS($B$4:B69,B69,$D$4:D69,D69),"00"))</f>
      </c>
      <c r="F69" s="9"/>
      <c r="G69" s="9"/>
      <c r="H69" s="9"/>
      <c r="I69" s="9"/>
      <c r="J69" s="9"/>
      <c r="K69" s="9"/>
      <c r="L69" s="9"/>
      <c r="M69" s="9"/>
    </row>
    <row r="70" ht="20" customHeight="1" spans="1:13" x14ac:dyDescent="0.25">
      <c r="A70" s="13">
        <f>IF(B70&lt;&gt;"",ROW()-3,"")</f>
      </c>
      <c r="B70" s="9"/>
      <c r="C70" s="13">
        <f>IFERROR(XLOOKUP(B70,IDENTIFIKASI!$B:$B,IDENTIFIKASI!$G:$G),"")</f>
      </c>
      <c r="D70" s="9"/>
      <c r="E70" s="13">
        <f>IF(B70="","",B70&amp;"."&amp;IF(D70&lt;&gt;"",D70,"XX")&amp;"."&amp;TEXT(COUNTIFS($B$4:B70,B70,$D$4:D70,D70),"00"))</f>
      </c>
      <c r="F70" s="9"/>
      <c r="G70" s="9"/>
      <c r="H70" s="9"/>
      <c r="I70" s="9"/>
      <c r="J70" s="9"/>
      <c r="K70" s="9"/>
      <c r="L70" s="9"/>
      <c r="M70" s="9"/>
    </row>
    <row r="71" ht="20" customHeight="1" spans="1:13" x14ac:dyDescent="0.25">
      <c r="A71" s="13">
        <f>IF(B71&lt;&gt;"",ROW()-3,"")</f>
      </c>
      <c r="B71" s="9"/>
      <c r="C71" s="13">
        <f>IFERROR(XLOOKUP(B71,IDENTIFIKASI!$B:$B,IDENTIFIKASI!$G:$G),"")</f>
      </c>
      <c r="D71" s="9"/>
      <c r="E71" s="13">
        <f>IF(B71="","",B71&amp;"."&amp;IF(D71&lt;&gt;"",D71,"XX")&amp;"."&amp;TEXT(COUNTIFS($B$4:B71,B71,$D$4:D71,D71),"00"))</f>
      </c>
      <c r="F71" s="9"/>
      <c r="G71" s="9"/>
      <c r="H71" s="9"/>
      <c r="I71" s="9"/>
      <c r="J71" s="9"/>
      <c r="K71" s="9"/>
      <c r="L71" s="9"/>
      <c r="M71" s="9"/>
    </row>
    <row r="72" ht="20" customHeight="1" spans="1:13" x14ac:dyDescent="0.25">
      <c r="A72" s="13">
        <f>IF(B72&lt;&gt;"",ROW()-3,"")</f>
      </c>
      <c r="B72" s="9"/>
      <c r="C72" s="13">
        <f>IFERROR(XLOOKUP(B72,IDENTIFIKASI!$B:$B,IDENTIFIKASI!$G:$G),"")</f>
      </c>
      <c r="D72" s="9"/>
      <c r="E72" s="13">
        <f>IF(B72="","",B72&amp;"."&amp;IF(D72&lt;&gt;"",D72,"XX")&amp;"."&amp;TEXT(COUNTIFS($B$4:B72,B72,$D$4:D72,D72),"00"))</f>
      </c>
      <c r="F72" s="9"/>
      <c r="G72" s="9"/>
      <c r="H72" s="9"/>
      <c r="I72" s="9"/>
      <c r="J72" s="9"/>
      <c r="K72" s="9"/>
      <c r="L72" s="9"/>
      <c r="M72" s="9"/>
    </row>
    <row r="73" ht="20" customHeight="1" spans="1:13" x14ac:dyDescent="0.25">
      <c r="A73" s="13">
        <f>IF(B73&lt;&gt;"",ROW()-3,"")</f>
      </c>
      <c r="B73" s="9"/>
      <c r="C73" s="13">
        <f>IFERROR(XLOOKUP(B73,IDENTIFIKASI!$B:$B,IDENTIFIKASI!$G:$G),"")</f>
      </c>
      <c r="D73" s="9"/>
      <c r="E73" s="13">
        <f>IF(B73="","",B73&amp;"."&amp;IF(D73&lt;&gt;"",D73,"XX")&amp;"."&amp;TEXT(COUNTIFS($B$4:B73,B73,$D$4:D73,D73),"00"))</f>
      </c>
      <c r="F73" s="9"/>
      <c r="G73" s="9"/>
      <c r="H73" s="9"/>
      <c r="I73" s="9"/>
      <c r="J73" s="9"/>
      <c r="K73" s="9"/>
      <c r="L73" s="9"/>
      <c r="M73" s="9"/>
    </row>
    <row r="74" ht="20" customHeight="1" spans="1:13" x14ac:dyDescent="0.25">
      <c r="A74" s="13">
        <f>IF(B74&lt;&gt;"",ROW()-3,"")</f>
      </c>
      <c r="B74" s="9"/>
      <c r="C74" s="13">
        <f>IFERROR(XLOOKUP(B74,IDENTIFIKASI!$B:$B,IDENTIFIKASI!$G:$G),"")</f>
      </c>
      <c r="D74" s="9"/>
      <c r="E74" s="13">
        <f>IF(B74="","",B74&amp;"."&amp;IF(D74&lt;&gt;"",D74,"XX")&amp;"."&amp;TEXT(COUNTIFS($B$4:B74,B74,$D$4:D74,D74),"00"))</f>
      </c>
      <c r="F74" s="9"/>
      <c r="G74" s="9"/>
      <c r="H74" s="9"/>
      <c r="I74" s="9"/>
      <c r="J74" s="9"/>
      <c r="K74" s="9"/>
      <c r="L74" s="9"/>
      <c r="M74" s="9"/>
    </row>
    <row r="75" ht="20" customHeight="1" spans="1:13" x14ac:dyDescent="0.25">
      <c r="A75" s="13">
        <f>IF(B75&lt;&gt;"",ROW()-3,"")</f>
      </c>
      <c r="B75" s="9"/>
      <c r="C75" s="13">
        <f>IFERROR(XLOOKUP(B75,IDENTIFIKASI!$B:$B,IDENTIFIKASI!$G:$G),"")</f>
      </c>
      <c r="D75" s="9"/>
      <c r="E75" s="13">
        <f>IF(B75="","",B75&amp;"."&amp;IF(D75&lt;&gt;"",D75,"XX")&amp;"."&amp;TEXT(COUNTIFS($B$4:B75,B75,$D$4:D75,D75),"00"))</f>
      </c>
      <c r="F75" s="9"/>
      <c r="G75" s="9"/>
      <c r="H75" s="9"/>
      <c r="I75" s="9"/>
      <c r="J75" s="9"/>
      <c r="K75" s="9"/>
      <c r="L75" s="9"/>
      <c r="M75" s="9"/>
    </row>
    <row r="76" ht="20" customHeight="1" spans="1:13" x14ac:dyDescent="0.25">
      <c r="A76" s="13">
        <f>IF(B76&lt;&gt;"",ROW()-3,"")</f>
      </c>
      <c r="B76" s="9"/>
      <c r="C76" s="13">
        <f>IFERROR(XLOOKUP(B76,IDENTIFIKASI!$B:$B,IDENTIFIKASI!$G:$G),"")</f>
      </c>
      <c r="D76" s="9"/>
      <c r="E76" s="13">
        <f>IF(B76="","",B76&amp;"."&amp;IF(D76&lt;&gt;"",D76,"XX")&amp;"."&amp;TEXT(COUNTIFS($B$4:B76,B76,$D$4:D76,D76),"00"))</f>
      </c>
      <c r="F76" s="9"/>
      <c r="G76" s="9"/>
      <c r="H76" s="9"/>
      <c r="I76" s="9"/>
      <c r="J76" s="9"/>
      <c r="K76" s="9"/>
      <c r="L76" s="9"/>
      <c r="M76" s="9"/>
    </row>
    <row r="77" ht="20" customHeight="1" spans="1:13" x14ac:dyDescent="0.25">
      <c r="A77" s="13">
        <f>IF(B77&lt;&gt;"",ROW()-3,"")</f>
      </c>
      <c r="B77" s="9"/>
      <c r="C77" s="13">
        <f>IFERROR(XLOOKUP(B77,IDENTIFIKASI!$B:$B,IDENTIFIKASI!$G:$G),"")</f>
      </c>
      <c r="D77" s="9"/>
      <c r="E77" s="13">
        <f>IF(B77="","",B77&amp;"."&amp;IF(D77&lt;&gt;"",D77,"XX")&amp;"."&amp;TEXT(COUNTIFS($B$4:B77,B77,$D$4:D77,D77),"00"))</f>
      </c>
      <c r="F77" s="9"/>
      <c r="G77" s="9"/>
      <c r="H77" s="9"/>
      <c r="I77" s="9"/>
      <c r="J77" s="9"/>
      <c r="K77" s="9"/>
      <c r="L77" s="9"/>
      <c r="M77" s="9"/>
    </row>
    <row r="78" ht="20" customHeight="1" spans="1:13" x14ac:dyDescent="0.25">
      <c r="A78" s="13">
        <f>IF(B78&lt;&gt;"",ROW()-3,"")</f>
      </c>
      <c r="B78" s="9"/>
      <c r="C78" s="13">
        <f>IFERROR(XLOOKUP(B78,IDENTIFIKASI!$B:$B,IDENTIFIKASI!$G:$G),"")</f>
      </c>
      <c r="D78" s="9"/>
      <c r="E78" s="13">
        <f>IF(B78="","",B78&amp;"."&amp;IF(D78&lt;&gt;"",D78,"XX")&amp;"."&amp;TEXT(COUNTIFS($B$4:B78,B78,$D$4:D78,D78),"00"))</f>
      </c>
      <c r="F78" s="9"/>
      <c r="G78" s="9"/>
      <c r="H78" s="9"/>
      <c r="I78" s="9"/>
      <c r="J78" s="9"/>
      <c r="K78" s="9"/>
      <c r="L78" s="9"/>
      <c r="M78" s="9"/>
    </row>
    <row r="79" ht="20" customHeight="1" spans="1:13" x14ac:dyDescent="0.25">
      <c r="A79" s="13">
        <f>IF(B79&lt;&gt;"",ROW()-3,"")</f>
      </c>
      <c r="B79" s="9"/>
      <c r="C79" s="13">
        <f>IFERROR(XLOOKUP(B79,IDENTIFIKASI!$B:$B,IDENTIFIKASI!$G:$G),"")</f>
      </c>
      <c r="D79" s="9"/>
      <c r="E79" s="13">
        <f>IF(B79="","",B79&amp;"."&amp;IF(D79&lt;&gt;"",D79,"XX")&amp;"."&amp;TEXT(COUNTIFS($B$4:B79,B79,$D$4:D79,D79),"00"))</f>
      </c>
      <c r="F79" s="9"/>
      <c r="G79" s="9"/>
      <c r="H79" s="9"/>
      <c r="I79" s="9"/>
      <c r="J79" s="9"/>
      <c r="K79" s="9"/>
      <c r="L79" s="9"/>
      <c r="M79" s="9"/>
    </row>
    <row r="80" ht="20" customHeight="1" spans="1:13" x14ac:dyDescent="0.25">
      <c r="A80" s="13">
        <f>IF(B80&lt;&gt;"",ROW()-3,"")</f>
      </c>
      <c r="B80" s="9"/>
      <c r="C80" s="13">
        <f>IFERROR(XLOOKUP(B80,IDENTIFIKASI!$B:$B,IDENTIFIKASI!$G:$G),"")</f>
      </c>
      <c r="D80" s="9"/>
      <c r="E80" s="13">
        <f>IF(B80="","",B80&amp;"."&amp;IF(D80&lt;&gt;"",D80,"XX")&amp;"."&amp;TEXT(COUNTIFS($B$4:B80,B80,$D$4:D80,D80),"00"))</f>
      </c>
      <c r="F80" s="9"/>
      <c r="G80" s="9"/>
      <c r="H80" s="9"/>
      <c r="I80" s="9"/>
      <c r="J80" s="9"/>
      <c r="K80" s="9"/>
      <c r="L80" s="9"/>
      <c r="M80" s="9"/>
    </row>
    <row r="81" ht="20" customHeight="1" spans="1:13" x14ac:dyDescent="0.25">
      <c r="A81" s="13">
        <f>IF(B81&lt;&gt;"",ROW()-3,"")</f>
      </c>
      <c r="B81" s="9"/>
      <c r="C81" s="13">
        <f>IFERROR(XLOOKUP(B81,IDENTIFIKASI!$B:$B,IDENTIFIKASI!$G:$G),"")</f>
      </c>
      <c r="D81" s="9"/>
      <c r="E81" s="13">
        <f>IF(B81="","",B81&amp;"."&amp;IF(D81&lt;&gt;"",D81,"XX")&amp;"."&amp;TEXT(COUNTIFS($B$4:B81,B81,$D$4:D81,D81),"00"))</f>
      </c>
      <c r="F81" s="9"/>
      <c r="G81" s="9"/>
      <c r="H81" s="9"/>
      <c r="I81" s="9"/>
      <c r="J81" s="9"/>
      <c r="K81" s="9"/>
      <c r="L81" s="9"/>
      <c r="M81" s="9"/>
    </row>
    <row r="82" ht="20" customHeight="1" spans="1:13" x14ac:dyDescent="0.25">
      <c r="A82" s="13">
        <f>IF(B82&lt;&gt;"",ROW()-3,"")</f>
      </c>
      <c r="B82" s="9"/>
      <c r="C82" s="13">
        <f>IFERROR(XLOOKUP(B82,IDENTIFIKASI!$B:$B,IDENTIFIKASI!$G:$G),"")</f>
      </c>
      <c r="D82" s="9"/>
      <c r="E82" s="13">
        <f>IF(B82="","",B82&amp;"."&amp;IF(D82&lt;&gt;"",D82,"XX")&amp;"."&amp;TEXT(COUNTIFS($B$4:B82,B82,$D$4:D82,D82),"00"))</f>
      </c>
      <c r="F82" s="9"/>
      <c r="G82" s="9"/>
      <c r="H82" s="9"/>
      <c r="I82" s="9"/>
      <c r="J82" s="9"/>
      <c r="K82" s="9"/>
      <c r="L82" s="9"/>
      <c r="M82" s="9"/>
    </row>
    <row r="83" ht="20" customHeight="1" spans="1:13" x14ac:dyDescent="0.25">
      <c r="A83" s="13">
        <f>IF(B83&lt;&gt;"",ROW()-3,"")</f>
      </c>
      <c r="B83" s="9"/>
      <c r="C83" s="13">
        <f>IFERROR(XLOOKUP(B83,IDENTIFIKASI!$B:$B,IDENTIFIKASI!$G:$G),"")</f>
      </c>
      <c r="D83" s="9"/>
      <c r="E83" s="13">
        <f>IF(B83="","",B83&amp;"."&amp;IF(D83&lt;&gt;"",D83,"XX")&amp;"."&amp;TEXT(COUNTIFS($B$4:B83,B83,$D$4:D83,D83),"00"))</f>
      </c>
      <c r="F83" s="9"/>
      <c r="G83" s="9"/>
      <c r="H83" s="9"/>
      <c r="I83" s="9"/>
      <c r="J83" s="9"/>
      <c r="K83" s="9"/>
      <c r="L83" s="9"/>
      <c r="M83" s="9"/>
    </row>
    <row r="84" ht="20" customHeight="1" spans="1:13" x14ac:dyDescent="0.25">
      <c r="A84" s="13">
        <f>IF(B84&lt;&gt;"",ROW()-3,"")</f>
      </c>
      <c r="B84" s="9"/>
      <c r="C84" s="13">
        <f>IFERROR(XLOOKUP(B84,IDENTIFIKASI!$B:$B,IDENTIFIKASI!$G:$G),"")</f>
      </c>
      <c r="D84" s="9"/>
      <c r="E84" s="13">
        <f>IF(B84="","",B84&amp;"."&amp;IF(D84&lt;&gt;"",D84,"XX")&amp;"."&amp;TEXT(COUNTIFS($B$4:B84,B84,$D$4:D84,D84),"00"))</f>
      </c>
      <c r="F84" s="9"/>
      <c r="G84" s="9"/>
      <c r="H84" s="9"/>
      <c r="I84" s="9"/>
      <c r="J84" s="9"/>
      <c r="K84" s="9"/>
      <c r="L84" s="9"/>
      <c r="M84" s="9"/>
    </row>
    <row r="85" ht="20" customHeight="1" spans="1:13" x14ac:dyDescent="0.25">
      <c r="A85" s="13">
        <f>IF(B85&lt;&gt;"",ROW()-3,"")</f>
      </c>
      <c r="B85" s="9"/>
      <c r="C85" s="13">
        <f>IFERROR(XLOOKUP(B85,IDENTIFIKASI!$B:$B,IDENTIFIKASI!$G:$G),"")</f>
      </c>
      <c r="D85" s="9"/>
      <c r="E85" s="13">
        <f>IF(B85="","",B85&amp;"."&amp;IF(D85&lt;&gt;"",D85,"XX")&amp;"."&amp;TEXT(COUNTIFS($B$4:B85,B85,$D$4:D85,D85),"00"))</f>
      </c>
      <c r="F85" s="9"/>
      <c r="G85" s="9"/>
      <c r="H85" s="9"/>
      <c r="I85" s="9"/>
      <c r="J85" s="9"/>
      <c r="K85" s="9"/>
      <c r="L85" s="9"/>
      <c r="M85" s="9"/>
    </row>
    <row r="86" ht="20" customHeight="1" spans="1:13" x14ac:dyDescent="0.25">
      <c r="A86" s="13">
        <f>IF(B86&lt;&gt;"",ROW()-3,"")</f>
      </c>
      <c r="B86" s="9"/>
      <c r="C86" s="13">
        <f>IFERROR(XLOOKUP(B86,IDENTIFIKASI!$B:$B,IDENTIFIKASI!$G:$G),"")</f>
      </c>
      <c r="D86" s="9"/>
      <c r="E86" s="13">
        <f>IF(B86="","",B86&amp;"."&amp;IF(D86&lt;&gt;"",D86,"XX")&amp;"."&amp;TEXT(COUNTIFS($B$4:B86,B86,$D$4:D86,D86),"00"))</f>
      </c>
      <c r="F86" s="9"/>
      <c r="G86" s="9"/>
      <c r="H86" s="9"/>
      <c r="I86" s="9"/>
      <c r="J86" s="9"/>
      <c r="K86" s="9"/>
      <c r="L86" s="9"/>
      <c r="M86" s="9"/>
    </row>
    <row r="87" ht="20" customHeight="1" spans="1:13" x14ac:dyDescent="0.25">
      <c r="A87" s="13">
        <f>IF(B87&lt;&gt;"",ROW()-3,"")</f>
      </c>
      <c r="B87" s="9"/>
      <c r="C87" s="13">
        <f>IFERROR(XLOOKUP(B87,IDENTIFIKASI!$B:$B,IDENTIFIKASI!$G:$G),"")</f>
      </c>
      <c r="D87" s="9"/>
      <c r="E87" s="13">
        <f>IF(B87="","",B87&amp;"."&amp;IF(D87&lt;&gt;"",D87,"XX")&amp;"."&amp;TEXT(COUNTIFS($B$4:B87,B87,$D$4:D87,D87),"00"))</f>
      </c>
      <c r="F87" s="9"/>
      <c r="G87" s="9"/>
      <c r="H87" s="9"/>
      <c r="I87" s="9"/>
      <c r="J87" s="9"/>
      <c r="K87" s="9"/>
      <c r="L87" s="9"/>
      <c r="M87" s="9"/>
    </row>
    <row r="88" ht="20" customHeight="1" spans="1:13" x14ac:dyDescent="0.25">
      <c r="A88" s="13">
        <f>IF(B88&lt;&gt;"",ROW()-3,"")</f>
      </c>
      <c r="B88" s="9"/>
      <c r="C88" s="13">
        <f>IFERROR(XLOOKUP(B88,IDENTIFIKASI!$B:$B,IDENTIFIKASI!$G:$G),"")</f>
      </c>
      <c r="D88" s="9"/>
      <c r="E88" s="13">
        <f>IF(B88="","",B88&amp;"."&amp;IF(D88&lt;&gt;"",D88,"XX")&amp;"."&amp;TEXT(COUNTIFS($B$4:B88,B88,$D$4:D88,D88),"00"))</f>
      </c>
      <c r="F88" s="9"/>
      <c r="G88" s="9"/>
      <c r="H88" s="9"/>
      <c r="I88" s="9"/>
      <c r="J88" s="9"/>
      <c r="K88" s="9"/>
      <c r="L88" s="9"/>
      <c r="M88" s="9"/>
    </row>
    <row r="89" ht="20" customHeight="1" spans="1:13" x14ac:dyDescent="0.25">
      <c r="A89" s="13">
        <f>IF(B89&lt;&gt;"",ROW()-3,"")</f>
      </c>
      <c r="B89" s="9"/>
      <c r="C89" s="13">
        <f>IFERROR(XLOOKUP(B89,IDENTIFIKASI!$B:$B,IDENTIFIKASI!$G:$G),"")</f>
      </c>
      <c r="D89" s="9"/>
      <c r="E89" s="13">
        <f>IF(B89="","",B89&amp;"."&amp;IF(D89&lt;&gt;"",D89,"XX")&amp;"."&amp;TEXT(COUNTIFS($B$4:B89,B89,$D$4:D89,D89),"00"))</f>
      </c>
      <c r="F89" s="9"/>
      <c r="G89" s="9"/>
      <c r="H89" s="9"/>
      <c r="I89" s="9"/>
      <c r="J89" s="9"/>
      <c r="K89" s="9"/>
      <c r="L89" s="9"/>
      <c r="M89" s="9"/>
    </row>
    <row r="90" ht="20" customHeight="1" spans="1:13" x14ac:dyDescent="0.25">
      <c r="A90" s="13">
        <f>IF(B90&lt;&gt;"",ROW()-3,"")</f>
      </c>
      <c r="B90" s="9"/>
      <c r="C90" s="13">
        <f>IFERROR(XLOOKUP(B90,IDENTIFIKASI!$B:$B,IDENTIFIKASI!$G:$G),"")</f>
      </c>
      <c r="D90" s="9"/>
      <c r="E90" s="13">
        <f>IF(B90="","",B90&amp;"."&amp;IF(D90&lt;&gt;"",D90,"XX")&amp;"."&amp;TEXT(COUNTIFS($B$4:B90,B90,$D$4:D90,D90),"00"))</f>
      </c>
      <c r="F90" s="9"/>
      <c r="G90" s="9"/>
      <c r="H90" s="9"/>
      <c r="I90" s="9"/>
      <c r="J90" s="9"/>
      <c r="K90" s="9"/>
      <c r="L90" s="9"/>
      <c r="M90" s="9"/>
    </row>
    <row r="91" ht="20" customHeight="1" spans="1:13" x14ac:dyDescent="0.25">
      <c r="A91" s="13">
        <f>IF(B91&lt;&gt;"",ROW()-3,"")</f>
      </c>
      <c r="B91" s="9"/>
      <c r="C91" s="13">
        <f>IFERROR(XLOOKUP(B91,IDENTIFIKASI!$B:$B,IDENTIFIKASI!$G:$G),"")</f>
      </c>
      <c r="D91" s="9"/>
      <c r="E91" s="13">
        <f>IF(B91="","",B91&amp;"."&amp;IF(D91&lt;&gt;"",D91,"XX")&amp;"."&amp;TEXT(COUNTIFS($B$4:B91,B91,$D$4:D91,D91),"00"))</f>
      </c>
      <c r="F91" s="9"/>
      <c r="G91" s="9"/>
      <c r="H91" s="9"/>
      <c r="I91" s="9"/>
      <c r="J91" s="9"/>
      <c r="K91" s="9"/>
      <c r="L91" s="9"/>
      <c r="M91" s="9"/>
    </row>
    <row r="92" ht="20" customHeight="1" spans="1:13" x14ac:dyDescent="0.25">
      <c r="A92" s="13">
        <f>IF(B92&lt;&gt;"",ROW()-3,"")</f>
      </c>
      <c r="B92" s="9"/>
      <c r="C92" s="13">
        <f>IFERROR(XLOOKUP(B92,IDENTIFIKASI!$B:$B,IDENTIFIKASI!$G:$G),"")</f>
      </c>
      <c r="D92" s="9"/>
      <c r="E92" s="13">
        <f>IF(B92="","",B92&amp;"."&amp;IF(D92&lt;&gt;"",D92,"XX")&amp;"."&amp;TEXT(COUNTIFS($B$4:B92,B92,$D$4:D92,D92),"00"))</f>
      </c>
      <c r="F92" s="9"/>
      <c r="G92" s="9"/>
      <c r="H92" s="9"/>
      <c r="I92" s="9"/>
      <c r="J92" s="9"/>
      <c r="K92" s="9"/>
      <c r="L92" s="9"/>
      <c r="M92" s="9"/>
    </row>
    <row r="93" ht="20" customHeight="1" spans="1:13" x14ac:dyDescent="0.25">
      <c r="A93" s="13">
        <f>IF(B93&lt;&gt;"",ROW()-3,"")</f>
      </c>
      <c r="B93" s="9"/>
      <c r="C93" s="13">
        <f>IFERROR(XLOOKUP(B93,IDENTIFIKASI!$B:$B,IDENTIFIKASI!$G:$G),"")</f>
      </c>
      <c r="D93" s="9"/>
      <c r="E93" s="13">
        <f>IF(B93="","",B93&amp;"."&amp;IF(D93&lt;&gt;"",D93,"XX")&amp;"."&amp;TEXT(COUNTIFS($B$4:B93,B93,$D$4:D93,D93),"00"))</f>
      </c>
      <c r="F93" s="9"/>
      <c r="G93" s="9"/>
      <c r="H93" s="9"/>
      <c r="I93" s="9"/>
      <c r="J93" s="9"/>
      <c r="K93" s="9"/>
      <c r="L93" s="9"/>
      <c r="M93" s="9"/>
    </row>
    <row r="94" ht="20" customHeight="1" spans="1:13" x14ac:dyDescent="0.25">
      <c r="A94" s="13">
        <f>IF(B94&lt;&gt;"",ROW()-3,"")</f>
      </c>
      <c r="B94" s="9"/>
      <c r="C94" s="13">
        <f>IFERROR(XLOOKUP(B94,IDENTIFIKASI!$B:$B,IDENTIFIKASI!$G:$G),"")</f>
      </c>
      <c r="D94" s="9"/>
      <c r="E94" s="13">
        <f>IF(B94="","",B94&amp;"."&amp;IF(D94&lt;&gt;"",D94,"XX")&amp;"."&amp;TEXT(COUNTIFS($B$4:B94,B94,$D$4:D94,D94),"00"))</f>
      </c>
      <c r="F94" s="9"/>
      <c r="G94" s="9"/>
      <c r="H94" s="9"/>
      <c r="I94" s="9"/>
      <c r="J94" s="9"/>
      <c r="K94" s="9"/>
      <c r="L94" s="9"/>
      <c r="M94" s="9"/>
    </row>
    <row r="95" ht="20" customHeight="1" spans="1:13" x14ac:dyDescent="0.25">
      <c r="A95" s="13">
        <f>IF(B95&lt;&gt;"",ROW()-3,"")</f>
      </c>
      <c r="B95" s="9"/>
      <c r="C95" s="13">
        <f>IFERROR(XLOOKUP(B95,IDENTIFIKASI!$B:$B,IDENTIFIKASI!$G:$G),"")</f>
      </c>
      <c r="D95" s="9"/>
      <c r="E95" s="13">
        <f>IF(B95="","",B95&amp;"."&amp;IF(D95&lt;&gt;"",D95,"XX")&amp;"."&amp;TEXT(COUNTIFS($B$4:B95,B95,$D$4:D95,D95),"00"))</f>
      </c>
      <c r="F95" s="9"/>
      <c r="G95" s="9"/>
      <c r="H95" s="9"/>
      <c r="I95" s="9"/>
      <c r="J95" s="9"/>
      <c r="K95" s="9"/>
      <c r="L95" s="9"/>
      <c r="M95" s="9"/>
    </row>
    <row r="96" ht="20" customHeight="1" spans="1:13" x14ac:dyDescent="0.25">
      <c r="A96" s="13">
        <f>IF(B96&lt;&gt;"",ROW()-3,"")</f>
      </c>
      <c r="B96" s="9"/>
      <c r="C96" s="13">
        <f>IFERROR(XLOOKUP(B96,IDENTIFIKASI!$B:$B,IDENTIFIKASI!$G:$G),"")</f>
      </c>
      <c r="D96" s="9"/>
      <c r="E96" s="13">
        <f>IF(B96="","",B96&amp;"."&amp;IF(D96&lt;&gt;"",D96,"XX")&amp;"."&amp;TEXT(COUNTIFS($B$4:B96,B96,$D$4:D96,D96),"00"))</f>
      </c>
      <c r="F96" s="9"/>
      <c r="G96" s="9"/>
      <c r="H96" s="9"/>
      <c r="I96" s="9"/>
      <c r="J96" s="9"/>
      <c r="K96" s="9"/>
      <c r="L96" s="9"/>
      <c r="M96" s="9"/>
    </row>
    <row r="97" ht="20" customHeight="1" spans="1:13" x14ac:dyDescent="0.25">
      <c r="A97" s="13">
        <f>IF(B97&lt;&gt;"",ROW()-3,"")</f>
      </c>
      <c r="B97" s="9"/>
      <c r="C97" s="13">
        <f>IFERROR(XLOOKUP(B97,IDENTIFIKASI!$B:$B,IDENTIFIKASI!$G:$G),"")</f>
      </c>
      <c r="D97" s="9"/>
      <c r="E97" s="13">
        <f>IF(B97="","",B97&amp;"."&amp;IF(D97&lt;&gt;"",D97,"XX")&amp;"."&amp;TEXT(COUNTIFS($B$4:B97,B97,$D$4:D97,D97),"00"))</f>
      </c>
      <c r="F97" s="9"/>
      <c r="G97" s="9"/>
      <c r="H97" s="9"/>
      <c r="I97" s="9"/>
      <c r="J97" s="9"/>
      <c r="K97" s="9"/>
      <c r="L97" s="9"/>
      <c r="M97" s="9"/>
    </row>
    <row r="98" ht="20" customHeight="1" spans="1:13" x14ac:dyDescent="0.25">
      <c r="A98" s="13">
        <f>IF(B98&lt;&gt;"",ROW()-3,"")</f>
      </c>
      <c r="B98" s="9"/>
      <c r="C98" s="13">
        <f>IFERROR(XLOOKUP(B98,IDENTIFIKASI!$B:$B,IDENTIFIKASI!$G:$G),"")</f>
      </c>
      <c r="D98" s="9"/>
      <c r="E98" s="13">
        <f>IF(B98="","",B98&amp;"."&amp;IF(D98&lt;&gt;"",D98,"XX")&amp;"."&amp;TEXT(COUNTIFS($B$4:B98,B98,$D$4:D98,D98),"00"))</f>
      </c>
      <c r="F98" s="9"/>
      <c r="G98" s="9"/>
      <c r="H98" s="9"/>
      <c r="I98" s="9"/>
      <c r="J98" s="9"/>
      <c r="K98" s="9"/>
      <c r="L98" s="9"/>
      <c r="M98" s="9"/>
    </row>
    <row r="99" ht="20" customHeight="1" spans="1:13" x14ac:dyDescent="0.25">
      <c r="A99" s="13">
        <f>IF(B99&lt;&gt;"",ROW()-3,"")</f>
      </c>
      <c r="B99" s="9"/>
      <c r="C99" s="13">
        <f>IFERROR(XLOOKUP(B99,IDENTIFIKASI!$B:$B,IDENTIFIKASI!$G:$G),"")</f>
      </c>
      <c r="D99" s="9"/>
      <c r="E99" s="13">
        <f>IF(B99="","",B99&amp;"."&amp;IF(D99&lt;&gt;"",D99,"XX")&amp;"."&amp;TEXT(COUNTIFS($B$4:B99,B99,$D$4:D99,D99),"00"))</f>
      </c>
      <c r="F99" s="9"/>
      <c r="G99" s="9"/>
      <c r="H99" s="9"/>
      <c r="I99" s="9"/>
      <c r="J99" s="9"/>
      <c r="K99" s="9"/>
      <c r="L99" s="9"/>
      <c r="M99" s="9"/>
    </row>
    <row r="100" ht="20" customHeight="1" spans="1:13" x14ac:dyDescent="0.25">
      <c r="A100" s="13">
        <f>IF(B100&lt;&gt;"",ROW()-3,"")</f>
      </c>
      <c r="B100" s="9"/>
      <c r="C100" s="13">
        <f>IFERROR(XLOOKUP(B100,IDENTIFIKASI!$B:$B,IDENTIFIKASI!$G:$G),"")</f>
      </c>
      <c r="D100" s="9"/>
      <c r="E100" s="13">
        <f>IF(B100="","",B100&amp;"."&amp;IF(D100&lt;&gt;"",D100,"XX")&amp;"."&amp;TEXT(COUNTIFS($B$4:B100,B100,$D$4:D100,D100),"00"))</f>
      </c>
      <c r="F100" s="9"/>
      <c r="G100" s="9"/>
      <c r="H100" s="9"/>
      <c r="I100" s="9"/>
      <c r="J100" s="9"/>
      <c r="K100" s="9"/>
      <c r="L100" s="9"/>
      <c r="M100" s="9"/>
    </row>
    <row r="101" ht="20" customHeight="1" spans="1:13" x14ac:dyDescent="0.25">
      <c r="A101" s="13">
        <f>IF(B101&lt;&gt;"",ROW()-3,"")</f>
      </c>
      <c r="B101" s="9"/>
      <c r="C101" s="13">
        <f>IFERROR(XLOOKUP(B101,IDENTIFIKASI!$B:$B,IDENTIFIKASI!$G:$G),"")</f>
      </c>
      <c r="D101" s="9"/>
      <c r="E101" s="13">
        <f>IF(B101="","",B101&amp;"."&amp;IF(D101&lt;&gt;"",D101,"XX")&amp;"."&amp;TEXT(COUNTIFS($B$4:B101,B101,$D$4:D101,D101),"00"))</f>
      </c>
      <c r="F101" s="9"/>
      <c r="G101" s="9"/>
      <c r="H101" s="9"/>
      <c r="I101" s="9"/>
      <c r="J101" s="9"/>
      <c r="K101" s="9"/>
      <c r="L101" s="9"/>
      <c r="M101" s="9"/>
    </row>
    <row r="102" ht="20" customHeight="1" spans="1:13" x14ac:dyDescent="0.25">
      <c r="A102" s="13">
        <f>IF(B102&lt;&gt;"",ROW()-3,"")</f>
      </c>
      <c r="B102" s="9"/>
      <c r="C102" s="13">
        <f>IFERROR(XLOOKUP(B102,IDENTIFIKASI!$B:$B,IDENTIFIKASI!$G:$G),"")</f>
      </c>
      <c r="D102" s="9"/>
      <c r="E102" s="13">
        <f>IF(B102="","",B102&amp;"."&amp;IF(D102&lt;&gt;"",D102,"XX")&amp;"."&amp;TEXT(COUNTIFS($B$4:B102,B102,$D$4:D102,D102),"00"))</f>
      </c>
      <c r="F102" s="9"/>
      <c r="G102" s="9"/>
      <c r="H102" s="9"/>
      <c r="I102" s="9"/>
      <c r="J102" s="9"/>
      <c r="K102" s="9"/>
      <c r="L102" s="9"/>
      <c r="M102" s="9"/>
    </row>
    <row r="103" ht="20" customHeight="1" spans="1:13" x14ac:dyDescent="0.25">
      <c r="A103" s="13">
        <f>IF(B103&lt;&gt;"",ROW()-3,"")</f>
      </c>
      <c r="B103" s="9"/>
      <c r="C103" s="13">
        <f>IFERROR(XLOOKUP(B103,IDENTIFIKASI!$B:$B,IDENTIFIKASI!$G:$G),"")</f>
      </c>
      <c r="D103" s="9"/>
      <c r="E103" s="13">
        <f>IF(B103="","",B103&amp;"."&amp;IF(D103&lt;&gt;"",D103,"XX")&amp;"."&amp;TEXT(COUNTIFS($B$4:B103,B103,$D$4:D103,D103),"00"))</f>
      </c>
      <c r="F103" s="9"/>
      <c r="G103" s="9"/>
      <c r="H103" s="9"/>
      <c r="I103" s="9"/>
      <c r="J103" s="9"/>
      <c r="K103" s="9"/>
      <c r="L103" s="9"/>
      <c r="M103" s="9"/>
    </row>
    <row r="104" ht="20" customHeight="1" spans="1:13" x14ac:dyDescent="0.25">
      <c r="A104" s="13">
        <f>IF(B104&lt;&gt;"",ROW()-3,"")</f>
      </c>
      <c r="B104" s="9"/>
      <c r="C104" s="13">
        <f>IFERROR(XLOOKUP(B104,IDENTIFIKASI!$B:$B,IDENTIFIKASI!$G:$G),"")</f>
      </c>
      <c r="D104" s="9"/>
      <c r="E104" s="13">
        <f>IF(B104="","",B104&amp;"."&amp;IF(D104&lt;&gt;"",D104,"XX")&amp;"."&amp;TEXT(COUNTIFS($B$4:B104,B104,$D$4:D104,D104),"00"))</f>
      </c>
      <c r="F104" s="9"/>
      <c r="G104" s="9"/>
      <c r="H104" s="9"/>
      <c r="I104" s="9"/>
      <c r="J104" s="9"/>
      <c r="K104" s="9"/>
      <c r="L104" s="9"/>
      <c r="M104" s="9"/>
    </row>
    <row r="105" ht="20" customHeight="1" spans="1:13" x14ac:dyDescent="0.25">
      <c r="A105" s="13">
        <f>IF(B105&lt;&gt;"",ROW()-3,"")</f>
      </c>
      <c r="B105" s="9"/>
      <c r="C105" s="13">
        <f>IFERROR(XLOOKUP(B105,IDENTIFIKASI!$B:$B,IDENTIFIKASI!$G:$G),"")</f>
      </c>
      <c r="D105" s="9"/>
      <c r="E105" s="13">
        <f>IF(B105="","",B105&amp;"."&amp;IF(D105&lt;&gt;"",D105,"XX")&amp;"."&amp;TEXT(COUNTIFS($B$4:B105,B105,$D$4:D105,D105),"00"))</f>
      </c>
      <c r="F105" s="9"/>
      <c r="G105" s="9"/>
      <c r="H105" s="9"/>
      <c r="I105" s="9"/>
      <c r="J105" s="9"/>
      <c r="K105" s="9"/>
      <c r="L105" s="9"/>
      <c r="M105" s="9"/>
    </row>
    <row r="106" ht="20" customHeight="1" spans="1:13" x14ac:dyDescent="0.25">
      <c r="A106" s="13">
        <f>IF(B106&lt;&gt;"",ROW()-3,"")</f>
      </c>
      <c r="B106" s="9"/>
      <c r="C106" s="13">
        <f>IFERROR(XLOOKUP(B106,IDENTIFIKASI!$B:$B,IDENTIFIKASI!$G:$G),"")</f>
      </c>
      <c r="D106" s="9"/>
      <c r="E106" s="13">
        <f>IF(B106="","",B106&amp;"."&amp;IF(D106&lt;&gt;"",D106,"XX")&amp;"."&amp;TEXT(COUNTIFS($B$4:B106,B106,$D$4:D106,D106),"00"))</f>
      </c>
      <c r="F106" s="9"/>
      <c r="G106" s="9"/>
      <c r="H106" s="9"/>
      <c r="I106" s="9"/>
      <c r="J106" s="9"/>
      <c r="K106" s="9"/>
      <c r="L106" s="9"/>
      <c r="M106" s="9"/>
    </row>
    <row r="107" ht="20" customHeight="1" spans="1:13" x14ac:dyDescent="0.25">
      <c r="A107" s="13">
        <f>IF(B107&lt;&gt;"",ROW()-3,"")</f>
      </c>
      <c r="B107" s="9"/>
      <c r="C107" s="13">
        <f>IFERROR(XLOOKUP(B107,IDENTIFIKASI!$B:$B,IDENTIFIKASI!$G:$G),"")</f>
      </c>
      <c r="D107" s="9"/>
      <c r="E107" s="13">
        <f>IF(B107="","",B107&amp;"."&amp;IF(D107&lt;&gt;"",D107,"XX")&amp;"."&amp;TEXT(COUNTIFS($B$4:B107,B107,$D$4:D107,D107),"00"))</f>
      </c>
      <c r="F107" s="9"/>
      <c r="G107" s="9"/>
      <c r="H107" s="9"/>
      <c r="I107" s="9"/>
      <c r="J107" s="9"/>
      <c r="K107" s="9"/>
      <c r="L107" s="9"/>
      <c r="M107" s="9"/>
    </row>
    <row r="108" ht="20" customHeight="1" spans="1:13" x14ac:dyDescent="0.25">
      <c r="A108" s="13">
        <f>IF(B108&lt;&gt;"",ROW()-3,"")</f>
      </c>
      <c r="B108" s="9"/>
      <c r="C108" s="13">
        <f>IFERROR(XLOOKUP(B108,IDENTIFIKASI!$B:$B,IDENTIFIKASI!$G:$G),"")</f>
      </c>
      <c r="D108" s="9"/>
      <c r="E108" s="13">
        <f>IF(B108="","",B108&amp;"."&amp;IF(D108&lt;&gt;"",D108,"XX")&amp;"."&amp;TEXT(COUNTIFS($B$4:B108,B108,$D$4:D108,D108),"00"))</f>
      </c>
      <c r="F108" s="9"/>
      <c r="G108" s="9"/>
      <c r="H108" s="9"/>
      <c r="I108" s="9"/>
      <c r="J108" s="9"/>
      <c r="K108" s="9"/>
      <c r="L108" s="9"/>
      <c r="M108" s="9"/>
    </row>
    <row r="109" ht="20" customHeight="1" spans="1:13" x14ac:dyDescent="0.25">
      <c r="A109" s="13">
        <f>IF(B109&lt;&gt;"",ROW()-3,"")</f>
      </c>
      <c r="B109" s="9"/>
      <c r="C109" s="13">
        <f>IFERROR(XLOOKUP(B109,IDENTIFIKASI!$B:$B,IDENTIFIKASI!$G:$G),"")</f>
      </c>
      <c r="D109" s="9"/>
      <c r="E109" s="13">
        <f>IF(B109="","",B109&amp;"."&amp;IF(D109&lt;&gt;"",D109,"XX")&amp;"."&amp;TEXT(COUNTIFS($B$4:B109,B109,$D$4:D109,D109),"00"))</f>
      </c>
      <c r="F109" s="9"/>
      <c r="G109" s="9"/>
      <c r="H109" s="9"/>
      <c r="I109" s="9"/>
      <c r="J109" s="9"/>
      <c r="K109" s="9"/>
      <c r="L109" s="9"/>
      <c r="M109" s="9"/>
    </row>
    <row r="110" ht="20" customHeight="1" spans="1:13" x14ac:dyDescent="0.25">
      <c r="A110" s="13">
        <f>IF(B110&lt;&gt;"",ROW()-3,"")</f>
      </c>
      <c r="B110" s="9"/>
      <c r="C110" s="13">
        <f>IFERROR(XLOOKUP(B110,IDENTIFIKASI!$B:$B,IDENTIFIKASI!$G:$G),"")</f>
      </c>
      <c r="D110" s="9"/>
      <c r="E110" s="13">
        <f>IF(B110="","",B110&amp;"."&amp;IF(D110&lt;&gt;"",D110,"XX")&amp;"."&amp;TEXT(COUNTIFS($B$4:B110,B110,$D$4:D110,D110),"00"))</f>
      </c>
      <c r="F110" s="9"/>
      <c r="G110" s="9"/>
      <c r="H110" s="9"/>
      <c r="I110" s="9"/>
      <c r="J110" s="9"/>
      <c r="K110" s="9"/>
      <c r="L110" s="9"/>
      <c r="M110" s="9"/>
    </row>
    <row r="111" ht="20" customHeight="1" spans="1:13" x14ac:dyDescent="0.25">
      <c r="A111" s="13">
        <f>IF(B111&lt;&gt;"",ROW()-3,"")</f>
      </c>
      <c r="B111" s="9"/>
      <c r="C111" s="13">
        <f>IFERROR(XLOOKUP(B111,IDENTIFIKASI!$B:$B,IDENTIFIKASI!$G:$G),"")</f>
      </c>
      <c r="D111" s="9"/>
      <c r="E111" s="13">
        <f>IF(B111="","",B111&amp;"."&amp;IF(D111&lt;&gt;"",D111,"XX")&amp;"."&amp;TEXT(COUNTIFS($B$4:B111,B111,$D$4:D111,D111),"00"))</f>
      </c>
      <c r="F111" s="9"/>
      <c r="G111" s="9"/>
      <c r="H111" s="9"/>
      <c r="I111" s="9"/>
      <c r="J111" s="9"/>
      <c r="K111" s="9"/>
      <c r="L111" s="9"/>
      <c r="M111" s="9"/>
    </row>
    <row r="112" ht="20" customHeight="1" spans="1:13" x14ac:dyDescent="0.25">
      <c r="A112" s="13">
        <f>IF(B112&lt;&gt;"",ROW()-3,"")</f>
      </c>
      <c r="B112" s="9"/>
      <c r="C112" s="13">
        <f>IFERROR(XLOOKUP(B112,IDENTIFIKASI!$B:$B,IDENTIFIKASI!$G:$G),"")</f>
      </c>
      <c r="D112" s="9"/>
      <c r="E112" s="13">
        <f>IF(B112="","",B112&amp;"."&amp;IF(D112&lt;&gt;"",D112,"XX")&amp;"."&amp;TEXT(COUNTIFS($B$4:B112,B112,$D$4:D112,D112),"00"))</f>
      </c>
      <c r="F112" s="9"/>
      <c r="G112" s="9"/>
      <c r="H112" s="9"/>
      <c r="I112" s="9"/>
      <c r="J112" s="9"/>
      <c r="K112" s="9"/>
      <c r="L112" s="9"/>
      <c r="M112" s="9"/>
    </row>
    <row r="113" ht="20" customHeight="1" spans="1:13" x14ac:dyDescent="0.25">
      <c r="A113" s="13">
        <f>IF(B113&lt;&gt;"",ROW()-3,"")</f>
      </c>
      <c r="B113" s="9"/>
      <c r="C113" s="13">
        <f>IFERROR(XLOOKUP(B113,IDENTIFIKASI!$B:$B,IDENTIFIKASI!$G:$G),"")</f>
      </c>
      <c r="D113" s="9"/>
      <c r="E113" s="13">
        <f>IF(B113="","",B113&amp;"."&amp;IF(D113&lt;&gt;"",D113,"XX")&amp;"."&amp;TEXT(COUNTIFS($B$4:B113,B113,$D$4:D113,D113),"00"))</f>
      </c>
      <c r="F113" s="9"/>
      <c r="G113" s="9"/>
      <c r="H113" s="9"/>
      <c r="I113" s="9"/>
      <c r="J113" s="9"/>
      <c r="K113" s="9"/>
      <c r="L113" s="9"/>
      <c r="M113" s="9"/>
    </row>
    <row r="114" ht="20" customHeight="1" spans="1:13" x14ac:dyDescent="0.25">
      <c r="A114" s="13">
        <f>IF(B114&lt;&gt;"",ROW()-3,"")</f>
      </c>
      <c r="B114" s="9"/>
      <c r="C114" s="13">
        <f>IFERROR(XLOOKUP(B114,IDENTIFIKASI!$B:$B,IDENTIFIKASI!$G:$G),"")</f>
      </c>
      <c r="D114" s="9"/>
      <c r="E114" s="13">
        <f>IF(B114="","",B114&amp;"."&amp;IF(D114&lt;&gt;"",D114,"XX")&amp;"."&amp;TEXT(COUNTIFS($B$4:B114,B114,$D$4:D114,D114),"00"))</f>
      </c>
      <c r="F114" s="9"/>
      <c r="G114" s="9"/>
      <c r="H114" s="9"/>
      <c r="I114" s="9"/>
      <c r="J114" s="9"/>
      <c r="K114" s="9"/>
      <c r="L114" s="9"/>
      <c r="M114" s="9"/>
    </row>
    <row r="115" ht="20" customHeight="1" spans="1:13" x14ac:dyDescent="0.25">
      <c r="A115" s="13">
        <f>IF(B115&lt;&gt;"",ROW()-3,"")</f>
      </c>
      <c r="B115" s="9"/>
      <c r="C115" s="13">
        <f>IFERROR(XLOOKUP(B115,IDENTIFIKASI!$B:$B,IDENTIFIKASI!$G:$G),"")</f>
      </c>
      <c r="D115" s="9"/>
      <c r="E115" s="13">
        <f>IF(B115="","",B115&amp;"."&amp;IF(D115&lt;&gt;"",D115,"XX")&amp;"."&amp;TEXT(COUNTIFS($B$4:B115,B115,$D$4:D115,D115),"00"))</f>
      </c>
      <c r="F115" s="9"/>
      <c r="G115" s="9"/>
      <c r="H115" s="9"/>
      <c r="I115" s="9"/>
      <c r="J115" s="9"/>
      <c r="K115" s="9"/>
      <c r="L115" s="9"/>
      <c r="M115" s="9"/>
    </row>
    <row r="116" ht="20" customHeight="1" spans="1:13" x14ac:dyDescent="0.25">
      <c r="A116" s="13">
        <f>IF(B116&lt;&gt;"",ROW()-3,"")</f>
      </c>
      <c r="B116" s="9"/>
      <c r="C116" s="13">
        <f>IFERROR(XLOOKUP(B116,IDENTIFIKASI!$B:$B,IDENTIFIKASI!$G:$G),"")</f>
      </c>
      <c r="D116" s="9"/>
      <c r="E116" s="13">
        <f>IF(B116="","",B116&amp;"."&amp;IF(D116&lt;&gt;"",D116,"XX")&amp;"."&amp;TEXT(COUNTIFS($B$4:B116,B116,$D$4:D116,D116),"00"))</f>
      </c>
      <c r="F116" s="9"/>
      <c r="G116" s="9"/>
      <c r="H116" s="9"/>
      <c r="I116" s="9"/>
      <c r="J116" s="9"/>
      <c r="K116" s="9"/>
      <c r="L116" s="9"/>
      <c r="M116" s="9"/>
    </row>
    <row r="117" ht="20" customHeight="1" spans="1:13" x14ac:dyDescent="0.25">
      <c r="A117" s="13">
        <f>IF(B117&lt;&gt;"",ROW()-3,"")</f>
      </c>
      <c r="B117" s="9"/>
      <c r="C117" s="13">
        <f>IFERROR(XLOOKUP(B117,IDENTIFIKASI!$B:$B,IDENTIFIKASI!$G:$G),"")</f>
      </c>
      <c r="D117" s="9"/>
      <c r="E117" s="13">
        <f>IF(B117="","",B117&amp;"."&amp;IF(D117&lt;&gt;"",D117,"XX")&amp;"."&amp;TEXT(COUNTIFS($B$4:B117,B117,$D$4:D117,D117),"00"))</f>
      </c>
      <c r="F117" s="9"/>
      <c r="G117" s="9"/>
      <c r="H117" s="9"/>
      <c r="I117" s="9"/>
      <c r="J117" s="9"/>
      <c r="K117" s="9"/>
      <c r="L117" s="9"/>
      <c r="M117" s="9"/>
    </row>
    <row r="118" ht="20" customHeight="1" spans="1:13" x14ac:dyDescent="0.25">
      <c r="A118" s="13">
        <f>IF(B118&lt;&gt;"",ROW()-3,"")</f>
      </c>
      <c r="B118" s="9"/>
      <c r="C118" s="13">
        <f>IFERROR(XLOOKUP(B118,IDENTIFIKASI!$B:$B,IDENTIFIKASI!$G:$G),"")</f>
      </c>
      <c r="D118" s="9"/>
      <c r="E118" s="13">
        <f>IF(B118="","",B118&amp;"."&amp;IF(D118&lt;&gt;"",D118,"XX")&amp;"."&amp;TEXT(COUNTIFS($B$4:B118,B118,$D$4:D118,D118),"00"))</f>
      </c>
      <c r="F118" s="9"/>
      <c r="G118" s="9"/>
      <c r="H118" s="9"/>
      <c r="I118" s="9"/>
      <c r="J118" s="9"/>
      <c r="K118" s="9"/>
      <c r="L118" s="9"/>
      <c r="M118" s="9"/>
    </row>
    <row r="119" ht="20" customHeight="1" spans="1:13" x14ac:dyDescent="0.25">
      <c r="A119" s="13">
        <f>IF(B119&lt;&gt;"",ROW()-3,"")</f>
      </c>
      <c r="B119" s="9"/>
      <c r="C119" s="13">
        <f>IFERROR(XLOOKUP(B119,IDENTIFIKASI!$B:$B,IDENTIFIKASI!$G:$G),"")</f>
      </c>
      <c r="D119" s="9"/>
      <c r="E119" s="13">
        <f>IF(B119="","",B119&amp;"."&amp;IF(D119&lt;&gt;"",D119,"XX")&amp;"."&amp;TEXT(COUNTIFS($B$4:B119,B119,$D$4:D119,D119),"00"))</f>
      </c>
      <c r="F119" s="9"/>
      <c r="G119" s="9"/>
      <c r="H119" s="9"/>
      <c r="I119" s="9"/>
      <c r="J119" s="9"/>
      <c r="K119" s="9"/>
      <c r="L119" s="9"/>
      <c r="M119" s="9"/>
    </row>
    <row r="120" ht="20" customHeight="1" spans="1:13" x14ac:dyDescent="0.25">
      <c r="A120" s="13">
        <f>IF(B120&lt;&gt;"",ROW()-3,"")</f>
      </c>
      <c r="B120" s="9"/>
      <c r="C120" s="13">
        <f>IFERROR(XLOOKUP(B120,IDENTIFIKASI!$B:$B,IDENTIFIKASI!$G:$G),"")</f>
      </c>
      <c r="D120" s="9"/>
      <c r="E120" s="13">
        <f>IF(B120="","",B120&amp;"."&amp;IF(D120&lt;&gt;"",D120,"XX")&amp;"."&amp;TEXT(COUNTIFS($B$4:B120,B120,$D$4:D120,D120),"00"))</f>
      </c>
      <c r="F120" s="9"/>
      <c r="G120" s="9"/>
      <c r="H120" s="9"/>
      <c r="I120" s="9"/>
      <c r="J120" s="9"/>
      <c r="K120" s="9"/>
      <c r="L120" s="9"/>
      <c r="M120" s="9"/>
    </row>
    <row r="121" ht="20" customHeight="1" spans="1:13" x14ac:dyDescent="0.25">
      <c r="A121" s="13">
        <f>IF(B121&lt;&gt;"",ROW()-3,"")</f>
      </c>
      <c r="B121" s="9"/>
      <c r="C121" s="13">
        <f>IFERROR(XLOOKUP(B121,IDENTIFIKASI!$B:$B,IDENTIFIKASI!$G:$G),"")</f>
      </c>
      <c r="D121" s="9"/>
      <c r="E121" s="13">
        <f>IF(B121="","",B121&amp;"."&amp;IF(D121&lt;&gt;"",D121,"XX")&amp;"."&amp;TEXT(COUNTIFS($B$4:B121,B121,$D$4:D121,D121),"00"))</f>
      </c>
      <c r="F121" s="9"/>
      <c r="G121" s="9"/>
      <c r="H121" s="9"/>
      <c r="I121" s="9"/>
      <c r="J121" s="9"/>
      <c r="K121" s="9"/>
      <c r="L121" s="9"/>
      <c r="M121" s="9"/>
    </row>
    <row r="122" ht="20" customHeight="1" spans="1:13" x14ac:dyDescent="0.25">
      <c r="A122" s="13">
        <f>IF(B122&lt;&gt;"",ROW()-3,"")</f>
      </c>
      <c r="B122" s="9"/>
      <c r="C122" s="13">
        <f>IFERROR(XLOOKUP(B122,IDENTIFIKASI!$B:$B,IDENTIFIKASI!$G:$G),"")</f>
      </c>
      <c r="D122" s="9"/>
      <c r="E122" s="13">
        <f>IF(B122="","",B122&amp;"."&amp;IF(D122&lt;&gt;"",D122,"XX")&amp;"."&amp;TEXT(COUNTIFS($B$4:B122,B122,$D$4:D122,D122),"00"))</f>
      </c>
      <c r="F122" s="9"/>
      <c r="G122" s="9"/>
      <c r="H122" s="9"/>
      <c r="I122" s="9"/>
      <c r="J122" s="9"/>
      <c r="K122" s="9"/>
      <c r="L122" s="9"/>
      <c r="M122" s="9"/>
    </row>
    <row r="123" ht="20" customHeight="1" spans="1:13" x14ac:dyDescent="0.25">
      <c r="A123" s="13">
        <f>IF(B123&lt;&gt;"",ROW()-3,"")</f>
      </c>
      <c r="B123" s="9"/>
      <c r="C123" s="13">
        <f>IFERROR(XLOOKUP(B123,IDENTIFIKASI!$B:$B,IDENTIFIKASI!$G:$G),"")</f>
      </c>
      <c r="D123" s="9"/>
      <c r="E123" s="13">
        <f>IF(B123="","",B123&amp;"."&amp;IF(D123&lt;&gt;"",D123,"XX")&amp;"."&amp;TEXT(COUNTIFS($B$4:B123,B123,$D$4:D123,D123),"00"))</f>
      </c>
      <c r="F123" s="9"/>
      <c r="G123" s="9"/>
      <c r="H123" s="9"/>
      <c r="I123" s="9"/>
      <c r="J123" s="9"/>
      <c r="K123" s="9"/>
      <c r="L123" s="9"/>
      <c r="M123" s="9"/>
    </row>
    <row r="124" ht="20" customHeight="1" spans="1:13" x14ac:dyDescent="0.25">
      <c r="A124" s="13">
        <f>IF(B124&lt;&gt;"",ROW()-3,"")</f>
      </c>
      <c r="B124" s="9"/>
      <c r="C124" s="13">
        <f>IFERROR(XLOOKUP(B124,IDENTIFIKASI!$B:$B,IDENTIFIKASI!$G:$G),"")</f>
      </c>
      <c r="D124" s="9"/>
      <c r="E124" s="13">
        <f>IF(B124="","",B124&amp;"."&amp;IF(D124&lt;&gt;"",D124,"XX")&amp;"."&amp;TEXT(COUNTIFS($B$4:B124,B124,$D$4:D124,D124),"00"))</f>
      </c>
      <c r="F124" s="9"/>
      <c r="G124" s="9"/>
      <c r="H124" s="9"/>
      <c r="I124" s="9"/>
      <c r="J124" s="9"/>
      <c r="K124" s="9"/>
      <c r="L124" s="9"/>
      <c r="M124" s="9"/>
    </row>
    <row r="125" ht="20" customHeight="1" spans="1:13" x14ac:dyDescent="0.25">
      <c r="A125" s="13">
        <f>IF(B125&lt;&gt;"",ROW()-3,"")</f>
      </c>
      <c r="B125" s="9"/>
      <c r="C125" s="13">
        <f>IFERROR(XLOOKUP(B125,IDENTIFIKASI!$B:$B,IDENTIFIKASI!$G:$G),"")</f>
      </c>
      <c r="D125" s="9"/>
      <c r="E125" s="13">
        <f>IF(B125="","",B125&amp;"."&amp;IF(D125&lt;&gt;"",D125,"XX")&amp;"."&amp;TEXT(COUNTIFS($B$4:B125,B125,$D$4:D125,D125),"00"))</f>
      </c>
      <c r="F125" s="9"/>
      <c r="G125" s="9"/>
      <c r="H125" s="9"/>
      <c r="I125" s="9"/>
      <c r="J125" s="9"/>
      <c r="K125" s="9"/>
      <c r="L125" s="9"/>
      <c r="M125" s="9"/>
    </row>
    <row r="126" ht="20" customHeight="1" spans="1:13" x14ac:dyDescent="0.25">
      <c r="A126" s="13">
        <f>IF(B126&lt;&gt;"",ROW()-3,"")</f>
      </c>
      <c r="B126" s="9"/>
      <c r="C126" s="13">
        <f>IFERROR(XLOOKUP(B126,IDENTIFIKASI!$B:$B,IDENTIFIKASI!$G:$G),"")</f>
      </c>
      <c r="D126" s="9"/>
      <c r="E126" s="13">
        <f>IF(B126="","",B126&amp;"."&amp;IF(D126&lt;&gt;"",D126,"XX")&amp;"."&amp;TEXT(COUNTIFS($B$4:B126,B126,$D$4:D126,D126),"00"))</f>
      </c>
      <c r="F126" s="9"/>
      <c r="G126" s="9"/>
      <c r="H126" s="9"/>
      <c r="I126" s="9"/>
      <c r="J126" s="9"/>
      <c r="K126" s="9"/>
      <c r="L126" s="9"/>
      <c r="M126" s="9"/>
    </row>
    <row r="127" ht="20" customHeight="1" spans="1:13" x14ac:dyDescent="0.25">
      <c r="A127" s="13">
        <f>IF(B127&lt;&gt;"",ROW()-3,"")</f>
      </c>
      <c r="B127" s="9"/>
      <c r="C127" s="13">
        <f>IFERROR(XLOOKUP(B127,IDENTIFIKASI!$B:$B,IDENTIFIKASI!$G:$G),"")</f>
      </c>
      <c r="D127" s="9"/>
      <c r="E127" s="13">
        <f>IF(B127="","",B127&amp;"."&amp;IF(D127&lt;&gt;"",D127,"XX")&amp;"."&amp;TEXT(COUNTIFS($B$4:B127,B127,$D$4:D127,D127),"00"))</f>
      </c>
      <c r="F127" s="9"/>
      <c r="G127" s="9"/>
      <c r="H127" s="9"/>
      <c r="I127" s="9"/>
      <c r="J127" s="9"/>
      <c r="K127" s="9"/>
      <c r="L127" s="9"/>
      <c r="M127" s="9"/>
    </row>
    <row r="128" ht="20" customHeight="1" spans="1:13" x14ac:dyDescent="0.25">
      <c r="A128" s="13">
        <f>IF(B128&lt;&gt;"",ROW()-3,"")</f>
      </c>
      <c r="B128" s="9"/>
      <c r="C128" s="13">
        <f>IFERROR(XLOOKUP(B128,IDENTIFIKASI!$B:$B,IDENTIFIKASI!$G:$G),"")</f>
      </c>
      <c r="D128" s="9"/>
      <c r="E128" s="13">
        <f>IF(B128="","",B128&amp;"."&amp;IF(D128&lt;&gt;"",D128,"XX")&amp;"."&amp;TEXT(COUNTIFS($B$4:B128,B128,$D$4:D128,D128),"00"))</f>
      </c>
      <c r="F128" s="9"/>
      <c r="G128" s="9"/>
      <c r="H128" s="9"/>
      <c r="I128" s="9"/>
      <c r="J128" s="9"/>
      <c r="K128" s="9"/>
      <c r="L128" s="9"/>
      <c r="M128" s="9"/>
    </row>
    <row r="129" ht="20" customHeight="1" spans="1:13" x14ac:dyDescent="0.25">
      <c r="A129" s="13">
        <f>IF(B129&lt;&gt;"",ROW()-3,"")</f>
      </c>
      <c r="B129" s="9"/>
      <c r="C129" s="13">
        <f>IFERROR(XLOOKUP(B129,IDENTIFIKASI!$B:$B,IDENTIFIKASI!$G:$G),"")</f>
      </c>
      <c r="D129" s="9"/>
      <c r="E129" s="13">
        <f>IF(B129="","",B129&amp;"."&amp;IF(D129&lt;&gt;"",D129,"XX")&amp;"."&amp;TEXT(COUNTIFS($B$4:B129,B129,$D$4:D129,D129),"00"))</f>
      </c>
      <c r="F129" s="9"/>
      <c r="G129" s="9"/>
      <c r="H129" s="9"/>
      <c r="I129" s="9"/>
      <c r="J129" s="9"/>
      <c r="K129" s="9"/>
      <c r="L129" s="9"/>
      <c r="M129" s="9"/>
    </row>
    <row r="130" ht="20" customHeight="1" spans="1:13" x14ac:dyDescent="0.25">
      <c r="A130" s="13">
        <f>IF(B130&lt;&gt;"",ROW()-3,"")</f>
      </c>
      <c r="B130" s="9"/>
      <c r="C130" s="13">
        <f>IFERROR(XLOOKUP(B130,IDENTIFIKASI!$B:$B,IDENTIFIKASI!$G:$G),"")</f>
      </c>
      <c r="D130" s="9"/>
      <c r="E130" s="13">
        <f>IF(B130="","",B130&amp;"."&amp;IF(D130&lt;&gt;"",D130,"XX")&amp;"."&amp;TEXT(COUNTIFS($B$4:B130,B130,$D$4:D130,D130),"00"))</f>
      </c>
      <c r="F130" s="9"/>
      <c r="G130" s="9"/>
      <c r="H130" s="9"/>
      <c r="I130" s="9"/>
      <c r="J130" s="9"/>
      <c r="K130" s="9"/>
      <c r="L130" s="9"/>
      <c r="M130" s="9"/>
    </row>
    <row r="131" ht="20" customHeight="1" spans="1:13" x14ac:dyDescent="0.25">
      <c r="A131" s="13">
        <f>IF(B131&lt;&gt;"",ROW()-3,"")</f>
      </c>
      <c r="B131" s="9"/>
      <c r="C131" s="13">
        <f>IFERROR(XLOOKUP(B131,IDENTIFIKASI!$B:$B,IDENTIFIKASI!$G:$G),"")</f>
      </c>
      <c r="D131" s="9"/>
      <c r="E131" s="13">
        <f>IF(B131="","",B131&amp;"."&amp;IF(D131&lt;&gt;"",D131,"XX")&amp;"."&amp;TEXT(COUNTIFS($B$4:B131,B131,$D$4:D131,D131),"00"))</f>
      </c>
      <c r="F131" s="9"/>
      <c r="G131" s="9"/>
      <c r="H131" s="9"/>
      <c r="I131" s="9"/>
      <c r="J131" s="9"/>
      <c r="K131" s="9"/>
      <c r="L131" s="9"/>
      <c r="M131" s="9"/>
    </row>
    <row r="132" ht="20" customHeight="1" spans="1:13" x14ac:dyDescent="0.25">
      <c r="A132" s="13">
        <f>IF(B132&lt;&gt;"",ROW()-3,"")</f>
      </c>
      <c r="B132" s="9"/>
      <c r="C132" s="13">
        <f>IFERROR(XLOOKUP(B132,IDENTIFIKASI!$B:$B,IDENTIFIKASI!$G:$G),"")</f>
      </c>
      <c r="D132" s="9"/>
      <c r="E132" s="13">
        <f>IF(B132="","",B132&amp;"."&amp;IF(D132&lt;&gt;"",D132,"XX")&amp;"."&amp;TEXT(COUNTIFS($B$4:B132,B132,$D$4:D132,D132),"00"))</f>
      </c>
      <c r="F132" s="9"/>
      <c r="G132" s="9"/>
      <c r="H132" s="9"/>
      <c r="I132" s="9"/>
      <c r="J132" s="9"/>
      <c r="K132" s="9"/>
      <c r="L132" s="9"/>
      <c r="M132" s="9"/>
    </row>
    <row r="133" ht="20" customHeight="1" spans="1:13" x14ac:dyDescent="0.25">
      <c r="A133" s="13">
        <f>IF(B133&lt;&gt;"",ROW()-3,"")</f>
      </c>
      <c r="B133" s="9"/>
      <c r="C133" s="13">
        <f>IFERROR(XLOOKUP(B133,IDENTIFIKASI!$B:$B,IDENTIFIKASI!$G:$G),"")</f>
      </c>
      <c r="D133" s="9"/>
      <c r="E133" s="13">
        <f>IF(B133="","",B133&amp;"."&amp;IF(D133&lt;&gt;"",D133,"XX")&amp;"."&amp;TEXT(COUNTIFS($B$4:B133,B133,$D$4:D133,D133),"00"))</f>
      </c>
      <c r="F133" s="9"/>
      <c r="G133" s="9"/>
      <c r="H133" s="9"/>
      <c r="I133" s="9"/>
      <c r="J133" s="9"/>
      <c r="K133" s="9"/>
      <c r="L133" s="9"/>
      <c r="M133" s="9"/>
    </row>
    <row r="134" ht="20" customHeight="1" spans="1:13" x14ac:dyDescent="0.25">
      <c r="A134" s="13">
        <f>IF(B134&lt;&gt;"",ROW()-3,"")</f>
      </c>
      <c r="B134" s="9"/>
      <c r="C134" s="13">
        <f>IFERROR(XLOOKUP(B134,IDENTIFIKASI!$B:$B,IDENTIFIKASI!$G:$G),"")</f>
      </c>
      <c r="D134" s="9"/>
      <c r="E134" s="13">
        <f>IF(B134="","",B134&amp;"."&amp;IF(D134&lt;&gt;"",D134,"XX")&amp;"."&amp;TEXT(COUNTIFS($B$4:B134,B134,$D$4:D134,D134),"00"))</f>
      </c>
      <c r="F134" s="9"/>
      <c r="G134" s="9"/>
      <c r="H134" s="9"/>
      <c r="I134" s="9"/>
      <c r="J134" s="9"/>
      <c r="K134" s="9"/>
      <c r="L134" s="9"/>
      <c r="M134" s="9"/>
    </row>
    <row r="135" ht="20" customHeight="1" spans="1:13" x14ac:dyDescent="0.25">
      <c r="A135" s="13">
        <f>IF(B135&lt;&gt;"",ROW()-3,"")</f>
      </c>
      <c r="B135" s="9"/>
      <c r="C135" s="13">
        <f>IFERROR(XLOOKUP(B135,IDENTIFIKASI!$B:$B,IDENTIFIKASI!$G:$G),"")</f>
      </c>
      <c r="D135" s="9"/>
      <c r="E135" s="13">
        <f>IF(B135="","",B135&amp;"."&amp;IF(D135&lt;&gt;"",D135,"XX")&amp;"."&amp;TEXT(COUNTIFS($B$4:B135,B135,$D$4:D135,D135),"00"))</f>
      </c>
      <c r="F135" s="9"/>
      <c r="G135" s="9"/>
      <c r="H135" s="9"/>
      <c r="I135" s="9"/>
      <c r="J135" s="9"/>
      <c r="K135" s="9"/>
      <c r="L135" s="9"/>
      <c r="M135" s="9"/>
    </row>
    <row r="136" ht="20" customHeight="1" spans="1:13" x14ac:dyDescent="0.25">
      <c r="A136" s="13">
        <f>IF(B136&lt;&gt;"",ROW()-3,"")</f>
      </c>
      <c r="B136" s="9"/>
      <c r="C136" s="13">
        <f>IFERROR(XLOOKUP(B136,IDENTIFIKASI!$B:$B,IDENTIFIKASI!$G:$G),"")</f>
      </c>
      <c r="D136" s="9"/>
      <c r="E136" s="13">
        <f>IF(B136="","",B136&amp;"."&amp;IF(D136&lt;&gt;"",D136,"XX")&amp;"."&amp;TEXT(COUNTIFS($B$4:B136,B136,$D$4:D136,D136),"00"))</f>
      </c>
      <c r="F136" s="9"/>
      <c r="G136" s="9"/>
      <c r="H136" s="9"/>
      <c r="I136" s="9"/>
      <c r="J136" s="9"/>
      <c r="K136" s="9"/>
      <c r="L136" s="9"/>
      <c r="M136" s="9"/>
    </row>
    <row r="137" ht="20" customHeight="1" spans="1:13" x14ac:dyDescent="0.25">
      <c r="A137" s="13">
        <f>IF(B137&lt;&gt;"",ROW()-3,"")</f>
      </c>
      <c r="B137" s="9"/>
      <c r="C137" s="13">
        <f>IFERROR(XLOOKUP(B137,IDENTIFIKASI!$B:$B,IDENTIFIKASI!$G:$G),"")</f>
      </c>
      <c r="D137" s="9"/>
      <c r="E137" s="13">
        <f>IF(B137="","",B137&amp;"."&amp;IF(D137&lt;&gt;"",D137,"XX")&amp;"."&amp;TEXT(COUNTIFS($B$4:B137,B137,$D$4:D137,D137),"00"))</f>
      </c>
      <c r="F137" s="9"/>
      <c r="G137" s="9"/>
      <c r="H137" s="9"/>
      <c r="I137" s="9"/>
      <c r="J137" s="9"/>
      <c r="K137" s="9"/>
      <c r="L137" s="9"/>
      <c r="M137" s="9"/>
    </row>
    <row r="138" ht="20" customHeight="1" spans="1:13" x14ac:dyDescent="0.25">
      <c r="A138" s="13">
        <f>IF(B138&lt;&gt;"",ROW()-3,"")</f>
      </c>
      <c r="B138" s="9"/>
      <c r="C138" s="13">
        <f>IFERROR(XLOOKUP(B138,IDENTIFIKASI!$B:$B,IDENTIFIKASI!$G:$G),"")</f>
      </c>
      <c r="D138" s="9"/>
      <c r="E138" s="13">
        <f>IF(B138="","",B138&amp;"."&amp;IF(D138&lt;&gt;"",D138,"XX")&amp;"."&amp;TEXT(COUNTIFS($B$4:B138,B138,$D$4:D138,D138),"00"))</f>
      </c>
      <c r="F138" s="9"/>
      <c r="G138" s="9"/>
      <c r="H138" s="9"/>
      <c r="I138" s="9"/>
      <c r="J138" s="9"/>
      <c r="K138" s="9"/>
      <c r="L138" s="9"/>
      <c r="M138" s="9"/>
    </row>
    <row r="139" ht="20" customHeight="1" spans="1:13" x14ac:dyDescent="0.25">
      <c r="A139" s="13">
        <f>IF(B139&lt;&gt;"",ROW()-3,"")</f>
      </c>
      <c r="B139" s="9"/>
      <c r="C139" s="13">
        <f>IFERROR(XLOOKUP(B139,IDENTIFIKASI!$B:$B,IDENTIFIKASI!$G:$G),"")</f>
      </c>
      <c r="D139" s="9"/>
      <c r="E139" s="13">
        <f>IF(B139="","",B139&amp;"."&amp;IF(D139&lt;&gt;"",D139,"XX")&amp;"."&amp;TEXT(COUNTIFS($B$4:B139,B139,$D$4:D139,D139),"00"))</f>
      </c>
      <c r="F139" s="9"/>
      <c r="G139" s="9"/>
      <c r="H139" s="9"/>
      <c r="I139" s="9"/>
      <c r="J139" s="9"/>
      <c r="K139" s="9"/>
      <c r="L139" s="9"/>
      <c r="M139" s="9"/>
    </row>
    <row r="140" ht="20" customHeight="1" spans="1:13" x14ac:dyDescent="0.25">
      <c r="A140" s="13">
        <f>IF(B140&lt;&gt;"",ROW()-3,"")</f>
      </c>
      <c r="B140" s="9"/>
      <c r="C140" s="13">
        <f>IFERROR(XLOOKUP(B140,IDENTIFIKASI!$B:$B,IDENTIFIKASI!$G:$G),"")</f>
      </c>
      <c r="D140" s="9"/>
      <c r="E140" s="13">
        <f>IF(B140="","",B140&amp;"."&amp;IF(D140&lt;&gt;"",D140,"XX")&amp;"."&amp;TEXT(COUNTIFS($B$4:B140,B140,$D$4:D140,D140),"00"))</f>
      </c>
      <c r="F140" s="9"/>
      <c r="G140" s="9"/>
      <c r="H140" s="9"/>
      <c r="I140" s="9"/>
      <c r="J140" s="9"/>
      <c r="K140" s="9"/>
      <c r="L140" s="9"/>
      <c r="M140" s="9"/>
    </row>
    <row r="141" ht="20" customHeight="1" spans="1:13" x14ac:dyDescent="0.25">
      <c r="A141" s="13">
        <f>IF(B141&lt;&gt;"",ROW()-3,"")</f>
      </c>
      <c r="B141" s="9"/>
      <c r="C141" s="13">
        <f>IFERROR(XLOOKUP(B141,IDENTIFIKASI!$B:$B,IDENTIFIKASI!$G:$G),"")</f>
      </c>
      <c r="D141" s="9"/>
      <c r="E141" s="13">
        <f>IF(B141="","",B141&amp;"."&amp;IF(D141&lt;&gt;"",D141,"XX")&amp;"."&amp;TEXT(COUNTIFS($B$4:B141,B141,$D$4:D141,D141),"00"))</f>
      </c>
      <c r="F141" s="9"/>
      <c r="G141" s="9"/>
      <c r="H141" s="9"/>
      <c r="I141" s="9"/>
      <c r="J141" s="9"/>
      <c r="K141" s="9"/>
      <c r="L141" s="9"/>
      <c r="M141" s="9"/>
    </row>
    <row r="142" ht="20" customHeight="1" spans="1:13" x14ac:dyDescent="0.25">
      <c r="A142" s="13">
        <f>IF(B142&lt;&gt;"",ROW()-3,"")</f>
      </c>
      <c r="B142" s="9"/>
      <c r="C142" s="13">
        <f>IFERROR(XLOOKUP(B142,IDENTIFIKASI!$B:$B,IDENTIFIKASI!$G:$G),"")</f>
      </c>
      <c r="D142" s="9"/>
      <c r="E142" s="13">
        <f>IF(B142="","",B142&amp;"."&amp;IF(D142&lt;&gt;"",D142,"XX")&amp;"."&amp;TEXT(COUNTIFS($B$4:B142,B142,$D$4:D142,D142),"00"))</f>
      </c>
      <c r="F142" s="9"/>
      <c r="G142" s="9"/>
      <c r="H142" s="9"/>
      <c r="I142" s="9"/>
      <c r="J142" s="9"/>
      <c r="K142" s="9"/>
      <c r="L142" s="9"/>
      <c r="M142" s="9"/>
    </row>
    <row r="143" ht="20" customHeight="1" spans="1:13" x14ac:dyDescent="0.25">
      <c r="A143" s="13">
        <f>IF(B143&lt;&gt;"",ROW()-3,"")</f>
      </c>
      <c r="B143" s="9"/>
      <c r="C143" s="13">
        <f>IFERROR(XLOOKUP(B143,IDENTIFIKASI!$B:$B,IDENTIFIKASI!$G:$G),"")</f>
      </c>
      <c r="D143" s="9"/>
      <c r="E143" s="13">
        <f>IF(B143="","",B143&amp;"."&amp;IF(D143&lt;&gt;"",D143,"XX")&amp;"."&amp;TEXT(COUNTIFS($B$4:B143,B143,$D$4:D143,D143),"00"))</f>
      </c>
      <c r="F143" s="9"/>
      <c r="G143" s="9"/>
      <c r="H143" s="9"/>
      <c r="I143" s="9"/>
      <c r="J143" s="9"/>
      <c r="K143" s="9"/>
      <c r="L143" s="9"/>
      <c r="M143" s="9"/>
    </row>
    <row r="144" ht="20" customHeight="1" spans="1:13" x14ac:dyDescent="0.25">
      <c r="A144" s="13">
        <f>IF(B144&lt;&gt;"",ROW()-3,"")</f>
      </c>
      <c r="B144" s="9"/>
      <c r="C144" s="13">
        <f>IFERROR(XLOOKUP(B144,IDENTIFIKASI!$B:$B,IDENTIFIKASI!$G:$G),"")</f>
      </c>
      <c r="D144" s="9"/>
      <c r="E144" s="13">
        <f>IF(B144="","",B144&amp;"."&amp;IF(D144&lt;&gt;"",D144,"XX")&amp;"."&amp;TEXT(COUNTIFS($B$4:B144,B144,$D$4:D144,D144),"00"))</f>
      </c>
      <c r="F144" s="9"/>
      <c r="G144" s="9"/>
      <c r="H144" s="9"/>
      <c r="I144" s="9"/>
      <c r="J144" s="9"/>
      <c r="K144" s="9"/>
      <c r="L144" s="9"/>
      <c r="M144" s="9"/>
    </row>
    <row r="145" ht="20" customHeight="1" spans="1:13" x14ac:dyDescent="0.25">
      <c r="A145" s="13">
        <f>IF(B145&lt;&gt;"",ROW()-3,"")</f>
      </c>
      <c r="B145" s="9"/>
      <c r="C145" s="13">
        <f>IFERROR(XLOOKUP(B145,IDENTIFIKASI!$B:$B,IDENTIFIKASI!$G:$G),"")</f>
      </c>
      <c r="D145" s="9"/>
      <c r="E145" s="13">
        <f>IF(B145="","",B145&amp;"."&amp;IF(D145&lt;&gt;"",D145,"XX")&amp;"."&amp;TEXT(COUNTIFS($B$4:B145,B145,$D$4:D145,D145),"00"))</f>
      </c>
      <c r="F145" s="9"/>
      <c r="G145" s="9"/>
      <c r="H145" s="9"/>
      <c r="I145" s="9"/>
      <c r="J145" s="9"/>
      <c r="K145" s="9"/>
      <c r="L145" s="9"/>
      <c r="M145" s="9"/>
    </row>
    <row r="146" ht="20" customHeight="1" spans="1:13" x14ac:dyDescent="0.25">
      <c r="A146" s="13">
        <f>IF(B146&lt;&gt;"",ROW()-3,"")</f>
      </c>
      <c r="B146" s="9"/>
      <c r="C146" s="13">
        <f>IFERROR(XLOOKUP(B146,IDENTIFIKASI!$B:$B,IDENTIFIKASI!$G:$G),"")</f>
      </c>
      <c r="D146" s="9"/>
      <c r="E146" s="13">
        <f>IF(B146="","",B146&amp;"."&amp;IF(D146&lt;&gt;"",D146,"XX")&amp;"."&amp;TEXT(COUNTIFS($B$4:B146,B146,$D$4:D146,D146),"00"))</f>
      </c>
      <c r="F146" s="9"/>
      <c r="G146" s="9"/>
      <c r="H146" s="9"/>
      <c r="I146" s="9"/>
      <c r="J146" s="9"/>
      <c r="K146" s="9"/>
      <c r="L146" s="9"/>
      <c r="M146" s="9"/>
    </row>
    <row r="147" ht="20" customHeight="1" spans="1:13" x14ac:dyDescent="0.25">
      <c r="A147" s="13">
        <f>IF(B147&lt;&gt;"",ROW()-3,"")</f>
      </c>
      <c r="B147" s="9"/>
      <c r="C147" s="13">
        <f>IFERROR(XLOOKUP(B147,IDENTIFIKASI!$B:$B,IDENTIFIKASI!$G:$G),"")</f>
      </c>
      <c r="D147" s="9"/>
      <c r="E147" s="13">
        <f>IF(B147="","",B147&amp;"."&amp;IF(D147&lt;&gt;"",D147,"XX")&amp;"."&amp;TEXT(COUNTIFS($B$4:B147,B147,$D$4:D147,D147),"00"))</f>
      </c>
      <c r="F147" s="9"/>
      <c r="G147" s="9"/>
      <c r="H147" s="9"/>
      <c r="I147" s="9"/>
      <c r="J147" s="9"/>
      <c r="K147" s="9"/>
      <c r="L147" s="9"/>
      <c r="M147" s="9"/>
    </row>
    <row r="148" ht="20" customHeight="1" spans="1:13" x14ac:dyDescent="0.25">
      <c r="A148" s="13">
        <f>IF(B148&lt;&gt;"",ROW()-3,"")</f>
      </c>
      <c r="B148" s="9"/>
      <c r="C148" s="13">
        <f>IFERROR(XLOOKUP(B148,IDENTIFIKASI!$B:$B,IDENTIFIKASI!$G:$G),"")</f>
      </c>
      <c r="D148" s="9"/>
      <c r="E148" s="13">
        <f>IF(B148="","",B148&amp;"."&amp;IF(D148&lt;&gt;"",D148,"XX")&amp;"."&amp;TEXT(COUNTIFS($B$4:B148,B148,$D$4:D148,D148),"00"))</f>
      </c>
      <c r="F148" s="9"/>
      <c r="G148" s="9"/>
      <c r="H148" s="9"/>
      <c r="I148" s="9"/>
      <c r="J148" s="9"/>
      <c r="K148" s="9"/>
      <c r="L148" s="9"/>
      <c r="M148" s="9"/>
    </row>
    <row r="149" ht="20" customHeight="1" spans="1:13" x14ac:dyDescent="0.25">
      <c r="A149" s="13">
        <f>IF(B149&lt;&gt;"",ROW()-3,"")</f>
      </c>
      <c r="B149" s="9"/>
      <c r="C149" s="13">
        <f>IFERROR(XLOOKUP(B149,IDENTIFIKASI!$B:$B,IDENTIFIKASI!$G:$G),"")</f>
      </c>
      <c r="D149" s="9"/>
      <c r="E149" s="13">
        <f>IF(B149="","",B149&amp;"."&amp;IF(D149&lt;&gt;"",D149,"XX")&amp;"."&amp;TEXT(COUNTIFS($B$4:B149,B149,$D$4:D149,D149),"00"))</f>
      </c>
      <c r="F149" s="9"/>
      <c r="G149" s="9"/>
      <c r="H149" s="9"/>
      <c r="I149" s="9"/>
      <c r="J149" s="9"/>
      <c r="K149" s="9"/>
      <c r="L149" s="9"/>
      <c r="M149" s="9"/>
    </row>
    <row r="150" ht="20" customHeight="1" spans="1:13" x14ac:dyDescent="0.25">
      <c r="A150" s="13">
        <f>IF(B150&lt;&gt;"",ROW()-3,"")</f>
      </c>
      <c r="B150" s="9"/>
      <c r="C150" s="13">
        <f>IFERROR(XLOOKUP(B150,IDENTIFIKASI!$B:$B,IDENTIFIKASI!$G:$G),"")</f>
      </c>
      <c r="D150" s="9"/>
      <c r="E150" s="13">
        <f>IF(B150="","",B150&amp;"."&amp;IF(D150&lt;&gt;"",D150,"XX")&amp;"."&amp;TEXT(COUNTIFS($B$4:B150,B150,$D$4:D150,D150),"00"))</f>
      </c>
      <c r="F150" s="9"/>
      <c r="G150" s="9"/>
      <c r="H150" s="9"/>
      <c r="I150" s="9"/>
      <c r="J150" s="9"/>
      <c r="K150" s="9"/>
      <c r="L150" s="9"/>
      <c r="M150" s="9"/>
    </row>
    <row r="151" ht="20" customHeight="1" spans="1:13" x14ac:dyDescent="0.25">
      <c r="A151" s="13">
        <f>IF(B151&lt;&gt;"",ROW()-3,"")</f>
      </c>
      <c r="B151" s="9"/>
      <c r="C151" s="13">
        <f>IFERROR(XLOOKUP(B151,IDENTIFIKASI!$B:$B,IDENTIFIKASI!$G:$G),"")</f>
      </c>
      <c r="D151" s="9"/>
      <c r="E151" s="13">
        <f>IF(B151="","",B151&amp;"."&amp;IF(D151&lt;&gt;"",D151,"XX")&amp;"."&amp;TEXT(COUNTIFS($B$4:B151,B151,$D$4:D151,D151),"00"))</f>
      </c>
      <c r="F151" s="9"/>
      <c r="G151" s="9"/>
      <c r="H151" s="9"/>
      <c r="I151" s="9"/>
      <c r="J151" s="9"/>
      <c r="K151" s="9"/>
      <c r="L151" s="9"/>
      <c r="M151" s="9"/>
    </row>
    <row r="152" ht="20" customHeight="1" spans="1:13" x14ac:dyDescent="0.25">
      <c r="A152" s="13">
        <f>IF(B152&lt;&gt;"",ROW()-3,"")</f>
      </c>
      <c r="B152" s="9"/>
      <c r="C152" s="13">
        <f>IFERROR(XLOOKUP(B152,IDENTIFIKASI!$B:$B,IDENTIFIKASI!$G:$G),"")</f>
      </c>
      <c r="D152" s="9"/>
      <c r="E152" s="13">
        <f>IF(B152="","",B152&amp;"."&amp;IF(D152&lt;&gt;"",D152,"XX")&amp;"."&amp;TEXT(COUNTIFS($B$4:B152,B152,$D$4:D152,D152),"00"))</f>
      </c>
      <c r="F152" s="9"/>
      <c r="G152" s="9"/>
      <c r="H152" s="9"/>
      <c r="I152" s="9"/>
      <c r="J152" s="9"/>
      <c r="K152" s="9"/>
      <c r="L152" s="9"/>
      <c r="M152" s="9"/>
    </row>
    <row r="153" ht="20" customHeight="1" spans="1:13" x14ac:dyDescent="0.25">
      <c r="A153" s="13">
        <f>IF(B153&lt;&gt;"",ROW()-3,"")</f>
      </c>
      <c r="B153" s="9"/>
      <c r="C153" s="13">
        <f>IFERROR(XLOOKUP(B153,IDENTIFIKASI!$B:$B,IDENTIFIKASI!$G:$G),"")</f>
      </c>
      <c r="D153" s="9"/>
      <c r="E153" s="13">
        <f>IF(B153="","",B153&amp;"."&amp;IF(D153&lt;&gt;"",D153,"XX")&amp;"."&amp;TEXT(COUNTIFS($B$4:B153,B153,$D$4:D153,D153),"00"))</f>
      </c>
      <c r="F153" s="9"/>
      <c r="G153" s="9"/>
      <c r="H153" s="9"/>
      <c r="I153" s="9"/>
      <c r="J153" s="9"/>
      <c r="K153" s="9"/>
      <c r="L153" s="9"/>
      <c r="M153" s="9"/>
    </row>
  </sheetData>
  <mergeCells count="2">
    <mergeCell ref="A1:M1"/>
    <mergeCell ref="A3:M3"/>
  </mergeCells>
  <dataValidations count="150">
    <dataValidation type="list" allowBlank="1" showErrorMessage="1" errorTitle="Nilai tidak valid" error="Pilih dari daftar yang tersedia." sqref="D100:D100">
      <formula1>MASTER!$H$2:$H$7</formula1>
    </dataValidation>
    <dataValidation type="list" allowBlank="1" showErrorMessage="1" errorTitle="Nilai tidak valid" error="Pilih dari daftar yang tersedia." sqref="D101:D101">
      <formula1>MASTER!$H$2:$H$7</formula1>
    </dataValidation>
    <dataValidation type="list" allowBlank="1" showErrorMessage="1" errorTitle="Nilai tidak valid" error="Pilih dari daftar yang tersedia." sqref="D102:D102">
      <formula1>MASTER!$H$2:$H$7</formula1>
    </dataValidation>
    <dataValidation type="list" allowBlank="1" showErrorMessage="1" errorTitle="Nilai tidak valid" error="Pilih dari daftar yang tersedia." sqref="D103:D103">
      <formula1>MASTER!$H$2:$H$7</formula1>
    </dataValidation>
    <dataValidation type="list" allowBlank="1" showErrorMessage="1" errorTitle="Nilai tidak valid" error="Pilih dari daftar yang tersedia." sqref="D104:D104">
      <formula1>MASTER!$H$2:$H$7</formula1>
    </dataValidation>
    <dataValidation type="list" allowBlank="1" showErrorMessage="1" errorTitle="Nilai tidak valid" error="Pilih dari daftar yang tersedia." sqref="D105:D105">
      <formula1>MASTER!$H$2:$H$7</formula1>
    </dataValidation>
    <dataValidation type="list" allowBlank="1" showErrorMessage="1" errorTitle="Nilai tidak valid" error="Pilih dari daftar yang tersedia." sqref="D106:D106">
      <formula1>MASTER!$H$2:$H$7</formula1>
    </dataValidation>
    <dataValidation type="list" allowBlank="1" showErrorMessage="1" errorTitle="Nilai tidak valid" error="Pilih dari daftar yang tersedia." sqref="D107:D107">
      <formula1>MASTER!$H$2:$H$7</formula1>
    </dataValidation>
    <dataValidation type="list" allowBlank="1" showErrorMessage="1" errorTitle="Nilai tidak valid" error="Pilih dari daftar yang tersedia." sqref="D108:D108">
      <formula1>MASTER!$H$2:$H$7</formula1>
    </dataValidation>
    <dataValidation type="list" allowBlank="1" showErrorMessage="1" errorTitle="Nilai tidak valid" error="Pilih dari daftar yang tersedia." sqref="D109:D109">
      <formula1>MASTER!$H$2:$H$7</formula1>
    </dataValidation>
    <dataValidation type="list" allowBlank="1" showErrorMessage="1" errorTitle="Nilai tidak valid" error="Pilih dari daftar yang tersedia." sqref="D10:D10">
      <formula1>MASTER!$H$2:$H$7</formula1>
    </dataValidation>
    <dataValidation type="list" allowBlank="1" showErrorMessage="1" errorTitle="Nilai tidak valid" error="Pilih dari daftar yang tersedia." sqref="D110:D110">
      <formula1>MASTER!$H$2:$H$7</formula1>
    </dataValidation>
    <dataValidation type="list" allowBlank="1" showErrorMessage="1" errorTitle="Nilai tidak valid" error="Pilih dari daftar yang tersedia." sqref="D111:D111">
      <formula1>MASTER!$H$2:$H$7</formula1>
    </dataValidation>
    <dataValidation type="list" allowBlank="1" showErrorMessage="1" errorTitle="Nilai tidak valid" error="Pilih dari daftar yang tersedia." sqref="D112:D112">
      <formula1>MASTER!$H$2:$H$7</formula1>
    </dataValidation>
    <dataValidation type="list" allowBlank="1" showErrorMessage="1" errorTitle="Nilai tidak valid" error="Pilih dari daftar yang tersedia." sqref="D113:D113">
      <formula1>MASTER!$H$2:$H$7</formula1>
    </dataValidation>
    <dataValidation type="list" allowBlank="1" showErrorMessage="1" errorTitle="Nilai tidak valid" error="Pilih dari daftar yang tersedia." sqref="D114:D114">
      <formula1>MASTER!$H$2:$H$7</formula1>
    </dataValidation>
    <dataValidation type="list" allowBlank="1" showErrorMessage="1" errorTitle="Nilai tidak valid" error="Pilih dari daftar yang tersedia." sqref="D115:D115">
      <formula1>MASTER!$H$2:$H$7</formula1>
    </dataValidation>
    <dataValidation type="list" allowBlank="1" showErrorMessage="1" errorTitle="Nilai tidak valid" error="Pilih dari daftar yang tersedia." sqref="D116:D116">
      <formula1>MASTER!$H$2:$H$7</formula1>
    </dataValidation>
    <dataValidation type="list" allowBlank="1" showErrorMessage="1" errorTitle="Nilai tidak valid" error="Pilih dari daftar yang tersedia." sqref="D117:D117">
      <formula1>MASTER!$H$2:$H$7</formula1>
    </dataValidation>
    <dataValidation type="list" allowBlank="1" showErrorMessage="1" errorTitle="Nilai tidak valid" error="Pilih dari daftar yang tersedia." sqref="D118:D118">
      <formula1>MASTER!$H$2:$H$7</formula1>
    </dataValidation>
    <dataValidation type="list" allowBlank="1" showErrorMessage="1" errorTitle="Nilai tidak valid" error="Pilih dari daftar yang tersedia." sqref="D119:D119">
      <formula1>MASTER!$H$2:$H$7</formula1>
    </dataValidation>
    <dataValidation type="list" allowBlank="1" showErrorMessage="1" errorTitle="Nilai tidak valid" error="Pilih dari daftar yang tersedia." sqref="D11:D11">
      <formula1>MASTER!$H$2:$H$7</formula1>
    </dataValidation>
    <dataValidation type="list" allowBlank="1" showErrorMessage="1" errorTitle="Nilai tidak valid" error="Pilih dari daftar yang tersedia." sqref="D120:D120">
      <formula1>MASTER!$H$2:$H$7</formula1>
    </dataValidation>
    <dataValidation type="list" allowBlank="1" showErrorMessage="1" errorTitle="Nilai tidak valid" error="Pilih dari daftar yang tersedia." sqref="D121:D121">
      <formula1>MASTER!$H$2:$H$7</formula1>
    </dataValidation>
    <dataValidation type="list" allowBlank="1" showErrorMessage="1" errorTitle="Nilai tidak valid" error="Pilih dari daftar yang tersedia." sqref="D122:D122">
      <formula1>MASTER!$H$2:$H$7</formula1>
    </dataValidation>
    <dataValidation type="list" allowBlank="1" showErrorMessage="1" errorTitle="Nilai tidak valid" error="Pilih dari daftar yang tersedia." sqref="D123:D123">
      <formula1>MASTER!$H$2:$H$7</formula1>
    </dataValidation>
    <dataValidation type="list" allowBlank="1" showErrorMessage="1" errorTitle="Nilai tidak valid" error="Pilih dari daftar yang tersedia." sqref="D124:D124">
      <formula1>MASTER!$H$2:$H$7</formula1>
    </dataValidation>
    <dataValidation type="list" allowBlank="1" showErrorMessage="1" errorTitle="Nilai tidak valid" error="Pilih dari daftar yang tersedia." sqref="D125:D125">
      <formula1>MASTER!$H$2:$H$7</formula1>
    </dataValidation>
    <dataValidation type="list" allowBlank="1" showErrorMessage="1" errorTitle="Nilai tidak valid" error="Pilih dari daftar yang tersedia." sqref="D126:D126">
      <formula1>MASTER!$H$2:$H$7</formula1>
    </dataValidation>
    <dataValidation type="list" allowBlank="1" showErrorMessage="1" errorTitle="Nilai tidak valid" error="Pilih dari daftar yang tersedia." sqref="D127:D127">
      <formula1>MASTER!$H$2:$H$7</formula1>
    </dataValidation>
    <dataValidation type="list" allowBlank="1" showErrorMessage="1" errorTitle="Nilai tidak valid" error="Pilih dari daftar yang tersedia." sqref="D128:D128">
      <formula1>MASTER!$H$2:$H$7</formula1>
    </dataValidation>
    <dataValidation type="list" allowBlank="1" showErrorMessage="1" errorTitle="Nilai tidak valid" error="Pilih dari daftar yang tersedia." sqref="D129:D129">
      <formula1>MASTER!$H$2:$H$7</formula1>
    </dataValidation>
    <dataValidation type="list" allowBlank="1" showErrorMessage="1" errorTitle="Nilai tidak valid" error="Pilih dari daftar yang tersedia." sqref="D12:D12">
      <formula1>MASTER!$H$2:$H$7</formula1>
    </dataValidation>
    <dataValidation type="list" allowBlank="1" showErrorMessage="1" errorTitle="Nilai tidak valid" error="Pilih dari daftar yang tersedia." sqref="D130:D130">
      <formula1>MASTER!$H$2:$H$7</formula1>
    </dataValidation>
    <dataValidation type="list" allowBlank="1" showErrorMessage="1" errorTitle="Nilai tidak valid" error="Pilih dari daftar yang tersedia." sqref="D131:D131">
      <formula1>MASTER!$H$2:$H$7</formula1>
    </dataValidation>
    <dataValidation type="list" allowBlank="1" showErrorMessage="1" errorTitle="Nilai tidak valid" error="Pilih dari daftar yang tersedia." sqref="D132:D132">
      <formula1>MASTER!$H$2:$H$7</formula1>
    </dataValidation>
    <dataValidation type="list" allowBlank="1" showErrorMessage="1" errorTitle="Nilai tidak valid" error="Pilih dari daftar yang tersedia." sqref="D133:D133">
      <formula1>MASTER!$H$2:$H$7</formula1>
    </dataValidation>
    <dataValidation type="list" allowBlank="1" showErrorMessage="1" errorTitle="Nilai tidak valid" error="Pilih dari daftar yang tersedia." sqref="D134:D134">
      <formula1>MASTER!$H$2:$H$7</formula1>
    </dataValidation>
    <dataValidation type="list" allowBlank="1" showErrorMessage="1" errorTitle="Nilai tidak valid" error="Pilih dari daftar yang tersedia." sqref="D135:D135">
      <formula1>MASTER!$H$2:$H$7</formula1>
    </dataValidation>
    <dataValidation type="list" allowBlank="1" showErrorMessage="1" errorTitle="Nilai tidak valid" error="Pilih dari daftar yang tersedia." sqref="D136:D136">
      <formula1>MASTER!$H$2:$H$7</formula1>
    </dataValidation>
    <dataValidation type="list" allowBlank="1" showErrorMessage="1" errorTitle="Nilai tidak valid" error="Pilih dari daftar yang tersedia." sqref="D137:D137">
      <formula1>MASTER!$H$2:$H$7</formula1>
    </dataValidation>
    <dataValidation type="list" allowBlank="1" showErrorMessage="1" errorTitle="Nilai tidak valid" error="Pilih dari daftar yang tersedia." sqref="D138:D138">
      <formula1>MASTER!$H$2:$H$7</formula1>
    </dataValidation>
    <dataValidation type="list" allowBlank="1" showErrorMessage="1" errorTitle="Nilai tidak valid" error="Pilih dari daftar yang tersedia." sqref="D139:D139">
      <formula1>MASTER!$H$2:$H$7</formula1>
    </dataValidation>
    <dataValidation type="list" allowBlank="1" showErrorMessage="1" errorTitle="Nilai tidak valid" error="Pilih dari daftar yang tersedia." sqref="D13:D13">
      <formula1>MASTER!$H$2:$H$7</formula1>
    </dataValidation>
    <dataValidation type="list" allowBlank="1" showErrorMessage="1" errorTitle="Nilai tidak valid" error="Pilih dari daftar yang tersedia." sqref="D140:D140">
      <formula1>MASTER!$H$2:$H$7</formula1>
    </dataValidation>
    <dataValidation type="list" allowBlank="1" showErrorMessage="1" errorTitle="Nilai tidak valid" error="Pilih dari daftar yang tersedia." sqref="D141:D141">
      <formula1>MASTER!$H$2:$H$7</formula1>
    </dataValidation>
    <dataValidation type="list" allowBlank="1" showErrorMessage="1" errorTitle="Nilai tidak valid" error="Pilih dari daftar yang tersedia." sqref="D142:D142">
      <formula1>MASTER!$H$2:$H$7</formula1>
    </dataValidation>
    <dataValidation type="list" allowBlank="1" showErrorMessage="1" errorTitle="Nilai tidak valid" error="Pilih dari daftar yang tersedia." sqref="D143:D143">
      <formula1>MASTER!$H$2:$H$7</formula1>
    </dataValidation>
    <dataValidation type="list" allowBlank="1" showErrorMessage="1" errorTitle="Nilai tidak valid" error="Pilih dari daftar yang tersedia." sqref="D144:D144">
      <formula1>MASTER!$H$2:$H$7</formula1>
    </dataValidation>
    <dataValidation type="list" allowBlank="1" showErrorMessage="1" errorTitle="Nilai tidak valid" error="Pilih dari daftar yang tersedia." sqref="D145:D145">
      <formula1>MASTER!$H$2:$H$7</formula1>
    </dataValidation>
    <dataValidation type="list" allowBlank="1" showErrorMessage="1" errorTitle="Nilai tidak valid" error="Pilih dari daftar yang tersedia." sqref="D146:D146">
      <formula1>MASTER!$H$2:$H$7</formula1>
    </dataValidation>
    <dataValidation type="list" allowBlank="1" showErrorMessage="1" errorTitle="Nilai tidak valid" error="Pilih dari daftar yang tersedia." sqref="D147:D147">
      <formula1>MASTER!$H$2:$H$7</formula1>
    </dataValidation>
    <dataValidation type="list" allowBlank="1" showErrorMessage="1" errorTitle="Nilai tidak valid" error="Pilih dari daftar yang tersedia." sqref="D148:D148">
      <formula1>MASTER!$H$2:$H$7</formula1>
    </dataValidation>
    <dataValidation type="list" allowBlank="1" showErrorMessage="1" errorTitle="Nilai tidak valid" error="Pilih dari daftar yang tersedia." sqref="D149:D149">
      <formula1>MASTER!$H$2:$H$7</formula1>
    </dataValidation>
    <dataValidation type="list" allowBlank="1" showErrorMessage="1" errorTitle="Nilai tidak valid" error="Pilih dari daftar yang tersedia." sqref="D14:D14">
      <formula1>MASTER!$H$2:$H$7</formula1>
    </dataValidation>
    <dataValidation type="list" allowBlank="1" showErrorMessage="1" errorTitle="Nilai tidak valid" error="Pilih dari daftar yang tersedia." sqref="D150:D150">
      <formula1>MASTER!$H$2:$H$7</formula1>
    </dataValidation>
    <dataValidation type="list" allowBlank="1" showErrorMessage="1" errorTitle="Nilai tidak valid" error="Pilih dari daftar yang tersedia." sqref="D151:D151">
      <formula1>MASTER!$H$2:$H$7</formula1>
    </dataValidation>
    <dataValidation type="list" allowBlank="1" showErrorMessage="1" errorTitle="Nilai tidak valid" error="Pilih dari daftar yang tersedia." sqref="D152:D152">
      <formula1>MASTER!$H$2:$H$7</formula1>
    </dataValidation>
    <dataValidation type="list" allowBlank="1" showErrorMessage="1" errorTitle="Nilai tidak valid" error="Pilih dari daftar yang tersedia." sqref="D153:D153">
      <formula1>MASTER!$H$2:$H$7</formula1>
    </dataValidation>
    <dataValidation type="list" allowBlank="1" showErrorMessage="1" errorTitle="Nilai tidak valid" error="Pilih dari daftar yang tersedia." sqref="D15:D15">
      <formula1>MASTER!$H$2:$H$7</formula1>
    </dataValidation>
    <dataValidation type="list" allowBlank="1" showErrorMessage="1" errorTitle="Nilai tidak valid" error="Pilih dari daftar yang tersedia." sqref="D16:D16">
      <formula1>MASTER!$H$2:$H$7</formula1>
    </dataValidation>
    <dataValidation type="list" allowBlank="1" showErrorMessage="1" errorTitle="Nilai tidak valid" error="Pilih dari daftar yang tersedia." sqref="D17:D17">
      <formula1>MASTER!$H$2:$H$7</formula1>
    </dataValidation>
    <dataValidation type="list" allowBlank="1" showErrorMessage="1" errorTitle="Nilai tidak valid" error="Pilih dari daftar yang tersedia." sqref="D18:D18">
      <formula1>MASTER!$H$2:$H$7</formula1>
    </dataValidation>
    <dataValidation type="list" allowBlank="1" showErrorMessage="1" errorTitle="Nilai tidak valid" error="Pilih dari daftar yang tersedia." sqref="D19:D19">
      <formula1>MASTER!$H$2:$H$7</formula1>
    </dataValidation>
    <dataValidation type="list" allowBlank="1" showErrorMessage="1" errorTitle="Nilai tidak valid" error="Pilih dari daftar yang tersedia." sqref="D20:D20">
      <formula1>MASTER!$H$2:$H$7</formula1>
    </dataValidation>
    <dataValidation type="list" allowBlank="1" showErrorMessage="1" errorTitle="Nilai tidak valid" error="Pilih dari daftar yang tersedia." sqref="D21:D21">
      <formula1>MASTER!$H$2:$H$7</formula1>
    </dataValidation>
    <dataValidation type="list" allowBlank="1" showErrorMessage="1" errorTitle="Nilai tidak valid" error="Pilih dari daftar yang tersedia." sqref="D22:D22">
      <formula1>MASTER!$H$2:$H$7</formula1>
    </dataValidation>
    <dataValidation type="list" allowBlank="1" showErrorMessage="1" errorTitle="Nilai tidak valid" error="Pilih dari daftar yang tersedia." sqref="D23:D23">
      <formula1>MASTER!$H$2:$H$7</formula1>
    </dataValidation>
    <dataValidation type="list" allowBlank="1" showErrorMessage="1" errorTitle="Nilai tidak valid" error="Pilih dari daftar yang tersedia." sqref="D24:D24">
      <formula1>MASTER!$H$2:$H$7</formula1>
    </dataValidation>
    <dataValidation type="list" allowBlank="1" showErrorMessage="1" errorTitle="Nilai tidak valid" error="Pilih dari daftar yang tersedia." sqref="D25:D25">
      <formula1>MASTER!$H$2:$H$7</formula1>
    </dataValidation>
    <dataValidation type="list" allowBlank="1" showErrorMessage="1" errorTitle="Nilai tidak valid" error="Pilih dari daftar yang tersedia." sqref="D26:D26">
      <formula1>MASTER!$H$2:$H$7</formula1>
    </dataValidation>
    <dataValidation type="list" allowBlank="1" showErrorMessage="1" errorTitle="Nilai tidak valid" error="Pilih dari daftar yang tersedia." sqref="D27:D27">
      <formula1>MASTER!$H$2:$H$7</formula1>
    </dataValidation>
    <dataValidation type="list" allowBlank="1" showErrorMessage="1" errorTitle="Nilai tidak valid" error="Pilih dari daftar yang tersedia." sqref="D28:D28">
      <formula1>MASTER!$H$2:$H$7</formula1>
    </dataValidation>
    <dataValidation type="list" allowBlank="1" showErrorMessage="1" errorTitle="Nilai tidak valid" error="Pilih dari daftar yang tersedia." sqref="D29:D29">
      <formula1>MASTER!$H$2:$H$7</formula1>
    </dataValidation>
    <dataValidation type="list" allowBlank="1" showErrorMessage="1" errorTitle="Nilai tidak valid" error="Pilih dari daftar yang tersedia." sqref="D30:D30">
      <formula1>MASTER!$H$2:$H$7</formula1>
    </dataValidation>
    <dataValidation type="list" allowBlank="1" showErrorMessage="1" errorTitle="Nilai tidak valid" error="Pilih dari daftar yang tersedia." sqref="D31:D31">
      <formula1>MASTER!$H$2:$H$7</formula1>
    </dataValidation>
    <dataValidation type="list" allowBlank="1" showErrorMessage="1" errorTitle="Nilai tidak valid" error="Pilih dari daftar yang tersedia." sqref="D32:D32">
      <formula1>MASTER!$H$2:$H$7</formula1>
    </dataValidation>
    <dataValidation type="list" allowBlank="1" showErrorMessage="1" errorTitle="Nilai tidak valid" error="Pilih dari daftar yang tersedia." sqref="D33:D33">
      <formula1>MASTER!$H$2:$H$7</formula1>
    </dataValidation>
    <dataValidation type="list" allowBlank="1" showErrorMessage="1" errorTitle="Nilai tidak valid" error="Pilih dari daftar yang tersedia." sqref="D34:D34">
      <formula1>MASTER!$H$2:$H$7</formula1>
    </dataValidation>
    <dataValidation type="list" allowBlank="1" showErrorMessage="1" errorTitle="Nilai tidak valid" error="Pilih dari daftar yang tersedia." sqref="D35:D35">
      <formula1>MASTER!$H$2:$H$7</formula1>
    </dataValidation>
    <dataValidation type="list" allowBlank="1" showErrorMessage="1" errorTitle="Nilai tidak valid" error="Pilih dari daftar yang tersedia." sqref="D36:D36">
      <formula1>MASTER!$H$2:$H$7</formula1>
    </dataValidation>
    <dataValidation type="list" allowBlank="1" showErrorMessage="1" errorTitle="Nilai tidak valid" error="Pilih dari daftar yang tersedia." sqref="D37:D37">
      <formula1>MASTER!$H$2:$H$7</formula1>
    </dataValidation>
    <dataValidation type="list" allowBlank="1" showErrorMessage="1" errorTitle="Nilai tidak valid" error="Pilih dari daftar yang tersedia." sqref="D38:D38">
      <formula1>MASTER!$H$2:$H$7</formula1>
    </dataValidation>
    <dataValidation type="list" allowBlank="1" showErrorMessage="1" errorTitle="Nilai tidak valid" error="Pilih dari daftar yang tersedia." sqref="D39:D39">
      <formula1>MASTER!$H$2:$H$7</formula1>
    </dataValidation>
    <dataValidation type="list" allowBlank="1" showErrorMessage="1" errorTitle="Nilai tidak valid" error="Pilih dari daftar yang tersedia." sqref="D40:D40">
      <formula1>MASTER!$H$2:$H$7</formula1>
    </dataValidation>
    <dataValidation type="list" allowBlank="1" showErrorMessage="1" errorTitle="Nilai tidak valid" error="Pilih dari daftar yang tersedia." sqref="D41:D41">
      <formula1>MASTER!$H$2:$H$7</formula1>
    </dataValidation>
    <dataValidation type="list" allowBlank="1" showErrorMessage="1" errorTitle="Nilai tidak valid" error="Pilih dari daftar yang tersedia." sqref="D42:D42">
      <formula1>MASTER!$H$2:$H$7</formula1>
    </dataValidation>
    <dataValidation type="list" allowBlank="1" showErrorMessage="1" errorTitle="Nilai tidak valid" error="Pilih dari daftar yang tersedia." sqref="D43:D43">
      <formula1>MASTER!$H$2:$H$7</formula1>
    </dataValidation>
    <dataValidation type="list" allowBlank="1" showErrorMessage="1" errorTitle="Nilai tidak valid" error="Pilih dari daftar yang tersedia." sqref="D44:D44">
      <formula1>MASTER!$H$2:$H$7</formula1>
    </dataValidation>
    <dataValidation type="list" allowBlank="1" showErrorMessage="1" errorTitle="Nilai tidak valid" error="Pilih dari daftar yang tersedia." sqref="D45:D45">
      <formula1>MASTER!$H$2:$H$7</formula1>
    </dataValidation>
    <dataValidation type="list" allowBlank="1" showErrorMessage="1" errorTitle="Nilai tidak valid" error="Pilih dari daftar yang tersedia." sqref="D46:D46">
      <formula1>MASTER!$H$2:$H$7</formula1>
    </dataValidation>
    <dataValidation type="list" allowBlank="1" showErrorMessage="1" errorTitle="Nilai tidak valid" error="Pilih dari daftar yang tersedia." sqref="D47:D47">
      <formula1>MASTER!$H$2:$H$7</formula1>
    </dataValidation>
    <dataValidation type="list" allowBlank="1" showErrorMessage="1" errorTitle="Nilai tidak valid" error="Pilih dari daftar yang tersedia." sqref="D48:D48">
      <formula1>MASTER!$H$2:$H$7</formula1>
    </dataValidation>
    <dataValidation type="list" allowBlank="1" showErrorMessage="1" errorTitle="Nilai tidak valid" error="Pilih dari daftar yang tersedia." sqref="D49:D49">
      <formula1>MASTER!$H$2:$H$7</formula1>
    </dataValidation>
    <dataValidation type="list" allowBlank="1" showErrorMessage="1" errorTitle="Nilai tidak valid" error="Pilih dari daftar yang tersedia." sqref="D4:D4">
      <formula1>MASTER!$H$2:$H$7</formula1>
    </dataValidation>
    <dataValidation type="list" allowBlank="1" showErrorMessage="1" errorTitle="Nilai tidak valid" error="Pilih dari daftar yang tersedia." sqref="D50:D50">
      <formula1>MASTER!$H$2:$H$7</formula1>
    </dataValidation>
    <dataValidation type="list" allowBlank="1" showErrorMessage="1" errorTitle="Nilai tidak valid" error="Pilih dari daftar yang tersedia." sqref="D51:D51">
      <formula1>MASTER!$H$2:$H$7</formula1>
    </dataValidation>
    <dataValidation type="list" allowBlank="1" showErrorMessage="1" errorTitle="Nilai tidak valid" error="Pilih dari daftar yang tersedia." sqref="D52:D52">
      <formula1>MASTER!$H$2:$H$7</formula1>
    </dataValidation>
    <dataValidation type="list" allowBlank="1" showErrorMessage="1" errorTitle="Nilai tidak valid" error="Pilih dari daftar yang tersedia." sqref="D53:D53">
      <formula1>MASTER!$H$2:$H$7</formula1>
    </dataValidation>
    <dataValidation type="list" allowBlank="1" showErrorMessage="1" errorTitle="Nilai tidak valid" error="Pilih dari daftar yang tersedia." sqref="D54:D54">
      <formula1>MASTER!$H$2:$H$7</formula1>
    </dataValidation>
    <dataValidation type="list" allowBlank="1" showErrorMessage="1" errorTitle="Nilai tidak valid" error="Pilih dari daftar yang tersedia." sqref="D55:D55">
      <formula1>MASTER!$H$2:$H$7</formula1>
    </dataValidation>
    <dataValidation type="list" allowBlank="1" showErrorMessage="1" errorTitle="Nilai tidak valid" error="Pilih dari daftar yang tersedia." sqref="D56:D56">
      <formula1>MASTER!$H$2:$H$7</formula1>
    </dataValidation>
    <dataValidation type="list" allowBlank="1" showErrorMessage="1" errorTitle="Nilai tidak valid" error="Pilih dari daftar yang tersedia." sqref="D57:D57">
      <formula1>MASTER!$H$2:$H$7</formula1>
    </dataValidation>
    <dataValidation type="list" allowBlank="1" showErrorMessage="1" errorTitle="Nilai tidak valid" error="Pilih dari daftar yang tersedia." sqref="D58:D58">
      <formula1>MASTER!$H$2:$H$7</formula1>
    </dataValidation>
    <dataValidation type="list" allowBlank="1" showErrorMessage="1" errorTitle="Nilai tidak valid" error="Pilih dari daftar yang tersedia." sqref="D59:D59">
      <formula1>MASTER!$H$2:$H$7</formula1>
    </dataValidation>
    <dataValidation type="list" allowBlank="1" showErrorMessage="1" errorTitle="Nilai tidak valid" error="Pilih dari daftar yang tersedia." sqref="D5:D5">
      <formula1>MASTER!$H$2:$H$7</formula1>
    </dataValidation>
    <dataValidation type="list" allowBlank="1" showErrorMessage="1" errorTitle="Nilai tidak valid" error="Pilih dari daftar yang tersedia." sqref="D60:D60">
      <formula1>MASTER!$H$2:$H$7</formula1>
    </dataValidation>
    <dataValidation type="list" allowBlank="1" showErrorMessage="1" errorTitle="Nilai tidak valid" error="Pilih dari daftar yang tersedia." sqref="D61:D61">
      <formula1>MASTER!$H$2:$H$7</formula1>
    </dataValidation>
    <dataValidation type="list" allowBlank="1" showErrorMessage="1" errorTitle="Nilai tidak valid" error="Pilih dari daftar yang tersedia." sqref="D62:D62">
      <formula1>MASTER!$H$2:$H$7</formula1>
    </dataValidation>
    <dataValidation type="list" allowBlank="1" showErrorMessage="1" errorTitle="Nilai tidak valid" error="Pilih dari daftar yang tersedia." sqref="D63:D63">
      <formula1>MASTER!$H$2:$H$7</formula1>
    </dataValidation>
    <dataValidation type="list" allowBlank="1" showErrorMessage="1" errorTitle="Nilai tidak valid" error="Pilih dari daftar yang tersedia." sqref="D64:D64">
      <formula1>MASTER!$H$2:$H$7</formula1>
    </dataValidation>
    <dataValidation type="list" allowBlank="1" showErrorMessage="1" errorTitle="Nilai tidak valid" error="Pilih dari daftar yang tersedia." sqref="D65:D65">
      <formula1>MASTER!$H$2:$H$7</formula1>
    </dataValidation>
    <dataValidation type="list" allowBlank="1" showErrorMessage="1" errorTitle="Nilai tidak valid" error="Pilih dari daftar yang tersedia." sqref="D66:D66">
      <formula1>MASTER!$H$2:$H$7</formula1>
    </dataValidation>
    <dataValidation type="list" allowBlank="1" showErrorMessage="1" errorTitle="Nilai tidak valid" error="Pilih dari daftar yang tersedia." sqref="D67:D67">
      <formula1>MASTER!$H$2:$H$7</formula1>
    </dataValidation>
    <dataValidation type="list" allowBlank="1" showErrorMessage="1" errorTitle="Nilai tidak valid" error="Pilih dari daftar yang tersedia." sqref="D68:D68">
      <formula1>MASTER!$H$2:$H$7</formula1>
    </dataValidation>
    <dataValidation type="list" allowBlank="1" showErrorMessage="1" errorTitle="Nilai tidak valid" error="Pilih dari daftar yang tersedia." sqref="D69:D69">
      <formula1>MASTER!$H$2:$H$7</formula1>
    </dataValidation>
    <dataValidation type="list" allowBlank="1" showErrorMessage="1" errorTitle="Nilai tidak valid" error="Pilih dari daftar yang tersedia." sqref="D6:D6">
      <formula1>MASTER!$H$2:$H$7</formula1>
    </dataValidation>
    <dataValidation type="list" allowBlank="1" showErrorMessage="1" errorTitle="Nilai tidak valid" error="Pilih dari daftar yang tersedia." sqref="D70:D70">
      <formula1>MASTER!$H$2:$H$7</formula1>
    </dataValidation>
    <dataValidation type="list" allowBlank="1" showErrorMessage="1" errorTitle="Nilai tidak valid" error="Pilih dari daftar yang tersedia." sqref="D71:D71">
      <formula1>MASTER!$H$2:$H$7</formula1>
    </dataValidation>
    <dataValidation type="list" allowBlank="1" showErrorMessage="1" errorTitle="Nilai tidak valid" error="Pilih dari daftar yang tersedia." sqref="D72:D72">
      <formula1>MASTER!$H$2:$H$7</formula1>
    </dataValidation>
    <dataValidation type="list" allowBlank="1" showErrorMessage="1" errorTitle="Nilai tidak valid" error="Pilih dari daftar yang tersedia." sqref="D73:D73">
      <formula1>MASTER!$H$2:$H$7</formula1>
    </dataValidation>
    <dataValidation type="list" allowBlank="1" showErrorMessage="1" errorTitle="Nilai tidak valid" error="Pilih dari daftar yang tersedia." sqref="D74:D74">
      <formula1>MASTER!$H$2:$H$7</formula1>
    </dataValidation>
    <dataValidation type="list" allowBlank="1" showErrorMessage="1" errorTitle="Nilai tidak valid" error="Pilih dari daftar yang tersedia." sqref="D75:D75">
      <formula1>MASTER!$H$2:$H$7</formula1>
    </dataValidation>
    <dataValidation type="list" allowBlank="1" showErrorMessage="1" errorTitle="Nilai tidak valid" error="Pilih dari daftar yang tersedia." sqref="D76:D76">
      <formula1>MASTER!$H$2:$H$7</formula1>
    </dataValidation>
    <dataValidation type="list" allowBlank="1" showErrorMessage="1" errorTitle="Nilai tidak valid" error="Pilih dari daftar yang tersedia." sqref="D77:D77">
      <formula1>MASTER!$H$2:$H$7</formula1>
    </dataValidation>
    <dataValidation type="list" allowBlank="1" showErrorMessage="1" errorTitle="Nilai tidak valid" error="Pilih dari daftar yang tersedia." sqref="D78:D78">
      <formula1>MASTER!$H$2:$H$7</formula1>
    </dataValidation>
    <dataValidation type="list" allowBlank="1" showErrorMessage="1" errorTitle="Nilai tidak valid" error="Pilih dari daftar yang tersedia." sqref="D79:D79">
      <formula1>MASTER!$H$2:$H$7</formula1>
    </dataValidation>
    <dataValidation type="list" allowBlank="1" showErrorMessage="1" errorTitle="Nilai tidak valid" error="Pilih dari daftar yang tersedia." sqref="D7:D7">
      <formula1>MASTER!$H$2:$H$7</formula1>
    </dataValidation>
    <dataValidation type="list" allowBlank="1" showErrorMessage="1" errorTitle="Nilai tidak valid" error="Pilih dari daftar yang tersedia." sqref="D80:D80">
      <formula1>MASTER!$H$2:$H$7</formula1>
    </dataValidation>
    <dataValidation type="list" allowBlank="1" showErrorMessage="1" errorTitle="Nilai tidak valid" error="Pilih dari daftar yang tersedia." sqref="D81:D81">
      <formula1>MASTER!$H$2:$H$7</formula1>
    </dataValidation>
    <dataValidation type="list" allowBlank="1" showErrorMessage="1" errorTitle="Nilai tidak valid" error="Pilih dari daftar yang tersedia." sqref="D82:D82">
      <formula1>MASTER!$H$2:$H$7</formula1>
    </dataValidation>
    <dataValidation type="list" allowBlank="1" showErrorMessage="1" errorTitle="Nilai tidak valid" error="Pilih dari daftar yang tersedia." sqref="D83:D83">
      <formula1>MASTER!$H$2:$H$7</formula1>
    </dataValidation>
    <dataValidation type="list" allowBlank="1" showErrorMessage="1" errorTitle="Nilai tidak valid" error="Pilih dari daftar yang tersedia." sqref="D84:D84">
      <formula1>MASTER!$H$2:$H$7</formula1>
    </dataValidation>
    <dataValidation type="list" allowBlank="1" showErrorMessage="1" errorTitle="Nilai tidak valid" error="Pilih dari daftar yang tersedia." sqref="D85:D85">
      <formula1>MASTER!$H$2:$H$7</formula1>
    </dataValidation>
    <dataValidation type="list" allowBlank="1" showErrorMessage="1" errorTitle="Nilai tidak valid" error="Pilih dari daftar yang tersedia." sqref="D86:D86">
      <formula1>MASTER!$H$2:$H$7</formula1>
    </dataValidation>
    <dataValidation type="list" allowBlank="1" showErrorMessage="1" errorTitle="Nilai tidak valid" error="Pilih dari daftar yang tersedia." sqref="D87:D87">
      <formula1>MASTER!$H$2:$H$7</formula1>
    </dataValidation>
    <dataValidation type="list" allowBlank="1" showErrorMessage="1" errorTitle="Nilai tidak valid" error="Pilih dari daftar yang tersedia." sqref="D88:D88">
      <formula1>MASTER!$H$2:$H$7</formula1>
    </dataValidation>
    <dataValidation type="list" allowBlank="1" showErrorMessage="1" errorTitle="Nilai tidak valid" error="Pilih dari daftar yang tersedia." sqref="D89:D89">
      <formula1>MASTER!$H$2:$H$7</formula1>
    </dataValidation>
    <dataValidation type="list" allowBlank="1" showErrorMessage="1" errorTitle="Nilai tidak valid" error="Pilih dari daftar yang tersedia." sqref="D8:D8">
      <formula1>MASTER!$H$2:$H$7</formula1>
    </dataValidation>
    <dataValidation type="list" allowBlank="1" showErrorMessage="1" errorTitle="Nilai tidak valid" error="Pilih dari daftar yang tersedia." sqref="D90:D90">
      <formula1>MASTER!$H$2:$H$7</formula1>
    </dataValidation>
    <dataValidation type="list" allowBlank="1" showErrorMessage="1" errorTitle="Nilai tidak valid" error="Pilih dari daftar yang tersedia." sqref="D91:D91">
      <formula1>MASTER!$H$2:$H$7</formula1>
    </dataValidation>
    <dataValidation type="list" allowBlank="1" showErrorMessage="1" errorTitle="Nilai tidak valid" error="Pilih dari daftar yang tersedia." sqref="D92:D92">
      <formula1>MASTER!$H$2:$H$7</formula1>
    </dataValidation>
    <dataValidation type="list" allowBlank="1" showErrorMessage="1" errorTitle="Nilai tidak valid" error="Pilih dari daftar yang tersedia." sqref="D93:D93">
      <formula1>MASTER!$H$2:$H$7</formula1>
    </dataValidation>
    <dataValidation type="list" allowBlank="1" showErrorMessage="1" errorTitle="Nilai tidak valid" error="Pilih dari daftar yang tersedia." sqref="D94:D94">
      <formula1>MASTER!$H$2:$H$7</formula1>
    </dataValidation>
    <dataValidation type="list" allowBlank="1" showErrorMessage="1" errorTitle="Nilai tidak valid" error="Pilih dari daftar yang tersedia." sqref="D95:D95">
      <formula1>MASTER!$H$2:$H$7</formula1>
    </dataValidation>
    <dataValidation type="list" allowBlank="1" showErrorMessage="1" errorTitle="Nilai tidak valid" error="Pilih dari daftar yang tersedia." sqref="D96:D96">
      <formula1>MASTER!$H$2:$H$7</formula1>
    </dataValidation>
    <dataValidation type="list" allowBlank="1" showErrorMessage="1" errorTitle="Nilai tidak valid" error="Pilih dari daftar yang tersedia." sqref="D97:D97">
      <formula1>MASTER!$H$2:$H$7</formula1>
    </dataValidation>
    <dataValidation type="list" allowBlank="1" showErrorMessage="1" errorTitle="Nilai tidak valid" error="Pilih dari daftar yang tersedia." sqref="D98:D98">
      <formula1>MASTER!$H$2:$H$7</formula1>
    </dataValidation>
    <dataValidation type="list" allowBlank="1" showErrorMessage="1" errorTitle="Nilai tidak valid" error="Pilih dari daftar yang tersedia." sqref="D99:D99">
      <formula1>MASTER!$H$2:$H$7</formula1>
    </dataValidation>
    <dataValidation type="list" allowBlank="1" showErrorMessage="1" errorTitle="Nilai tidak valid" error="Pilih dari daftar yang tersedia." sqref="D9:D9">
      <formula1>MASTER!$H$2:$H$7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36" customWidth="1"/>
    <col min="3" max="3" width="16" customWidth="1"/>
    <col min="4" max="5" width="14" customWidth="1"/>
    <col min="6" max="7" width="10" customWidth="1"/>
    <col min="8" max="9" width="14" customWidth="1"/>
    <col min="10" max="10" width="40" customWidth="1"/>
    <col min="11" max="11" width="14" customWidth="1"/>
    <col min="12" max="12" width="16" customWidth="1"/>
    <col min="13" max="14" width="14" customWidth="1"/>
    <col min="15" max="15" width="12" customWidth="1"/>
    <col min="16" max="16" width="10" customWidth="1"/>
    <col min="17" max="18" width="14" customWidth="1"/>
    <col min="19" max="19" width="12" customWidth="1"/>
    <col min="20" max="20" width="24" customWidth="1"/>
  </cols>
  <sheetData>
    <row r="1" ht="28" customHeight="1" spans="1:20" x14ac:dyDescent="0.25">
      <c r="A1" s="26" t="s">
        <v>305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ht="44" customHeight="1" spans="1:20" x14ac:dyDescent="0.25">
      <c r="A2" s="27" t="s">
        <v>306</v>
      </c>
      <c r="B2" s="27" t="s">
        <v>287</v>
      </c>
      <c r="C2" s="27" t="s">
        <v>307</v>
      </c>
      <c r="D2" s="27" t="s">
        <v>308</v>
      </c>
      <c r="E2" s="27" t="s">
        <v>309</v>
      </c>
      <c r="F2" s="27" t="s">
        <v>310</v>
      </c>
      <c r="G2" s="27" t="s">
        <v>311</v>
      </c>
      <c r="H2" s="27" t="s">
        <v>312</v>
      </c>
      <c r="I2" s="27" t="s">
        <v>313</v>
      </c>
      <c r="J2" s="27" t="s">
        <v>314</v>
      </c>
      <c r="K2" s="27" t="s">
        <v>315</v>
      </c>
      <c r="L2" s="27" t="s">
        <v>316</v>
      </c>
      <c r="M2" s="27" t="s">
        <v>317</v>
      </c>
      <c r="N2" s="27" t="s">
        <v>318</v>
      </c>
      <c r="O2" s="27" t="s">
        <v>319</v>
      </c>
      <c r="P2" s="27" t="s">
        <v>320</v>
      </c>
      <c r="Q2" s="27" t="s">
        <v>321</v>
      </c>
      <c r="R2" s="27" t="s">
        <v>322</v>
      </c>
      <c r="S2" s="27" t="s">
        <v>323</v>
      </c>
      <c r="T2" s="27" t="s">
        <v>291</v>
      </c>
    </row>
    <row r="3" ht="20" customHeight="1" spans="1:20" x14ac:dyDescent="0.25">
      <c r="A3" s="9"/>
      <c r="B3" s="13">
        <f>IFERROR(XLOOKUP(A3,IDENTIFIKASI!$B:$B,IDENTIFIKASI!$G:$G),"")</f>
      </c>
      <c r="C3" s="13">
        <f>IFERROR(XLOOKUP(A3,IDENTIFIKASI!$B:$B,IDENTIFIKASI!$H:$H),"")</f>
      </c>
      <c r="D3" s="9"/>
      <c r="E3" s="9"/>
      <c r="F3" s="13">
        <f>IF(AND(D3&lt;&gt;"",E3&lt;&gt;""),D3*E3,"")</f>
      </c>
      <c r="G3" s="13">
        <f>IF(F3="","",IFS(F3&gt;=20,5,F3&gt;=16,4,F3&gt;=11,3,F3&gt;=6,2,F3&gt;0,1,TRUE,""))</f>
      </c>
      <c r="H3" s="13">
        <f>IFERROR(INDEX({"","Sangat Rendah","Rendah","Sedang","Tinggi","Sangat Tinggi"},G3+1),"")</f>
      </c>
      <c r="I3" s="9"/>
      <c r="J3" s="9"/>
      <c r="K3" s="9"/>
      <c r="L3" s="9"/>
      <c r="M3" s="9"/>
      <c r="N3" s="9"/>
      <c r="O3" s="13">
        <f>IF(A3="","",IF(AND(M3&lt;&gt;"",N3&lt;&gt;""),M3*N3,IF(AND(D3&lt;&gt;"",E3&lt;&gt;""),D3*E3,"")))</f>
      </c>
      <c r="P3" s="13">
        <f>IF(O3="","",IFS(O3&gt;=20,5,O3&gt;=16,4,O3&gt;=11,3,O3&gt;=6,2,O3&gt;0,1,TRUE,""))</f>
      </c>
      <c r="Q3" s="13">
        <f>IFERROR(INDEX({"","Sangat Rendah","Rendah","Sedang","Tinggi","Sangat Tinggi"},P3+1),"")</f>
      </c>
      <c r="R3" s="13">
        <f>IFERROR(XLOOKUP(C3,SELERA_RISIKO!$C$5:$C$11,SELERA_RISIKO!$D$5:$D$11),"")</f>
      </c>
      <c r="S3" s="13">
        <f>IF(AND(P3&lt;&gt;"",R3&lt;&gt;""),IF(P3&gt;R3,"YA ⚠","tidak"),"")</f>
      </c>
      <c r="T3" s="9"/>
    </row>
    <row r="4" ht="20" customHeight="1" spans="1:20" x14ac:dyDescent="0.25">
      <c r="A4" s="9"/>
      <c r="B4" s="13">
        <f>IFERROR(XLOOKUP(A4,IDENTIFIKASI!$B:$B,IDENTIFIKASI!$G:$G),"")</f>
      </c>
      <c r="C4" s="13">
        <f>IFERROR(XLOOKUP(A4,IDENTIFIKASI!$B:$B,IDENTIFIKASI!$H:$H),"")</f>
      </c>
      <c r="D4" s="9"/>
      <c r="E4" s="9"/>
      <c r="F4" s="13">
        <f>IF(AND(D4&lt;&gt;"",E4&lt;&gt;""),D4*E4,"")</f>
      </c>
      <c r="G4" s="13">
        <f>IF(F4="","",IFS(F4&gt;=20,5,F4&gt;=16,4,F4&gt;=11,3,F4&gt;=6,2,F4&gt;0,1,TRUE,""))</f>
      </c>
      <c r="H4" s="13">
        <f>IFERROR(INDEX({"","Sangat Rendah","Rendah","Sedang","Tinggi","Sangat Tinggi"},G4+1),"")</f>
      </c>
      <c r="I4" s="9"/>
      <c r="J4" s="9"/>
      <c r="K4" s="9"/>
      <c r="L4" s="9"/>
      <c r="M4" s="9"/>
      <c r="N4" s="9"/>
      <c r="O4" s="13">
        <f>IF(A4="","",IF(AND(M4&lt;&gt;"",N4&lt;&gt;""),M4*N4,IF(AND(D4&lt;&gt;"",E4&lt;&gt;""),D4*E4,"")))</f>
      </c>
      <c r="P4" s="13">
        <f>IF(O4="","",IFS(O4&gt;=20,5,O4&gt;=16,4,O4&gt;=11,3,O4&gt;=6,2,O4&gt;0,1,TRUE,""))</f>
      </c>
      <c r="Q4" s="13">
        <f>IFERROR(INDEX({"","Sangat Rendah","Rendah","Sedang","Tinggi","Sangat Tinggi"},P4+1),"")</f>
      </c>
      <c r="R4" s="13">
        <f>IFERROR(XLOOKUP(C4,SELERA_RISIKO!$C$5:$C$11,SELERA_RISIKO!$D$5:$D$11),"")</f>
      </c>
      <c r="S4" s="13">
        <f>IF(AND(P4&lt;&gt;"",R4&lt;&gt;""),IF(P4&gt;R4,"YA ⚠","tidak"),"")</f>
      </c>
      <c r="T4" s="9"/>
    </row>
    <row r="5" ht="20" customHeight="1" spans="1:20" x14ac:dyDescent="0.25">
      <c r="A5" s="9"/>
      <c r="B5" s="13">
        <f>IFERROR(XLOOKUP(A5,IDENTIFIKASI!$B:$B,IDENTIFIKASI!$G:$G),"")</f>
      </c>
      <c r="C5" s="13">
        <f>IFERROR(XLOOKUP(A5,IDENTIFIKASI!$B:$B,IDENTIFIKASI!$H:$H),"")</f>
      </c>
      <c r="D5" s="9"/>
      <c r="E5" s="9"/>
      <c r="F5" s="13">
        <f>IF(AND(D5&lt;&gt;"",E5&lt;&gt;""),D5*E5,"")</f>
      </c>
      <c r="G5" s="13">
        <f>IF(F5="","",IFS(F5&gt;=20,5,F5&gt;=16,4,F5&gt;=11,3,F5&gt;=6,2,F5&gt;0,1,TRUE,""))</f>
      </c>
      <c r="H5" s="13">
        <f>IFERROR(INDEX({"","Sangat Rendah","Rendah","Sedang","Tinggi","Sangat Tinggi"},G5+1),"")</f>
      </c>
      <c r="I5" s="9"/>
      <c r="J5" s="9"/>
      <c r="K5" s="9"/>
      <c r="L5" s="9"/>
      <c r="M5" s="9"/>
      <c r="N5" s="9"/>
      <c r="O5" s="13">
        <f>IF(A5="","",IF(AND(M5&lt;&gt;"",N5&lt;&gt;""),M5*N5,IF(AND(D5&lt;&gt;"",E5&lt;&gt;""),D5*E5,"")))</f>
      </c>
      <c r="P5" s="13">
        <f>IF(O5="","",IFS(O5&gt;=20,5,O5&gt;=16,4,O5&gt;=11,3,O5&gt;=6,2,O5&gt;0,1,TRUE,""))</f>
      </c>
      <c r="Q5" s="13">
        <f>IFERROR(INDEX({"","Sangat Rendah","Rendah","Sedang","Tinggi","Sangat Tinggi"},P5+1),"")</f>
      </c>
      <c r="R5" s="13">
        <f>IFERROR(XLOOKUP(C5,SELERA_RISIKO!$C$5:$C$11,SELERA_RISIKO!$D$5:$D$11),"")</f>
      </c>
      <c r="S5" s="13">
        <f>IF(AND(P5&lt;&gt;"",R5&lt;&gt;""),IF(P5&gt;R5,"YA ⚠","tidak"),"")</f>
      </c>
      <c r="T5" s="9"/>
    </row>
    <row r="6" ht="20" customHeight="1" spans="1:20" x14ac:dyDescent="0.25">
      <c r="A6" s="9"/>
      <c r="B6" s="13">
        <f>IFERROR(XLOOKUP(A6,IDENTIFIKASI!$B:$B,IDENTIFIKASI!$G:$G),"")</f>
      </c>
      <c r="C6" s="13">
        <f>IFERROR(XLOOKUP(A6,IDENTIFIKASI!$B:$B,IDENTIFIKASI!$H:$H),"")</f>
      </c>
      <c r="D6" s="9"/>
      <c r="E6" s="9"/>
      <c r="F6" s="13">
        <f>IF(AND(D6&lt;&gt;"",E6&lt;&gt;""),D6*E6,"")</f>
      </c>
      <c r="G6" s="13">
        <f>IF(F6="","",IFS(F6&gt;=20,5,F6&gt;=16,4,F6&gt;=11,3,F6&gt;=6,2,F6&gt;0,1,TRUE,""))</f>
      </c>
      <c r="H6" s="13">
        <f>IFERROR(INDEX({"","Sangat Rendah","Rendah","Sedang","Tinggi","Sangat Tinggi"},G6+1),"")</f>
      </c>
      <c r="I6" s="9"/>
      <c r="J6" s="9"/>
      <c r="K6" s="9"/>
      <c r="L6" s="9"/>
      <c r="M6" s="9"/>
      <c r="N6" s="9"/>
      <c r="O6" s="13">
        <f>IF(A6="","",IF(AND(M6&lt;&gt;"",N6&lt;&gt;""),M6*N6,IF(AND(D6&lt;&gt;"",E6&lt;&gt;""),D6*E6,"")))</f>
      </c>
      <c r="P6" s="13">
        <f>IF(O6="","",IFS(O6&gt;=20,5,O6&gt;=16,4,O6&gt;=11,3,O6&gt;=6,2,O6&gt;0,1,TRUE,""))</f>
      </c>
      <c r="Q6" s="13">
        <f>IFERROR(INDEX({"","Sangat Rendah","Rendah","Sedang","Tinggi","Sangat Tinggi"},P6+1),"")</f>
      </c>
      <c r="R6" s="13">
        <f>IFERROR(XLOOKUP(C6,SELERA_RISIKO!$C$5:$C$11,SELERA_RISIKO!$D$5:$D$11),"")</f>
      </c>
      <c r="S6" s="13">
        <f>IF(AND(P6&lt;&gt;"",R6&lt;&gt;""),IF(P6&gt;R6,"YA ⚠","tidak"),"")</f>
      </c>
      <c r="T6" s="9"/>
    </row>
    <row r="7" ht="20" customHeight="1" spans="1:20" x14ac:dyDescent="0.25">
      <c r="A7" s="9"/>
      <c r="B7" s="13">
        <f>IFERROR(XLOOKUP(A7,IDENTIFIKASI!$B:$B,IDENTIFIKASI!$G:$G),"")</f>
      </c>
      <c r="C7" s="13">
        <f>IFERROR(XLOOKUP(A7,IDENTIFIKASI!$B:$B,IDENTIFIKASI!$H:$H),"")</f>
      </c>
      <c r="D7" s="9"/>
      <c r="E7" s="9"/>
      <c r="F7" s="13">
        <f>IF(AND(D7&lt;&gt;"",E7&lt;&gt;""),D7*E7,"")</f>
      </c>
      <c r="G7" s="13">
        <f>IF(F7="","",IFS(F7&gt;=20,5,F7&gt;=16,4,F7&gt;=11,3,F7&gt;=6,2,F7&gt;0,1,TRUE,""))</f>
      </c>
      <c r="H7" s="13">
        <f>IFERROR(INDEX({"","Sangat Rendah","Rendah","Sedang","Tinggi","Sangat Tinggi"},G7+1),"")</f>
      </c>
      <c r="I7" s="9"/>
      <c r="J7" s="9"/>
      <c r="K7" s="9"/>
      <c r="L7" s="9"/>
      <c r="M7" s="9"/>
      <c r="N7" s="9"/>
      <c r="O7" s="13">
        <f>IF(A7="","",IF(AND(M7&lt;&gt;"",N7&lt;&gt;""),M7*N7,IF(AND(D7&lt;&gt;"",E7&lt;&gt;""),D7*E7,"")))</f>
      </c>
      <c r="P7" s="13">
        <f>IF(O7="","",IFS(O7&gt;=20,5,O7&gt;=16,4,O7&gt;=11,3,O7&gt;=6,2,O7&gt;0,1,TRUE,""))</f>
      </c>
      <c r="Q7" s="13">
        <f>IFERROR(INDEX({"","Sangat Rendah","Rendah","Sedang","Tinggi","Sangat Tinggi"},P7+1),"")</f>
      </c>
      <c r="R7" s="13">
        <f>IFERROR(XLOOKUP(C7,SELERA_RISIKO!$C$5:$C$11,SELERA_RISIKO!$D$5:$D$11),"")</f>
      </c>
      <c r="S7" s="13">
        <f>IF(AND(P7&lt;&gt;"",R7&lt;&gt;""),IF(P7&gt;R7,"YA ⚠","tidak"),"")</f>
      </c>
      <c r="T7" s="9"/>
    </row>
    <row r="8" ht="20" customHeight="1" spans="1:20" x14ac:dyDescent="0.25">
      <c r="A8" s="9"/>
      <c r="B8" s="13">
        <f>IFERROR(XLOOKUP(A8,IDENTIFIKASI!$B:$B,IDENTIFIKASI!$G:$G),"")</f>
      </c>
      <c r="C8" s="13">
        <f>IFERROR(XLOOKUP(A8,IDENTIFIKASI!$B:$B,IDENTIFIKASI!$H:$H),"")</f>
      </c>
      <c r="D8" s="9"/>
      <c r="E8" s="9"/>
      <c r="F8" s="13">
        <f>IF(AND(D8&lt;&gt;"",E8&lt;&gt;""),D8*E8,"")</f>
      </c>
      <c r="G8" s="13">
        <f>IF(F8="","",IFS(F8&gt;=20,5,F8&gt;=16,4,F8&gt;=11,3,F8&gt;=6,2,F8&gt;0,1,TRUE,""))</f>
      </c>
      <c r="H8" s="13">
        <f>IFERROR(INDEX({"","Sangat Rendah","Rendah","Sedang","Tinggi","Sangat Tinggi"},G8+1),"")</f>
      </c>
      <c r="I8" s="9"/>
      <c r="J8" s="9"/>
      <c r="K8" s="9"/>
      <c r="L8" s="9"/>
      <c r="M8" s="9"/>
      <c r="N8" s="9"/>
      <c r="O8" s="13">
        <f>IF(A8="","",IF(AND(M8&lt;&gt;"",N8&lt;&gt;""),M8*N8,IF(AND(D8&lt;&gt;"",E8&lt;&gt;""),D8*E8,"")))</f>
      </c>
      <c r="P8" s="13">
        <f>IF(O8="","",IFS(O8&gt;=20,5,O8&gt;=16,4,O8&gt;=11,3,O8&gt;=6,2,O8&gt;0,1,TRUE,""))</f>
      </c>
      <c r="Q8" s="13">
        <f>IFERROR(INDEX({"","Sangat Rendah","Rendah","Sedang","Tinggi","Sangat Tinggi"},P8+1),"")</f>
      </c>
      <c r="R8" s="13">
        <f>IFERROR(XLOOKUP(C8,SELERA_RISIKO!$C$5:$C$11,SELERA_RISIKO!$D$5:$D$11),"")</f>
      </c>
      <c r="S8" s="13">
        <f>IF(AND(P8&lt;&gt;"",R8&lt;&gt;""),IF(P8&gt;R8,"YA ⚠","tidak"),"")</f>
      </c>
      <c r="T8" s="9"/>
    </row>
    <row r="9" ht="20" customHeight="1" spans="1:20" x14ac:dyDescent="0.25">
      <c r="A9" s="9"/>
      <c r="B9" s="13">
        <f>IFERROR(XLOOKUP(A9,IDENTIFIKASI!$B:$B,IDENTIFIKASI!$G:$G),"")</f>
      </c>
      <c r="C9" s="13">
        <f>IFERROR(XLOOKUP(A9,IDENTIFIKASI!$B:$B,IDENTIFIKASI!$H:$H),"")</f>
      </c>
      <c r="D9" s="9"/>
      <c r="E9" s="9"/>
      <c r="F9" s="13">
        <f>IF(AND(D9&lt;&gt;"",E9&lt;&gt;""),D9*E9,"")</f>
      </c>
      <c r="G9" s="13">
        <f>IF(F9="","",IFS(F9&gt;=20,5,F9&gt;=16,4,F9&gt;=11,3,F9&gt;=6,2,F9&gt;0,1,TRUE,""))</f>
      </c>
      <c r="H9" s="13">
        <f>IFERROR(INDEX({"","Sangat Rendah","Rendah","Sedang","Tinggi","Sangat Tinggi"},G9+1),"")</f>
      </c>
      <c r="I9" s="9"/>
      <c r="J9" s="9"/>
      <c r="K9" s="9"/>
      <c r="L9" s="9"/>
      <c r="M9" s="9"/>
      <c r="N9" s="9"/>
      <c r="O9" s="13">
        <f>IF(A9="","",IF(AND(M9&lt;&gt;"",N9&lt;&gt;""),M9*N9,IF(AND(D9&lt;&gt;"",E9&lt;&gt;""),D9*E9,"")))</f>
      </c>
      <c r="P9" s="13">
        <f>IF(O9="","",IFS(O9&gt;=20,5,O9&gt;=16,4,O9&gt;=11,3,O9&gt;=6,2,O9&gt;0,1,TRUE,""))</f>
      </c>
      <c r="Q9" s="13">
        <f>IFERROR(INDEX({"","Sangat Rendah","Rendah","Sedang","Tinggi","Sangat Tinggi"},P9+1),"")</f>
      </c>
      <c r="R9" s="13">
        <f>IFERROR(XLOOKUP(C9,SELERA_RISIKO!$C$5:$C$11,SELERA_RISIKO!$D$5:$D$11),"")</f>
      </c>
      <c r="S9" s="13">
        <f>IF(AND(P9&lt;&gt;"",R9&lt;&gt;""),IF(P9&gt;R9,"YA ⚠","tidak"),"")</f>
      </c>
      <c r="T9" s="9"/>
    </row>
    <row r="10" ht="20" customHeight="1" spans="1:20" x14ac:dyDescent="0.25">
      <c r="A10" s="9"/>
      <c r="B10" s="13">
        <f>IFERROR(XLOOKUP(A10,IDENTIFIKASI!$B:$B,IDENTIFIKASI!$G:$G),"")</f>
      </c>
      <c r="C10" s="13">
        <f>IFERROR(XLOOKUP(A10,IDENTIFIKASI!$B:$B,IDENTIFIKASI!$H:$H),"")</f>
      </c>
      <c r="D10" s="9"/>
      <c r="E10" s="9"/>
      <c r="F10" s="13">
        <f>IF(AND(D10&lt;&gt;"",E10&lt;&gt;""),D10*E10,"")</f>
      </c>
      <c r="G10" s="13">
        <f>IF(F10="","",IFS(F10&gt;=20,5,F10&gt;=16,4,F10&gt;=11,3,F10&gt;=6,2,F10&gt;0,1,TRUE,""))</f>
      </c>
      <c r="H10" s="13">
        <f>IFERROR(INDEX({"","Sangat Rendah","Rendah","Sedang","Tinggi","Sangat Tinggi"},G10+1),"")</f>
      </c>
      <c r="I10" s="9"/>
      <c r="J10" s="9"/>
      <c r="K10" s="9"/>
      <c r="L10" s="9"/>
      <c r="M10" s="9"/>
      <c r="N10" s="9"/>
      <c r="O10" s="13">
        <f>IF(A10="","",IF(AND(M10&lt;&gt;"",N10&lt;&gt;""),M10*N10,IF(AND(D10&lt;&gt;"",E10&lt;&gt;""),D10*E10,"")))</f>
      </c>
      <c r="P10" s="13">
        <f>IF(O10="","",IFS(O10&gt;=20,5,O10&gt;=16,4,O10&gt;=11,3,O10&gt;=6,2,O10&gt;0,1,TRUE,""))</f>
      </c>
      <c r="Q10" s="13">
        <f>IFERROR(INDEX({"","Sangat Rendah","Rendah","Sedang","Tinggi","Sangat Tinggi"},P10+1),"")</f>
      </c>
      <c r="R10" s="13">
        <f>IFERROR(XLOOKUP(C10,SELERA_RISIKO!$C$5:$C$11,SELERA_RISIKO!$D$5:$D$11),"")</f>
      </c>
      <c r="S10" s="13">
        <f>IF(AND(P10&lt;&gt;"",R10&lt;&gt;""),IF(P10&gt;R10,"YA ⚠","tidak"),"")</f>
      </c>
      <c r="T10" s="9"/>
    </row>
    <row r="11" ht="20" customHeight="1" spans="1:20" x14ac:dyDescent="0.25">
      <c r="A11" s="9"/>
      <c r="B11" s="13">
        <f>IFERROR(XLOOKUP(A11,IDENTIFIKASI!$B:$B,IDENTIFIKASI!$G:$G),"")</f>
      </c>
      <c r="C11" s="13">
        <f>IFERROR(XLOOKUP(A11,IDENTIFIKASI!$B:$B,IDENTIFIKASI!$H:$H),"")</f>
      </c>
      <c r="D11" s="9"/>
      <c r="E11" s="9"/>
      <c r="F11" s="13">
        <f>IF(AND(D11&lt;&gt;"",E11&lt;&gt;""),D11*E11,"")</f>
      </c>
      <c r="G11" s="13">
        <f>IF(F11="","",IFS(F11&gt;=20,5,F11&gt;=16,4,F11&gt;=11,3,F11&gt;=6,2,F11&gt;0,1,TRUE,""))</f>
      </c>
      <c r="H11" s="13">
        <f>IFERROR(INDEX({"","Sangat Rendah","Rendah","Sedang","Tinggi","Sangat Tinggi"},G11+1),"")</f>
      </c>
      <c r="I11" s="9"/>
      <c r="J11" s="9"/>
      <c r="K11" s="9"/>
      <c r="L11" s="9"/>
      <c r="M11" s="9"/>
      <c r="N11" s="9"/>
      <c r="O11" s="13">
        <f>IF(A11="","",IF(AND(M11&lt;&gt;"",N11&lt;&gt;""),M11*N11,IF(AND(D11&lt;&gt;"",E11&lt;&gt;""),D11*E11,"")))</f>
      </c>
      <c r="P11" s="13">
        <f>IF(O11="","",IFS(O11&gt;=20,5,O11&gt;=16,4,O11&gt;=11,3,O11&gt;=6,2,O11&gt;0,1,TRUE,""))</f>
      </c>
      <c r="Q11" s="13">
        <f>IFERROR(INDEX({"","Sangat Rendah","Rendah","Sedang","Tinggi","Sangat Tinggi"},P11+1),"")</f>
      </c>
      <c r="R11" s="13">
        <f>IFERROR(XLOOKUP(C11,SELERA_RISIKO!$C$5:$C$11,SELERA_RISIKO!$D$5:$D$11),"")</f>
      </c>
      <c r="S11" s="13">
        <f>IF(AND(P11&lt;&gt;"",R11&lt;&gt;""),IF(P11&gt;R11,"YA ⚠","tidak"),"")</f>
      </c>
      <c r="T11" s="9"/>
    </row>
    <row r="12" ht="20" customHeight="1" spans="1:20" x14ac:dyDescent="0.25">
      <c r="A12" s="9"/>
      <c r="B12" s="13">
        <f>IFERROR(XLOOKUP(A12,IDENTIFIKASI!$B:$B,IDENTIFIKASI!$G:$G),"")</f>
      </c>
      <c r="C12" s="13">
        <f>IFERROR(XLOOKUP(A12,IDENTIFIKASI!$B:$B,IDENTIFIKASI!$H:$H),"")</f>
      </c>
      <c r="D12" s="9"/>
      <c r="E12" s="9"/>
      <c r="F12" s="13">
        <f>IF(AND(D12&lt;&gt;"",E12&lt;&gt;""),D12*E12,"")</f>
      </c>
      <c r="G12" s="13">
        <f>IF(F12="","",IFS(F12&gt;=20,5,F12&gt;=16,4,F12&gt;=11,3,F12&gt;=6,2,F12&gt;0,1,TRUE,""))</f>
      </c>
      <c r="H12" s="13">
        <f>IFERROR(INDEX({"","Sangat Rendah","Rendah","Sedang","Tinggi","Sangat Tinggi"},G12+1),"")</f>
      </c>
      <c r="I12" s="9"/>
      <c r="J12" s="9"/>
      <c r="K12" s="9"/>
      <c r="L12" s="9"/>
      <c r="M12" s="9"/>
      <c r="N12" s="9"/>
      <c r="O12" s="13">
        <f>IF(A12="","",IF(AND(M12&lt;&gt;"",N12&lt;&gt;""),M12*N12,IF(AND(D12&lt;&gt;"",E12&lt;&gt;""),D12*E12,"")))</f>
      </c>
      <c r="P12" s="13">
        <f>IF(O12="","",IFS(O12&gt;=20,5,O12&gt;=16,4,O12&gt;=11,3,O12&gt;=6,2,O12&gt;0,1,TRUE,""))</f>
      </c>
      <c r="Q12" s="13">
        <f>IFERROR(INDEX({"","Sangat Rendah","Rendah","Sedang","Tinggi","Sangat Tinggi"},P12+1),"")</f>
      </c>
      <c r="R12" s="13">
        <f>IFERROR(XLOOKUP(C12,SELERA_RISIKO!$C$5:$C$11,SELERA_RISIKO!$D$5:$D$11),"")</f>
      </c>
      <c r="S12" s="13">
        <f>IF(AND(P12&lt;&gt;"",R12&lt;&gt;""),IF(P12&gt;R12,"YA ⚠","tidak"),"")</f>
      </c>
      <c r="T12" s="9"/>
    </row>
    <row r="13" ht="20" customHeight="1" spans="1:20" x14ac:dyDescent="0.25">
      <c r="A13" s="9"/>
      <c r="B13" s="13">
        <f>IFERROR(XLOOKUP(A13,IDENTIFIKASI!$B:$B,IDENTIFIKASI!$G:$G),"")</f>
      </c>
      <c r="C13" s="13">
        <f>IFERROR(XLOOKUP(A13,IDENTIFIKASI!$B:$B,IDENTIFIKASI!$H:$H),"")</f>
      </c>
      <c r="D13" s="9"/>
      <c r="E13" s="9"/>
      <c r="F13" s="13">
        <f>IF(AND(D13&lt;&gt;"",E13&lt;&gt;""),D13*E13,"")</f>
      </c>
      <c r="G13" s="13">
        <f>IF(F13="","",IFS(F13&gt;=20,5,F13&gt;=16,4,F13&gt;=11,3,F13&gt;=6,2,F13&gt;0,1,TRUE,""))</f>
      </c>
      <c r="H13" s="13">
        <f>IFERROR(INDEX({"","Sangat Rendah","Rendah","Sedang","Tinggi","Sangat Tinggi"},G13+1),"")</f>
      </c>
      <c r="I13" s="9"/>
      <c r="J13" s="9"/>
      <c r="K13" s="9"/>
      <c r="L13" s="9"/>
      <c r="M13" s="9"/>
      <c r="N13" s="9"/>
      <c r="O13" s="13">
        <f>IF(A13="","",IF(AND(M13&lt;&gt;"",N13&lt;&gt;""),M13*N13,IF(AND(D13&lt;&gt;"",E13&lt;&gt;""),D13*E13,"")))</f>
      </c>
      <c r="P13" s="13">
        <f>IF(O13="","",IFS(O13&gt;=20,5,O13&gt;=16,4,O13&gt;=11,3,O13&gt;=6,2,O13&gt;0,1,TRUE,""))</f>
      </c>
      <c r="Q13" s="13">
        <f>IFERROR(INDEX({"","Sangat Rendah","Rendah","Sedang","Tinggi","Sangat Tinggi"},P13+1),"")</f>
      </c>
      <c r="R13" s="13">
        <f>IFERROR(XLOOKUP(C13,SELERA_RISIKO!$C$5:$C$11,SELERA_RISIKO!$D$5:$D$11),"")</f>
      </c>
      <c r="S13" s="13">
        <f>IF(AND(P13&lt;&gt;"",R13&lt;&gt;""),IF(P13&gt;R13,"YA ⚠","tidak"),"")</f>
      </c>
      <c r="T13" s="9"/>
    </row>
    <row r="14" ht="20" customHeight="1" spans="1:20" x14ac:dyDescent="0.25">
      <c r="A14" s="9"/>
      <c r="B14" s="13">
        <f>IFERROR(XLOOKUP(A14,IDENTIFIKASI!$B:$B,IDENTIFIKASI!$G:$G),"")</f>
      </c>
      <c r="C14" s="13">
        <f>IFERROR(XLOOKUP(A14,IDENTIFIKASI!$B:$B,IDENTIFIKASI!$H:$H),"")</f>
      </c>
      <c r="D14" s="9"/>
      <c r="E14" s="9"/>
      <c r="F14" s="13">
        <f>IF(AND(D14&lt;&gt;"",E14&lt;&gt;""),D14*E14,"")</f>
      </c>
      <c r="G14" s="13">
        <f>IF(F14="","",IFS(F14&gt;=20,5,F14&gt;=16,4,F14&gt;=11,3,F14&gt;=6,2,F14&gt;0,1,TRUE,""))</f>
      </c>
      <c r="H14" s="13">
        <f>IFERROR(INDEX({"","Sangat Rendah","Rendah","Sedang","Tinggi","Sangat Tinggi"},G14+1),"")</f>
      </c>
      <c r="I14" s="9"/>
      <c r="J14" s="9"/>
      <c r="K14" s="9"/>
      <c r="L14" s="9"/>
      <c r="M14" s="9"/>
      <c r="N14" s="9"/>
      <c r="O14" s="13">
        <f>IF(A14="","",IF(AND(M14&lt;&gt;"",N14&lt;&gt;""),M14*N14,IF(AND(D14&lt;&gt;"",E14&lt;&gt;""),D14*E14,"")))</f>
      </c>
      <c r="P14" s="13">
        <f>IF(O14="","",IFS(O14&gt;=20,5,O14&gt;=16,4,O14&gt;=11,3,O14&gt;=6,2,O14&gt;0,1,TRUE,""))</f>
      </c>
      <c r="Q14" s="13">
        <f>IFERROR(INDEX({"","Sangat Rendah","Rendah","Sedang","Tinggi","Sangat Tinggi"},P14+1),"")</f>
      </c>
      <c r="R14" s="13">
        <f>IFERROR(XLOOKUP(C14,SELERA_RISIKO!$C$5:$C$11,SELERA_RISIKO!$D$5:$D$11),"")</f>
      </c>
      <c r="S14" s="13">
        <f>IF(AND(P14&lt;&gt;"",R14&lt;&gt;""),IF(P14&gt;R14,"YA ⚠","tidak"),"")</f>
      </c>
      <c r="T14" s="9"/>
    </row>
    <row r="15" ht="20" customHeight="1" spans="1:20" x14ac:dyDescent="0.25">
      <c r="A15" s="9"/>
      <c r="B15" s="13">
        <f>IFERROR(XLOOKUP(A15,IDENTIFIKASI!$B:$B,IDENTIFIKASI!$G:$G),"")</f>
      </c>
      <c r="C15" s="13">
        <f>IFERROR(XLOOKUP(A15,IDENTIFIKASI!$B:$B,IDENTIFIKASI!$H:$H),"")</f>
      </c>
      <c r="D15" s="9"/>
      <c r="E15" s="9"/>
      <c r="F15" s="13">
        <f>IF(AND(D15&lt;&gt;"",E15&lt;&gt;""),D15*E15,"")</f>
      </c>
      <c r="G15" s="13">
        <f>IF(F15="","",IFS(F15&gt;=20,5,F15&gt;=16,4,F15&gt;=11,3,F15&gt;=6,2,F15&gt;0,1,TRUE,""))</f>
      </c>
      <c r="H15" s="13">
        <f>IFERROR(INDEX({"","Sangat Rendah","Rendah","Sedang","Tinggi","Sangat Tinggi"},G15+1),"")</f>
      </c>
      <c r="I15" s="9"/>
      <c r="J15" s="9"/>
      <c r="K15" s="9"/>
      <c r="L15" s="9"/>
      <c r="M15" s="9"/>
      <c r="N15" s="9"/>
      <c r="O15" s="13">
        <f>IF(A15="","",IF(AND(M15&lt;&gt;"",N15&lt;&gt;""),M15*N15,IF(AND(D15&lt;&gt;"",E15&lt;&gt;""),D15*E15,"")))</f>
      </c>
      <c r="P15" s="13">
        <f>IF(O15="","",IFS(O15&gt;=20,5,O15&gt;=16,4,O15&gt;=11,3,O15&gt;=6,2,O15&gt;0,1,TRUE,""))</f>
      </c>
      <c r="Q15" s="13">
        <f>IFERROR(INDEX({"","Sangat Rendah","Rendah","Sedang","Tinggi","Sangat Tinggi"},P15+1),"")</f>
      </c>
      <c r="R15" s="13">
        <f>IFERROR(XLOOKUP(C15,SELERA_RISIKO!$C$5:$C$11,SELERA_RISIKO!$D$5:$D$11),"")</f>
      </c>
      <c r="S15" s="13">
        <f>IF(AND(P15&lt;&gt;"",R15&lt;&gt;""),IF(P15&gt;R15,"YA ⚠","tidak"),"")</f>
      </c>
      <c r="T15" s="9"/>
    </row>
    <row r="16" ht="20" customHeight="1" spans="1:20" x14ac:dyDescent="0.25">
      <c r="A16" s="9"/>
      <c r="B16" s="13">
        <f>IFERROR(XLOOKUP(A16,IDENTIFIKASI!$B:$B,IDENTIFIKASI!$G:$G),"")</f>
      </c>
      <c r="C16" s="13">
        <f>IFERROR(XLOOKUP(A16,IDENTIFIKASI!$B:$B,IDENTIFIKASI!$H:$H),"")</f>
      </c>
      <c r="D16" s="9"/>
      <c r="E16" s="9"/>
      <c r="F16" s="13">
        <f>IF(AND(D16&lt;&gt;"",E16&lt;&gt;""),D16*E16,"")</f>
      </c>
      <c r="G16" s="13">
        <f>IF(F16="","",IFS(F16&gt;=20,5,F16&gt;=16,4,F16&gt;=11,3,F16&gt;=6,2,F16&gt;0,1,TRUE,""))</f>
      </c>
      <c r="H16" s="13">
        <f>IFERROR(INDEX({"","Sangat Rendah","Rendah","Sedang","Tinggi","Sangat Tinggi"},G16+1),"")</f>
      </c>
      <c r="I16" s="9"/>
      <c r="J16" s="9"/>
      <c r="K16" s="9"/>
      <c r="L16" s="9"/>
      <c r="M16" s="9"/>
      <c r="N16" s="9"/>
      <c r="O16" s="13">
        <f>IF(A16="","",IF(AND(M16&lt;&gt;"",N16&lt;&gt;""),M16*N16,IF(AND(D16&lt;&gt;"",E16&lt;&gt;""),D16*E16,"")))</f>
      </c>
      <c r="P16" s="13">
        <f>IF(O16="","",IFS(O16&gt;=20,5,O16&gt;=16,4,O16&gt;=11,3,O16&gt;=6,2,O16&gt;0,1,TRUE,""))</f>
      </c>
      <c r="Q16" s="13">
        <f>IFERROR(INDEX({"","Sangat Rendah","Rendah","Sedang","Tinggi","Sangat Tinggi"},P16+1),"")</f>
      </c>
      <c r="R16" s="13">
        <f>IFERROR(XLOOKUP(C16,SELERA_RISIKO!$C$5:$C$11,SELERA_RISIKO!$D$5:$D$11),"")</f>
      </c>
      <c r="S16" s="13">
        <f>IF(AND(P16&lt;&gt;"",R16&lt;&gt;""),IF(P16&gt;R16,"YA ⚠","tidak"),"")</f>
      </c>
      <c r="T16" s="9"/>
    </row>
    <row r="17" ht="20" customHeight="1" spans="1:20" x14ac:dyDescent="0.25">
      <c r="A17" s="9"/>
      <c r="B17" s="13">
        <f>IFERROR(XLOOKUP(A17,IDENTIFIKASI!$B:$B,IDENTIFIKASI!$G:$G),"")</f>
      </c>
      <c r="C17" s="13">
        <f>IFERROR(XLOOKUP(A17,IDENTIFIKASI!$B:$B,IDENTIFIKASI!$H:$H),"")</f>
      </c>
      <c r="D17" s="9"/>
      <c r="E17" s="9"/>
      <c r="F17" s="13">
        <f>IF(AND(D17&lt;&gt;"",E17&lt;&gt;""),D17*E17,"")</f>
      </c>
      <c r="G17" s="13">
        <f>IF(F17="","",IFS(F17&gt;=20,5,F17&gt;=16,4,F17&gt;=11,3,F17&gt;=6,2,F17&gt;0,1,TRUE,""))</f>
      </c>
      <c r="H17" s="13">
        <f>IFERROR(INDEX({"","Sangat Rendah","Rendah","Sedang","Tinggi","Sangat Tinggi"},G17+1),"")</f>
      </c>
      <c r="I17" s="9"/>
      <c r="J17" s="9"/>
      <c r="K17" s="9"/>
      <c r="L17" s="9"/>
      <c r="M17" s="9"/>
      <c r="N17" s="9"/>
      <c r="O17" s="13">
        <f>IF(A17="","",IF(AND(M17&lt;&gt;"",N17&lt;&gt;""),M17*N17,IF(AND(D17&lt;&gt;"",E17&lt;&gt;""),D17*E17,"")))</f>
      </c>
      <c r="P17" s="13">
        <f>IF(O17="","",IFS(O17&gt;=20,5,O17&gt;=16,4,O17&gt;=11,3,O17&gt;=6,2,O17&gt;0,1,TRUE,""))</f>
      </c>
      <c r="Q17" s="13">
        <f>IFERROR(INDEX({"","Sangat Rendah","Rendah","Sedang","Tinggi","Sangat Tinggi"},P17+1),"")</f>
      </c>
      <c r="R17" s="13">
        <f>IFERROR(XLOOKUP(C17,SELERA_RISIKO!$C$5:$C$11,SELERA_RISIKO!$D$5:$D$11),"")</f>
      </c>
      <c r="S17" s="13">
        <f>IF(AND(P17&lt;&gt;"",R17&lt;&gt;""),IF(P17&gt;R17,"YA ⚠","tidak"),"")</f>
      </c>
      <c r="T17" s="9"/>
    </row>
    <row r="18" ht="20" customHeight="1" spans="1:20" x14ac:dyDescent="0.25">
      <c r="A18" s="9"/>
      <c r="B18" s="13">
        <f>IFERROR(XLOOKUP(A18,IDENTIFIKASI!$B:$B,IDENTIFIKASI!$G:$G),"")</f>
      </c>
      <c r="C18" s="13">
        <f>IFERROR(XLOOKUP(A18,IDENTIFIKASI!$B:$B,IDENTIFIKASI!$H:$H),"")</f>
      </c>
      <c r="D18" s="9"/>
      <c r="E18" s="9"/>
      <c r="F18" s="13">
        <f>IF(AND(D18&lt;&gt;"",E18&lt;&gt;""),D18*E18,"")</f>
      </c>
      <c r="G18" s="13">
        <f>IF(F18="","",IFS(F18&gt;=20,5,F18&gt;=16,4,F18&gt;=11,3,F18&gt;=6,2,F18&gt;0,1,TRUE,""))</f>
      </c>
      <c r="H18" s="13">
        <f>IFERROR(INDEX({"","Sangat Rendah","Rendah","Sedang","Tinggi","Sangat Tinggi"},G18+1),"")</f>
      </c>
      <c r="I18" s="9"/>
      <c r="J18" s="9"/>
      <c r="K18" s="9"/>
      <c r="L18" s="9"/>
      <c r="M18" s="9"/>
      <c r="N18" s="9"/>
      <c r="O18" s="13">
        <f>IF(A18="","",IF(AND(M18&lt;&gt;"",N18&lt;&gt;""),M18*N18,IF(AND(D18&lt;&gt;"",E18&lt;&gt;""),D18*E18,"")))</f>
      </c>
      <c r="P18" s="13">
        <f>IF(O18="","",IFS(O18&gt;=20,5,O18&gt;=16,4,O18&gt;=11,3,O18&gt;=6,2,O18&gt;0,1,TRUE,""))</f>
      </c>
      <c r="Q18" s="13">
        <f>IFERROR(INDEX({"","Sangat Rendah","Rendah","Sedang","Tinggi","Sangat Tinggi"},P18+1),"")</f>
      </c>
      <c r="R18" s="13">
        <f>IFERROR(XLOOKUP(C18,SELERA_RISIKO!$C$5:$C$11,SELERA_RISIKO!$D$5:$D$11),"")</f>
      </c>
      <c r="S18" s="13">
        <f>IF(AND(P18&lt;&gt;"",R18&lt;&gt;""),IF(P18&gt;R18,"YA ⚠","tidak"),"")</f>
      </c>
      <c r="T18" s="9"/>
    </row>
    <row r="19" ht="20" customHeight="1" spans="1:20" x14ac:dyDescent="0.25">
      <c r="A19" s="9"/>
      <c r="B19" s="13">
        <f>IFERROR(XLOOKUP(A19,IDENTIFIKASI!$B:$B,IDENTIFIKASI!$G:$G),"")</f>
      </c>
      <c r="C19" s="13">
        <f>IFERROR(XLOOKUP(A19,IDENTIFIKASI!$B:$B,IDENTIFIKASI!$H:$H),"")</f>
      </c>
      <c r="D19" s="9"/>
      <c r="E19" s="9"/>
      <c r="F19" s="13">
        <f>IF(AND(D19&lt;&gt;"",E19&lt;&gt;""),D19*E19,"")</f>
      </c>
      <c r="G19" s="13">
        <f>IF(F19="","",IFS(F19&gt;=20,5,F19&gt;=16,4,F19&gt;=11,3,F19&gt;=6,2,F19&gt;0,1,TRUE,""))</f>
      </c>
      <c r="H19" s="13">
        <f>IFERROR(INDEX({"","Sangat Rendah","Rendah","Sedang","Tinggi","Sangat Tinggi"},G19+1),"")</f>
      </c>
      <c r="I19" s="9"/>
      <c r="J19" s="9"/>
      <c r="K19" s="9"/>
      <c r="L19" s="9"/>
      <c r="M19" s="9"/>
      <c r="N19" s="9"/>
      <c r="O19" s="13">
        <f>IF(A19="","",IF(AND(M19&lt;&gt;"",N19&lt;&gt;""),M19*N19,IF(AND(D19&lt;&gt;"",E19&lt;&gt;""),D19*E19,"")))</f>
      </c>
      <c r="P19" s="13">
        <f>IF(O19="","",IFS(O19&gt;=20,5,O19&gt;=16,4,O19&gt;=11,3,O19&gt;=6,2,O19&gt;0,1,TRUE,""))</f>
      </c>
      <c r="Q19" s="13">
        <f>IFERROR(INDEX({"","Sangat Rendah","Rendah","Sedang","Tinggi","Sangat Tinggi"},P19+1),"")</f>
      </c>
      <c r="R19" s="13">
        <f>IFERROR(XLOOKUP(C19,SELERA_RISIKO!$C$5:$C$11,SELERA_RISIKO!$D$5:$D$11),"")</f>
      </c>
      <c r="S19" s="13">
        <f>IF(AND(P19&lt;&gt;"",R19&lt;&gt;""),IF(P19&gt;R19,"YA ⚠","tidak"),"")</f>
      </c>
      <c r="T19" s="9"/>
    </row>
    <row r="20" ht="20" customHeight="1" spans="1:20" x14ac:dyDescent="0.25">
      <c r="A20" s="9"/>
      <c r="B20" s="13">
        <f>IFERROR(XLOOKUP(A20,IDENTIFIKASI!$B:$B,IDENTIFIKASI!$G:$G),"")</f>
      </c>
      <c r="C20" s="13">
        <f>IFERROR(XLOOKUP(A20,IDENTIFIKASI!$B:$B,IDENTIFIKASI!$H:$H),"")</f>
      </c>
      <c r="D20" s="9"/>
      <c r="E20" s="9"/>
      <c r="F20" s="13">
        <f>IF(AND(D20&lt;&gt;"",E20&lt;&gt;""),D20*E20,"")</f>
      </c>
      <c r="G20" s="13">
        <f>IF(F20="","",IFS(F20&gt;=20,5,F20&gt;=16,4,F20&gt;=11,3,F20&gt;=6,2,F20&gt;0,1,TRUE,""))</f>
      </c>
      <c r="H20" s="13">
        <f>IFERROR(INDEX({"","Sangat Rendah","Rendah","Sedang","Tinggi","Sangat Tinggi"},G20+1),"")</f>
      </c>
      <c r="I20" s="9"/>
      <c r="J20" s="9"/>
      <c r="K20" s="9"/>
      <c r="L20" s="9"/>
      <c r="M20" s="9"/>
      <c r="N20" s="9"/>
      <c r="O20" s="13">
        <f>IF(A20="","",IF(AND(M20&lt;&gt;"",N20&lt;&gt;""),M20*N20,IF(AND(D20&lt;&gt;"",E20&lt;&gt;""),D20*E20,"")))</f>
      </c>
      <c r="P20" s="13">
        <f>IF(O20="","",IFS(O20&gt;=20,5,O20&gt;=16,4,O20&gt;=11,3,O20&gt;=6,2,O20&gt;0,1,TRUE,""))</f>
      </c>
      <c r="Q20" s="13">
        <f>IFERROR(INDEX({"","Sangat Rendah","Rendah","Sedang","Tinggi","Sangat Tinggi"},P20+1),"")</f>
      </c>
      <c r="R20" s="13">
        <f>IFERROR(XLOOKUP(C20,SELERA_RISIKO!$C$5:$C$11,SELERA_RISIKO!$D$5:$D$11),"")</f>
      </c>
      <c r="S20" s="13">
        <f>IF(AND(P20&lt;&gt;"",R20&lt;&gt;""),IF(P20&gt;R20,"YA ⚠","tidak"),"")</f>
      </c>
      <c r="T20" s="9"/>
    </row>
    <row r="21" ht="20" customHeight="1" spans="1:20" x14ac:dyDescent="0.25">
      <c r="A21" s="9"/>
      <c r="B21" s="13">
        <f>IFERROR(XLOOKUP(A21,IDENTIFIKASI!$B:$B,IDENTIFIKASI!$G:$G),"")</f>
      </c>
      <c r="C21" s="13">
        <f>IFERROR(XLOOKUP(A21,IDENTIFIKASI!$B:$B,IDENTIFIKASI!$H:$H),"")</f>
      </c>
      <c r="D21" s="9"/>
      <c r="E21" s="9"/>
      <c r="F21" s="13">
        <f>IF(AND(D21&lt;&gt;"",E21&lt;&gt;""),D21*E21,"")</f>
      </c>
      <c r="G21" s="13">
        <f>IF(F21="","",IFS(F21&gt;=20,5,F21&gt;=16,4,F21&gt;=11,3,F21&gt;=6,2,F21&gt;0,1,TRUE,""))</f>
      </c>
      <c r="H21" s="13">
        <f>IFERROR(INDEX({"","Sangat Rendah","Rendah","Sedang","Tinggi","Sangat Tinggi"},G21+1),"")</f>
      </c>
      <c r="I21" s="9"/>
      <c r="J21" s="9"/>
      <c r="K21" s="9"/>
      <c r="L21" s="9"/>
      <c r="M21" s="9"/>
      <c r="N21" s="9"/>
      <c r="O21" s="13">
        <f>IF(A21="","",IF(AND(M21&lt;&gt;"",N21&lt;&gt;""),M21*N21,IF(AND(D21&lt;&gt;"",E21&lt;&gt;""),D21*E21,"")))</f>
      </c>
      <c r="P21" s="13">
        <f>IF(O21="","",IFS(O21&gt;=20,5,O21&gt;=16,4,O21&gt;=11,3,O21&gt;=6,2,O21&gt;0,1,TRUE,""))</f>
      </c>
      <c r="Q21" s="13">
        <f>IFERROR(INDEX({"","Sangat Rendah","Rendah","Sedang","Tinggi","Sangat Tinggi"},P21+1),"")</f>
      </c>
      <c r="R21" s="13">
        <f>IFERROR(XLOOKUP(C21,SELERA_RISIKO!$C$5:$C$11,SELERA_RISIKO!$D$5:$D$11),"")</f>
      </c>
      <c r="S21" s="13">
        <f>IF(AND(P21&lt;&gt;"",R21&lt;&gt;""),IF(P21&gt;R21,"YA ⚠","tidak"),"")</f>
      </c>
      <c r="T21" s="9"/>
    </row>
    <row r="22" ht="20" customHeight="1" spans="1:20" x14ac:dyDescent="0.25">
      <c r="A22" s="9"/>
      <c r="B22" s="13">
        <f>IFERROR(XLOOKUP(A22,IDENTIFIKASI!$B:$B,IDENTIFIKASI!$G:$G),"")</f>
      </c>
      <c r="C22" s="13">
        <f>IFERROR(XLOOKUP(A22,IDENTIFIKASI!$B:$B,IDENTIFIKASI!$H:$H),"")</f>
      </c>
      <c r="D22" s="9"/>
      <c r="E22" s="9"/>
      <c r="F22" s="13">
        <f>IF(AND(D22&lt;&gt;"",E22&lt;&gt;""),D22*E22,"")</f>
      </c>
      <c r="G22" s="13">
        <f>IF(F22="","",IFS(F22&gt;=20,5,F22&gt;=16,4,F22&gt;=11,3,F22&gt;=6,2,F22&gt;0,1,TRUE,""))</f>
      </c>
      <c r="H22" s="13">
        <f>IFERROR(INDEX({"","Sangat Rendah","Rendah","Sedang","Tinggi","Sangat Tinggi"},G22+1),"")</f>
      </c>
      <c r="I22" s="9"/>
      <c r="J22" s="9"/>
      <c r="K22" s="9"/>
      <c r="L22" s="9"/>
      <c r="M22" s="9"/>
      <c r="N22" s="9"/>
      <c r="O22" s="13">
        <f>IF(A22="","",IF(AND(M22&lt;&gt;"",N22&lt;&gt;""),M22*N22,IF(AND(D22&lt;&gt;"",E22&lt;&gt;""),D22*E22,"")))</f>
      </c>
      <c r="P22" s="13">
        <f>IF(O22="","",IFS(O22&gt;=20,5,O22&gt;=16,4,O22&gt;=11,3,O22&gt;=6,2,O22&gt;0,1,TRUE,""))</f>
      </c>
      <c r="Q22" s="13">
        <f>IFERROR(INDEX({"","Sangat Rendah","Rendah","Sedang","Tinggi","Sangat Tinggi"},P22+1),"")</f>
      </c>
      <c r="R22" s="13">
        <f>IFERROR(XLOOKUP(C22,SELERA_RISIKO!$C$5:$C$11,SELERA_RISIKO!$D$5:$D$11),"")</f>
      </c>
      <c r="S22" s="13">
        <f>IF(AND(P22&lt;&gt;"",R22&lt;&gt;""),IF(P22&gt;R22,"YA ⚠","tidak"),"")</f>
      </c>
      <c r="T22" s="9"/>
    </row>
    <row r="23" ht="20" customHeight="1" spans="1:20" x14ac:dyDescent="0.25">
      <c r="A23" s="9"/>
      <c r="B23" s="13">
        <f>IFERROR(XLOOKUP(A23,IDENTIFIKASI!$B:$B,IDENTIFIKASI!$G:$G),"")</f>
      </c>
      <c r="C23" s="13">
        <f>IFERROR(XLOOKUP(A23,IDENTIFIKASI!$B:$B,IDENTIFIKASI!$H:$H),"")</f>
      </c>
      <c r="D23" s="9"/>
      <c r="E23" s="9"/>
      <c r="F23" s="13">
        <f>IF(AND(D23&lt;&gt;"",E23&lt;&gt;""),D23*E23,"")</f>
      </c>
      <c r="G23" s="13">
        <f>IF(F23="","",IFS(F23&gt;=20,5,F23&gt;=16,4,F23&gt;=11,3,F23&gt;=6,2,F23&gt;0,1,TRUE,""))</f>
      </c>
      <c r="H23" s="13">
        <f>IFERROR(INDEX({"","Sangat Rendah","Rendah","Sedang","Tinggi","Sangat Tinggi"},G23+1),"")</f>
      </c>
      <c r="I23" s="9"/>
      <c r="J23" s="9"/>
      <c r="K23" s="9"/>
      <c r="L23" s="9"/>
      <c r="M23" s="9"/>
      <c r="N23" s="9"/>
      <c r="O23" s="13">
        <f>IF(A23="","",IF(AND(M23&lt;&gt;"",N23&lt;&gt;""),M23*N23,IF(AND(D23&lt;&gt;"",E23&lt;&gt;""),D23*E23,"")))</f>
      </c>
      <c r="P23" s="13">
        <f>IF(O23="","",IFS(O23&gt;=20,5,O23&gt;=16,4,O23&gt;=11,3,O23&gt;=6,2,O23&gt;0,1,TRUE,""))</f>
      </c>
      <c r="Q23" s="13">
        <f>IFERROR(INDEX({"","Sangat Rendah","Rendah","Sedang","Tinggi","Sangat Tinggi"},P23+1),"")</f>
      </c>
      <c r="R23" s="13">
        <f>IFERROR(XLOOKUP(C23,SELERA_RISIKO!$C$5:$C$11,SELERA_RISIKO!$D$5:$D$11),"")</f>
      </c>
      <c r="S23" s="13">
        <f>IF(AND(P23&lt;&gt;"",R23&lt;&gt;""),IF(P23&gt;R23,"YA ⚠","tidak"),"")</f>
      </c>
      <c r="T23" s="9"/>
    </row>
    <row r="24" ht="20" customHeight="1" spans="1:20" x14ac:dyDescent="0.25">
      <c r="A24" s="9"/>
      <c r="B24" s="13">
        <f>IFERROR(XLOOKUP(A24,IDENTIFIKASI!$B:$B,IDENTIFIKASI!$G:$G),"")</f>
      </c>
      <c r="C24" s="13">
        <f>IFERROR(XLOOKUP(A24,IDENTIFIKASI!$B:$B,IDENTIFIKASI!$H:$H),"")</f>
      </c>
      <c r="D24" s="9"/>
      <c r="E24" s="9"/>
      <c r="F24" s="13">
        <f>IF(AND(D24&lt;&gt;"",E24&lt;&gt;""),D24*E24,"")</f>
      </c>
      <c r="G24" s="13">
        <f>IF(F24="","",IFS(F24&gt;=20,5,F24&gt;=16,4,F24&gt;=11,3,F24&gt;=6,2,F24&gt;0,1,TRUE,""))</f>
      </c>
      <c r="H24" s="13">
        <f>IFERROR(INDEX({"","Sangat Rendah","Rendah","Sedang","Tinggi","Sangat Tinggi"},G24+1),"")</f>
      </c>
      <c r="I24" s="9"/>
      <c r="J24" s="9"/>
      <c r="K24" s="9"/>
      <c r="L24" s="9"/>
      <c r="M24" s="9"/>
      <c r="N24" s="9"/>
      <c r="O24" s="13">
        <f>IF(A24="","",IF(AND(M24&lt;&gt;"",N24&lt;&gt;""),M24*N24,IF(AND(D24&lt;&gt;"",E24&lt;&gt;""),D24*E24,"")))</f>
      </c>
      <c r="P24" s="13">
        <f>IF(O24="","",IFS(O24&gt;=20,5,O24&gt;=16,4,O24&gt;=11,3,O24&gt;=6,2,O24&gt;0,1,TRUE,""))</f>
      </c>
      <c r="Q24" s="13">
        <f>IFERROR(INDEX({"","Sangat Rendah","Rendah","Sedang","Tinggi","Sangat Tinggi"},P24+1),"")</f>
      </c>
      <c r="R24" s="13">
        <f>IFERROR(XLOOKUP(C24,SELERA_RISIKO!$C$5:$C$11,SELERA_RISIKO!$D$5:$D$11),"")</f>
      </c>
      <c r="S24" s="13">
        <f>IF(AND(P24&lt;&gt;"",R24&lt;&gt;""),IF(P24&gt;R24,"YA ⚠","tidak"),"")</f>
      </c>
      <c r="T24" s="9"/>
    </row>
    <row r="25" ht="20" customHeight="1" spans="1:20" x14ac:dyDescent="0.25">
      <c r="A25" s="9"/>
      <c r="B25" s="13">
        <f>IFERROR(XLOOKUP(A25,IDENTIFIKASI!$B:$B,IDENTIFIKASI!$G:$G),"")</f>
      </c>
      <c r="C25" s="13">
        <f>IFERROR(XLOOKUP(A25,IDENTIFIKASI!$B:$B,IDENTIFIKASI!$H:$H),"")</f>
      </c>
      <c r="D25" s="9"/>
      <c r="E25" s="9"/>
      <c r="F25" s="13">
        <f>IF(AND(D25&lt;&gt;"",E25&lt;&gt;""),D25*E25,"")</f>
      </c>
      <c r="G25" s="13">
        <f>IF(F25="","",IFS(F25&gt;=20,5,F25&gt;=16,4,F25&gt;=11,3,F25&gt;=6,2,F25&gt;0,1,TRUE,""))</f>
      </c>
      <c r="H25" s="13">
        <f>IFERROR(INDEX({"","Sangat Rendah","Rendah","Sedang","Tinggi","Sangat Tinggi"},G25+1),"")</f>
      </c>
      <c r="I25" s="9"/>
      <c r="J25" s="9"/>
      <c r="K25" s="9"/>
      <c r="L25" s="9"/>
      <c r="M25" s="9"/>
      <c r="N25" s="9"/>
      <c r="O25" s="13">
        <f>IF(A25="","",IF(AND(M25&lt;&gt;"",N25&lt;&gt;""),M25*N25,IF(AND(D25&lt;&gt;"",E25&lt;&gt;""),D25*E25,"")))</f>
      </c>
      <c r="P25" s="13">
        <f>IF(O25="","",IFS(O25&gt;=20,5,O25&gt;=16,4,O25&gt;=11,3,O25&gt;=6,2,O25&gt;0,1,TRUE,""))</f>
      </c>
      <c r="Q25" s="13">
        <f>IFERROR(INDEX({"","Sangat Rendah","Rendah","Sedang","Tinggi","Sangat Tinggi"},P25+1),"")</f>
      </c>
      <c r="R25" s="13">
        <f>IFERROR(XLOOKUP(C25,SELERA_RISIKO!$C$5:$C$11,SELERA_RISIKO!$D$5:$D$11),"")</f>
      </c>
      <c r="S25" s="13">
        <f>IF(AND(P25&lt;&gt;"",R25&lt;&gt;""),IF(P25&gt;R25,"YA ⚠","tidak"),"")</f>
      </c>
      <c r="T25" s="9"/>
    </row>
    <row r="26" ht="20" customHeight="1" spans="1:20" x14ac:dyDescent="0.25">
      <c r="A26" s="9"/>
      <c r="B26" s="13">
        <f>IFERROR(XLOOKUP(A26,IDENTIFIKASI!$B:$B,IDENTIFIKASI!$G:$G),"")</f>
      </c>
      <c r="C26" s="13">
        <f>IFERROR(XLOOKUP(A26,IDENTIFIKASI!$B:$B,IDENTIFIKASI!$H:$H),"")</f>
      </c>
      <c r="D26" s="9"/>
      <c r="E26" s="9"/>
      <c r="F26" s="13">
        <f>IF(AND(D26&lt;&gt;"",E26&lt;&gt;""),D26*E26,"")</f>
      </c>
      <c r="G26" s="13">
        <f>IF(F26="","",IFS(F26&gt;=20,5,F26&gt;=16,4,F26&gt;=11,3,F26&gt;=6,2,F26&gt;0,1,TRUE,""))</f>
      </c>
      <c r="H26" s="13">
        <f>IFERROR(INDEX({"","Sangat Rendah","Rendah","Sedang","Tinggi","Sangat Tinggi"},G26+1),"")</f>
      </c>
      <c r="I26" s="9"/>
      <c r="J26" s="9"/>
      <c r="K26" s="9"/>
      <c r="L26" s="9"/>
      <c r="M26" s="9"/>
      <c r="N26" s="9"/>
      <c r="O26" s="13">
        <f>IF(A26="","",IF(AND(M26&lt;&gt;"",N26&lt;&gt;""),M26*N26,IF(AND(D26&lt;&gt;"",E26&lt;&gt;""),D26*E26,"")))</f>
      </c>
      <c r="P26" s="13">
        <f>IF(O26="","",IFS(O26&gt;=20,5,O26&gt;=16,4,O26&gt;=11,3,O26&gt;=6,2,O26&gt;0,1,TRUE,""))</f>
      </c>
      <c r="Q26" s="13">
        <f>IFERROR(INDEX({"","Sangat Rendah","Rendah","Sedang","Tinggi","Sangat Tinggi"},P26+1),"")</f>
      </c>
      <c r="R26" s="13">
        <f>IFERROR(XLOOKUP(C26,SELERA_RISIKO!$C$5:$C$11,SELERA_RISIKO!$D$5:$D$11),"")</f>
      </c>
      <c r="S26" s="13">
        <f>IF(AND(P26&lt;&gt;"",R26&lt;&gt;""),IF(P26&gt;R26,"YA ⚠","tidak"),"")</f>
      </c>
      <c r="T26" s="9"/>
    </row>
    <row r="27" ht="20" customHeight="1" spans="1:20" x14ac:dyDescent="0.25">
      <c r="A27" s="9"/>
      <c r="B27" s="13">
        <f>IFERROR(XLOOKUP(A27,IDENTIFIKASI!$B:$B,IDENTIFIKASI!$G:$G),"")</f>
      </c>
      <c r="C27" s="13">
        <f>IFERROR(XLOOKUP(A27,IDENTIFIKASI!$B:$B,IDENTIFIKASI!$H:$H),"")</f>
      </c>
      <c r="D27" s="9"/>
      <c r="E27" s="9"/>
      <c r="F27" s="13">
        <f>IF(AND(D27&lt;&gt;"",E27&lt;&gt;""),D27*E27,"")</f>
      </c>
      <c r="G27" s="13">
        <f>IF(F27="","",IFS(F27&gt;=20,5,F27&gt;=16,4,F27&gt;=11,3,F27&gt;=6,2,F27&gt;0,1,TRUE,""))</f>
      </c>
      <c r="H27" s="13">
        <f>IFERROR(INDEX({"","Sangat Rendah","Rendah","Sedang","Tinggi","Sangat Tinggi"},G27+1),"")</f>
      </c>
      <c r="I27" s="9"/>
      <c r="J27" s="9"/>
      <c r="K27" s="9"/>
      <c r="L27" s="9"/>
      <c r="M27" s="9"/>
      <c r="N27" s="9"/>
      <c r="O27" s="13">
        <f>IF(A27="","",IF(AND(M27&lt;&gt;"",N27&lt;&gt;""),M27*N27,IF(AND(D27&lt;&gt;"",E27&lt;&gt;""),D27*E27,"")))</f>
      </c>
      <c r="P27" s="13">
        <f>IF(O27="","",IFS(O27&gt;=20,5,O27&gt;=16,4,O27&gt;=11,3,O27&gt;=6,2,O27&gt;0,1,TRUE,""))</f>
      </c>
      <c r="Q27" s="13">
        <f>IFERROR(INDEX({"","Sangat Rendah","Rendah","Sedang","Tinggi","Sangat Tinggi"},P27+1),"")</f>
      </c>
      <c r="R27" s="13">
        <f>IFERROR(XLOOKUP(C27,SELERA_RISIKO!$C$5:$C$11,SELERA_RISIKO!$D$5:$D$11),"")</f>
      </c>
      <c r="S27" s="13">
        <f>IF(AND(P27&lt;&gt;"",R27&lt;&gt;""),IF(P27&gt;R27,"YA ⚠","tidak"),"")</f>
      </c>
      <c r="T27" s="9"/>
    </row>
    <row r="28" ht="20" customHeight="1" spans="1:20" x14ac:dyDescent="0.25">
      <c r="A28" s="9"/>
      <c r="B28" s="13">
        <f>IFERROR(XLOOKUP(A28,IDENTIFIKASI!$B:$B,IDENTIFIKASI!$G:$G),"")</f>
      </c>
      <c r="C28" s="13">
        <f>IFERROR(XLOOKUP(A28,IDENTIFIKASI!$B:$B,IDENTIFIKASI!$H:$H),"")</f>
      </c>
      <c r="D28" s="9"/>
      <c r="E28" s="9"/>
      <c r="F28" s="13">
        <f>IF(AND(D28&lt;&gt;"",E28&lt;&gt;""),D28*E28,"")</f>
      </c>
      <c r="G28" s="13">
        <f>IF(F28="","",IFS(F28&gt;=20,5,F28&gt;=16,4,F28&gt;=11,3,F28&gt;=6,2,F28&gt;0,1,TRUE,""))</f>
      </c>
      <c r="H28" s="13">
        <f>IFERROR(INDEX({"","Sangat Rendah","Rendah","Sedang","Tinggi","Sangat Tinggi"},G28+1),"")</f>
      </c>
      <c r="I28" s="9"/>
      <c r="J28" s="9"/>
      <c r="K28" s="9"/>
      <c r="L28" s="9"/>
      <c r="M28" s="9"/>
      <c r="N28" s="9"/>
      <c r="O28" s="13">
        <f>IF(A28="","",IF(AND(M28&lt;&gt;"",N28&lt;&gt;""),M28*N28,IF(AND(D28&lt;&gt;"",E28&lt;&gt;""),D28*E28,"")))</f>
      </c>
      <c r="P28" s="13">
        <f>IF(O28="","",IFS(O28&gt;=20,5,O28&gt;=16,4,O28&gt;=11,3,O28&gt;=6,2,O28&gt;0,1,TRUE,""))</f>
      </c>
      <c r="Q28" s="13">
        <f>IFERROR(INDEX({"","Sangat Rendah","Rendah","Sedang","Tinggi","Sangat Tinggi"},P28+1),"")</f>
      </c>
      <c r="R28" s="13">
        <f>IFERROR(XLOOKUP(C28,SELERA_RISIKO!$C$5:$C$11,SELERA_RISIKO!$D$5:$D$11),"")</f>
      </c>
      <c r="S28" s="13">
        <f>IF(AND(P28&lt;&gt;"",R28&lt;&gt;""),IF(P28&gt;R28,"YA ⚠","tidak"),"")</f>
      </c>
      <c r="T28" s="9"/>
    </row>
    <row r="29" ht="20" customHeight="1" spans="1:20" x14ac:dyDescent="0.25">
      <c r="A29" s="9"/>
      <c r="B29" s="13">
        <f>IFERROR(XLOOKUP(A29,IDENTIFIKASI!$B:$B,IDENTIFIKASI!$G:$G),"")</f>
      </c>
      <c r="C29" s="13">
        <f>IFERROR(XLOOKUP(A29,IDENTIFIKASI!$B:$B,IDENTIFIKASI!$H:$H),"")</f>
      </c>
      <c r="D29" s="9"/>
      <c r="E29" s="9"/>
      <c r="F29" s="13">
        <f>IF(AND(D29&lt;&gt;"",E29&lt;&gt;""),D29*E29,"")</f>
      </c>
      <c r="G29" s="13">
        <f>IF(F29="","",IFS(F29&gt;=20,5,F29&gt;=16,4,F29&gt;=11,3,F29&gt;=6,2,F29&gt;0,1,TRUE,""))</f>
      </c>
      <c r="H29" s="13">
        <f>IFERROR(INDEX({"","Sangat Rendah","Rendah","Sedang","Tinggi","Sangat Tinggi"},G29+1),"")</f>
      </c>
      <c r="I29" s="9"/>
      <c r="J29" s="9"/>
      <c r="K29" s="9"/>
      <c r="L29" s="9"/>
      <c r="M29" s="9"/>
      <c r="N29" s="9"/>
      <c r="O29" s="13">
        <f>IF(A29="","",IF(AND(M29&lt;&gt;"",N29&lt;&gt;""),M29*N29,IF(AND(D29&lt;&gt;"",E29&lt;&gt;""),D29*E29,"")))</f>
      </c>
      <c r="P29" s="13">
        <f>IF(O29="","",IFS(O29&gt;=20,5,O29&gt;=16,4,O29&gt;=11,3,O29&gt;=6,2,O29&gt;0,1,TRUE,""))</f>
      </c>
      <c r="Q29" s="13">
        <f>IFERROR(INDEX({"","Sangat Rendah","Rendah","Sedang","Tinggi","Sangat Tinggi"},P29+1),"")</f>
      </c>
      <c r="R29" s="13">
        <f>IFERROR(XLOOKUP(C29,SELERA_RISIKO!$C$5:$C$11,SELERA_RISIKO!$D$5:$D$11),"")</f>
      </c>
      <c r="S29" s="13">
        <f>IF(AND(P29&lt;&gt;"",R29&lt;&gt;""),IF(P29&gt;R29,"YA ⚠","tidak"),"")</f>
      </c>
      <c r="T29" s="9"/>
    </row>
    <row r="30" ht="20" customHeight="1" spans="1:20" x14ac:dyDescent="0.25">
      <c r="A30" s="9"/>
      <c r="B30" s="13">
        <f>IFERROR(XLOOKUP(A30,IDENTIFIKASI!$B:$B,IDENTIFIKASI!$G:$G),"")</f>
      </c>
      <c r="C30" s="13">
        <f>IFERROR(XLOOKUP(A30,IDENTIFIKASI!$B:$B,IDENTIFIKASI!$H:$H),"")</f>
      </c>
      <c r="D30" s="9"/>
      <c r="E30" s="9"/>
      <c r="F30" s="13">
        <f>IF(AND(D30&lt;&gt;"",E30&lt;&gt;""),D30*E30,"")</f>
      </c>
      <c r="G30" s="13">
        <f>IF(F30="","",IFS(F30&gt;=20,5,F30&gt;=16,4,F30&gt;=11,3,F30&gt;=6,2,F30&gt;0,1,TRUE,""))</f>
      </c>
      <c r="H30" s="13">
        <f>IFERROR(INDEX({"","Sangat Rendah","Rendah","Sedang","Tinggi","Sangat Tinggi"},G30+1),"")</f>
      </c>
      <c r="I30" s="9"/>
      <c r="J30" s="9"/>
      <c r="K30" s="9"/>
      <c r="L30" s="9"/>
      <c r="M30" s="9"/>
      <c r="N30" s="9"/>
      <c r="O30" s="13">
        <f>IF(A30="","",IF(AND(M30&lt;&gt;"",N30&lt;&gt;""),M30*N30,IF(AND(D30&lt;&gt;"",E30&lt;&gt;""),D30*E30,"")))</f>
      </c>
      <c r="P30" s="13">
        <f>IF(O30="","",IFS(O30&gt;=20,5,O30&gt;=16,4,O30&gt;=11,3,O30&gt;=6,2,O30&gt;0,1,TRUE,""))</f>
      </c>
      <c r="Q30" s="13">
        <f>IFERROR(INDEX({"","Sangat Rendah","Rendah","Sedang","Tinggi","Sangat Tinggi"},P30+1),"")</f>
      </c>
      <c r="R30" s="13">
        <f>IFERROR(XLOOKUP(C30,SELERA_RISIKO!$C$5:$C$11,SELERA_RISIKO!$D$5:$D$11),"")</f>
      </c>
      <c r="S30" s="13">
        <f>IF(AND(P30&lt;&gt;"",R30&lt;&gt;""),IF(P30&gt;R30,"YA ⚠","tidak"),"")</f>
      </c>
      <c r="T30" s="9"/>
    </row>
    <row r="31" ht="20" customHeight="1" spans="1:20" x14ac:dyDescent="0.25">
      <c r="A31" s="9"/>
      <c r="B31" s="13">
        <f>IFERROR(XLOOKUP(A31,IDENTIFIKASI!$B:$B,IDENTIFIKASI!$G:$G),"")</f>
      </c>
      <c r="C31" s="13">
        <f>IFERROR(XLOOKUP(A31,IDENTIFIKASI!$B:$B,IDENTIFIKASI!$H:$H),"")</f>
      </c>
      <c r="D31" s="9"/>
      <c r="E31" s="9"/>
      <c r="F31" s="13">
        <f>IF(AND(D31&lt;&gt;"",E31&lt;&gt;""),D31*E31,"")</f>
      </c>
      <c r="G31" s="13">
        <f>IF(F31="","",IFS(F31&gt;=20,5,F31&gt;=16,4,F31&gt;=11,3,F31&gt;=6,2,F31&gt;0,1,TRUE,""))</f>
      </c>
      <c r="H31" s="13">
        <f>IFERROR(INDEX({"","Sangat Rendah","Rendah","Sedang","Tinggi","Sangat Tinggi"},G31+1),"")</f>
      </c>
      <c r="I31" s="9"/>
      <c r="J31" s="9"/>
      <c r="K31" s="9"/>
      <c r="L31" s="9"/>
      <c r="M31" s="9"/>
      <c r="N31" s="9"/>
      <c r="O31" s="13">
        <f>IF(A31="","",IF(AND(M31&lt;&gt;"",N31&lt;&gt;""),M31*N31,IF(AND(D31&lt;&gt;"",E31&lt;&gt;""),D31*E31,"")))</f>
      </c>
      <c r="P31" s="13">
        <f>IF(O31="","",IFS(O31&gt;=20,5,O31&gt;=16,4,O31&gt;=11,3,O31&gt;=6,2,O31&gt;0,1,TRUE,""))</f>
      </c>
      <c r="Q31" s="13">
        <f>IFERROR(INDEX({"","Sangat Rendah","Rendah","Sedang","Tinggi","Sangat Tinggi"},P31+1),"")</f>
      </c>
      <c r="R31" s="13">
        <f>IFERROR(XLOOKUP(C31,SELERA_RISIKO!$C$5:$C$11,SELERA_RISIKO!$D$5:$D$11),"")</f>
      </c>
      <c r="S31" s="13">
        <f>IF(AND(P31&lt;&gt;"",R31&lt;&gt;""),IF(P31&gt;R31,"YA ⚠","tidak"),"")</f>
      </c>
      <c r="T31" s="9"/>
    </row>
    <row r="32" ht="20" customHeight="1" spans="1:20" x14ac:dyDescent="0.25">
      <c r="A32" s="9"/>
      <c r="B32" s="13">
        <f>IFERROR(XLOOKUP(A32,IDENTIFIKASI!$B:$B,IDENTIFIKASI!$G:$G),"")</f>
      </c>
      <c r="C32" s="13">
        <f>IFERROR(XLOOKUP(A32,IDENTIFIKASI!$B:$B,IDENTIFIKASI!$H:$H),"")</f>
      </c>
      <c r="D32" s="9"/>
      <c r="E32" s="9"/>
      <c r="F32" s="13">
        <f>IF(AND(D32&lt;&gt;"",E32&lt;&gt;""),D32*E32,"")</f>
      </c>
      <c r="G32" s="13">
        <f>IF(F32="","",IFS(F32&gt;=20,5,F32&gt;=16,4,F32&gt;=11,3,F32&gt;=6,2,F32&gt;0,1,TRUE,""))</f>
      </c>
      <c r="H32" s="13">
        <f>IFERROR(INDEX({"","Sangat Rendah","Rendah","Sedang","Tinggi","Sangat Tinggi"},G32+1),"")</f>
      </c>
      <c r="I32" s="9"/>
      <c r="J32" s="9"/>
      <c r="K32" s="9"/>
      <c r="L32" s="9"/>
      <c r="M32" s="9"/>
      <c r="N32" s="9"/>
      <c r="O32" s="13">
        <f>IF(A32="","",IF(AND(M32&lt;&gt;"",N32&lt;&gt;""),M32*N32,IF(AND(D32&lt;&gt;"",E32&lt;&gt;""),D32*E32,"")))</f>
      </c>
      <c r="P32" s="13">
        <f>IF(O32="","",IFS(O32&gt;=20,5,O32&gt;=16,4,O32&gt;=11,3,O32&gt;=6,2,O32&gt;0,1,TRUE,""))</f>
      </c>
      <c r="Q32" s="13">
        <f>IFERROR(INDEX({"","Sangat Rendah","Rendah","Sedang","Tinggi","Sangat Tinggi"},P32+1),"")</f>
      </c>
      <c r="R32" s="13">
        <f>IFERROR(XLOOKUP(C32,SELERA_RISIKO!$C$5:$C$11,SELERA_RISIKO!$D$5:$D$11),"")</f>
      </c>
      <c r="S32" s="13">
        <f>IF(AND(P32&lt;&gt;"",R32&lt;&gt;""),IF(P32&gt;R32,"YA ⚠","tidak"),"")</f>
      </c>
      <c r="T32" s="9"/>
    </row>
    <row r="33" ht="20" customHeight="1" spans="1:20" x14ac:dyDescent="0.25">
      <c r="A33" s="9"/>
      <c r="B33" s="13">
        <f>IFERROR(XLOOKUP(A33,IDENTIFIKASI!$B:$B,IDENTIFIKASI!$G:$G),"")</f>
      </c>
      <c r="C33" s="13">
        <f>IFERROR(XLOOKUP(A33,IDENTIFIKASI!$B:$B,IDENTIFIKASI!$H:$H),"")</f>
      </c>
      <c r="D33" s="9"/>
      <c r="E33" s="9"/>
      <c r="F33" s="13">
        <f>IF(AND(D33&lt;&gt;"",E33&lt;&gt;""),D33*E33,"")</f>
      </c>
      <c r="G33" s="13">
        <f>IF(F33="","",IFS(F33&gt;=20,5,F33&gt;=16,4,F33&gt;=11,3,F33&gt;=6,2,F33&gt;0,1,TRUE,""))</f>
      </c>
      <c r="H33" s="13">
        <f>IFERROR(INDEX({"","Sangat Rendah","Rendah","Sedang","Tinggi","Sangat Tinggi"},G33+1),"")</f>
      </c>
      <c r="I33" s="9"/>
      <c r="J33" s="9"/>
      <c r="K33" s="9"/>
      <c r="L33" s="9"/>
      <c r="M33" s="9"/>
      <c r="N33" s="9"/>
      <c r="O33" s="13">
        <f>IF(A33="","",IF(AND(M33&lt;&gt;"",N33&lt;&gt;""),M33*N33,IF(AND(D33&lt;&gt;"",E33&lt;&gt;""),D33*E33,"")))</f>
      </c>
      <c r="P33" s="13">
        <f>IF(O33="","",IFS(O33&gt;=20,5,O33&gt;=16,4,O33&gt;=11,3,O33&gt;=6,2,O33&gt;0,1,TRUE,""))</f>
      </c>
      <c r="Q33" s="13">
        <f>IFERROR(INDEX({"","Sangat Rendah","Rendah","Sedang","Tinggi","Sangat Tinggi"},P33+1),"")</f>
      </c>
      <c r="R33" s="13">
        <f>IFERROR(XLOOKUP(C33,SELERA_RISIKO!$C$5:$C$11,SELERA_RISIKO!$D$5:$D$11),"")</f>
      </c>
      <c r="S33" s="13">
        <f>IF(AND(P33&lt;&gt;"",R33&lt;&gt;""),IF(P33&gt;R33,"YA ⚠","tidak"),"")</f>
      </c>
      <c r="T33" s="9"/>
    </row>
    <row r="34" ht="20" customHeight="1" spans="1:20" x14ac:dyDescent="0.25">
      <c r="A34" s="9"/>
      <c r="B34" s="13">
        <f>IFERROR(XLOOKUP(A34,IDENTIFIKASI!$B:$B,IDENTIFIKASI!$G:$G),"")</f>
      </c>
      <c r="C34" s="13">
        <f>IFERROR(XLOOKUP(A34,IDENTIFIKASI!$B:$B,IDENTIFIKASI!$H:$H),"")</f>
      </c>
      <c r="D34" s="9"/>
      <c r="E34" s="9"/>
      <c r="F34" s="13">
        <f>IF(AND(D34&lt;&gt;"",E34&lt;&gt;""),D34*E34,"")</f>
      </c>
      <c r="G34" s="13">
        <f>IF(F34="","",IFS(F34&gt;=20,5,F34&gt;=16,4,F34&gt;=11,3,F34&gt;=6,2,F34&gt;0,1,TRUE,""))</f>
      </c>
      <c r="H34" s="13">
        <f>IFERROR(INDEX({"","Sangat Rendah","Rendah","Sedang","Tinggi","Sangat Tinggi"},G34+1),"")</f>
      </c>
      <c r="I34" s="9"/>
      <c r="J34" s="9"/>
      <c r="K34" s="9"/>
      <c r="L34" s="9"/>
      <c r="M34" s="9"/>
      <c r="N34" s="9"/>
      <c r="O34" s="13">
        <f>IF(A34="","",IF(AND(M34&lt;&gt;"",N34&lt;&gt;""),M34*N34,IF(AND(D34&lt;&gt;"",E34&lt;&gt;""),D34*E34,"")))</f>
      </c>
      <c r="P34" s="13">
        <f>IF(O34="","",IFS(O34&gt;=20,5,O34&gt;=16,4,O34&gt;=11,3,O34&gt;=6,2,O34&gt;0,1,TRUE,""))</f>
      </c>
      <c r="Q34" s="13">
        <f>IFERROR(INDEX({"","Sangat Rendah","Rendah","Sedang","Tinggi","Sangat Tinggi"},P34+1),"")</f>
      </c>
      <c r="R34" s="13">
        <f>IFERROR(XLOOKUP(C34,SELERA_RISIKO!$C$5:$C$11,SELERA_RISIKO!$D$5:$D$11),"")</f>
      </c>
      <c r="S34" s="13">
        <f>IF(AND(P34&lt;&gt;"",R34&lt;&gt;""),IF(P34&gt;R34,"YA ⚠","tidak"),"")</f>
      </c>
      <c r="T34" s="9"/>
    </row>
    <row r="35" ht="20" customHeight="1" spans="1:20" x14ac:dyDescent="0.25">
      <c r="A35" s="9"/>
      <c r="B35" s="13">
        <f>IFERROR(XLOOKUP(A35,IDENTIFIKASI!$B:$B,IDENTIFIKASI!$G:$G),"")</f>
      </c>
      <c r="C35" s="13">
        <f>IFERROR(XLOOKUP(A35,IDENTIFIKASI!$B:$B,IDENTIFIKASI!$H:$H),"")</f>
      </c>
      <c r="D35" s="9"/>
      <c r="E35" s="9"/>
      <c r="F35" s="13">
        <f>IF(AND(D35&lt;&gt;"",E35&lt;&gt;""),D35*E35,"")</f>
      </c>
      <c r="G35" s="13">
        <f>IF(F35="","",IFS(F35&gt;=20,5,F35&gt;=16,4,F35&gt;=11,3,F35&gt;=6,2,F35&gt;0,1,TRUE,""))</f>
      </c>
      <c r="H35" s="13">
        <f>IFERROR(INDEX({"","Sangat Rendah","Rendah","Sedang","Tinggi","Sangat Tinggi"},G35+1),"")</f>
      </c>
      <c r="I35" s="9"/>
      <c r="J35" s="9"/>
      <c r="K35" s="9"/>
      <c r="L35" s="9"/>
      <c r="M35" s="9"/>
      <c r="N35" s="9"/>
      <c r="O35" s="13">
        <f>IF(A35="","",IF(AND(M35&lt;&gt;"",N35&lt;&gt;""),M35*N35,IF(AND(D35&lt;&gt;"",E35&lt;&gt;""),D35*E35,"")))</f>
      </c>
      <c r="P35" s="13">
        <f>IF(O35="","",IFS(O35&gt;=20,5,O35&gt;=16,4,O35&gt;=11,3,O35&gt;=6,2,O35&gt;0,1,TRUE,""))</f>
      </c>
      <c r="Q35" s="13">
        <f>IFERROR(INDEX({"","Sangat Rendah","Rendah","Sedang","Tinggi","Sangat Tinggi"},P35+1),"")</f>
      </c>
      <c r="R35" s="13">
        <f>IFERROR(XLOOKUP(C35,SELERA_RISIKO!$C$5:$C$11,SELERA_RISIKO!$D$5:$D$11),"")</f>
      </c>
      <c r="S35" s="13">
        <f>IF(AND(P35&lt;&gt;"",R35&lt;&gt;""),IF(P35&gt;R35,"YA ⚠","tidak"),"")</f>
      </c>
      <c r="T35" s="9"/>
    </row>
    <row r="36" ht="20" customHeight="1" spans="1:20" x14ac:dyDescent="0.25">
      <c r="A36" s="9"/>
      <c r="B36" s="13">
        <f>IFERROR(XLOOKUP(A36,IDENTIFIKASI!$B:$B,IDENTIFIKASI!$G:$G),"")</f>
      </c>
      <c r="C36" s="13">
        <f>IFERROR(XLOOKUP(A36,IDENTIFIKASI!$B:$B,IDENTIFIKASI!$H:$H),"")</f>
      </c>
      <c r="D36" s="9"/>
      <c r="E36" s="9"/>
      <c r="F36" s="13">
        <f>IF(AND(D36&lt;&gt;"",E36&lt;&gt;""),D36*E36,"")</f>
      </c>
      <c r="G36" s="13">
        <f>IF(F36="","",IFS(F36&gt;=20,5,F36&gt;=16,4,F36&gt;=11,3,F36&gt;=6,2,F36&gt;0,1,TRUE,""))</f>
      </c>
      <c r="H36" s="13">
        <f>IFERROR(INDEX({"","Sangat Rendah","Rendah","Sedang","Tinggi","Sangat Tinggi"},G36+1),"")</f>
      </c>
      <c r="I36" s="9"/>
      <c r="J36" s="9"/>
      <c r="K36" s="9"/>
      <c r="L36" s="9"/>
      <c r="M36" s="9"/>
      <c r="N36" s="9"/>
      <c r="O36" s="13">
        <f>IF(A36="","",IF(AND(M36&lt;&gt;"",N36&lt;&gt;""),M36*N36,IF(AND(D36&lt;&gt;"",E36&lt;&gt;""),D36*E36,"")))</f>
      </c>
      <c r="P36" s="13">
        <f>IF(O36="","",IFS(O36&gt;=20,5,O36&gt;=16,4,O36&gt;=11,3,O36&gt;=6,2,O36&gt;0,1,TRUE,""))</f>
      </c>
      <c r="Q36" s="13">
        <f>IFERROR(INDEX({"","Sangat Rendah","Rendah","Sedang","Tinggi","Sangat Tinggi"},P36+1),"")</f>
      </c>
      <c r="R36" s="13">
        <f>IFERROR(XLOOKUP(C36,SELERA_RISIKO!$C$5:$C$11,SELERA_RISIKO!$D$5:$D$11),"")</f>
      </c>
      <c r="S36" s="13">
        <f>IF(AND(P36&lt;&gt;"",R36&lt;&gt;""),IF(P36&gt;R36,"YA ⚠","tidak"),"")</f>
      </c>
      <c r="T36" s="9"/>
    </row>
    <row r="37" ht="20" customHeight="1" spans="1:20" x14ac:dyDescent="0.25">
      <c r="A37" s="9"/>
      <c r="B37" s="13">
        <f>IFERROR(XLOOKUP(A37,IDENTIFIKASI!$B:$B,IDENTIFIKASI!$G:$G),"")</f>
      </c>
      <c r="C37" s="13">
        <f>IFERROR(XLOOKUP(A37,IDENTIFIKASI!$B:$B,IDENTIFIKASI!$H:$H),"")</f>
      </c>
      <c r="D37" s="9"/>
      <c r="E37" s="9"/>
      <c r="F37" s="13">
        <f>IF(AND(D37&lt;&gt;"",E37&lt;&gt;""),D37*E37,"")</f>
      </c>
      <c r="G37" s="13">
        <f>IF(F37="","",IFS(F37&gt;=20,5,F37&gt;=16,4,F37&gt;=11,3,F37&gt;=6,2,F37&gt;0,1,TRUE,""))</f>
      </c>
      <c r="H37" s="13">
        <f>IFERROR(INDEX({"","Sangat Rendah","Rendah","Sedang","Tinggi","Sangat Tinggi"},G37+1),"")</f>
      </c>
      <c r="I37" s="9"/>
      <c r="J37" s="9"/>
      <c r="K37" s="9"/>
      <c r="L37" s="9"/>
      <c r="M37" s="9"/>
      <c r="N37" s="9"/>
      <c r="O37" s="13">
        <f>IF(A37="","",IF(AND(M37&lt;&gt;"",N37&lt;&gt;""),M37*N37,IF(AND(D37&lt;&gt;"",E37&lt;&gt;""),D37*E37,"")))</f>
      </c>
      <c r="P37" s="13">
        <f>IF(O37="","",IFS(O37&gt;=20,5,O37&gt;=16,4,O37&gt;=11,3,O37&gt;=6,2,O37&gt;0,1,TRUE,""))</f>
      </c>
      <c r="Q37" s="13">
        <f>IFERROR(INDEX({"","Sangat Rendah","Rendah","Sedang","Tinggi","Sangat Tinggi"},P37+1),"")</f>
      </c>
      <c r="R37" s="13">
        <f>IFERROR(XLOOKUP(C37,SELERA_RISIKO!$C$5:$C$11,SELERA_RISIKO!$D$5:$D$11),"")</f>
      </c>
      <c r="S37" s="13">
        <f>IF(AND(P37&lt;&gt;"",R37&lt;&gt;""),IF(P37&gt;R37,"YA ⚠","tidak"),"")</f>
      </c>
      <c r="T37" s="9"/>
    </row>
    <row r="38" ht="20" customHeight="1" spans="1:20" x14ac:dyDescent="0.25">
      <c r="A38" s="9"/>
      <c r="B38" s="13">
        <f>IFERROR(XLOOKUP(A38,IDENTIFIKASI!$B:$B,IDENTIFIKASI!$G:$G),"")</f>
      </c>
      <c r="C38" s="13">
        <f>IFERROR(XLOOKUP(A38,IDENTIFIKASI!$B:$B,IDENTIFIKASI!$H:$H),"")</f>
      </c>
      <c r="D38" s="9"/>
      <c r="E38" s="9"/>
      <c r="F38" s="13">
        <f>IF(AND(D38&lt;&gt;"",E38&lt;&gt;""),D38*E38,"")</f>
      </c>
      <c r="G38" s="13">
        <f>IF(F38="","",IFS(F38&gt;=20,5,F38&gt;=16,4,F38&gt;=11,3,F38&gt;=6,2,F38&gt;0,1,TRUE,""))</f>
      </c>
      <c r="H38" s="13">
        <f>IFERROR(INDEX({"","Sangat Rendah","Rendah","Sedang","Tinggi","Sangat Tinggi"},G38+1),"")</f>
      </c>
      <c r="I38" s="9"/>
      <c r="J38" s="9"/>
      <c r="K38" s="9"/>
      <c r="L38" s="9"/>
      <c r="M38" s="9"/>
      <c r="N38" s="9"/>
      <c r="O38" s="13">
        <f>IF(A38="","",IF(AND(M38&lt;&gt;"",N38&lt;&gt;""),M38*N38,IF(AND(D38&lt;&gt;"",E38&lt;&gt;""),D38*E38,"")))</f>
      </c>
      <c r="P38" s="13">
        <f>IF(O38="","",IFS(O38&gt;=20,5,O38&gt;=16,4,O38&gt;=11,3,O38&gt;=6,2,O38&gt;0,1,TRUE,""))</f>
      </c>
      <c r="Q38" s="13">
        <f>IFERROR(INDEX({"","Sangat Rendah","Rendah","Sedang","Tinggi","Sangat Tinggi"},P38+1),"")</f>
      </c>
      <c r="R38" s="13">
        <f>IFERROR(XLOOKUP(C38,SELERA_RISIKO!$C$5:$C$11,SELERA_RISIKO!$D$5:$D$11),"")</f>
      </c>
      <c r="S38" s="13">
        <f>IF(AND(P38&lt;&gt;"",R38&lt;&gt;""),IF(P38&gt;R38,"YA ⚠","tidak"),"")</f>
      </c>
      <c r="T38" s="9"/>
    </row>
    <row r="39" ht="20" customHeight="1" spans="1:20" x14ac:dyDescent="0.25">
      <c r="A39" s="9"/>
      <c r="B39" s="13">
        <f>IFERROR(XLOOKUP(A39,IDENTIFIKASI!$B:$B,IDENTIFIKASI!$G:$G),"")</f>
      </c>
      <c r="C39" s="13">
        <f>IFERROR(XLOOKUP(A39,IDENTIFIKASI!$B:$B,IDENTIFIKASI!$H:$H),"")</f>
      </c>
      <c r="D39" s="9"/>
      <c r="E39" s="9"/>
      <c r="F39" s="13">
        <f>IF(AND(D39&lt;&gt;"",E39&lt;&gt;""),D39*E39,"")</f>
      </c>
      <c r="G39" s="13">
        <f>IF(F39="","",IFS(F39&gt;=20,5,F39&gt;=16,4,F39&gt;=11,3,F39&gt;=6,2,F39&gt;0,1,TRUE,""))</f>
      </c>
      <c r="H39" s="13">
        <f>IFERROR(INDEX({"","Sangat Rendah","Rendah","Sedang","Tinggi","Sangat Tinggi"},G39+1),"")</f>
      </c>
      <c r="I39" s="9"/>
      <c r="J39" s="9"/>
      <c r="K39" s="9"/>
      <c r="L39" s="9"/>
      <c r="M39" s="9"/>
      <c r="N39" s="9"/>
      <c r="O39" s="13">
        <f>IF(A39="","",IF(AND(M39&lt;&gt;"",N39&lt;&gt;""),M39*N39,IF(AND(D39&lt;&gt;"",E39&lt;&gt;""),D39*E39,"")))</f>
      </c>
      <c r="P39" s="13">
        <f>IF(O39="","",IFS(O39&gt;=20,5,O39&gt;=16,4,O39&gt;=11,3,O39&gt;=6,2,O39&gt;0,1,TRUE,""))</f>
      </c>
      <c r="Q39" s="13">
        <f>IFERROR(INDEX({"","Sangat Rendah","Rendah","Sedang","Tinggi","Sangat Tinggi"},P39+1),"")</f>
      </c>
      <c r="R39" s="13">
        <f>IFERROR(XLOOKUP(C39,SELERA_RISIKO!$C$5:$C$11,SELERA_RISIKO!$D$5:$D$11),"")</f>
      </c>
      <c r="S39" s="13">
        <f>IF(AND(P39&lt;&gt;"",R39&lt;&gt;""),IF(P39&gt;R39,"YA ⚠","tidak"),"")</f>
      </c>
      <c r="T39" s="9"/>
    </row>
    <row r="40" ht="20" customHeight="1" spans="1:20" x14ac:dyDescent="0.25">
      <c r="A40" s="9"/>
      <c r="B40" s="13">
        <f>IFERROR(XLOOKUP(A40,IDENTIFIKASI!$B:$B,IDENTIFIKASI!$G:$G),"")</f>
      </c>
      <c r="C40" s="13">
        <f>IFERROR(XLOOKUP(A40,IDENTIFIKASI!$B:$B,IDENTIFIKASI!$H:$H),"")</f>
      </c>
      <c r="D40" s="9"/>
      <c r="E40" s="9"/>
      <c r="F40" s="13">
        <f>IF(AND(D40&lt;&gt;"",E40&lt;&gt;""),D40*E40,"")</f>
      </c>
      <c r="G40" s="13">
        <f>IF(F40="","",IFS(F40&gt;=20,5,F40&gt;=16,4,F40&gt;=11,3,F40&gt;=6,2,F40&gt;0,1,TRUE,""))</f>
      </c>
      <c r="H40" s="13">
        <f>IFERROR(INDEX({"","Sangat Rendah","Rendah","Sedang","Tinggi","Sangat Tinggi"},G40+1),"")</f>
      </c>
      <c r="I40" s="9"/>
      <c r="J40" s="9"/>
      <c r="K40" s="9"/>
      <c r="L40" s="9"/>
      <c r="M40" s="9"/>
      <c r="N40" s="9"/>
      <c r="O40" s="13">
        <f>IF(A40="","",IF(AND(M40&lt;&gt;"",N40&lt;&gt;""),M40*N40,IF(AND(D40&lt;&gt;"",E40&lt;&gt;""),D40*E40,"")))</f>
      </c>
      <c r="P40" s="13">
        <f>IF(O40="","",IFS(O40&gt;=20,5,O40&gt;=16,4,O40&gt;=11,3,O40&gt;=6,2,O40&gt;0,1,TRUE,""))</f>
      </c>
      <c r="Q40" s="13">
        <f>IFERROR(INDEX({"","Sangat Rendah","Rendah","Sedang","Tinggi","Sangat Tinggi"},P40+1),"")</f>
      </c>
      <c r="R40" s="13">
        <f>IFERROR(XLOOKUP(C40,SELERA_RISIKO!$C$5:$C$11,SELERA_RISIKO!$D$5:$D$11),"")</f>
      </c>
      <c r="S40" s="13">
        <f>IF(AND(P40&lt;&gt;"",R40&lt;&gt;""),IF(P40&gt;R40,"YA ⚠","tidak"),"")</f>
      </c>
      <c r="T40" s="9"/>
    </row>
    <row r="41" ht="20" customHeight="1" spans="1:20" x14ac:dyDescent="0.25">
      <c r="A41" s="9"/>
      <c r="B41" s="13">
        <f>IFERROR(XLOOKUP(A41,IDENTIFIKASI!$B:$B,IDENTIFIKASI!$G:$G),"")</f>
      </c>
      <c r="C41" s="13">
        <f>IFERROR(XLOOKUP(A41,IDENTIFIKASI!$B:$B,IDENTIFIKASI!$H:$H),"")</f>
      </c>
      <c r="D41" s="9"/>
      <c r="E41" s="9"/>
      <c r="F41" s="13">
        <f>IF(AND(D41&lt;&gt;"",E41&lt;&gt;""),D41*E41,"")</f>
      </c>
      <c r="G41" s="13">
        <f>IF(F41="","",IFS(F41&gt;=20,5,F41&gt;=16,4,F41&gt;=11,3,F41&gt;=6,2,F41&gt;0,1,TRUE,""))</f>
      </c>
      <c r="H41" s="13">
        <f>IFERROR(INDEX({"","Sangat Rendah","Rendah","Sedang","Tinggi","Sangat Tinggi"},G41+1),"")</f>
      </c>
      <c r="I41" s="9"/>
      <c r="J41" s="9"/>
      <c r="K41" s="9"/>
      <c r="L41" s="9"/>
      <c r="M41" s="9"/>
      <c r="N41" s="9"/>
      <c r="O41" s="13">
        <f>IF(A41="","",IF(AND(M41&lt;&gt;"",N41&lt;&gt;""),M41*N41,IF(AND(D41&lt;&gt;"",E41&lt;&gt;""),D41*E41,"")))</f>
      </c>
      <c r="P41" s="13">
        <f>IF(O41="","",IFS(O41&gt;=20,5,O41&gt;=16,4,O41&gt;=11,3,O41&gt;=6,2,O41&gt;0,1,TRUE,""))</f>
      </c>
      <c r="Q41" s="13">
        <f>IFERROR(INDEX({"","Sangat Rendah","Rendah","Sedang","Tinggi","Sangat Tinggi"},P41+1),"")</f>
      </c>
      <c r="R41" s="13">
        <f>IFERROR(XLOOKUP(C41,SELERA_RISIKO!$C$5:$C$11,SELERA_RISIKO!$D$5:$D$11),"")</f>
      </c>
      <c r="S41" s="13">
        <f>IF(AND(P41&lt;&gt;"",R41&lt;&gt;""),IF(P41&gt;R41,"YA ⚠","tidak"),"")</f>
      </c>
      <c r="T41" s="9"/>
    </row>
    <row r="42" ht="20" customHeight="1" spans="1:20" x14ac:dyDescent="0.25">
      <c r="A42" s="9"/>
      <c r="B42" s="13">
        <f>IFERROR(XLOOKUP(A42,IDENTIFIKASI!$B:$B,IDENTIFIKASI!$G:$G),"")</f>
      </c>
      <c r="C42" s="13">
        <f>IFERROR(XLOOKUP(A42,IDENTIFIKASI!$B:$B,IDENTIFIKASI!$H:$H),"")</f>
      </c>
      <c r="D42" s="9"/>
      <c r="E42" s="9"/>
      <c r="F42" s="13">
        <f>IF(AND(D42&lt;&gt;"",E42&lt;&gt;""),D42*E42,"")</f>
      </c>
      <c r="G42" s="13">
        <f>IF(F42="","",IFS(F42&gt;=20,5,F42&gt;=16,4,F42&gt;=11,3,F42&gt;=6,2,F42&gt;0,1,TRUE,""))</f>
      </c>
      <c r="H42" s="13">
        <f>IFERROR(INDEX({"","Sangat Rendah","Rendah","Sedang","Tinggi","Sangat Tinggi"},G42+1),"")</f>
      </c>
      <c r="I42" s="9"/>
      <c r="J42" s="9"/>
      <c r="K42" s="9"/>
      <c r="L42" s="9"/>
      <c r="M42" s="9"/>
      <c r="N42" s="9"/>
      <c r="O42" s="13">
        <f>IF(A42="","",IF(AND(M42&lt;&gt;"",N42&lt;&gt;""),M42*N42,IF(AND(D42&lt;&gt;"",E42&lt;&gt;""),D42*E42,"")))</f>
      </c>
      <c r="P42" s="13">
        <f>IF(O42="","",IFS(O42&gt;=20,5,O42&gt;=16,4,O42&gt;=11,3,O42&gt;=6,2,O42&gt;0,1,TRUE,""))</f>
      </c>
      <c r="Q42" s="13">
        <f>IFERROR(INDEX({"","Sangat Rendah","Rendah","Sedang","Tinggi","Sangat Tinggi"},P42+1),"")</f>
      </c>
      <c r="R42" s="13">
        <f>IFERROR(XLOOKUP(C42,SELERA_RISIKO!$C$5:$C$11,SELERA_RISIKO!$D$5:$D$11),"")</f>
      </c>
      <c r="S42" s="13">
        <f>IF(AND(P42&lt;&gt;"",R42&lt;&gt;""),IF(P42&gt;R42,"YA ⚠","tidak"),"")</f>
      </c>
      <c r="T42" s="9"/>
    </row>
    <row r="43" ht="20" customHeight="1" spans="1:20" x14ac:dyDescent="0.25">
      <c r="A43" s="9"/>
      <c r="B43" s="13">
        <f>IFERROR(XLOOKUP(A43,IDENTIFIKASI!$B:$B,IDENTIFIKASI!$G:$G),"")</f>
      </c>
      <c r="C43" s="13">
        <f>IFERROR(XLOOKUP(A43,IDENTIFIKASI!$B:$B,IDENTIFIKASI!$H:$H),"")</f>
      </c>
      <c r="D43" s="9"/>
      <c r="E43" s="9"/>
      <c r="F43" s="13">
        <f>IF(AND(D43&lt;&gt;"",E43&lt;&gt;""),D43*E43,"")</f>
      </c>
      <c r="G43" s="13">
        <f>IF(F43="","",IFS(F43&gt;=20,5,F43&gt;=16,4,F43&gt;=11,3,F43&gt;=6,2,F43&gt;0,1,TRUE,""))</f>
      </c>
      <c r="H43" s="13">
        <f>IFERROR(INDEX({"","Sangat Rendah","Rendah","Sedang","Tinggi","Sangat Tinggi"},G43+1),"")</f>
      </c>
      <c r="I43" s="9"/>
      <c r="J43" s="9"/>
      <c r="K43" s="9"/>
      <c r="L43" s="9"/>
      <c r="M43" s="9"/>
      <c r="N43" s="9"/>
      <c r="O43" s="13">
        <f>IF(A43="","",IF(AND(M43&lt;&gt;"",N43&lt;&gt;""),M43*N43,IF(AND(D43&lt;&gt;"",E43&lt;&gt;""),D43*E43,"")))</f>
      </c>
      <c r="P43" s="13">
        <f>IF(O43="","",IFS(O43&gt;=20,5,O43&gt;=16,4,O43&gt;=11,3,O43&gt;=6,2,O43&gt;0,1,TRUE,""))</f>
      </c>
      <c r="Q43" s="13">
        <f>IFERROR(INDEX({"","Sangat Rendah","Rendah","Sedang","Tinggi","Sangat Tinggi"},P43+1),"")</f>
      </c>
      <c r="R43" s="13">
        <f>IFERROR(XLOOKUP(C43,SELERA_RISIKO!$C$5:$C$11,SELERA_RISIKO!$D$5:$D$11),"")</f>
      </c>
      <c r="S43" s="13">
        <f>IF(AND(P43&lt;&gt;"",R43&lt;&gt;""),IF(P43&gt;R43,"YA ⚠","tidak"),"")</f>
      </c>
      <c r="T43" s="9"/>
    </row>
    <row r="44" ht="20" customHeight="1" spans="1:20" x14ac:dyDescent="0.25">
      <c r="A44" s="9"/>
      <c r="B44" s="13">
        <f>IFERROR(XLOOKUP(A44,IDENTIFIKASI!$B:$B,IDENTIFIKASI!$G:$G),"")</f>
      </c>
      <c r="C44" s="13">
        <f>IFERROR(XLOOKUP(A44,IDENTIFIKASI!$B:$B,IDENTIFIKASI!$H:$H),"")</f>
      </c>
      <c r="D44" s="9"/>
      <c r="E44" s="9"/>
      <c r="F44" s="13">
        <f>IF(AND(D44&lt;&gt;"",E44&lt;&gt;""),D44*E44,"")</f>
      </c>
      <c r="G44" s="13">
        <f>IF(F44="","",IFS(F44&gt;=20,5,F44&gt;=16,4,F44&gt;=11,3,F44&gt;=6,2,F44&gt;0,1,TRUE,""))</f>
      </c>
      <c r="H44" s="13">
        <f>IFERROR(INDEX({"","Sangat Rendah","Rendah","Sedang","Tinggi","Sangat Tinggi"},G44+1),"")</f>
      </c>
      <c r="I44" s="9"/>
      <c r="J44" s="9"/>
      <c r="K44" s="9"/>
      <c r="L44" s="9"/>
      <c r="M44" s="9"/>
      <c r="N44" s="9"/>
      <c r="O44" s="13">
        <f>IF(A44="","",IF(AND(M44&lt;&gt;"",N44&lt;&gt;""),M44*N44,IF(AND(D44&lt;&gt;"",E44&lt;&gt;""),D44*E44,"")))</f>
      </c>
      <c r="P44" s="13">
        <f>IF(O44="","",IFS(O44&gt;=20,5,O44&gt;=16,4,O44&gt;=11,3,O44&gt;=6,2,O44&gt;0,1,TRUE,""))</f>
      </c>
      <c r="Q44" s="13">
        <f>IFERROR(INDEX({"","Sangat Rendah","Rendah","Sedang","Tinggi","Sangat Tinggi"},P44+1),"")</f>
      </c>
      <c r="R44" s="13">
        <f>IFERROR(XLOOKUP(C44,SELERA_RISIKO!$C$5:$C$11,SELERA_RISIKO!$D$5:$D$11),"")</f>
      </c>
      <c r="S44" s="13">
        <f>IF(AND(P44&lt;&gt;"",R44&lt;&gt;""),IF(P44&gt;R44,"YA ⚠","tidak"),"")</f>
      </c>
      <c r="T44" s="9"/>
    </row>
    <row r="45" ht="20" customHeight="1" spans="1:20" x14ac:dyDescent="0.25">
      <c r="A45" s="9"/>
      <c r="B45" s="13">
        <f>IFERROR(XLOOKUP(A45,IDENTIFIKASI!$B:$B,IDENTIFIKASI!$G:$G),"")</f>
      </c>
      <c r="C45" s="13">
        <f>IFERROR(XLOOKUP(A45,IDENTIFIKASI!$B:$B,IDENTIFIKASI!$H:$H),"")</f>
      </c>
      <c r="D45" s="9"/>
      <c r="E45" s="9"/>
      <c r="F45" s="13">
        <f>IF(AND(D45&lt;&gt;"",E45&lt;&gt;""),D45*E45,"")</f>
      </c>
      <c r="G45" s="13">
        <f>IF(F45="","",IFS(F45&gt;=20,5,F45&gt;=16,4,F45&gt;=11,3,F45&gt;=6,2,F45&gt;0,1,TRUE,""))</f>
      </c>
      <c r="H45" s="13">
        <f>IFERROR(INDEX({"","Sangat Rendah","Rendah","Sedang","Tinggi","Sangat Tinggi"},G45+1),"")</f>
      </c>
      <c r="I45" s="9"/>
      <c r="J45" s="9"/>
      <c r="K45" s="9"/>
      <c r="L45" s="9"/>
      <c r="M45" s="9"/>
      <c r="N45" s="9"/>
      <c r="O45" s="13">
        <f>IF(A45="","",IF(AND(M45&lt;&gt;"",N45&lt;&gt;""),M45*N45,IF(AND(D45&lt;&gt;"",E45&lt;&gt;""),D45*E45,"")))</f>
      </c>
      <c r="P45" s="13">
        <f>IF(O45="","",IFS(O45&gt;=20,5,O45&gt;=16,4,O45&gt;=11,3,O45&gt;=6,2,O45&gt;0,1,TRUE,""))</f>
      </c>
      <c r="Q45" s="13">
        <f>IFERROR(INDEX({"","Sangat Rendah","Rendah","Sedang","Tinggi","Sangat Tinggi"},P45+1),"")</f>
      </c>
      <c r="R45" s="13">
        <f>IFERROR(XLOOKUP(C45,SELERA_RISIKO!$C$5:$C$11,SELERA_RISIKO!$D$5:$D$11),"")</f>
      </c>
      <c r="S45" s="13">
        <f>IF(AND(P45&lt;&gt;"",R45&lt;&gt;""),IF(P45&gt;R45,"YA ⚠","tidak"),"")</f>
      </c>
      <c r="T45" s="9"/>
    </row>
    <row r="46" ht="20" customHeight="1" spans="1:20" x14ac:dyDescent="0.25">
      <c r="A46" s="9"/>
      <c r="B46" s="13">
        <f>IFERROR(XLOOKUP(A46,IDENTIFIKASI!$B:$B,IDENTIFIKASI!$G:$G),"")</f>
      </c>
      <c r="C46" s="13">
        <f>IFERROR(XLOOKUP(A46,IDENTIFIKASI!$B:$B,IDENTIFIKASI!$H:$H),"")</f>
      </c>
      <c r="D46" s="9"/>
      <c r="E46" s="9"/>
      <c r="F46" s="13">
        <f>IF(AND(D46&lt;&gt;"",E46&lt;&gt;""),D46*E46,"")</f>
      </c>
      <c r="G46" s="13">
        <f>IF(F46="","",IFS(F46&gt;=20,5,F46&gt;=16,4,F46&gt;=11,3,F46&gt;=6,2,F46&gt;0,1,TRUE,""))</f>
      </c>
      <c r="H46" s="13">
        <f>IFERROR(INDEX({"","Sangat Rendah","Rendah","Sedang","Tinggi","Sangat Tinggi"},G46+1),"")</f>
      </c>
      <c r="I46" s="9"/>
      <c r="J46" s="9"/>
      <c r="K46" s="9"/>
      <c r="L46" s="9"/>
      <c r="M46" s="9"/>
      <c r="N46" s="9"/>
      <c r="O46" s="13">
        <f>IF(A46="","",IF(AND(M46&lt;&gt;"",N46&lt;&gt;""),M46*N46,IF(AND(D46&lt;&gt;"",E46&lt;&gt;""),D46*E46,"")))</f>
      </c>
      <c r="P46" s="13">
        <f>IF(O46="","",IFS(O46&gt;=20,5,O46&gt;=16,4,O46&gt;=11,3,O46&gt;=6,2,O46&gt;0,1,TRUE,""))</f>
      </c>
      <c r="Q46" s="13">
        <f>IFERROR(INDEX({"","Sangat Rendah","Rendah","Sedang","Tinggi","Sangat Tinggi"},P46+1),"")</f>
      </c>
      <c r="R46" s="13">
        <f>IFERROR(XLOOKUP(C46,SELERA_RISIKO!$C$5:$C$11,SELERA_RISIKO!$D$5:$D$11),"")</f>
      </c>
      <c r="S46" s="13">
        <f>IF(AND(P46&lt;&gt;"",R46&lt;&gt;""),IF(P46&gt;R46,"YA ⚠","tidak"),"")</f>
      </c>
      <c r="T46" s="9"/>
    </row>
    <row r="47" ht="20" customHeight="1" spans="1:20" x14ac:dyDescent="0.25">
      <c r="A47" s="9"/>
      <c r="B47" s="13">
        <f>IFERROR(XLOOKUP(A47,IDENTIFIKASI!$B:$B,IDENTIFIKASI!$G:$G),"")</f>
      </c>
      <c r="C47" s="13">
        <f>IFERROR(XLOOKUP(A47,IDENTIFIKASI!$B:$B,IDENTIFIKASI!$H:$H),"")</f>
      </c>
      <c r="D47" s="9"/>
      <c r="E47" s="9"/>
      <c r="F47" s="13">
        <f>IF(AND(D47&lt;&gt;"",E47&lt;&gt;""),D47*E47,"")</f>
      </c>
      <c r="G47" s="13">
        <f>IF(F47="","",IFS(F47&gt;=20,5,F47&gt;=16,4,F47&gt;=11,3,F47&gt;=6,2,F47&gt;0,1,TRUE,""))</f>
      </c>
      <c r="H47" s="13">
        <f>IFERROR(INDEX({"","Sangat Rendah","Rendah","Sedang","Tinggi","Sangat Tinggi"},G47+1),"")</f>
      </c>
      <c r="I47" s="9"/>
      <c r="J47" s="9"/>
      <c r="K47" s="9"/>
      <c r="L47" s="9"/>
      <c r="M47" s="9"/>
      <c r="N47" s="9"/>
      <c r="O47" s="13">
        <f>IF(A47="","",IF(AND(M47&lt;&gt;"",N47&lt;&gt;""),M47*N47,IF(AND(D47&lt;&gt;"",E47&lt;&gt;""),D47*E47,"")))</f>
      </c>
      <c r="P47" s="13">
        <f>IF(O47="","",IFS(O47&gt;=20,5,O47&gt;=16,4,O47&gt;=11,3,O47&gt;=6,2,O47&gt;0,1,TRUE,""))</f>
      </c>
      <c r="Q47" s="13">
        <f>IFERROR(INDEX({"","Sangat Rendah","Rendah","Sedang","Tinggi","Sangat Tinggi"},P47+1),"")</f>
      </c>
      <c r="R47" s="13">
        <f>IFERROR(XLOOKUP(C47,SELERA_RISIKO!$C$5:$C$11,SELERA_RISIKO!$D$5:$D$11),"")</f>
      </c>
      <c r="S47" s="13">
        <f>IF(AND(P47&lt;&gt;"",R47&lt;&gt;""),IF(P47&gt;R47,"YA ⚠","tidak"),"")</f>
      </c>
      <c r="T47" s="9"/>
    </row>
    <row r="48" ht="20" customHeight="1" spans="1:20" x14ac:dyDescent="0.25">
      <c r="A48" s="9"/>
      <c r="B48" s="13">
        <f>IFERROR(XLOOKUP(A48,IDENTIFIKASI!$B:$B,IDENTIFIKASI!$G:$G),"")</f>
      </c>
      <c r="C48" s="13">
        <f>IFERROR(XLOOKUP(A48,IDENTIFIKASI!$B:$B,IDENTIFIKASI!$H:$H),"")</f>
      </c>
      <c r="D48" s="9"/>
      <c r="E48" s="9"/>
      <c r="F48" s="13">
        <f>IF(AND(D48&lt;&gt;"",E48&lt;&gt;""),D48*E48,"")</f>
      </c>
      <c r="G48" s="13">
        <f>IF(F48="","",IFS(F48&gt;=20,5,F48&gt;=16,4,F48&gt;=11,3,F48&gt;=6,2,F48&gt;0,1,TRUE,""))</f>
      </c>
      <c r="H48" s="13">
        <f>IFERROR(INDEX({"","Sangat Rendah","Rendah","Sedang","Tinggi","Sangat Tinggi"},G48+1),"")</f>
      </c>
      <c r="I48" s="9"/>
      <c r="J48" s="9"/>
      <c r="K48" s="9"/>
      <c r="L48" s="9"/>
      <c r="M48" s="9"/>
      <c r="N48" s="9"/>
      <c r="O48" s="13">
        <f>IF(A48="","",IF(AND(M48&lt;&gt;"",N48&lt;&gt;""),M48*N48,IF(AND(D48&lt;&gt;"",E48&lt;&gt;""),D48*E48,"")))</f>
      </c>
      <c r="P48" s="13">
        <f>IF(O48="","",IFS(O48&gt;=20,5,O48&gt;=16,4,O48&gt;=11,3,O48&gt;=6,2,O48&gt;0,1,TRUE,""))</f>
      </c>
      <c r="Q48" s="13">
        <f>IFERROR(INDEX({"","Sangat Rendah","Rendah","Sedang","Tinggi","Sangat Tinggi"},P48+1),"")</f>
      </c>
      <c r="R48" s="13">
        <f>IFERROR(XLOOKUP(C48,SELERA_RISIKO!$C$5:$C$11,SELERA_RISIKO!$D$5:$D$11),"")</f>
      </c>
      <c r="S48" s="13">
        <f>IF(AND(P48&lt;&gt;"",R48&lt;&gt;""),IF(P48&gt;R48,"YA ⚠","tidak"),"")</f>
      </c>
      <c r="T48" s="9"/>
    </row>
    <row r="49" ht="20" customHeight="1" spans="1:20" x14ac:dyDescent="0.25">
      <c r="A49" s="9"/>
      <c r="B49" s="13">
        <f>IFERROR(XLOOKUP(A49,IDENTIFIKASI!$B:$B,IDENTIFIKASI!$G:$G),"")</f>
      </c>
      <c r="C49" s="13">
        <f>IFERROR(XLOOKUP(A49,IDENTIFIKASI!$B:$B,IDENTIFIKASI!$H:$H),"")</f>
      </c>
      <c r="D49" s="9"/>
      <c r="E49" s="9"/>
      <c r="F49" s="13">
        <f>IF(AND(D49&lt;&gt;"",E49&lt;&gt;""),D49*E49,"")</f>
      </c>
      <c r="G49" s="13">
        <f>IF(F49="","",IFS(F49&gt;=20,5,F49&gt;=16,4,F49&gt;=11,3,F49&gt;=6,2,F49&gt;0,1,TRUE,""))</f>
      </c>
      <c r="H49" s="13">
        <f>IFERROR(INDEX({"","Sangat Rendah","Rendah","Sedang","Tinggi","Sangat Tinggi"},G49+1),"")</f>
      </c>
      <c r="I49" s="9"/>
      <c r="J49" s="9"/>
      <c r="K49" s="9"/>
      <c r="L49" s="9"/>
      <c r="M49" s="9"/>
      <c r="N49" s="9"/>
      <c r="O49" s="13">
        <f>IF(A49="","",IF(AND(M49&lt;&gt;"",N49&lt;&gt;""),M49*N49,IF(AND(D49&lt;&gt;"",E49&lt;&gt;""),D49*E49,"")))</f>
      </c>
      <c r="P49" s="13">
        <f>IF(O49="","",IFS(O49&gt;=20,5,O49&gt;=16,4,O49&gt;=11,3,O49&gt;=6,2,O49&gt;0,1,TRUE,""))</f>
      </c>
      <c r="Q49" s="13">
        <f>IFERROR(INDEX({"","Sangat Rendah","Rendah","Sedang","Tinggi","Sangat Tinggi"},P49+1),"")</f>
      </c>
      <c r="R49" s="13">
        <f>IFERROR(XLOOKUP(C49,SELERA_RISIKO!$C$5:$C$11,SELERA_RISIKO!$D$5:$D$11),"")</f>
      </c>
      <c r="S49" s="13">
        <f>IF(AND(P49&lt;&gt;"",R49&lt;&gt;""),IF(P49&gt;R49,"YA ⚠","tidak"),"")</f>
      </c>
      <c r="T49" s="9"/>
    </row>
    <row r="50" ht="20" customHeight="1" spans="1:20" x14ac:dyDescent="0.25">
      <c r="A50" s="9"/>
      <c r="B50" s="13">
        <f>IFERROR(XLOOKUP(A50,IDENTIFIKASI!$B:$B,IDENTIFIKASI!$G:$G),"")</f>
      </c>
      <c r="C50" s="13">
        <f>IFERROR(XLOOKUP(A50,IDENTIFIKASI!$B:$B,IDENTIFIKASI!$H:$H),"")</f>
      </c>
      <c r="D50" s="9"/>
      <c r="E50" s="9"/>
      <c r="F50" s="13">
        <f>IF(AND(D50&lt;&gt;"",E50&lt;&gt;""),D50*E50,"")</f>
      </c>
      <c r="G50" s="13">
        <f>IF(F50="","",IFS(F50&gt;=20,5,F50&gt;=16,4,F50&gt;=11,3,F50&gt;=6,2,F50&gt;0,1,TRUE,""))</f>
      </c>
      <c r="H50" s="13">
        <f>IFERROR(INDEX({"","Sangat Rendah","Rendah","Sedang","Tinggi","Sangat Tinggi"},G50+1),"")</f>
      </c>
      <c r="I50" s="9"/>
      <c r="J50" s="9"/>
      <c r="K50" s="9"/>
      <c r="L50" s="9"/>
      <c r="M50" s="9"/>
      <c r="N50" s="9"/>
      <c r="O50" s="13">
        <f>IF(A50="","",IF(AND(M50&lt;&gt;"",N50&lt;&gt;""),M50*N50,IF(AND(D50&lt;&gt;"",E50&lt;&gt;""),D50*E50,"")))</f>
      </c>
      <c r="P50" s="13">
        <f>IF(O50="","",IFS(O50&gt;=20,5,O50&gt;=16,4,O50&gt;=11,3,O50&gt;=6,2,O50&gt;0,1,TRUE,""))</f>
      </c>
      <c r="Q50" s="13">
        <f>IFERROR(INDEX({"","Sangat Rendah","Rendah","Sedang","Tinggi","Sangat Tinggi"},P50+1),"")</f>
      </c>
      <c r="R50" s="13">
        <f>IFERROR(XLOOKUP(C50,SELERA_RISIKO!$C$5:$C$11,SELERA_RISIKO!$D$5:$D$11),"")</f>
      </c>
      <c r="S50" s="13">
        <f>IF(AND(P50&lt;&gt;"",R50&lt;&gt;""),IF(P50&gt;R50,"YA ⚠","tidak"),"")</f>
      </c>
      <c r="T50" s="9"/>
    </row>
    <row r="51" ht="20" customHeight="1" spans="1:20" x14ac:dyDescent="0.25">
      <c r="A51" s="9"/>
      <c r="B51" s="13">
        <f>IFERROR(XLOOKUP(A51,IDENTIFIKASI!$B:$B,IDENTIFIKASI!$G:$G),"")</f>
      </c>
      <c r="C51" s="13">
        <f>IFERROR(XLOOKUP(A51,IDENTIFIKASI!$B:$B,IDENTIFIKASI!$H:$H),"")</f>
      </c>
      <c r="D51" s="9"/>
      <c r="E51" s="9"/>
      <c r="F51" s="13">
        <f>IF(AND(D51&lt;&gt;"",E51&lt;&gt;""),D51*E51,"")</f>
      </c>
      <c r="G51" s="13">
        <f>IF(F51="","",IFS(F51&gt;=20,5,F51&gt;=16,4,F51&gt;=11,3,F51&gt;=6,2,F51&gt;0,1,TRUE,""))</f>
      </c>
      <c r="H51" s="13">
        <f>IFERROR(INDEX({"","Sangat Rendah","Rendah","Sedang","Tinggi","Sangat Tinggi"},G51+1),"")</f>
      </c>
      <c r="I51" s="9"/>
      <c r="J51" s="9"/>
      <c r="K51" s="9"/>
      <c r="L51" s="9"/>
      <c r="M51" s="9"/>
      <c r="N51" s="9"/>
      <c r="O51" s="13">
        <f>IF(A51="","",IF(AND(M51&lt;&gt;"",N51&lt;&gt;""),M51*N51,IF(AND(D51&lt;&gt;"",E51&lt;&gt;""),D51*E51,"")))</f>
      </c>
      <c r="P51" s="13">
        <f>IF(O51="","",IFS(O51&gt;=20,5,O51&gt;=16,4,O51&gt;=11,3,O51&gt;=6,2,O51&gt;0,1,TRUE,""))</f>
      </c>
      <c r="Q51" s="13">
        <f>IFERROR(INDEX({"","Sangat Rendah","Rendah","Sedang","Tinggi","Sangat Tinggi"},P51+1),"")</f>
      </c>
      <c r="R51" s="13">
        <f>IFERROR(XLOOKUP(C51,SELERA_RISIKO!$C$5:$C$11,SELERA_RISIKO!$D$5:$D$11),"")</f>
      </c>
      <c r="S51" s="13">
        <f>IF(AND(P51&lt;&gt;"",R51&lt;&gt;""),IF(P51&gt;R51,"YA ⚠","tidak"),"")</f>
      </c>
      <c r="T51" s="9"/>
    </row>
    <row r="52" ht="20" customHeight="1" spans="1:20" x14ac:dyDescent="0.25">
      <c r="A52" s="9"/>
      <c r="B52" s="13">
        <f>IFERROR(XLOOKUP(A52,IDENTIFIKASI!$B:$B,IDENTIFIKASI!$G:$G),"")</f>
      </c>
      <c r="C52" s="13">
        <f>IFERROR(XLOOKUP(A52,IDENTIFIKASI!$B:$B,IDENTIFIKASI!$H:$H),"")</f>
      </c>
      <c r="D52" s="9"/>
      <c r="E52" s="9"/>
      <c r="F52" s="13">
        <f>IF(AND(D52&lt;&gt;"",E52&lt;&gt;""),D52*E52,"")</f>
      </c>
      <c r="G52" s="13">
        <f>IF(F52="","",IFS(F52&gt;=20,5,F52&gt;=16,4,F52&gt;=11,3,F52&gt;=6,2,F52&gt;0,1,TRUE,""))</f>
      </c>
      <c r="H52" s="13">
        <f>IFERROR(INDEX({"","Sangat Rendah","Rendah","Sedang","Tinggi","Sangat Tinggi"},G52+1),"")</f>
      </c>
      <c r="I52" s="9"/>
      <c r="J52" s="9"/>
      <c r="K52" s="9"/>
      <c r="L52" s="9"/>
      <c r="M52" s="9"/>
      <c r="N52" s="9"/>
      <c r="O52" s="13">
        <f>IF(A52="","",IF(AND(M52&lt;&gt;"",N52&lt;&gt;""),M52*N52,IF(AND(D52&lt;&gt;"",E52&lt;&gt;""),D52*E52,"")))</f>
      </c>
      <c r="P52" s="13">
        <f>IF(O52="","",IFS(O52&gt;=20,5,O52&gt;=16,4,O52&gt;=11,3,O52&gt;=6,2,O52&gt;0,1,TRUE,""))</f>
      </c>
      <c r="Q52" s="13">
        <f>IFERROR(INDEX({"","Sangat Rendah","Rendah","Sedang","Tinggi","Sangat Tinggi"},P52+1),"")</f>
      </c>
      <c r="R52" s="13">
        <f>IFERROR(XLOOKUP(C52,SELERA_RISIKO!$C$5:$C$11,SELERA_RISIKO!$D$5:$D$11),"")</f>
      </c>
      <c r="S52" s="13">
        <f>IF(AND(P52&lt;&gt;"",R52&lt;&gt;""),IF(P52&gt;R52,"YA ⚠","tidak"),"")</f>
      </c>
      <c r="T52" s="9"/>
    </row>
  </sheetData>
  <mergeCells count="1">
    <mergeCell ref="A1:T1"/>
  </mergeCells>
  <conditionalFormatting sqref="S3:S52">
    <cfRule type="containsText" dxfId="5" priority="1">
      <formula>NOT(ISERROR(SEARCH("YA",S3)))</formula>
    </cfRule>
  </conditionalFormatting>
  <conditionalFormatting sqref="P3:P52">
    <cfRule type="cellIs" dxfId="6" priority="1" operator="equal">
      <formula>5</formula>
    </cfRule>
    <cfRule type="cellIs" dxfId="7" priority="2" operator="equal">
      <formula>4</formula>
    </cfRule>
    <cfRule type="cellIs" dxfId="8" priority="3" operator="equal">
      <formula>3</formula>
    </cfRule>
    <cfRule type="cellIs" dxfId="9" priority="4" operator="equal">
      <formula>2</formula>
    </cfRule>
    <cfRule type="cellIs" dxfId="10" priority="5" operator="equal">
      <formula>1</formula>
    </cfRule>
  </conditionalFormatting>
  <dataValidations count="350">
    <dataValidation type="list" allowBlank="1" showErrorMessage="1" errorTitle="Nilai tidak valid" error="Pilih dari daftar yang tersedia." sqref="D10:D10">
      <formula1>"1,2,3,4,5"</formula1>
    </dataValidation>
    <dataValidation type="list" allowBlank="1" showErrorMessage="1" errorTitle="Nilai tidak valid" error="Pilih dari daftar yang tersedia." sqref="D11:D11">
      <formula1>"1,2,3,4,5"</formula1>
    </dataValidation>
    <dataValidation type="list" allowBlank="1" showErrorMessage="1" errorTitle="Nilai tidak valid" error="Pilih dari daftar yang tersedia." sqref="D12:D12">
      <formula1>"1,2,3,4,5"</formula1>
    </dataValidation>
    <dataValidation type="list" allowBlank="1" showErrorMessage="1" errorTitle="Nilai tidak valid" error="Pilih dari daftar yang tersedia." sqref="D13:D13">
      <formula1>"1,2,3,4,5"</formula1>
    </dataValidation>
    <dataValidation type="list" allowBlank="1" showErrorMessage="1" errorTitle="Nilai tidak valid" error="Pilih dari daftar yang tersedia." sqref="D14:D14">
      <formula1>"1,2,3,4,5"</formula1>
    </dataValidation>
    <dataValidation type="list" allowBlank="1" showErrorMessage="1" errorTitle="Nilai tidak valid" error="Pilih dari daftar yang tersedia." sqref="D15:D15">
      <formula1>"1,2,3,4,5"</formula1>
    </dataValidation>
    <dataValidation type="list" allowBlank="1" showErrorMessage="1" errorTitle="Nilai tidak valid" error="Pilih dari daftar yang tersedia." sqref="D16:D16">
      <formula1>"1,2,3,4,5"</formula1>
    </dataValidation>
    <dataValidation type="list" allowBlank="1" showErrorMessage="1" errorTitle="Nilai tidak valid" error="Pilih dari daftar yang tersedia." sqref="D17:D17">
      <formula1>"1,2,3,4,5"</formula1>
    </dataValidation>
    <dataValidation type="list" allowBlank="1" showErrorMessage="1" errorTitle="Nilai tidak valid" error="Pilih dari daftar yang tersedia." sqref="D18:D18">
      <formula1>"1,2,3,4,5"</formula1>
    </dataValidation>
    <dataValidation type="list" allowBlank="1" showErrorMessage="1" errorTitle="Nilai tidak valid" error="Pilih dari daftar yang tersedia." sqref="D19:D19">
      <formula1>"1,2,3,4,5"</formula1>
    </dataValidation>
    <dataValidation type="list" allowBlank="1" showErrorMessage="1" errorTitle="Nilai tidak valid" error="Pilih dari daftar yang tersedia." sqref="D20:D20">
      <formula1>"1,2,3,4,5"</formula1>
    </dataValidation>
    <dataValidation type="list" allowBlank="1" showErrorMessage="1" errorTitle="Nilai tidak valid" error="Pilih dari daftar yang tersedia." sqref="D21:D21">
      <formula1>"1,2,3,4,5"</formula1>
    </dataValidation>
    <dataValidation type="list" allowBlank="1" showErrorMessage="1" errorTitle="Nilai tidak valid" error="Pilih dari daftar yang tersedia." sqref="D22:D22">
      <formula1>"1,2,3,4,5"</formula1>
    </dataValidation>
    <dataValidation type="list" allowBlank="1" showErrorMessage="1" errorTitle="Nilai tidak valid" error="Pilih dari daftar yang tersedia." sqref="D23:D23">
      <formula1>"1,2,3,4,5"</formula1>
    </dataValidation>
    <dataValidation type="list" allowBlank="1" showErrorMessage="1" errorTitle="Nilai tidak valid" error="Pilih dari daftar yang tersedia." sqref="D24:D24">
      <formula1>"1,2,3,4,5"</formula1>
    </dataValidation>
    <dataValidation type="list" allowBlank="1" showErrorMessage="1" errorTitle="Nilai tidak valid" error="Pilih dari daftar yang tersedia." sqref="D25:D25">
      <formula1>"1,2,3,4,5"</formula1>
    </dataValidation>
    <dataValidation type="list" allowBlank="1" showErrorMessage="1" errorTitle="Nilai tidak valid" error="Pilih dari daftar yang tersedia." sqref="D26:D26">
      <formula1>"1,2,3,4,5"</formula1>
    </dataValidation>
    <dataValidation type="list" allowBlank="1" showErrorMessage="1" errorTitle="Nilai tidak valid" error="Pilih dari daftar yang tersedia." sqref="D27:D27">
      <formula1>"1,2,3,4,5"</formula1>
    </dataValidation>
    <dataValidation type="list" allowBlank="1" showErrorMessage="1" errorTitle="Nilai tidak valid" error="Pilih dari daftar yang tersedia." sqref="D28:D28">
      <formula1>"1,2,3,4,5"</formula1>
    </dataValidation>
    <dataValidation type="list" allowBlank="1" showErrorMessage="1" errorTitle="Nilai tidak valid" error="Pilih dari daftar yang tersedia." sqref="D29:D29">
      <formula1>"1,2,3,4,5"</formula1>
    </dataValidation>
    <dataValidation type="list" allowBlank="1" showErrorMessage="1" errorTitle="Nilai tidak valid" error="Pilih dari daftar yang tersedia." sqref="D30:D30">
      <formula1>"1,2,3,4,5"</formula1>
    </dataValidation>
    <dataValidation type="list" allowBlank="1" showErrorMessage="1" errorTitle="Nilai tidak valid" error="Pilih dari daftar yang tersedia." sqref="D31:D31">
      <formula1>"1,2,3,4,5"</formula1>
    </dataValidation>
    <dataValidation type="list" allowBlank="1" showErrorMessage="1" errorTitle="Nilai tidak valid" error="Pilih dari daftar yang tersedia." sqref="D32:D32">
      <formula1>"1,2,3,4,5"</formula1>
    </dataValidation>
    <dataValidation type="list" allowBlank="1" showErrorMessage="1" errorTitle="Nilai tidak valid" error="Pilih dari daftar yang tersedia." sqref="D33:D33">
      <formula1>"1,2,3,4,5"</formula1>
    </dataValidation>
    <dataValidation type="list" allowBlank="1" showErrorMessage="1" errorTitle="Nilai tidak valid" error="Pilih dari daftar yang tersedia." sqref="D34:D34">
      <formula1>"1,2,3,4,5"</formula1>
    </dataValidation>
    <dataValidation type="list" allowBlank="1" showErrorMessage="1" errorTitle="Nilai tidak valid" error="Pilih dari daftar yang tersedia." sqref="D35:D35">
      <formula1>"1,2,3,4,5"</formula1>
    </dataValidation>
    <dataValidation type="list" allowBlank="1" showErrorMessage="1" errorTitle="Nilai tidak valid" error="Pilih dari daftar yang tersedia." sqref="D36:D36">
      <formula1>"1,2,3,4,5"</formula1>
    </dataValidation>
    <dataValidation type="list" allowBlank="1" showErrorMessage="1" errorTitle="Nilai tidak valid" error="Pilih dari daftar yang tersedia." sqref="D37:D37">
      <formula1>"1,2,3,4,5"</formula1>
    </dataValidation>
    <dataValidation type="list" allowBlank="1" showErrorMessage="1" errorTitle="Nilai tidak valid" error="Pilih dari daftar yang tersedia." sqref="D38:D38">
      <formula1>"1,2,3,4,5"</formula1>
    </dataValidation>
    <dataValidation type="list" allowBlank="1" showErrorMessage="1" errorTitle="Nilai tidak valid" error="Pilih dari daftar yang tersedia." sqref="D39:D39">
      <formula1>"1,2,3,4,5"</formula1>
    </dataValidation>
    <dataValidation type="list" allowBlank="1" showErrorMessage="1" errorTitle="Nilai tidak valid" error="Pilih dari daftar yang tersedia." sqref="D3:D3">
      <formula1>"1,2,3,4,5"</formula1>
    </dataValidation>
    <dataValidation type="list" allowBlank="1" showErrorMessage="1" errorTitle="Nilai tidak valid" error="Pilih dari daftar yang tersedia." sqref="D40:D40">
      <formula1>"1,2,3,4,5"</formula1>
    </dataValidation>
    <dataValidation type="list" allowBlank="1" showErrorMessage="1" errorTitle="Nilai tidak valid" error="Pilih dari daftar yang tersedia." sqref="D41:D41">
      <formula1>"1,2,3,4,5"</formula1>
    </dataValidation>
    <dataValidation type="list" allowBlank="1" showErrorMessage="1" errorTitle="Nilai tidak valid" error="Pilih dari daftar yang tersedia." sqref="D42:D42">
      <formula1>"1,2,3,4,5"</formula1>
    </dataValidation>
    <dataValidation type="list" allowBlank="1" showErrorMessage="1" errorTitle="Nilai tidak valid" error="Pilih dari daftar yang tersedia." sqref="D43:D43">
      <formula1>"1,2,3,4,5"</formula1>
    </dataValidation>
    <dataValidation type="list" allowBlank="1" showErrorMessage="1" errorTitle="Nilai tidak valid" error="Pilih dari daftar yang tersedia." sqref="D44:D44">
      <formula1>"1,2,3,4,5"</formula1>
    </dataValidation>
    <dataValidation type="list" allowBlank="1" showErrorMessage="1" errorTitle="Nilai tidak valid" error="Pilih dari daftar yang tersedia." sqref="D45:D45">
      <formula1>"1,2,3,4,5"</formula1>
    </dataValidation>
    <dataValidation type="list" allowBlank="1" showErrorMessage="1" errorTitle="Nilai tidak valid" error="Pilih dari daftar yang tersedia." sqref="D46:D46">
      <formula1>"1,2,3,4,5"</formula1>
    </dataValidation>
    <dataValidation type="list" allowBlank="1" showErrorMessage="1" errorTitle="Nilai tidak valid" error="Pilih dari daftar yang tersedia." sqref="D47:D47">
      <formula1>"1,2,3,4,5"</formula1>
    </dataValidation>
    <dataValidation type="list" allowBlank="1" showErrorMessage="1" errorTitle="Nilai tidak valid" error="Pilih dari daftar yang tersedia." sqref="D48:D48">
      <formula1>"1,2,3,4,5"</formula1>
    </dataValidation>
    <dataValidation type="list" allowBlank="1" showErrorMessage="1" errorTitle="Nilai tidak valid" error="Pilih dari daftar yang tersedia." sqref="D49:D49">
      <formula1>"1,2,3,4,5"</formula1>
    </dataValidation>
    <dataValidation type="list" allowBlank="1" showErrorMessage="1" errorTitle="Nilai tidak valid" error="Pilih dari daftar yang tersedia." sqref="D4:D4">
      <formula1>"1,2,3,4,5"</formula1>
    </dataValidation>
    <dataValidation type="list" allowBlank="1" showErrorMessage="1" errorTitle="Nilai tidak valid" error="Pilih dari daftar yang tersedia." sqref="D50:D50">
      <formula1>"1,2,3,4,5"</formula1>
    </dataValidation>
    <dataValidation type="list" allowBlank="1" showErrorMessage="1" errorTitle="Nilai tidak valid" error="Pilih dari daftar yang tersedia." sqref="D51:D51">
      <formula1>"1,2,3,4,5"</formula1>
    </dataValidation>
    <dataValidation type="list" allowBlank="1" showErrorMessage="1" errorTitle="Nilai tidak valid" error="Pilih dari daftar yang tersedia." sqref="D52:D52">
      <formula1>"1,2,3,4,5"</formula1>
    </dataValidation>
    <dataValidation type="list" allowBlank="1" showErrorMessage="1" errorTitle="Nilai tidak valid" error="Pilih dari daftar yang tersedia." sqref="D5:D5">
      <formula1>"1,2,3,4,5"</formula1>
    </dataValidation>
    <dataValidation type="list" allowBlank="1" showErrorMessage="1" errorTitle="Nilai tidak valid" error="Pilih dari daftar yang tersedia." sqref="D6:D6">
      <formula1>"1,2,3,4,5"</formula1>
    </dataValidation>
    <dataValidation type="list" allowBlank="1" showErrorMessage="1" errorTitle="Nilai tidak valid" error="Pilih dari daftar yang tersedia." sqref="D7:D7">
      <formula1>"1,2,3,4,5"</formula1>
    </dataValidation>
    <dataValidation type="list" allowBlank="1" showErrorMessage="1" errorTitle="Nilai tidak valid" error="Pilih dari daftar yang tersedia." sqref="D8:D8">
      <formula1>"1,2,3,4,5"</formula1>
    </dataValidation>
    <dataValidation type="list" allowBlank="1" showErrorMessage="1" errorTitle="Nilai tidak valid" error="Pilih dari daftar yang tersedia." sqref="D9:D9">
      <formula1>"1,2,3,4,5"</formula1>
    </dataValidation>
    <dataValidation type="list" allowBlank="1" showErrorMessage="1" errorTitle="Nilai tidak valid" error="Pilih dari daftar yang tersedia." sqref="E10:E10">
      <formula1>"1,2,3,4,5"</formula1>
    </dataValidation>
    <dataValidation type="list" allowBlank="1" showErrorMessage="1" errorTitle="Nilai tidak valid" error="Pilih dari daftar yang tersedia." sqref="E11:E11">
      <formula1>"1,2,3,4,5"</formula1>
    </dataValidation>
    <dataValidation type="list" allowBlank="1" showErrorMessage="1" errorTitle="Nilai tidak valid" error="Pilih dari daftar yang tersedia." sqref="E12:E12">
      <formula1>"1,2,3,4,5"</formula1>
    </dataValidation>
    <dataValidation type="list" allowBlank="1" showErrorMessage="1" errorTitle="Nilai tidak valid" error="Pilih dari daftar yang tersedia." sqref="E13:E13">
      <formula1>"1,2,3,4,5"</formula1>
    </dataValidation>
    <dataValidation type="list" allowBlank="1" showErrorMessage="1" errorTitle="Nilai tidak valid" error="Pilih dari daftar yang tersedia." sqref="E14:E14">
      <formula1>"1,2,3,4,5"</formula1>
    </dataValidation>
    <dataValidation type="list" allowBlank="1" showErrorMessage="1" errorTitle="Nilai tidak valid" error="Pilih dari daftar yang tersedia." sqref="E15:E15">
      <formula1>"1,2,3,4,5"</formula1>
    </dataValidation>
    <dataValidation type="list" allowBlank="1" showErrorMessage="1" errorTitle="Nilai tidak valid" error="Pilih dari daftar yang tersedia." sqref="E16:E16">
      <formula1>"1,2,3,4,5"</formula1>
    </dataValidation>
    <dataValidation type="list" allowBlank="1" showErrorMessage="1" errorTitle="Nilai tidak valid" error="Pilih dari daftar yang tersedia." sqref="E17:E17">
      <formula1>"1,2,3,4,5"</formula1>
    </dataValidation>
    <dataValidation type="list" allowBlank="1" showErrorMessage="1" errorTitle="Nilai tidak valid" error="Pilih dari daftar yang tersedia." sqref="E18:E18">
      <formula1>"1,2,3,4,5"</formula1>
    </dataValidation>
    <dataValidation type="list" allowBlank="1" showErrorMessage="1" errorTitle="Nilai tidak valid" error="Pilih dari daftar yang tersedia." sqref="E19:E19">
      <formula1>"1,2,3,4,5"</formula1>
    </dataValidation>
    <dataValidation type="list" allowBlank="1" showErrorMessage="1" errorTitle="Nilai tidak valid" error="Pilih dari daftar yang tersedia." sqref="E20:E20">
      <formula1>"1,2,3,4,5"</formula1>
    </dataValidation>
    <dataValidation type="list" allowBlank="1" showErrorMessage="1" errorTitle="Nilai tidak valid" error="Pilih dari daftar yang tersedia." sqref="E21:E21">
      <formula1>"1,2,3,4,5"</formula1>
    </dataValidation>
    <dataValidation type="list" allowBlank="1" showErrorMessage="1" errorTitle="Nilai tidak valid" error="Pilih dari daftar yang tersedia." sqref="E22:E22">
      <formula1>"1,2,3,4,5"</formula1>
    </dataValidation>
    <dataValidation type="list" allowBlank="1" showErrorMessage="1" errorTitle="Nilai tidak valid" error="Pilih dari daftar yang tersedia." sqref="E23:E23">
      <formula1>"1,2,3,4,5"</formula1>
    </dataValidation>
    <dataValidation type="list" allowBlank="1" showErrorMessage="1" errorTitle="Nilai tidak valid" error="Pilih dari daftar yang tersedia." sqref="E24:E24">
      <formula1>"1,2,3,4,5"</formula1>
    </dataValidation>
    <dataValidation type="list" allowBlank="1" showErrorMessage="1" errorTitle="Nilai tidak valid" error="Pilih dari daftar yang tersedia." sqref="E25:E25">
      <formula1>"1,2,3,4,5"</formula1>
    </dataValidation>
    <dataValidation type="list" allowBlank="1" showErrorMessage="1" errorTitle="Nilai tidak valid" error="Pilih dari daftar yang tersedia." sqref="E26:E26">
      <formula1>"1,2,3,4,5"</formula1>
    </dataValidation>
    <dataValidation type="list" allowBlank="1" showErrorMessage="1" errorTitle="Nilai tidak valid" error="Pilih dari daftar yang tersedia." sqref="E27:E27">
      <formula1>"1,2,3,4,5"</formula1>
    </dataValidation>
    <dataValidation type="list" allowBlank="1" showErrorMessage="1" errorTitle="Nilai tidak valid" error="Pilih dari daftar yang tersedia." sqref="E28:E28">
      <formula1>"1,2,3,4,5"</formula1>
    </dataValidation>
    <dataValidation type="list" allowBlank="1" showErrorMessage="1" errorTitle="Nilai tidak valid" error="Pilih dari daftar yang tersedia." sqref="E29:E29">
      <formula1>"1,2,3,4,5"</formula1>
    </dataValidation>
    <dataValidation type="list" allowBlank="1" showErrorMessage="1" errorTitle="Nilai tidak valid" error="Pilih dari daftar yang tersedia." sqref="E30:E30">
      <formula1>"1,2,3,4,5"</formula1>
    </dataValidation>
    <dataValidation type="list" allowBlank="1" showErrorMessage="1" errorTitle="Nilai tidak valid" error="Pilih dari daftar yang tersedia." sqref="E31:E31">
      <formula1>"1,2,3,4,5"</formula1>
    </dataValidation>
    <dataValidation type="list" allowBlank="1" showErrorMessage="1" errorTitle="Nilai tidak valid" error="Pilih dari daftar yang tersedia." sqref="E32:E32">
      <formula1>"1,2,3,4,5"</formula1>
    </dataValidation>
    <dataValidation type="list" allowBlank="1" showErrorMessage="1" errorTitle="Nilai tidak valid" error="Pilih dari daftar yang tersedia." sqref="E33:E33">
      <formula1>"1,2,3,4,5"</formula1>
    </dataValidation>
    <dataValidation type="list" allowBlank="1" showErrorMessage="1" errorTitle="Nilai tidak valid" error="Pilih dari daftar yang tersedia." sqref="E34:E34">
      <formula1>"1,2,3,4,5"</formula1>
    </dataValidation>
    <dataValidation type="list" allowBlank="1" showErrorMessage="1" errorTitle="Nilai tidak valid" error="Pilih dari daftar yang tersedia." sqref="E35:E35">
      <formula1>"1,2,3,4,5"</formula1>
    </dataValidation>
    <dataValidation type="list" allowBlank="1" showErrorMessage="1" errorTitle="Nilai tidak valid" error="Pilih dari daftar yang tersedia." sqref="E36:E36">
      <formula1>"1,2,3,4,5"</formula1>
    </dataValidation>
    <dataValidation type="list" allowBlank="1" showErrorMessage="1" errorTitle="Nilai tidak valid" error="Pilih dari daftar yang tersedia." sqref="E37:E37">
      <formula1>"1,2,3,4,5"</formula1>
    </dataValidation>
    <dataValidation type="list" allowBlank="1" showErrorMessage="1" errorTitle="Nilai tidak valid" error="Pilih dari daftar yang tersedia." sqref="E38:E38">
      <formula1>"1,2,3,4,5"</formula1>
    </dataValidation>
    <dataValidation type="list" allowBlank="1" showErrorMessage="1" errorTitle="Nilai tidak valid" error="Pilih dari daftar yang tersedia." sqref="E39:E39">
      <formula1>"1,2,3,4,5"</formula1>
    </dataValidation>
    <dataValidation type="list" allowBlank="1" showErrorMessage="1" errorTitle="Nilai tidak valid" error="Pilih dari daftar yang tersedia." sqref="E3:E3">
      <formula1>"1,2,3,4,5"</formula1>
    </dataValidation>
    <dataValidation type="list" allowBlank="1" showErrorMessage="1" errorTitle="Nilai tidak valid" error="Pilih dari daftar yang tersedia." sqref="E40:E40">
      <formula1>"1,2,3,4,5"</formula1>
    </dataValidation>
    <dataValidation type="list" allowBlank="1" showErrorMessage="1" errorTitle="Nilai tidak valid" error="Pilih dari daftar yang tersedia." sqref="E41:E41">
      <formula1>"1,2,3,4,5"</formula1>
    </dataValidation>
    <dataValidation type="list" allowBlank="1" showErrorMessage="1" errorTitle="Nilai tidak valid" error="Pilih dari daftar yang tersedia." sqref="E42:E42">
      <formula1>"1,2,3,4,5"</formula1>
    </dataValidation>
    <dataValidation type="list" allowBlank="1" showErrorMessage="1" errorTitle="Nilai tidak valid" error="Pilih dari daftar yang tersedia." sqref="E43:E43">
      <formula1>"1,2,3,4,5"</formula1>
    </dataValidation>
    <dataValidation type="list" allowBlank="1" showErrorMessage="1" errorTitle="Nilai tidak valid" error="Pilih dari daftar yang tersedia." sqref="E44:E44">
      <formula1>"1,2,3,4,5"</formula1>
    </dataValidation>
    <dataValidation type="list" allowBlank="1" showErrorMessage="1" errorTitle="Nilai tidak valid" error="Pilih dari daftar yang tersedia." sqref="E45:E45">
      <formula1>"1,2,3,4,5"</formula1>
    </dataValidation>
    <dataValidation type="list" allowBlank="1" showErrorMessage="1" errorTitle="Nilai tidak valid" error="Pilih dari daftar yang tersedia." sqref="E46:E46">
      <formula1>"1,2,3,4,5"</formula1>
    </dataValidation>
    <dataValidation type="list" allowBlank="1" showErrorMessage="1" errorTitle="Nilai tidak valid" error="Pilih dari daftar yang tersedia." sqref="E47:E47">
      <formula1>"1,2,3,4,5"</formula1>
    </dataValidation>
    <dataValidation type="list" allowBlank="1" showErrorMessage="1" errorTitle="Nilai tidak valid" error="Pilih dari daftar yang tersedia." sqref="E48:E48">
      <formula1>"1,2,3,4,5"</formula1>
    </dataValidation>
    <dataValidation type="list" allowBlank="1" showErrorMessage="1" errorTitle="Nilai tidak valid" error="Pilih dari daftar yang tersedia." sqref="E49:E49">
      <formula1>"1,2,3,4,5"</formula1>
    </dataValidation>
    <dataValidation type="list" allowBlank="1" showErrorMessage="1" errorTitle="Nilai tidak valid" error="Pilih dari daftar yang tersedia." sqref="E4:E4">
      <formula1>"1,2,3,4,5"</formula1>
    </dataValidation>
    <dataValidation type="list" allowBlank="1" showErrorMessage="1" errorTitle="Nilai tidak valid" error="Pilih dari daftar yang tersedia." sqref="E50:E50">
      <formula1>"1,2,3,4,5"</formula1>
    </dataValidation>
    <dataValidation type="list" allowBlank="1" showErrorMessage="1" errorTitle="Nilai tidak valid" error="Pilih dari daftar yang tersedia." sqref="E51:E51">
      <formula1>"1,2,3,4,5"</formula1>
    </dataValidation>
    <dataValidation type="list" allowBlank="1" showErrorMessage="1" errorTitle="Nilai tidak valid" error="Pilih dari daftar yang tersedia." sqref="E52:E52">
      <formula1>"1,2,3,4,5"</formula1>
    </dataValidation>
    <dataValidation type="list" allowBlank="1" showErrorMessage="1" errorTitle="Nilai tidak valid" error="Pilih dari daftar yang tersedia." sqref="E5:E5">
      <formula1>"1,2,3,4,5"</formula1>
    </dataValidation>
    <dataValidation type="list" allowBlank="1" showErrorMessage="1" errorTitle="Nilai tidak valid" error="Pilih dari daftar yang tersedia." sqref="E6:E6">
      <formula1>"1,2,3,4,5"</formula1>
    </dataValidation>
    <dataValidation type="list" allowBlank="1" showErrorMessage="1" errorTitle="Nilai tidak valid" error="Pilih dari daftar yang tersedia." sqref="E7:E7">
      <formula1>"1,2,3,4,5"</formula1>
    </dataValidation>
    <dataValidation type="list" allowBlank="1" showErrorMessage="1" errorTitle="Nilai tidak valid" error="Pilih dari daftar yang tersedia." sqref="E8:E8">
      <formula1>"1,2,3,4,5"</formula1>
    </dataValidation>
    <dataValidation type="list" allowBlank="1" showErrorMessage="1" errorTitle="Nilai tidak valid" error="Pilih dari daftar yang tersedia." sqref="E9:E9">
      <formula1>"1,2,3,4,5"</formula1>
    </dataValidation>
    <dataValidation type="list" allowBlank="1" showErrorMessage="1" errorTitle="Nilai tidak valid" error="Pilih dari daftar yang tersedia." sqref="I10:I10">
      <formula1>"Ya,Tidak"</formula1>
    </dataValidation>
    <dataValidation type="list" allowBlank="1" showErrorMessage="1" errorTitle="Nilai tidak valid" error="Pilih dari daftar yang tersedia." sqref="I11:I11">
      <formula1>"Ya,Tidak"</formula1>
    </dataValidation>
    <dataValidation type="list" allowBlank="1" showErrorMessage="1" errorTitle="Nilai tidak valid" error="Pilih dari daftar yang tersedia." sqref="I12:I12">
      <formula1>"Ya,Tidak"</formula1>
    </dataValidation>
    <dataValidation type="list" allowBlank="1" showErrorMessage="1" errorTitle="Nilai tidak valid" error="Pilih dari daftar yang tersedia." sqref="I13:I13">
      <formula1>"Ya,Tidak"</formula1>
    </dataValidation>
    <dataValidation type="list" allowBlank="1" showErrorMessage="1" errorTitle="Nilai tidak valid" error="Pilih dari daftar yang tersedia." sqref="I14:I14">
      <formula1>"Ya,Tidak"</formula1>
    </dataValidation>
    <dataValidation type="list" allowBlank="1" showErrorMessage="1" errorTitle="Nilai tidak valid" error="Pilih dari daftar yang tersedia." sqref="I15:I15">
      <formula1>"Ya,Tidak"</formula1>
    </dataValidation>
    <dataValidation type="list" allowBlank="1" showErrorMessage="1" errorTitle="Nilai tidak valid" error="Pilih dari daftar yang tersedia." sqref="I16:I16">
      <formula1>"Ya,Tidak"</formula1>
    </dataValidation>
    <dataValidation type="list" allowBlank="1" showErrorMessage="1" errorTitle="Nilai tidak valid" error="Pilih dari daftar yang tersedia." sqref="I17:I17">
      <formula1>"Ya,Tidak"</formula1>
    </dataValidation>
    <dataValidation type="list" allowBlank="1" showErrorMessage="1" errorTitle="Nilai tidak valid" error="Pilih dari daftar yang tersedia." sqref="I18:I18">
      <formula1>"Ya,Tidak"</formula1>
    </dataValidation>
    <dataValidation type="list" allowBlank="1" showErrorMessage="1" errorTitle="Nilai tidak valid" error="Pilih dari daftar yang tersedia." sqref="I19:I19">
      <formula1>"Ya,Tidak"</formula1>
    </dataValidation>
    <dataValidation type="list" allowBlank="1" showErrorMessage="1" errorTitle="Nilai tidak valid" error="Pilih dari daftar yang tersedia." sqref="I20:I20">
      <formula1>"Ya,Tidak"</formula1>
    </dataValidation>
    <dataValidation type="list" allowBlank="1" showErrorMessage="1" errorTitle="Nilai tidak valid" error="Pilih dari daftar yang tersedia." sqref="I21:I21">
      <formula1>"Ya,Tidak"</formula1>
    </dataValidation>
    <dataValidation type="list" allowBlank="1" showErrorMessage="1" errorTitle="Nilai tidak valid" error="Pilih dari daftar yang tersedia." sqref="I22:I22">
      <formula1>"Ya,Tidak"</formula1>
    </dataValidation>
    <dataValidation type="list" allowBlank="1" showErrorMessage="1" errorTitle="Nilai tidak valid" error="Pilih dari daftar yang tersedia." sqref="I23:I23">
      <formula1>"Ya,Tidak"</formula1>
    </dataValidation>
    <dataValidation type="list" allowBlank="1" showErrorMessage="1" errorTitle="Nilai tidak valid" error="Pilih dari daftar yang tersedia." sqref="I24:I24">
      <formula1>"Ya,Tidak"</formula1>
    </dataValidation>
    <dataValidation type="list" allowBlank="1" showErrorMessage="1" errorTitle="Nilai tidak valid" error="Pilih dari daftar yang tersedia." sqref="I25:I25">
      <formula1>"Ya,Tidak"</formula1>
    </dataValidation>
    <dataValidation type="list" allowBlank="1" showErrorMessage="1" errorTitle="Nilai tidak valid" error="Pilih dari daftar yang tersedia." sqref="I26:I26">
      <formula1>"Ya,Tidak"</formula1>
    </dataValidation>
    <dataValidation type="list" allowBlank="1" showErrorMessage="1" errorTitle="Nilai tidak valid" error="Pilih dari daftar yang tersedia." sqref="I27:I27">
      <formula1>"Ya,Tidak"</formula1>
    </dataValidation>
    <dataValidation type="list" allowBlank="1" showErrorMessage="1" errorTitle="Nilai tidak valid" error="Pilih dari daftar yang tersedia." sqref="I28:I28">
      <formula1>"Ya,Tidak"</formula1>
    </dataValidation>
    <dataValidation type="list" allowBlank="1" showErrorMessage="1" errorTitle="Nilai tidak valid" error="Pilih dari daftar yang tersedia." sqref="I29:I29">
      <formula1>"Ya,Tidak"</formula1>
    </dataValidation>
    <dataValidation type="list" allowBlank="1" showErrorMessage="1" errorTitle="Nilai tidak valid" error="Pilih dari daftar yang tersedia." sqref="I30:I30">
      <formula1>"Ya,Tidak"</formula1>
    </dataValidation>
    <dataValidation type="list" allowBlank="1" showErrorMessage="1" errorTitle="Nilai tidak valid" error="Pilih dari daftar yang tersedia." sqref="I31:I31">
      <formula1>"Ya,Tidak"</formula1>
    </dataValidation>
    <dataValidation type="list" allowBlank="1" showErrorMessage="1" errorTitle="Nilai tidak valid" error="Pilih dari daftar yang tersedia." sqref="I32:I32">
      <formula1>"Ya,Tidak"</formula1>
    </dataValidation>
    <dataValidation type="list" allowBlank="1" showErrorMessage="1" errorTitle="Nilai tidak valid" error="Pilih dari daftar yang tersedia." sqref="I33:I33">
      <formula1>"Ya,Tidak"</formula1>
    </dataValidation>
    <dataValidation type="list" allowBlank="1" showErrorMessage="1" errorTitle="Nilai tidak valid" error="Pilih dari daftar yang tersedia." sqref="I34:I34">
      <formula1>"Ya,Tidak"</formula1>
    </dataValidation>
    <dataValidation type="list" allowBlank="1" showErrorMessage="1" errorTitle="Nilai tidak valid" error="Pilih dari daftar yang tersedia." sqref="I35:I35">
      <formula1>"Ya,Tidak"</formula1>
    </dataValidation>
    <dataValidation type="list" allowBlank="1" showErrorMessage="1" errorTitle="Nilai tidak valid" error="Pilih dari daftar yang tersedia." sqref="I36:I36">
      <formula1>"Ya,Tidak"</formula1>
    </dataValidation>
    <dataValidation type="list" allowBlank="1" showErrorMessage="1" errorTitle="Nilai tidak valid" error="Pilih dari daftar yang tersedia." sqref="I37:I37">
      <formula1>"Ya,Tidak"</formula1>
    </dataValidation>
    <dataValidation type="list" allowBlank="1" showErrorMessage="1" errorTitle="Nilai tidak valid" error="Pilih dari daftar yang tersedia." sqref="I38:I38">
      <formula1>"Ya,Tidak"</formula1>
    </dataValidation>
    <dataValidation type="list" allowBlank="1" showErrorMessage="1" errorTitle="Nilai tidak valid" error="Pilih dari daftar yang tersedia." sqref="I39:I39">
      <formula1>"Ya,Tidak"</formula1>
    </dataValidation>
    <dataValidation type="list" allowBlank="1" showErrorMessage="1" errorTitle="Nilai tidak valid" error="Pilih dari daftar yang tersedia." sqref="I3:I3">
      <formula1>"Ya,Tidak"</formula1>
    </dataValidation>
    <dataValidation type="list" allowBlank="1" showErrorMessage="1" errorTitle="Nilai tidak valid" error="Pilih dari daftar yang tersedia." sqref="I40:I40">
      <formula1>"Ya,Tidak"</formula1>
    </dataValidation>
    <dataValidation type="list" allowBlank="1" showErrorMessage="1" errorTitle="Nilai tidak valid" error="Pilih dari daftar yang tersedia." sqref="I41:I41">
      <formula1>"Ya,Tidak"</formula1>
    </dataValidation>
    <dataValidation type="list" allowBlank="1" showErrorMessage="1" errorTitle="Nilai tidak valid" error="Pilih dari daftar yang tersedia." sqref="I42:I42">
      <formula1>"Ya,Tidak"</formula1>
    </dataValidation>
    <dataValidation type="list" allowBlank="1" showErrorMessage="1" errorTitle="Nilai tidak valid" error="Pilih dari daftar yang tersedia." sqref="I43:I43">
      <formula1>"Ya,Tidak"</formula1>
    </dataValidation>
    <dataValidation type="list" allowBlank="1" showErrorMessage="1" errorTitle="Nilai tidak valid" error="Pilih dari daftar yang tersedia." sqref="I44:I44">
      <formula1>"Ya,Tidak"</formula1>
    </dataValidation>
    <dataValidation type="list" allowBlank="1" showErrorMessage="1" errorTitle="Nilai tidak valid" error="Pilih dari daftar yang tersedia." sqref="I45:I45">
      <formula1>"Ya,Tidak"</formula1>
    </dataValidation>
    <dataValidation type="list" allowBlank="1" showErrorMessage="1" errorTitle="Nilai tidak valid" error="Pilih dari daftar yang tersedia." sqref="I46:I46">
      <formula1>"Ya,Tidak"</formula1>
    </dataValidation>
    <dataValidation type="list" allowBlank="1" showErrorMessage="1" errorTitle="Nilai tidak valid" error="Pilih dari daftar yang tersedia." sqref="I47:I47">
      <formula1>"Ya,Tidak"</formula1>
    </dataValidation>
    <dataValidation type="list" allowBlank="1" showErrorMessage="1" errorTitle="Nilai tidak valid" error="Pilih dari daftar yang tersedia." sqref="I48:I48">
      <formula1>"Ya,Tidak"</formula1>
    </dataValidation>
    <dataValidation type="list" allowBlank="1" showErrorMessage="1" errorTitle="Nilai tidak valid" error="Pilih dari daftar yang tersedia." sqref="I49:I49">
      <formula1>"Ya,Tidak"</formula1>
    </dataValidation>
    <dataValidation type="list" allowBlank="1" showErrorMessage="1" errorTitle="Nilai tidak valid" error="Pilih dari daftar yang tersedia." sqref="I4:I4">
      <formula1>"Ya,Tidak"</formula1>
    </dataValidation>
    <dataValidation type="list" allowBlank="1" showErrorMessage="1" errorTitle="Nilai tidak valid" error="Pilih dari daftar yang tersedia." sqref="I50:I50">
      <formula1>"Ya,Tidak"</formula1>
    </dataValidation>
    <dataValidation type="list" allowBlank="1" showErrorMessage="1" errorTitle="Nilai tidak valid" error="Pilih dari daftar yang tersedia." sqref="I51:I51">
      <formula1>"Ya,Tidak"</formula1>
    </dataValidation>
    <dataValidation type="list" allowBlank="1" showErrorMessage="1" errorTitle="Nilai tidak valid" error="Pilih dari daftar yang tersedia." sqref="I52:I52">
      <formula1>"Ya,Tidak"</formula1>
    </dataValidation>
    <dataValidation type="list" allowBlank="1" showErrorMessage="1" errorTitle="Nilai tidak valid" error="Pilih dari daftar yang tersedia." sqref="I5:I5">
      <formula1>"Ya,Tidak"</formula1>
    </dataValidation>
    <dataValidation type="list" allowBlank="1" showErrorMessage="1" errorTitle="Nilai tidak valid" error="Pilih dari daftar yang tersedia." sqref="I6:I6">
      <formula1>"Ya,Tidak"</formula1>
    </dataValidation>
    <dataValidation type="list" allowBlank="1" showErrorMessage="1" errorTitle="Nilai tidak valid" error="Pilih dari daftar yang tersedia." sqref="I7:I7">
      <formula1>"Ya,Tidak"</formula1>
    </dataValidation>
    <dataValidation type="list" allowBlank="1" showErrorMessage="1" errorTitle="Nilai tidak valid" error="Pilih dari daftar yang tersedia." sqref="I8:I8">
      <formula1>"Ya,Tidak"</formula1>
    </dataValidation>
    <dataValidation type="list" allowBlank="1" showErrorMessage="1" errorTitle="Nilai tidak valid" error="Pilih dari daftar yang tersedia." sqref="I9:I9">
      <formula1>"Ya,Tidak"</formula1>
    </dataValidation>
    <dataValidation type="list" allowBlank="1" showErrorMessage="1" errorTitle="Nilai tidak valid" error="Pilih dari daftar yang tersedia." sqref="K10:K10">
      <formula1>"Efektif,Tidak Efektif"</formula1>
    </dataValidation>
    <dataValidation type="list" allowBlank="1" showErrorMessage="1" errorTitle="Nilai tidak valid" error="Pilih dari daftar yang tersedia." sqref="K11:K11">
      <formula1>"Efektif,Tidak Efektif"</formula1>
    </dataValidation>
    <dataValidation type="list" allowBlank="1" showErrorMessage="1" errorTitle="Nilai tidak valid" error="Pilih dari daftar yang tersedia." sqref="K12:K12">
      <formula1>"Efektif,Tidak Efektif"</formula1>
    </dataValidation>
    <dataValidation type="list" allowBlank="1" showErrorMessage="1" errorTitle="Nilai tidak valid" error="Pilih dari daftar yang tersedia." sqref="K13:K13">
      <formula1>"Efektif,Tidak Efektif"</formula1>
    </dataValidation>
    <dataValidation type="list" allowBlank="1" showErrorMessage="1" errorTitle="Nilai tidak valid" error="Pilih dari daftar yang tersedia." sqref="K14:K14">
      <formula1>"Efektif,Tidak Efektif"</formula1>
    </dataValidation>
    <dataValidation type="list" allowBlank="1" showErrorMessage="1" errorTitle="Nilai tidak valid" error="Pilih dari daftar yang tersedia." sqref="K15:K15">
      <formula1>"Efektif,Tidak Efektif"</formula1>
    </dataValidation>
    <dataValidation type="list" allowBlank="1" showErrorMessage="1" errorTitle="Nilai tidak valid" error="Pilih dari daftar yang tersedia." sqref="K16:K16">
      <formula1>"Efektif,Tidak Efektif"</formula1>
    </dataValidation>
    <dataValidation type="list" allowBlank="1" showErrorMessage="1" errorTitle="Nilai tidak valid" error="Pilih dari daftar yang tersedia." sqref="K17:K17">
      <formula1>"Efektif,Tidak Efektif"</formula1>
    </dataValidation>
    <dataValidation type="list" allowBlank="1" showErrorMessage="1" errorTitle="Nilai tidak valid" error="Pilih dari daftar yang tersedia." sqref="K18:K18">
      <formula1>"Efektif,Tidak Efektif"</formula1>
    </dataValidation>
    <dataValidation type="list" allowBlank="1" showErrorMessage="1" errorTitle="Nilai tidak valid" error="Pilih dari daftar yang tersedia." sqref="K19:K19">
      <formula1>"Efektif,Tidak Efektif"</formula1>
    </dataValidation>
    <dataValidation type="list" allowBlank="1" showErrorMessage="1" errorTitle="Nilai tidak valid" error="Pilih dari daftar yang tersedia." sqref="K20:K20">
      <formula1>"Efektif,Tidak Efektif"</formula1>
    </dataValidation>
    <dataValidation type="list" allowBlank="1" showErrorMessage="1" errorTitle="Nilai tidak valid" error="Pilih dari daftar yang tersedia." sqref="K21:K21">
      <formula1>"Efektif,Tidak Efektif"</formula1>
    </dataValidation>
    <dataValidation type="list" allowBlank="1" showErrorMessage="1" errorTitle="Nilai tidak valid" error="Pilih dari daftar yang tersedia." sqref="K22:K22">
      <formula1>"Efektif,Tidak Efektif"</formula1>
    </dataValidation>
    <dataValidation type="list" allowBlank="1" showErrorMessage="1" errorTitle="Nilai tidak valid" error="Pilih dari daftar yang tersedia." sqref="K23:K23">
      <formula1>"Efektif,Tidak Efektif"</formula1>
    </dataValidation>
    <dataValidation type="list" allowBlank="1" showErrorMessage="1" errorTitle="Nilai tidak valid" error="Pilih dari daftar yang tersedia." sqref="K24:K24">
      <formula1>"Efektif,Tidak Efektif"</formula1>
    </dataValidation>
    <dataValidation type="list" allowBlank="1" showErrorMessage="1" errorTitle="Nilai tidak valid" error="Pilih dari daftar yang tersedia." sqref="K25:K25">
      <formula1>"Efektif,Tidak Efektif"</formula1>
    </dataValidation>
    <dataValidation type="list" allowBlank="1" showErrorMessage="1" errorTitle="Nilai tidak valid" error="Pilih dari daftar yang tersedia." sqref="K26:K26">
      <formula1>"Efektif,Tidak Efektif"</formula1>
    </dataValidation>
    <dataValidation type="list" allowBlank="1" showErrorMessage="1" errorTitle="Nilai tidak valid" error="Pilih dari daftar yang tersedia." sqref="K27:K27">
      <formula1>"Efektif,Tidak Efektif"</formula1>
    </dataValidation>
    <dataValidation type="list" allowBlank="1" showErrorMessage="1" errorTitle="Nilai tidak valid" error="Pilih dari daftar yang tersedia." sqref="K28:K28">
      <formula1>"Efektif,Tidak Efektif"</formula1>
    </dataValidation>
    <dataValidation type="list" allowBlank="1" showErrorMessage="1" errorTitle="Nilai tidak valid" error="Pilih dari daftar yang tersedia." sqref="K29:K29">
      <formula1>"Efektif,Tidak Efektif"</formula1>
    </dataValidation>
    <dataValidation type="list" allowBlank="1" showErrorMessage="1" errorTitle="Nilai tidak valid" error="Pilih dari daftar yang tersedia." sqref="K30:K30">
      <formula1>"Efektif,Tidak Efektif"</formula1>
    </dataValidation>
    <dataValidation type="list" allowBlank="1" showErrorMessage="1" errorTitle="Nilai tidak valid" error="Pilih dari daftar yang tersedia." sqref="K31:K31">
      <formula1>"Efektif,Tidak Efektif"</formula1>
    </dataValidation>
    <dataValidation type="list" allowBlank="1" showErrorMessage="1" errorTitle="Nilai tidak valid" error="Pilih dari daftar yang tersedia." sqref="K32:K32">
      <formula1>"Efektif,Tidak Efektif"</formula1>
    </dataValidation>
    <dataValidation type="list" allowBlank="1" showErrorMessage="1" errorTitle="Nilai tidak valid" error="Pilih dari daftar yang tersedia." sqref="K33:K33">
      <formula1>"Efektif,Tidak Efektif"</formula1>
    </dataValidation>
    <dataValidation type="list" allowBlank="1" showErrorMessage="1" errorTitle="Nilai tidak valid" error="Pilih dari daftar yang tersedia." sqref="K34:K34">
      <formula1>"Efektif,Tidak Efektif"</formula1>
    </dataValidation>
    <dataValidation type="list" allowBlank="1" showErrorMessage="1" errorTitle="Nilai tidak valid" error="Pilih dari daftar yang tersedia." sqref="K35:K35">
      <formula1>"Efektif,Tidak Efektif"</formula1>
    </dataValidation>
    <dataValidation type="list" allowBlank="1" showErrorMessage="1" errorTitle="Nilai tidak valid" error="Pilih dari daftar yang tersedia." sqref="K36:K36">
      <formula1>"Efektif,Tidak Efektif"</formula1>
    </dataValidation>
    <dataValidation type="list" allowBlank="1" showErrorMessage="1" errorTitle="Nilai tidak valid" error="Pilih dari daftar yang tersedia." sqref="K37:K37">
      <formula1>"Efektif,Tidak Efektif"</formula1>
    </dataValidation>
    <dataValidation type="list" allowBlank="1" showErrorMessage="1" errorTitle="Nilai tidak valid" error="Pilih dari daftar yang tersedia." sqref="K38:K38">
      <formula1>"Efektif,Tidak Efektif"</formula1>
    </dataValidation>
    <dataValidation type="list" allowBlank="1" showErrorMessage="1" errorTitle="Nilai tidak valid" error="Pilih dari daftar yang tersedia." sqref="K39:K39">
      <formula1>"Efektif,Tidak Efektif"</formula1>
    </dataValidation>
    <dataValidation type="list" allowBlank="1" showErrorMessage="1" errorTitle="Nilai tidak valid" error="Pilih dari daftar yang tersedia." sqref="K3:K3">
      <formula1>"Efektif,Tidak Efektif"</formula1>
    </dataValidation>
    <dataValidation type="list" allowBlank="1" showErrorMessage="1" errorTitle="Nilai tidak valid" error="Pilih dari daftar yang tersedia." sqref="K40:K40">
      <formula1>"Efektif,Tidak Efektif"</formula1>
    </dataValidation>
    <dataValidation type="list" allowBlank="1" showErrorMessage="1" errorTitle="Nilai tidak valid" error="Pilih dari daftar yang tersedia." sqref="K41:K41">
      <formula1>"Efektif,Tidak Efektif"</formula1>
    </dataValidation>
    <dataValidation type="list" allowBlank="1" showErrorMessage="1" errorTitle="Nilai tidak valid" error="Pilih dari daftar yang tersedia." sqref="K42:K42">
      <formula1>"Efektif,Tidak Efektif"</formula1>
    </dataValidation>
    <dataValidation type="list" allowBlank="1" showErrorMessage="1" errorTitle="Nilai tidak valid" error="Pilih dari daftar yang tersedia." sqref="K43:K43">
      <formula1>"Efektif,Tidak Efektif"</formula1>
    </dataValidation>
    <dataValidation type="list" allowBlank="1" showErrorMessage="1" errorTitle="Nilai tidak valid" error="Pilih dari daftar yang tersedia." sqref="K44:K44">
      <formula1>"Efektif,Tidak Efektif"</formula1>
    </dataValidation>
    <dataValidation type="list" allowBlank="1" showErrorMessage="1" errorTitle="Nilai tidak valid" error="Pilih dari daftar yang tersedia." sqref="K45:K45">
      <formula1>"Efektif,Tidak Efektif"</formula1>
    </dataValidation>
    <dataValidation type="list" allowBlank="1" showErrorMessage="1" errorTitle="Nilai tidak valid" error="Pilih dari daftar yang tersedia." sqref="K46:K46">
      <formula1>"Efektif,Tidak Efektif"</formula1>
    </dataValidation>
    <dataValidation type="list" allowBlank="1" showErrorMessage="1" errorTitle="Nilai tidak valid" error="Pilih dari daftar yang tersedia." sqref="K47:K47">
      <formula1>"Efektif,Tidak Efektif"</formula1>
    </dataValidation>
    <dataValidation type="list" allowBlank="1" showErrorMessage="1" errorTitle="Nilai tidak valid" error="Pilih dari daftar yang tersedia." sqref="K48:K48">
      <formula1>"Efektif,Tidak Efektif"</formula1>
    </dataValidation>
    <dataValidation type="list" allowBlank="1" showErrorMessage="1" errorTitle="Nilai tidak valid" error="Pilih dari daftar yang tersedia." sqref="K49:K49">
      <formula1>"Efektif,Tidak Efektif"</formula1>
    </dataValidation>
    <dataValidation type="list" allowBlank="1" showErrorMessage="1" errorTitle="Nilai tidak valid" error="Pilih dari daftar yang tersedia." sqref="K4:K4">
      <formula1>"Efektif,Tidak Efektif"</formula1>
    </dataValidation>
    <dataValidation type="list" allowBlank="1" showErrorMessage="1" errorTitle="Nilai tidak valid" error="Pilih dari daftar yang tersedia." sqref="K50:K50">
      <formula1>"Efektif,Tidak Efektif"</formula1>
    </dataValidation>
    <dataValidation type="list" allowBlank="1" showErrorMessage="1" errorTitle="Nilai tidak valid" error="Pilih dari daftar yang tersedia." sqref="K51:K51">
      <formula1>"Efektif,Tidak Efektif"</formula1>
    </dataValidation>
    <dataValidation type="list" allowBlank="1" showErrorMessage="1" errorTitle="Nilai tidak valid" error="Pilih dari daftar yang tersedia." sqref="K52:K52">
      <formula1>"Efektif,Tidak Efektif"</formula1>
    </dataValidation>
    <dataValidation type="list" allowBlank="1" showErrorMessage="1" errorTitle="Nilai tidak valid" error="Pilih dari daftar yang tersedia." sqref="K5:K5">
      <formula1>"Efektif,Tidak Efektif"</formula1>
    </dataValidation>
    <dataValidation type="list" allowBlank="1" showErrorMessage="1" errorTitle="Nilai tidak valid" error="Pilih dari daftar yang tersedia." sqref="K6:K6">
      <formula1>"Efektif,Tidak Efektif"</formula1>
    </dataValidation>
    <dataValidation type="list" allowBlank="1" showErrorMessage="1" errorTitle="Nilai tidak valid" error="Pilih dari daftar yang tersedia." sqref="K7:K7">
      <formula1>"Efektif,Tidak Efektif"</formula1>
    </dataValidation>
    <dataValidation type="list" allowBlank="1" showErrorMessage="1" errorTitle="Nilai tidak valid" error="Pilih dari daftar yang tersedia." sqref="K8:K8">
      <formula1>"Efektif,Tidak Efektif"</formula1>
    </dataValidation>
    <dataValidation type="list" allowBlank="1" showErrorMessage="1" errorTitle="Nilai tidak valid" error="Pilih dari daftar yang tersedia." sqref="K9:K9">
      <formula1>"Efektif,Tidak Efektif"</formula1>
    </dataValidation>
    <dataValidation type="list" allowBlank="1" showErrorMessage="1" errorTitle="Nilai tidak valid" error="Pilih dari daftar yang tersedia." sqref="L10:L10">
      <formula1>"Memadai,Cukup,Kurang,Tidak Memiliki"</formula1>
    </dataValidation>
    <dataValidation type="list" allowBlank="1" showErrorMessage="1" errorTitle="Nilai tidak valid" error="Pilih dari daftar yang tersedia." sqref="L11:L11">
      <formula1>"Memadai,Cukup,Kurang,Tidak Memiliki"</formula1>
    </dataValidation>
    <dataValidation type="list" allowBlank="1" showErrorMessage="1" errorTitle="Nilai tidak valid" error="Pilih dari daftar yang tersedia." sqref="L12:L12">
      <formula1>"Memadai,Cukup,Kurang,Tidak Memiliki"</formula1>
    </dataValidation>
    <dataValidation type="list" allowBlank="1" showErrorMessage="1" errorTitle="Nilai tidak valid" error="Pilih dari daftar yang tersedia." sqref="L13:L13">
      <formula1>"Memadai,Cukup,Kurang,Tidak Memiliki"</formula1>
    </dataValidation>
    <dataValidation type="list" allowBlank="1" showErrorMessage="1" errorTitle="Nilai tidak valid" error="Pilih dari daftar yang tersedia." sqref="L14:L14">
      <formula1>"Memadai,Cukup,Kurang,Tidak Memiliki"</formula1>
    </dataValidation>
    <dataValidation type="list" allowBlank="1" showErrorMessage="1" errorTitle="Nilai tidak valid" error="Pilih dari daftar yang tersedia." sqref="L15:L15">
      <formula1>"Memadai,Cukup,Kurang,Tidak Memiliki"</formula1>
    </dataValidation>
    <dataValidation type="list" allowBlank="1" showErrorMessage="1" errorTitle="Nilai tidak valid" error="Pilih dari daftar yang tersedia." sqref="L16:L16">
      <formula1>"Memadai,Cukup,Kurang,Tidak Memiliki"</formula1>
    </dataValidation>
    <dataValidation type="list" allowBlank="1" showErrorMessage="1" errorTitle="Nilai tidak valid" error="Pilih dari daftar yang tersedia." sqref="L17:L17">
      <formula1>"Memadai,Cukup,Kurang,Tidak Memiliki"</formula1>
    </dataValidation>
    <dataValidation type="list" allowBlank="1" showErrorMessage="1" errorTitle="Nilai tidak valid" error="Pilih dari daftar yang tersedia." sqref="L18:L18">
      <formula1>"Memadai,Cukup,Kurang,Tidak Memiliki"</formula1>
    </dataValidation>
    <dataValidation type="list" allowBlank="1" showErrorMessage="1" errorTitle="Nilai tidak valid" error="Pilih dari daftar yang tersedia." sqref="L19:L19">
      <formula1>"Memadai,Cukup,Kurang,Tidak Memiliki"</formula1>
    </dataValidation>
    <dataValidation type="list" allowBlank="1" showErrorMessage="1" errorTitle="Nilai tidak valid" error="Pilih dari daftar yang tersedia." sqref="L20:L20">
      <formula1>"Memadai,Cukup,Kurang,Tidak Memiliki"</formula1>
    </dataValidation>
    <dataValidation type="list" allowBlank="1" showErrorMessage="1" errorTitle="Nilai tidak valid" error="Pilih dari daftar yang tersedia." sqref="L21:L21">
      <formula1>"Memadai,Cukup,Kurang,Tidak Memiliki"</formula1>
    </dataValidation>
    <dataValidation type="list" allowBlank="1" showErrorMessage="1" errorTitle="Nilai tidak valid" error="Pilih dari daftar yang tersedia." sqref="L22:L22">
      <formula1>"Memadai,Cukup,Kurang,Tidak Memiliki"</formula1>
    </dataValidation>
    <dataValidation type="list" allowBlank="1" showErrorMessage="1" errorTitle="Nilai tidak valid" error="Pilih dari daftar yang tersedia." sqref="L23:L23">
      <formula1>"Memadai,Cukup,Kurang,Tidak Memiliki"</formula1>
    </dataValidation>
    <dataValidation type="list" allowBlank="1" showErrorMessage="1" errorTitle="Nilai tidak valid" error="Pilih dari daftar yang tersedia." sqref="L24:L24">
      <formula1>"Memadai,Cukup,Kurang,Tidak Memiliki"</formula1>
    </dataValidation>
    <dataValidation type="list" allowBlank="1" showErrorMessage="1" errorTitle="Nilai tidak valid" error="Pilih dari daftar yang tersedia." sqref="L25:L25">
      <formula1>"Memadai,Cukup,Kurang,Tidak Memiliki"</formula1>
    </dataValidation>
    <dataValidation type="list" allowBlank="1" showErrorMessage="1" errorTitle="Nilai tidak valid" error="Pilih dari daftar yang tersedia." sqref="L26:L26">
      <formula1>"Memadai,Cukup,Kurang,Tidak Memiliki"</formula1>
    </dataValidation>
    <dataValidation type="list" allowBlank="1" showErrorMessage="1" errorTitle="Nilai tidak valid" error="Pilih dari daftar yang tersedia." sqref="L27:L27">
      <formula1>"Memadai,Cukup,Kurang,Tidak Memiliki"</formula1>
    </dataValidation>
    <dataValidation type="list" allowBlank="1" showErrorMessage="1" errorTitle="Nilai tidak valid" error="Pilih dari daftar yang tersedia." sqref="L28:L28">
      <formula1>"Memadai,Cukup,Kurang,Tidak Memiliki"</formula1>
    </dataValidation>
    <dataValidation type="list" allowBlank="1" showErrorMessage="1" errorTitle="Nilai tidak valid" error="Pilih dari daftar yang tersedia." sqref="L29:L29">
      <formula1>"Memadai,Cukup,Kurang,Tidak Memiliki"</formula1>
    </dataValidation>
    <dataValidation type="list" allowBlank="1" showErrorMessage="1" errorTitle="Nilai tidak valid" error="Pilih dari daftar yang tersedia." sqref="L30:L30">
      <formula1>"Memadai,Cukup,Kurang,Tidak Memiliki"</formula1>
    </dataValidation>
    <dataValidation type="list" allowBlank="1" showErrorMessage="1" errorTitle="Nilai tidak valid" error="Pilih dari daftar yang tersedia." sqref="L31:L31">
      <formula1>"Memadai,Cukup,Kurang,Tidak Memiliki"</formula1>
    </dataValidation>
    <dataValidation type="list" allowBlank="1" showErrorMessage="1" errorTitle="Nilai tidak valid" error="Pilih dari daftar yang tersedia." sqref="L32:L32">
      <formula1>"Memadai,Cukup,Kurang,Tidak Memiliki"</formula1>
    </dataValidation>
    <dataValidation type="list" allowBlank="1" showErrorMessage="1" errorTitle="Nilai tidak valid" error="Pilih dari daftar yang tersedia." sqref="L33:L33">
      <formula1>"Memadai,Cukup,Kurang,Tidak Memiliki"</formula1>
    </dataValidation>
    <dataValidation type="list" allowBlank="1" showErrorMessage="1" errorTitle="Nilai tidak valid" error="Pilih dari daftar yang tersedia." sqref="L34:L34">
      <formula1>"Memadai,Cukup,Kurang,Tidak Memiliki"</formula1>
    </dataValidation>
    <dataValidation type="list" allowBlank="1" showErrorMessage="1" errorTitle="Nilai tidak valid" error="Pilih dari daftar yang tersedia." sqref="L35:L35">
      <formula1>"Memadai,Cukup,Kurang,Tidak Memiliki"</formula1>
    </dataValidation>
    <dataValidation type="list" allowBlank="1" showErrorMessage="1" errorTitle="Nilai tidak valid" error="Pilih dari daftar yang tersedia." sqref="L36:L36">
      <formula1>"Memadai,Cukup,Kurang,Tidak Memiliki"</formula1>
    </dataValidation>
    <dataValidation type="list" allowBlank="1" showErrorMessage="1" errorTitle="Nilai tidak valid" error="Pilih dari daftar yang tersedia." sqref="L37:L37">
      <formula1>"Memadai,Cukup,Kurang,Tidak Memiliki"</formula1>
    </dataValidation>
    <dataValidation type="list" allowBlank="1" showErrorMessage="1" errorTitle="Nilai tidak valid" error="Pilih dari daftar yang tersedia." sqref="L38:L38">
      <formula1>"Memadai,Cukup,Kurang,Tidak Memiliki"</formula1>
    </dataValidation>
    <dataValidation type="list" allowBlank="1" showErrorMessage="1" errorTitle="Nilai tidak valid" error="Pilih dari daftar yang tersedia." sqref="L39:L39">
      <formula1>"Memadai,Cukup,Kurang,Tidak Memiliki"</formula1>
    </dataValidation>
    <dataValidation type="list" allowBlank="1" showErrorMessage="1" errorTitle="Nilai tidak valid" error="Pilih dari daftar yang tersedia." sqref="L3:L3">
      <formula1>"Memadai,Cukup,Kurang,Tidak Memiliki"</formula1>
    </dataValidation>
    <dataValidation type="list" allowBlank="1" showErrorMessage="1" errorTitle="Nilai tidak valid" error="Pilih dari daftar yang tersedia." sqref="L40:L40">
      <formula1>"Memadai,Cukup,Kurang,Tidak Memiliki"</formula1>
    </dataValidation>
    <dataValidation type="list" allowBlank="1" showErrorMessage="1" errorTitle="Nilai tidak valid" error="Pilih dari daftar yang tersedia." sqref="L41:L41">
      <formula1>"Memadai,Cukup,Kurang,Tidak Memiliki"</formula1>
    </dataValidation>
    <dataValidation type="list" allowBlank="1" showErrorMessage="1" errorTitle="Nilai tidak valid" error="Pilih dari daftar yang tersedia." sqref="L42:L42">
      <formula1>"Memadai,Cukup,Kurang,Tidak Memiliki"</formula1>
    </dataValidation>
    <dataValidation type="list" allowBlank="1" showErrorMessage="1" errorTitle="Nilai tidak valid" error="Pilih dari daftar yang tersedia." sqref="L43:L43">
      <formula1>"Memadai,Cukup,Kurang,Tidak Memiliki"</formula1>
    </dataValidation>
    <dataValidation type="list" allowBlank="1" showErrorMessage="1" errorTitle="Nilai tidak valid" error="Pilih dari daftar yang tersedia." sqref="L44:L44">
      <formula1>"Memadai,Cukup,Kurang,Tidak Memiliki"</formula1>
    </dataValidation>
    <dataValidation type="list" allowBlank="1" showErrorMessage="1" errorTitle="Nilai tidak valid" error="Pilih dari daftar yang tersedia." sqref="L45:L45">
      <formula1>"Memadai,Cukup,Kurang,Tidak Memiliki"</formula1>
    </dataValidation>
    <dataValidation type="list" allowBlank="1" showErrorMessage="1" errorTitle="Nilai tidak valid" error="Pilih dari daftar yang tersedia." sqref="L46:L46">
      <formula1>"Memadai,Cukup,Kurang,Tidak Memiliki"</formula1>
    </dataValidation>
    <dataValidation type="list" allowBlank="1" showErrorMessage="1" errorTitle="Nilai tidak valid" error="Pilih dari daftar yang tersedia." sqref="L47:L47">
      <formula1>"Memadai,Cukup,Kurang,Tidak Memiliki"</formula1>
    </dataValidation>
    <dataValidation type="list" allowBlank="1" showErrorMessage="1" errorTitle="Nilai tidak valid" error="Pilih dari daftar yang tersedia." sqref="L48:L48">
      <formula1>"Memadai,Cukup,Kurang,Tidak Memiliki"</formula1>
    </dataValidation>
    <dataValidation type="list" allowBlank="1" showErrorMessage="1" errorTitle="Nilai tidak valid" error="Pilih dari daftar yang tersedia." sqref="L49:L49">
      <formula1>"Memadai,Cukup,Kurang,Tidak Memiliki"</formula1>
    </dataValidation>
    <dataValidation type="list" allowBlank="1" showErrorMessage="1" errorTitle="Nilai tidak valid" error="Pilih dari daftar yang tersedia." sqref="L4:L4">
      <formula1>"Memadai,Cukup,Kurang,Tidak Memiliki"</formula1>
    </dataValidation>
    <dataValidation type="list" allowBlank="1" showErrorMessage="1" errorTitle="Nilai tidak valid" error="Pilih dari daftar yang tersedia." sqref="L50:L50">
      <formula1>"Memadai,Cukup,Kurang,Tidak Memiliki"</formula1>
    </dataValidation>
    <dataValidation type="list" allowBlank="1" showErrorMessage="1" errorTitle="Nilai tidak valid" error="Pilih dari daftar yang tersedia." sqref="L51:L51">
      <formula1>"Memadai,Cukup,Kurang,Tidak Memiliki"</formula1>
    </dataValidation>
    <dataValidation type="list" allowBlank="1" showErrorMessage="1" errorTitle="Nilai tidak valid" error="Pilih dari daftar yang tersedia." sqref="L52:L52">
      <formula1>"Memadai,Cukup,Kurang,Tidak Memiliki"</formula1>
    </dataValidation>
    <dataValidation type="list" allowBlank="1" showErrorMessage="1" errorTitle="Nilai tidak valid" error="Pilih dari daftar yang tersedia." sqref="L5:L5">
      <formula1>"Memadai,Cukup,Kurang,Tidak Memiliki"</formula1>
    </dataValidation>
    <dataValidation type="list" allowBlank="1" showErrorMessage="1" errorTitle="Nilai tidak valid" error="Pilih dari daftar yang tersedia." sqref="L6:L6">
      <formula1>"Memadai,Cukup,Kurang,Tidak Memiliki"</formula1>
    </dataValidation>
    <dataValidation type="list" allowBlank="1" showErrorMessage="1" errorTitle="Nilai tidak valid" error="Pilih dari daftar yang tersedia." sqref="L7:L7">
      <formula1>"Memadai,Cukup,Kurang,Tidak Memiliki"</formula1>
    </dataValidation>
    <dataValidation type="list" allowBlank="1" showErrorMessage="1" errorTitle="Nilai tidak valid" error="Pilih dari daftar yang tersedia." sqref="L8:L8">
      <formula1>"Memadai,Cukup,Kurang,Tidak Memiliki"</formula1>
    </dataValidation>
    <dataValidation type="list" allowBlank="1" showErrorMessage="1" errorTitle="Nilai tidak valid" error="Pilih dari daftar yang tersedia." sqref="L9:L9">
      <formula1>"Memadai,Cukup,Kurang,Tidak Memiliki"</formula1>
    </dataValidation>
    <dataValidation type="list" allowBlank="1" showErrorMessage="1" errorTitle="Nilai tidak valid" error="Pilih dari daftar yang tersedia." sqref="M10:M10">
      <formula1>"1,2,3,4,5"</formula1>
    </dataValidation>
    <dataValidation type="list" allowBlank="1" showErrorMessage="1" errorTitle="Nilai tidak valid" error="Pilih dari daftar yang tersedia." sqref="M11:M11">
      <formula1>"1,2,3,4,5"</formula1>
    </dataValidation>
    <dataValidation type="list" allowBlank="1" showErrorMessage="1" errorTitle="Nilai tidak valid" error="Pilih dari daftar yang tersedia." sqref="M12:M12">
      <formula1>"1,2,3,4,5"</formula1>
    </dataValidation>
    <dataValidation type="list" allowBlank="1" showErrorMessage="1" errorTitle="Nilai tidak valid" error="Pilih dari daftar yang tersedia." sqref="M13:M13">
      <formula1>"1,2,3,4,5"</formula1>
    </dataValidation>
    <dataValidation type="list" allowBlank="1" showErrorMessage="1" errorTitle="Nilai tidak valid" error="Pilih dari daftar yang tersedia." sqref="M14:M14">
      <formula1>"1,2,3,4,5"</formula1>
    </dataValidation>
    <dataValidation type="list" allowBlank="1" showErrorMessage="1" errorTitle="Nilai tidak valid" error="Pilih dari daftar yang tersedia." sqref="M15:M15">
      <formula1>"1,2,3,4,5"</formula1>
    </dataValidation>
    <dataValidation type="list" allowBlank="1" showErrorMessage="1" errorTitle="Nilai tidak valid" error="Pilih dari daftar yang tersedia." sqref="M16:M16">
      <formula1>"1,2,3,4,5"</formula1>
    </dataValidation>
    <dataValidation type="list" allowBlank="1" showErrorMessage="1" errorTitle="Nilai tidak valid" error="Pilih dari daftar yang tersedia." sqref="M17:M17">
      <formula1>"1,2,3,4,5"</formula1>
    </dataValidation>
    <dataValidation type="list" allowBlank="1" showErrorMessage="1" errorTitle="Nilai tidak valid" error="Pilih dari daftar yang tersedia." sqref="M18:M18">
      <formula1>"1,2,3,4,5"</formula1>
    </dataValidation>
    <dataValidation type="list" allowBlank="1" showErrorMessage="1" errorTitle="Nilai tidak valid" error="Pilih dari daftar yang tersedia." sqref="M19:M19">
      <formula1>"1,2,3,4,5"</formula1>
    </dataValidation>
    <dataValidation type="list" allowBlank="1" showErrorMessage="1" errorTitle="Nilai tidak valid" error="Pilih dari daftar yang tersedia." sqref="M20:M20">
      <formula1>"1,2,3,4,5"</formula1>
    </dataValidation>
    <dataValidation type="list" allowBlank="1" showErrorMessage="1" errorTitle="Nilai tidak valid" error="Pilih dari daftar yang tersedia." sqref="M21:M21">
      <formula1>"1,2,3,4,5"</formula1>
    </dataValidation>
    <dataValidation type="list" allowBlank="1" showErrorMessage="1" errorTitle="Nilai tidak valid" error="Pilih dari daftar yang tersedia." sqref="M22:M22">
      <formula1>"1,2,3,4,5"</formula1>
    </dataValidation>
    <dataValidation type="list" allowBlank="1" showErrorMessage="1" errorTitle="Nilai tidak valid" error="Pilih dari daftar yang tersedia." sqref="M23:M23">
      <formula1>"1,2,3,4,5"</formula1>
    </dataValidation>
    <dataValidation type="list" allowBlank="1" showErrorMessage="1" errorTitle="Nilai tidak valid" error="Pilih dari daftar yang tersedia." sqref="M24:M24">
      <formula1>"1,2,3,4,5"</formula1>
    </dataValidation>
    <dataValidation type="list" allowBlank="1" showErrorMessage="1" errorTitle="Nilai tidak valid" error="Pilih dari daftar yang tersedia." sqref="M25:M25">
      <formula1>"1,2,3,4,5"</formula1>
    </dataValidation>
    <dataValidation type="list" allowBlank="1" showErrorMessage="1" errorTitle="Nilai tidak valid" error="Pilih dari daftar yang tersedia." sqref="M26:M26">
      <formula1>"1,2,3,4,5"</formula1>
    </dataValidation>
    <dataValidation type="list" allowBlank="1" showErrorMessage="1" errorTitle="Nilai tidak valid" error="Pilih dari daftar yang tersedia." sqref="M27:M27">
      <formula1>"1,2,3,4,5"</formula1>
    </dataValidation>
    <dataValidation type="list" allowBlank="1" showErrorMessage="1" errorTitle="Nilai tidak valid" error="Pilih dari daftar yang tersedia." sqref="M28:M28">
      <formula1>"1,2,3,4,5"</formula1>
    </dataValidation>
    <dataValidation type="list" allowBlank="1" showErrorMessage="1" errorTitle="Nilai tidak valid" error="Pilih dari daftar yang tersedia." sqref="M29:M29">
      <formula1>"1,2,3,4,5"</formula1>
    </dataValidation>
    <dataValidation type="list" allowBlank="1" showErrorMessage="1" errorTitle="Nilai tidak valid" error="Pilih dari daftar yang tersedia." sqref="M30:M30">
      <formula1>"1,2,3,4,5"</formula1>
    </dataValidation>
    <dataValidation type="list" allowBlank="1" showErrorMessage="1" errorTitle="Nilai tidak valid" error="Pilih dari daftar yang tersedia." sqref="M31:M31">
      <formula1>"1,2,3,4,5"</formula1>
    </dataValidation>
    <dataValidation type="list" allowBlank="1" showErrorMessage="1" errorTitle="Nilai tidak valid" error="Pilih dari daftar yang tersedia." sqref="M32:M32">
      <formula1>"1,2,3,4,5"</formula1>
    </dataValidation>
    <dataValidation type="list" allowBlank="1" showErrorMessage="1" errorTitle="Nilai tidak valid" error="Pilih dari daftar yang tersedia." sqref="M33:M33">
      <formula1>"1,2,3,4,5"</formula1>
    </dataValidation>
    <dataValidation type="list" allowBlank="1" showErrorMessage="1" errorTitle="Nilai tidak valid" error="Pilih dari daftar yang tersedia." sqref="M34:M34">
      <formula1>"1,2,3,4,5"</formula1>
    </dataValidation>
    <dataValidation type="list" allowBlank="1" showErrorMessage="1" errorTitle="Nilai tidak valid" error="Pilih dari daftar yang tersedia." sqref="M35:M35">
      <formula1>"1,2,3,4,5"</formula1>
    </dataValidation>
    <dataValidation type="list" allowBlank="1" showErrorMessage="1" errorTitle="Nilai tidak valid" error="Pilih dari daftar yang tersedia." sqref="M36:M36">
      <formula1>"1,2,3,4,5"</formula1>
    </dataValidation>
    <dataValidation type="list" allowBlank="1" showErrorMessage="1" errorTitle="Nilai tidak valid" error="Pilih dari daftar yang tersedia." sqref="M37:M37">
      <formula1>"1,2,3,4,5"</formula1>
    </dataValidation>
    <dataValidation type="list" allowBlank="1" showErrorMessage="1" errorTitle="Nilai tidak valid" error="Pilih dari daftar yang tersedia." sqref="M38:M38">
      <formula1>"1,2,3,4,5"</formula1>
    </dataValidation>
    <dataValidation type="list" allowBlank="1" showErrorMessage="1" errorTitle="Nilai tidak valid" error="Pilih dari daftar yang tersedia." sqref="M39:M39">
      <formula1>"1,2,3,4,5"</formula1>
    </dataValidation>
    <dataValidation type="list" allowBlank="1" showErrorMessage="1" errorTitle="Nilai tidak valid" error="Pilih dari daftar yang tersedia." sqref="M3:M3">
      <formula1>"1,2,3,4,5"</formula1>
    </dataValidation>
    <dataValidation type="list" allowBlank="1" showErrorMessage="1" errorTitle="Nilai tidak valid" error="Pilih dari daftar yang tersedia." sqref="M40:M40">
      <formula1>"1,2,3,4,5"</formula1>
    </dataValidation>
    <dataValidation type="list" allowBlank="1" showErrorMessage="1" errorTitle="Nilai tidak valid" error="Pilih dari daftar yang tersedia." sqref="M41:M41">
      <formula1>"1,2,3,4,5"</formula1>
    </dataValidation>
    <dataValidation type="list" allowBlank="1" showErrorMessage="1" errorTitle="Nilai tidak valid" error="Pilih dari daftar yang tersedia." sqref="M42:M42">
      <formula1>"1,2,3,4,5"</formula1>
    </dataValidation>
    <dataValidation type="list" allowBlank="1" showErrorMessage="1" errorTitle="Nilai tidak valid" error="Pilih dari daftar yang tersedia." sqref="M43:M43">
      <formula1>"1,2,3,4,5"</formula1>
    </dataValidation>
    <dataValidation type="list" allowBlank="1" showErrorMessage="1" errorTitle="Nilai tidak valid" error="Pilih dari daftar yang tersedia." sqref="M44:M44">
      <formula1>"1,2,3,4,5"</formula1>
    </dataValidation>
    <dataValidation type="list" allowBlank="1" showErrorMessage="1" errorTitle="Nilai tidak valid" error="Pilih dari daftar yang tersedia." sqref="M45:M45">
      <formula1>"1,2,3,4,5"</formula1>
    </dataValidation>
    <dataValidation type="list" allowBlank="1" showErrorMessage="1" errorTitle="Nilai tidak valid" error="Pilih dari daftar yang tersedia." sqref="M46:M46">
      <formula1>"1,2,3,4,5"</formula1>
    </dataValidation>
    <dataValidation type="list" allowBlank="1" showErrorMessage="1" errorTitle="Nilai tidak valid" error="Pilih dari daftar yang tersedia." sqref="M47:M47">
      <formula1>"1,2,3,4,5"</formula1>
    </dataValidation>
    <dataValidation type="list" allowBlank="1" showErrorMessage="1" errorTitle="Nilai tidak valid" error="Pilih dari daftar yang tersedia." sqref="M48:M48">
      <formula1>"1,2,3,4,5"</formula1>
    </dataValidation>
    <dataValidation type="list" allowBlank="1" showErrorMessage="1" errorTitle="Nilai tidak valid" error="Pilih dari daftar yang tersedia." sqref="M49:M49">
      <formula1>"1,2,3,4,5"</formula1>
    </dataValidation>
    <dataValidation type="list" allowBlank="1" showErrorMessage="1" errorTitle="Nilai tidak valid" error="Pilih dari daftar yang tersedia." sqref="M4:M4">
      <formula1>"1,2,3,4,5"</formula1>
    </dataValidation>
    <dataValidation type="list" allowBlank="1" showErrorMessage="1" errorTitle="Nilai tidak valid" error="Pilih dari daftar yang tersedia." sqref="M50:M50">
      <formula1>"1,2,3,4,5"</formula1>
    </dataValidation>
    <dataValidation type="list" allowBlank="1" showErrorMessage="1" errorTitle="Nilai tidak valid" error="Pilih dari daftar yang tersedia." sqref="M51:M51">
      <formula1>"1,2,3,4,5"</formula1>
    </dataValidation>
    <dataValidation type="list" allowBlank="1" showErrorMessage="1" errorTitle="Nilai tidak valid" error="Pilih dari daftar yang tersedia." sqref="M52:M52">
      <formula1>"1,2,3,4,5"</formula1>
    </dataValidation>
    <dataValidation type="list" allowBlank="1" showErrorMessage="1" errorTitle="Nilai tidak valid" error="Pilih dari daftar yang tersedia." sqref="M5:M5">
      <formula1>"1,2,3,4,5"</formula1>
    </dataValidation>
    <dataValidation type="list" allowBlank="1" showErrorMessage="1" errorTitle="Nilai tidak valid" error="Pilih dari daftar yang tersedia." sqref="M6:M6">
      <formula1>"1,2,3,4,5"</formula1>
    </dataValidation>
    <dataValidation type="list" allowBlank="1" showErrorMessage="1" errorTitle="Nilai tidak valid" error="Pilih dari daftar yang tersedia." sqref="M7:M7">
      <formula1>"1,2,3,4,5"</formula1>
    </dataValidation>
    <dataValidation type="list" allowBlank="1" showErrorMessage="1" errorTitle="Nilai tidak valid" error="Pilih dari daftar yang tersedia." sqref="M8:M8">
      <formula1>"1,2,3,4,5"</formula1>
    </dataValidation>
    <dataValidation type="list" allowBlank="1" showErrorMessage="1" errorTitle="Nilai tidak valid" error="Pilih dari daftar yang tersedia." sqref="M9:M9">
      <formula1>"1,2,3,4,5"</formula1>
    </dataValidation>
    <dataValidation type="list" allowBlank="1" showErrorMessage="1" errorTitle="Nilai tidak valid" error="Pilih dari daftar yang tersedia." sqref="N10:N10">
      <formula1>"1,2,3,4,5"</formula1>
    </dataValidation>
    <dataValidation type="list" allowBlank="1" showErrorMessage="1" errorTitle="Nilai tidak valid" error="Pilih dari daftar yang tersedia." sqref="N11:N11">
      <formula1>"1,2,3,4,5"</formula1>
    </dataValidation>
    <dataValidation type="list" allowBlank="1" showErrorMessage="1" errorTitle="Nilai tidak valid" error="Pilih dari daftar yang tersedia." sqref="N12:N12">
      <formula1>"1,2,3,4,5"</formula1>
    </dataValidation>
    <dataValidation type="list" allowBlank="1" showErrorMessage="1" errorTitle="Nilai tidak valid" error="Pilih dari daftar yang tersedia." sqref="N13:N13">
      <formula1>"1,2,3,4,5"</formula1>
    </dataValidation>
    <dataValidation type="list" allowBlank="1" showErrorMessage="1" errorTitle="Nilai tidak valid" error="Pilih dari daftar yang tersedia." sqref="N14:N14">
      <formula1>"1,2,3,4,5"</formula1>
    </dataValidation>
    <dataValidation type="list" allowBlank="1" showErrorMessage="1" errorTitle="Nilai tidak valid" error="Pilih dari daftar yang tersedia." sqref="N15:N15">
      <formula1>"1,2,3,4,5"</formula1>
    </dataValidation>
    <dataValidation type="list" allowBlank="1" showErrorMessage="1" errorTitle="Nilai tidak valid" error="Pilih dari daftar yang tersedia." sqref="N16:N16">
      <formula1>"1,2,3,4,5"</formula1>
    </dataValidation>
    <dataValidation type="list" allowBlank="1" showErrorMessage="1" errorTitle="Nilai tidak valid" error="Pilih dari daftar yang tersedia." sqref="N17:N17">
      <formula1>"1,2,3,4,5"</formula1>
    </dataValidation>
    <dataValidation type="list" allowBlank="1" showErrorMessage="1" errorTitle="Nilai tidak valid" error="Pilih dari daftar yang tersedia." sqref="N18:N18">
      <formula1>"1,2,3,4,5"</formula1>
    </dataValidation>
    <dataValidation type="list" allowBlank="1" showErrorMessage="1" errorTitle="Nilai tidak valid" error="Pilih dari daftar yang tersedia." sqref="N19:N19">
      <formula1>"1,2,3,4,5"</formula1>
    </dataValidation>
    <dataValidation type="list" allowBlank="1" showErrorMessage="1" errorTitle="Nilai tidak valid" error="Pilih dari daftar yang tersedia." sqref="N20:N20">
      <formula1>"1,2,3,4,5"</formula1>
    </dataValidation>
    <dataValidation type="list" allowBlank="1" showErrorMessage="1" errorTitle="Nilai tidak valid" error="Pilih dari daftar yang tersedia." sqref="N21:N21">
      <formula1>"1,2,3,4,5"</formula1>
    </dataValidation>
    <dataValidation type="list" allowBlank="1" showErrorMessage="1" errorTitle="Nilai tidak valid" error="Pilih dari daftar yang tersedia." sqref="N22:N22">
      <formula1>"1,2,3,4,5"</formula1>
    </dataValidation>
    <dataValidation type="list" allowBlank="1" showErrorMessage="1" errorTitle="Nilai tidak valid" error="Pilih dari daftar yang tersedia." sqref="N23:N23">
      <formula1>"1,2,3,4,5"</formula1>
    </dataValidation>
    <dataValidation type="list" allowBlank="1" showErrorMessage="1" errorTitle="Nilai tidak valid" error="Pilih dari daftar yang tersedia." sqref="N24:N24">
      <formula1>"1,2,3,4,5"</formula1>
    </dataValidation>
    <dataValidation type="list" allowBlank="1" showErrorMessage="1" errorTitle="Nilai tidak valid" error="Pilih dari daftar yang tersedia." sqref="N25:N25">
      <formula1>"1,2,3,4,5"</formula1>
    </dataValidation>
    <dataValidation type="list" allowBlank="1" showErrorMessage="1" errorTitle="Nilai tidak valid" error="Pilih dari daftar yang tersedia." sqref="N26:N26">
      <formula1>"1,2,3,4,5"</formula1>
    </dataValidation>
    <dataValidation type="list" allowBlank="1" showErrorMessage="1" errorTitle="Nilai tidak valid" error="Pilih dari daftar yang tersedia." sqref="N27:N27">
      <formula1>"1,2,3,4,5"</formula1>
    </dataValidation>
    <dataValidation type="list" allowBlank="1" showErrorMessage="1" errorTitle="Nilai tidak valid" error="Pilih dari daftar yang tersedia." sqref="N28:N28">
      <formula1>"1,2,3,4,5"</formula1>
    </dataValidation>
    <dataValidation type="list" allowBlank="1" showErrorMessage="1" errorTitle="Nilai tidak valid" error="Pilih dari daftar yang tersedia." sqref="N29:N29">
      <formula1>"1,2,3,4,5"</formula1>
    </dataValidation>
    <dataValidation type="list" allowBlank="1" showErrorMessage="1" errorTitle="Nilai tidak valid" error="Pilih dari daftar yang tersedia." sqref="N30:N30">
      <formula1>"1,2,3,4,5"</formula1>
    </dataValidation>
    <dataValidation type="list" allowBlank="1" showErrorMessage="1" errorTitle="Nilai tidak valid" error="Pilih dari daftar yang tersedia." sqref="N31:N31">
      <formula1>"1,2,3,4,5"</formula1>
    </dataValidation>
    <dataValidation type="list" allowBlank="1" showErrorMessage="1" errorTitle="Nilai tidak valid" error="Pilih dari daftar yang tersedia." sqref="N32:N32">
      <formula1>"1,2,3,4,5"</formula1>
    </dataValidation>
    <dataValidation type="list" allowBlank="1" showErrorMessage="1" errorTitle="Nilai tidak valid" error="Pilih dari daftar yang tersedia." sqref="N33:N33">
      <formula1>"1,2,3,4,5"</formula1>
    </dataValidation>
    <dataValidation type="list" allowBlank="1" showErrorMessage="1" errorTitle="Nilai tidak valid" error="Pilih dari daftar yang tersedia." sqref="N34:N34">
      <formula1>"1,2,3,4,5"</formula1>
    </dataValidation>
    <dataValidation type="list" allowBlank="1" showErrorMessage="1" errorTitle="Nilai tidak valid" error="Pilih dari daftar yang tersedia." sqref="N35:N35">
      <formula1>"1,2,3,4,5"</formula1>
    </dataValidation>
    <dataValidation type="list" allowBlank="1" showErrorMessage="1" errorTitle="Nilai tidak valid" error="Pilih dari daftar yang tersedia." sqref="N36:N36">
      <formula1>"1,2,3,4,5"</formula1>
    </dataValidation>
    <dataValidation type="list" allowBlank="1" showErrorMessage="1" errorTitle="Nilai tidak valid" error="Pilih dari daftar yang tersedia." sqref="N37:N37">
      <formula1>"1,2,3,4,5"</formula1>
    </dataValidation>
    <dataValidation type="list" allowBlank="1" showErrorMessage="1" errorTitle="Nilai tidak valid" error="Pilih dari daftar yang tersedia." sqref="N38:N38">
      <formula1>"1,2,3,4,5"</formula1>
    </dataValidation>
    <dataValidation type="list" allowBlank="1" showErrorMessage="1" errorTitle="Nilai tidak valid" error="Pilih dari daftar yang tersedia." sqref="N39:N39">
      <formula1>"1,2,3,4,5"</formula1>
    </dataValidation>
    <dataValidation type="list" allowBlank="1" showErrorMessage="1" errorTitle="Nilai tidak valid" error="Pilih dari daftar yang tersedia." sqref="N3:N3">
      <formula1>"1,2,3,4,5"</formula1>
    </dataValidation>
    <dataValidation type="list" allowBlank="1" showErrorMessage="1" errorTitle="Nilai tidak valid" error="Pilih dari daftar yang tersedia." sqref="N40:N40">
      <formula1>"1,2,3,4,5"</formula1>
    </dataValidation>
    <dataValidation type="list" allowBlank="1" showErrorMessage="1" errorTitle="Nilai tidak valid" error="Pilih dari daftar yang tersedia." sqref="N41:N41">
      <formula1>"1,2,3,4,5"</formula1>
    </dataValidation>
    <dataValidation type="list" allowBlank="1" showErrorMessage="1" errorTitle="Nilai tidak valid" error="Pilih dari daftar yang tersedia." sqref="N42:N42">
      <formula1>"1,2,3,4,5"</formula1>
    </dataValidation>
    <dataValidation type="list" allowBlank="1" showErrorMessage="1" errorTitle="Nilai tidak valid" error="Pilih dari daftar yang tersedia." sqref="N43:N43">
      <formula1>"1,2,3,4,5"</formula1>
    </dataValidation>
    <dataValidation type="list" allowBlank="1" showErrorMessage="1" errorTitle="Nilai tidak valid" error="Pilih dari daftar yang tersedia." sqref="N44:N44">
      <formula1>"1,2,3,4,5"</formula1>
    </dataValidation>
    <dataValidation type="list" allowBlank="1" showErrorMessage="1" errorTitle="Nilai tidak valid" error="Pilih dari daftar yang tersedia." sqref="N45:N45">
      <formula1>"1,2,3,4,5"</formula1>
    </dataValidation>
    <dataValidation type="list" allowBlank="1" showErrorMessage="1" errorTitle="Nilai tidak valid" error="Pilih dari daftar yang tersedia." sqref="N46:N46">
      <formula1>"1,2,3,4,5"</formula1>
    </dataValidation>
    <dataValidation type="list" allowBlank="1" showErrorMessage="1" errorTitle="Nilai tidak valid" error="Pilih dari daftar yang tersedia." sqref="N47:N47">
      <formula1>"1,2,3,4,5"</formula1>
    </dataValidation>
    <dataValidation type="list" allowBlank="1" showErrorMessage="1" errorTitle="Nilai tidak valid" error="Pilih dari daftar yang tersedia." sqref="N48:N48">
      <formula1>"1,2,3,4,5"</formula1>
    </dataValidation>
    <dataValidation type="list" allowBlank="1" showErrorMessage="1" errorTitle="Nilai tidak valid" error="Pilih dari daftar yang tersedia." sqref="N49:N49">
      <formula1>"1,2,3,4,5"</formula1>
    </dataValidation>
    <dataValidation type="list" allowBlank="1" showErrorMessage="1" errorTitle="Nilai tidak valid" error="Pilih dari daftar yang tersedia." sqref="N4:N4">
      <formula1>"1,2,3,4,5"</formula1>
    </dataValidation>
    <dataValidation type="list" allowBlank="1" showErrorMessage="1" errorTitle="Nilai tidak valid" error="Pilih dari daftar yang tersedia." sqref="N50:N50">
      <formula1>"1,2,3,4,5"</formula1>
    </dataValidation>
    <dataValidation type="list" allowBlank="1" showErrorMessage="1" errorTitle="Nilai tidak valid" error="Pilih dari daftar yang tersedia." sqref="N51:N51">
      <formula1>"1,2,3,4,5"</formula1>
    </dataValidation>
    <dataValidation type="list" allowBlank="1" showErrorMessage="1" errorTitle="Nilai tidak valid" error="Pilih dari daftar yang tersedia." sqref="N52:N52">
      <formula1>"1,2,3,4,5"</formula1>
    </dataValidation>
    <dataValidation type="list" allowBlank="1" showErrorMessage="1" errorTitle="Nilai tidak valid" error="Pilih dari daftar yang tersedia." sqref="N5:N5">
      <formula1>"1,2,3,4,5"</formula1>
    </dataValidation>
    <dataValidation type="list" allowBlank="1" showErrorMessage="1" errorTitle="Nilai tidak valid" error="Pilih dari daftar yang tersedia." sqref="N6:N6">
      <formula1>"1,2,3,4,5"</formula1>
    </dataValidation>
    <dataValidation type="list" allowBlank="1" showErrorMessage="1" errorTitle="Nilai tidak valid" error="Pilih dari daftar yang tersedia." sqref="N7:N7">
      <formula1>"1,2,3,4,5"</formula1>
    </dataValidation>
    <dataValidation type="list" allowBlank="1" showErrorMessage="1" errorTitle="Nilai tidak valid" error="Pilih dari daftar yang tersedia." sqref="N8:N8">
      <formula1>"1,2,3,4,5"</formula1>
    </dataValidation>
    <dataValidation type="list" allowBlank="1" showErrorMessage="1" errorTitle="Nilai tidak valid" error="Pilih dari daftar yang tersedia." sqref="N9:N9">
      <formula1>"1,2,3,4,5"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8" width="14" customWidth="1"/>
    <col min="9" max="9" width="10" customWidth="1"/>
    <col min="10" max="10" width="12" customWidth="1"/>
  </cols>
  <sheetData>
    <row r="1" ht="28" customHeight="1" spans="1:10" x14ac:dyDescent="0.25">
      <c r="A1" s="28" t="s">
        <v>324</v>
      </c>
      <c r="B1" s="28"/>
      <c r="C1" s="28"/>
      <c r="D1" s="28"/>
      <c r="E1" s="28"/>
      <c r="F1" s="28"/>
      <c r="G1" s="28"/>
      <c r="H1" s="28"/>
      <c r="I1" s="28"/>
      <c r="J1" s="28"/>
    </row>
    <row r="2" ht="22" customHeight="1" spans="1:10" x14ac:dyDescent="0.25">
      <c r="A2" s="11" t="s">
        <v>325</v>
      </c>
      <c r="B2" s="11"/>
      <c r="C2" s="11"/>
      <c r="D2" s="11"/>
      <c r="E2" s="11"/>
      <c r="F2" s="11"/>
      <c r="G2" s="11"/>
      <c r="H2" s="11"/>
      <c r="I2" s="11"/>
      <c r="J2" s="11"/>
    </row>
    <row r="3" ht="22" customHeight="1" spans="1:10" x14ac:dyDescent="0.25">
      <c r="A3" s="29" t="s">
        <v>283</v>
      </c>
      <c r="B3" s="29" t="s">
        <v>287</v>
      </c>
      <c r="C3" s="29" t="s">
        <v>307</v>
      </c>
      <c r="D3" s="29" t="s">
        <v>326</v>
      </c>
      <c r="E3" s="29" t="s">
        <v>327</v>
      </c>
      <c r="F3" s="29" t="s">
        <v>328</v>
      </c>
      <c r="G3" s="29" t="s">
        <v>329</v>
      </c>
      <c r="H3" s="29" t="s">
        <v>330</v>
      </c>
      <c r="I3" s="29" t="s">
        <v>331</v>
      </c>
      <c r="J3" s="29" t="s">
        <v>332</v>
      </c>
    </row>
    <row r="4" ht="20" customHeight="1" spans="1:1" x14ac:dyDescent="0.25">
      <c r="A4" s="30">
        <f>IFERROR(FILTER(ANALISIS!A3:T52,ANALISIS!S3:S52="YA ⚠"),"Belum ada risiko prioritas — pastikan sheet [5] ANALISIS sudah diisi dan threshold [2] sudah ditetapkan")</f>
      </c>
    </row>
    <row r="5" ht="36" customHeight="1" spans="1:10" x14ac:dyDescent="0.25">
      <c r="A5" s="31" t="s">
        <v>333</v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 x14ac:dyDescent="0.25"/>
    <row r="7" ht="20" customHeight="1" x14ac:dyDescent="0.25"/>
    <row r="8" ht="22" customHeight="1" spans="1:8" x14ac:dyDescent="0.25">
      <c r="A8" s="11" t="s">
        <v>334</v>
      </c>
      <c r="B8" s="11"/>
      <c r="C8" s="11"/>
      <c r="D8" s="11"/>
      <c r="E8" s="11"/>
      <c r="F8" s="11"/>
      <c r="G8" s="11"/>
      <c r="H8" s="11"/>
    </row>
    <row r="9" ht="20" customHeight="1" spans="2:7" x14ac:dyDescent="0.25">
      <c r="B9" s="32" t="s">
        <v>335</v>
      </c>
      <c r="C9" s="33" t="s">
        <v>336</v>
      </c>
      <c r="D9" s="33" t="s">
        <v>337</v>
      </c>
      <c r="E9" s="33" t="s">
        <v>338</v>
      </c>
      <c r="F9" s="33" t="s">
        <v>339</v>
      </c>
      <c r="G9" s="33" t="s">
        <v>340</v>
      </c>
    </row>
    <row r="10" ht="32" customHeight="1" spans="2:7" x14ac:dyDescent="0.25">
      <c r="B10" s="33" t="s">
        <v>341</v>
      </c>
      <c r="C10" s="34">
        <f>IFERROR(TEXTJOIN(", ",TRUE,IF((ANALISIS!M3:M52=5)*(ANALISIS!N3:N52=1),ANALISIS!A3:A52,""))&amp;IF(COUNTIFS(ANALISIS!M3:M52,5,ANALISIS!N3:N52,1)=0,"—",""),"—")</f>
      </c>
      <c r="D10" s="35">
        <f>IFERROR(TEXTJOIN(", ",TRUE,IF((ANALISIS!M3:M52=5)*(ANALISIS!N3:N52=2),ANALISIS!A3:A52,""))&amp;IF(COUNTIFS(ANALISIS!M3:M52,5,ANALISIS!N3:N52,2)=0,"—",""),"—")</f>
      </c>
      <c r="E10" s="36">
        <f>IFERROR(TEXTJOIN(", ",TRUE,IF((ANALISIS!M3:M52=5)*(ANALISIS!N3:N52=3),ANALISIS!A3:A52,""))&amp;IF(COUNTIFS(ANALISIS!M3:M52,5,ANALISIS!N3:N52,3)=0,"—",""),"—")</f>
      </c>
      <c r="F10" s="37">
        <f>IFERROR(TEXTJOIN(", ",TRUE,IF((ANALISIS!M3:M52=5)*(ANALISIS!N3:N52=4),ANALISIS!A3:A52,""))&amp;IF(COUNTIFS(ANALISIS!M3:M52,5,ANALISIS!N3:N52,4)=0,"—",""),"—")</f>
      </c>
      <c r="G10" s="37">
        <f>IFERROR(TEXTJOIN(", ",TRUE,IF((ANALISIS!M3:M52=5)*(ANALISIS!N3:N52=5),ANALISIS!A3:A52,""))&amp;IF(COUNTIFS(ANALISIS!M3:M52,5,ANALISIS!N3:N52,5)=0,"—",""),"—")</f>
      </c>
    </row>
    <row r="11" ht="32" customHeight="1" spans="2:7" x14ac:dyDescent="0.25">
      <c r="B11" s="33" t="s">
        <v>342</v>
      </c>
      <c r="C11" s="34">
        <f>IFERROR(TEXTJOIN(", ",TRUE,IF((ANALISIS!M3:M52=4)*(ANALISIS!N3:N52=1),ANALISIS!A3:A52,""))&amp;IF(COUNTIFS(ANALISIS!M3:M52,4,ANALISIS!N3:N52,1)=0,"—",""),"—")</f>
      </c>
      <c r="D11" s="35">
        <f>IFERROR(TEXTJOIN(", ",TRUE,IF((ANALISIS!M3:M52=4)*(ANALISIS!N3:N52=2),ANALISIS!A3:A52,""))&amp;IF(COUNTIFS(ANALISIS!M3:M52,4,ANALISIS!N3:N52,2)=0,"—",""),"—")</f>
      </c>
      <c r="E11" s="36">
        <f>IFERROR(TEXTJOIN(", ",TRUE,IF((ANALISIS!M3:M52=4)*(ANALISIS!N3:N52=3),ANALISIS!A3:A52,""))&amp;IF(COUNTIFS(ANALISIS!M3:M52,4,ANALISIS!N3:N52,3)=0,"—",""),"—")</f>
      </c>
      <c r="F11" s="38">
        <f>IFERROR(TEXTJOIN(", ",TRUE,IF((ANALISIS!M3:M52=4)*(ANALISIS!N3:N52=4),ANALISIS!A3:A52,""))&amp;IF(COUNTIFS(ANALISIS!M3:M52,4,ANALISIS!N3:N52,4)=0,"—",""),"—")</f>
      </c>
      <c r="G11" s="37">
        <f>IFERROR(TEXTJOIN(", ",TRUE,IF((ANALISIS!M3:M52=4)*(ANALISIS!N3:N52=5),ANALISIS!A3:A52,""))&amp;IF(COUNTIFS(ANALISIS!M3:M52,4,ANALISIS!N3:N52,5)=0,"—",""),"—")</f>
      </c>
    </row>
    <row r="12" ht="32" customHeight="1" spans="2:7" x14ac:dyDescent="0.25">
      <c r="B12" s="33" t="s">
        <v>343</v>
      </c>
      <c r="C12" s="34">
        <f>IFERROR(TEXTJOIN(", ",TRUE,IF((ANALISIS!M3:M52=3)*(ANALISIS!N3:N52=1),ANALISIS!A3:A52,""))&amp;IF(COUNTIFS(ANALISIS!M3:M52,3,ANALISIS!N3:N52,1)=0,"—",""),"—")</f>
      </c>
      <c r="D12" s="35">
        <f>IFERROR(TEXTJOIN(", ",TRUE,IF((ANALISIS!M3:M52=3)*(ANALISIS!N3:N52=2),ANALISIS!A3:A52,""))&amp;IF(COUNTIFS(ANALISIS!M3:M52,3,ANALISIS!N3:N52,2)=0,"—",""),"—")</f>
      </c>
      <c r="E12" s="35">
        <f>IFERROR(TEXTJOIN(", ",TRUE,IF((ANALISIS!M3:M52=3)*(ANALISIS!N3:N52=3),ANALISIS!A3:A52,""))&amp;IF(COUNTIFS(ANALISIS!M3:M52,3,ANALISIS!N3:N52,3)=0,"—",""),"—")</f>
      </c>
      <c r="F12" s="36">
        <f>IFERROR(TEXTJOIN(", ",TRUE,IF((ANALISIS!M3:M52=3)*(ANALISIS!N3:N52=4),ANALISIS!A3:A52,""))&amp;IF(COUNTIFS(ANALISIS!M3:M52,3,ANALISIS!N3:N52,4)=0,"—",""),"—")</f>
      </c>
      <c r="G12" s="36">
        <f>IFERROR(TEXTJOIN(", ",TRUE,IF((ANALISIS!M3:M52=3)*(ANALISIS!N3:N52=5),ANALISIS!A3:A52,""))&amp;IF(COUNTIFS(ANALISIS!M3:M52,3,ANALISIS!N3:N52,5)=0,"—",""),"—")</f>
      </c>
    </row>
    <row r="13" ht="32" customHeight="1" spans="2:7" x14ac:dyDescent="0.25">
      <c r="B13" s="33" t="s">
        <v>344</v>
      </c>
      <c r="C13" s="34">
        <f>IFERROR(TEXTJOIN(", ",TRUE,IF((ANALISIS!M3:M52=2)*(ANALISIS!N3:N52=1),ANALISIS!A3:A52,""))&amp;IF(COUNTIFS(ANALISIS!M3:M52,2,ANALISIS!N3:N52,1)=0,"—",""),"—")</f>
      </c>
      <c r="D13" s="34">
        <f>IFERROR(TEXTJOIN(", ",TRUE,IF((ANALISIS!M3:M52=2)*(ANALISIS!N3:N52=2),ANALISIS!A3:A52,""))&amp;IF(COUNTIFS(ANALISIS!M3:M52,2,ANALISIS!N3:N52,2)=0,"—",""),"—")</f>
      </c>
      <c r="E13" s="35">
        <f>IFERROR(TEXTJOIN(", ",TRUE,IF((ANALISIS!M3:M52=2)*(ANALISIS!N3:N52=3),ANALISIS!A3:A52,""))&amp;IF(COUNTIFS(ANALISIS!M3:M52,2,ANALISIS!N3:N52,3)=0,"—",""),"—")</f>
      </c>
      <c r="F13" s="35">
        <f>IFERROR(TEXTJOIN(", ",TRUE,IF((ANALISIS!M3:M52=2)*(ANALISIS!N3:N52=4),ANALISIS!A3:A52,""))&amp;IF(COUNTIFS(ANALISIS!M3:M52,2,ANALISIS!N3:N52,4)=0,"—",""),"—")</f>
      </c>
      <c r="G13" s="35">
        <f>IFERROR(TEXTJOIN(", ",TRUE,IF((ANALISIS!M3:M52=2)*(ANALISIS!N3:N52=5),ANALISIS!A3:A52,""))&amp;IF(COUNTIFS(ANALISIS!M3:M52,2,ANALISIS!N3:N52,5)=0,"—",""),"—")</f>
      </c>
    </row>
    <row r="14" ht="32" customHeight="1" spans="2:7" x14ac:dyDescent="0.25">
      <c r="B14" s="33" t="s">
        <v>345</v>
      </c>
      <c r="C14" s="34">
        <f>IFERROR(TEXTJOIN(", ",TRUE,IF((ANALISIS!M3:M52=1)*(ANALISIS!N3:N52=1),ANALISIS!A3:A52,""))&amp;IF(COUNTIFS(ANALISIS!M3:M52,1,ANALISIS!N3:N52,1)=0,"—",""),"—")</f>
      </c>
      <c r="D14" s="34">
        <f>IFERROR(TEXTJOIN(", ",TRUE,IF((ANALISIS!M3:M52=1)*(ANALISIS!N3:N52=2),ANALISIS!A3:A52,""))&amp;IF(COUNTIFS(ANALISIS!M3:M52,1,ANALISIS!N3:N52,2)=0,"—",""),"—")</f>
      </c>
      <c r="E14" s="34">
        <f>IFERROR(TEXTJOIN(", ",TRUE,IF((ANALISIS!M3:M52=1)*(ANALISIS!N3:N52=3),ANALISIS!A3:A52,""))&amp;IF(COUNTIFS(ANALISIS!M3:M52,1,ANALISIS!N3:N52,3)=0,"—",""),"—")</f>
      </c>
      <c r="F14" s="34">
        <f>IFERROR(TEXTJOIN(", ",TRUE,IF((ANALISIS!M3:M52=1)*(ANALISIS!N3:N52=4),ANALISIS!A3:A52,""))&amp;IF(COUNTIFS(ANALISIS!M3:M52,1,ANALISIS!N3:N52,4)=0,"—",""),"—")</f>
      </c>
      <c r="G14" s="34">
        <f>IFERROR(TEXTJOIN(", ",TRUE,IF((ANALISIS!M3:M52=1)*(ANALISIS!N3:N52=5),ANALISIS!A3:A52,""))&amp;IF(COUNTIFS(ANALISIS!M3:M52,1,ANALISIS!N3:N52,5)=0,"—",""),"—")</f>
      </c>
    </row>
    <row r="15" ht="20" customHeight="1" x14ac:dyDescent="0.25"/>
    <row r="16" ht="20" customHeight="1" spans="1:8" x14ac:dyDescent="0.25">
      <c r="A16" s="39" t="s">
        <v>346</v>
      </c>
      <c r="B16" s="39"/>
      <c r="C16" s="39"/>
      <c r="D16" s="39"/>
      <c r="E16" s="39"/>
      <c r="F16" s="39"/>
      <c r="G16" s="39"/>
      <c r="H16" s="39"/>
    </row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</sheetData>
  <mergeCells count="5">
    <mergeCell ref="A1:J1"/>
    <mergeCell ref="A2:J2"/>
    <mergeCell ref="A5:J5"/>
    <mergeCell ref="A8:H8"/>
    <mergeCell ref="A16:H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5" width="44" customWidth="1"/>
    <col min="6" max="6" width="30" customWidth="1"/>
  </cols>
  <sheetData>
    <row r="1" ht="28" customHeight="1" spans="1:6" x14ac:dyDescent="0.25">
      <c r="A1" s="40" t="s">
        <v>347</v>
      </c>
      <c r="B1" s="40"/>
      <c r="C1" s="40"/>
      <c r="D1" s="40"/>
      <c r="E1" s="40"/>
      <c r="F1" s="40"/>
    </row>
    <row r="2" ht="30" customHeight="1" spans="1:6" x14ac:dyDescent="0.25">
      <c r="A2" s="41" t="s">
        <v>348</v>
      </c>
      <c r="B2" s="41"/>
      <c r="C2" s="41"/>
      <c r="D2" s="41"/>
      <c r="E2" s="41"/>
      <c r="F2" s="41"/>
    </row>
    <row r="3" ht="36" customHeight="1" spans="1:6" x14ac:dyDescent="0.25">
      <c r="A3" s="42" t="s">
        <v>52</v>
      </c>
      <c r="B3" s="42" t="s">
        <v>349</v>
      </c>
      <c r="C3" s="42" t="s">
        <v>287</v>
      </c>
      <c r="D3" s="42" t="s">
        <v>350</v>
      </c>
      <c r="E3" s="42" t="s">
        <v>351</v>
      </c>
      <c r="F3" s="42" t="s">
        <v>352</v>
      </c>
    </row>
    <row r="4" ht="24" customHeight="1" spans="1:6" x14ac:dyDescent="0.25">
      <c r="A4" s="13">
        <f>IF(B4&lt;&gt;"",ROW()-3,"")</f>
      </c>
      <c r="B4" s="9"/>
      <c r="C4" s="13">
        <f>IFERROR(XLOOKUP(B4,ANALISIS!$A:$A,ANALISIS!$B:$B),"")</f>
      </c>
      <c r="D4" s="13">
        <f>IFERROR(XLOOKUP(B4,ANALISIS!$A:$A,ANALISIS!$J:$J),"")</f>
      </c>
      <c r="E4" s="9"/>
      <c r="F4" s="9"/>
    </row>
    <row r="5" ht="24" customHeight="1" spans="1:6" x14ac:dyDescent="0.25">
      <c r="A5" s="13">
        <f>IF(B5&lt;&gt;"",ROW()-3,"")</f>
      </c>
      <c r="B5" s="9"/>
      <c r="C5" s="13">
        <f>IFERROR(XLOOKUP(B5,ANALISIS!$A:$A,ANALISIS!$B:$B),"")</f>
      </c>
      <c r="D5" s="13">
        <f>IFERROR(XLOOKUP(B5,ANALISIS!$A:$A,ANALISIS!$J:$J),"")</f>
      </c>
      <c r="E5" s="9"/>
      <c r="F5" s="9"/>
    </row>
    <row r="6" ht="24" customHeight="1" spans="1:6" x14ac:dyDescent="0.25">
      <c r="A6" s="13">
        <f>IF(B6&lt;&gt;"",ROW()-3,"")</f>
      </c>
      <c r="B6" s="9"/>
      <c r="C6" s="13">
        <f>IFERROR(XLOOKUP(B6,ANALISIS!$A:$A,ANALISIS!$B:$B),"")</f>
      </c>
      <c r="D6" s="13">
        <f>IFERROR(XLOOKUP(B6,ANALISIS!$A:$A,ANALISIS!$J:$J),"")</f>
      </c>
      <c r="E6" s="9"/>
      <c r="F6" s="9"/>
    </row>
    <row r="7" ht="24" customHeight="1" spans="1:6" x14ac:dyDescent="0.25">
      <c r="A7" s="13">
        <f>IF(B7&lt;&gt;"",ROW()-3,"")</f>
      </c>
      <c r="B7" s="9"/>
      <c r="C7" s="13">
        <f>IFERROR(XLOOKUP(B7,ANALISIS!$A:$A,ANALISIS!$B:$B),"")</f>
      </c>
      <c r="D7" s="13">
        <f>IFERROR(XLOOKUP(B7,ANALISIS!$A:$A,ANALISIS!$J:$J),"")</f>
      </c>
      <c r="E7" s="9"/>
      <c r="F7" s="9"/>
    </row>
    <row r="8" ht="24" customHeight="1" spans="1:6" x14ac:dyDescent="0.25">
      <c r="A8" s="13">
        <f>IF(B8&lt;&gt;"",ROW()-3,"")</f>
      </c>
      <c r="B8" s="9"/>
      <c r="C8" s="13">
        <f>IFERROR(XLOOKUP(B8,ANALISIS!$A:$A,ANALISIS!$B:$B),"")</f>
      </c>
      <c r="D8" s="13">
        <f>IFERROR(XLOOKUP(B8,ANALISIS!$A:$A,ANALISIS!$J:$J),"")</f>
      </c>
      <c r="E8" s="9"/>
      <c r="F8" s="9"/>
    </row>
    <row r="9" ht="24" customHeight="1" spans="1:6" x14ac:dyDescent="0.25">
      <c r="A9" s="13">
        <f>IF(B9&lt;&gt;"",ROW()-3,"")</f>
      </c>
      <c r="B9" s="9"/>
      <c r="C9" s="13">
        <f>IFERROR(XLOOKUP(B9,ANALISIS!$A:$A,ANALISIS!$B:$B),"")</f>
      </c>
      <c r="D9" s="13">
        <f>IFERROR(XLOOKUP(B9,ANALISIS!$A:$A,ANALISIS!$J:$J),"")</f>
      </c>
      <c r="E9" s="9"/>
      <c r="F9" s="9"/>
    </row>
    <row r="10" ht="24" customHeight="1" spans="1:6" x14ac:dyDescent="0.25">
      <c r="A10" s="13">
        <f>IF(B10&lt;&gt;"",ROW()-3,"")</f>
      </c>
      <c r="B10" s="9"/>
      <c r="C10" s="13">
        <f>IFERROR(XLOOKUP(B10,ANALISIS!$A:$A,ANALISIS!$B:$B),"")</f>
      </c>
      <c r="D10" s="13">
        <f>IFERROR(XLOOKUP(B10,ANALISIS!$A:$A,ANALISIS!$J:$J),"")</f>
      </c>
      <c r="E10" s="9"/>
      <c r="F10" s="9"/>
    </row>
    <row r="11" ht="24" customHeight="1" spans="1:6" x14ac:dyDescent="0.25">
      <c r="A11" s="13">
        <f>IF(B11&lt;&gt;"",ROW()-3,"")</f>
      </c>
      <c r="B11" s="9"/>
      <c r="C11" s="13">
        <f>IFERROR(XLOOKUP(B11,ANALISIS!$A:$A,ANALISIS!$B:$B),"")</f>
      </c>
      <c r="D11" s="13">
        <f>IFERROR(XLOOKUP(B11,ANALISIS!$A:$A,ANALISIS!$J:$J),"")</f>
      </c>
      <c r="E11" s="9"/>
      <c r="F11" s="9"/>
    </row>
    <row r="12" ht="24" customHeight="1" spans="1:6" x14ac:dyDescent="0.25">
      <c r="A12" s="13">
        <f>IF(B12&lt;&gt;"",ROW()-3,"")</f>
      </c>
      <c r="B12" s="9"/>
      <c r="C12" s="13">
        <f>IFERROR(XLOOKUP(B12,ANALISIS!$A:$A,ANALISIS!$B:$B),"")</f>
      </c>
      <c r="D12" s="13">
        <f>IFERROR(XLOOKUP(B12,ANALISIS!$A:$A,ANALISIS!$J:$J),"")</f>
      </c>
      <c r="E12" s="9"/>
      <c r="F12" s="9"/>
    </row>
    <row r="13" ht="24" customHeight="1" spans="1:6" x14ac:dyDescent="0.25">
      <c r="A13" s="13">
        <f>IF(B13&lt;&gt;"",ROW()-3,"")</f>
      </c>
      <c r="B13" s="9"/>
      <c r="C13" s="13">
        <f>IFERROR(XLOOKUP(B13,ANALISIS!$A:$A,ANALISIS!$B:$B),"")</f>
      </c>
      <c r="D13" s="13">
        <f>IFERROR(XLOOKUP(B13,ANALISIS!$A:$A,ANALISIS!$J:$J),"")</f>
      </c>
      <c r="E13" s="9"/>
      <c r="F13" s="9"/>
    </row>
    <row r="14" ht="24" customHeight="1" spans="1:6" x14ac:dyDescent="0.25">
      <c r="A14" s="13">
        <f>IF(B14&lt;&gt;"",ROW()-3,"")</f>
      </c>
      <c r="B14" s="9"/>
      <c r="C14" s="13">
        <f>IFERROR(XLOOKUP(B14,ANALISIS!$A:$A,ANALISIS!$B:$B),"")</f>
      </c>
      <c r="D14" s="13">
        <f>IFERROR(XLOOKUP(B14,ANALISIS!$A:$A,ANALISIS!$J:$J),"")</f>
      </c>
      <c r="E14" s="9"/>
      <c r="F14" s="9"/>
    </row>
    <row r="15" ht="24" customHeight="1" spans="1:6" x14ac:dyDescent="0.25">
      <c r="A15" s="13">
        <f>IF(B15&lt;&gt;"",ROW()-3,"")</f>
      </c>
      <c r="B15" s="9"/>
      <c r="C15" s="13">
        <f>IFERROR(XLOOKUP(B15,ANALISIS!$A:$A,ANALISIS!$B:$B),"")</f>
      </c>
      <c r="D15" s="13">
        <f>IFERROR(XLOOKUP(B15,ANALISIS!$A:$A,ANALISIS!$J:$J),"")</f>
      </c>
      <c r="E15" s="9"/>
      <c r="F15" s="9"/>
    </row>
    <row r="16" ht="24" customHeight="1" spans="1:6" x14ac:dyDescent="0.25">
      <c r="A16" s="13">
        <f>IF(B16&lt;&gt;"",ROW()-3,"")</f>
      </c>
      <c r="B16" s="9"/>
      <c r="C16" s="13">
        <f>IFERROR(XLOOKUP(B16,ANALISIS!$A:$A,ANALISIS!$B:$B),"")</f>
      </c>
      <c r="D16" s="13">
        <f>IFERROR(XLOOKUP(B16,ANALISIS!$A:$A,ANALISIS!$J:$J),"")</f>
      </c>
      <c r="E16" s="9"/>
      <c r="F16" s="9"/>
    </row>
    <row r="17" ht="24" customHeight="1" spans="1:6" x14ac:dyDescent="0.25">
      <c r="A17" s="13">
        <f>IF(B17&lt;&gt;"",ROW()-3,"")</f>
      </c>
      <c r="B17" s="9"/>
      <c r="C17" s="13">
        <f>IFERROR(XLOOKUP(B17,ANALISIS!$A:$A,ANALISIS!$B:$B),"")</f>
      </c>
      <c r="D17" s="13">
        <f>IFERROR(XLOOKUP(B17,ANALISIS!$A:$A,ANALISIS!$J:$J),"")</f>
      </c>
      <c r="E17" s="9"/>
      <c r="F17" s="9"/>
    </row>
    <row r="18" ht="24" customHeight="1" spans="1:6" x14ac:dyDescent="0.25">
      <c r="A18" s="13">
        <f>IF(B18&lt;&gt;"",ROW()-3,"")</f>
      </c>
      <c r="B18" s="9"/>
      <c r="C18" s="13">
        <f>IFERROR(XLOOKUP(B18,ANALISIS!$A:$A,ANALISIS!$B:$B),"")</f>
      </c>
      <c r="D18" s="13">
        <f>IFERROR(XLOOKUP(B18,ANALISIS!$A:$A,ANALISIS!$J:$J),"")</f>
      </c>
      <c r="E18" s="9"/>
      <c r="F18" s="9"/>
    </row>
    <row r="19" ht="24" customHeight="1" spans="1:6" x14ac:dyDescent="0.25">
      <c r="A19" s="13">
        <f>IF(B19&lt;&gt;"",ROW()-3,"")</f>
      </c>
      <c r="B19" s="9"/>
      <c r="C19" s="13">
        <f>IFERROR(XLOOKUP(B19,ANALISIS!$A:$A,ANALISIS!$B:$B),"")</f>
      </c>
      <c r="D19" s="13">
        <f>IFERROR(XLOOKUP(B19,ANALISIS!$A:$A,ANALISIS!$J:$J),"")</f>
      </c>
      <c r="E19" s="9"/>
      <c r="F19" s="9"/>
    </row>
    <row r="20" ht="24" customHeight="1" spans="1:6" x14ac:dyDescent="0.25">
      <c r="A20" s="13">
        <f>IF(B20&lt;&gt;"",ROW()-3,"")</f>
      </c>
      <c r="B20" s="9"/>
      <c r="C20" s="13">
        <f>IFERROR(XLOOKUP(B20,ANALISIS!$A:$A,ANALISIS!$B:$B),"")</f>
      </c>
      <c r="D20" s="13">
        <f>IFERROR(XLOOKUP(B20,ANALISIS!$A:$A,ANALISIS!$J:$J),"")</f>
      </c>
      <c r="E20" s="9"/>
      <c r="F20" s="9"/>
    </row>
    <row r="21" ht="24" customHeight="1" spans="1:6" x14ac:dyDescent="0.25">
      <c r="A21" s="13">
        <f>IF(B21&lt;&gt;"",ROW()-3,"")</f>
      </c>
      <c r="B21" s="9"/>
      <c r="C21" s="13">
        <f>IFERROR(XLOOKUP(B21,ANALISIS!$A:$A,ANALISIS!$B:$B),"")</f>
      </c>
      <c r="D21" s="13">
        <f>IFERROR(XLOOKUP(B21,ANALISIS!$A:$A,ANALISIS!$J:$J),"")</f>
      </c>
      <c r="E21" s="9"/>
      <c r="F21" s="9"/>
    </row>
    <row r="22" ht="24" customHeight="1" spans="1:6" x14ac:dyDescent="0.25">
      <c r="A22" s="13">
        <f>IF(B22&lt;&gt;"",ROW()-3,"")</f>
      </c>
      <c r="B22" s="9"/>
      <c r="C22" s="13">
        <f>IFERROR(XLOOKUP(B22,ANALISIS!$A:$A,ANALISIS!$B:$B),"")</f>
      </c>
      <c r="D22" s="13">
        <f>IFERROR(XLOOKUP(B22,ANALISIS!$A:$A,ANALISIS!$J:$J),"")</f>
      </c>
      <c r="E22" s="9"/>
      <c r="F22" s="9"/>
    </row>
    <row r="23" ht="24" customHeight="1" spans="1:6" x14ac:dyDescent="0.25">
      <c r="A23" s="13">
        <f>IF(B23&lt;&gt;"",ROW()-3,"")</f>
      </c>
      <c r="B23" s="9"/>
      <c r="C23" s="13">
        <f>IFERROR(XLOOKUP(B23,ANALISIS!$A:$A,ANALISIS!$B:$B),"")</f>
      </c>
      <c r="D23" s="13">
        <f>IFERROR(XLOOKUP(B23,ANALISIS!$A:$A,ANALISIS!$J:$J),"")</f>
      </c>
      <c r="E23" s="9"/>
      <c r="F23" s="9"/>
    </row>
    <row r="24" ht="24" customHeight="1" spans="1:6" x14ac:dyDescent="0.25">
      <c r="A24" s="13">
        <f>IF(B24&lt;&gt;"",ROW()-3,"")</f>
      </c>
      <c r="B24" s="9"/>
      <c r="C24" s="13">
        <f>IFERROR(XLOOKUP(B24,ANALISIS!$A:$A,ANALISIS!$B:$B),"")</f>
      </c>
      <c r="D24" s="13">
        <f>IFERROR(XLOOKUP(B24,ANALISIS!$A:$A,ANALISIS!$J:$J),"")</f>
      </c>
      <c r="E24" s="9"/>
      <c r="F24" s="9"/>
    </row>
    <row r="25" ht="24" customHeight="1" spans="1:6" x14ac:dyDescent="0.25">
      <c r="A25" s="13">
        <f>IF(B25&lt;&gt;"",ROW()-3,"")</f>
      </c>
      <c r="B25" s="9"/>
      <c r="C25" s="13">
        <f>IFERROR(XLOOKUP(B25,ANALISIS!$A:$A,ANALISIS!$B:$B),"")</f>
      </c>
      <c r="D25" s="13">
        <f>IFERROR(XLOOKUP(B25,ANALISIS!$A:$A,ANALISIS!$J:$J),"")</f>
      </c>
      <c r="E25" s="9"/>
      <c r="F25" s="9"/>
    </row>
    <row r="26" ht="24" customHeight="1" spans="1:6" x14ac:dyDescent="0.25">
      <c r="A26" s="13">
        <f>IF(B26&lt;&gt;"",ROW()-3,"")</f>
      </c>
      <c r="B26" s="9"/>
      <c r="C26" s="13">
        <f>IFERROR(XLOOKUP(B26,ANALISIS!$A:$A,ANALISIS!$B:$B),"")</f>
      </c>
      <c r="D26" s="13">
        <f>IFERROR(XLOOKUP(B26,ANALISIS!$A:$A,ANALISIS!$J:$J),"")</f>
      </c>
      <c r="E26" s="9"/>
      <c r="F26" s="9"/>
    </row>
    <row r="27" ht="24" customHeight="1" spans="1:6" x14ac:dyDescent="0.25">
      <c r="A27" s="13">
        <f>IF(B27&lt;&gt;"",ROW()-3,"")</f>
      </c>
      <c r="B27" s="9"/>
      <c r="C27" s="13">
        <f>IFERROR(XLOOKUP(B27,ANALISIS!$A:$A,ANALISIS!$B:$B),"")</f>
      </c>
      <c r="D27" s="13">
        <f>IFERROR(XLOOKUP(B27,ANALISIS!$A:$A,ANALISIS!$J:$J),"")</f>
      </c>
      <c r="E27" s="9"/>
      <c r="F27" s="9"/>
    </row>
    <row r="28" ht="24" customHeight="1" spans="1:6" x14ac:dyDescent="0.25">
      <c r="A28" s="13">
        <f>IF(B28&lt;&gt;"",ROW()-3,"")</f>
      </c>
      <c r="B28" s="9"/>
      <c r="C28" s="13">
        <f>IFERROR(XLOOKUP(B28,ANALISIS!$A:$A,ANALISIS!$B:$B),"")</f>
      </c>
      <c r="D28" s="13">
        <f>IFERROR(XLOOKUP(B28,ANALISIS!$A:$A,ANALISIS!$J:$J),"")</f>
      </c>
      <c r="E28" s="9"/>
      <c r="F28" s="9"/>
    </row>
    <row r="29" ht="24" customHeight="1" spans="1:6" x14ac:dyDescent="0.25">
      <c r="A29" s="13">
        <f>IF(B29&lt;&gt;"",ROW()-3,"")</f>
      </c>
      <c r="B29" s="9"/>
      <c r="C29" s="13">
        <f>IFERROR(XLOOKUP(B29,ANALISIS!$A:$A,ANALISIS!$B:$B),"")</f>
      </c>
      <c r="D29" s="13">
        <f>IFERROR(XLOOKUP(B29,ANALISIS!$A:$A,ANALISIS!$J:$J),"")</f>
      </c>
      <c r="E29" s="9"/>
      <c r="F29" s="9"/>
    </row>
    <row r="30" ht="24" customHeight="1" spans="1:6" x14ac:dyDescent="0.25">
      <c r="A30" s="13">
        <f>IF(B30&lt;&gt;"",ROW()-3,"")</f>
      </c>
      <c r="B30" s="9"/>
      <c r="C30" s="13">
        <f>IFERROR(XLOOKUP(B30,ANALISIS!$A:$A,ANALISIS!$B:$B),"")</f>
      </c>
      <c r="D30" s="13">
        <f>IFERROR(XLOOKUP(B30,ANALISIS!$A:$A,ANALISIS!$J:$J),"")</f>
      </c>
      <c r="E30" s="9"/>
      <c r="F30" s="9"/>
    </row>
    <row r="31" ht="24" customHeight="1" spans="1:6" x14ac:dyDescent="0.25">
      <c r="A31" s="13">
        <f>IF(B31&lt;&gt;"",ROW()-3,"")</f>
      </c>
      <c r="B31" s="9"/>
      <c r="C31" s="13">
        <f>IFERROR(XLOOKUP(B31,ANALISIS!$A:$A,ANALISIS!$B:$B),"")</f>
      </c>
      <c r="D31" s="13">
        <f>IFERROR(XLOOKUP(B31,ANALISIS!$A:$A,ANALISIS!$J:$J),"")</f>
      </c>
      <c r="E31" s="9"/>
      <c r="F31" s="9"/>
    </row>
    <row r="32" ht="24" customHeight="1" spans="1:6" x14ac:dyDescent="0.25">
      <c r="A32" s="13">
        <f>IF(B32&lt;&gt;"",ROW()-3,"")</f>
      </c>
      <c r="B32" s="9"/>
      <c r="C32" s="13">
        <f>IFERROR(XLOOKUP(B32,ANALISIS!$A:$A,ANALISIS!$B:$B),"")</f>
      </c>
      <c r="D32" s="13">
        <f>IFERROR(XLOOKUP(B32,ANALISIS!$A:$A,ANALISIS!$J:$J),"")</f>
      </c>
      <c r="E32" s="9"/>
      <c r="F32" s="9"/>
    </row>
    <row r="33" ht="24" customHeight="1" spans="1:6" x14ac:dyDescent="0.25">
      <c r="A33" s="13">
        <f>IF(B33&lt;&gt;"",ROW()-3,"")</f>
      </c>
      <c r="B33" s="9"/>
      <c r="C33" s="13">
        <f>IFERROR(XLOOKUP(B33,ANALISIS!$A:$A,ANALISIS!$B:$B),"")</f>
      </c>
      <c r="D33" s="13">
        <f>IFERROR(XLOOKUP(B33,ANALISIS!$A:$A,ANALISIS!$J:$J),"")</f>
      </c>
      <c r="E33" s="9"/>
      <c r="F33" s="9"/>
    </row>
    <row r="34" ht="24" customHeight="1" spans="1:6" x14ac:dyDescent="0.25">
      <c r="A34" s="13">
        <f>IF(B34&lt;&gt;"",ROW()-3,"")</f>
      </c>
      <c r="B34" s="9"/>
      <c r="C34" s="13">
        <f>IFERROR(XLOOKUP(B34,ANALISIS!$A:$A,ANALISIS!$B:$B),"")</f>
      </c>
      <c r="D34" s="13">
        <f>IFERROR(XLOOKUP(B34,ANALISIS!$A:$A,ANALISIS!$J:$J),"")</f>
      </c>
      <c r="E34" s="9"/>
      <c r="F34" s="9"/>
    </row>
    <row r="35" ht="24" customHeight="1" spans="1:6" x14ac:dyDescent="0.25">
      <c r="A35" s="13">
        <f>IF(B35&lt;&gt;"",ROW()-3,"")</f>
      </c>
      <c r="B35" s="9"/>
      <c r="C35" s="13">
        <f>IFERROR(XLOOKUP(B35,ANALISIS!$A:$A,ANALISIS!$B:$B),"")</f>
      </c>
      <c r="D35" s="13">
        <f>IFERROR(XLOOKUP(B35,ANALISIS!$A:$A,ANALISIS!$J:$J),"")</f>
      </c>
      <c r="E35" s="9"/>
      <c r="F35" s="9"/>
    </row>
    <row r="36" ht="24" customHeight="1" spans="1:6" x14ac:dyDescent="0.25">
      <c r="A36" s="13">
        <f>IF(B36&lt;&gt;"",ROW()-3,"")</f>
      </c>
      <c r="B36" s="9"/>
      <c r="C36" s="13">
        <f>IFERROR(XLOOKUP(B36,ANALISIS!$A:$A,ANALISIS!$B:$B),"")</f>
      </c>
      <c r="D36" s="13">
        <f>IFERROR(XLOOKUP(B36,ANALISIS!$A:$A,ANALISIS!$J:$J),"")</f>
      </c>
      <c r="E36" s="9"/>
      <c r="F36" s="9"/>
    </row>
    <row r="37" ht="24" customHeight="1" spans="1:6" x14ac:dyDescent="0.25">
      <c r="A37" s="13">
        <f>IF(B37&lt;&gt;"",ROW()-3,"")</f>
      </c>
      <c r="B37" s="9"/>
      <c r="C37" s="13">
        <f>IFERROR(XLOOKUP(B37,ANALISIS!$A:$A,ANALISIS!$B:$B),"")</f>
      </c>
      <c r="D37" s="13">
        <f>IFERROR(XLOOKUP(B37,ANALISIS!$A:$A,ANALISIS!$J:$J),"")</f>
      </c>
      <c r="E37" s="9"/>
      <c r="F37" s="9"/>
    </row>
    <row r="38" ht="24" customHeight="1" spans="1:6" x14ac:dyDescent="0.25">
      <c r="A38" s="13">
        <f>IF(B38&lt;&gt;"",ROW()-3,"")</f>
      </c>
      <c r="B38" s="9"/>
      <c r="C38" s="13">
        <f>IFERROR(XLOOKUP(B38,ANALISIS!$A:$A,ANALISIS!$B:$B),"")</f>
      </c>
      <c r="D38" s="13">
        <f>IFERROR(XLOOKUP(B38,ANALISIS!$A:$A,ANALISIS!$J:$J),"")</f>
      </c>
      <c r="E38" s="9"/>
      <c r="F38" s="9"/>
    </row>
    <row r="39" ht="24" customHeight="1" spans="1:6" x14ac:dyDescent="0.25">
      <c r="A39" s="13">
        <f>IF(B39&lt;&gt;"",ROW()-3,"")</f>
      </c>
      <c r="B39" s="9"/>
      <c r="C39" s="13">
        <f>IFERROR(XLOOKUP(B39,ANALISIS!$A:$A,ANALISIS!$B:$B),"")</f>
      </c>
      <c r="D39" s="13">
        <f>IFERROR(XLOOKUP(B39,ANALISIS!$A:$A,ANALISIS!$J:$J),"")</f>
      </c>
      <c r="E39" s="9"/>
      <c r="F39" s="9"/>
    </row>
    <row r="40" ht="24" customHeight="1" spans="1:6" x14ac:dyDescent="0.25">
      <c r="A40" s="13">
        <f>IF(B40&lt;&gt;"",ROW()-3,"")</f>
      </c>
      <c r="B40" s="9"/>
      <c r="C40" s="13">
        <f>IFERROR(XLOOKUP(B40,ANALISIS!$A:$A,ANALISIS!$B:$B),"")</f>
      </c>
      <c r="D40" s="13">
        <f>IFERROR(XLOOKUP(B40,ANALISIS!$A:$A,ANALISIS!$J:$J),"")</f>
      </c>
      <c r="E40" s="9"/>
      <c r="F40" s="9"/>
    </row>
    <row r="41" ht="24" customHeight="1" spans="1:6" x14ac:dyDescent="0.25">
      <c r="A41" s="13">
        <f>IF(B41&lt;&gt;"",ROW()-3,"")</f>
      </c>
      <c r="B41" s="9"/>
      <c r="C41" s="13">
        <f>IFERROR(XLOOKUP(B41,ANALISIS!$A:$A,ANALISIS!$B:$B),"")</f>
      </c>
      <c r="D41" s="13">
        <f>IFERROR(XLOOKUP(B41,ANALISIS!$A:$A,ANALISIS!$J:$J),"")</f>
      </c>
      <c r="E41" s="9"/>
      <c r="F41" s="9"/>
    </row>
    <row r="42" ht="24" customHeight="1" spans="1:6" x14ac:dyDescent="0.25">
      <c r="A42" s="13">
        <f>IF(B42&lt;&gt;"",ROW()-3,"")</f>
      </c>
      <c r="B42" s="9"/>
      <c r="C42" s="13">
        <f>IFERROR(XLOOKUP(B42,ANALISIS!$A:$A,ANALISIS!$B:$B),"")</f>
      </c>
      <c r="D42" s="13">
        <f>IFERROR(XLOOKUP(B42,ANALISIS!$A:$A,ANALISIS!$J:$J),"")</f>
      </c>
      <c r="E42" s="9"/>
      <c r="F42" s="9"/>
    </row>
    <row r="43" ht="24" customHeight="1" spans="1:6" x14ac:dyDescent="0.25">
      <c r="A43" s="13">
        <f>IF(B43&lt;&gt;"",ROW()-3,"")</f>
      </c>
      <c r="B43" s="9"/>
      <c r="C43" s="13">
        <f>IFERROR(XLOOKUP(B43,ANALISIS!$A:$A,ANALISIS!$B:$B),"")</f>
      </c>
      <c r="D43" s="13">
        <f>IFERROR(XLOOKUP(B43,ANALISIS!$A:$A,ANALISIS!$J:$J),"")</f>
      </c>
      <c r="E43" s="9"/>
      <c r="F43" s="9"/>
    </row>
    <row r="44" ht="24" customHeight="1" spans="1:6" x14ac:dyDescent="0.25">
      <c r="A44" s="13">
        <f>IF(B44&lt;&gt;"",ROW()-3,"")</f>
      </c>
      <c r="B44" s="9"/>
      <c r="C44" s="13">
        <f>IFERROR(XLOOKUP(B44,ANALISIS!$A:$A,ANALISIS!$B:$B),"")</f>
      </c>
      <c r="D44" s="13">
        <f>IFERROR(XLOOKUP(B44,ANALISIS!$A:$A,ANALISIS!$J:$J),"")</f>
      </c>
      <c r="E44" s="9"/>
      <c r="F44" s="9"/>
    </row>
    <row r="45" ht="24" customHeight="1" spans="1:6" x14ac:dyDescent="0.25">
      <c r="A45" s="13">
        <f>IF(B45&lt;&gt;"",ROW()-3,"")</f>
      </c>
      <c r="B45" s="9"/>
      <c r="C45" s="13">
        <f>IFERROR(XLOOKUP(B45,ANALISIS!$A:$A,ANALISIS!$B:$B),"")</f>
      </c>
      <c r="D45" s="13">
        <f>IFERROR(XLOOKUP(B45,ANALISIS!$A:$A,ANALISIS!$J:$J),"")</f>
      </c>
      <c r="E45" s="9"/>
      <c r="F45" s="9"/>
    </row>
    <row r="46" ht="24" customHeight="1" spans="1:6" x14ac:dyDescent="0.25">
      <c r="A46" s="13">
        <f>IF(B46&lt;&gt;"",ROW()-3,"")</f>
      </c>
      <c r="B46" s="9"/>
      <c r="C46" s="13">
        <f>IFERROR(XLOOKUP(B46,ANALISIS!$A:$A,ANALISIS!$B:$B),"")</f>
      </c>
      <c r="D46" s="13">
        <f>IFERROR(XLOOKUP(B46,ANALISIS!$A:$A,ANALISIS!$J:$J),"")</f>
      </c>
      <c r="E46" s="9"/>
      <c r="F46" s="9"/>
    </row>
    <row r="47" ht="24" customHeight="1" spans="1:6" x14ac:dyDescent="0.25">
      <c r="A47" s="13">
        <f>IF(B47&lt;&gt;"",ROW()-3,"")</f>
      </c>
      <c r="B47" s="9"/>
      <c r="C47" s="13">
        <f>IFERROR(XLOOKUP(B47,ANALISIS!$A:$A,ANALISIS!$B:$B),"")</f>
      </c>
      <c r="D47" s="13">
        <f>IFERROR(XLOOKUP(B47,ANALISIS!$A:$A,ANALISIS!$J:$J),"")</f>
      </c>
      <c r="E47" s="9"/>
      <c r="F47" s="9"/>
    </row>
    <row r="48" ht="24" customHeight="1" spans="1:6" x14ac:dyDescent="0.25">
      <c r="A48" s="13">
        <f>IF(B48&lt;&gt;"",ROW()-3,"")</f>
      </c>
      <c r="B48" s="9"/>
      <c r="C48" s="13">
        <f>IFERROR(XLOOKUP(B48,ANALISIS!$A:$A,ANALISIS!$B:$B),"")</f>
      </c>
      <c r="D48" s="13">
        <f>IFERROR(XLOOKUP(B48,ANALISIS!$A:$A,ANALISIS!$J:$J),"")</f>
      </c>
      <c r="E48" s="9"/>
      <c r="F48" s="9"/>
    </row>
    <row r="49" ht="24" customHeight="1" spans="1:6" x14ac:dyDescent="0.25">
      <c r="A49" s="13">
        <f>IF(B49&lt;&gt;"",ROW()-3,"")</f>
      </c>
      <c r="B49" s="9"/>
      <c r="C49" s="13">
        <f>IFERROR(XLOOKUP(B49,ANALISIS!$A:$A,ANALISIS!$B:$B),"")</f>
      </c>
      <c r="D49" s="13">
        <f>IFERROR(XLOOKUP(B49,ANALISIS!$A:$A,ANALISIS!$J:$J),"")</f>
      </c>
      <c r="E49" s="9"/>
      <c r="F49" s="9"/>
    </row>
    <row r="50" ht="24" customHeight="1" spans="1:6" x14ac:dyDescent="0.25">
      <c r="A50" s="13">
        <f>IF(B50&lt;&gt;"",ROW()-3,"")</f>
      </c>
      <c r="B50" s="9"/>
      <c r="C50" s="13">
        <f>IFERROR(XLOOKUP(B50,ANALISIS!$A:$A,ANALISIS!$B:$B),"")</f>
      </c>
      <c r="D50" s="13">
        <f>IFERROR(XLOOKUP(B50,ANALISIS!$A:$A,ANALISIS!$J:$J),"")</f>
      </c>
      <c r="E50" s="9"/>
      <c r="F50" s="9"/>
    </row>
    <row r="51" ht="24" customHeight="1" spans="1:6" x14ac:dyDescent="0.25">
      <c r="A51" s="13">
        <f>IF(B51&lt;&gt;"",ROW()-3,"")</f>
      </c>
      <c r="B51" s="9"/>
      <c r="C51" s="13">
        <f>IFERROR(XLOOKUP(B51,ANALISIS!$A:$A,ANALISIS!$B:$B),"")</f>
      </c>
      <c r="D51" s="13">
        <f>IFERROR(XLOOKUP(B51,ANALISIS!$A:$A,ANALISIS!$J:$J),"")</f>
      </c>
      <c r="E51" s="9"/>
      <c r="F51" s="9"/>
    </row>
    <row r="52" ht="24" customHeight="1" spans="1:6" x14ac:dyDescent="0.25">
      <c r="A52" s="13">
        <f>IF(B52&lt;&gt;"",ROW()-3,"")</f>
      </c>
      <c r="B52" s="9"/>
      <c r="C52" s="13">
        <f>IFERROR(XLOOKUP(B52,ANALISIS!$A:$A,ANALISIS!$B:$B),"")</f>
      </c>
      <c r="D52" s="13">
        <f>IFERROR(XLOOKUP(B52,ANALISIS!$A:$A,ANALISIS!$J:$J),"")</f>
      </c>
      <c r="E52" s="9"/>
      <c r="F52" s="9"/>
    </row>
    <row r="53" ht="24" customHeight="1" spans="1:6" x14ac:dyDescent="0.25">
      <c r="A53" s="13">
        <f>IF(B53&lt;&gt;"",ROW()-3,"")</f>
      </c>
      <c r="B53" s="9"/>
      <c r="C53" s="13">
        <f>IFERROR(XLOOKUP(B53,ANALISIS!$A:$A,ANALISIS!$B:$B),"")</f>
      </c>
      <c r="D53" s="13">
        <f>IFERROR(XLOOKUP(B53,ANALISIS!$A:$A,ANALISIS!$J:$J),"")</f>
      </c>
      <c r="E53" s="9"/>
      <c r="F53" s="9"/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3" width="20" customWidth="1"/>
    <col min="4" max="4" width="60" customWidth="1"/>
    <col min="5" max="5" width="20" customWidth="1"/>
    <col min="6" max="6" width="24" customWidth="1"/>
    <col min="7" max="7" width="30" customWidth="1"/>
    <col min="8" max="8" width="24" customWidth="1"/>
  </cols>
  <sheetData>
    <row r="1" ht="28" customHeight="1" spans="1:8" x14ac:dyDescent="0.25">
      <c r="A1" s="43" t="s">
        <v>353</v>
      </c>
      <c r="B1" s="43"/>
      <c r="C1" s="43"/>
      <c r="D1" s="43"/>
      <c r="E1" s="43"/>
      <c r="F1" s="43"/>
      <c r="G1" s="43"/>
      <c r="H1" s="43"/>
    </row>
    <row r="2" ht="30" customHeight="1" spans="1:8" x14ac:dyDescent="0.25">
      <c r="A2" s="44" t="s">
        <v>354</v>
      </c>
      <c r="B2" s="44"/>
      <c r="C2" s="44"/>
      <c r="D2" s="44"/>
      <c r="E2" s="44"/>
      <c r="F2" s="44"/>
      <c r="G2" s="44"/>
      <c r="H2" s="44"/>
    </row>
    <row r="3" ht="44" customHeight="1" spans="1:8" x14ac:dyDescent="0.25">
      <c r="A3" s="45" t="s">
        <v>283</v>
      </c>
      <c r="B3" s="45" t="s">
        <v>287</v>
      </c>
      <c r="C3" s="45" t="s">
        <v>355</v>
      </c>
      <c r="D3" s="45" t="s">
        <v>356</v>
      </c>
      <c r="E3" s="45" t="s">
        <v>357</v>
      </c>
      <c r="F3" s="45" t="s">
        <v>358</v>
      </c>
      <c r="G3" s="45" t="s">
        <v>359</v>
      </c>
      <c r="H3" s="45" t="s">
        <v>360</v>
      </c>
    </row>
    <row r="4" ht="56" customHeight="1" spans="1:8" x14ac:dyDescent="0.25">
      <c r="A4" s="9"/>
      <c r="B4" s="13">
        <f>IFERROR(XLOOKUP(A4,ANALISIS!$A:$A,ANALISIS!$B:$B),"")</f>
      </c>
      <c r="C4" s="13">
        <f>IFERROR(XLOOKUP(A4,ANALISIS!$A:$A,ANALISIS!$L:$L),"")</f>
      </c>
      <c r="D4" s="46">
        <f>IF(A4="","","Pengujian atas kecukupan pengendalian terhadap risiko "&amp;A4&amp;": "&amp;IFERROR(XLOOKUP(A4,ANALISIS!$A:$A,ANALISIS!$B:$B),"")&amp;". Pengendalian eksisting: "&amp;IFERROR(XLOOKUP(A4,ANALISIS!$A:$A,ANALISIS!$J:$J),"(tidak ada)")&amp;". Pengendalian utama: "&amp;IFERROR(XLOOKUP(A4,EVAL_PENG!$B:$B,EVAL_PENG!$E:$E),"(belum ditetapkan)")&amp;". Penyebab terkait: "&amp;IFERROR(TEXTJOIN(", ",TRUE,IF(PENYEBAB!$B$4:$B$153=A4,PENYEBAB!$E$4:$E$153,"")),"(belum diisi)")&amp;".")</f>
      </c>
      <c r="E4" s="9"/>
      <c r="F4" s="9"/>
      <c r="G4" s="9"/>
      <c r="H4" s="9"/>
    </row>
    <row r="5" ht="56" customHeight="1" spans="1:8" x14ac:dyDescent="0.25">
      <c r="A5" s="9"/>
      <c r="B5" s="13">
        <f>IFERROR(XLOOKUP(A5,ANALISIS!$A:$A,ANALISIS!$B:$B),"")</f>
      </c>
      <c r="C5" s="13">
        <f>IFERROR(XLOOKUP(A5,ANALISIS!$A:$A,ANALISIS!$L:$L),"")</f>
      </c>
      <c r="D5" s="46">
        <f>IF(A5="","","Pengujian atas kecukupan pengendalian terhadap risiko "&amp;A5&amp;": "&amp;IFERROR(XLOOKUP(A5,ANALISIS!$A:$A,ANALISIS!$B:$B),"")&amp;". Pengendalian eksisting: "&amp;IFERROR(XLOOKUP(A5,ANALISIS!$A:$A,ANALISIS!$J:$J),"(tidak ada)")&amp;". Pengendalian utama: "&amp;IFERROR(XLOOKUP(A5,EVAL_PENG!$B:$B,EVAL_PENG!$E:$E),"(belum ditetapkan)")&amp;". Penyebab terkait: "&amp;IFERROR(TEXTJOIN(", ",TRUE,IF(PENYEBAB!$B$4:$B$153=A5,PENYEBAB!$E$4:$E$153,"")),"(belum diisi)")&amp;".")</f>
      </c>
      <c r="E5" s="9"/>
      <c r="F5" s="9"/>
      <c r="G5" s="9"/>
      <c r="H5" s="9"/>
    </row>
    <row r="6" ht="56" customHeight="1" spans="1:8" x14ac:dyDescent="0.25">
      <c r="A6" s="9"/>
      <c r="B6" s="13">
        <f>IFERROR(XLOOKUP(A6,ANALISIS!$A:$A,ANALISIS!$B:$B),"")</f>
      </c>
      <c r="C6" s="13">
        <f>IFERROR(XLOOKUP(A6,ANALISIS!$A:$A,ANALISIS!$L:$L),"")</f>
      </c>
      <c r="D6" s="46">
        <f>IF(A6="","","Pengujian atas kecukupan pengendalian terhadap risiko "&amp;A6&amp;": "&amp;IFERROR(XLOOKUP(A6,ANALISIS!$A:$A,ANALISIS!$B:$B),"")&amp;". Pengendalian eksisting: "&amp;IFERROR(XLOOKUP(A6,ANALISIS!$A:$A,ANALISIS!$J:$J),"(tidak ada)")&amp;". Pengendalian utama: "&amp;IFERROR(XLOOKUP(A6,EVAL_PENG!$B:$B,EVAL_PENG!$E:$E),"(belum ditetapkan)")&amp;". Penyebab terkait: "&amp;IFERROR(TEXTJOIN(", ",TRUE,IF(PENYEBAB!$B$4:$B$153=A6,PENYEBAB!$E$4:$E$153,"")),"(belum diisi)")&amp;".")</f>
      </c>
      <c r="E6" s="9"/>
      <c r="F6" s="9"/>
      <c r="G6" s="9"/>
      <c r="H6" s="9"/>
    </row>
    <row r="7" ht="56" customHeight="1" spans="1:8" x14ac:dyDescent="0.25">
      <c r="A7" s="9"/>
      <c r="B7" s="13">
        <f>IFERROR(XLOOKUP(A7,ANALISIS!$A:$A,ANALISIS!$B:$B),"")</f>
      </c>
      <c r="C7" s="13">
        <f>IFERROR(XLOOKUP(A7,ANALISIS!$A:$A,ANALISIS!$L:$L),"")</f>
      </c>
      <c r="D7" s="46">
        <f>IF(A7="","","Pengujian atas kecukupan pengendalian terhadap risiko "&amp;A7&amp;": "&amp;IFERROR(XLOOKUP(A7,ANALISIS!$A:$A,ANALISIS!$B:$B),"")&amp;". Pengendalian eksisting: "&amp;IFERROR(XLOOKUP(A7,ANALISIS!$A:$A,ANALISIS!$J:$J),"(tidak ada)")&amp;". Pengendalian utama: "&amp;IFERROR(XLOOKUP(A7,EVAL_PENG!$B:$B,EVAL_PENG!$E:$E),"(belum ditetapkan)")&amp;". Penyebab terkait: "&amp;IFERROR(TEXTJOIN(", ",TRUE,IF(PENYEBAB!$B$4:$B$153=A7,PENYEBAB!$E$4:$E$153,"")),"(belum diisi)")&amp;".")</f>
      </c>
      <c r="E7" s="9"/>
      <c r="F7" s="9"/>
      <c r="G7" s="9"/>
      <c r="H7" s="9"/>
    </row>
    <row r="8" ht="56" customHeight="1" spans="1:8" x14ac:dyDescent="0.25">
      <c r="A8" s="9"/>
      <c r="B8" s="13">
        <f>IFERROR(XLOOKUP(A8,ANALISIS!$A:$A,ANALISIS!$B:$B),"")</f>
      </c>
      <c r="C8" s="13">
        <f>IFERROR(XLOOKUP(A8,ANALISIS!$A:$A,ANALISIS!$L:$L),"")</f>
      </c>
      <c r="D8" s="46">
        <f>IF(A8="","","Pengujian atas kecukupan pengendalian terhadap risiko "&amp;A8&amp;": "&amp;IFERROR(XLOOKUP(A8,ANALISIS!$A:$A,ANALISIS!$B:$B),"")&amp;". Pengendalian eksisting: "&amp;IFERROR(XLOOKUP(A8,ANALISIS!$A:$A,ANALISIS!$J:$J),"(tidak ada)")&amp;". Pengendalian utama: "&amp;IFERROR(XLOOKUP(A8,EVAL_PENG!$B:$B,EVAL_PENG!$E:$E),"(belum ditetapkan)")&amp;". Penyebab terkait: "&amp;IFERROR(TEXTJOIN(", ",TRUE,IF(PENYEBAB!$B$4:$B$153=A8,PENYEBAB!$E$4:$E$153,"")),"(belum diisi)")&amp;".")</f>
      </c>
      <c r="E8" s="9"/>
      <c r="F8" s="9"/>
      <c r="G8" s="9"/>
      <c r="H8" s="9"/>
    </row>
    <row r="9" ht="56" customHeight="1" spans="1:8" x14ac:dyDescent="0.25">
      <c r="A9" s="9"/>
      <c r="B9" s="13">
        <f>IFERROR(XLOOKUP(A9,ANALISIS!$A:$A,ANALISIS!$B:$B),"")</f>
      </c>
      <c r="C9" s="13">
        <f>IFERROR(XLOOKUP(A9,ANALISIS!$A:$A,ANALISIS!$L:$L),"")</f>
      </c>
      <c r="D9" s="46">
        <f>IF(A9="","","Pengujian atas kecukupan pengendalian terhadap risiko "&amp;A9&amp;": "&amp;IFERROR(XLOOKUP(A9,ANALISIS!$A:$A,ANALISIS!$B:$B),"")&amp;". Pengendalian eksisting: "&amp;IFERROR(XLOOKUP(A9,ANALISIS!$A:$A,ANALISIS!$J:$J),"(tidak ada)")&amp;". Pengendalian utama: "&amp;IFERROR(XLOOKUP(A9,EVAL_PENG!$B:$B,EVAL_PENG!$E:$E),"(belum ditetapkan)")&amp;". Penyebab terkait: "&amp;IFERROR(TEXTJOIN(", ",TRUE,IF(PENYEBAB!$B$4:$B$153=A9,PENYEBAB!$E$4:$E$153,"")),"(belum diisi)")&amp;".")</f>
      </c>
      <c r="E9" s="9"/>
      <c r="F9" s="9"/>
      <c r="G9" s="9"/>
      <c r="H9" s="9"/>
    </row>
    <row r="10" ht="56" customHeight="1" spans="1:8" x14ac:dyDescent="0.25">
      <c r="A10" s="9"/>
      <c r="B10" s="13">
        <f>IFERROR(XLOOKUP(A10,ANALISIS!$A:$A,ANALISIS!$B:$B),"")</f>
      </c>
      <c r="C10" s="13">
        <f>IFERROR(XLOOKUP(A10,ANALISIS!$A:$A,ANALISIS!$L:$L),"")</f>
      </c>
      <c r="D10" s="46">
        <f>IF(A10="","","Pengujian atas kecukupan pengendalian terhadap risiko "&amp;A10&amp;": "&amp;IFERROR(XLOOKUP(A10,ANALISIS!$A:$A,ANALISIS!$B:$B),"")&amp;". Pengendalian eksisting: "&amp;IFERROR(XLOOKUP(A10,ANALISIS!$A:$A,ANALISIS!$J:$J),"(tidak ada)")&amp;". Pengendalian utama: "&amp;IFERROR(XLOOKUP(A10,EVAL_PENG!$B:$B,EVAL_PENG!$E:$E),"(belum ditetapkan)")&amp;". Penyebab terkait: "&amp;IFERROR(TEXTJOIN(", ",TRUE,IF(PENYEBAB!$B$4:$B$153=A10,PENYEBAB!$E$4:$E$153,"")),"(belum diisi)")&amp;".")</f>
      </c>
      <c r="E10" s="9"/>
      <c r="F10" s="9"/>
      <c r="G10" s="9"/>
      <c r="H10" s="9"/>
    </row>
    <row r="11" ht="56" customHeight="1" spans="1:8" x14ac:dyDescent="0.25">
      <c r="A11" s="9"/>
      <c r="B11" s="13">
        <f>IFERROR(XLOOKUP(A11,ANALISIS!$A:$A,ANALISIS!$B:$B),"")</f>
      </c>
      <c r="C11" s="13">
        <f>IFERROR(XLOOKUP(A11,ANALISIS!$A:$A,ANALISIS!$L:$L),"")</f>
      </c>
      <c r="D11" s="46">
        <f>IF(A11="","","Pengujian atas kecukupan pengendalian terhadap risiko "&amp;A11&amp;": "&amp;IFERROR(XLOOKUP(A11,ANALISIS!$A:$A,ANALISIS!$B:$B),"")&amp;". Pengendalian eksisting: "&amp;IFERROR(XLOOKUP(A11,ANALISIS!$A:$A,ANALISIS!$J:$J),"(tidak ada)")&amp;". Pengendalian utama: "&amp;IFERROR(XLOOKUP(A11,EVAL_PENG!$B:$B,EVAL_PENG!$E:$E),"(belum ditetapkan)")&amp;". Penyebab terkait: "&amp;IFERROR(TEXTJOIN(", ",TRUE,IF(PENYEBAB!$B$4:$B$153=A11,PENYEBAB!$E$4:$E$153,"")),"(belum diisi)")&amp;".")</f>
      </c>
      <c r="E11" s="9"/>
      <c r="F11" s="9"/>
      <c r="G11" s="9"/>
      <c r="H11" s="9"/>
    </row>
    <row r="12" ht="56" customHeight="1" spans="1:8" x14ac:dyDescent="0.25">
      <c r="A12" s="9"/>
      <c r="B12" s="13">
        <f>IFERROR(XLOOKUP(A12,ANALISIS!$A:$A,ANALISIS!$B:$B),"")</f>
      </c>
      <c r="C12" s="13">
        <f>IFERROR(XLOOKUP(A12,ANALISIS!$A:$A,ANALISIS!$L:$L),"")</f>
      </c>
      <c r="D12" s="46">
        <f>IF(A12="","","Pengujian atas kecukupan pengendalian terhadap risiko "&amp;A12&amp;": "&amp;IFERROR(XLOOKUP(A12,ANALISIS!$A:$A,ANALISIS!$B:$B),"")&amp;". Pengendalian eksisting: "&amp;IFERROR(XLOOKUP(A12,ANALISIS!$A:$A,ANALISIS!$J:$J),"(tidak ada)")&amp;". Pengendalian utama: "&amp;IFERROR(XLOOKUP(A12,EVAL_PENG!$B:$B,EVAL_PENG!$E:$E),"(belum ditetapkan)")&amp;". Penyebab terkait: "&amp;IFERROR(TEXTJOIN(", ",TRUE,IF(PENYEBAB!$B$4:$B$153=A12,PENYEBAB!$E$4:$E$153,"")),"(belum diisi)")&amp;".")</f>
      </c>
      <c r="E12" s="9"/>
      <c r="F12" s="9"/>
      <c r="G12" s="9"/>
      <c r="H12" s="9"/>
    </row>
    <row r="13" ht="56" customHeight="1" spans="1:8" x14ac:dyDescent="0.25">
      <c r="A13" s="9"/>
      <c r="B13" s="13">
        <f>IFERROR(XLOOKUP(A13,ANALISIS!$A:$A,ANALISIS!$B:$B),"")</f>
      </c>
      <c r="C13" s="13">
        <f>IFERROR(XLOOKUP(A13,ANALISIS!$A:$A,ANALISIS!$L:$L),"")</f>
      </c>
      <c r="D13" s="46">
        <f>IF(A13="","","Pengujian atas kecukupan pengendalian terhadap risiko "&amp;A13&amp;": "&amp;IFERROR(XLOOKUP(A13,ANALISIS!$A:$A,ANALISIS!$B:$B),"")&amp;". Pengendalian eksisting: "&amp;IFERROR(XLOOKUP(A13,ANALISIS!$A:$A,ANALISIS!$J:$J),"(tidak ada)")&amp;". Pengendalian utama: "&amp;IFERROR(XLOOKUP(A13,EVAL_PENG!$B:$B,EVAL_PENG!$E:$E),"(belum ditetapkan)")&amp;". Penyebab terkait: "&amp;IFERROR(TEXTJOIN(", ",TRUE,IF(PENYEBAB!$B$4:$B$153=A13,PENYEBAB!$E$4:$E$153,"")),"(belum diisi)")&amp;".")</f>
      </c>
      <c r="E13" s="9"/>
      <c r="F13" s="9"/>
      <c r="G13" s="9"/>
      <c r="H13" s="9"/>
    </row>
    <row r="14" ht="56" customHeight="1" spans="1:8" x14ac:dyDescent="0.25">
      <c r="A14" s="9"/>
      <c r="B14" s="13">
        <f>IFERROR(XLOOKUP(A14,ANALISIS!$A:$A,ANALISIS!$B:$B),"")</f>
      </c>
      <c r="C14" s="13">
        <f>IFERROR(XLOOKUP(A14,ANALISIS!$A:$A,ANALISIS!$L:$L),"")</f>
      </c>
      <c r="D14" s="46">
        <f>IF(A14="","","Pengujian atas kecukupan pengendalian terhadap risiko "&amp;A14&amp;": "&amp;IFERROR(XLOOKUP(A14,ANALISIS!$A:$A,ANALISIS!$B:$B),"")&amp;". Pengendalian eksisting: "&amp;IFERROR(XLOOKUP(A14,ANALISIS!$A:$A,ANALISIS!$J:$J),"(tidak ada)")&amp;". Pengendalian utama: "&amp;IFERROR(XLOOKUP(A14,EVAL_PENG!$B:$B,EVAL_PENG!$E:$E),"(belum ditetapkan)")&amp;". Penyebab terkait: "&amp;IFERROR(TEXTJOIN(", ",TRUE,IF(PENYEBAB!$B$4:$B$153=A14,PENYEBAB!$E$4:$E$153,"")),"(belum diisi)")&amp;".")</f>
      </c>
      <c r="E14" s="9"/>
      <c r="F14" s="9"/>
      <c r="G14" s="9"/>
      <c r="H14" s="9"/>
    </row>
    <row r="15" ht="56" customHeight="1" spans="1:8" x14ac:dyDescent="0.25">
      <c r="A15" s="9"/>
      <c r="B15" s="13">
        <f>IFERROR(XLOOKUP(A15,ANALISIS!$A:$A,ANALISIS!$B:$B),"")</f>
      </c>
      <c r="C15" s="13">
        <f>IFERROR(XLOOKUP(A15,ANALISIS!$A:$A,ANALISIS!$L:$L),"")</f>
      </c>
      <c r="D15" s="46">
        <f>IF(A15="","","Pengujian atas kecukupan pengendalian terhadap risiko "&amp;A15&amp;": "&amp;IFERROR(XLOOKUP(A15,ANALISIS!$A:$A,ANALISIS!$B:$B),"")&amp;". Pengendalian eksisting: "&amp;IFERROR(XLOOKUP(A15,ANALISIS!$A:$A,ANALISIS!$J:$J),"(tidak ada)")&amp;". Pengendalian utama: "&amp;IFERROR(XLOOKUP(A15,EVAL_PENG!$B:$B,EVAL_PENG!$E:$E),"(belum ditetapkan)")&amp;". Penyebab terkait: "&amp;IFERROR(TEXTJOIN(", ",TRUE,IF(PENYEBAB!$B$4:$B$153=A15,PENYEBAB!$E$4:$E$153,"")),"(belum diisi)")&amp;".")</f>
      </c>
      <c r="E15" s="9"/>
      <c r="F15" s="9"/>
      <c r="G15" s="9"/>
      <c r="H15" s="9"/>
    </row>
    <row r="16" ht="56" customHeight="1" spans="1:8" x14ac:dyDescent="0.25">
      <c r="A16" s="9"/>
      <c r="B16" s="13">
        <f>IFERROR(XLOOKUP(A16,ANALISIS!$A:$A,ANALISIS!$B:$B),"")</f>
      </c>
      <c r="C16" s="13">
        <f>IFERROR(XLOOKUP(A16,ANALISIS!$A:$A,ANALISIS!$L:$L),"")</f>
      </c>
      <c r="D16" s="46">
        <f>IF(A16="","","Pengujian atas kecukupan pengendalian terhadap risiko "&amp;A16&amp;": "&amp;IFERROR(XLOOKUP(A16,ANALISIS!$A:$A,ANALISIS!$B:$B),"")&amp;". Pengendalian eksisting: "&amp;IFERROR(XLOOKUP(A16,ANALISIS!$A:$A,ANALISIS!$J:$J),"(tidak ada)")&amp;". Pengendalian utama: "&amp;IFERROR(XLOOKUP(A16,EVAL_PENG!$B:$B,EVAL_PENG!$E:$E),"(belum ditetapkan)")&amp;". Penyebab terkait: "&amp;IFERROR(TEXTJOIN(", ",TRUE,IF(PENYEBAB!$B$4:$B$153=A16,PENYEBAB!$E$4:$E$153,"")),"(belum diisi)")&amp;".")</f>
      </c>
      <c r="E16" s="9"/>
      <c r="F16" s="9"/>
      <c r="G16" s="9"/>
      <c r="H16" s="9"/>
    </row>
    <row r="17" ht="56" customHeight="1" spans="1:8" x14ac:dyDescent="0.25">
      <c r="A17" s="9"/>
      <c r="B17" s="13">
        <f>IFERROR(XLOOKUP(A17,ANALISIS!$A:$A,ANALISIS!$B:$B),"")</f>
      </c>
      <c r="C17" s="13">
        <f>IFERROR(XLOOKUP(A17,ANALISIS!$A:$A,ANALISIS!$L:$L),"")</f>
      </c>
      <c r="D17" s="46">
        <f>IF(A17="","","Pengujian atas kecukupan pengendalian terhadap risiko "&amp;A17&amp;": "&amp;IFERROR(XLOOKUP(A17,ANALISIS!$A:$A,ANALISIS!$B:$B),"")&amp;". Pengendalian eksisting: "&amp;IFERROR(XLOOKUP(A17,ANALISIS!$A:$A,ANALISIS!$J:$J),"(tidak ada)")&amp;". Pengendalian utama: "&amp;IFERROR(XLOOKUP(A17,EVAL_PENG!$B:$B,EVAL_PENG!$E:$E),"(belum ditetapkan)")&amp;". Penyebab terkait: "&amp;IFERROR(TEXTJOIN(", ",TRUE,IF(PENYEBAB!$B$4:$B$153=A17,PENYEBAB!$E$4:$E$153,"")),"(belum diisi)")&amp;".")</f>
      </c>
      <c r="E17" s="9"/>
      <c r="F17" s="9"/>
      <c r="G17" s="9"/>
      <c r="H17" s="9"/>
    </row>
    <row r="18" ht="56" customHeight="1" spans="1:8" x14ac:dyDescent="0.25">
      <c r="A18" s="9"/>
      <c r="B18" s="13">
        <f>IFERROR(XLOOKUP(A18,ANALISIS!$A:$A,ANALISIS!$B:$B),"")</f>
      </c>
      <c r="C18" s="13">
        <f>IFERROR(XLOOKUP(A18,ANALISIS!$A:$A,ANALISIS!$L:$L),"")</f>
      </c>
      <c r="D18" s="46">
        <f>IF(A18="","","Pengujian atas kecukupan pengendalian terhadap risiko "&amp;A18&amp;": "&amp;IFERROR(XLOOKUP(A18,ANALISIS!$A:$A,ANALISIS!$B:$B),"")&amp;". Pengendalian eksisting: "&amp;IFERROR(XLOOKUP(A18,ANALISIS!$A:$A,ANALISIS!$J:$J),"(tidak ada)")&amp;". Pengendalian utama: "&amp;IFERROR(XLOOKUP(A18,EVAL_PENG!$B:$B,EVAL_PENG!$E:$E),"(belum ditetapkan)")&amp;". Penyebab terkait: "&amp;IFERROR(TEXTJOIN(", ",TRUE,IF(PENYEBAB!$B$4:$B$153=A18,PENYEBAB!$E$4:$E$153,"")),"(belum diisi)")&amp;".")</f>
      </c>
      <c r="E18" s="9"/>
      <c r="F18" s="9"/>
      <c r="G18" s="9"/>
      <c r="H18" s="9"/>
    </row>
    <row r="19" ht="56" customHeight="1" spans="1:8" x14ac:dyDescent="0.25">
      <c r="A19" s="9"/>
      <c r="B19" s="13">
        <f>IFERROR(XLOOKUP(A19,ANALISIS!$A:$A,ANALISIS!$B:$B),"")</f>
      </c>
      <c r="C19" s="13">
        <f>IFERROR(XLOOKUP(A19,ANALISIS!$A:$A,ANALISIS!$L:$L),"")</f>
      </c>
      <c r="D19" s="46">
        <f>IF(A19="","","Pengujian atas kecukupan pengendalian terhadap risiko "&amp;A19&amp;": "&amp;IFERROR(XLOOKUP(A19,ANALISIS!$A:$A,ANALISIS!$B:$B),"")&amp;". Pengendalian eksisting: "&amp;IFERROR(XLOOKUP(A19,ANALISIS!$A:$A,ANALISIS!$J:$J),"(tidak ada)")&amp;". Pengendalian utama: "&amp;IFERROR(XLOOKUP(A19,EVAL_PENG!$B:$B,EVAL_PENG!$E:$E),"(belum ditetapkan)")&amp;". Penyebab terkait: "&amp;IFERROR(TEXTJOIN(", ",TRUE,IF(PENYEBAB!$B$4:$B$153=A19,PENYEBAB!$E$4:$E$153,"")),"(belum diisi)")&amp;".")</f>
      </c>
      <c r="E19" s="9"/>
      <c r="F19" s="9"/>
      <c r="G19" s="9"/>
      <c r="H19" s="9"/>
    </row>
    <row r="20" ht="56" customHeight="1" spans="1:8" x14ac:dyDescent="0.25">
      <c r="A20" s="9"/>
      <c r="B20" s="13">
        <f>IFERROR(XLOOKUP(A20,ANALISIS!$A:$A,ANALISIS!$B:$B),"")</f>
      </c>
      <c r="C20" s="13">
        <f>IFERROR(XLOOKUP(A20,ANALISIS!$A:$A,ANALISIS!$L:$L),"")</f>
      </c>
      <c r="D20" s="46">
        <f>IF(A20="","","Pengujian atas kecukupan pengendalian terhadap risiko "&amp;A20&amp;": "&amp;IFERROR(XLOOKUP(A20,ANALISIS!$A:$A,ANALISIS!$B:$B),"")&amp;". Pengendalian eksisting: "&amp;IFERROR(XLOOKUP(A20,ANALISIS!$A:$A,ANALISIS!$J:$J),"(tidak ada)")&amp;". Pengendalian utama: "&amp;IFERROR(XLOOKUP(A20,EVAL_PENG!$B:$B,EVAL_PENG!$E:$E),"(belum ditetapkan)")&amp;". Penyebab terkait: "&amp;IFERROR(TEXTJOIN(", ",TRUE,IF(PENYEBAB!$B$4:$B$153=A20,PENYEBAB!$E$4:$E$153,"")),"(belum diisi)")&amp;".")</f>
      </c>
      <c r="E20" s="9"/>
      <c r="F20" s="9"/>
      <c r="G20" s="9"/>
      <c r="H20" s="9"/>
    </row>
    <row r="21" ht="56" customHeight="1" spans="1:8" x14ac:dyDescent="0.25">
      <c r="A21" s="9"/>
      <c r="B21" s="13">
        <f>IFERROR(XLOOKUP(A21,ANALISIS!$A:$A,ANALISIS!$B:$B),"")</f>
      </c>
      <c r="C21" s="13">
        <f>IFERROR(XLOOKUP(A21,ANALISIS!$A:$A,ANALISIS!$L:$L),"")</f>
      </c>
      <c r="D21" s="46">
        <f>IF(A21="","","Pengujian atas kecukupan pengendalian terhadap risiko "&amp;A21&amp;": "&amp;IFERROR(XLOOKUP(A21,ANALISIS!$A:$A,ANALISIS!$B:$B),"")&amp;". Pengendalian eksisting: "&amp;IFERROR(XLOOKUP(A21,ANALISIS!$A:$A,ANALISIS!$J:$J),"(tidak ada)")&amp;". Pengendalian utama: "&amp;IFERROR(XLOOKUP(A21,EVAL_PENG!$B:$B,EVAL_PENG!$E:$E),"(belum ditetapkan)")&amp;". Penyebab terkait: "&amp;IFERROR(TEXTJOIN(", ",TRUE,IF(PENYEBAB!$B$4:$B$153=A21,PENYEBAB!$E$4:$E$153,"")),"(belum diisi)")&amp;".")</f>
      </c>
      <c r="E21" s="9"/>
      <c r="F21" s="9"/>
      <c r="G21" s="9"/>
      <c r="H21" s="9"/>
    </row>
    <row r="22" ht="56" customHeight="1" spans="1:8" x14ac:dyDescent="0.25">
      <c r="A22" s="9"/>
      <c r="B22" s="13">
        <f>IFERROR(XLOOKUP(A22,ANALISIS!$A:$A,ANALISIS!$B:$B),"")</f>
      </c>
      <c r="C22" s="13">
        <f>IFERROR(XLOOKUP(A22,ANALISIS!$A:$A,ANALISIS!$L:$L),"")</f>
      </c>
      <c r="D22" s="46">
        <f>IF(A22="","","Pengujian atas kecukupan pengendalian terhadap risiko "&amp;A22&amp;": "&amp;IFERROR(XLOOKUP(A22,ANALISIS!$A:$A,ANALISIS!$B:$B),"")&amp;". Pengendalian eksisting: "&amp;IFERROR(XLOOKUP(A22,ANALISIS!$A:$A,ANALISIS!$J:$J),"(tidak ada)")&amp;". Pengendalian utama: "&amp;IFERROR(XLOOKUP(A22,EVAL_PENG!$B:$B,EVAL_PENG!$E:$E),"(belum ditetapkan)")&amp;". Penyebab terkait: "&amp;IFERROR(TEXTJOIN(", ",TRUE,IF(PENYEBAB!$B$4:$B$153=A22,PENYEBAB!$E$4:$E$153,"")),"(belum diisi)")&amp;".")</f>
      </c>
      <c r="E22" s="9"/>
      <c r="F22" s="9"/>
      <c r="G22" s="9"/>
      <c r="H22" s="9"/>
    </row>
    <row r="23" ht="56" customHeight="1" spans="1:8" x14ac:dyDescent="0.25">
      <c r="A23" s="9"/>
      <c r="B23" s="13">
        <f>IFERROR(XLOOKUP(A23,ANALISIS!$A:$A,ANALISIS!$B:$B),"")</f>
      </c>
      <c r="C23" s="13">
        <f>IFERROR(XLOOKUP(A23,ANALISIS!$A:$A,ANALISIS!$L:$L),"")</f>
      </c>
      <c r="D23" s="46">
        <f>IF(A23="","","Pengujian atas kecukupan pengendalian terhadap risiko "&amp;A23&amp;": "&amp;IFERROR(XLOOKUP(A23,ANALISIS!$A:$A,ANALISIS!$B:$B),"")&amp;". Pengendalian eksisting: "&amp;IFERROR(XLOOKUP(A23,ANALISIS!$A:$A,ANALISIS!$J:$J),"(tidak ada)")&amp;". Pengendalian utama: "&amp;IFERROR(XLOOKUP(A23,EVAL_PENG!$B:$B,EVAL_PENG!$E:$E),"(belum ditetapkan)")&amp;". Penyebab terkait: "&amp;IFERROR(TEXTJOIN(", ",TRUE,IF(PENYEBAB!$B$4:$B$153=A23,PENYEBAB!$E$4:$E$153,"")),"(belum diisi)")&amp;".")</f>
      </c>
      <c r="E23" s="9"/>
      <c r="F23" s="9"/>
      <c r="G23" s="9"/>
      <c r="H23" s="9"/>
    </row>
    <row r="24" ht="56" customHeight="1" spans="1:8" x14ac:dyDescent="0.25">
      <c r="A24" s="9"/>
      <c r="B24" s="13">
        <f>IFERROR(XLOOKUP(A24,ANALISIS!$A:$A,ANALISIS!$B:$B),"")</f>
      </c>
      <c r="C24" s="13">
        <f>IFERROR(XLOOKUP(A24,ANALISIS!$A:$A,ANALISIS!$L:$L),"")</f>
      </c>
      <c r="D24" s="46">
        <f>IF(A24="","","Pengujian atas kecukupan pengendalian terhadap risiko "&amp;A24&amp;": "&amp;IFERROR(XLOOKUP(A24,ANALISIS!$A:$A,ANALISIS!$B:$B),"")&amp;". Pengendalian eksisting: "&amp;IFERROR(XLOOKUP(A24,ANALISIS!$A:$A,ANALISIS!$J:$J),"(tidak ada)")&amp;". Pengendalian utama: "&amp;IFERROR(XLOOKUP(A24,EVAL_PENG!$B:$B,EVAL_PENG!$E:$E),"(belum ditetapkan)")&amp;". Penyebab terkait: "&amp;IFERROR(TEXTJOIN(", ",TRUE,IF(PENYEBAB!$B$4:$B$153=A24,PENYEBAB!$E$4:$E$153,"")),"(belum diisi)")&amp;".")</f>
      </c>
      <c r="E24" s="9"/>
      <c r="F24" s="9"/>
      <c r="G24" s="9"/>
      <c r="H24" s="9"/>
    </row>
    <row r="25" ht="56" customHeight="1" spans="1:8" x14ac:dyDescent="0.25">
      <c r="A25" s="9"/>
      <c r="B25" s="13">
        <f>IFERROR(XLOOKUP(A25,ANALISIS!$A:$A,ANALISIS!$B:$B),"")</f>
      </c>
      <c r="C25" s="13">
        <f>IFERROR(XLOOKUP(A25,ANALISIS!$A:$A,ANALISIS!$L:$L),"")</f>
      </c>
      <c r="D25" s="46">
        <f>IF(A25="","","Pengujian atas kecukupan pengendalian terhadap risiko "&amp;A25&amp;": "&amp;IFERROR(XLOOKUP(A25,ANALISIS!$A:$A,ANALISIS!$B:$B),"")&amp;". Pengendalian eksisting: "&amp;IFERROR(XLOOKUP(A25,ANALISIS!$A:$A,ANALISIS!$J:$J),"(tidak ada)")&amp;". Pengendalian utama: "&amp;IFERROR(XLOOKUP(A25,EVAL_PENG!$B:$B,EVAL_PENG!$E:$E),"(belum ditetapkan)")&amp;". Penyebab terkait: "&amp;IFERROR(TEXTJOIN(", ",TRUE,IF(PENYEBAB!$B$4:$B$153=A25,PENYEBAB!$E$4:$E$153,"")),"(belum diisi)")&amp;".")</f>
      </c>
      <c r="E25" s="9"/>
      <c r="F25" s="9"/>
      <c r="G25" s="9"/>
      <c r="H25" s="9"/>
    </row>
    <row r="26" ht="56" customHeight="1" spans="1:8" x14ac:dyDescent="0.25">
      <c r="A26" s="9"/>
      <c r="B26" s="13">
        <f>IFERROR(XLOOKUP(A26,ANALISIS!$A:$A,ANALISIS!$B:$B),"")</f>
      </c>
      <c r="C26" s="13">
        <f>IFERROR(XLOOKUP(A26,ANALISIS!$A:$A,ANALISIS!$L:$L),"")</f>
      </c>
      <c r="D26" s="46">
        <f>IF(A26="","","Pengujian atas kecukupan pengendalian terhadap risiko "&amp;A26&amp;": "&amp;IFERROR(XLOOKUP(A26,ANALISIS!$A:$A,ANALISIS!$B:$B),"")&amp;". Pengendalian eksisting: "&amp;IFERROR(XLOOKUP(A26,ANALISIS!$A:$A,ANALISIS!$J:$J),"(tidak ada)")&amp;". Pengendalian utama: "&amp;IFERROR(XLOOKUP(A26,EVAL_PENG!$B:$B,EVAL_PENG!$E:$E),"(belum ditetapkan)")&amp;". Penyebab terkait: "&amp;IFERROR(TEXTJOIN(", ",TRUE,IF(PENYEBAB!$B$4:$B$153=A26,PENYEBAB!$E$4:$E$153,"")),"(belum diisi)")&amp;".")</f>
      </c>
      <c r="E26" s="9"/>
      <c r="F26" s="9"/>
      <c r="G26" s="9"/>
      <c r="H26" s="9"/>
    </row>
    <row r="27" ht="56" customHeight="1" spans="1:8" x14ac:dyDescent="0.25">
      <c r="A27" s="9"/>
      <c r="B27" s="13">
        <f>IFERROR(XLOOKUP(A27,ANALISIS!$A:$A,ANALISIS!$B:$B),"")</f>
      </c>
      <c r="C27" s="13">
        <f>IFERROR(XLOOKUP(A27,ANALISIS!$A:$A,ANALISIS!$L:$L),"")</f>
      </c>
      <c r="D27" s="46">
        <f>IF(A27="","","Pengujian atas kecukupan pengendalian terhadap risiko "&amp;A27&amp;": "&amp;IFERROR(XLOOKUP(A27,ANALISIS!$A:$A,ANALISIS!$B:$B),"")&amp;". Pengendalian eksisting: "&amp;IFERROR(XLOOKUP(A27,ANALISIS!$A:$A,ANALISIS!$J:$J),"(tidak ada)")&amp;". Pengendalian utama: "&amp;IFERROR(XLOOKUP(A27,EVAL_PENG!$B:$B,EVAL_PENG!$E:$E),"(belum ditetapkan)")&amp;". Penyebab terkait: "&amp;IFERROR(TEXTJOIN(", ",TRUE,IF(PENYEBAB!$B$4:$B$153=A27,PENYEBAB!$E$4:$E$153,"")),"(belum diisi)")&amp;".")</f>
      </c>
      <c r="E27" s="9"/>
      <c r="F27" s="9"/>
      <c r="G27" s="9"/>
      <c r="H27" s="9"/>
    </row>
    <row r="28" ht="56" customHeight="1" spans="1:8" x14ac:dyDescent="0.25">
      <c r="A28" s="9"/>
      <c r="B28" s="13">
        <f>IFERROR(XLOOKUP(A28,ANALISIS!$A:$A,ANALISIS!$B:$B),"")</f>
      </c>
      <c r="C28" s="13">
        <f>IFERROR(XLOOKUP(A28,ANALISIS!$A:$A,ANALISIS!$L:$L),"")</f>
      </c>
      <c r="D28" s="46">
        <f>IF(A28="","","Pengujian atas kecukupan pengendalian terhadap risiko "&amp;A28&amp;": "&amp;IFERROR(XLOOKUP(A28,ANALISIS!$A:$A,ANALISIS!$B:$B),"")&amp;". Pengendalian eksisting: "&amp;IFERROR(XLOOKUP(A28,ANALISIS!$A:$A,ANALISIS!$J:$J),"(tidak ada)")&amp;". Pengendalian utama: "&amp;IFERROR(XLOOKUP(A28,EVAL_PENG!$B:$B,EVAL_PENG!$E:$E),"(belum ditetapkan)")&amp;". Penyebab terkait: "&amp;IFERROR(TEXTJOIN(", ",TRUE,IF(PENYEBAB!$B$4:$B$153=A28,PENYEBAB!$E$4:$E$153,"")),"(belum diisi)")&amp;".")</f>
      </c>
      <c r="E28" s="9"/>
      <c r="F28" s="9"/>
      <c r="G28" s="9"/>
      <c r="H28" s="9"/>
    </row>
    <row r="29" ht="56" customHeight="1" spans="1:8" x14ac:dyDescent="0.25">
      <c r="A29" s="9"/>
      <c r="B29" s="13">
        <f>IFERROR(XLOOKUP(A29,ANALISIS!$A:$A,ANALISIS!$B:$B),"")</f>
      </c>
      <c r="C29" s="13">
        <f>IFERROR(XLOOKUP(A29,ANALISIS!$A:$A,ANALISIS!$L:$L),"")</f>
      </c>
      <c r="D29" s="46">
        <f>IF(A29="","","Pengujian atas kecukupan pengendalian terhadap risiko "&amp;A29&amp;": "&amp;IFERROR(XLOOKUP(A29,ANALISIS!$A:$A,ANALISIS!$B:$B),"")&amp;". Pengendalian eksisting: "&amp;IFERROR(XLOOKUP(A29,ANALISIS!$A:$A,ANALISIS!$J:$J),"(tidak ada)")&amp;". Pengendalian utama: "&amp;IFERROR(XLOOKUP(A29,EVAL_PENG!$B:$B,EVAL_PENG!$E:$E),"(belum ditetapkan)")&amp;". Penyebab terkait: "&amp;IFERROR(TEXTJOIN(", ",TRUE,IF(PENYEBAB!$B$4:$B$153=A29,PENYEBAB!$E$4:$E$153,"")),"(belum diisi)")&amp;".")</f>
      </c>
      <c r="E29" s="9"/>
      <c r="F29" s="9"/>
      <c r="G29" s="9"/>
      <c r="H29" s="9"/>
    </row>
    <row r="30" ht="56" customHeight="1" spans="1:8" x14ac:dyDescent="0.25">
      <c r="A30" s="9"/>
      <c r="B30" s="13">
        <f>IFERROR(XLOOKUP(A30,ANALISIS!$A:$A,ANALISIS!$B:$B),"")</f>
      </c>
      <c r="C30" s="13">
        <f>IFERROR(XLOOKUP(A30,ANALISIS!$A:$A,ANALISIS!$L:$L),"")</f>
      </c>
      <c r="D30" s="46">
        <f>IF(A30="","","Pengujian atas kecukupan pengendalian terhadap risiko "&amp;A30&amp;": "&amp;IFERROR(XLOOKUP(A30,ANALISIS!$A:$A,ANALISIS!$B:$B),"")&amp;". Pengendalian eksisting: "&amp;IFERROR(XLOOKUP(A30,ANALISIS!$A:$A,ANALISIS!$J:$J),"(tidak ada)")&amp;". Pengendalian utama: "&amp;IFERROR(XLOOKUP(A30,EVAL_PENG!$B:$B,EVAL_PENG!$E:$E),"(belum ditetapkan)")&amp;". Penyebab terkait: "&amp;IFERROR(TEXTJOIN(", ",TRUE,IF(PENYEBAB!$B$4:$B$153=A30,PENYEBAB!$E$4:$E$153,"")),"(belum diisi)")&amp;".")</f>
      </c>
      <c r="E30" s="9"/>
      <c r="F30" s="9"/>
      <c r="G30" s="9"/>
      <c r="H30" s="9"/>
    </row>
    <row r="31" ht="56" customHeight="1" spans="1:8" x14ac:dyDescent="0.25">
      <c r="A31" s="9"/>
      <c r="B31" s="13">
        <f>IFERROR(XLOOKUP(A31,ANALISIS!$A:$A,ANALISIS!$B:$B),"")</f>
      </c>
      <c r="C31" s="13">
        <f>IFERROR(XLOOKUP(A31,ANALISIS!$A:$A,ANALISIS!$L:$L),"")</f>
      </c>
      <c r="D31" s="46">
        <f>IF(A31="","","Pengujian atas kecukupan pengendalian terhadap risiko "&amp;A31&amp;": "&amp;IFERROR(XLOOKUP(A31,ANALISIS!$A:$A,ANALISIS!$B:$B),"")&amp;". Pengendalian eksisting: "&amp;IFERROR(XLOOKUP(A31,ANALISIS!$A:$A,ANALISIS!$J:$J),"(tidak ada)")&amp;". Pengendalian utama: "&amp;IFERROR(XLOOKUP(A31,EVAL_PENG!$B:$B,EVAL_PENG!$E:$E),"(belum ditetapkan)")&amp;". Penyebab terkait: "&amp;IFERROR(TEXTJOIN(", ",TRUE,IF(PENYEBAB!$B$4:$B$153=A31,PENYEBAB!$E$4:$E$153,"")),"(belum diisi)")&amp;".")</f>
      </c>
      <c r="E31" s="9"/>
      <c r="F31" s="9"/>
      <c r="G31" s="9"/>
      <c r="H31" s="9"/>
    </row>
    <row r="32" ht="56" customHeight="1" spans="1:8" x14ac:dyDescent="0.25">
      <c r="A32" s="9"/>
      <c r="B32" s="13">
        <f>IFERROR(XLOOKUP(A32,ANALISIS!$A:$A,ANALISIS!$B:$B),"")</f>
      </c>
      <c r="C32" s="13">
        <f>IFERROR(XLOOKUP(A32,ANALISIS!$A:$A,ANALISIS!$L:$L),"")</f>
      </c>
      <c r="D32" s="46">
        <f>IF(A32="","","Pengujian atas kecukupan pengendalian terhadap risiko "&amp;A32&amp;": "&amp;IFERROR(XLOOKUP(A32,ANALISIS!$A:$A,ANALISIS!$B:$B),"")&amp;". Pengendalian eksisting: "&amp;IFERROR(XLOOKUP(A32,ANALISIS!$A:$A,ANALISIS!$J:$J),"(tidak ada)")&amp;". Pengendalian utama: "&amp;IFERROR(XLOOKUP(A32,EVAL_PENG!$B:$B,EVAL_PENG!$E:$E),"(belum ditetapkan)")&amp;". Penyebab terkait: "&amp;IFERROR(TEXTJOIN(", ",TRUE,IF(PENYEBAB!$B$4:$B$153=A32,PENYEBAB!$E$4:$E$153,"")),"(belum diisi)")&amp;".")</f>
      </c>
      <c r="E32" s="9"/>
      <c r="F32" s="9"/>
      <c r="G32" s="9"/>
      <c r="H32" s="9"/>
    </row>
    <row r="33" ht="56" customHeight="1" spans="1:8" x14ac:dyDescent="0.25">
      <c r="A33" s="9"/>
      <c r="B33" s="13">
        <f>IFERROR(XLOOKUP(A33,ANALISIS!$A:$A,ANALISIS!$B:$B),"")</f>
      </c>
      <c r="C33" s="13">
        <f>IFERROR(XLOOKUP(A33,ANALISIS!$A:$A,ANALISIS!$L:$L),"")</f>
      </c>
      <c r="D33" s="46">
        <f>IF(A33="","","Pengujian atas kecukupan pengendalian terhadap risiko "&amp;A33&amp;": "&amp;IFERROR(XLOOKUP(A33,ANALISIS!$A:$A,ANALISIS!$B:$B),"")&amp;". Pengendalian eksisting: "&amp;IFERROR(XLOOKUP(A33,ANALISIS!$A:$A,ANALISIS!$J:$J),"(tidak ada)")&amp;". Pengendalian utama: "&amp;IFERROR(XLOOKUP(A33,EVAL_PENG!$B:$B,EVAL_PENG!$E:$E),"(belum ditetapkan)")&amp;". Penyebab terkait: "&amp;IFERROR(TEXTJOIN(", ",TRUE,IF(PENYEBAB!$B$4:$B$153=A33,PENYEBAB!$E$4:$E$153,"")),"(belum diisi)")&amp;".")</f>
      </c>
      <c r="E33" s="9"/>
      <c r="F33" s="9"/>
      <c r="G33" s="9"/>
      <c r="H33" s="9"/>
    </row>
    <row r="34" ht="56" customHeight="1" spans="1:8" x14ac:dyDescent="0.25">
      <c r="A34" s="9"/>
      <c r="B34" s="13">
        <f>IFERROR(XLOOKUP(A34,ANALISIS!$A:$A,ANALISIS!$B:$B),"")</f>
      </c>
      <c r="C34" s="13">
        <f>IFERROR(XLOOKUP(A34,ANALISIS!$A:$A,ANALISIS!$L:$L),"")</f>
      </c>
      <c r="D34" s="46">
        <f>IF(A34="","","Pengujian atas kecukupan pengendalian terhadap risiko "&amp;A34&amp;": "&amp;IFERROR(XLOOKUP(A34,ANALISIS!$A:$A,ANALISIS!$B:$B),"")&amp;". Pengendalian eksisting: "&amp;IFERROR(XLOOKUP(A34,ANALISIS!$A:$A,ANALISIS!$J:$J),"(tidak ada)")&amp;". Pengendalian utama: "&amp;IFERROR(XLOOKUP(A34,EVAL_PENG!$B:$B,EVAL_PENG!$E:$E),"(belum ditetapkan)")&amp;". Penyebab terkait: "&amp;IFERROR(TEXTJOIN(", ",TRUE,IF(PENYEBAB!$B$4:$B$153=A34,PENYEBAB!$E$4:$E$153,"")),"(belum diisi)")&amp;".")</f>
      </c>
      <c r="E34" s="9"/>
      <c r="F34" s="9"/>
      <c r="G34" s="9"/>
      <c r="H34" s="9"/>
    </row>
    <row r="35" ht="56" customHeight="1" spans="1:8" x14ac:dyDescent="0.25">
      <c r="A35" s="9"/>
      <c r="B35" s="13">
        <f>IFERROR(XLOOKUP(A35,ANALISIS!$A:$A,ANALISIS!$B:$B),"")</f>
      </c>
      <c r="C35" s="13">
        <f>IFERROR(XLOOKUP(A35,ANALISIS!$A:$A,ANALISIS!$L:$L),"")</f>
      </c>
      <c r="D35" s="46">
        <f>IF(A35="","","Pengujian atas kecukupan pengendalian terhadap risiko "&amp;A35&amp;": "&amp;IFERROR(XLOOKUP(A35,ANALISIS!$A:$A,ANALISIS!$B:$B),"")&amp;". Pengendalian eksisting: "&amp;IFERROR(XLOOKUP(A35,ANALISIS!$A:$A,ANALISIS!$J:$J),"(tidak ada)")&amp;". Pengendalian utama: "&amp;IFERROR(XLOOKUP(A35,EVAL_PENG!$B:$B,EVAL_PENG!$E:$E),"(belum ditetapkan)")&amp;". Penyebab terkait: "&amp;IFERROR(TEXTJOIN(", ",TRUE,IF(PENYEBAB!$B$4:$B$153=A35,PENYEBAB!$E$4:$E$153,"")),"(belum diisi)")&amp;".")</f>
      </c>
      <c r="E35" s="9"/>
      <c r="F35" s="9"/>
      <c r="G35" s="9"/>
      <c r="H35" s="9"/>
    </row>
    <row r="36" ht="56" customHeight="1" spans="1:8" x14ac:dyDescent="0.25">
      <c r="A36" s="9"/>
      <c r="B36" s="13">
        <f>IFERROR(XLOOKUP(A36,ANALISIS!$A:$A,ANALISIS!$B:$B),"")</f>
      </c>
      <c r="C36" s="13">
        <f>IFERROR(XLOOKUP(A36,ANALISIS!$A:$A,ANALISIS!$L:$L),"")</f>
      </c>
      <c r="D36" s="46">
        <f>IF(A36="","","Pengujian atas kecukupan pengendalian terhadap risiko "&amp;A36&amp;": "&amp;IFERROR(XLOOKUP(A36,ANALISIS!$A:$A,ANALISIS!$B:$B),"")&amp;". Pengendalian eksisting: "&amp;IFERROR(XLOOKUP(A36,ANALISIS!$A:$A,ANALISIS!$J:$J),"(tidak ada)")&amp;". Pengendalian utama: "&amp;IFERROR(XLOOKUP(A36,EVAL_PENG!$B:$B,EVAL_PENG!$E:$E),"(belum ditetapkan)")&amp;". Penyebab terkait: "&amp;IFERROR(TEXTJOIN(", ",TRUE,IF(PENYEBAB!$B$4:$B$153=A36,PENYEBAB!$E$4:$E$153,"")),"(belum diisi)")&amp;".")</f>
      </c>
      <c r="E36" s="9"/>
      <c r="F36" s="9"/>
      <c r="G36" s="9"/>
      <c r="H36" s="9"/>
    </row>
    <row r="37" ht="56" customHeight="1" spans="1:8" x14ac:dyDescent="0.25">
      <c r="A37" s="9"/>
      <c r="B37" s="13">
        <f>IFERROR(XLOOKUP(A37,ANALISIS!$A:$A,ANALISIS!$B:$B),"")</f>
      </c>
      <c r="C37" s="13">
        <f>IFERROR(XLOOKUP(A37,ANALISIS!$A:$A,ANALISIS!$L:$L),"")</f>
      </c>
      <c r="D37" s="46">
        <f>IF(A37="","","Pengujian atas kecukupan pengendalian terhadap risiko "&amp;A37&amp;": "&amp;IFERROR(XLOOKUP(A37,ANALISIS!$A:$A,ANALISIS!$B:$B),"")&amp;". Pengendalian eksisting: "&amp;IFERROR(XLOOKUP(A37,ANALISIS!$A:$A,ANALISIS!$J:$J),"(tidak ada)")&amp;". Pengendalian utama: "&amp;IFERROR(XLOOKUP(A37,EVAL_PENG!$B:$B,EVAL_PENG!$E:$E),"(belum ditetapkan)")&amp;". Penyebab terkait: "&amp;IFERROR(TEXTJOIN(", ",TRUE,IF(PENYEBAB!$B$4:$B$153=A37,PENYEBAB!$E$4:$E$153,"")),"(belum diisi)")&amp;".")</f>
      </c>
      <c r="E37" s="9"/>
      <c r="F37" s="9"/>
      <c r="G37" s="9"/>
      <c r="H37" s="9"/>
    </row>
    <row r="38" ht="56" customHeight="1" spans="1:8" x14ac:dyDescent="0.25">
      <c r="A38" s="9"/>
      <c r="B38" s="13">
        <f>IFERROR(XLOOKUP(A38,ANALISIS!$A:$A,ANALISIS!$B:$B),"")</f>
      </c>
      <c r="C38" s="13">
        <f>IFERROR(XLOOKUP(A38,ANALISIS!$A:$A,ANALISIS!$L:$L),"")</f>
      </c>
      <c r="D38" s="46">
        <f>IF(A38="","","Pengujian atas kecukupan pengendalian terhadap risiko "&amp;A38&amp;": "&amp;IFERROR(XLOOKUP(A38,ANALISIS!$A:$A,ANALISIS!$B:$B),"")&amp;". Pengendalian eksisting: "&amp;IFERROR(XLOOKUP(A38,ANALISIS!$A:$A,ANALISIS!$J:$J),"(tidak ada)")&amp;". Pengendalian utama: "&amp;IFERROR(XLOOKUP(A38,EVAL_PENG!$B:$B,EVAL_PENG!$E:$E),"(belum ditetapkan)")&amp;". Penyebab terkait: "&amp;IFERROR(TEXTJOIN(", ",TRUE,IF(PENYEBAB!$B$4:$B$153=A38,PENYEBAB!$E$4:$E$153,"")),"(belum diisi)")&amp;".")</f>
      </c>
      <c r="E38" s="9"/>
      <c r="F38" s="9"/>
      <c r="G38" s="9"/>
      <c r="H38" s="9"/>
    </row>
    <row r="39" ht="56" customHeight="1" spans="1:8" x14ac:dyDescent="0.25">
      <c r="A39" s="9"/>
      <c r="B39" s="13">
        <f>IFERROR(XLOOKUP(A39,ANALISIS!$A:$A,ANALISIS!$B:$B),"")</f>
      </c>
      <c r="C39" s="13">
        <f>IFERROR(XLOOKUP(A39,ANALISIS!$A:$A,ANALISIS!$L:$L),"")</f>
      </c>
      <c r="D39" s="46">
        <f>IF(A39="","","Pengujian atas kecukupan pengendalian terhadap risiko "&amp;A39&amp;": "&amp;IFERROR(XLOOKUP(A39,ANALISIS!$A:$A,ANALISIS!$B:$B),"")&amp;". Pengendalian eksisting: "&amp;IFERROR(XLOOKUP(A39,ANALISIS!$A:$A,ANALISIS!$J:$J),"(tidak ada)")&amp;". Pengendalian utama: "&amp;IFERROR(XLOOKUP(A39,EVAL_PENG!$B:$B,EVAL_PENG!$E:$E),"(belum ditetapkan)")&amp;". Penyebab terkait: "&amp;IFERROR(TEXTJOIN(", ",TRUE,IF(PENYEBAB!$B$4:$B$153=A39,PENYEBAB!$E$4:$E$153,"")),"(belum diisi)")&amp;".")</f>
      </c>
      <c r="E39" s="9"/>
      <c r="F39" s="9"/>
      <c r="G39" s="9"/>
      <c r="H39" s="9"/>
    </row>
    <row r="40" ht="56" customHeight="1" spans="1:8" x14ac:dyDescent="0.25">
      <c r="A40" s="9"/>
      <c r="B40" s="13">
        <f>IFERROR(XLOOKUP(A40,ANALISIS!$A:$A,ANALISIS!$B:$B),"")</f>
      </c>
      <c r="C40" s="13">
        <f>IFERROR(XLOOKUP(A40,ANALISIS!$A:$A,ANALISIS!$L:$L),"")</f>
      </c>
      <c r="D40" s="46">
        <f>IF(A40="","","Pengujian atas kecukupan pengendalian terhadap risiko "&amp;A40&amp;": "&amp;IFERROR(XLOOKUP(A40,ANALISIS!$A:$A,ANALISIS!$B:$B),"")&amp;". Pengendalian eksisting: "&amp;IFERROR(XLOOKUP(A40,ANALISIS!$A:$A,ANALISIS!$J:$J),"(tidak ada)")&amp;". Pengendalian utama: "&amp;IFERROR(XLOOKUP(A40,EVAL_PENG!$B:$B,EVAL_PENG!$E:$E),"(belum ditetapkan)")&amp;". Penyebab terkait: "&amp;IFERROR(TEXTJOIN(", ",TRUE,IF(PENYEBAB!$B$4:$B$153=A40,PENYEBAB!$E$4:$E$153,"")),"(belum diisi)")&amp;".")</f>
      </c>
      <c r="E40" s="9"/>
      <c r="F40" s="9"/>
      <c r="G40" s="9"/>
      <c r="H40" s="9"/>
    </row>
    <row r="41" ht="56" customHeight="1" spans="1:8" x14ac:dyDescent="0.25">
      <c r="A41" s="9"/>
      <c r="B41" s="13">
        <f>IFERROR(XLOOKUP(A41,ANALISIS!$A:$A,ANALISIS!$B:$B),"")</f>
      </c>
      <c r="C41" s="13">
        <f>IFERROR(XLOOKUP(A41,ANALISIS!$A:$A,ANALISIS!$L:$L),"")</f>
      </c>
      <c r="D41" s="46">
        <f>IF(A41="","","Pengujian atas kecukupan pengendalian terhadap risiko "&amp;A41&amp;": "&amp;IFERROR(XLOOKUP(A41,ANALISIS!$A:$A,ANALISIS!$B:$B),"")&amp;". Pengendalian eksisting: "&amp;IFERROR(XLOOKUP(A41,ANALISIS!$A:$A,ANALISIS!$J:$J),"(tidak ada)")&amp;". Pengendalian utama: "&amp;IFERROR(XLOOKUP(A41,EVAL_PENG!$B:$B,EVAL_PENG!$E:$E),"(belum ditetapkan)")&amp;". Penyebab terkait: "&amp;IFERROR(TEXTJOIN(", ",TRUE,IF(PENYEBAB!$B$4:$B$153=A41,PENYEBAB!$E$4:$E$153,"")),"(belum diisi)")&amp;".")</f>
      </c>
      <c r="E41" s="9"/>
      <c r="F41" s="9"/>
      <c r="G41" s="9"/>
      <c r="H41" s="9"/>
    </row>
    <row r="42" ht="56" customHeight="1" spans="1:8" x14ac:dyDescent="0.25">
      <c r="A42" s="9"/>
      <c r="B42" s="13">
        <f>IFERROR(XLOOKUP(A42,ANALISIS!$A:$A,ANALISIS!$B:$B),"")</f>
      </c>
      <c r="C42" s="13">
        <f>IFERROR(XLOOKUP(A42,ANALISIS!$A:$A,ANALISIS!$L:$L),"")</f>
      </c>
      <c r="D42" s="46">
        <f>IF(A42="","","Pengujian atas kecukupan pengendalian terhadap risiko "&amp;A42&amp;": "&amp;IFERROR(XLOOKUP(A42,ANALISIS!$A:$A,ANALISIS!$B:$B),"")&amp;". Pengendalian eksisting: "&amp;IFERROR(XLOOKUP(A42,ANALISIS!$A:$A,ANALISIS!$J:$J),"(tidak ada)")&amp;". Pengendalian utama: "&amp;IFERROR(XLOOKUP(A42,EVAL_PENG!$B:$B,EVAL_PENG!$E:$E),"(belum ditetapkan)")&amp;". Penyebab terkait: "&amp;IFERROR(TEXTJOIN(", ",TRUE,IF(PENYEBAB!$B$4:$B$153=A42,PENYEBAB!$E$4:$E$153,"")),"(belum diisi)")&amp;".")</f>
      </c>
      <c r="E42" s="9"/>
      <c r="F42" s="9"/>
      <c r="G42" s="9"/>
      <c r="H42" s="9"/>
    </row>
    <row r="43" ht="56" customHeight="1" spans="1:8" x14ac:dyDescent="0.25">
      <c r="A43" s="9"/>
      <c r="B43" s="13">
        <f>IFERROR(XLOOKUP(A43,ANALISIS!$A:$A,ANALISIS!$B:$B),"")</f>
      </c>
      <c r="C43" s="13">
        <f>IFERROR(XLOOKUP(A43,ANALISIS!$A:$A,ANALISIS!$L:$L),"")</f>
      </c>
      <c r="D43" s="46">
        <f>IF(A43="","","Pengujian atas kecukupan pengendalian terhadap risiko "&amp;A43&amp;": "&amp;IFERROR(XLOOKUP(A43,ANALISIS!$A:$A,ANALISIS!$B:$B),"")&amp;". Pengendalian eksisting: "&amp;IFERROR(XLOOKUP(A43,ANALISIS!$A:$A,ANALISIS!$J:$J),"(tidak ada)")&amp;". Pengendalian utama: "&amp;IFERROR(XLOOKUP(A43,EVAL_PENG!$B:$B,EVAL_PENG!$E:$E),"(belum ditetapkan)")&amp;". Penyebab terkait: "&amp;IFERROR(TEXTJOIN(", ",TRUE,IF(PENYEBAB!$B$4:$B$153=A43,PENYEBAB!$E$4:$E$153,"")),"(belum diisi)")&amp;".")</f>
      </c>
      <c r="E43" s="9"/>
      <c r="F43" s="9"/>
      <c r="G43" s="9"/>
      <c r="H43" s="9"/>
    </row>
    <row r="44" ht="56" customHeight="1" spans="1:8" x14ac:dyDescent="0.25">
      <c r="A44" s="9"/>
      <c r="B44" s="13">
        <f>IFERROR(XLOOKUP(A44,ANALISIS!$A:$A,ANALISIS!$B:$B),"")</f>
      </c>
      <c r="C44" s="13">
        <f>IFERROR(XLOOKUP(A44,ANALISIS!$A:$A,ANALISIS!$L:$L),"")</f>
      </c>
      <c r="D44" s="46">
        <f>IF(A44="","","Pengujian atas kecukupan pengendalian terhadap risiko "&amp;A44&amp;": "&amp;IFERROR(XLOOKUP(A44,ANALISIS!$A:$A,ANALISIS!$B:$B),"")&amp;". Pengendalian eksisting: "&amp;IFERROR(XLOOKUP(A44,ANALISIS!$A:$A,ANALISIS!$J:$J),"(tidak ada)")&amp;". Pengendalian utama: "&amp;IFERROR(XLOOKUP(A44,EVAL_PENG!$B:$B,EVAL_PENG!$E:$E),"(belum ditetapkan)")&amp;". Penyebab terkait: "&amp;IFERROR(TEXTJOIN(", ",TRUE,IF(PENYEBAB!$B$4:$B$153=A44,PENYEBAB!$E$4:$E$153,"")),"(belum diisi)")&amp;".")</f>
      </c>
      <c r="E44" s="9"/>
      <c r="F44" s="9"/>
      <c r="G44" s="9"/>
      <c r="H44" s="9"/>
    </row>
    <row r="45" ht="56" customHeight="1" spans="1:8" x14ac:dyDescent="0.25">
      <c r="A45" s="9"/>
      <c r="B45" s="13">
        <f>IFERROR(XLOOKUP(A45,ANALISIS!$A:$A,ANALISIS!$B:$B),"")</f>
      </c>
      <c r="C45" s="13">
        <f>IFERROR(XLOOKUP(A45,ANALISIS!$A:$A,ANALISIS!$L:$L),"")</f>
      </c>
      <c r="D45" s="46">
        <f>IF(A45="","","Pengujian atas kecukupan pengendalian terhadap risiko "&amp;A45&amp;": "&amp;IFERROR(XLOOKUP(A45,ANALISIS!$A:$A,ANALISIS!$B:$B),"")&amp;". Pengendalian eksisting: "&amp;IFERROR(XLOOKUP(A45,ANALISIS!$A:$A,ANALISIS!$J:$J),"(tidak ada)")&amp;". Pengendalian utama: "&amp;IFERROR(XLOOKUP(A45,EVAL_PENG!$B:$B,EVAL_PENG!$E:$E),"(belum ditetapkan)")&amp;". Penyebab terkait: "&amp;IFERROR(TEXTJOIN(", ",TRUE,IF(PENYEBAB!$B$4:$B$153=A45,PENYEBAB!$E$4:$E$153,"")),"(belum diisi)")&amp;".")</f>
      </c>
      <c r="E45" s="9"/>
      <c r="F45" s="9"/>
      <c r="G45" s="9"/>
      <c r="H45" s="9"/>
    </row>
    <row r="46" ht="56" customHeight="1" spans="1:8" x14ac:dyDescent="0.25">
      <c r="A46" s="9"/>
      <c r="B46" s="13">
        <f>IFERROR(XLOOKUP(A46,ANALISIS!$A:$A,ANALISIS!$B:$B),"")</f>
      </c>
      <c r="C46" s="13">
        <f>IFERROR(XLOOKUP(A46,ANALISIS!$A:$A,ANALISIS!$L:$L),"")</f>
      </c>
      <c r="D46" s="46">
        <f>IF(A46="","","Pengujian atas kecukupan pengendalian terhadap risiko "&amp;A46&amp;": "&amp;IFERROR(XLOOKUP(A46,ANALISIS!$A:$A,ANALISIS!$B:$B),"")&amp;". Pengendalian eksisting: "&amp;IFERROR(XLOOKUP(A46,ANALISIS!$A:$A,ANALISIS!$J:$J),"(tidak ada)")&amp;". Pengendalian utama: "&amp;IFERROR(XLOOKUP(A46,EVAL_PENG!$B:$B,EVAL_PENG!$E:$E),"(belum ditetapkan)")&amp;". Penyebab terkait: "&amp;IFERROR(TEXTJOIN(", ",TRUE,IF(PENYEBAB!$B$4:$B$153=A46,PENYEBAB!$E$4:$E$153,"")),"(belum diisi)")&amp;".")</f>
      </c>
      <c r="E46" s="9"/>
      <c r="F46" s="9"/>
      <c r="G46" s="9"/>
      <c r="H46" s="9"/>
    </row>
    <row r="47" ht="56" customHeight="1" spans="1:8" x14ac:dyDescent="0.25">
      <c r="A47" s="9"/>
      <c r="B47" s="13">
        <f>IFERROR(XLOOKUP(A47,ANALISIS!$A:$A,ANALISIS!$B:$B),"")</f>
      </c>
      <c r="C47" s="13">
        <f>IFERROR(XLOOKUP(A47,ANALISIS!$A:$A,ANALISIS!$L:$L),"")</f>
      </c>
      <c r="D47" s="46">
        <f>IF(A47="","","Pengujian atas kecukupan pengendalian terhadap risiko "&amp;A47&amp;": "&amp;IFERROR(XLOOKUP(A47,ANALISIS!$A:$A,ANALISIS!$B:$B),"")&amp;". Pengendalian eksisting: "&amp;IFERROR(XLOOKUP(A47,ANALISIS!$A:$A,ANALISIS!$J:$J),"(tidak ada)")&amp;". Pengendalian utama: "&amp;IFERROR(XLOOKUP(A47,EVAL_PENG!$B:$B,EVAL_PENG!$E:$E),"(belum ditetapkan)")&amp;". Penyebab terkait: "&amp;IFERROR(TEXTJOIN(", ",TRUE,IF(PENYEBAB!$B$4:$B$153=A47,PENYEBAB!$E$4:$E$153,"")),"(belum diisi)")&amp;".")</f>
      </c>
      <c r="E47" s="9"/>
      <c r="F47" s="9"/>
      <c r="G47" s="9"/>
      <c r="H47" s="9"/>
    </row>
    <row r="48" ht="56" customHeight="1" spans="1:8" x14ac:dyDescent="0.25">
      <c r="A48" s="9"/>
      <c r="B48" s="13">
        <f>IFERROR(XLOOKUP(A48,ANALISIS!$A:$A,ANALISIS!$B:$B),"")</f>
      </c>
      <c r="C48" s="13">
        <f>IFERROR(XLOOKUP(A48,ANALISIS!$A:$A,ANALISIS!$L:$L),"")</f>
      </c>
      <c r="D48" s="46">
        <f>IF(A48="","","Pengujian atas kecukupan pengendalian terhadap risiko "&amp;A48&amp;": "&amp;IFERROR(XLOOKUP(A48,ANALISIS!$A:$A,ANALISIS!$B:$B),"")&amp;". Pengendalian eksisting: "&amp;IFERROR(XLOOKUP(A48,ANALISIS!$A:$A,ANALISIS!$J:$J),"(tidak ada)")&amp;". Pengendalian utama: "&amp;IFERROR(XLOOKUP(A48,EVAL_PENG!$B:$B,EVAL_PENG!$E:$E),"(belum ditetapkan)")&amp;". Penyebab terkait: "&amp;IFERROR(TEXTJOIN(", ",TRUE,IF(PENYEBAB!$B$4:$B$153=A48,PENYEBAB!$E$4:$E$153,"")),"(belum diisi)")&amp;".")</f>
      </c>
      <c r="E48" s="9"/>
      <c r="F48" s="9"/>
      <c r="G48" s="9"/>
      <c r="H48" s="9"/>
    </row>
    <row r="49" ht="56" customHeight="1" spans="1:8" x14ac:dyDescent="0.25">
      <c r="A49" s="9"/>
      <c r="B49" s="13">
        <f>IFERROR(XLOOKUP(A49,ANALISIS!$A:$A,ANALISIS!$B:$B),"")</f>
      </c>
      <c r="C49" s="13">
        <f>IFERROR(XLOOKUP(A49,ANALISIS!$A:$A,ANALISIS!$L:$L),"")</f>
      </c>
      <c r="D49" s="46">
        <f>IF(A49="","","Pengujian atas kecukupan pengendalian terhadap risiko "&amp;A49&amp;": "&amp;IFERROR(XLOOKUP(A49,ANALISIS!$A:$A,ANALISIS!$B:$B),"")&amp;". Pengendalian eksisting: "&amp;IFERROR(XLOOKUP(A49,ANALISIS!$A:$A,ANALISIS!$J:$J),"(tidak ada)")&amp;". Pengendalian utama: "&amp;IFERROR(XLOOKUP(A49,EVAL_PENG!$B:$B,EVAL_PENG!$E:$E),"(belum ditetapkan)")&amp;". Penyebab terkait: "&amp;IFERROR(TEXTJOIN(", ",TRUE,IF(PENYEBAB!$B$4:$B$153=A49,PENYEBAB!$E$4:$E$153,"")),"(belum diisi)")&amp;".")</f>
      </c>
      <c r="E49" s="9"/>
      <c r="F49" s="9"/>
      <c r="G49" s="9"/>
      <c r="H49" s="9"/>
    </row>
    <row r="50" ht="56" customHeight="1" spans="1:8" x14ac:dyDescent="0.25">
      <c r="A50" s="9"/>
      <c r="B50" s="13">
        <f>IFERROR(XLOOKUP(A50,ANALISIS!$A:$A,ANALISIS!$B:$B),"")</f>
      </c>
      <c r="C50" s="13">
        <f>IFERROR(XLOOKUP(A50,ANALISIS!$A:$A,ANALISIS!$L:$L),"")</f>
      </c>
      <c r="D50" s="46">
        <f>IF(A50="","","Pengujian atas kecukupan pengendalian terhadap risiko "&amp;A50&amp;": "&amp;IFERROR(XLOOKUP(A50,ANALISIS!$A:$A,ANALISIS!$B:$B),"")&amp;". Pengendalian eksisting: "&amp;IFERROR(XLOOKUP(A50,ANALISIS!$A:$A,ANALISIS!$J:$J),"(tidak ada)")&amp;". Pengendalian utama: "&amp;IFERROR(XLOOKUP(A50,EVAL_PENG!$B:$B,EVAL_PENG!$E:$E),"(belum ditetapkan)")&amp;". Penyebab terkait: "&amp;IFERROR(TEXTJOIN(", ",TRUE,IF(PENYEBAB!$B$4:$B$153=A50,PENYEBAB!$E$4:$E$153,"")),"(belum diisi)")&amp;".")</f>
      </c>
      <c r="E50" s="9"/>
      <c r="F50" s="9"/>
      <c r="G50" s="9"/>
      <c r="H50" s="9"/>
    </row>
    <row r="51" ht="56" customHeight="1" spans="1:8" x14ac:dyDescent="0.25">
      <c r="A51" s="9"/>
      <c r="B51" s="13">
        <f>IFERROR(XLOOKUP(A51,ANALISIS!$A:$A,ANALISIS!$B:$B),"")</f>
      </c>
      <c r="C51" s="13">
        <f>IFERROR(XLOOKUP(A51,ANALISIS!$A:$A,ANALISIS!$L:$L),"")</f>
      </c>
      <c r="D51" s="46">
        <f>IF(A51="","","Pengujian atas kecukupan pengendalian terhadap risiko "&amp;A51&amp;": "&amp;IFERROR(XLOOKUP(A51,ANALISIS!$A:$A,ANALISIS!$B:$B),"")&amp;". Pengendalian eksisting: "&amp;IFERROR(XLOOKUP(A51,ANALISIS!$A:$A,ANALISIS!$J:$J),"(tidak ada)")&amp;". Pengendalian utama: "&amp;IFERROR(XLOOKUP(A51,EVAL_PENG!$B:$B,EVAL_PENG!$E:$E),"(belum ditetapkan)")&amp;". Penyebab terkait: "&amp;IFERROR(TEXTJOIN(", ",TRUE,IF(PENYEBAB!$B$4:$B$153=A51,PENYEBAB!$E$4:$E$153,"")),"(belum diisi)")&amp;".")</f>
      </c>
      <c r="E51" s="9"/>
      <c r="F51" s="9"/>
      <c r="G51" s="9"/>
      <c r="H51" s="9"/>
    </row>
    <row r="52" ht="56" customHeight="1" spans="1:8" x14ac:dyDescent="0.25">
      <c r="A52" s="9"/>
      <c r="B52" s="13">
        <f>IFERROR(XLOOKUP(A52,ANALISIS!$A:$A,ANALISIS!$B:$B),"")</f>
      </c>
      <c r="C52" s="13">
        <f>IFERROR(XLOOKUP(A52,ANALISIS!$A:$A,ANALISIS!$L:$L),"")</f>
      </c>
      <c r="D52" s="46">
        <f>IF(A52="","","Pengujian atas kecukupan pengendalian terhadap risiko "&amp;A52&amp;": "&amp;IFERROR(XLOOKUP(A52,ANALISIS!$A:$A,ANALISIS!$B:$B),"")&amp;". Pengendalian eksisting: "&amp;IFERROR(XLOOKUP(A52,ANALISIS!$A:$A,ANALISIS!$J:$J),"(tidak ada)")&amp;". Pengendalian utama: "&amp;IFERROR(XLOOKUP(A52,EVAL_PENG!$B:$B,EVAL_PENG!$E:$E),"(belum ditetapkan)")&amp;". Penyebab terkait: "&amp;IFERROR(TEXTJOIN(", ",TRUE,IF(PENYEBAB!$B$4:$B$153=A52,PENYEBAB!$E$4:$E$153,"")),"(belum diisi)")&amp;".")</f>
      </c>
      <c r="E52" s="9"/>
      <c r="F52" s="9"/>
      <c r="G52" s="9"/>
      <c r="H52" s="9"/>
    </row>
    <row r="53" ht="56" customHeight="1" spans="1:8" x14ac:dyDescent="0.25">
      <c r="A53" s="9"/>
      <c r="B53" s="13">
        <f>IFERROR(XLOOKUP(A53,ANALISIS!$A:$A,ANALISIS!$B:$B),"")</f>
      </c>
      <c r="C53" s="13">
        <f>IFERROR(XLOOKUP(A53,ANALISIS!$A:$A,ANALISIS!$L:$L),"")</f>
      </c>
      <c r="D53" s="46">
        <f>IF(A53="","","Pengujian atas kecukupan pengendalian terhadap risiko "&amp;A53&amp;": "&amp;IFERROR(XLOOKUP(A53,ANALISIS!$A:$A,ANALISIS!$B:$B),"")&amp;". Pengendalian eksisting: "&amp;IFERROR(XLOOKUP(A53,ANALISIS!$A:$A,ANALISIS!$J:$J),"(tidak ada)")&amp;". Pengendalian utama: "&amp;IFERROR(XLOOKUP(A53,EVAL_PENG!$B:$B,EVAL_PENG!$E:$E),"(belum ditetapkan)")&amp;". Penyebab terkait: "&amp;IFERROR(TEXTJOIN(", ",TRUE,IF(PENYEBAB!$B$4:$B$153=A53,PENYEBAB!$E$4:$E$153,"")),"(belum diisi)")&amp;".")</f>
      </c>
      <c r="E53" s="9"/>
      <c r="F53" s="9"/>
      <c r="G53" s="9"/>
      <c r="H53" s="9"/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18" customWidth="1"/>
    <col min="3" max="4" width="36" customWidth="1"/>
    <col min="5" max="5" width="30" customWidth="1"/>
    <col min="6" max="6" width="40" customWidth="1"/>
    <col min="7" max="7" width="28" customWidth="1"/>
    <col min="8" max="8" width="36" customWidth="1"/>
    <col min="9" max="11" width="16" customWidth="1"/>
    <col min="12" max="13" width="12" customWidth="1"/>
    <col min="14" max="14" width="16" customWidth="1"/>
    <col min="15" max="15" width="24" customWidth="1"/>
  </cols>
  <sheetData>
    <row r="1" ht="28" customHeight="1" spans="1:15" x14ac:dyDescent="0.25">
      <c r="A1" s="47" t="s">
        <v>361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ht="30" customHeight="1" spans="1:15" x14ac:dyDescent="0.25">
      <c r="A2" s="48" t="s">
        <v>362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ht="44" customHeight="1" spans="1:15" x14ac:dyDescent="0.25">
      <c r="A3" s="49" t="s">
        <v>363</v>
      </c>
      <c r="B3" s="49" t="s">
        <v>283</v>
      </c>
      <c r="C3" s="49" t="s">
        <v>287</v>
      </c>
      <c r="D3" s="49" t="s">
        <v>302</v>
      </c>
      <c r="E3" s="49" t="s">
        <v>364</v>
      </c>
      <c r="F3" s="49" t="s">
        <v>61</v>
      </c>
      <c r="G3" s="49" t="s">
        <v>365</v>
      </c>
      <c r="H3" s="49" t="s">
        <v>366</v>
      </c>
      <c r="I3" s="49" t="s">
        <v>367</v>
      </c>
      <c r="J3" s="49" t="s">
        <v>368</v>
      </c>
      <c r="K3" s="49" t="s">
        <v>369</v>
      </c>
      <c r="L3" s="49" t="s">
        <v>370</v>
      </c>
      <c r="M3" s="49" t="s">
        <v>371</v>
      </c>
      <c r="N3" s="49" t="s">
        <v>372</v>
      </c>
      <c r="O3" s="49" t="s">
        <v>360</v>
      </c>
    </row>
    <row r="4" ht="24" customHeight="1" spans="1:15" x14ac:dyDescent="0.25">
      <c r="A4" s="9"/>
      <c r="B4" s="13">
        <f>IFERROR(XLOOKUP(A4,PENYEBAB!$E:$E,PENYEBAB!$B:$B),"")</f>
      </c>
      <c r="C4" s="13">
        <f>IFERROR(XLOOKUP(A4,PENYEBAB!$E:$E,PENYEBAB!$C:$C),"")</f>
      </c>
      <c r="D4" s="13">
        <f>IFERROR(XLOOKUP(A4,PENYEBAB!$E:$E,PENYEBAB!$K:$K),"")</f>
      </c>
      <c r="E4" s="13">
        <f>IFERROR(XLOOKUP(A4,PENYEBAB!$E:$E,PENYEBAB!$L:$L),"")</f>
      </c>
      <c r="F4" s="9"/>
      <c r="G4" s="9"/>
      <c r="H4" s="9"/>
      <c r="I4" s="9"/>
      <c r="J4" s="9"/>
      <c r="K4" s="9"/>
      <c r="L4" s="13">
        <f>IF(AND(J4&lt;&gt;"",K4&lt;&gt;""),J4*K4,"")</f>
      </c>
      <c r="M4" s="13">
        <f>IF(L4="","",IFS(L4&gt;=20,5,L4&gt;=16,4,L4&gt;=11,3,L4&gt;=6,2,L4&gt;0,1,TRUE,""))</f>
      </c>
      <c r="N4" s="13">
        <f>IFERROR(INDEX({"","Sangat Rendah","Rendah","Sedang","Tinggi","Sangat Tinggi"},M4+1),"")</f>
      </c>
      <c r="O4" s="9"/>
    </row>
    <row r="5" ht="24" customHeight="1" spans="1:15" x14ac:dyDescent="0.25">
      <c r="A5" s="9"/>
      <c r="B5" s="13">
        <f>IFERROR(XLOOKUP(A5,PENYEBAB!$E:$E,PENYEBAB!$B:$B),"")</f>
      </c>
      <c r="C5" s="13">
        <f>IFERROR(XLOOKUP(A5,PENYEBAB!$E:$E,PENYEBAB!$C:$C),"")</f>
      </c>
      <c r="D5" s="13">
        <f>IFERROR(XLOOKUP(A5,PENYEBAB!$E:$E,PENYEBAB!$K:$K),"")</f>
      </c>
      <c r="E5" s="13">
        <f>IFERROR(XLOOKUP(A5,PENYEBAB!$E:$E,PENYEBAB!$L:$L),"")</f>
      </c>
      <c r="F5" s="9"/>
      <c r="G5" s="9"/>
      <c r="H5" s="9"/>
      <c r="I5" s="9"/>
      <c r="J5" s="9"/>
      <c r="K5" s="9"/>
      <c r="L5" s="13">
        <f>IF(AND(J5&lt;&gt;"",K5&lt;&gt;""),J5*K5,"")</f>
      </c>
      <c r="M5" s="13">
        <f>IF(L5="","",IFS(L5&gt;=20,5,L5&gt;=16,4,L5&gt;=11,3,L5&gt;=6,2,L5&gt;0,1,TRUE,""))</f>
      </c>
      <c r="N5" s="13">
        <f>IFERROR(INDEX({"","Sangat Rendah","Rendah","Sedang","Tinggi","Sangat Tinggi"},M5+1),"")</f>
      </c>
      <c r="O5" s="9"/>
    </row>
    <row r="6" ht="24" customHeight="1" spans="1:15" x14ac:dyDescent="0.25">
      <c r="A6" s="9"/>
      <c r="B6" s="13">
        <f>IFERROR(XLOOKUP(A6,PENYEBAB!$E:$E,PENYEBAB!$B:$B),"")</f>
      </c>
      <c r="C6" s="13">
        <f>IFERROR(XLOOKUP(A6,PENYEBAB!$E:$E,PENYEBAB!$C:$C),"")</f>
      </c>
      <c r="D6" s="13">
        <f>IFERROR(XLOOKUP(A6,PENYEBAB!$E:$E,PENYEBAB!$K:$K),"")</f>
      </c>
      <c r="E6" s="13">
        <f>IFERROR(XLOOKUP(A6,PENYEBAB!$E:$E,PENYEBAB!$L:$L),"")</f>
      </c>
      <c r="F6" s="9"/>
      <c r="G6" s="9"/>
      <c r="H6" s="9"/>
      <c r="I6" s="9"/>
      <c r="J6" s="9"/>
      <c r="K6" s="9"/>
      <c r="L6" s="13">
        <f>IF(AND(J6&lt;&gt;"",K6&lt;&gt;""),J6*K6,"")</f>
      </c>
      <c r="M6" s="13">
        <f>IF(L6="","",IFS(L6&gt;=20,5,L6&gt;=16,4,L6&gt;=11,3,L6&gt;=6,2,L6&gt;0,1,TRUE,""))</f>
      </c>
      <c r="N6" s="13">
        <f>IFERROR(INDEX({"","Sangat Rendah","Rendah","Sedang","Tinggi","Sangat Tinggi"},M6+1),"")</f>
      </c>
      <c r="O6" s="9"/>
    </row>
    <row r="7" ht="24" customHeight="1" spans="1:15" x14ac:dyDescent="0.25">
      <c r="A7" s="9"/>
      <c r="B7" s="13">
        <f>IFERROR(XLOOKUP(A7,PENYEBAB!$E:$E,PENYEBAB!$B:$B),"")</f>
      </c>
      <c r="C7" s="13">
        <f>IFERROR(XLOOKUP(A7,PENYEBAB!$E:$E,PENYEBAB!$C:$C),"")</f>
      </c>
      <c r="D7" s="13">
        <f>IFERROR(XLOOKUP(A7,PENYEBAB!$E:$E,PENYEBAB!$K:$K),"")</f>
      </c>
      <c r="E7" s="13">
        <f>IFERROR(XLOOKUP(A7,PENYEBAB!$E:$E,PENYEBAB!$L:$L),"")</f>
      </c>
      <c r="F7" s="9"/>
      <c r="G7" s="9"/>
      <c r="H7" s="9"/>
      <c r="I7" s="9"/>
      <c r="J7" s="9"/>
      <c r="K7" s="9"/>
      <c r="L7" s="13">
        <f>IF(AND(J7&lt;&gt;"",K7&lt;&gt;""),J7*K7,"")</f>
      </c>
      <c r="M7" s="13">
        <f>IF(L7="","",IFS(L7&gt;=20,5,L7&gt;=16,4,L7&gt;=11,3,L7&gt;=6,2,L7&gt;0,1,TRUE,""))</f>
      </c>
      <c r="N7" s="13">
        <f>IFERROR(INDEX({"","Sangat Rendah","Rendah","Sedang","Tinggi","Sangat Tinggi"},M7+1),"")</f>
      </c>
      <c r="O7" s="9"/>
    </row>
    <row r="8" ht="24" customHeight="1" spans="1:15" x14ac:dyDescent="0.25">
      <c r="A8" s="9"/>
      <c r="B8" s="13">
        <f>IFERROR(XLOOKUP(A8,PENYEBAB!$E:$E,PENYEBAB!$B:$B),"")</f>
      </c>
      <c r="C8" s="13">
        <f>IFERROR(XLOOKUP(A8,PENYEBAB!$E:$E,PENYEBAB!$C:$C),"")</f>
      </c>
      <c r="D8" s="13">
        <f>IFERROR(XLOOKUP(A8,PENYEBAB!$E:$E,PENYEBAB!$K:$K),"")</f>
      </c>
      <c r="E8" s="13">
        <f>IFERROR(XLOOKUP(A8,PENYEBAB!$E:$E,PENYEBAB!$L:$L),"")</f>
      </c>
      <c r="F8" s="9"/>
      <c r="G8" s="9"/>
      <c r="H8" s="9"/>
      <c r="I8" s="9"/>
      <c r="J8" s="9"/>
      <c r="K8" s="9"/>
      <c r="L8" s="13">
        <f>IF(AND(J8&lt;&gt;"",K8&lt;&gt;""),J8*K8,"")</f>
      </c>
      <c r="M8" s="13">
        <f>IF(L8="","",IFS(L8&gt;=20,5,L8&gt;=16,4,L8&gt;=11,3,L8&gt;=6,2,L8&gt;0,1,TRUE,""))</f>
      </c>
      <c r="N8" s="13">
        <f>IFERROR(INDEX({"","Sangat Rendah","Rendah","Sedang","Tinggi","Sangat Tinggi"},M8+1),"")</f>
      </c>
      <c r="O8" s="9"/>
    </row>
    <row r="9" ht="24" customHeight="1" spans="1:15" x14ac:dyDescent="0.25">
      <c r="A9" s="9"/>
      <c r="B9" s="13">
        <f>IFERROR(XLOOKUP(A9,PENYEBAB!$E:$E,PENYEBAB!$B:$B),"")</f>
      </c>
      <c r="C9" s="13">
        <f>IFERROR(XLOOKUP(A9,PENYEBAB!$E:$E,PENYEBAB!$C:$C),"")</f>
      </c>
      <c r="D9" s="13">
        <f>IFERROR(XLOOKUP(A9,PENYEBAB!$E:$E,PENYEBAB!$K:$K),"")</f>
      </c>
      <c r="E9" s="13">
        <f>IFERROR(XLOOKUP(A9,PENYEBAB!$E:$E,PENYEBAB!$L:$L),"")</f>
      </c>
      <c r="F9" s="9"/>
      <c r="G9" s="9"/>
      <c r="H9" s="9"/>
      <c r="I9" s="9"/>
      <c r="J9" s="9"/>
      <c r="K9" s="9"/>
      <c r="L9" s="13">
        <f>IF(AND(J9&lt;&gt;"",K9&lt;&gt;""),J9*K9,"")</f>
      </c>
      <c r="M9" s="13">
        <f>IF(L9="","",IFS(L9&gt;=20,5,L9&gt;=16,4,L9&gt;=11,3,L9&gt;=6,2,L9&gt;0,1,TRUE,""))</f>
      </c>
      <c r="N9" s="13">
        <f>IFERROR(INDEX({"","Sangat Rendah","Rendah","Sedang","Tinggi","Sangat Tinggi"},M9+1),"")</f>
      </c>
      <c r="O9" s="9"/>
    </row>
    <row r="10" ht="24" customHeight="1" spans="1:15" x14ac:dyDescent="0.25">
      <c r="A10" s="9"/>
      <c r="B10" s="13">
        <f>IFERROR(XLOOKUP(A10,PENYEBAB!$E:$E,PENYEBAB!$B:$B),"")</f>
      </c>
      <c r="C10" s="13">
        <f>IFERROR(XLOOKUP(A10,PENYEBAB!$E:$E,PENYEBAB!$C:$C),"")</f>
      </c>
      <c r="D10" s="13">
        <f>IFERROR(XLOOKUP(A10,PENYEBAB!$E:$E,PENYEBAB!$K:$K),"")</f>
      </c>
      <c r="E10" s="13">
        <f>IFERROR(XLOOKUP(A10,PENYEBAB!$E:$E,PENYEBAB!$L:$L),"")</f>
      </c>
      <c r="F10" s="9"/>
      <c r="G10" s="9"/>
      <c r="H10" s="9"/>
      <c r="I10" s="9"/>
      <c r="J10" s="9"/>
      <c r="K10" s="9"/>
      <c r="L10" s="13">
        <f>IF(AND(J10&lt;&gt;"",K10&lt;&gt;""),J10*K10,"")</f>
      </c>
      <c r="M10" s="13">
        <f>IF(L10="","",IFS(L10&gt;=20,5,L10&gt;=16,4,L10&gt;=11,3,L10&gt;=6,2,L10&gt;0,1,TRUE,""))</f>
      </c>
      <c r="N10" s="13">
        <f>IFERROR(INDEX({"","Sangat Rendah","Rendah","Sedang","Tinggi","Sangat Tinggi"},M10+1),"")</f>
      </c>
      <c r="O10" s="9"/>
    </row>
    <row r="11" ht="24" customHeight="1" spans="1:15" x14ac:dyDescent="0.25">
      <c r="A11" s="9"/>
      <c r="B11" s="13">
        <f>IFERROR(XLOOKUP(A11,PENYEBAB!$E:$E,PENYEBAB!$B:$B),"")</f>
      </c>
      <c r="C11" s="13">
        <f>IFERROR(XLOOKUP(A11,PENYEBAB!$E:$E,PENYEBAB!$C:$C),"")</f>
      </c>
      <c r="D11" s="13">
        <f>IFERROR(XLOOKUP(A11,PENYEBAB!$E:$E,PENYEBAB!$K:$K),"")</f>
      </c>
      <c r="E11" s="13">
        <f>IFERROR(XLOOKUP(A11,PENYEBAB!$E:$E,PENYEBAB!$L:$L),"")</f>
      </c>
      <c r="F11" s="9"/>
      <c r="G11" s="9"/>
      <c r="H11" s="9"/>
      <c r="I11" s="9"/>
      <c r="J11" s="9"/>
      <c r="K11" s="9"/>
      <c r="L11" s="13">
        <f>IF(AND(J11&lt;&gt;"",K11&lt;&gt;""),J11*K11,"")</f>
      </c>
      <c r="M11" s="13">
        <f>IF(L11="","",IFS(L11&gt;=20,5,L11&gt;=16,4,L11&gt;=11,3,L11&gt;=6,2,L11&gt;0,1,TRUE,""))</f>
      </c>
      <c r="N11" s="13">
        <f>IFERROR(INDEX({"","Sangat Rendah","Rendah","Sedang","Tinggi","Sangat Tinggi"},M11+1),"")</f>
      </c>
      <c r="O11" s="9"/>
    </row>
    <row r="12" ht="24" customHeight="1" spans="1:15" x14ac:dyDescent="0.25">
      <c r="A12" s="9"/>
      <c r="B12" s="13">
        <f>IFERROR(XLOOKUP(A12,PENYEBAB!$E:$E,PENYEBAB!$B:$B),"")</f>
      </c>
      <c r="C12" s="13">
        <f>IFERROR(XLOOKUP(A12,PENYEBAB!$E:$E,PENYEBAB!$C:$C),"")</f>
      </c>
      <c r="D12" s="13">
        <f>IFERROR(XLOOKUP(A12,PENYEBAB!$E:$E,PENYEBAB!$K:$K),"")</f>
      </c>
      <c r="E12" s="13">
        <f>IFERROR(XLOOKUP(A12,PENYEBAB!$E:$E,PENYEBAB!$L:$L),"")</f>
      </c>
      <c r="F12" s="9"/>
      <c r="G12" s="9"/>
      <c r="H12" s="9"/>
      <c r="I12" s="9"/>
      <c r="J12" s="9"/>
      <c r="K12" s="9"/>
      <c r="L12" s="13">
        <f>IF(AND(J12&lt;&gt;"",K12&lt;&gt;""),J12*K12,"")</f>
      </c>
      <c r="M12" s="13">
        <f>IF(L12="","",IFS(L12&gt;=20,5,L12&gt;=16,4,L12&gt;=11,3,L12&gt;=6,2,L12&gt;0,1,TRUE,""))</f>
      </c>
      <c r="N12" s="13">
        <f>IFERROR(INDEX({"","Sangat Rendah","Rendah","Sedang","Tinggi","Sangat Tinggi"},M12+1),"")</f>
      </c>
      <c r="O12" s="9"/>
    </row>
    <row r="13" ht="24" customHeight="1" spans="1:15" x14ac:dyDescent="0.25">
      <c r="A13" s="9"/>
      <c r="B13" s="13">
        <f>IFERROR(XLOOKUP(A13,PENYEBAB!$E:$E,PENYEBAB!$B:$B),"")</f>
      </c>
      <c r="C13" s="13">
        <f>IFERROR(XLOOKUP(A13,PENYEBAB!$E:$E,PENYEBAB!$C:$C),"")</f>
      </c>
      <c r="D13" s="13">
        <f>IFERROR(XLOOKUP(A13,PENYEBAB!$E:$E,PENYEBAB!$K:$K),"")</f>
      </c>
      <c r="E13" s="13">
        <f>IFERROR(XLOOKUP(A13,PENYEBAB!$E:$E,PENYEBAB!$L:$L),"")</f>
      </c>
      <c r="F13" s="9"/>
      <c r="G13" s="9"/>
      <c r="H13" s="9"/>
      <c r="I13" s="9"/>
      <c r="J13" s="9"/>
      <c r="K13" s="9"/>
      <c r="L13" s="13">
        <f>IF(AND(J13&lt;&gt;"",K13&lt;&gt;""),J13*K13,"")</f>
      </c>
      <c r="M13" s="13">
        <f>IF(L13="","",IFS(L13&gt;=20,5,L13&gt;=16,4,L13&gt;=11,3,L13&gt;=6,2,L13&gt;0,1,TRUE,""))</f>
      </c>
      <c r="N13" s="13">
        <f>IFERROR(INDEX({"","Sangat Rendah","Rendah","Sedang","Tinggi","Sangat Tinggi"},M13+1),"")</f>
      </c>
      <c r="O13" s="9"/>
    </row>
    <row r="14" ht="24" customHeight="1" spans="1:15" x14ac:dyDescent="0.25">
      <c r="A14" s="9"/>
      <c r="B14" s="13">
        <f>IFERROR(XLOOKUP(A14,PENYEBAB!$E:$E,PENYEBAB!$B:$B),"")</f>
      </c>
      <c r="C14" s="13">
        <f>IFERROR(XLOOKUP(A14,PENYEBAB!$E:$E,PENYEBAB!$C:$C),"")</f>
      </c>
      <c r="D14" s="13">
        <f>IFERROR(XLOOKUP(A14,PENYEBAB!$E:$E,PENYEBAB!$K:$K),"")</f>
      </c>
      <c r="E14" s="13">
        <f>IFERROR(XLOOKUP(A14,PENYEBAB!$E:$E,PENYEBAB!$L:$L),"")</f>
      </c>
      <c r="F14" s="9"/>
      <c r="G14" s="9"/>
      <c r="H14" s="9"/>
      <c r="I14" s="9"/>
      <c r="J14" s="9"/>
      <c r="K14" s="9"/>
      <c r="L14" s="13">
        <f>IF(AND(J14&lt;&gt;"",K14&lt;&gt;""),J14*K14,"")</f>
      </c>
      <c r="M14" s="13">
        <f>IF(L14="","",IFS(L14&gt;=20,5,L14&gt;=16,4,L14&gt;=11,3,L14&gt;=6,2,L14&gt;0,1,TRUE,""))</f>
      </c>
      <c r="N14" s="13">
        <f>IFERROR(INDEX({"","Sangat Rendah","Rendah","Sedang","Tinggi","Sangat Tinggi"},M14+1),"")</f>
      </c>
      <c r="O14" s="9"/>
    </row>
    <row r="15" ht="24" customHeight="1" spans="1:15" x14ac:dyDescent="0.25">
      <c r="A15" s="9"/>
      <c r="B15" s="13">
        <f>IFERROR(XLOOKUP(A15,PENYEBAB!$E:$E,PENYEBAB!$B:$B),"")</f>
      </c>
      <c r="C15" s="13">
        <f>IFERROR(XLOOKUP(A15,PENYEBAB!$E:$E,PENYEBAB!$C:$C),"")</f>
      </c>
      <c r="D15" s="13">
        <f>IFERROR(XLOOKUP(A15,PENYEBAB!$E:$E,PENYEBAB!$K:$K),"")</f>
      </c>
      <c r="E15" s="13">
        <f>IFERROR(XLOOKUP(A15,PENYEBAB!$E:$E,PENYEBAB!$L:$L),"")</f>
      </c>
      <c r="F15" s="9"/>
      <c r="G15" s="9"/>
      <c r="H15" s="9"/>
      <c r="I15" s="9"/>
      <c r="J15" s="9"/>
      <c r="K15" s="9"/>
      <c r="L15" s="13">
        <f>IF(AND(J15&lt;&gt;"",K15&lt;&gt;""),J15*K15,"")</f>
      </c>
      <c r="M15" s="13">
        <f>IF(L15="","",IFS(L15&gt;=20,5,L15&gt;=16,4,L15&gt;=11,3,L15&gt;=6,2,L15&gt;0,1,TRUE,""))</f>
      </c>
      <c r="N15" s="13">
        <f>IFERROR(INDEX({"","Sangat Rendah","Rendah","Sedang","Tinggi","Sangat Tinggi"},M15+1),"")</f>
      </c>
      <c r="O15" s="9"/>
    </row>
    <row r="16" ht="24" customHeight="1" spans="1:15" x14ac:dyDescent="0.25">
      <c r="A16" s="9"/>
      <c r="B16" s="13">
        <f>IFERROR(XLOOKUP(A16,PENYEBAB!$E:$E,PENYEBAB!$B:$B),"")</f>
      </c>
      <c r="C16" s="13">
        <f>IFERROR(XLOOKUP(A16,PENYEBAB!$E:$E,PENYEBAB!$C:$C),"")</f>
      </c>
      <c r="D16" s="13">
        <f>IFERROR(XLOOKUP(A16,PENYEBAB!$E:$E,PENYEBAB!$K:$K),"")</f>
      </c>
      <c r="E16" s="13">
        <f>IFERROR(XLOOKUP(A16,PENYEBAB!$E:$E,PENYEBAB!$L:$L),"")</f>
      </c>
      <c r="F16" s="9"/>
      <c r="G16" s="9"/>
      <c r="H16" s="9"/>
      <c r="I16" s="9"/>
      <c r="J16" s="9"/>
      <c r="K16" s="9"/>
      <c r="L16" s="13">
        <f>IF(AND(J16&lt;&gt;"",K16&lt;&gt;""),J16*K16,"")</f>
      </c>
      <c r="M16" s="13">
        <f>IF(L16="","",IFS(L16&gt;=20,5,L16&gt;=16,4,L16&gt;=11,3,L16&gt;=6,2,L16&gt;0,1,TRUE,""))</f>
      </c>
      <c r="N16" s="13">
        <f>IFERROR(INDEX({"","Sangat Rendah","Rendah","Sedang","Tinggi","Sangat Tinggi"},M16+1),"")</f>
      </c>
      <c r="O16" s="9"/>
    </row>
    <row r="17" ht="24" customHeight="1" spans="1:15" x14ac:dyDescent="0.25">
      <c r="A17" s="9"/>
      <c r="B17" s="13">
        <f>IFERROR(XLOOKUP(A17,PENYEBAB!$E:$E,PENYEBAB!$B:$B),"")</f>
      </c>
      <c r="C17" s="13">
        <f>IFERROR(XLOOKUP(A17,PENYEBAB!$E:$E,PENYEBAB!$C:$C),"")</f>
      </c>
      <c r="D17" s="13">
        <f>IFERROR(XLOOKUP(A17,PENYEBAB!$E:$E,PENYEBAB!$K:$K),"")</f>
      </c>
      <c r="E17" s="13">
        <f>IFERROR(XLOOKUP(A17,PENYEBAB!$E:$E,PENYEBAB!$L:$L),"")</f>
      </c>
      <c r="F17" s="9"/>
      <c r="G17" s="9"/>
      <c r="H17" s="9"/>
      <c r="I17" s="9"/>
      <c r="J17" s="9"/>
      <c r="K17" s="9"/>
      <c r="L17" s="13">
        <f>IF(AND(J17&lt;&gt;"",K17&lt;&gt;""),J17*K17,"")</f>
      </c>
      <c r="M17" s="13">
        <f>IF(L17="","",IFS(L17&gt;=20,5,L17&gt;=16,4,L17&gt;=11,3,L17&gt;=6,2,L17&gt;0,1,TRUE,""))</f>
      </c>
      <c r="N17" s="13">
        <f>IFERROR(INDEX({"","Sangat Rendah","Rendah","Sedang","Tinggi","Sangat Tinggi"},M17+1),"")</f>
      </c>
      <c r="O17" s="9"/>
    </row>
    <row r="18" ht="24" customHeight="1" spans="1:15" x14ac:dyDescent="0.25">
      <c r="A18" s="9"/>
      <c r="B18" s="13">
        <f>IFERROR(XLOOKUP(A18,PENYEBAB!$E:$E,PENYEBAB!$B:$B),"")</f>
      </c>
      <c r="C18" s="13">
        <f>IFERROR(XLOOKUP(A18,PENYEBAB!$E:$E,PENYEBAB!$C:$C),"")</f>
      </c>
      <c r="D18" s="13">
        <f>IFERROR(XLOOKUP(A18,PENYEBAB!$E:$E,PENYEBAB!$K:$K),"")</f>
      </c>
      <c r="E18" s="13">
        <f>IFERROR(XLOOKUP(A18,PENYEBAB!$E:$E,PENYEBAB!$L:$L),"")</f>
      </c>
      <c r="F18" s="9"/>
      <c r="G18" s="9"/>
      <c r="H18" s="9"/>
      <c r="I18" s="9"/>
      <c r="J18" s="9"/>
      <c r="K18" s="9"/>
      <c r="L18" s="13">
        <f>IF(AND(J18&lt;&gt;"",K18&lt;&gt;""),J18*K18,"")</f>
      </c>
      <c r="M18" s="13">
        <f>IF(L18="","",IFS(L18&gt;=20,5,L18&gt;=16,4,L18&gt;=11,3,L18&gt;=6,2,L18&gt;0,1,TRUE,""))</f>
      </c>
      <c r="N18" s="13">
        <f>IFERROR(INDEX({"","Sangat Rendah","Rendah","Sedang","Tinggi","Sangat Tinggi"},M18+1),"")</f>
      </c>
      <c r="O18" s="9"/>
    </row>
    <row r="19" ht="24" customHeight="1" spans="1:15" x14ac:dyDescent="0.25">
      <c r="A19" s="9"/>
      <c r="B19" s="13">
        <f>IFERROR(XLOOKUP(A19,PENYEBAB!$E:$E,PENYEBAB!$B:$B),"")</f>
      </c>
      <c r="C19" s="13">
        <f>IFERROR(XLOOKUP(A19,PENYEBAB!$E:$E,PENYEBAB!$C:$C),"")</f>
      </c>
      <c r="D19" s="13">
        <f>IFERROR(XLOOKUP(A19,PENYEBAB!$E:$E,PENYEBAB!$K:$K),"")</f>
      </c>
      <c r="E19" s="13">
        <f>IFERROR(XLOOKUP(A19,PENYEBAB!$E:$E,PENYEBAB!$L:$L),"")</f>
      </c>
      <c r="F19" s="9"/>
      <c r="G19" s="9"/>
      <c r="H19" s="9"/>
      <c r="I19" s="9"/>
      <c r="J19" s="9"/>
      <c r="K19" s="9"/>
      <c r="L19" s="13">
        <f>IF(AND(J19&lt;&gt;"",K19&lt;&gt;""),J19*K19,"")</f>
      </c>
      <c r="M19" s="13">
        <f>IF(L19="","",IFS(L19&gt;=20,5,L19&gt;=16,4,L19&gt;=11,3,L19&gt;=6,2,L19&gt;0,1,TRUE,""))</f>
      </c>
      <c r="N19" s="13">
        <f>IFERROR(INDEX({"","Sangat Rendah","Rendah","Sedang","Tinggi","Sangat Tinggi"},M19+1),"")</f>
      </c>
      <c r="O19" s="9"/>
    </row>
    <row r="20" ht="24" customHeight="1" spans="1:15" x14ac:dyDescent="0.25">
      <c r="A20" s="9"/>
      <c r="B20" s="13">
        <f>IFERROR(XLOOKUP(A20,PENYEBAB!$E:$E,PENYEBAB!$B:$B),"")</f>
      </c>
      <c r="C20" s="13">
        <f>IFERROR(XLOOKUP(A20,PENYEBAB!$E:$E,PENYEBAB!$C:$C),"")</f>
      </c>
      <c r="D20" s="13">
        <f>IFERROR(XLOOKUP(A20,PENYEBAB!$E:$E,PENYEBAB!$K:$K),"")</f>
      </c>
      <c r="E20" s="13">
        <f>IFERROR(XLOOKUP(A20,PENYEBAB!$E:$E,PENYEBAB!$L:$L),"")</f>
      </c>
      <c r="F20" s="9"/>
      <c r="G20" s="9"/>
      <c r="H20" s="9"/>
      <c r="I20" s="9"/>
      <c r="J20" s="9"/>
      <c r="K20" s="9"/>
      <c r="L20" s="13">
        <f>IF(AND(J20&lt;&gt;"",K20&lt;&gt;""),J20*K20,"")</f>
      </c>
      <c r="M20" s="13">
        <f>IF(L20="","",IFS(L20&gt;=20,5,L20&gt;=16,4,L20&gt;=11,3,L20&gt;=6,2,L20&gt;0,1,TRUE,""))</f>
      </c>
      <c r="N20" s="13">
        <f>IFERROR(INDEX({"","Sangat Rendah","Rendah","Sedang","Tinggi","Sangat Tinggi"},M20+1),"")</f>
      </c>
      <c r="O20" s="9"/>
    </row>
    <row r="21" ht="24" customHeight="1" spans="1:15" x14ac:dyDescent="0.25">
      <c r="A21" s="9"/>
      <c r="B21" s="13">
        <f>IFERROR(XLOOKUP(A21,PENYEBAB!$E:$E,PENYEBAB!$B:$B),"")</f>
      </c>
      <c r="C21" s="13">
        <f>IFERROR(XLOOKUP(A21,PENYEBAB!$E:$E,PENYEBAB!$C:$C),"")</f>
      </c>
      <c r="D21" s="13">
        <f>IFERROR(XLOOKUP(A21,PENYEBAB!$E:$E,PENYEBAB!$K:$K),"")</f>
      </c>
      <c r="E21" s="13">
        <f>IFERROR(XLOOKUP(A21,PENYEBAB!$E:$E,PENYEBAB!$L:$L),"")</f>
      </c>
      <c r="F21" s="9"/>
      <c r="G21" s="9"/>
      <c r="H21" s="9"/>
      <c r="I21" s="9"/>
      <c r="J21" s="9"/>
      <c r="K21" s="9"/>
      <c r="L21" s="13">
        <f>IF(AND(J21&lt;&gt;"",K21&lt;&gt;""),J21*K21,"")</f>
      </c>
      <c r="M21" s="13">
        <f>IF(L21="","",IFS(L21&gt;=20,5,L21&gt;=16,4,L21&gt;=11,3,L21&gt;=6,2,L21&gt;0,1,TRUE,""))</f>
      </c>
      <c r="N21" s="13">
        <f>IFERROR(INDEX({"","Sangat Rendah","Rendah","Sedang","Tinggi","Sangat Tinggi"},M21+1),"")</f>
      </c>
      <c r="O21" s="9"/>
    </row>
    <row r="22" ht="24" customHeight="1" spans="1:15" x14ac:dyDescent="0.25">
      <c r="A22" s="9"/>
      <c r="B22" s="13">
        <f>IFERROR(XLOOKUP(A22,PENYEBAB!$E:$E,PENYEBAB!$B:$B),"")</f>
      </c>
      <c r="C22" s="13">
        <f>IFERROR(XLOOKUP(A22,PENYEBAB!$E:$E,PENYEBAB!$C:$C),"")</f>
      </c>
      <c r="D22" s="13">
        <f>IFERROR(XLOOKUP(A22,PENYEBAB!$E:$E,PENYEBAB!$K:$K),"")</f>
      </c>
      <c r="E22" s="13">
        <f>IFERROR(XLOOKUP(A22,PENYEBAB!$E:$E,PENYEBAB!$L:$L),"")</f>
      </c>
      <c r="F22" s="9"/>
      <c r="G22" s="9"/>
      <c r="H22" s="9"/>
      <c r="I22" s="9"/>
      <c r="J22" s="9"/>
      <c r="K22" s="9"/>
      <c r="L22" s="13">
        <f>IF(AND(J22&lt;&gt;"",K22&lt;&gt;""),J22*K22,"")</f>
      </c>
      <c r="M22" s="13">
        <f>IF(L22="","",IFS(L22&gt;=20,5,L22&gt;=16,4,L22&gt;=11,3,L22&gt;=6,2,L22&gt;0,1,TRUE,""))</f>
      </c>
      <c r="N22" s="13">
        <f>IFERROR(INDEX({"","Sangat Rendah","Rendah","Sedang","Tinggi","Sangat Tinggi"},M22+1),"")</f>
      </c>
      <c r="O22" s="9"/>
    </row>
    <row r="23" ht="24" customHeight="1" spans="1:15" x14ac:dyDescent="0.25">
      <c r="A23" s="9"/>
      <c r="B23" s="13">
        <f>IFERROR(XLOOKUP(A23,PENYEBAB!$E:$E,PENYEBAB!$B:$B),"")</f>
      </c>
      <c r="C23" s="13">
        <f>IFERROR(XLOOKUP(A23,PENYEBAB!$E:$E,PENYEBAB!$C:$C),"")</f>
      </c>
      <c r="D23" s="13">
        <f>IFERROR(XLOOKUP(A23,PENYEBAB!$E:$E,PENYEBAB!$K:$K),"")</f>
      </c>
      <c r="E23" s="13">
        <f>IFERROR(XLOOKUP(A23,PENYEBAB!$E:$E,PENYEBAB!$L:$L),"")</f>
      </c>
      <c r="F23" s="9"/>
      <c r="G23" s="9"/>
      <c r="H23" s="9"/>
      <c r="I23" s="9"/>
      <c r="J23" s="9"/>
      <c r="K23" s="9"/>
      <c r="L23" s="13">
        <f>IF(AND(J23&lt;&gt;"",K23&lt;&gt;""),J23*K23,"")</f>
      </c>
      <c r="M23" s="13">
        <f>IF(L23="","",IFS(L23&gt;=20,5,L23&gt;=16,4,L23&gt;=11,3,L23&gt;=6,2,L23&gt;0,1,TRUE,""))</f>
      </c>
      <c r="N23" s="13">
        <f>IFERROR(INDEX({"","Sangat Rendah","Rendah","Sedang","Tinggi","Sangat Tinggi"},M23+1),"")</f>
      </c>
      <c r="O23" s="9"/>
    </row>
    <row r="24" ht="24" customHeight="1" spans="1:15" x14ac:dyDescent="0.25">
      <c r="A24" s="9"/>
      <c r="B24" s="13">
        <f>IFERROR(XLOOKUP(A24,PENYEBAB!$E:$E,PENYEBAB!$B:$B),"")</f>
      </c>
      <c r="C24" s="13">
        <f>IFERROR(XLOOKUP(A24,PENYEBAB!$E:$E,PENYEBAB!$C:$C),"")</f>
      </c>
      <c r="D24" s="13">
        <f>IFERROR(XLOOKUP(A24,PENYEBAB!$E:$E,PENYEBAB!$K:$K),"")</f>
      </c>
      <c r="E24" s="13">
        <f>IFERROR(XLOOKUP(A24,PENYEBAB!$E:$E,PENYEBAB!$L:$L),"")</f>
      </c>
      <c r="F24" s="9"/>
      <c r="G24" s="9"/>
      <c r="H24" s="9"/>
      <c r="I24" s="9"/>
      <c r="J24" s="9"/>
      <c r="K24" s="9"/>
      <c r="L24" s="13">
        <f>IF(AND(J24&lt;&gt;"",K24&lt;&gt;""),J24*K24,"")</f>
      </c>
      <c r="M24" s="13">
        <f>IF(L24="","",IFS(L24&gt;=20,5,L24&gt;=16,4,L24&gt;=11,3,L24&gt;=6,2,L24&gt;0,1,TRUE,""))</f>
      </c>
      <c r="N24" s="13">
        <f>IFERROR(INDEX({"","Sangat Rendah","Rendah","Sedang","Tinggi","Sangat Tinggi"},M24+1),"")</f>
      </c>
      <c r="O24" s="9"/>
    </row>
    <row r="25" ht="24" customHeight="1" spans="1:15" x14ac:dyDescent="0.25">
      <c r="A25" s="9"/>
      <c r="B25" s="13">
        <f>IFERROR(XLOOKUP(A25,PENYEBAB!$E:$E,PENYEBAB!$B:$B),"")</f>
      </c>
      <c r="C25" s="13">
        <f>IFERROR(XLOOKUP(A25,PENYEBAB!$E:$E,PENYEBAB!$C:$C),"")</f>
      </c>
      <c r="D25" s="13">
        <f>IFERROR(XLOOKUP(A25,PENYEBAB!$E:$E,PENYEBAB!$K:$K),"")</f>
      </c>
      <c r="E25" s="13">
        <f>IFERROR(XLOOKUP(A25,PENYEBAB!$E:$E,PENYEBAB!$L:$L),"")</f>
      </c>
      <c r="F25" s="9"/>
      <c r="G25" s="9"/>
      <c r="H25" s="9"/>
      <c r="I25" s="9"/>
      <c r="J25" s="9"/>
      <c r="K25" s="9"/>
      <c r="L25" s="13">
        <f>IF(AND(J25&lt;&gt;"",K25&lt;&gt;""),J25*K25,"")</f>
      </c>
      <c r="M25" s="13">
        <f>IF(L25="","",IFS(L25&gt;=20,5,L25&gt;=16,4,L25&gt;=11,3,L25&gt;=6,2,L25&gt;0,1,TRUE,""))</f>
      </c>
      <c r="N25" s="13">
        <f>IFERROR(INDEX({"","Sangat Rendah","Rendah","Sedang","Tinggi","Sangat Tinggi"},M25+1),"")</f>
      </c>
      <c r="O25" s="9"/>
    </row>
    <row r="26" ht="24" customHeight="1" spans="1:15" x14ac:dyDescent="0.25">
      <c r="A26" s="9"/>
      <c r="B26" s="13">
        <f>IFERROR(XLOOKUP(A26,PENYEBAB!$E:$E,PENYEBAB!$B:$B),"")</f>
      </c>
      <c r="C26" s="13">
        <f>IFERROR(XLOOKUP(A26,PENYEBAB!$E:$E,PENYEBAB!$C:$C),"")</f>
      </c>
      <c r="D26" s="13">
        <f>IFERROR(XLOOKUP(A26,PENYEBAB!$E:$E,PENYEBAB!$K:$K),"")</f>
      </c>
      <c r="E26" s="13">
        <f>IFERROR(XLOOKUP(A26,PENYEBAB!$E:$E,PENYEBAB!$L:$L),"")</f>
      </c>
      <c r="F26" s="9"/>
      <c r="G26" s="9"/>
      <c r="H26" s="9"/>
      <c r="I26" s="9"/>
      <c r="J26" s="9"/>
      <c r="K26" s="9"/>
      <c r="L26" s="13">
        <f>IF(AND(J26&lt;&gt;"",K26&lt;&gt;""),J26*K26,"")</f>
      </c>
      <c r="M26" s="13">
        <f>IF(L26="","",IFS(L26&gt;=20,5,L26&gt;=16,4,L26&gt;=11,3,L26&gt;=6,2,L26&gt;0,1,TRUE,""))</f>
      </c>
      <c r="N26" s="13">
        <f>IFERROR(INDEX({"","Sangat Rendah","Rendah","Sedang","Tinggi","Sangat Tinggi"},M26+1),"")</f>
      </c>
      <c r="O26" s="9"/>
    </row>
    <row r="27" ht="24" customHeight="1" spans="1:15" x14ac:dyDescent="0.25">
      <c r="A27" s="9"/>
      <c r="B27" s="13">
        <f>IFERROR(XLOOKUP(A27,PENYEBAB!$E:$E,PENYEBAB!$B:$B),"")</f>
      </c>
      <c r="C27" s="13">
        <f>IFERROR(XLOOKUP(A27,PENYEBAB!$E:$E,PENYEBAB!$C:$C),"")</f>
      </c>
      <c r="D27" s="13">
        <f>IFERROR(XLOOKUP(A27,PENYEBAB!$E:$E,PENYEBAB!$K:$K),"")</f>
      </c>
      <c r="E27" s="13">
        <f>IFERROR(XLOOKUP(A27,PENYEBAB!$E:$E,PENYEBAB!$L:$L),"")</f>
      </c>
      <c r="F27" s="9"/>
      <c r="G27" s="9"/>
      <c r="H27" s="9"/>
      <c r="I27" s="9"/>
      <c r="J27" s="9"/>
      <c r="K27" s="9"/>
      <c r="L27" s="13">
        <f>IF(AND(J27&lt;&gt;"",K27&lt;&gt;""),J27*K27,"")</f>
      </c>
      <c r="M27" s="13">
        <f>IF(L27="","",IFS(L27&gt;=20,5,L27&gt;=16,4,L27&gt;=11,3,L27&gt;=6,2,L27&gt;0,1,TRUE,""))</f>
      </c>
      <c r="N27" s="13">
        <f>IFERROR(INDEX({"","Sangat Rendah","Rendah","Sedang","Tinggi","Sangat Tinggi"},M27+1),"")</f>
      </c>
      <c r="O27" s="9"/>
    </row>
    <row r="28" ht="24" customHeight="1" spans="1:15" x14ac:dyDescent="0.25">
      <c r="A28" s="9"/>
      <c r="B28" s="13">
        <f>IFERROR(XLOOKUP(A28,PENYEBAB!$E:$E,PENYEBAB!$B:$B),"")</f>
      </c>
      <c r="C28" s="13">
        <f>IFERROR(XLOOKUP(A28,PENYEBAB!$E:$E,PENYEBAB!$C:$C),"")</f>
      </c>
      <c r="D28" s="13">
        <f>IFERROR(XLOOKUP(A28,PENYEBAB!$E:$E,PENYEBAB!$K:$K),"")</f>
      </c>
      <c r="E28" s="13">
        <f>IFERROR(XLOOKUP(A28,PENYEBAB!$E:$E,PENYEBAB!$L:$L),"")</f>
      </c>
      <c r="F28" s="9"/>
      <c r="G28" s="9"/>
      <c r="H28" s="9"/>
      <c r="I28" s="9"/>
      <c r="J28" s="9"/>
      <c r="K28" s="9"/>
      <c r="L28" s="13">
        <f>IF(AND(J28&lt;&gt;"",K28&lt;&gt;""),J28*K28,"")</f>
      </c>
      <c r="M28" s="13">
        <f>IF(L28="","",IFS(L28&gt;=20,5,L28&gt;=16,4,L28&gt;=11,3,L28&gt;=6,2,L28&gt;0,1,TRUE,""))</f>
      </c>
      <c r="N28" s="13">
        <f>IFERROR(INDEX({"","Sangat Rendah","Rendah","Sedang","Tinggi","Sangat Tinggi"},M28+1),"")</f>
      </c>
      <c r="O28" s="9"/>
    </row>
    <row r="29" ht="24" customHeight="1" spans="1:15" x14ac:dyDescent="0.25">
      <c r="A29" s="9"/>
      <c r="B29" s="13">
        <f>IFERROR(XLOOKUP(A29,PENYEBAB!$E:$E,PENYEBAB!$B:$B),"")</f>
      </c>
      <c r="C29" s="13">
        <f>IFERROR(XLOOKUP(A29,PENYEBAB!$E:$E,PENYEBAB!$C:$C),"")</f>
      </c>
      <c r="D29" s="13">
        <f>IFERROR(XLOOKUP(A29,PENYEBAB!$E:$E,PENYEBAB!$K:$K),"")</f>
      </c>
      <c r="E29" s="13">
        <f>IFERROR(XLOOKUP(A29,PENYEBAB!$E:$E,PENYEBAB!$L:$L),"")</f>
      </c>
      <c r="F29" s="9"/>
      <c r="G29" s="9"/>
      <c r="H29" s="9"/>
      <c r="I29" s="9"/>
      <c r="J29" s="9"/>
      <c r="K29" s="9"/>
      <c r="L29" s="13">
        <f>IF(AND(J29&lt;&gt;"",K29&lt;&gt;""),J29*K29,"")</f>
      </c>
      <c r="M29" s="13">
        <f>IF(L29="","",IFS(L29&gt;=20,5,L29&gt;=16,4,L29&gt;=11,3,L29&gt;=6,2,L29&gt;0,1,TRUE,""))</f>
      </c>
      <c r="N29" s="13">
        <f>IFERROR(INDEX({"","Sangat Rendah","Rendah","Sedang","Tinggi","Sangat Tinggi"},M29+1),"")</f>
      </c>
      <c r="O29" s="9"/>
    </row>
    <row r="30" ht="24" customHeight="1" spans="1:15" x14ac:dyDescent="0.25">
      <c r="A30" s="9"/>
      <c r="B30" s="13">
        <f>IFERROR(XLOOKUP(A30,PENYEBAB!$E:$E,PENYEBAB!$B:$B),"")</f>
      </c>
      <c r="C30" s="13">
        <f>IFERROR(XLOOKUP(A30,PENYEBAB!$E:$E,PENYEBAB!$C:$C),"")</f>
      </c>
      <c r="D30" s="13">
        <f>IFERROR(XLOOKUP(A30,PENYEBAB!$E:$E,PENYEBAB!$K:$K),"")</f>
      </c>
      <c r="E30" s="13">
        <f>IFERROR(XLOOKUP(A30,PENYEBAB!$E:$E,PENYEBAB!$L:$L),"")</f>
      </c>
      <c r="F30" s="9"/>
      <c r="G30" s="9"/>
      <c r="H30" s="9"/>
      <c r="I30" s="9"/>
      <c r="J30" s="9"/>
      <c r="K30" s="9"/>
      <c r="L30" s="13">
        <f>IF(AND(J30&lt;&gt;"",K30&lt;&gt;""),J30*K30,"")</f>
      </c>
      <c r="M30" s="13">
        <f>IF(L30="","",IFS(L30&gt;=20,5,L30&gt;=16,4,L30&gt;=11,3,L30&gt;=6,2,L30&gt;0,1,TRUE,""))</f>
      </c>
      <c r="N30" s="13">
        <f>IFERROR(INDEX({"","Sangat Rendah","Rendah","Sedang","Tinggi","Sangat Tinggi"},M30+1),"")</f>
      </c>
      <c r="O30" s="9"/>
    </row>
    <row r="31" ht="24" customHeight="1" spans="1:15" x14ac:dyDescent="0.25">
      <c r="A31" s="9"/>
      <c r="B31" s="13">
        <f>IFERROR(XLOOKUP(A31,PENYEBAB!$E:$E,PENYEBAB!$B:$B),"")</f>
      </c>
      <c r="C31" s="13">
        <f>IFERROR(XLOOKUP(A31,PENYEBAB!$E:$E,PENYEBAB!$C:$C),"")</f>
      </c>
      <c r="D31" s="13">
        <f>IFERROR(XLOOKUP(A31,PENYEBAB!$E:$E,PENYEBAB!$K:$K),"")</f>
      </c>
      <c r="E31" s="13">
        <f>IFERROR(XLOOKUP(A31,PENYEBAB!$E:$E,PENYEBAB!$L:$L),"")</f>
      </c>
      <c r="F31" s="9"/>
      <c r="G31" s="9"/>
      <c r="H31" s="9"/>
      <c r="I31" s="9"/>
      <c r="J31" s="9"/>
      <c r="K31" s="9"/>
      <c r="L31" s="13">
        <f>IF(AND(J31&lt;&gt;"",K31&lt;&gt;""),J31*K31,"")</f>
      </c>
      <c r="M31" s="13">
        <f>IF(L31="","",IFS(L31&gt;=20,5,L31&gt;=16,4,L31&gt;=11,3,L31&gt;=6,2,L31&gt;0,1,TRUE,""))</f>
      </c>
      <c r="N31" s="13">
        <f>IFERROR(INDEX({"","Sangat Rendah","Rendah","Sedang","Tinggi","Sangat Tinggi"},M31+1),"")</f>
      </c>
      <c r="O31" s="9"/>
    </row>
    <row r="32" ht="24" customHeight="1" spans="1:15" x14ac:dyDescent="0.25">
      <c r="A32" s="9"/>
      <c r="B32" s="13">
        <f>IFERROR(XLOOKUP(A32,PENYEBAB!$E:$E,PENYEBAB!$B:$B),"")</f>
      </c>
      <c r="C32" s="13">
        <f>IFERROR(XLOOKUP(A32,PENYEBAB!$E:$E,PENYEBAB!$C:$C),"")</f>
      </c>
      <c r="D32" s="13">
        <f>IFERROR(XLOOKUP(A32,PENYEBAB!$E:$E,PENYEBAB!$K:$K),"")</f>
      </c>
      <c r="E32" s="13">
        <f>IFERROR(XLOOKUP(A32,PENYEBAB!$E:$E,PENYEBAB!$L:$L),"")</f>
      </c>
      <c r="F32" s="9"/>
      <c r="G32" s="9"/>
      <c r="H32" s="9"/>
      <c r="I32" s="9"/>
      <c r="J32" s="9"/>
      <c r="K32" s="9"/>
      <c r="L32" s="13">
        <f>IF(AND(J32&lt;&gt;"",K32&lt;&gt;""),J32*K32,"")</f>
      </c>
      <c r="M32" s="13">
        <f>IF(L32="","",IFS(L32&gt;=20,5,L32&gt;=16,4,L32&gt;=11,3,L32&gt;=6,2,L32&gt;0,1,TRUE,""))</f>
      </c>
      <c r="N32" s="13">
        <f>IFERROR(INDEX({"","Sangat Rendah","Rendah","Sedang","Tinggi","Sangat Tinggi"},M32+1),"")</f>
      </c>
      <c r="O32" s="9"/>
    </row>
    <row r="33" ht="24" customHeight="1" spans="1:15" x14ac:dyDescent="0.25">
      <c r="A33" s="9"/>
      <c r="B33" s="13">
        <f>IFERROR(XLOOKUP(A33,PENYEBAB!$E:$E,PENYEBAB!$B:$B),"")</f>
      </c>
      <c r="C33" s="13">
        <f>IFERROR(XLOOKUP(A33,PENYEBAB!$E:$E,PENYEBAB!$C:$C),"")</f>
      </c>
      <c r="D33" s="13">
        <f>IFERROR(XLOOKUP(A33,PENYEBAB!$E:$E,PENYEBAB!$K:$K),"")</f>
      </c>
      <c r="E33" s="13">
        <f>IFERROR(XLOOKUP(A33,PENYEBAB!$E:$E,PENYEBAB!$L:$L),"")</f>
      </c>
      <c r="F33" s="9"/>
      <c r="G33" s="9"/>
      <c r="H33" s="9"/>
      <c r="I33" s="9"/>
      <c r="J33" s="9"/>
      <c r="K33" s="9"/>
      <c r="L33" s="13">
        <f>IF(AND(J33&lt;&gt;"",K33&lt;&gt;""),J33*K33,"")</f>
      </c>
      <c r="M33" s="13">
        <f>IF(L33="","",IFS(L33&gt;=20,5,L33&gt;=16,4,L33&gt;=11,3,L33&gt;=6,2,L33&gt;0,1,TRUE,""))</f>
      </c>
      <c r="N33" s="13">
        <f>IFERROR(INDEX({"","Sangat Rendah","Rendah","Sedang","Tinggi","Sangat Tinggi"},M33+1),"")</f>
      </c>
      <c r="O33" s="9"/>
    </row>
    <row r="34" ht="24" customHeight="1" spans="1:15" x14ac:dyDescent="0.25">
      <c r="A34" s="9"/>
      <c r="B34" s="13">
        <f>IFERROR(XLOOKUP(A34,PENYEBAB!$E:$E,PENYEBAB!$B:$B),"")</f>
      </c>
      <c r="C34" s="13">
        <f>IFERROR(XLOOKUP(A34,PENYEBAB!$E:$E,PENYEBAB!$C:$C),"")</f>
      </c>
      <c r="D34" s="13">
        <f>IFERROR(XLOOKUP(A34,PENYEBAB!$E:$E,PENYEBAB!$K:$K),"")</f>
      </c>
      <c r="E34" s="13">
        <f>IFERROR(XLOOKUP(A34,PENYEBAB!$E:$E,PENYEBAB!$L:$L),"")</f>
      </c>
      <c r="F34" s="9"/>
      <c r="G34" s="9"/>
      <c r="H34" s="9"/>
      <c r="I34" s="9"/>
      <c r="J34" s="9"/>
      <c r="K34" s="9"/>
      <c r="L34" s="13">
        <f>IF(AND(J34&lt;&gt;"",K34&lt;&gt;""),J34*K34,"")</f>
      </c>
      <c r="M34" s="13">
        <f>IF(L34="","",IFS(L34&gt;=20,5,L34&gt;=16,4,L34&gt;=11,3,L34&gt;=6,2,L34&gt;0,1,TRUE,""))</f>
      </c>
      <c r="N34" s="13">
        <f>IFERROR(INDEX({"","Sangat Rendah","Rendah","Sedang","Tinggi","Sangat Tinggi"},M34+1),"")</f>
      </c>
      <c r="O34" s="9"/>
    </row>
    <row r="35" ht="24" customHeight="1" spans="1:15" x14ac:dyDescent="0.25">
      <c r="A35" s="9"/>
      <c r="B35" s="13">
        <f>IFERROR(XLOOKUP(A35,PENYEBAB!$E:$E,PENYEBAB!$B:$B),"")</f>
      </c>
      <c r="C35" s="13">
        <f>IFERROR(XLOOKUP(A35,PENYEBAB!$E:$E,PENYEBAB!$C:$C),"")</f>
      </c>
      <c r="D35" s="13">
        <f>IFERROR(XLOOKUP(A35,PENYEBAB!$E:$E,PENYEBAB!$K:$K),"")</f>
      </c>
      <c r="E35" s="13">
        <f>IFERROR(XLOOKUP(A35,PENYEBAB!$E:$E,PENYEBAB!$L:$L),"")</f>
      </c>
      <c r="F35" s="9"/>
      <c r="G35" s="9"/>
      <c r="H35" s="9"/>
      <c r="I35" s="9"/>
      <c r="J35" s="9"/>
      <c r="K35" s="9"/>
      <c r="L35" s="13">
        <f>IF(AND(J35&lt;&gt;"",K35&lt;&gt;""),J35*K35,"")</f>
      </c>
      <c r="M35" s="13">
        <f>IF(L35="","",IFS(L35&gt;=20,5,L35&gt;=16,4,L35&gt;=11,3,L35&gt;=6,2,L35&gt;0,1,TRUE,""))</f>
      </c>
      <c r="N35" s="13">
        <f>IFERROR(INDEX({"","Sangat Rendah","Rendah","Sedang","Tinggi","Sangat Tinggi"},M35+1),"")</f>
      </c>
      <c r="O35" s="9"/>
    </row>
    <row r="36" ht="24" customHeight="1" spans="1:15" x14ac:dyDescent="0.25">
      <c r="A36" s="9"/>
      <c r="B36" s="13">
        <f>IFERROR(XLOOKUP(A36,PENYEBAB!$E:$E,PENYEBAB!$B:$B),"")</f>
      </c>
      <c r="C36" s="13">
        <f>IFERROR(XLOOKUP(A36,PENYEBAB!$E:$E,PENYEBAB!$C:$C),"")</f>
      </c>
      <c r="D36" s="13">
        <f>IFERROR(XLOOKUP(A36,PENYEBAB!$E:$E,PENYEBAB!$K:$K),"")</f>
      </c>
      <c r="E36" s="13">
        <f>IFERROR(XLOOKUP(A36,PENYEBAB!$E:$E,PENYEBAB!$L:$L),"")</f>
      </c>
      <c r="F36" s="9"/>
      <c r="G36" s="9"/>
      <c r="H36" s="9"/>
      <c r="I36" s="9"/>
      <c r="J36" s="9"/>
      <c r="K36" s="9"/>
      <c r="L36" s="13">
        <f>IF(AND(J36&lt;&gt;"",K36&lt;&gt;""),J36*K36,"")</f>
      </c>
      <c r="M36" s="13">
        <f>IF(L36="","",IFS(L36&gt;=20,5,L36&gt;=16,4,L36&gt;=11,3,L36&gt;=6,2,L36&gt;0,1,TRUE,""))</f>
      </c>
      <c r="N36" s="13">
        <f>IFERROR(INDEX({"","Sangat Rendah","Rendah","Sedang","Tinggi","Sangat Tinggi"},M36+1),"")</f>
      </c>
      <c r="O36" s="9"/>
    </row>
    <row r="37" ht="24" customHeight="1" spans="1:15" x14ac:dyDescent="0.25">
      <c r="A37" s="9"/>
      <c r="B37" s="13">
        <f>IFERROR(XLOOKUP(A37,PENYEBAB!$E:$E,PENYEBAB!$B:$B),"")</f>
      </c>
      <c r="C37" s="13">
        <f>IFERROR(XLOOKUP(A37,PENYEBAB!$E:$E,PENYEBAB!$C:$C),"")</f>
      </c>
      <c r="D37" s="13">
        <f>IFERROR(XLOOKUP(A37,PENYEBAB!$E:$E,PENYEBAB!$K:$K),"")</f>
      </c>
      <c r="E37" s="13">
        <f>IFERROR(XLOOKUP(A37,PENYEBAB!$E:$E,PENYEBAB!$L:$L),"")</f>
      </c>
      <c r="F37" s="9"/>
      <c r="G37" s="9"/>
      <c r="H37" s="9"/>
      <c r="I37" s="9"/>
      <c r="J37" s="9"/>
      <c r="K37" s="9"/>
      <c r="L37" s="13">
        <f>IF(AND(J37&lt;&gt;"",K37&lt;&gt;""),J37*K37,"")</f>
      </c>
      <c r="M37" s="13">
        <f>IF(L37="","",IFS(L37&gt;=20,5,L37&gt;=16,4,L37&gt;=11,3,L37&gt;=6,2,L37&gt;0,1,TRUE,""))</f>
      </c>
      <c r="N37" s="13">
        <f>IFERROR(INDEX({"","Sangat Rendah","Rendah","Sedang","Tinggi","Sangat Tinggi"},M37+1),"")</f>
      </c>
      <c r="O37" s="9"/>
    </row>
    <row r="38" ht="24" customHeight="1" spans="1:15" x14ac:dyDescent="0.25">
      <c r="A38" s="9"/>
      <c r="B38" s="13">
        <f>IFERROR(XLOOKUP(A38,PENYEBAB!$E:$E,PENYEBAB!$B:$B),"")</f>
      </c>
      <c r="C38" s="13">
        <f>IFERROR(XLOOKUP(A38,PENYEBAB!$E:$E,PENYEBAB!$C:$C),"")</f>
      </c>
      <c r="D38" s="13">
        <f>IFERROR(XLOOKUP(A38,PENYEBAB!$E:$E,PENYEBAB!$K:$K),"")</f>
      </c>
      <c r="E38" s="13">
        <f>IFERROR(XLOOKUP(A38,PENYEBAB!$E:$E,PENYEBAB!$L:$L),"")</f>
      </c>
      <c r="F38" s="9"/>
      <c r="G38" s="9"/>
      <c r="H38" s="9"/>
      <c r="I38" s="9"/>
      <c r="J38" s="9"/>
      <c r="K38" s="9"/>
      <c r="L38" s="13">
        <f>IF(AND(J38&lt;&gt;"",K38&lt;&gt;""),J38*K38,"")</f>
      </c>
      <c r="M38" s="13">
        <f>IF(L38="","",IFS(L38&gt;=20,5,L38&gt;=16,4,L38&gt;=11,3,L38&gt;=6,2,L38&gt;0,1,TRUE,""))</f>
      </c>
      <c r="N38" s="13">
        <f>IFERROR(INDEX({"","Sangat Rendah","Rendah","Sedang","Tinggi","Sangat Tinggi"},M38+1),"")</f>
      </c>
      <c r="O38" s="9"/>
    </row>
    <row r="39" ht="24" customHeight="1" spans="1:15" x14ac:dyDescent="0.25">
      <c r="A39" s="9"/>
      <c r="B39" s="13">
        <f>IFERROR(XLOOKUP(A39,PENYEBAB!$E:$E,PENYEBAB!$B:$B),"")</f>
      </c>
      <c r="C39" s="13">
        <f>IFERROR(XLOOKUP(A39,PENYEBAB!$E:$E,PENYEBAB!$C:$C),"")</f>
      </c>
      <c r="D39" s="13">
        <f>IFERROR(XLOOKUP(A39,PENYEBAB!$E:$E,PENYEBAB!$K:$K),"")</f>
      </c>
      <c r="E39" s="13">
        <f>IFERROR(XLOOKUP(A39,PENYEBAB!$E:$E,PENYEBAB!$L:$L),"")</f>
      </c>
      <c r="F39" s="9"/>
      <c r="G39" s="9"/>
      <c r="H39" s="9"/>
      <c r="I39" s="9"/>
      <c r="J39" s="9"/>
      <c r="K39" s="9"/>
      <c r="L39" s="13">
        <f>IF(AND(J39&lt;&gt;"",K39&lt;&gt;""),J39*K39,"")</f>
      </c>
      <c r="M39" s="13">
        <f>IF(L39="","",IFS(L39&gt;=20,5,L39&gt;=16,4,L39&gt;=11,3,L39&gt;=6,2,L39&gt;0,1,TRUE,""))</f>
      </c>
      <c r="N39" s="13">
        <f>IFERROR(INDEX({"","Sangat Rendah","Rendah","Sedang","Tinggi","Sangat Tinggi"},M39+1),"")</f>
      </c>
      <c r="O39" s="9"/>
    </row>
    <row r="40" ht="24" customHeight="1" spans="1:15" x14ac:dyDescent="0.25">
      <c r="A40" s="9"/>
      <c r="B40" s="13">
        <f>IFERROR(XLOOKUP(A40,PENYEBAB!$E:$E,PENYEBAB!$B:$B),"")</f>
      </c>
      <c r="C40" s="13">
        <f>IFERROR(XLOOKUP(A40,PENYEBAB!$E:$E,PENYEBAB!$C:$C),"")</f>
      </c>
      <c r="D40" s="13">
        <f>IFERROR(XLOOKUP(A40,PENYEBAB!$E:$E,PENYEBAB!$K:$K),"")</f>
      </c>
      <c r="E40" s="13">
        <f>IFERROR(XLOOKUP(A40,PENYEBAB!$E:$E,PENYEBAB!$L:$L),"")</f>
      </c>
      <c r="F40" s="9"/>
      <c r="G40" s="9"/>
      <c r="H40" s="9"/>
      <c r="I40" s="9"/>
      <c r="J40" s="9"/>
      <c r="K40" s="9"/>
      <c r="L40" s="13">
        <f>IF(AND(J40&lt;&gt;"",K40&lt;&gt;""),J40*K40,"")</f>
      </c>
      <c r="M40" s="13">
        <f>IF(L40="","",IFS(L40&gt;=20,5,L40&gt;=16,4,L40&gt;=11,3,L40&gt;=6,2,L40&gt;0,1,TRUE,""))</f>
      </c>
      <c r="N40" s="13">
        <f>IFERROR(INDEX({"","Sangat Rendah","Rendah","Sedang","Tinggi","Sangat Tinggi"},M40+1),"")</f>
      </c>
      <c r="O40" s="9"/>
    </row>
    <row r="41" ht="24" customHeight="1" spans="1:15" x14ac:dyDescent="0.25">
      <c r="A41" s="9"/>
      <c r="B41" s="13">
        <f>IFERROR(XLOOKUP(A41,PENYEBAB!$E:$E,PENYEBAB!$B:$B),"")</f>
      </c>
      <c r="C41" s="13">
        <f>IFERROR(XLOOKUP(A41,PENYEBAB!$E:$E,PENYEBAB!$C:$C),"")</f>
      </c>
      <c r="D41" s="13">
        <f>IFERROR(XLOOKUP(A41,PENYEBAB!$E:$E,PENYEBAB!$K:$K),"")</f>
      </c>
      <c r="E41" s="13">
        <f>IFERROR(XLOOKUP(A41,PENYEBAB!$E:$E,PENYEBAB!$L:$L),"")</f>
      </c>
      <c r="F41" s="9"/>
      <c r="G41" s="9"/>
      <c r="H41" s="9"/>
      <c r="I41" s="9"/>
      <c r="J41" s="9"/>
      <c r="K41" s="9"/>
      <c r="L41" s="13">
        <f>IF(AND(J41&lt;&gt;"",K41&lt;&gt;""),J41*K41,"")</f>
      </c>
      <c r="M41" s="13">
        <f>IF(L41="","",IFS(L41&gt;=20,5,L41&gt;=16,4,L41&gt;=11,3,L41&gt;=6,2,L41&gt;0,1,TRUE,""))</f>
      </c>
      <c r="N41" s="13">
        <f>IFERROR(INDEX({"","Sangat Rendah","Rendah","Sedang","Tinggi","Sangat Tinggi"},M41+1),"")</f>
      </c>
      <c r="O41" s="9"/>
    </row>
    <row r="42" ht="24" customHeight="1" spans="1:15" x14ac:dyDescent="0.25">
      <c r="A42" s="9"/>
      <c r="B42" s="13">
        <f>IFERROR(XLOOKUP(A42,PENYEBAB!$E:$E,PENYEBAB!$B:$B),"")</f>
      </c>
      <c r="C42" s="13">
        <f>IFERROR(XLOOKUP(A42,PENYEBAB!$E:$E,PENYEBAB!$C:$C),"")</f>
      </c>
      <c r="D42" s="13">
        <f>IFERROR(XLOOKUP(A42,PENYEBAB!$E:$E,PENYEBAB!$K:$K),"")</f>
      </c>
      <c r="E42" s="13">
        <f>IFERROR(XLOOKUP(A42,PENYEBAB!$E:$E,PENYEBAB!$L:$L),"")</f>
      </c>
      <c r="F42" s="9"/>
      <c r="G42" s="9"/>
      <c r="H42" s="9"/>
      <c r="I42" s="9"/>
      <c r="J42" s="9"/>
      <c r="K42" s="9"/>
      <c r="L42" s="13">
        <f>IF(AND(J42&lt;&gt;"",K42&lt;&gt;""),J42*K42,"")</f>
      </c>
      <c r="M42" s="13">
        <f>IF(L42="","",IFS(L42&gt;=20,5,L42&gt;=16,4,L42&gt;=11,3,L42&gt;=6,2,L42&gt;0,1,TRUE,""))</f>
      </c>
      <c r="N42" s="13">
        <f>IFERROR(INDEX({"","Sangat Rendah","Rendah","Sedang","Tinggi","Sangat Tinggi"},M42+1),"")</f>
      </c>
      <c r="O42" s="9"/>
    </row>
    <row r="43" ht="24" customHeight="1" spans="1:15" x14ac:dyDescent="0.25">
      <c r="A43" s="9"/>
      <c r="B43" s="13">
        <f>IFERROR(XLOOKUP(A43,PENYEBAB!$E:$E,PENYEBAB!$B:$B),"")</f>
      </c>
      <c r="C43" s="13">
        <f>IFERROR(XLOOKUP(A43,PENYEBAB!$E:$E,PENYEBAB!$C:$C),"")</f>
      </c>
      <c r="D43" s="13">
        <f>IFERROR(XLOOKUP(A43,PENYEBAB!$E:$E,PENYEBAB!$K:$K),"")</f>
      </c>
      <c r="E43" s="13">
        <f>IFERROR(XLOOKUP(A43,PENYEBAB!$E:$E,PENYEBAB!$L:$L),"")</f>
      </c>
      <c r="F43" s="9"/>
      <c r="G43" s="9"/>
      <c r="H43" s="9"/>
      <c r="I43" s="9"/>
      <c r="J43" s="9"/>
      <c r="K43" s="9"/>
      <c r="L43" s="13">
        <f>IF(AND(J43&lt;&gt;"",K43&lt;&gt;""),J43*K43,"")</f>
      </c>
      <c r="M43" s="13">
        <f>IF(L43="","",IFS(L43&gt;=20,5,L43&gt;=16,4,L43&gt;=11,3,L43&gt;=6,2,L43&gt;0,1,TRUE,""))</f>
      </c>
      <c r="N43" s="13">
        <f>IFERROR(INDEX({"","Sangat Rendah","Rendah","Sedang","Tinggi","Sangat Tinggi"},M43+1),"")</f>
      </c>
      <c r="O43" s="9"/>
    </row>
    <row r="44" ht="24" customHeight="1" spans="1:15" x14ac:dyDescent="0.25">
      <c r="A44" s="9"/>
      <c r="B44" s="13">
        <f>IFERROR(XLOOKUP(A44,PENYEBAB!$E:$E,PENYEBAB!$B:$B),"")</f>
      </c>
      <c r="C44" s="13">
        <f>IFERROR(XLOOKUP(A44,PENYEBAB!$E:$E,PENYEBAB!$C:$C),"")</f>
      </c>
      <c r="D44" s="13">
        <f>IFERROR(XLOOKUP(A44,PENYEBAB!$E:$E,PENYEBAB!$K:$K),"")</f>
      </c>
      <c r="E44" s="13">
        <f>IFERROR(XLOOKUP(A44,PENYEBAB!$E:$E,PENYEBAB!$L:$L),"")</f>
      </c>
      <c r="F44" s="9"/>
      <c r="G44" s="9"/>
      <c r="H44" s="9"/>
      <c r="I44" s="9"/>
      <c r="J44" s="9"/>
      <c r="K44" s="9"/>
      <c r="L44" s="13">
        <f>IF(AND(J44&lt;&gt;"",K44&lt;&gt;""),J44*K44,"")</f>
      </c>
      <c r="M44" s="13">
        <f>IF(L44="","",IFS(L44&gt;=20,5,L44&gt;=16,4,L44&gt;=11,3,L44&gt;=6,2,L44&gt;0,1,TRUE,""))</f>
      </c>
      <c r="N44" s="13">
        <f>IFERROR(INDEX({"","Sangat Rendah","Rendah","Sedang","Tinggi","Sangat Tinggi"},M44+1),"")</f>
      </c>
      <c r="O44" s="9"/>
    </row>
    <row r="45" ht="24" customHeight="1" spans="1:15" x14ac:dyDescent="0.25">
      <c r="A45" s="9"/>
      <c r="B45" s="13">
        <f>IFERROR(XLOOKUP(A45,PENYEBAB!$E:$E,PENYEBAB!$B:$B),"")</f>
      </c>
      <c r="C45" s="13">
        <f>IFERROR(XLOOKUP(A45,PENYEBAB!$E:$E,PENYEBAB!$C:$C),"")</f>
      </c>
      <c r="D45" s="13">
        <f>IFERROR(XLOOKUP(A45,PENYEBAB!$E:$E,PENYEBAB!$K:$K),"")</f>
      </c>
      <c r="E45" s="13">
        <f>IFERROR(XLOOKUP(A45,PENYEBAB!$E:$E,PENYEBAB!$L:$L),"")</f>
      </c>
      <c r="F45" s="9"/>
      <c r="G45" s="9"/>
      <c r="H45" s="9"/>
      <c r="I45" s="9"/>
      <c r="J45" s="9"/>
      <c r="K45" s="9"/>
      <c r="L45" s="13">
        <f>IF(AND(J45&lt;&gt;"",K45&lt;&gt;""),J45*K45,"")</f>
      </c>
      <c r="M45" s="13">
        <f>IF(L45="","",IFS(L45&gt;=20,5,L45&gt;=16,4,L45&gt;=11,3,L45&gt;=6,2,L45&gt;0,1,TRUE,""))</f>
      </c>
      <c r="N45" s="13">
        <f>IFERROR(INDEX({"","Sangat Rendah","Rendah","Sedang","Tinggi","Sangat Tinggi"},M45+1),"")</f>
      </c>
      <c r="O45" s="9"/>
    </row>
    <row r="46" ht="24" customHeight="1" spans="1:15" x14ac:dyDescent="0.25">
      <c r="A46" s="9"/>
      <c r="B46" s="13">
        <f>IFERROR(XLOOKUP(A46,PENYEBAB!$E:$E,PENYEBAB!$B:$B),"")</f>
      </c>
      <c r="C46" s="13">
        <f>IFERROR(XLOOKUP(A46,PENYEBAB!$E:$E,PENYEBAB!$C:$C),"")</f>
      </c>
      <c r="D46" s="13">
        <f>IFERROR(XLOOKUP(A46,PENYEBAB!$E:$E,PENYEBAB!$K:$K),"")</f>
      </c>
      <c r="E46" s="13">
        <f>IFERROR(XLOOKUP(A46,PENYEBAB!$E:$E,PENYEBAB!$L:$L),"")</f>
      </c>
      <c r="F46" s="9"/>
      <c r="G46" s="9"/>
      <c r="H46" s="9"/>
      <c r="I46" s="9"/>
      <c r="J46" s="9"/>
      <c r="K46" s="9"/>
      <c r="L46" s="13">
        <f>IF(AND(J46&lt;&gt;"",K46&lt;&gt;""),J46*K46,"")</f>
      </c>
      <c r="M46" s="13">
        <f>IF(L46="","",IFS(L46&gt;=20,5,L46&gt;=16,4,L46&gt;=11,3,L46&gt;=6,2,L46&gt;0,1,TRUE,""))</f>
      </c>
      <c r="N46" s="13">
        <f>IFERROR(INDEX({"","Sangat Rendah","Rendah","Sedang","Tinggi","Sangat Tinggi"},M46+1),"")</f>
      </c>
      <c r="O46" s="9"/>
    </row>
    <row r="47" ht="24" customHeight="1" spans="1:15" x14ac:dyDescent="0.25">
      <c r="A47" s="9"/>
      <c r="B47" s="13">
        <f>IFERROR(XLOOKUP(A47,PENYEBAB!$E:$E,PENYEBAB!$B:$B),"")</f>
      </c>
      <c r="C47" s="13">
        <f>IFERROR(XLOOKUP(A47,PENYEBAB!$E:$E,PENYEBAB!$C:$C),"")</f>
      </c>
      <c r="D47" s="13">
        <f>IFERROR(XLOOKUP(A47,PENYEBAB!$E:$E,PENYEBAB!$K:$K),"")</f>
      </c>
      <c r="E47" s="13">
        <f>IFERROR(XLOOKUP(A47,PENYEBAB!$E:$E,PENYEBAB!$L:$L),"")</f>
      </c>
      <c r="F47" s="9"/>
      <c r="G47" s="9"/>
      <c r="H47" s="9"/>
      <c r="I47" s="9"/>
      <c r="J47" s="9"/>
      <c r="K47" s="9"/>
      <c r="L47" s="13">
        <f>IF(AND(J47&lt;&gt;"",K47&lt;&gt;""),J47*K47,"")</f>
      </c>
      <c r="M47" s="13">
        <f>IF(L47="","",IFS(L47&gt;=20,5,L47&gt;=16,4,L47&gt;=11,3,L47&gt;=6,2,L47&gt;0,1,TRUE,""))</f>
      </c>
      <c r="N47" s="13">
        <f>IFERROR(INDEX({"","Sangat Rendah","Rendah","Sedang","Tinggi","Sangat Tinggi"},M47+1),"")</f>
      </c>
      <c r="O47" s="9"/>
    </row>
    <row r="48" ht="24" customHeight="1" spans="1:15" x14ac:dyDescent="0.25">
      <c r="A48" s="9"/>
      <c r="B48" s="13">
        <f>IFERROR(XLOOKUP(A48,PENYEBAB!$E:$E,PENYEBAB!$B:$B),"")</f>
      </c>
      <c r="C48" s="13">
        <f>IFERROR(XLOOKUP(A48,PENYEBAB!$E:$E,PENYEBAB!$C:$C),"")</f>
      </c>
      <c r="D48" s="13">
        <f>IFERROR(XLOOKUP(A48,PENYEBAB!$E:$E,PENYEBAB!$K:$K),"")</f>
      </c>
      <c r="E48" s="13">
        <f>IFERROR(XLOOKUP(A48,PENYEBAB!$E:$E,PENYEBAB!$L:$L),"")</f>
      </c>
      <c r="F48" s="9"/>
      <c r="G48" s="9"/>
      <c r="H48" s="9"/>
      <c r="I48" s="9"/>
      <c r="J48" s="9"/>
      <c r="K48" s="9"/>
      <c r="L48" s="13">
        <f>IF(AND(J48&lt;&gt;"",K48&lt;&gt;""),J48*K48,"")</f>
      </c>
      <c r="M48" s="13">
        <f>IF(L48="","",IFS(L48&gt;=20,5,L48&gt;=16,4,L48&gt;=11,3,L48&gt;=6,2,L48&gt;0,1,TRUE,""))</f>
      </c>
      <c r="N48" s="13">
        <f>IFERROR(INDEX({"","Sangat Rendah","Rendah","Sedang","Tinggi","Sangat Tinggi"},M48+1),"")</f>
      </c>
      <c r="O48" s="9"/>
    </row>
    <row r="49" ht="24" customHeight="1" spans="1:15" x14ac:dyDescent="0.25">
      <c r="A49" s="9"/>
      <c r="B49" s="13">
        <f>IFERROR(XLOOKUP(A49,PENYEBAB!$E:$E,PENYEBAB!$B:$B),"")</f>
      </c>
      <c r="C49" s="13">
        <f>IFERROR(XLOOKUP(A49,PENYEBAB!$E:$E,PENYEBAB!$C:$C),"")</f>
      </c>
      <c r="D49" s="13">
        <f>IFERROR(XLOOKUP(A49,PENYEBAB!$E:$E,PENYEBAB!$K:$K),"")</f>
      </c>
      <c r="E49" s="13">
        <f>IFERROR(XLOOKUP(A49,PENYEBAB!$E:$E,PENYEBAB!$L:$L),"")</f>
      </c>
      <c r="F49" s="9"/>
      <c r="G49" s="9"/>
      <c r="H49" s="9"/>
      <c r="I49" s="9"/>
      <c r="J49" s="9"/>
      <c r="K49" s="9"/>
      <c r="L49" s="13">
        <f>IF(AND(J49&lt;&gt;"",K49&lt;&gt;""),J49*K49,"")</f>
      </c>
      <c r="M49" s="13">
        <f>IF(L49="","",IFS(L49&gt;=20,5,L49&gt;=16,4,L49&gt;=11,3,L49&gt;=6,2,L49&gt;0,1,TRUE,""))</f>
      </c>
      <c r="N49" s="13">
        <f>IFERROR(INDEX({"","Sangat Rendah","Rendah","Sedang","Tinggi","Sangat Tinggi"},M49+1),"")</f>
      </c>
      <c r="O49" s="9"/>
    </row>
    <row r="50" ht="24" customHeight="1" spans="1:15" x14ac:dyDescent="0.25">
      <c r="A50" s="9"/>
      <c r="B50" s="13">
        <f>IFERROR(XLOOKUP(A50,PENYEBAB!$E:$E,PENYEBAB!$B:$B),"")</f>
      </c>
      <c r="C50" s="13">
        <f>IFERROR(XLOOKUP(A50,PENYEBAB!$E:$E,PENYEBAB!$C:$C),"")</f>
      </c>
      <c r="D50" s="13">
        <f>IFERROR(XLOOKUP(A50,PENYEBAB!$E:$E,PENYEBAB!$K:$K),"")</f>
      </c>
      <c r="E50" s="13">
        <f>IFERROR(XLOOKUP(A50,PENYEBAB!$E:$E,PENYEBAB!$L:$L),"")</f>
      </c>
      <c r="F50" s="9"/>
      <c r="G50" s="9"/>
      <c r="H50" s="9"/>
      <c r="I50" s="9"/>
      <c r="J50" s="9"/>
      <c r="K50" s="9"/>
      <c r="L50" s="13">
        <f>IF(AND(J50&lt;&gt;"",K50&lt;&gt;""),J50*K50,"")</f>
      </c>
      <c r="M50" s="13">
        <f>IF(L50="","",IFS(L50&gt;=20,5,L50&gt;=16,4,L50&gt;=11,3,L50&gt;=6,2,L50&gt;0,1,TRUE,""))</f>
      </c>
      <c r="N50" s="13">
        <f>IFERROR(INDEX({"","Sangat Rendah","Rendah","Sedang","Tinggi","Sangat Tinggi"},M50+1),"")</f>
      </c>
      <c r="O50" s="9"/>
    </row>
    <row r="51" ht="24" customHeight="1" spans="1:15" x14ac:dyDescent="0.25">
      <c r="A51" s="9"/>
      <c r="B51" s="13">
        <f>IFERROR(XLOOKUP(A51,PENYEBAB!$E:$E,PENYEBAB!$B:$B),"")</f>
      </c>
      <c r="C51" s="13">
        <f>IFERROR(XLOOKUP(A51,PENYEBAB!$E:$E,PENYEBAB!$C:$C),"")</f>
      </c>
      <c r="D51" s="13">
        <f>IFERROR(XLOOKUP(A51,PENYEBAB!$E:$E,PENYEBAB!$K:$K),"")</f>
      </c>
      <c r="E51" s="13">
        <f>IFERROR(XLOOKUP(A51,PENYEBAB!$E:$E,PENYEBAB!$L:$L),"")</f>
      </c>
      <c r="F51" s="9"/>
      <c r="G51" s="9"/>
      <c r="H51" s="9"/>
      <c r="I51" s="9"/>
      <c r="J51" s="9"/>
      <c r="K51" s="9"/>
      <c r="L51" s="13">
        <f>IF(AND(J51&lt;&gt;"",K51&lt;&gt;""),J51*K51,"")</f>
      </c>
      <c r="M51" s="13">
        <f>IF(L51="","",IFS(L51&gt;=20,5,L51&gt;=16,4,L51&gt;=11,3,L51&gt;=6,2,L51&gt;0,1,TRUE,""))</f>
      </c>
      <c r="N51" s="13">
        <f>IFERROR(INDEX({"","Sangat Rendah","Rendah","Sedang","Tinggi","Sangat Tinggi"},M51+1),"")</f>
      </c>
      <c r="O51" s="9"/>
    </row>
    <row r="52" ht="24" customHeight="1" spans="1:15" x14ac:dyDescent="0.25">
      <c r="A52" s="9"/>
      <c r="B52" s="13">
        <f>IFERROR(XLOOKUP(A52,PENYEBAB!$E:$E,PENYEBAB!$B:$B),"")</f>
      </c>
      <c r="C52" s="13">
        <f>IFERROR(XLOOKUP(A52,PENYEBAB!$E:$E,PENYEBAB!$C:$C),"")</f>
      </c>
      <c r="D52" s="13">
        <f>IFERROR(XLOOKUP(A52,PENYEBAB!$E:$E,PENYEBAB!$K:$K),"")</f>
      </c>
      <c r="E52" s="13">
        <f>IFERROR(XLOOKUP(A52,PENYEBAB!$E:$E,PENYEBAB!$L:$L),"")</f>
      </c>
      <c r="F52" s="9"/>
      <c r="G52" s="9"/>
      <c r="H52" s="9"/>
      <c r="I52" s="9"/>
      <c r="J52" s="9"/>
      <c r="K52" s="9"/>
      <c r="L52" s="13">
        <f>IF(AND(J52&lt;&gt;"",K52&lt;&gt;""),J52*K52,"")</f>
      </c>
      <c r="M52" s="13">
        <f>IF(L52="","",IFS(L52&gt;=20,5,L52&gt;=16,4,L52&gt;=11,3,L52&gt;=6,2,L52&gt;0,1,TRUE,""))</f>
      </c>
      <c r="N52" s="13">
        <f>IFERROR(INDEX({"","Sangat Rendah","Rendah","Sedang","Tinggi","Sangat Tinggi"},M52+1),"")</f>
      </c>
      <c r="O52" s="9"/>
    </row>
    <row r="53" ht="24" customHeight="1" spans="1:15" x14ac:dyDescent="0.25">
      <c r="A53" s="9"/>
      <c r="B53" s="13">
        <f>IFERROR(XLOOKUP(A53,PENYEBAB!$E:$E,PENYEBAB!$B:$B),"")</f>
      </c>
      <c r="C53" s="13">
        <f>IFERROR(XLOOKUP(A53,PENYEBAB!$E:$E,PENYEBAB!$C:$C),"")</f>
      </c>
      <c r="D53" s="13">
        <f>IFERROR(XLOOKUP(A53,PENYEBAB!$E:$E,PENYEBAB!$K:$K),"")</f>
      </c>
      <c r="E53" s="13">
        <f>IFERROR(XLOOKUP(A53,PENYEBAB!$E:$E,PENYEBAB!$L:$L),"")</f>
      </c>
      <c r="F53" s="9"/>
      <c r="G53" s="9"/>
      <c r="H53" s="9"/>
      <c r="I53" s="9"/>
      <c r="J53" s="9"/>
      <c r="K53" s="9"/>
      <c r="L53" s="13">
        <f>IF(AND(J53&lt;&gt;"",K53&lt;&gt;""),J53*K53,"")</f>
      </c>
      <c r="M53" s="13">
        <f>IF(L53="","",IFS(L53&gt;=20,5,L53&gt;=16,4,L53&gt;=11,3,L53&gt;=6,2,L53&gt;0,1,TRUE,""))</f>
      </c>
      <c r="N53" s="13">
        <f>IFERROR(INDEX({"","Sangat Rendah","Rendah","Sedang","Tinggi","Sangat Tinggi"},M53+1),"")</f>
      </c>
      <c r="O53" s="9"/>
    </row>
    <row r="54" ht="24" customHeight="1" spans="1:15" x14ac:dyDescent="0.25">
      <c r="A54" s="9"/>
      <c r="B54" s="13">
        <f>IFERROR(XLOOKUP(A54,PENYEBAB!$E:$E,PENYEBAB!$B:$B),"")</f>
      </c>
      <c r="C54" s="13">
        <f>IFERROR(XLOOKUP(A54,PENYEBAB!$E:$E,PENYEBAB!$C:$C),"")</f>
      </c>
      <c r="D54" s="13">
        <f>IFERROR(XLOOKUP(A54,PENYEBAB!$E:$E,PENYEBAB!$K:$K),"")</f>
      </c>
      <c r="E54" s="13">
        <f>IFERROR(XLOOKUP(A54,PENYEBAB!$E:$E,PENYEBAB!$L:$L),"")</f>
      </c>
      <c r="F54" s="9"/>
      <c r="G54" s="9"/>
      <c r="H54" s="9"/>
      <c r="I54" s="9"/>
      <c r="J54" s="9"/>
      <c r="K54" s="9"/>
      <c r="L54" s="13">
        <f>IF(AND(J54&lt;&gt;"",K54&lt;&gt;""),J54*K54,"")</f>
      </c>
      <c r="M54" s="13">
        <f>IF(L54="","",IFS(L54&gt;=20,5,L54&gt;=16,4,L54&gt;=11,3,L54&gt;=6,2,L54&gt;0,1,TRUE,""))</f>
      </c>
      <c r="N54" s="13">
        <f>IFERROR(INDEX({"","Sangat Rendah","Rendah","Sedang","Tinggi","Sangat Tinggi"},M54+1),"")</f>
      </c>
      <c r="O54" s="9"/>
    </row>
    <row r="55" ht="24" customHeight="1" spans="1:15" x14ac:dyDescent="0.25">
      <c r="A55" s="9"/>
      <c r="B55" s="13">
        <f>IFERROR(XLOOKUP(A55,PENYEBAB!$E:$E,PENYEBAB!$B:$B),"")</f>
      </c>
      <c r="C55" s="13">
        <f>IFERROR(XLOOKUP(A55,PENYEBAB!$E:$E,PENYEBAB!$C:$C),"")</f>
      </c>
      <c r="D55" s="13">
        <f>IFERROR(XLOOKUP(A55,PENYEBAB!$E:$E,PENYEBAB!$K:$K),"")</f>
      </c>
      <c r="E55" s="13">
        <f>IFERROR(XLOOKUP(A55,PENYEBAB!$E:$E,PENYEBAB!$L:$L),"")</f>
      </c>
      <c r="F55" s="9"/>
      <c r="G55" s="9"/>
      <c r="H55" s="9"/>
      <c r="I55" s="9"/>
      <c r="J55" s="9"/>
      <c r="K55" s="9"/>
      <c r="L55" s="13">
        <f>IF(AND(J55&lt;&gt;"",K55&lt;&gt;""),J55*K55,"")</f>
      </c>
      <c r="M55" s="13">
        <f>IF(L55="","",IFS(L55&gt;=20,5,L55&gt;=16,4,L55&gt;=11,3,L55&gt;=6,2,L55&gt;0,1,TRUE,""))</f>
      </c>
      <c r="N55" s="13">
        <f>IFERROR(INDEX({"","Sangat Rendah","Rendah","Sedang","Tinggi","Sangat Tinggi"},M55+1),"")</f>
      </c>
      <c r="O55" s="9"/>
    </row>
    <row r="56" ht="24" customHeight="1" spans="1:15" x14ac:dyDescent="0.25">
      <c r="A56" s="9"/>
      <c r="B56" s="13">
        <f>IFERROR(XLOOKUP(A56,PENYEBAB!$E:$E,PENYEBAB!$B:$B),"")</f>
      </c>
      <c r="C56" s="13">
        <f>IFERROR(XLOOKUP(A56,PENYEBAB!$E:$E,PENYEBAB!$C:$C),"")</f>
      </c>
      <c r="D56" s="13">
        <f>IFERROR(XLOOKUP(A56,PENYEBAB!$E:$E,PENYEBAB!$K:$K),"")</f>
      </c>
      <c r="E56" s="13">
        <f>IFERROR(XLOOKUP(A56,PENYEBAB!$E:$E,PENYEBAB!$L:$L),"")</f>
      </c>
      <c r="F56" s="9"/>
      <c r="G56" s="9"/>
      <c r="H56" s="9"/>
      <c r="I56" s="9"/>
      <c r="J56" s="9"/>
      <c r="K56" s="9"/>
      <c r="L56" s="13">
        <f>IF(AND(J56&lt;&gt;"",K56&lt;&gt;""),J56*K56,"")</f>
      </c>
      <c r="M56" s="13">
        <f>IF(L56="","",IFS(L56&gt;=20,5,L56&gt;=16,4,L56&gt;=11,3,L56&gt;=6,2,L56&gt;0,1,TRUE,""))</f>
      </c>
      <c r="N56" s="13">
        <f>IFERROR(INDEX({"","Sangat Rendah","Rendah","Sedang","Tinggi","Sangat Tinggi"},M56+1),"")</f>
      </c>
      <c r="O56" s="9"/>
    </row>
    <row r="57" ht="24" customHeight="1" spans="1:15" x14ac:dyDescent="0.25">
      <c r="A57" s="9"/>
      <c r="B57" s="13">
        <f>IFERROR(XLOOKUP(A57,PENYEBAB!$E:$E,PENYEBAB!$B:$B),"")</f>
      </c>
      <c r="C57" s="13">
        <f>IFERROR(XLOOKUP(A57,PENYEBAB!$E:$E,PENYEBAB!$C:$C),"")</f>
      </c>
      <c r="D57" s="13">
        <f>IFERROR(XLOOKUP(A57,PENYEBAB!$E:$E,PENYEBAB!$K:$K),"")</f>
      </c>
      <c r="E57" s="13">
        <f>IFERROR(XLOOKUP(A57,PENYEBAB!$E:$E,PENYEBAB!$L:$L),"")</f>
      </c>
      <c r="F57" s="9"/>
      <c r="G57" s="9"/>
      <c r="H57" s="9"/>
      <c r="I57" s="9"/>
      <c r="J57" s="9"/>
      <c r="K57" s="9"/>
      <c r="L57" s="13">
        <f>IF(AND(J57&lt;&gt;"",K57&lt;&gt;""),J57*K57,"")</f>
      </c>
      <c r="M57" s="13">
        <f>IF(L57="","",IFS(L57&gt;=20,5,L57&gt;=16,4,L57&gt;=11,3,L57&gt;=6,2,L57&gt;0,1,TRUE,""))</f>
      </c>
      <c r="N57" s="13">
        <f>IFERROR(INDEX({"","Sangat Rendah","Rendah","Sedang","Tinggi","Sangat Tinggi"},M57+1),"")</f>
      </c>
      <c r="O57" s="9"/>
    </row>
    <row r="58" ht="24" customHeight="1" spans="1:15" x14ac:dyDescent="0.25">
      <c r="A58" s="9"/>
      <c r="B58" s="13">
        <f>IFERROR(XLOOKUP(A58,PENYEBAB!$E:$E,PENYEBAB!$B:$B),"")</f>
      </c>
      <c r="C58" s="13">
        <f>IFERROR(XLOOKUP(A58,PENYEBAB!$E:$E,PENYEBAB!$C:$C),"")</f>
      </c>
      <c r="D58" s="13">
        <f>IFERROR(XLOOKUP(A58,PENYEBAB!$E:$E,PENYEBAB!$K:$K),"")</f>
      </c>
      <c r="E58" s="13">
        <f>IFERROR(XLOOKUP(A58,PENYEBAB!$E:$E,PENYEBAB!$L:$L),"")</f>
      </c>
      <c r="F58" s="9"/>
      <c r="G58" s="9"/>
      <c r="H58" s="9"/>
      <c r="I58" s="9"/>
      <c r="J58" s="9"/>
      <c r="K58" s="9"/>
      <c r="L58" s="13">
        <f>IF(AND(J58&lt;&gt;"",K58&lt;&gt;""),J58*K58,"")</f>
      </c>
      <c r="M58" s="13">
        <f>IF(L58="","",IFS(L58&gt;=20,5,L58&gt;=16,4,L58&gt;=11,3,L58&gt;=6,2,L58&gt;0,1,TRUE,""))</f>
      </c>
      <c r="N58" s="13">
        <f>IFERROR(INDEX({"","Sangat Rendah","Rendah","Sedang","Tinggi","Sangat Tinggi"},M58+1),"")</f>
      </c>
      <c r="O58" s="9"/>
    </row>
    <row r="59" ht="24" customHeight="1" spans="1:15" x14ac:dyDescent="0.25">
      <c r="A59" s="9"/>
      <c r="B59" s="13">
        <f>IFERROR(XLOOKUP(A59,PENYEBAB!$E:$E,PENYEBAB!$B:$B),"")</f>
      </c>
      <c r="C59" s="13">
        <f>IFERROR(XLOOKUP(A59,PENYEBAB!$E:$E,PENYEBAB!$C:$C),"")</f>
      </c>
      <c r="D59" s="13">
        <f>IFERROR(XLOOKUP(A59,PENYEBAB!$E:$E,PENYEBAB!$K:$K),"")</f>
      </c>
      <c r="E59" s="13">
        <f>IFERROR(XLOOKUP(A59,PENYEBAB!$E:$E,PENYEBAB!$L:$L),"")</f>
      </c>
      <c r="F59" s="9"/>
      <c r="G59" s="9"/>
      <c r="H59" s="9"/>
      <c r="I59" s="9"/>
      <c r="J59" s="9"/>
      <c r="K59" s="9"/>
      <c r="L59" s="13">
        <f>IF(AND(J59&lt;&gt;"",K59&lt;&gt;""),J59*K59,"")</f>
      </c>
      <c r="M59" s="13">
        <f>IF(L59="","",IFS(L59&gt;=20,5,L59&gt;=16,4,L59&gt;=11,3,L59&gt;=6,2,L59&gt;0,1,TRUE,""))</f>
      </c>
      <c r="N59" s="13">
        <f>IFERROR(INDEX({"","Sangat Rendah","Rendah","Sedang","Tinggi","Sangat Tinggi"},M59+1),"")</f>
      </c>
      <c r="O59" s="9"/>
    </row>
    <row r="60" ht="24" customHeight="1" spans="1:15" x14ac:dyDescent="0.25">
      <c r="A60" s="9"/>
      <c r="B60" s="13">
        <f>IFERROR(XLOOKUP(A60,PENYEBAB!$E:$E,PENYEBAB!$B:$B),"")</f>
      </c>
      <c r="C60" s="13">
        <f>IFERROR(XLOOKUP(A60,PENYEBAB!$E:$E,PENYEBAB!$C:$C),"")</f>
      </c>
      <c r="D60" s="13">
        <f>IFERROR(XLOOKUP(A60,PENYEBAB!$E:$E,PENYEBAB!$K:$K),"")</f>
      </c>
      <c r="E60" s="13">
        <f>IFERROR(XLOOKUP(A60,PENYEBAB!$E:$E,PENYEBAB!$L:$L),"")</f>
      </c>
      <c r="F60" s="9"/>
      <c r="G60" s="9"/>
      <c r="H60" s="9"/>
      <c r="I60" s="9"/>
      <c r="J60" s="9"/>
      <c r="K60" s="9"/>
      <c r="L60" s="13">
        <f>IF(AND(J60&lt;&gt;"",K60&lt;&gt;""),J60*K60,"")</f>
      </c>
      <c r="M60" s="13">
        <f>IF(L60="","",IFS(L60&gt;=20,5,L60&gt;=16,4,L60&gt;=11,3,L60&gt;=6,2,L60&gt;0,1,TRUE,""))</f>
      </c>
      <c r="N60" s="13">
        <f>IFERROR(INDEX({"","Sangat Rendah","Rendah","Sedang","Tinggi","Sangat Tinggi"},M60+1),"")</f>
      </c>
      <c r="O60" s="9"/>
    </row>
    <row r="61" ht="24" customHeight="1" spans="1:15" x14ac:dyDescent="0.25">
      <c r="A61" s="9"/>
      <c r="B61" s="13">
        <f>IFERROR(XLOOKUP(A61,PENYEBAB!$E:$E,PENYEBAB!$B:$B),"")</f>
      </c>
      <c r="C61" s="13">
        <f>IFERROR(XLOOKUP(A61,PENYEBAB!$E:$E,PENYEBAB!$C:$C),"")</f>
      </c>
      <c r="D61" s="13">
        <f>IFERROR(XLOOKUP(A61,PENYEBAB!$E:$E,PENYEBAB!$K:$K),"")</f>
      </c>
      <c r="E61" s="13">
        <f>IFERROR(XLOOKUP(A61,PENYEBAB!$E:$E,PENYEBAB!$L:$L),"")</f>
      </c>
      <c r="F61" s="9"/>
      <c r="G61" s="9"/>
      <c r="H61" s="9"/>
      <c r="I61" s="9"/>
      <c r="J61" s="9"/>
      <c r="K61" s="9"/>
      <c r="L61" s="13">
        <f>IF(AND(J61&lt;&gt;"",K61&lt;&gt;""),J61*K61,"")</f>
      </c>
      <c r="M61" s="13">
        <f>IF(L61="","",IFS(L61&gt;=20,5,L61&gt;=16,4,L61&gt;=11,3,L61&gt;=6,2,L61&gt;0,1,TRUE,""))</f>
      </c>
      <c r="N61" s="13">
        <f>IFERROR(INDEX({"","Sangat Rendah","Rendah","Sedang","Tinggi","Sangat Tinggi"},M61+1),"")</f>
      </c>
      <c r="O61" s="9"/>
    </row>
    <row r="62" ht="24" customHeight="1" spans="1:15" x14ac:dyDescent="0.25">
      <c r="A62" s="9"/>
      <c r="B62" s="13">
        <f>IFERROR(XLOOKUP(A62,PENYEBAB!$E:$E,PENYEBAB!$B:$B),"")</f>
      </c>
      <c r="C62" s="13">
        <f>IFERROR(XLOOKUP(A62,PENYEBAB!$E:$E,PENYEBAB!$C:$C),"")</f>
      </c>
      <c r="D62" s="13">
        <f>IFERROR(XLOOKUP(A62,PENYEBAB!$E:$E,PENYEBAB!$K:$K),"")</f>
      </c>
      <c r="E62" s="13">
        <f>IFERROR(XLOOKUP(A62,PENYEBAB!$E:$E,PENYEBAB!$L:$L),"")</f>
      </c>
      <c r="F62" s="9"/>
      <c r="G62" s="9"/>
      <c r="H62" s="9"/>
      <c r="I62" s="9"/>
      <c r="J62" s="9"/>
      <c r="K62" s="9"/>
      <c r="L62" s="13">
        <f>IF(AND(J62&lt;&gt;"",K62&lt;&gt;""),J62*K62,"")</f>
      </c>
      <c r="M62" s="13">
        <f>IF(L62="","",IFS(L62&gt;=20,5,L62&gt;=16,4,L62&gt;=11,3,L62&gt;=6,2,L62&gt;0,1,TRUE,""))</f>
      </c>
      <c r="N62" s="13">
        <f>IFERROR(INDEX({"","Sangat Rendah","Rendah","Sedang","Tinggi","Sangat Tinggi"},M62+1),"")</f>
      </c>
      <c r="O62" s="9"/>
    </row>
    <row r="63" ht="24" customHeight="1" spans="1:15" x14ac:dyDescent="0.25">
      <c r="A63" s="9"/>
      <c r="B63" s="13">
        <f>IFERROR(XLOOKUP(A63,PENYEBAB!$E:$E,PENYEBAB!$B:$B),"")</f>
      </c>
      <c r="C63" s="13">
        <f>IFERROR(XLOOKUP(A63,PENYEBAB!$E:$E,PENYEBAB!$C:$C),"")</f>
      </c>
      <c r="D63" s="13">
        <f>IFERROR(XLOOKUP(A63,PENYEBAB!$E:$E,PENYEBAB!$K:$K),"")</f>
      </c>
      <c r="E63" s="13">
        <f>IFERROR(XLOOKUP(A63,PENYEBAB!$E:$E,PENYEBAB!$L:$L),"")</f>
      </c>
      <c r="F63" s="9"/>
      <c r="G63" s="9"/>
      <c r="H63" s="9"/>
      <c r="I63" s="9"/>
      <c r="J63" s="9"/>
      <c r="K63" s="9"/>
      <c r="L63" s="13">
        <f>IF(AND(J63&lt;&gt;"",K63&lt;&gt;""),J63*K63,"")</f>
      </c>
      <c r="M63" s="13">
        <f>IF(L63="","",IFS(L63&gt;=20,5,L63&gt;=16,4,L63&gt;=11,3,L63&gt;=6,2,L63&gt;0,1,TRUE,""))</f>
      </c>
      <c r="N63" s="13">
        <f>IFERROR(INDEX({"","Sangat Rendah","Rendah","Sedang","Tinggi","Sangat Tinggi"},M63+1),"")</f>
      </c>
      <c r="O63" s="9"/>
    </row>
    <row r="64" ht="24" customHeight="1" spans="1:15" x14ac:dyDescent="0.25">
      <c r="A64" s="9"/>
      <c r="B64" s="13">
        <f>IFERROR(XLOOKUP(A64,PENYEBAB!$E:$E,PENYEBAB!$B:$B),"")</f>
      </c>
      <c r="C64" s="13">
        <f>IFERROR(XLOOKUP(A64,PENYEBAB!$E:$E,PENYEBAB!$C:$C),"")</f>
      </c>
      <c r="D64" s="13">
        <f>IFERROR(XLOOKUP(A64,PENYEBAB!$E:$E,PENYEBAB!$K:$K),"")</f>
      </c>
      <c r="E64" s="13">
        <f>IFERROR(XLOOKUP(A64,PENYEBAB!$E:$E,PENYEBAB!$L:$L),"")</f>
      </c>
      <c r="F64" s="9"/>
      <c r="G64" s="9"/>
      <c r="H64" s="9"/>
      <c r="I64" s="9"/>
      <c r="J64" s="9"/>
      <c r="K64" s="9"/>
      <c r="L64" s="13">
        <f>IF(AND(J64&lt;&gt;"",K64&lt;&gt;""),J64*K64,"")</f>
      </c>
      <c r="M64" s="13">
        <f>IF(L64="","",IFS(L64&gt;=20,5,L64&gt;=16,4,L64&gt;=11,3,L64&gt;=6,2,L64&gt;0,1,TRUE,""))</f>
      </c>
      <c r="N64" s="13">
        <f>IFERROR(INDEX({"","Sangat Rendah","Rendah","Sedang","Tinggi","Sangat Tinggi"},M64+1),"")</f>
      </c>
      <c r="O64" s="9"/>
    </row>
    <row r="65" ht="24" customHeight="1" spans="1:15" x14ac:dyDescent="0.25">
      <c r="A65" s="9"/>
      <c r="B65" s="13">
        <f>IFERROR(XLOOKUP(A65,PENYEBAB!$E:$E,PENYEBAB!$B:$B),"")</f>
      </c>
      <c r="C65" s="13">
        <f>IFERROR(XLOOKUP(A65,PENYEBAB!$E:$E,PENYEBAB!$C:$C),"")</f>
      </c>
      <c r="D65" s="13">
        <f>IFERROR(XLOOKUP(A65,PENYEBAB!$E:$E,PENYEBAB!$K:$K),"")</f>
      </c>
      <c r="E65" s="13">
        <f>IFERROR(XLOOKUP(A65,PENYEBAB!$E:$E,PENYEBAB!$L:$L),"")</f>
      </c>
      <c r="F65" s="9"/>
      <c r="G65" s="9"/>
      <c r="H65" s="9"/>
      <c r="I65" s="9"/>
      <c r="J65" s="9"/>
      <c r="K65" s="9"/>
      <c r="L65" s="13">
        <f>IF(AND(J65&lt;&gt;"",K65&lt;&gt;""),J65*K65,"")</f>
      </c>
      <c r="M65" s="13">
        <f>IF(L65="","",IFS(L65&gt;=20,5,L65&gt;=16,4,L65&gt;=11,3,L65&gt;=6,2,L65&gt;0,1,TRUE,""))</f>
      </c>
      <c r="N65" s="13">
        <f>IFERROR(INDEX({"","Sangat Rendah","Rendah","Sedang","Tinggi","Sangat Tinggi"},M65+1),"")</f>
      </c>
      <c r="O65" s="9"/>
    </row>
    <row r="66" ht="24" customHeight="1" spans="1:15" x14ac:dyDescent="0.25">
      <c r="A66" s="9"/>
      <c r="B66" s="13">
        <f>IFERROR(XLOOKUP(A66,PENYEBAB!$E:$E,PENYEBAB!$B:$B),"")</f>
      </c>
      <c r="C66" s="13">
        <f>IFERROR(XLOOKUP(A66,PENYEBAB!$E:$E,PENYEBAB!$C:$C),"")</f>
      </c>
      <c r="D66" s="13">
        <f>IFERROR(XLOOKUP(A66,PENYEBAB!$E:$E,PENYEBAB!$K:$K),"")</f>
      </c>
      <c r="E66" s="13">
        <f>IFERROR(XLOOKUP(A66,PENYEBAB!$E:$E,PENYEBAB!$L:$L),"")</f>
      </c>
      <c r="F66" s="9"/>
      <c r="G66" s="9"/>
      <c r="H66" s="9"/>
      <c r="I66" s="9"/>
      <c r="J66" s="9"/>
      <c r="K66" s="9"/>
      <c r="L66" s="13">
        <f>IF(AND(J66&lt;&gt;"",K66&lt;&gt;""),J66*K66,"")</f>
      </c>
      <c r="M66" s="13">
        <f>IF(L66="","",IFS(L66&gt;=20,5,L66&gt;=16,4,L66&gt;=11,3,L66&gt;=6,2,L66&gt;0,1,TRUE,""))</f>
      </c>
      <c r="N66" s="13">
        <f>IFERROR(INDEX({"","Sangat Rendah","Rendah","Sedang","Tinggi","Sangat Tinggi"},M66+1),"")</f>
      </c>
      <c r="O66" s="9"/>
    </row>
    <row r="67" ht="24" customHeight="1" spans="1:15" x14ac:dyDescent="0.25">
      <c r="A67" s="9"/>
      <c r="B67" s="13">
        <f>IFERROR(XLOOKUP(A67,PENYEBAB!$E:$E,PENYEBAB!$B:$B),"")</f>
      </c>
      <c r="C67" s="13">
        <f>IFERROR(XLOOKUP(A67,PENYEBAB!$E:$E,PENYEBAB!$C:$C),"")</f>
      </c>
      <c r="D67" s="13">
        <f>IFERROR(XLOOKUP(A67,PENYEBAB!$E:$E,PENYEBAB!$K:$K),"")</f>
      </c>
      <c r="E67" s="13">
        <f>IFERROR(XLOOKUP(A67,PENYEBAB!$E:$E,PENYEBAB!$L:$L),"")</f>
      </c>
      <c r="F67" s="9"/>
      <c r="G67" s="9"/>
      <c r="H67" s="9"/>
      <c r="I67" s="9"/>
      <c r="J67" s="9"/>
      <c r="K67" s="9"/>
      <c r="L67" s="13">
        <f>IF(AND(J67&lt;&gt;"",K67&lt;&gt;""),J67*K67,"")</f>
      </c>
      <c r="M67" s="13">
        <f>IF(L67="","",IFS(L67&gt;=20,5,L67&gt;=16,4,L67&gt;=11,3,L67&gt;=6,2,L67&gt;0,1,TRUE,""))</f>
      </c>
      <c r="N67" s="13">
        <f>IFERROR(INDEX({"","Sangat Rendah","Rendah","Sedang","Tinggi","Sangat Tinggi"},M67+1),"")</f>
      </c>
      <c r="O67" s="9"/>
    </row>
    <row r="68" ht="24" customHeight="1" spans="1:15" x14ac:dyDescent="0.25">
      <c r="A68" s="9"/>
      <c r="B68" s="13">
        <f>IFERROR(XLOOKUP(A68,PENYEBAB!$E:$E,PENYEBAB!$B:$B),"")</f>
      </c>
      <c r="C68" s="13">
        <f>IFERROR(XLOOKUP(A68,PENYEBAB!$E:$E,PENYEBAB!$C:$C),"")</f>
      </c>
      <c r="D68" s="13">
        <f>IFERROR(XLOOKUP(A68,PENYEBAB!$E:$E,PENYEBAB!$K:$K),"")</f>
      </c>
      <c r="E68" s="13">
        <f>IFERROR(XLOOKUP(A68,PENYEBAB!$E:$E,PENYEBAB!$L:$L),"")</f>
      </c>
      <c r="F68" s="9"/>
      <c r="G68" s="9"/>
      <c r="H68" s="9"/>
      <c r="I68" s="9"/>
      <c r="J68" s="9"/>
      <c r="K68" s="9"/>
      <c r="L68" s="13">
        <f>IF(AND(J68&lt;&gt;"",K68&lt;&gt;""),J68*K68,"")</f>
      </c>
      <c r="M68" s="13">
        <f>IF(L68="","",IFS(L68&gt;=20,5,L68&gt;=16,4,L68&gt;=11,3,L68&gt;=6,2,L68&gt;0,1,TRUE,""))</f>
      </c>
      <c r="N68" s="13">
        <f>IFERROR(INDEX({"","Sangat Rendah","Rendah","Sedang","Tinggi","Sangat Tinggi"},M68+1),"")</f>
      </c>
      <c r="O68" s="9"/>
    </row>
    <row r="69" ht="24" customHeight="1" spans="1:15" x14ac:dyDescent="0.25">
      <c r="A69" s="9"/>
      <c r="B69" s="13">
        <f>IFERROR(XLOOKUP(A69,PENYEBAB!$E:$E,PENYEBAB!$B:$B),"")</f>
      </c>
      <c r="C69" s="13">
        <f>IFERROR(XLOOKUP(A69,PENYEBAB!$E:$E,PENYEBAB!$C:$C),"")</f>
      </c>
      <c r="D69" s="13">
        <f>IFERROR(XLOOKUP(A69,PENYEBAB!$E:$E,PENYEBAB!$K:$K),"")</f>
      </c>
      <c r="E69" s="13">
        <f>IFERROR(XLOOKUP(A69,PENYEBAB!$E:$E,PENYEBAB!$L:$L),"")</f>
      </c>
      <c r="F69" s="9"/>
      <c r="G69" s="9"/>
      <c r="H69" s="9"/>
      <c r="I69" s="9"/>
      <c r="J69" s="9"/>
      <c r="K69" s="9"/>
      <c r="L69" s="13">
        <f>IF(AND(J69&lt;&gt;"",K69&lt;&gt;""),J69*K69,"")</f>
      </c>
      <c r="M69" s="13">
        <f>IF(L69="","",IFS(L69&gt;=20,5,L69&gt;=16,4,L69&gt;=11,3,L69&gt;=6,2,L69&gt;0,1,TRUE,""))</f>
      </c>
      <c r="N69" s="13">
        <f>IFERROR(INDEX({"","Sangat Rendah","Rendah","Sedang","Tinggi","Sangat Tinggi"},M69+1),"")</f>
      </c>
      <c r="O69" s="9"/>
    </row>
    <row r="70" ht="24" customHeight="1" spans="1:15" x14ac:dyDescent="0.25">
      <c r="A70" s="9"/>
      <c r="B70" s="13">
        <f>IFERROR(XLOOKUP(A70,PENYEBAB!$E:$E,PENYEBAB!$B:$B),"")</f>
      </c>
      <c r="C70" s="13">
        <f>IFERROR(XLOOKUP(A70,PENYEBAB!$E:$E,PENYEBAB!$C:$C),"")</f>
      </c>
      <c r="D70" s="13">
        <f>IFERROR(XLOOKUP(A70,PENYEBAB!$E:$E,PENYEBAB!$K:$K),"")</f>
      </c>
      <c r="E70" s="13">
        <f>IFERROR(XLOOKUP(A70,PENYEBAB!$E:$E,PENYEBAB!$L:$L),"")</f>
      </c>
      <c r="F70" s="9"/>
      <c r="G70" s="9"/>
      <c r="H70" s="9"/>
      <c r="I70" s="9"/>
      <c r="J70" s="9"/>
      <c r="K70" s="9"/>
      <c r="L70" s="13">
        <f>IF(AND(J70&lt;&gt;"",K70&lt;&gt;""),J70*K70,"")</f>
      </c>
      <c r="M70" s="13">
        <f>IF(L70="","",IFS(L70&gt;=20,5,L70&gt;=16,4,L70&gt;=11,3,L70&gt;=6,2,L70&gt;0,1,TRUE,""))</f>
      </c>
      <c r="N70" s="13">
        <f>IFERROR(INDEX({"","Sangat Rendah","Rendah","Sedang","Tinggi","Sangat Tinggi"},M70+1),"")</f>
      </c>
      <c r="O70" s="9"/>
    </row>
    <row r="71" ht="24" customHeight="1" spans="1:15" x14ac:dyDescent="0.25">
      <c r="A71" s="9"/>
      <c r="B71" s="13">
        <f>IFERROR(XLOOKUP(A71,PENYEBAB!$E:$E,PENYEBAB!$B:$B),"")</f>
      </c>
      <c r="C71" s="13">
        <f>IFERROR(XLOOKUP(A71,PENYEBAB!$E:$E,PENYEBAB!$C:$C),"")</f>
      </c>
      <c r="D71" s="13">
        <f>IFERROR(XLOOKUP(A71,PENYEBAB!$E:$E,PENYEBAB!$K:$K),"")</f>
      </c>
      <c r="E71" s="13">
        <f>IFERROR(XLOOKUP(A71,PENYEBAB!$E:$E,PENYEBAB!$L:$L),"")</f>
      </c>
      <c r="F71" s="9"/>
      <c r="G71" s="9"/>
      <c r="H71" s="9"/>
      <c r="I71" s="9"/>
      <c r="J71" s="9"/>
      <c r="K71" s="9"/>
      <c r="L71" s="13">
        <f>IF(AND(J71&lt;&gt;"",K71&lt;&gt;""),J71*K71,"")</f>
      </c>
      <c r="M71" s="13">
        <f>IF(L71="","",IFS(L71&gt;=20,5,L71&gt;=16,4,L71&gt;=11,3,L71&gt;=6,2,L71&gt;0,1,TRUE,""))</f>
      </c>
      <c r="N71" s="13">
        <f>IFERROR(INDEX({"","Sangat Rendah","Rendah","Sedang","Tinggi","Sangat Tinggi"},M71+1),"")</f>
      </c>
      <c r="O71" s="9"/>
    </row>
    <row r="72" ht="24" customHeight="1" spans="1:15" x14ac:dyDescent="0.25">
      <c r="A72" s="9"/>
      <c r="B72" s="13">
        <f>IFERROR(XLOOKUP(A72,PENYEBAB!$E:$E,PENYEBAB!$B:$B),"")</f>
      </c>
      <c r="C72" s="13">
        <f>IFERROR(XLOOKUP(A72,PENYEBAB!$E:$E,PENYEBAB!$C:$C),"")</f>
      </c>
      <c r="D72" s="13">
        <f>IFERROR(XLOOKUP(A72,PENYEBAB!$E:$E,PENYEBAB!$K:$K),"")</f>
      </c>
      <c r="E72" s="13">
        <f>IFERROR(XLOOKUP(A72,PENYEBAB!$E:$E,PENYEBAB!$L:$L),"")</f>
      </c>
      <c r="F72" s="9"/>
      <c r="G72" s="9"/>
      <c r="H72" s="9"/>
      <c r="I72" s="9"/>
      <c r="J72" s="9"/>
      <c r="K72" s="9"/>
      <c r="L72" s="13">
        <f>IF(AND(J72&lt;&gt;"",K72&lt;&gt;""),J72*K72,"")</f>
      </c>
      <c r="M72" s="13">
        <f>IF(L72="","",IFS(L72&gt;=20,5,L72&gt;=16,4,L72&gt;=11,3,L72&gt;=6,2,L72&gt;0,1,TRUE,""))</f>
      </c>
      <c r="N72" s="13">
        <f>IFERROR(INDEX({"","Sangat Rendah","Rendah","Sedang","Tinggi","Sangat Tinggi"},M72+1),"")</f>
      </c>
      <c r="O72" s="9"/>
    </row>
    <row r="73" ht="24" customHeight="1" spans="1:15" x14ac:dyDescent="0.25">
      <c r="A73" s="9"/>
      <c r="B73" s="13">
        <f>IFERROR(XLOOKUP(A73,PENYEBAB!$E:$E,PENYEBAB!$B:$B),"")</f>
      </c>
      <c r="C73" s="13">
        <f>IFERROR(XLOOKUP(A73,PENYEBAB!$E:$E,PENYEBAB!$C:$C),"")</f>
      </c>
      <c r="D73" s="13">
        <f>IFERROR(XLOOKUP(A73,PENYEBAB!$E:$E,PENYEBAB!$K:$K),"")</f>
      </c>
      <c r="E73" s="13">
        <f>IFERROR(XLOOKUP(A73,PENYEBAB!$E:$E,PENYEBAB!$L:$L),"")</f>
      </c>
      <c r="F73" s="9"/>
      <c r="G73" s="9"/>
      <c r="H73" s="9"/>
      <c r="I73" s="9"/>
      <c r="J73" s="9"/>
      <c r="K73" s="9"/>
      <c r="L73" s="13">
        <f>IF(AND(J73&lt;&gt;"",K73&lt;&gt;""),J73*K73,"")</f>
      </c>
      <c r="M73" s="13">
        <f>IF(L73="","",IFS(L73&gt;=20,5,L73&gt;=16,4,L73&gt;=11,3,L73&gt;=6,2,L73&gt;0,1,TRUE,""))</f>
      </c>
      <c r="N73" s="13">
        <f>IFERROR(INDEX({"","Sangat Rendah","Rendah","Sedang","Tinggi","Sangat Tinggi"},M73+1),"")</f>
      </c>
      <c r="O73" s="9"/>
    </row>
    <row r="74" ht="24" customHeight="1" spans="1:15" x14ac:dyDescent="0.25">
      <c r="A74" s="9"/>
      <c r="B74" s="13">
        <f>IFERROR(XLOOKUP(A74,PENYEBAB!$E:$E,PENYEBAB!$B:$B),"")</f>
      </c>
      <c r="C74" s="13">
        <f>IFERROR(XLOOKUP(A74,PENYEBAB!$E:$E,PENYEBAB!$C:$C),"")</f>
      </c>
      <c r="D74" s="13">
        <f>IFERROR(XLOOKUP(A74,PENYEBAB!$E:$E,PENYEBAB!$K:$K),"")</f>
      </c>
      <c r="E74" s="13">
        <f>IFERROR(XLOOKUP(A74,PENYEBAB!$E:$E,PENYEBAB!$L:$L),"")</f>
      </c>
      <c r="F74" s="9"/>
      <c r="G74" s="9"/>
      <c r="H74" s="9"/>
      <c r="I74" s="9"/>
      <c r="J74" s="9"/>
      <c r="K74" s="9"/>
      <c r="L74" s="13">
        <f>IF(AND(J74&lt;&gt;"",K74&lt;&gt;""),J74*K74,"")</f>
      </c>
      <c r="M74" s="13">
        <f>IF(L74="","",IFS(L74&gt;=20,5,L74&gt;=16,4,L74&gt;=11,3,L74&gt;=6,2,L74&gt;0,1,TRUE,""))</f>
      </c>
      <c r="N74" s="13">
        <f>IFERROR(INDEX({"","Sangat Rendah","Rendah","Sedang","Tinggi","Sangat Tinggi"},M74+1),"")</f>
      </c>
      <c r="O74" s="9"/>
    </row>
    <row r="75" ht="24" customHeight="1" spans="1:15" x14ac:dyDescent="0.25">
      <c r="A75" s="9"/>
      <c r="B75" s="13">
        <f>IFERROR(XLOOKUP(A75,PENYEBAB!$E:$E,PENYEBAB!$B:$B),"")</f>
      </c>
      <c r="C75" s="13">
        <f>IFERROR(XLOOKUP(A75,PENYEBAB!$E:$E,PENYEBAB!$C:$C),"")</f>
      </c>
      <c r="D75" s="13">
        <f>IFERROR(XLOOKUP(A75,PENYEBAB!$E:$E,PENYEBAB!$K:$K),"")</f>
      </c>
      <c r="E75" s="13">
        <f>IFERROR(XLOOKUP(A75,PENYEBAB!$E:$E,PENYEBAB!$L:$L),"")</f>
      </c>
      <c r="F75" s="9"/>
      <c r="G75" s="9"/>
      <c r="H75" s="9"/>
      <c r="I75" s="9"/>
      <c r="J75" s="9"/>
      <c r="K75" s="9"/>
      <c r="L75" s="13">
        <f>IF(AND(J75&lt;&gt;"",K75&lt;&gt;""),J75*K75,"")</f>
      </c>
      <c r="M75" s="13">
        <f>IF(L75="","",IFS(L75&gt;=20,5,L75&gt;=16,4,L75&gt;=11,3,L75&gt;=6,2,L75&gt;0,1,TRUE,""))</f>
      </c>
      <c r="N75" s="13">
        <f>IFERROR(INDEX({"","Sangat Rendah","Rendah","Sedang","Tinggi","Sangat Tinggi"},M75+1),"")</f>
      </c>
      <c r="O75" s="9"/>
    </row>
    <row r="76" ht="24" customHeight="1" spans="1:15" x14ac:dyDescent="0.25">
      <c r="A76" s="9"/>
      <c r="B76" s="13">
        <f>IFERROR(XLOOKUP(A76,PENYEBAB!$E:$E,PENYEBAB!$B:$B),"")</f>
      </c>
      <c r="C76" s="13">
        <f>IFERROR(XLOOKUP(A76,PENYEBAB!$E:$E,PENYEBAB!$C:$C),"")</f>
      </c>
      <c r="D76" s="13">
        <f>IFERROR(XLOOKUP(A76,PENYEBAB!$E:$E,PENYEBAB!$K:$K),"")</f>
      </c>
      <c r="E76" s="13">
        <f>IFERROR(XLOOKUP(A76,PENYEBAB!$E:$E,PENYEBAB!$L:$L),"")</f>
      </c>
      <c r="F76" s="9"/>
      <c r="G76" s="9"/>
      <c r="H76" s="9"/>
      <c r="I76" s="9"/>
      <c r="J76" s="9"/>
      <c r="K76" s="9"/>
      <c r="L76" s="13">
        <f>IF(AND(J76&lt;&gt;"",K76&lt;&gt;""),J76*K76,"")</f>
      </c>
      <c r="M76" s="13">
        <f>IF(L76="","",IFS(L76&gt;=20,5,L76&gt;=16,4,L76&gt;=11,3,L76&gt;=6,2,L76&gt;0,1,TRUE,""))</f>
      </c>
      <c r="N76" s="13">
        <f>IFERROR(INDEX({"","Sangat Rendah","Rendah","Sedang","Tinggi","Sangat Tinggi"},M76+1),"")</f>
      </c>
      <c r="O76" s="9"/>
    </row>
    <row r="77" ht="24" customHeight="1" spans="1:15" x14ac:dyDescent="0.25">
      <c r="A77" s="9"/>
      <c r="B77" s="13">
        <f>IFERROR(XLOOKUP(A77,PENYEBAB!$E:$E,PENYEBAB!$B:$B),"")</f>
      </c>
      <c r="C77" s="13">
        <f>IFERROR(XLOOKUP(A77,PENYEBAB!$E:$E,PENYEBAB!$C:$C),"")</f>
      </c>
      <c r="D77" s="13">
        <f>IFERROR(XLOOKUP(A77,PENYEBAB!$E:$E,PENYEBAB!$K:$K),"")</f>
      </c>
      <c r="E77" s="13">
        <f>IFERROR(XLOOKUP(A77,PENYEBAB!$E:$E,PENYEBAB!$L:$L),"")</f>
      </c>
      <c r="F77" s="9"/>
      <c r="G77" s="9"/>
      <c r="H77" s="9"/>
      <c r="I77" s="9"/>
      <c r="J77" s="9"/>
      <c r="K77" s="9"/>
      <c r="L77" s="13">
        <f>IF(AND(J77&lt;&gt;"",K77&lt;&gt;""),J77*K77,"")</f>
      </c>
      <c r="M77" s="13">
        <f>IF(L77="","",IFS(L77&gt;=20,5,L77&gt;=16,4,L77&gt;=11,3,L77&gt;=6,2,L77&gt;0,1,TRUE,""))</f>
      </c>
      <c r="N77" s="13">
        <f>IFERROR(INDEX({"","Sangat Rendah","Rendah","Sedang","Tinggi","Sangat Tinggi"},M77+1),"")</f>
      </c>
      <c r="O77" s="9"/>
    </row>
    <row r="78" ht="24" customHeight="1" spans="1:15" x14ac:dyDescent="0.25">
      <c r="A78" s="9"/>
      <c r="B78" s="13">
        <f>IFERROR(XLOOKUP(A78,PENYEBAB!$E:$E,PENYEBAB!$B:$B),"")</f>
      </c>
      <c r="C78" s="13">
        <f>IFERROR(XLOOKUP(A78,PENYEBAB!$E:$E,PENYEBAB!$C:$C),"")</f>
      </c>
      <c r="D78" s="13">
        <f>IFERROR(XLOOKUP(A78,PENYEBAB!$E:$E,PENYEBAB!$K:$K),"")</f>
      </c>
      <c r="E78" s="13">
        <f>IFERROR(XLOOKUP(A78,PENYEBAB!$E:$E,PENYEBAB!$L:$L),"")</f>
      </c>
      <c r="F78" s="9"/>
      <c r="G78" s="9"/>
      <c r="H78" s="9"/>
      <c r="I78" s="9"/>
      <c r="J78" s="9"/>
      <c r="K78" s="9"/>
      <c r="L78" s="13">
        <f>IF(AND(J78&lt;&gt;"",K78&lt;&gt;""),J78*K78,"")</f>
      </c>
      <c r="M78" s="13">
        <f>IF(L78="","",IFS(L78&gt;=20,5,L78&gt;=16,4,L78&gt;=11,3,L78&gt;=6,2,L78&gt;0,1,TRUE,""))</f>
      </c>
      <c r="N78" s="13">
        <f>IFERROR(INDEX({"","Sangat Rendah","Rendah","Sedang","Tinggi","Sangat Tinggi"},M78+1),"")</f>
      </c>
      <c r="O78" s="9"/>
    </row>
    <row r="79" ht="24" customHeight="1" spans="1:15" x14ac:dyDescent="0.25">
      <c r="A79" s="9"/>
      <c r="B79" s="13">
        <f>IFERROR(XLOOKUP(A79,PENYEBAB!$E:$E,PENYEBAB!$B:$B),"")</f>
      </c>
      <c r="C79" s="13">
        <f>IFERROR(XLOOKUP(A79,PENYEBAB!$E:$E,PENYEBAB!$C:$C),"")</f>
      </c>
      <c r="D79" s="13">
        <f>IFERROR(XLOOKUP(A79,PENYEBAB!$E:$E,PENYEBAB!$K:$K),"")</f>
      </c>
      <c r="E79" s="13">
        <f>IFERROR(XLOOKUP(A79,PENYEBAB!$E:$E,PENYEBAB!$L:$L),"")</f>
      </c>
      <c r="F79" s="9"/>
      <c r="G79" s="9"/>
      <c r="H79" s="9"/>
      <c r="I79" s="9"/>
      <c r="J79" s="9"/>
      <c r="K79" s="9"/>
      <c r="L79" s="13">
        <f>IF(AND(J79&lt;&gt;"",K79&lt;&gt;""),J79*K79,"")</f>
      </c>
      <c r="M79" s="13">
        <f>IF(L79="","",IFS(L79&gt;=20,5,L79&gt;=16,4,L79&gt;=11,3,L79&gt;=6,2,L79&gt;0,1,TRUE,""))</f>
      </c>
      <c r="N79" s="13">
        <f>IFERROR(INDEX({"","Sangat Rendah","Rendah","Sedang","Tinggi","Sangat Tinggi"},M79+1),"")</f>
      </c>
      <c r="O79" s="9"/>
    </row>
    <row r="80" ht="24" customHeight="1" spans="1:15" x14ac:dyDescent="0.25">
      <c r="A80" s="9"/>
      <c r="B80" s="13">
        <f>IFERROR(XLOOKUP(A80,PENYEBAB!$E:$E,PENYEBAB!$B:$B),"")</f>
      </c>
      <c r="C80" s="13">
        <f>IFERROR(XLOOKUP(A80,PENYEBAB!$E:$E,PENYEBAB!$C:$C),"")</f>
      </c>
      <c r="D80" s="13">
        <f>IFERROR(XLOOKUP(A80,PENYEBAB!$E:$E,PENYEBAB!$K:$K),"")</f>
      </c>
      <c r="E80" s="13">
        <f>IFERROR(XLOOKUP(A80,PENYEBAB!$E:$E,PENYEBAB!$L:$L),"")</f>
      </c>
      <c r="F80" s="9"/>
      <c r="G80" s="9"/>
      <c r="H80" s="9"/>
      <c r="I80" s="9"/>
      <c r="J80" s="9"/>
      <c r="K80" s="9"/>
      <c r="L80" s="13">
        <f>IF(AND(J80&lt;&gt;"",K80&lt;&gt;""),J80*K80,"")</f>
      </c>
      <c r="M80" s="13">
        <f>IF(L80="","",IFS(L80&gt;=20,5,L80&gt;=16,4,L80&gt;=11,3,L80&gt;=6,2,L80&gt;0,1,TRUE,""))</f>
      </c>
      <c r="N80" s="13">
        <f>IFERROR(INDEX({"","Sangat Rendah","Rendah","Sedang","Tinggi","Sangat Tinggi"},M80+1),"")</f>
      </c>
      <c r="O80" s="9"/>
    </row>
    <row r="81" ht="24" customHeight="1" spans="1:15" x14ac:dyDescent="0.25">
      <c r="A81" s="9"/>
      <c r="B81" s="13">
        <f>IFERROR(XLOOKUP(A81,PENYEBAB!$E:$E,PENYEBAB!$B:$B),"")</f>
      </c>
      <c r="C81" s="13">
        <f>IFERROR(XLOOKUP(A81,PENYEBAB!$E:$E,PENYEBAB!$C:$C),"")</f>
      </c>
      <c r="D81" s="13">
        <f>IFERROR(XLOOKUP(A81,PENYEBAB!$E:$E,PENYEBAB!$K:$K),"")</f>
      </c>
      <c r="E81" s="13">
        <f>IFERROR(XLOOKUP(A81,PENYEBAB!$E:$E,PENYEBAB!$L:$L),"")</f>
      </c>
      <c r="F81" s="9"/>
      <c r="G81" s="9"/>
      <c r="H81" s="9"/>
      <c r="I81" s="9"/>
      <c r="J81" s="9"/>
      <c r="K81" s="9"/>
      <c r="L81" s="13">
        <f>IF(AND(J81&lt;&gt;"",K81&lt;&gt;""),J81*K81,"")</f>
      </c>
      <c r="M81" s="13">
        <f>IF(L81="","",IFS(L81&gt;=20,5,L81&gt;=16,4,L81&gt;=11,3,L81&gt;=6,2,L81&gt;0,1,TRUE,""))</f>
      </c>
      <c r="N81" s="13">
        <f>IFERROR(INDEX({"","Sangat Rendah","Rendah","Sedang","Tinggi","Sangat Tinggi"},M81+1),"")</f>
      </c>
      <c r="O81" s="9"/>
    </row>
    <row r="82" ht="24" customHeight="1" spans="1:15" x14ac:dyDescent="0.25">
      <c r="A82" s="9"/>
      <c r="B82" s="13">
        <f>IFERROR(XLOOKUP(A82,PENYEBAB!$E:$E,PENYEBAB!$B:$B),"")</f>
      </c>
      <c r="C82" s="13">
        <f>IFERROR(XLOOKUP(A82,PENYEBAB!$E:$E,PENYEBAB!$C:$C),"")</f>
      </c>
      <c r="D82" s="13">
        <f>IFERROR(XLOOKUP(A82,PENYEBAB!$E:$E,PENYEBAB!$K:$K),"")</f>
      </c>
      <c r="E82" s="13">
        <f>IFERROR(XLOOKUP(A82,PENYEBAB!$E:$E,PENYEBAB!$L:$L),"")</f>
      </c>
      <c r="F82" s="9"/>
      <c r="G82" s="9"/>
      <c r="H82" s="9"/>
      <c r="I82" s="9"/>
      <c r="J82" s="9"/>
      <c r="K82" s="9"/>
      <c r="L82" s="13">
        <f>IF(AND(J82&lt;&gt;"",K82&lt;&gt;""),J82*K82,"")</f>
      </c>
      <c r="M82" s="13">
        <f>IF(L82="","",IFS(L82&gt;=20,5,L82&gt;=16,4,L82&gt;=11,3,L82&gt;=6,2,L82&gt;0,1,TRUE,""))</f>
      </c>
      <c r="N82" s="13">
        <f>IFERROR(INDEX({"","Sangat Rendah","Rendah","Sedang","Tinggi","Sangat Tinggi"},M82+1),"")</f>
      </c>
      <c r="O82" s="9"/>
    </row>
    <row r="83" ht="24" customHeight="1" spans="1:15" x14ac:dyDescent="0.25">
      <c r="A83" s="9"/>
      <c r="B83" s="13">
        <f>IFERROR(XLOOKUP(A83,PENYEBAB!$E:$E,PENYEBAB!$B:$B),"")</f>
      </c>
      <c r="C83" s="13">
        <f>IFERROR(XLOOKUP(A83,PENYEBAB!$E:$E,PENYEBAB!$C:$C),"")</f>
      </c>
      <c r="D83" s="13">
        <f>IFERROR(XLOOKUP(A83,PENYEBAB!$E:$E,PENYEBAB!$K:$K),"")</f>
      </c>
      <c r="E83" s="13">
        <f>IFERROR(XLOOKUP(A83,PENYEBAB!$E:$E,PENYEBAB!$L:$L),"")</f>
      </c>
      <c r="F83" s="9"/>
      <c r="G83" s="9"/>
      <c r="H83" s="9"/>
      <c r="I83" s="9"/>
      <c r="J83" s="9"/>
      <c r="K83" s="9"/>
      <c r="L83" s="13">
        <f>IF(AND(J83&lt;&gt;"",K83&lt;&gt;""),J83*K83,"")</f>
      </c>
      <c r="M83" s="13">
        <f>IF(L83="","",IFS(L83&gt;=20,5,L83&gt;=16,4,L83&gt;=11,3,L83&gt;=6,2,L83&gt;0,1,TRUE,""))</f>
      </c>
      <c r="N83" s="13">
        <f>IFERROR(INDEX({"","Sangat Rendah","Rendah","Sedang","Tinggi","Sangat Tinggi"},M83+1),"")</f>
      </c>
      <c r="O83" s="9"/>
    </row>
    <row r="84" ht="24" customHeight="1" spans="1:15" x14ac:dyDescent="0.25">
      <c r="A84" s="9"/>
      <c r="B84" s="13">
        <f>IFERROR(XLOOKUP(A84,PENYEBAB!$E:$E,PENYEBAB!$B:$B),"")</f>
      </c>
      <c r="C84" s="13">
        <f>IFERROR(XLOOKUP(A84,PENYEBAB!$E:$E,PENYEBAB!$C:$C),"")</f>
      </c>
      <c r="D84" s="13">
        <f>IFERROR(XLOOKUP(A84,PENYEBAB!$E:$E,PENYEBAB!$K:$K),"")</f>
      </c>
      <c r="E84" s="13">
        <f>IFERROR(XLOOKUP(A84,PENYEBAB!$E:$E,PENYEBAB!$L:$L),"")</f>
      </c>
      <c r="F84" s="9"/>
      <c r="G84" s="9"/>
      <c r="H84" s="9"/>
      <c r="I84" s="9"/>
      <c r="J84" s="9"/>
      <c r="K84" s="9"/>
      <c r="L84" s="13">
        <f>IF(AND(J84&lt;&gt;"",K84&lt;&gt;""),J84*K84,"")</f>
      </c>
      <c r="M84" s="13">
        <f>IF(L84="","",IFS(L84&gt;=20,5,L84&gt;=16,4,L84&gt;=11,3,L84&gt;=6,2,L84&gt;0,1,TRUE,""))</f>
      </c>
      <c r="N84" s="13">
        <f>IFERROR(INDEX({"","Sangat Rendah","Rendah","Sedang","Tinggi","Sangat Tinggi"},M84+1),"")</f>
      </c>
      <c r="O84" s="9"/>
    </row>
    <row r="85" ht="24" customHeight="1" spans="1:15" x14ac:dyDescent="0.25">
      <c r="A85" s="9"/>
      <c r="B85" s="13">
        <f>IFERROR(XLOOKUP(A85,PENYEBAB!$E:$E,PENYEBAB!$B:$B),"")</f>
      </c>
      <c r="C85" s="13">
        <f>IFERROR(XLOOKUP(A85,PENYEBAB!$E:$E,PENYEBAB!$C:$C),"")</f>
      </c>
      <c r="D85" s="13">
        <f>IFERROR(XLOOKUP(A85,PENYEBAB!$E:$E,PENYEBAB!$K:$K),"")</f>
      </c>
      <c r="E85" s="13">
        <f>IFERROR(XLOOKUP(A85,PENYEBAB!$E:$E,PENYEBAB!$L:$L),"")</f>
      </c>
      <c r="F85" s="9"/>
      <c r="G85" s="9"/>
      <c r="H85" s="9"/>
      <c r="I85" s="9"/>
      <c r="J85" s="9"/>
      <c r="K85" s="9"/>
      <c r="L85" s="13">
        <f>IF(AND(J85&lt;&gt;"",K85&lt;&gt;""),J85*K85,"")</f>
      </c>
      <c r="M85" s="13">
        <f>IF(L85="","",IFS(L85&gt;=20,5,L85&gt;=16,4,L85&gt;=11,3,L85&gt;=6,2,L85&gt;0,1,TRUE,""))</f>
      </c>
      <c r="N85" s="13">
        <f>IFERROR(INDEX({"","Sangat Rendah","Rendah","Sedang","Tinggi","Sangat Tinggi"},M85+1),"")</f>
      </c>
      <c r="O85" s="9"/>
    </row>
    <row r="86" ht="24" customHeight="1" spans="1:15" x14ac:dyDescent="0.25">
      <c r="A86" s="9"/>
      <c r="B86" s="13">
        <f>IFERROR(XLOOKUP(A86,PENYEBAB!$E:$E,PENYEBAB!$B:$B),"")</f>
      </c>
      <c r="C86" s="13">
        <f>IFERROR(XLOOKUP(A86,PENYEBAB!$E:$E,PENYEBAB!$C:$C),"")</f>
      </c>
      <c r="D86" s="13">
        <f>IFERROR(XLOOKUP(A86,PENYEBAB!$E:$E,PENYEBAB!$K:$K),"")</f>
      </c>
      <c r="E86" s="13">
        <f>IFERROR(XLOOKUP(A86,PENYEBAB!$E:$E,PENYEBAB!$L:$L),"")</f>
      </c>
      <c r="F86" s="9"/>
      <c r="G86" s="9"/>
      <c r="H86" s="9"/>
      <c r="I86" s="9"/>
      <c r="J86" s="9"/>
      <c r="K86" s="9"/>
      <c r="L86" s="13">
        <f>IF(AND(J86&lt;&gt;"",K86&lt;&gt;""),J86*K86,"")</f>
      </c>
      <c r="M86" s="13">
        <f>IF(L86="","",IFS(L86&gt;=20,5,L86&gt;=16,4,L86&gt;=11,3,L86&gt;=6,2,L86&gt;0,1,TRUE,""))</f>
      </c>
      <c r="N86" s="13">
        <f>IFERROR(INDEX({"","Sangat Rendah","Rendah","Sedang","Tinggi","Sangat Tinggi"},M86+1),"")</f>
      </c>
      <c r="O86" s="9"/>
    </row>
    <row r="87" ht="24" customHeight="1" spans="1:15" x14ac:dyDescent="0.25">
      <c r="A87" s="9"/>
      <c r="B87" s="13">
        <f>IFERROR(XLOOKUP(A87,PENYEBAB!$E:$E,PENYEBAB!$B:$B),"")</f>
      </c>
      <c r="C87" s="13">
        <f>IFERROR(XLOOKUP(A87,PENYEBAB!$E:$E,PENYEBAB!$C:$C),"")</f>
      </c>
      <c r="D87" s="13">
        <f>IFERROR(XLOOKUP(A87,PENYEBAB!$E:$E,PENYEBAB!$K:$K),"")</f>
      </c>
      <c r="E87" s="13">
        <f>IFERROR(XLOOKUP(A87,PENYEBAB!$E:$E,PENYEBAB!$L:$L),"")</f>
      </c>
      <c r="F87" s="9"/>
      <c r="G87" s="9"/>
      <c r="H87" s="9"/>
      <c r="I87" s="9"/>
      <c r="J87" s="9"/>
      <c r="K87" s="9"/>
      <c r="L87" s="13">
        <f>IF(AND(J87&lt;&gt;"",K87&lt;&gt;""),J87*K87,"")</f>
      </c>
      <c r="M87" s="13">
        <f>IF(L87="","",IFS(L87&gt;=20,5,L87&gt;=16,4,L87&gt;=11,3,L87&gt;=6,2,L87&gt;0,1,TRUE,""))</f>
      </c>
      <c r="N87" s="13">
        <f>IFERROR(INDEX({"","Sangat Rendah","Rendah","Sedang","Tinggi","Sangat Tinggi"},M87+1),"")</f>
      </c>
      <c r="O87" s="9"/>
    </row>
    <row r="88" ht="24" customHeight="1" spans="1:15" x14ac:dyDescent="0.25">
      <c r="A88" s="9"/>
      <c r="B88" s="13">
        <f>IFERROR(XLOOKUP(A88,PENYEBAB!$E:$E,PENYEBAB!$B:$B),"")</f>
      </c>
      <c r="C88" s="13">
        <f>IFERROR(XLOOKUP(A88,PENYEBAB!$E:$E,PENYEBAB!$C:$C),"")</f>
      </c>
      <c r="D88" s="13">
        <f>IFERROR(XLOOKUP(A88,PENYEBAB!$E:$E,PENYEBAB!$K:$K),"")</f>
      </c>
      <c r="E88" s="13">
        <f>IFERROR(XLOOKUP(A88,PENYEBAB!$E:$E,PENYEBAB!$L:$L),"")</f>
      </c>
      <c r="F88" s="9"/>
      <c r="G88" s="9"/>
      <c r="H88" s="9"/>
      <c r="I88" s="9"/>
      <c r="J88" s="9"/>
      <c r="K88" s="9"/>
      <c r="L88" s="13">
        <f>IF(AND(J88&lt;&gt;"",K88&lt;&gt;""),J88*K88,"")</f>
      </c>
      <c r="M88" s="13">
        <f>IF(L88="","",IFS(L88&gt;=20,5,L88&gt;=16,4,L88&gt;=11,3,L88&gt;=6,2,L88&gt;0,1,TRUE,""))</f>
      </c>
      <c r="N88" s="13">
        <f>IFERROR(INDEX({"","Sangat Rendah","Rendah","Sedang","Tinggi","Sangat Tinggi"},M88+1),"")</f>
      </c>
      <c r="O88" s="9"/>
    </row>
    <row r="89" ht="24" customHeight="1" spans="1:15" x14ac:dyDescent="0.25">
      <c r="A89" s="9"/>
      <c r="B89" s="13">
        <f>IFERROR(XLOOKUP(A89,PENYEBAB!$E:$E,PENYEBAB!$B:$B),"")</f>
      </c>
      <c r="C89" s="13">
        <f>IFERROR(XLOOKUP(A89,PENYEBAB!$E:$E,PENYEBAB!$C:$C),"")</f>
      </c>
      <c r="D89" s="13">
        <f>IFERROR(XLOOKUP(A89,PENYEBAB!$E:$E,PENYEBAB!$K:$K),"")</f>
      </c>
      <c r="E89" s="13">
        <f>IFERROR(XLOOKUP(A89,PENYEBAB!$E:$E,PENYEBAB!$L:$L),"")</f>
      </c>
      <c r="F89" s="9"/>
      <c r="G89" s="9"/>
      <c r="H89" s="9"/>
      <c r="I89" s="9"/>
      <c r="J89" s="9"/>
      <c r="K89" s="9"/>
      <c r="L89" s="13">
        <f>IF(AND(J89&lt;&gt;"",K89&lt;&gt;""),J89*K89,"")</f>
      </c>
      <c r="M89" s="13">
        <f>IF(L89="","",IFS(L89&gt;=20,5,L89&gt;=16,4,L89&gt;=11,3,L89&gt;=6,2,L89&gt;0,1,TRUE,""))</f>
      </c>
      <c r="N89" s="13">
        <f>IFERROR(INDEX({"","Sangat Rendah","Rendah","Sedang","Tinggi","Sangat Tinggi"},M89+1),"")</f>
      </c>
      <c r="O89" s="9"/>
    </row>
    <row r="90" ht="24" customHeight="1" spans="1:15" x14ac:dyDescent="0.25">
      <c r="A90" s="9"/>
      <c r="B90" s="13">
        <f>IFERROR(XLOOKUP(A90,PENYEBAB!$E:$E,PENYEBAB!$B:$B),"")</f>
      </c>
      <c r="C90" s="13">
        <f>IFERROR(XLOOKUP(A90,PENYEBAB!$E:$E,PENYEBAB!$C:$C),"")</f>
      </c>
      <c r="D90" s="13">
        <f>IFERROR(XLOOKUP(A90,PENYEBAB!$E:$E,PENYEBAB!$K:$K),"")</f>
      </c>
      <c r="E90" s="13">
        <f>IFERROR(XLOOKUP(A90,PENYEBAB!$E:$E,PENYEBAB!$L:$L),"")</f>
      </c>
      <c r="F90" s="9"/>
      <c r="G90" s="9"/>
      <c r="H90" s="9"/>
      <c r="I90" s="9"/>
      <c r="J90" s="9"/>
      <c r="K90" s="9"/>
      <c r="L90" s="13">
        <f>IF(AND(J90&lt;&gt;"",K90&lt;&gt;""),J90*K90,"")</f>
      </c>
      <c r="M90" s="13">
        <f>IF(L90="","",IFS(L90&gt;=20,5,L90&gt;=16,4,L90&gt;=11,3,L90&gt;=6,2,L90&gt;0,1,TRUE,""))</f>
      </c>
      <c r="N90" s="13">
        <f>IFERROR(INDEX({"","Sangat Rendah","Rendah","Sedang","Tinggi","Sangat Tinggi"},M90+1),"")</f>
      </c>
      <c r="O90" s="9"/>
    </row>
    <row r="91" ht="24" customHeight="1" spans="1:15" x14ac:dyDescent="0.25">
      <c r="A91" s="9"/>
      <c r="B91" s="13">
        <f>IFERROR(XLOOKUP(A91,PENYEBAB!$E:$E,PENYEBAB!$B:$B),"")</f>
      </c>
      <c r="C91" s="13">
        <f>IFERROR(XLOOKUP(A91,PENYEBAB!$E:$E,PENYEBAB!$C:$C),"")</f>
      </c>
      <c r="D91" s="13">
        <f>IFERROR(XLOOKUP(A91,PENYEBAB!$E:$E,PENYEBAB!$K:$K),"")</f>
      </c>
      <c r="E91" s="13">
        <f>IFERROR(XLOOKUP(A91,PENYEBAB!$E:$E,PENYEBAB!$L:$L),"")</f>
      </c>
      <c r="F91" s="9"/>
      <c r="G91" s="9"/>
      <c r="H91" s="9"/>
      <c r="I91" s="9"/>
      <c r="J91" s="9"/>
      <c r="K91" s="9"/>
      <c r="L91" s="13">
        <f>IF(AND(J91&lt;&gt;"",K91&lt;&gt;""),J91*K91,"")</f>
      </c>
      <c r="M91" s="13">
        <f>IF(L91="","",IFS(L91&gt;=20,5,L91&gt;=16,4,L91&gt;=11,3,L91&gt;=6,2,L91&gt;0,1,TRUE,""))</f>
      </c>
      <c r="N91" s="13">
        <f>IFERROR(INDEX({"","Sangat Rendah","Rendah","Sedang","Tinggi","Sangat Tinggi"},M91+1),"")</f>
      </c>
      <c r="O91" s="9"/>
    </row>
    <row r="92" ht="24" customHeight="1" spans="1:15" x14ac:dyDescent="0.25">
      <c r="A92" s="9"/>
      <c r="B92" s="13">
        <f>IFERROR(XLOOKUP(A92,PENYEBAB!$E:$E,PENYEBAB!$B:$B),"")</f>
      </c>
      <c r="C92" s="13">
        <f>IFERROR(XLOOKUP(A92,PENYEBAB!$E:$E,PENYEBAB!$C:$C),"")</f>
      </c>
      <c r="D92" s="13">
        <f>IFERROR(XLOOKUP(A92,PENYEBAB!$E:$E,PENYEBAB!$K:$K),"")</f>
      </c>
      <c r="E92" s="13">
        <f>IFERROR(XLOOKUP(A92,PENYEBAB!$E:$E,PENYEBAB!$L:$L),"")</f>
      </c>
      <c r="F92" s="9"/>
      <c r="G92" s="9"/>
      <c r="H92" s="9"/>
      <c r="I92" s="9"/>
      <c r="J92" s="9"/>
      <c r="K92" s="9"/>
      <c r="L92" s="13">
        <f>IF(AND(J92&lt;&gt;"",K92&lt;&gt;""),J92*K92,"")</f>
      </c>
      <c r="M92" s="13">
        <f>IF(L92="","",IFS(L92&gt;=20,5,L92&gt;=16,4,L92&gt;=11,3,L92&gt;=6,2,L92&gt;0,1,TRUE,""))</f>
      </c>
      <c r="N92" s="13">
        <f>IFERROR(INDEX({"","Sangat Rendah","Rendah","Sedang","Tinggi","Sangat Tinggi"},M92+1),"")</f>
      </c>
      <c r="O92" s="9"/>
    </row>
    <row r="93" ht="24" customHeight="1" spans="1:15" x14ac:dyDescent="0.25">
      <c r="A93" s="9"/>
      <c r="B93" s="13">
        <f>IFERROR(XLOOKUP(A93,PENYEBAB!$E:$E,PENYEBAB!$B:$B),"")</f>
      </c>
      <c r="C93" s="13">
        <f>IFERROR(XLOOKUP(A93,PENYEBAB!$E:$E,PENYEBAB!$C:$C),"")</f>
      </c>
      <c r="D93" s="13">
        <f>IFERROR(XLOOKUP(A93,PENYEBAB!$E:$E,PENYEBAB!$K:$K),"")</f>
      </c>
      <c r="E93" s="13">
        <f>IFERROR(XLOOKUP(A93,PENYEBAB!$E:$E,PENYEBAB!$L:$L),"")</f>
      </c>
      <c r="F93" s="9"/>
      <c r="G93" s="9"/>
      <c r="H93" s="9"/>
      <c r="I93" s="9"/>
      <c r="J93" s="9"/>
      <c r="K93" s="9"/>
      <c r="L93" s="13">
        <f>IF(AND(J93&lt;&gt;"",K93&lt;&gt;""),J93*K93,"")</f>
      </c>
      <c r="M93" s="13">
        <f>IF(L93="","",IFS(L93&gt;=20,5,L93&gt;=16,4,L93&gt;=11,3,L93&gt;=6,2,L93&gt;0,1,TRUE,""))</f>
      </c>
      <c r="N93" s="13">
        <f>IFERROR(INDEX({"","Sangat Rendah","Rendah","Sedang","Tinggi","Sangat Tinggi"},M93+1),"")</f>
      </c>
      <c r="O93" s="9"/>
    </row>
    <row r="94" ht="24" customHeight="1" spans="1:15" x14ac:dyDescent="0.25">
      <c r="A94" s="9"/>
      <c r="B94" s="13">
        <f>IFERROR(XLOOKUP(A94,PENYEBAB!$E:$E,PENYEBAB!$B:$B),"")</f>
      </c>
      <c r="C94" s="13">
        <f>IFERROR(XLOOKUP(A94,PENYEBAB!$E:$E,PENYEBAB!$C:$C),"")</f>
      </c>
      <c r="D94" s="13">
        <f>IFERROR(XLOOKUP(A94,PENYEBAB!$E:$E,PENYEBAB!$K:$K),"")</f>
      </c>
      <c r="E94" s="13">
        <f>IFERROR(XLOOKUP(A94,PENYEBAB!$E:$E,PENYEBAB!$L:$L),"")</f>
      </c>
      <c r="F94" s="9"/>
      <c r="G94" s="9"/>
      <c r="H94" s="9"/>
      <c r="I94" s="9"/>
      <c r="J94" s="9"/>
      <c r="K94" s="9"/>
      <c r="L94" s="13">
        <f>IF(AND(J94&lt;&gt;"",K94&lt;&gt;""),J94*K94,"")</f>
      </c>
      <c r="M94" s="13">
        <f>IF(L94="","",IFS(L94&gt;=20,5,L94&gt;=16,4,L94&gt;=11,3,L94&gt;=6,2,L94&gt;0,1,TRUE,""))</f>
      </c>
      <c r="N94" s="13">
        <f>IFERROR(INDEX({"","Sangat Rendah","Rendah","Sedang","Tinggi","Sangat Tinggi"},M94+1),"")</f>
      </c>
      <c r="O94" s="9"/>
    </row>
    <row r="95" ht="24" customHeight="1" spans="1:15" x14ac:dyDescent="0.25">
      <c r="A95" s="9"/>
      <c r="B95" s="13">
        <f>IFERROR(XLOOKUP(A95,PENYEBAB!$E:$E,PENYEBAB!$B:$B),"")</f>
      </c>
      <c r="C95" s="13">
        <f>IFERROR(XLOOKUP(A95,PENYEBAB!$E:$E,PENYEBAB!$C:$C),"")</f>
      </c>
      <c r="D95" s="13">
        <f>IFERROR(XLOOKUP(A95,PENYEBAB!$E:$E,PENYEBAB!$K:$K),"")</f>
      </c>
      <c r="E95" s="13">
        <f>IFERROR(XLOOKUP(A95,PENYEBAB!$E:$E,PENYEBAB!$L:$L),"")</f>
      </c>
      <c r="F95" s="9"/>
      <c r="G95" s="9"/>
      <c r="H95" s="9"/>
      <c r="I95" s="9"/>
      <c r="J95" s="9"/>
      <c r="K95" s="9"/>
      <c r="L95" s="13">
        <f>IF(AND(J95&lt;&gt;"",K95&lt;&gt;""),J95*K95,"")</f>
      </c>
      <c r="M95" s="13">
        <f>IF(L95="","",IFS(L95&gt;=20,5,L95&gt;=16,4,L95&gt;=11,3,L95&gt;=6,2,L95&gt;0,1,TRUE,""))</f>
      </c>
      <c r="N95" s="13">
        <f>IFERROR(INDEX({"","Sangat Rendah","Rendah","Sedang","Tinggi","Sangat Tinggi"},M95+1),"")</f>
      </c>
      <c r="O95" s="9"/>
    </row>
    <row r="96" ht="24" customHeight="1" spans="1:15" x14ac:dyDescent="0.25">
      <c r="A96" s="9"/>
      <c r="B96" s="13">
        <f>IFERROR(XLOOKUP(A96,PENYEBAB!$E:$E,PENYEBAB!$B:$B),"")</f>
      </c>
      <c r="C96" s="13">
        <f>IFERROR(XLOOKUP(A96,PENYEBAB!$E:$E,PENYEBAB!$C:$C),"")</f>
      </c>
      <c r="D96" s="13">
        <f>IFERROR(XLOOKUP(A96,PENYEBAB!$E:$E,PENYEBAB!$K:$K),"")</f>
      </c>
      <c r="E96" s="13">
        <f>IFERROR(XLOOKUP(A96,PENYEBAB!$E:$E,PENYEBAB!$L:$L),"")</f>
      </c>
      <c r="F96" s="9"/>
      <c r="G96" s="9"/>
      <c r="H96" s="9"/>
      <c r="I96" s="9"/>
      <c r="J96" s="9"/>
      <c r="K96" s="9"/>
      <c r="L96" s="13">
        <f>IF(AND(J96&lt;&gt;"",K96&lt;&gt;""),J96*K96,"")</f>
      </c>
      <c r="M96" s="13">
        <f>IF(L96="","",IFS(L96&gt;=20,5,L96&gt;=16,4,L96&gt;=11,3,L96&gt;=6,2,L96&gt;0,1,TRUE,""))</f>
      </c>
      <c r="N96" s="13">
        <f>IFERROR(INDEX({"","Sangat Rendah","Rendah","Sedang","Tinggi","Sangat Tinggi"},M96+1),"")</f>
      </c>
      <c r="O96" s="9"/>
    </row>
    <row r="97" ht="24" customHeight="1" spans="1:15" x14ac:dyDescent="0.25">
      <c r="A97" s="9"/>
      <c r="B97" s="13">
        <f>IFERROR(XLOOKUP(A97,PENYEBAB!$E:$E,PENYEBAB!$B:$B),"")</f>
      </c>
      <c r="C97" s="13">
        <f>IFERROR(XLOOKUP(A97,PENYEBAB!$E:$E,PENYEBAB!$C:$C),"")</f>
      </c>
      <c r="D97" s="13">
        <f>IFERROR(XLOOKUP(A97,PENYEBAB!$E:$E,PENYEBAB!$K:$K),"")</f>
      </c>
      <c r="E97" s="13">
        <f>IFERROR(XLOOKUP(A97,PENYEBAB!$E:$E,PENYEBAB!$L:$L),"")</f>
      </c>
      <c r="F97" s="9"/>
      <c r="G97" s="9"/>
      <c r="H97" s="9"/>
      <c r="I97" s="9"/>
      <c r="J97" s="9"/>
      <c r="K97" s="9"/>
      <c r="L97" s="13">
        <f>IF(AND(J97&lt;&gt;"",K97&lt;&gt;""),J97*K97,"")</f>
      </c>
      <c r="M97" s="13">
        <f>IF(L97="","",IFS(L97&gt;=20,5,L97&gt;=16,4,L97&gt;=11,3,L97&gt;=6,2,L97&gt;0,1,TRUE,""))</f>
      </c>
      <c r="N97" s="13">
        <f>IFERROR(INDEX({"","Sangat Rendah","Rendah","Sedang","Tinggi","Sangat Tinggi"},M97+1),"")</f>
      </c>
      <c r="O97" s="9"/>
    </row>
    <row r="98" ht="24" customHeight="1" spans="1:15" x14ac:dyDescent="0.25">
      <c r="A98" s="9"/>
      <c r="B98" s="13">
        <f>IFERROR(XLOOKUP(A98,PENYEBAB!$E:$E,PENYEBAB!$B:$B),"")</f>
      </c>
      <c r="C98" s="13">
        <f>IFERROR(XLOOKUP(A98,PENYEBAB!$E:$E,PENYEBAB!$C:$C),"")</f>
      </c>
      <c r="D98" s="13">
        <f>IFERROR(XLOOKUP(A98,PENYEBAB!$E:$E,PENYEBAB!$K:$K),"")</f>
      </c>
      <c r="E98" s="13">
        <f>IFERROR(XLOOKUP(A98,PENYEBAB!$E:$E,PENYEBAB!$L:$L),"")</f>
      </c>
      <c r="F98" s="9"/>
      <c r="G98" s="9"/>
      <c r="H98" s="9"/>
      <c r="I98" s="9"/>
      <c r="J98" s="9"/>
      <c r="K98" s="9"/>
      <c r="L98" s="13">
        <f>IF(AND(J98&lt;&gt;"",K98&lt;&gt;""),J98*K98,"")</f>
      </c>
      <c r="M98" s="13">
        <f>IF(L98="","",IFS(L98&gt;=20,5,L98&gt;=16,4,L98&gt;=11,3,L98&gt;=6,2,L98&gt;0,1,TRUE,""))</f>
      </c>
      <c r="N98" s="13">
        <f>IFERROR(INDEX({"","Sangat Rendah","Rendah","Sedang","Tinggi","Sangat Tinggi"},M98+1),"")</f>
      </c>
      <c r="O98" s="9"/>
    </row>
    <row r="99" ht="24" customHeight="1" spans="1:15" x14ac:dyDescent="0.25">
      <c r="A99" s="9"/>
      <c r="B99" s="13">
        <f>IFERROR(XLOOKUP(A99,PENYEBAB!$E:$E,PENYEBAB!$B:$B),"")</f>
      </c>
      <c r="C99" s="13">
        <f>IFERROR(XLOOKUP(A99,PENYEBAB!$E:$E,PENYEBAB!$C:$C),"")</f>
      </c>
      <c r="D99" s="13">
        <f>IFERROR(XLOOKUP(A99,PENYEBAB!$E:$E,PENYEBAB!$K:$K),"")</f>
      </c>
      <c r="E99" s="13">
        <f>IFERROR(XLOOKUP(A99,PENYEBAB!$E:$E,PENYEBAB!$L:$L),"")</f>
      </c>
      <c r="F99" s="9"/>
      <c r="G99" s="9"/>
      <c r="H99" s="9"/>
      <c r="I99" s="9"/>
      <c r="J99" s="9"/>
      <c r="K99" s="9"/>
      <c r="L99" s="13">
        <f>IF(AND(J99&lt;&gt;"",K99&lt;&gt;""),J99*K99,"")</f>
      </c>
      <c r="M99" s="13">
        <f>IF(L99="","",IFS(L99&gt;=20,5,L99&gt;=16,4,L99&gt;=11,3,L99&gt;=6,2,L99&gt;0,1,TRUE,""))</f>
      </c>
      <c r="N99" s="13">
        <f>IFERROR(INDEX({"","Sangat Rendah","Rendah","Sedang","Tinggi","Sangat Tinggi"},M99+1),"")</f>
      </c>
      <c r="O99" s="9"/>
    </row>
    <row r="100" ht="24" customHeight="1" spans="1:15" x14ac:dyDescent="0.25">
      <c r="A100" s="9"/>
      <c r="B100" s="13">
        <f>IFERROR(XLOOKUP(A100,PENYEBAB!$E:$E,PENYEBAB!$B:$B),"")</f>
      </c>
      <c r="C100" s="13">
        <f>IFERROR(XLOOKUP(A100,PENYEBAB!$E:$E,PENYEBAB!$C:$C),"")</f>
      </c>
      <c r="D100" s="13">
        <f>IFERROR(XLOOKUP(A100,PENYEBAB!$E:$E,PENYEBAB!$K:$K),"")</f>
      </c>
      <c r="E100" s="13">
        <f>IFERROR(XLOOKUP(A100,PENYEBAB!$E:$E,PENYEBAB!$L:$L),"")</f>
      </c>
      <c r="F100" s="9"/>
      <c r="G100" s="9"/>
      <c r="H100" s="9"/>
      <c r="I100" s="9"/>
      <c r="J100" s="9"/>
      <c r="K100" s="9"/>
      <c r="L100" s="13">
        <f>IF(AND(J100&lt;&gt;"",K100&lt;&gt;""),J100*K100,"")</f>
      </c>
      <c r="M100" s="13">
        <f>IF(L100="","",IFS(L100&gt;=20,5,L100&gt;=16,4,L100&gt;=11,3,L100&gt;=6,2,L100&gt;0,1,TRUE,""))</f>
      </c>
      <c r="N100" s="13">
        <f>IFERROR(INDEX({"","Sangat Rendah","Rendah","Sedang","Tinggi","Sangat Tinggi"},M100+1),"")</f>
      </c>
      <c r="O100" s="9"/>
    </row>
    <row r="101" ht="24" customHeight="1" spans="1:15" x14ac:dyDescent="0.25">
      <c r="A101" s="9"/>
      <c r="B101" s="13">
        <f>IFERROR(XLOOKUP(A101,PENYEBAB!$E:$E,PENYEBAB!$B:$B),"")</f>
      </c>
      <c r="C101" s="13">
        <f>IFERROR(XLOOKUP(A101,PENYEBAB!$E:$E,PENYEBAB!$C:$C),"")</f>
      </c>
      <c r="D101" s="13">
        <f>IFERROR(XLOOKUP(A101,PENYEBAB!$E:$E,PENYEBAB!$K:$K),"")</f>
      </c>
      <c r="E101" s="13">
        <f>IFERROR(XLOOKUP(A101,PENYEBAB!$E:$E,PENYEBAB!$L:$L),"")</f>
      </c>
      <c r="F101" s="9"/>
      <c r="G101" s="9"/>
      <c r="H101" s="9"/>
      <c r="I101" s="9"/>
      <c r="J101" s="9"/>
      <c r="K101" s="9"/>
      <c r="L101" s="13">
        <f>IF(AND(J101&lt;&gt;"",K101&lt;&gt;""),J101*K101,"")</f>
      </c>
      <c r="M101" s="13">
        <f>IF(L101="","",IFS(L101&gt;=20,5,L101&gt;=16,4,L101&gt;=11,3,L101&gt;=6,2,L101&gt;0,1,TRUE,""))</f>
      </c>
      <c r="N101" s="13">
        <f>IFERROR(INDEX({"","Sangat Rendah","Rendah","Sedang","Tinggi","Sangat Tinggi"},M101+1),"")</f>
      </c>
      <c r="O101" s="9"/>
    </row>
    <row r="102" ht="24" customHeight="1" spans="1:15" x14ac:dyDescent="0.25">
      <c r="A102" s="9"/>
      <c r="B102" s="13">
        <f>IFERROR(XLOOKUP(A102,PENYEBAB!$E:$E,PENYEBAB!$B:$B),"")</f>
      </c>
      <c r="C102" s="13">
        <f>IFERROR(XLOOKUP(A102,PENYEBAB!$E:$E,PENYEBAB!$C:$C),"")</f>
      </c>
      <c r="D102" s="13">
        <f>IFERROR(XLOOKUP(A102,PENYEBAB!$E:$E,PENYEBAB!$K:$K),"")</f>
      </c>
      <c r="E102" s="13">
        <f>IFERROR(XLOOKUP(A102,PENYEBAB!$E:$E,PENYEBAB!$L:$L),"")</f>
      </c>
      <c r="F102" s="9"/>
      <c r="G102" s="9"/>
      <c r="H102" s="9"/>
      <c r="I102" s="9"/>
      <c r="J102" s="9"/>
      <c r="K102" s="9"/>
      <c r="L102" s="13">
        <f>IF(AND(J102&lt;&gt;"",K102&lt;&gt;""),J102*K102,"")</f>
      </c>
      <c r="M102" s="13">
        <f>IF(L102="","",IFS(L102&gt;=20,5,L102&gt;=16,4,L102&gt;=11,3,L102&gt;=6,2,L102&gt;0,1,TRUE,""))</f>
      </c>
      <c r="N102" s="13">
        <f>IFERROR(INDEX({"","Sangat Rendah","Rendah","Sedang","Tinggi","Sangat Tinggi"},M102+1),"")</f>
      </c>
      <c r="O102" s="9"/>
    </row>
    <row r="103" ht="24" customHeight="1" spans="1:15" x14ac:dyDescent="0.25">
      <c r="A103" s="9"/>
      <c r="B103" s="13">
        <f>IFERROR(XLOOKUP(A103,PENYEBAB!$E:$E,PENYEBAB!$B:$B),"")</f>
      </c>
      <c r="C103" s="13">
        <f>IFERROR(XLOOKUP(A103,PENYEBAB!$E:$E,PENYEBAB!$C:$C),"")</f>
      </c>
      <c r="D103" s="13">
        <f>IFERROR(XLOOKUP(A103,PENYEBAB!$E:$E,PENYEBAB!$K:$K),"")</f>
      </c>
      <c r="E103" s="13">
        <f>IFERROR(XLOOKUP(A103,PENYEBAB!$E:$E,PENYEBAB!$L:$L),"")</f>
      </c>
      <c r="F103" s="9"/>
      <c r="G103" s="9"/>
      <c r="H103" s="9"/>
      <c r="I103" s="9"/>
      <c r="J103" s="9"/>
      <c r="K103" s="9"/>
      <c r="L103" s="13">
        <f>IF(AND(J103&lt;&gt;"",K103&lt;&gt;""),J103*K103,"")</f>
      </c>
      <c r="M103" s="13">
        <f>IF(L103="","",IFS(L103&gt;=20,5,L103&gt;=16,4,L103&gt;=11,3,L103&gt;=6,2,L103&gt;0,1,TRUE,""))</f>
      </c>
      <c r="N103" s="13">
        <f>IFERROR(INDEX({"","Sangat Rendah","Rendah","Sedang","Tinggi","Sangat Tinggi"},M103+1),"")</f>
      </c>
      <c r="O103" s="9"/>
    </row>
    <row r="104" ht="24" customHeight="1" spans="1:15" x14ac:dyDescent="0.25">
      <c r="A104" s="9"/>
      <c r="B104" s="13">
        <f>IFERROR(XLOOKUP(A104,PENYEBAB!$E:$E,PENYEBAB!$B:$B),"")</f>
      </c>
      <c r="C104" s="13">
        <f>IFERROR(XLOOKUP(A104,PENYEBAB!$E:$E,PENYEBAB!$C:$C),"")</f>
      </c>
      <c r="D104" s="13">
        <f>IFERROR(XLOOKUP(A104,PENYEBAB!$E:$E,PENYEBAB!$K:$K),"")</f>
      </c>
      <c r="E104" s="13">
        <f>IFERROR(XLOOKUP(A104,PENYEBAB!$E:$E,PENYEBAB!$L:$L),"")</f>
      </c>
      <c r="F104" s="9"/>
      <c r="G104" s="9"/>
      <c r="H104" s="9"/>
      <c r="I104" s="9"/>
      <c r="J104" s="9"/>
      <c r="K104" s="9"/>
      <c r="L104" s="13">
        <f>IF(AND(J104&lt;&gt;"",K104&lt;&gt;""),J104*K104,"")</f>
      </c>
      <c r="M104" s="13">
        <f>IF(L104="","",IFS(L104&gt;=20,5,L104&gt;=16,4,L104&gt;=11,3,L104&gt;=6,2,L104&gt;0,1,TRUE,""))</f>
      </c>
      <c r="N104" s="13">
        <f>IFERROR(INDEX({"","Sangat Rendah","Rendah","Sedang","Tinggi","Sangat Tinggi"},M104+1),"")</f>
      </c>
      <c r="O104" s="9"/>
    </row>
    <row r="105" ht="24" customHeight="1" spans="1:15" x14ac:dyDescent="0.25">
      <c r="A105" s="9"/>
      <c r="B105" s="13">
        <f>IFERROR(XLOOKUP(A105,PENYEBAB!$E:$E,PENYEBAB!$B:$B),"")</f>
      </c>
      <c r="C105" s="13">
        <f>IFERROR(XLOOKUP(A105,PENYEBAB!$E:$E,PENYEBAB!$C:$C),"")</f>
      </c>
      <c r="D105" s="13">
        <f>IFERROR(XLOOKUP(A105,PENYEBAB!$E:$E,PENYEBAB!$K:$K),"")</f>
      </c>
      <c r="E105" s="13">
        <f>IFERROR(XLOOKUP(A105,PENYEBAB!$E:$E,PENYEBAB!$L:$L),"")</f>
      </c>
      <c r="F105" s="9"/>
      <c r="G105" s="9"/>
      <c r="H105" s="9"/>
      <c r="I105" s="9"/>
      <c r="J105" s="9"/>
      <c r="K105" s="9"/>
      <c r="L105" s="13">
        <f>IF(AND(J105&lt;&gt;"",K105&lt;&gt;""),J105*K105,"")</f>
      </c>
      <c r="M105" s="13">
        <f>IF(L105="","",IFS(L105&gt;=20,5,L105&gt;=16,4,L105&gt;=11,3,L105&gt;=6,2,L105&gt;0,1,TRUE,""))</f>
      </c>
      <c r="N105" s="13">
        <f>IFERROR(INDEX({"","Sangat Rendah","Rendah","Sedang","Tinggi","Sangat Tinggi"},M105+1),"")</f>
      </c>
      <c r="O105" s="9"/>
    </row>
    <row r="106" ht="24" customHeight="1" spans="1:15" x14ac:dyDescent="0.25">
      <c r="A106" s="9"/>
      <c r="B106" s="13">
        <f>IFERROR(XLOOKUP(A106,PENYEBAB!$E:$E,PENYEBAB!$B:$B),"")</f>
      </c>
      <c r="C106" s="13">
        <f>IFERROR(XLOOKUP(A106,PENYEBAB!$E:$E,PENYEBAB!$C:$C),"")</f>
      </c>
      <c r="D106" s="13">
        <f>IFERROR(XLOOKUP(A106,PENYEBAB!$E:$E,PENYEBAB!$K:$K),"")</f>
      </c>
      <c r="E106" s="13">
        <f>IFERROR(XLOOKUP(A106,PENYEBAB!$E:$E,PENYEBAB!$L:$L),"")</f>
      </c>
      <c r="F106" s="9"/>
      <c r="G106" s="9"/>
      <c r="H106" s="9"/>
      <c r="I106" s="9"/>
      <c r="J106" s="9"/>
      <c r="K106" s="9"/>
      <c r="L106" s="13">
        <f>IF(AND(J106&lt;&gt;"",K106&lt;&gt;""),J106*K106,"")</f>
      </c>
      <c r="M106" s="13">
        <f>IF(L106="","",IFS(L106&gt;=20,5,L106&gt;=16,4,L106&gt;=11,3,L106&gt;=6,2,L106&gt;0,1,TRUE,""))</f>
      </c>
      <c r="N106" s="13">
        <f>IFERROR(INDEX({"","Sangat Rendah","Rendah","Sedang","Tinggi","Sangat Tinggi"},M106+1),"")</f>
      </c>
      <c r="O106" s="9"/>
    </row>
    <row r="107" ht="24" customHeight="1" spans="1:15" x14ac:dyDescent="0.25">
      <c r="A107" s="9"/>
      <c r="B107" s="13">
        <f>IFERROR(XLOOKUP(A107,PENYEBAB!$E:$E,PENYEBAB!$B:$B),"")</f>
      </c>
      <c r="C107" s="13">
        <f>IFERROR(XLOOKUP(A107,PENYEBAB!$E:$E,PENYEBAB!$C:$C),"")</f>
      </c>
      <c r="D107" s="13">
        <f>IFERROR(XLOOKUP(A107,PENYEBAB!$E:$E,PENYEBAB!$K:$K),"")</f>
      </c>
      <c r="E107" s="13">
        <f>IFERROR(XLOOKUP(A107,PENYEBAB!$E:$E,PENYEBAB!$L:$L),"")</f>
      </c>
      <c r="F107" s="9"/>
      <c r="G107" s="9"/>
      <c r="H107" s="9"/>
      <c r="I107" s="9"/>
      <c r="J107" s="9"/>
      <c r="K107" s="9"/>
      <c r="L107" s="13">
        <f>IF(AND(J107&lt;&gt;"",K107&lt;&gt;""),J107*K107,"")</f>
      </c>
      <c r="M107" s="13">
        <f>IF(L107="","",IFS(L107&gt;=20,5,L107&gt;=16,4,L107&gt;=11,3,L107&gt;=6,2,L107&gt;0,1,TRUE,""))</f>
      </c>
      <c r="N107" s="13">
        <f>IFERROR(INDEX({"","Sangat Rendah","Rendah","Sedang","Tinggi","Sangat Tinggi"},M107+1),"")</f>
      </c>
      <c r="O107" s="9"/>
    </row>
    <row r="108" ht="24" customHeight="1" spans="1:15" x14ac:dyDescent="0.25">
      <c r="A108" s="9"/>
      <c r="B108" s="13">
        <f>IFERROR(XLOOKUP(A108,PENYEBAB!$E:$E,PENYEBAB!$B:$B),"")</f>
      </c>
      <c r="C108" s="13">
        <f>IFERROR(XLOOKUP(A108,PENYEBAB!$E:$E,PENYEBAB!$C:$C),"")</f>
      </c>
      <c r="D108" s="13">
        <f>IFERROR(XLOOKUP(A108,PENYEBAB!$E:$E,PENYEBAB!$K:$K),"")</f>
      </c>
      <c r="E108" s="13">
        <f>IFERROR(XLOOKUP(A108,PENYEBAB!$E:$E,PENYEBAB!$L:$L),"")</f>
      </c>
      <c r="F108" s="9"/>
      <c r="G108" s="9"/>
      <c r="H108" s="9"/>
      <c r="I108" s="9"/>
      <c r="J108" s="9"/>
      <c r="K108" s="9"/>
      <c r="L108" s="13">
        <f>IF(AND(J108&lt;&gt;"",K108&lt;&gt;""),J108*K108,"")</f>
      </c>
      <c r="M108" s="13">
        <f>IF(L108="","",IFS(L108&gt;=20,5,L108&gt;=16,4,L108&gt;=11,3,L108&gt;=6,2,L108&gt;0,1,TRUE,""))</f>
      </c>
      <c r="N108" s="13">
        <f>IFERROR(INDEX({"","Sangat Rendah","Rendah","Sedang","Tinggi","Sangat Tinggi"},M108+1),"")</f>
      </c>
      <c r="O108" s="9"/>
    </row>
    <row r="109" ht="24" customHeight="1" spans="1:15" x14ac:dyDescent="0.25">
      <c r="A109" s="9"/>
      <c r="B109" s="13">
        <f>IFERROR(XLOOKUP(A109,PENYEBAB!$E:$E,PENYEBAB!$B:$B),"")</f>
      </c>
      <c r="C109" s="13">
        <f>IFERROR(XLOOKUP(A109,PENYEBAB!$E:$E,PENYEBAB!$C:$C),"")</f>
      </c>
      <c r="D109" s="13">
        <f>IFERROR(XLOOKUP(A109,PENYEBAB!$E:$E,PENYEBAB!$K:$K),"")</f>
      </c>
      <c r="E109" s="13">
        <f>IFERROR(XLOOKUP(A109,PENYEBAB!$E:$E,PENYEBAB!$L:$L),"")</f>
      </c>
      <c r="F109" s="9"/>
      <c r="G109" s="9"/>
      <c r="H109" s="9"/>
      <c r="I109" s="9"/>
      <c r="J109" s="9"/>
      <c r="K109" s="9"/>
      <c r="L109" s="13">
        <f>IF(AND(J109&lt;&gt;"",K109&lt;&gt;""),J109*K109,"")</f>
      </c>
      <c r="M109" s="13">
        <f>IF(L109="","",IFS(L109&gt;=20,5,L109&gt;=16,4,L109&gt;=11,3,L109&gt;=6,2,L109&gt;0,1,TRUE,""))</f>
      </c>
      <c r="N109" s="13">
        <f>IFERROR(INDEX({"","Sangat Rendah","Rendah","Sedang","Tinggi","Sangat Tinggi"},M109+1),"")</f>
      </c>
      <c r="O109" s="9"/>
    </row>
    <row r="110" ht="24" customHeight="1" spans="1:15" x14ac:dyDescent="0.25">
      <c r="A110" s="9"/>
      <c r="B110" s="13">
        <f>IFERROR(XLOOKUP(A110,PENYEBAB!$E:$E,PENYEBAB!$B:$B),"")</f>
      </c>
      <c r="C110" s="13">
        <f>IFERROR(XLOOKUP(A110,PENYEBAB!$E:$E,PENYEBAB!$C:$C),"")</f>
      </c>
      <c r="D110" s="13">
        <f>IFERROR(XLOOKUP(A110,PENYEBAB!$E:$E,PENYEBAB!$K:$K),"")</f>
      </c>
      <c r="E110" s="13">
        <f>IFERROR(XLOOKUP(A110,PENYEBAB!$E:$E,PENYEBAB!$L:$L),"")</f>
      </c>
      <c r="F110" s="9"/>
      <c r="G110" s="9"/>
      <c r="H110" s="9"/>
      <c r="I110" s="9"/>
      <c r="J110" s="9"/>
      <c r="K110" s="9"/>
      <c r="L110" s="13">
        <f>IF(AND(J110&lt;&gt;"",K110&lt;&gt;""),J110*K110,"")</f>
      </c>
      <c r="M110" s="13">
        <f>IF(L110="","",IFS(L110&gt;=20,5,L110&gt;=16,4,L110&gt;=11,3,L110&gt;=6,2,L110&gt;0,1,TRUE,""))</f>
      </c>
      <c r="N110" s="13">
        <f>IFERROR(INDEX({"","Sangat Rendah","Rendah","Sedang","Tinggi","Sangat Tinggi"},M110+1),"")</f>
      </c>
      <c r="O110" s="9"/>
    </row>
    <row r="111" ht="24" customHeight="1" spans="1:15" x14ac:dyDescent="0.25">
      <c r="A111" s="9"/>
      <c r="B111" s="13">
        <f>IFERROR(XLOOKUP(A111,PENYEBAB!$E:$E,PENYEBAB!$B:$B),"")</f>
      </c>
      <c r="C111" s="13">
        <f>IFERROR(XLOOKUP(A111,PENYEBAB!$E:$E,PENYEBAB!$C:$C),"")</f>
      </c>
      <c r="D111" s="13">
        <f>IFERROR(XLOOKUP(A111,PENYEBAB!$E:$E,PENYEBAB!$K:$K),"")</f>
      </c>
      <c r="E111" s="13">
        <f>IFERROR(XLOOKUP(A111,PENYEBAB!$E:$E,PENYEBAB!$L:$L),"")</f>
      </c>
      <c r="F111" s="9"/>
      <c r="G111" s="9"/>
      <c r="H111" s="9"/>
      <c r="I111" s="9"/>
      <c r="J111" s="9"/>
      <c r="K111" s="9"/>
      <c r="L111" s="13">
        <f>IF(AND(J111&lt;&gt;"",K111&lt;&gt;""),J111*K111,"")</f>
      </c>
      <c r="M111" s="13">
        <f>IF(L111="","",IFS(L111&gt;=20,5,L111&gt;=16,4,L111&gt;=11,3,L111&gt;=6,2,L111&gt;0,1,TRUE,""))</f>
      </c>
      <c r="N111" s="13">
        <f>IFERROR(INDEX({"","Sangat Rendah","Rendah","Sedang","Tinggi","Sangat Tinggi"},M111+1),"")</f>
      </c>
      <c r="O111" s="9"/>
    </row>
    <row r="112" ht="24" customHeight="1" spans="1:15" x14ac:dyDescent="0.25">
      <c r="A112" s="9"/>
      <c r="B112" s="13">
        <f>IFERROR(XLOOKUP(A112,PENYEBAB!$E:$E,PENYEBAB!$B:$B),"")</f>
      </c>
      <c r="C112" s="13">
        <f>IFERROR(XLOOKUP(A112,PENYEBAB!$E:$E,PENYEBAB!$C:$C),"")</f>
      </c>
      <c r="D112" s="13">
        <f>IFERROR(XLOOKUP(A112,PENYEBAB!$E:$E,PENYEBAB!$K:$K),"")</f>
      </c>
      <c r="E112" s="13">
        <f>IFERROR(XLOOKUP(A112,PENYEBAB!$E:$E,PENYEBAB!$L:$L),"")</f>
      </c>
      <c r="F112" s="9"/>
      <c r="G112" s="9"/>
      <c r="H112" s="9"/>
      <c r="I112" s="9"/>
      <c r="J112" s="9"/>
      <c r="K112" s="9"/>
      <c r="L112" s="13">
        <f>IF(AND(J112&lt;&gt;"",K112&lt;&gt;""),J112*K112,"")</f>
      </c>
      <c r="M112" s="13">
        <f>IF(L112="","",IFS(L112&gt;=20,5,L112&gt;=16,4,L112&gt;=11,3,L112&gt;=6,2,L112&gt;0,1,TRUE,""))</f>
      </c>
      <c r="N112" s="13">
        <f>IFERROR(INDEX({"","Sangat Rendah","Rendah","Sedang","Tinggi","Sangat Tinggi"},M112+1),"")</f>
      </c>
      <c r="O112" s="9"/>
    </row>
    <row r="113" ht="24" customHeight="1" spans="1:15" x14ac:dyDescent="0.25">
      <c r="A113" s="9"/>
      <c r="B113" s="13">
        <f>IFERROR(XLOOKUP(A113,PENYEBAB!$E:$E,PENYEBAB!$B:$B),"")</f>
      </c>
      <c r="C113" s="13">
        <f>IFERROR(XLOOKUP(A113,PENYEBAB!$E:$E,PENYEBAB!$C:$C),"")</f>
      </c>
      <c r="D113" s="13">
        <f>IFERROR(XLOOKUP(A113,PENYEBAB!$E:$E,PENYEBAB!$K:$K),"")</f>
      </c>
      <c r="E113" s="13">
        <f>IFERROR(XLOOKUP(A113,PENYEBAB!$E:$E,PENYEBAB!$L:$L),"")</f>
      </c>
      <c r="F113" s="9"/>
      <c r="G113" s="9"/>
      <c r="H113" s="9"/>
      <c r="I113" s="9"/>
      <c r="J113" s="9"/>
      <c r="K113" s="9"/>
      <c r="L113" s="13">
        <f>IF(AND(J113&lt;&gt;"",K113&lt;&gt;""),J113*K113,"")</f>
      </c>
      <c r="M113" s="13">
        <f>IF(L113="","",IFS(L113&gt;=20,5,L113&gt;=16,4,L113&gt;=11,3,L113&gt;=6,2,L113&gt;0,1,TRUE,""))</f>
      </c>
      <c r="N113" s="13">
        <f>IFERROR(INDEX({"","Sangat Rendah","Rendah","Sedang","Tinggi","Sangat Tinggi"},M113+1),"")</f>
      </c>
      <c r="O113" s="9"/>
    </row>
    <row r="114" ht="24" customHeight="1" spans="1:15" x14ac:dyDescent="0.25">
      <c r="A114" s="9"/>
      <c r="B114" s="13">
        <f>IFERROR(XLOOKUP(A114,PENYEBAB!$E:$E,PENYEBAB!$B:$B),"")</f>
      </c>
      <c r="C114" s="13">
        <f>IFERROR(XLOOKUP(A114,PENYEBAB!$E:$E,PENYEBAB!$C:$C),"")</f>
      </c>
      <c r="D114" s="13">
        <f>IFERROR(XLOOKUP(A114,PENYEBAB!$E:$E,PENYEBAB!$K:$K),"")</f>
      </c>
      <c r="E114" s="13">
        <f>IFERROR(XLOOKUP(A114,PENYEBAB!$E:$E,PENYEBAB!$L:$L),"")</f>
      </c>
      <c r="F114" s="9"/>
      <c r="G114" s="9"/>
      <c r="H114" s="9"/>
      <c r="I114" s="9"/>
      <c r="J114" s="9"/>
      <c r="K114" s="9"/>
      <c r="L114" s="13">
        <f>IF(AND(J114&lt;&gt;"",K114&lt;&gt;""),J114*K114,"")</f>
      </c>
      <c r="M114" s="13">
        <f>IF(L114="","",IFS(L114&gt;=20,5,L114&gt;=16,4,L114&gt;=11,3,L114&gt;=6,2,L114&gt;0,1,TRUE,""))</f>
      </c>
      <c r="N114" s="13">
        <f>IFERROR(INDEX({"","Sangat Rendah","Rendah","Sedang","Tinggi","Sangat Tinggi"},M114+1),"")</f>
      </c>
      <c r="O114" s="9"/>
    </row>
    <row r="115" ht="24" customHeight="1" spans="1:15" x14ac:dyDescent="0.25">
      <c r="A115" s="9"/>
      <c r="B115" s="13">
        <f>IFERROR(XLOOKUP(A115,PENYEBAB!$E:$E,PENYEBAB!$B:$B),"")</f>
      </c>
      <c r="C115" s="13">
        <f>IFERROR(XLOOKUP(A115,PENYEBAB!$E:$E,PENYEBAB!$C:$C),"")</f>
      </c>
      <c r="D115" s="13">
        <f>IFERROR(XLOOKUP(A115,PENYEBAB!$E:$E,PENYEBAB!$K:$K),"")</f>
      </c>
      <c r="E115" s="13">
        <f>IFERROR(XLOOKUP(A115,PENYEBAB!$E:$E,PENYEBAB!$L:$L),"")</f>
      </c>
      <c r="F115" s="9"/>
      <c r="G115" s="9"/>
      <c r="H115" s="9"/>
      <c r="I115" s="9"/>
      <c r="J115" s="9"/>
      <c r="K115" s="9"/>
      <c r="L115" s="13">
        <f>IF(AND(J115&lt;&gt;"",K115&lt;&gt;""),J115*K115,"")</f>
      </c>
      <c r="M115" s="13">
        <f>IF(L115="","",IFS(L115&gt;=20,5,L115&gt;=16,4,L115&gt;=11,3,L115&gt;=6,2,L115&gt;0,1,TRUE,""))</f>
      </c>
      <c r="N115" s="13">
        <f>IFERROR(INDEX({"","Sangat Rendah","Rendah","Sedang","Tinggi","Sangat Tinggi"},M115+1),"")</f>
      </c>
      <c r="O115" s="9"/>
    </row>
    <row r="116" ht="24" customHeight="1" spans="1:15" x14ac:dyDescent="0.25">
      <c r="A116" s="9"/>
      <c r="B116" s="13">
        <f>IFERROR(XLOOKUP(A116,PENYEBAB!$E:$E,PENYEBAB!$B:$B),"")</f>
      </c>
      <c r="C116" s="13">
        <f>IFERROR(XLOOKUP(A116,PENYEBAB!$E:$E,PENYEBAB!$C:$C),"")</f>
      </c>
      <c r="D116" s="13">
        <f>IFERROR(XLOOKUP(A116,PENYEBAB!$E:$E,PENYEBAB!$K:$K),"")</f>
      </c>
      <c r="E116" s="13">
        <f>IFERROR(XLOOKUP(A116,PENYEBAB!$E:$E,PENYEBAB!$L:$L),"")</f>
      </c>
      <c r="F116" s="9"/>
      <c r="G116" s="9"/>
      <c r="H116" s="9"/>
      <c r="I116" s="9"/>
      <c r="J116" s="9"/>
      <c r="K116" s="9"/>
      <c r="L116" s="13">
        <f>IF(AND(J116&lt;&gt;"",K116&lt;&gt;""),J116*K116,"")</f>
      </c>
      <c r="M116" s="13">
        <f>IF(L116="","",IFS(L116&gt;=20,5,L116&gt;=16,4,L116&gt;=11,3,L116&gt;=6,2,L116&gt;0,1,TRUE,""))</f>
      </c>
      <c r="N116" s="13">
        <f>IFERROR(INDEX({"","Sangat Rendah","Rendah","Sedang","Tinggi","Sangat Tinggi"},M116+1),"")</f>
      </c>
      <c r="O116" s="9"/>
    </row>
    <row r="117" ht="24" customHeight="1" spans="1:15" x14ac:dyDescent="0.25">
      <c r="A117" s="9"/>
      <c r="B117" s="13">
        <f>IFERROR(XLOOKUP(A117,PENYEBAB!$E:$E,PENYEBAB!$B:$B),"")</f>
      </c>
      <c r="C117" s="13">
        <f>IFERROR(XLOOKUP(A117,PENYEBAB!$E:$E,PENYEBAB!$C:$C),"")</f>
      </c>
      <c r="D117" s="13">
        <f>IFERROR(XLOOKUP(A117,PENYEBAB!$E:$E,PENYEBAB!$K:$K),"")</f>
      </c>
      <c r="E117" s="13">
        <f>IFERROR(XLOOKUP(A117,PENYEBAB!$E:$E,PENYEBAB!$L:$L),"")</f>
      </c>
      <c r="F117" s="9"/>
      <c r="G117" s="9"/>
      <c r="H117" s="9"/>
      <c r="I117" s="9"/>
      <c r="J117" s="9"/>
      <c r="K117" s="9"/>
      <c r="L117" s="13">
        <f>IF(AND(J117&lt;&gt;"",K117&lt;&gt;""),J117*K117,"")</f>
      </c>
      <c r="M117" s="13">
        <f>IF(L117="","",IFS(L117&gt;=20,5,L117&gt;=16,4,L117&gt;=11,3,L117&gt;=6,2,L117&gt;0,1,TRUE,""))</f>
      </c>
      <c r="N117" s="13">
        <f>IFERROR(INDEX({"","Sangat Rendah","Rendah","Sedang","Tinggi","Sangat Tinggi"},M117+1),"")</f>
      </c>
      <c r="O117" s="9"/>
    </row>
    <row r="118" ht="24" customHeight="1" spans="1:15" x14ac:dyDescent="0.25">
      <c r="A118" s="9"/>
      <c r="B118" s="13">
        <f>IFERROR(XLOOKUP(A118,PENYEBAB!$E:$E,PENYEBAB!$B:$B),"")</f>
      </c>
      <c r="C118" s="13">
        <f>IFERROR(XLOOKUP(A118,PENYEBAB!$E:$E,PENYEBAB!$C:$C),"")</f>
      </c>
      <c r="D118" s="13">
        <f>IFERROR(XLOOKUP(A118,PENYEBAB!$E:$E,PENYEBAB!$K:$K),"")</f>
      </c>
      <c r="E118" s="13">
        <f>IFERROR(XLOOKUP(A118,PENYEBAB!$E:$E,PENYEBAB!$L:$L),"")</f>
      </c>
      <c r="F118" s="9"/>
      <c r="G118" s="9"/>
      <c r="H118" s="9"/>
      <c r="I118" s="9"/>
      <c r="J118" s="9"/>
      <c r="K118" s="9"/>
      <c r="L118" s="13">
        <f>IF(AND(J118&lt;&gt;"",K118&lt;&gt;""),J118*K118,"")</f>
      </c>
      <c r="M118" s="13">
        <f>IF(L118="","",IFS(L118&gt;=20,5,L118&gt;=16,4,L118&gt;=11,3,L118&gt;=6,2,L118&gt;0,1,TRUE,""))</f>
      </c>
      <c r="N118" s="13">
        <f>IFERROR(INDEX({"","Sangat Rendah","Rendah","Sedang","Tinggi","Sangat Tinggi"},M118+1),"")</f>
      </c>
      <c r="O118" s="9"/>
    </row>
    <row r="119" ht="24" customHeight="1" spans="1:15" x14ac:dyDescent="0.25">
      <c r="A119" s="9"/>
      <c r="B119" s="13">
        <f>IFERROR(XLOOKUP(A119,PENYEBAB!$E:$E,PENYEBAB!$B:$B),"")</f>
      </c>
      <c r="C119" s="13">
        <f>IFERROR(XLOOKUP(A119,PENYEBAB!$E:$E,PENYEBAB!$C:$C),"")</f>
      </c>
      <c r="D119" s="13">
        <f>IFERROR(XLOOKUP(A119,PENYEBAB!$E:$E,PENYEBAB!$K:$K),"")</f>
      </c>
      <c r="E119" s="13">
        <f>IFERROR(XLOOKUP(A119,PENYEBAB!$E:$E,PENYEBAB!$L:$L),"")</f>
      </c>
      <c r="F119" s="9"/>
      <c r="G119" s="9"/>
      <c r="H119" s="9"/>
      <c r="I119" s="9"/>
      <c r="J119" s="9"/>
      <c r="K119" s="9"/>
      <c r="L119" s="13">
        <f>IF(AND(J119&lt;&gt;"",K119&lt;&gt;""),J119*K119,"")</f>
      </c>
      <c r="M119" s="13">
        <f>IF(L119="","",IFS(L119&gt;=20,5,L119&gt;=16,4,L119&gt;=11,3,L119&gt;=6,2,L119&gt;0,1,TRUE,""))</f>
      </c>
      <c r="N119" s="13">
        <f>IFERROR(INDEX({"","Sangat Rendah","Rendah","Sedang","Tinggi","Sangat Tinggi"},M119+1),"")</f>
      </c>
      <c r="O119" s="9"/>
    </row>
    <row r="120" ht="24" customHeight="1" spans="1:15" x14ac:dyDescent="0.25">
      <c r="A120" s="9"/>
      <c r="B120" s="13">
        <f>IFERROR(XLOOKUP(A120,PENYEBAB!$E:$E,PENYEBAB!$B:$B),"")</f>
      </c>
      <c r="C120" s="13">
        <f>IFERROR(XLOOKUP(A120,PENYEBAB!$E:$E,PENYEBAB!$C:$C),"")</f>
      </c>
      <c r="D120" s="13">
        <f>IFERROR(XLOOKUP(A120,PENYEBAB!$E:$E,PENYEBAB!$K:$K),"")</f>
      </c>
      <c r="E120" s="13">
        <f>IFERROR(XLOOKUP(A120,PENYEBAB!$E:$E,PENYEBAB!$L:$L),"")</f>
      </c>
      <c r="F120" s="9"/>
      <c r="G120" s="9"/>
      <c r="H120" s="9"/>
      <c r="I120" s="9"/>
      <c r="J120" s="9"/>
      <c r="K120" s="9"/>
      <c r="L120" s="13">
        <f>IF(AND(J120&lt;&gt;"",K120&lt;&gt;""),J120*K120,"")</f>
      </c>
      <c r="M120" s="13">
        <f>IF(L120="","",IFS(L120&gt;=20,5,L120&gt;=16,4,L120&gt;=11,3,L120&gt;=6,2,L120&gt;0,1,TRUE,""))</f>
      </c>
      <c r="N120" s="13">
        <f>IFERROR(INDEX({"","Sangat Rendah","Rendah","Sedang","Tinggi","Sangat Tinggi"},M120+1),"")</f>
      </c>
      <c r="O120" s="9"/>
    </row>
    <row r="121" ht="24" customHeight="1" spans="1:15" x14ac:dyDescent="0.25">
      <c r="A121" s="9"/>
      <c r="B121" s="13">
        <f>IFERROR(XLOOKUP(A121,PENYEBAB!$E:$E,PENYEBAB!$B:$B),"")</f>
      </c>
      <c r="C121" s="13">
        <f>IFERROR(XLOOKUP(A121,PENYEBAB!$E:$E,PENYEBAB!$C:$C),"")</f>
      </c>
      <c r="D121" s="13">
        <f>IFERROR(XLOOKUP(A121,PENYEBAB!$E:$E,PENYEBAB!$K:$K),"")</f>
      </c>
      <c r="E121" s="13">
        <f>IFERROR(XLOOKUP(A121,PENYEBAB!$E:$E,PENYEBAB!$L:$L),"")</f>
      </c>
      <c r="F121" s="9"/>
      <c r="G121" s="9"/>
      <c r="H121" s="9"/>
      <c r="I121" s="9"/>
      <c r="J121" s="9"/>
      <c r="K121" s="9"/>
      <c r="L121" s="13">
        <f>IF(AND(J121&lt;&gt;"",K121&lt;&gt;""),J121*K121,"")</f>
      </c>
      <c r="M121" s="13">
        <f>IF(L121="","",IFS(L121&gt;=20,5,L121&gt;=16,4,L121&gt;=11,3,L121&gt;=6,2,L121&gt;0,1,TRUE,""))</f>
      </c>
      <c r="N121" s="13">
        <f>IFERROR(INDEX({"","Sangat Rendah","Rendah","Sedang","Tinggi","Sangat Tinggi"},M121+1),"")</f>
      </c>
      <c r="O121" s="9"/>
    </row>
    <row r="122" ht="24" customHeight="1" spans="1:15" x14ac:dyDescent="0.25">
      <c r="A122" s="9"/>
      <c r="B122" s="13">
        <f>IFERROR(XLOOKUP(A122,PENYEBAB!$E:$E,PENYEBAB!$B:$B),"")</f>
      </c>
      <c r="C122" s="13">
        <f>IFERROR(XLOOKUP(A122,PENYEBAB!$E:$E,PENYEBAB!$C:$C),"")</f>
      </c>
      <c r="D122" s="13">
        <f>IFERROR(XLOOKUP(A122,PENYEBAB!$E:$E,PENYEBAB!$K:$K),"")</f>
      </c>
      <c r="E122" s="13">
        <f>IFERROR(XLOOKUP(A122,PENYEBAB!$E:$E,PENYEBAB!$L:$L),"")</f>
      </c>
      <c r="F122" s="9"/>
      <c r="G122" s="9"/>
      <c r="H122" s="9"/>
      <c r="I122" s="9"/>
      <c r="J122" s="9"/>
      <c r="K122" s="9"/>
      <c r="L122" s="13">
        <f>IF(AND(J122&lt;&gt;"",K122&lt;&gt;""),J122*K122,"")</f>
      </c>
      <c r="M122" s="13">
        <f>IF(L122="","",IFS(L122&gt;=20,5,L122&gt;=16,4,L122&gt;=11,3,L122&gt;=6,2,L122&gt;0,1,TRUE,""))</f>
      </c>
      <c r="N122" s="13">
        <f>IFERROR(INDEX({"","Sangat Rendah","Rendah","Sedang","Tinggi","Sangat Tinggi"},M122+1),"")</f>
      </c>
      <c r="O122" s="9"/>
    </row>
    <row r="123" ht="24" customHeight="1" spans="1:15" x14ac:dyDescent="0.25">
      <c r="A123" s="9"/>
      <c r="B123" s="13">
        <f>IFERROR(XLOOKUP(A123,PENYEBAB!$E:$E,PENYEBAB!$B:$B),"")</f>
      </c>
      <c r="C123" s="13">
        <f>IFERROR(XLOOKUP(A123,PENYEBAB!$E:$E,PENYEBAB!$C:$C),"")</f>
      </c>
      <c r="D123" s="13">
        <f>IFERROR(XLOOKUP(A123,PENYEBAB!$E:$E,PENYEBAB!$K:$K),"")</f>
      </c>
      <c r="E123" s="13">
        <f>IFERROR(XLOOKUP(A123,PENYEBAB!$E:$E,PENYEBAB!$L:$L),"")</f>
      </c>
      <c r="F123" s="9"/>
      <c r="G123" s="9"/>
      <c r="H123" s="9"/>
      <c r="I123" s="9"/>
      <c r="J123" s="9"/>
      <c r="K123" s="9"/>
      <c r="L123" s="13">
        <f>IF(AND(J123&lt;&gt;"",K123&lt;&gt;""),J123*K123,"")</f>
      </c>
      <c r="M123" s="13">
        <f>IF(L123="","",IFS(L123&gt;=20,5,L123&gt;=16,4,L123&gt;=11,3,L123&gt;=6,2,L123&gt;0,1,TRUE,""))</f>
      </c>
      <c r="N123" s="13">
        <f>IFERROR(INDEX({"","Sangat Rendah","Rendah","Sedang","Tinggi","Sangat Tinggi"},M123+1),"")</f>
      </c>
      <c r="O123" s="9"/>
    </row>
    <row r="124" ht="24" customHeight="1" spans="1:15" x14ac:dyDescent="0.25">
      <c r="A124" s="9"/>
      <c r="B124" s="13">
        <f>IFERROR(XLOOKUP(A124,PENYEBAB!$E:$E,PENYEBAB!$B:$B),"")</f>
      </c>
      <c r="C124" s="13">
        <f>IFERROR(XLOOKUP(A124,PENYEBAB!$E:$E,PENYEBAB!$C:$C),"")</f>
      </c>
      <c r="D124" s="13">
        <f>IFERROR(XLOOKUP(A124,PENYEBAB!$E:$E,PENYEBAB!$K:$K),"")</f>
      </c>
      <c r="E124" s="13">
        <f>IFERROR(XLOOKUP(A124,PENYEBAB!$E:$E,PENYEBAB!$L:$L),"")</f>
      </c>
      <c r="F124" s="9"/>
      <c r="G124" s="9"/>
      <c r="H124" s="9"/>
      <c r="I124" s="9"/>
      <c r="J124" s="9"/>
      <c r="K124" s="9"/>
      <c r="L124" s="13">
        <f>IF(AND(J124&lt;&gt;"",K124&lt;&gt;""),J124*K124,"")</f>
      </c>
      <c r="M124" s="13">
        <f>IF(L124="","",IFS(L124&gt;=20,5,L124&gt;=16,4,L124&gt;=11,3,L124&gt;=6,2,L124&gt;0,1,TRUE,""))</f>
      </c>
      <c r="N124" s="13">
        <f>IFERROR(INDEX({"","Sangat Rendah","Rendah","Sedang","Tinggi","Sangat Tinggi"},M124+1),"")</f>
      </c>
      <c r="O124" s="9"/>
    </row>
    <row r="125" ht="24" customHeight="1" spans="1:15" x14ac:dyDescent="0.25">
      <c r="A125" s="9"/>
      <c r="B125" s="13">
        <f>IFERROR(XLOOKUP(A125,PENYEBAB!$E:$E,PENYEBAB!$B:$B),"")</f>
      </c>
      <c r="C125" s="13">
        <f>IFERROR(XLOOKUP(A125,PENYEBAB!$E:$E,PENYEBAB!$C:$C),"")</f>
      </c>
      <c r="D125" s="13">
        <f>IFERROR(XLOOKUP(A125,PENYEBAB!$E:$E,PENYEBAB!$K:$K),"")</f>
      </c>
      <c r="E125" s="13">
        <f>IFERROR(XLOOKUP(A125,PENYEBAB!$E:$E,PENYEBAB!$L:$L),"")</f>
      </c>
      <c r="F125" s="9"/>
      <c r="G125" s="9"/>
      <c r="H125" s="9"/>
      <c r="I125" s="9"/>
      <c r="J125" s="9"/>
      <c r="K125" s="9"/>
      <c r="L125" s="13">
        <f>IF(AND(J125&lt;&gt;"",K125&lt;&gt;""),J125*K125,"")</f>
      </c>
      <c r="M125" s="13">
        <f>IF(L125="","",IFS(L125&gt;=20,5,L125&gt;=16,4,L125&gt;=11,3,L125&gt;=6,2,L125&gt;0,1,TRUE,""))</f>
      </c>
      <c r="N125" s="13">
        <f>IFERROR(INDEX({"","Sangat Rendah","Rendah","Sedang","Tinggi","Sangat Tinggi"},M125+1),"")</f>
      </c>
      <c r="O125" s="9"/>
    </row>
    <row r="126" ht="24" customHeight="1" spans="1:15" x14ac:dyDescent="0.25">
      <c r="A126" s="9"/>
      <c r="B126" s="13">
        <f>IFERROR(XLOOKUP(A126,PENYEBAB!$E:$E,PENYEBAB!$B:$B),"")</f>
      </c>
      <c r="C126" s="13">
        <f>IFERROR(XLOOKUP(A126,PENYEBAB!$E:$E,PENYEBAB!$C:$C),"")</f>
      </c>
      <c r="D126" s="13">
        <f>IFERROR(XLOOKUP(A126,PENYEBAB!$E:$E,PENYEBAB!$K:$K),"")</f>
      </c>
      <c r="E126" s="13">
        <f>IFERROR(XLOOKUP(A126,PENYEBAB!$E:$E,PENYEBAB!$L:$L),"")</f>
      </c>
      <c r="F126" s="9"/>
      <c r="G126" s="9"/>
      <c r="H126" s="9"/>
      <c r="I126" s="9"/>
      <c r="J126" s="9"/>
      <c r="K126" s="9"/>
      <c r="L126" s="13">
        <f>IF(AND(J126&lt;&gt;"",K126&lt;&gt;""),J126*K126,"")</f>
      </c>
      <c r="M126" s="13">
        <f>IF(L126="","",IFS(L126&gt;=20,5,L126&gt;=16,4,L126&gt;=11,3,L126&gt;=6,2,L126&gt;0,1,TRUE,""))</f>
      </c>
      <c r="N126" s="13">
        <f>IFERROR(INDEX({"","Sangat Rendah","Rendah","Sedang","Tinggi","Sangat Tinggi"},M126+1),"")</f>
      </c>
      <c r="O126" s="9"/>
    </row>
    <row r="127" ht="24" customHeight="1" spans="1:15" x14ac:dyDescent="0.25">
      <c r="A127" s="9"/>
      <c r="B127" s="13">
        <f>IFERROR(XLOOKUP(A127,PENYEBAB!$E:$E,PENYEBAB!$B:$B),"")</f>
      </c>
      <c r="C127" s="13">
        <f>IFERROR(XLOOKUP(A127,PENYEBAB!$E:$E,PENYEBAB!$C:$C),"")</f>
      </c>
      <c r="D127" s="13">
        <f>IFERROR(XLOOKUP(A127,PENYEBAB!$E:$E,PENYEBAB!$K:$K),"")</f>
      </c>
      <c r="E127" s="13">
        <f>IFERROR(XLOOKUP(A127,PENYEBAB!$E:$E,PENYEBAB!$L:$L),"")</f>
      </c>
      <c r="F127" s="9"/>
      <c r="G127" s="9"/>
      <c r="H127" s="9"/>
      <c r="I127" s="9"/>
      <c r="J127" s="9"/>
      <c r="K127" s="9"/>
      <c r="L127" s="13">
        <f>IF(AND(J127&lt;&gt;"",K127&lt;&gt;""),J127*K127,"")</f>
      </c>
      <c r="M127" s="13">
        <f>IF(L127="","",IFS(L127&gt;=20,5,L127&gt;=16,4,L127&gt;=11,3,L127&gt;=6,2,L127&gt;0,1,TRUE,""))</f>
      </c>
      <c r="N127" s="13">
        <f>IFERROR(INDEX({"","Sangat Rendah","Rendah","Sedang","Tinggi","Sangat Tinggi"},M127+1),"")</f>
      </c>
      <c r="O127" s="9"/>
    </row>
    <row r="128" ht="24" customHeight="1" spans="1:15" x14ac:dyDescent="0.25">
      <c r="A128" s="9"/>
      <c r="B128" s="13">
        <f>IFERROR(XLOOKUP(A128,PENYEBAB!$E:$E,PENYEBAB!$B:$B),"")</f>
      </c>
      <c r="C128" s="13">
        <f>IFERROR(XLOOKUP(A128,PENYEBAB!$E:$E,PENYEBAB!$C:$C),"")</f>
      </c>
      <c r="D128" s="13">
        <f>IFERROR(XLOOKUP(A128,PENYEBAB!$E:$E,PENYEBAB!$K:$K),"")</f>
      </c>
      <c r="E128" s="13">
        <f>IFERROR(XLOOKUP(A128,PENYEBAB!$E:$E,PENYEBAB!$L:$L),"")</f>
      </c>
      <c r="F128" s="9"/>
      <c r="G128" s="9"/>
      <c r="H128" s="9"/>
      <c r="I128" s="9"/>
      <c r="J128" s="9"/>
      <c r="K128" s="9"/>
      <c r="L128" s="13">
        <f>IF(AND(J128&lt;&gt;"",K128&lt;&gt;""),J128*K128,"")</f>
      </c>
      <c r="M128" s="13">
        <f>IF(L128="","",IFS(L128&gt;=20,5,L128&gt;=16,4,L128&gt;=11,3,L128&gt;=6,2,L128&gt;0,1,TRUE,""))</f>
      </c>
      <c r="N128" s="13">
        <f>IFERROR(INDEX({"","Sangat Rendah","Rendah","Sedang","Tinggi","Sangat Tinggi"},M128+1),"")</f>
      </c>
      <c r="O128" s="9"/>
    </row>
    <row r="129" ht="24" customHeight="1" spans="1:15" x14ac:dyDescent="0.25">
      <c r="A129" s="9"/>
      <c r="B129" s="13">
        <f>IFERROR(XLOOKUP(A129,PENYEBAB!$E:$E,PENYEBAB!$B:$B),"")</f>
      </c>
      <c r="C129" s="13">
        <f>IFERROR(XLOOKUP(A129,PENYEBAB!$E:$E,PENYEBAB!$C:$C),"")</f>
      </c>
      <c r="D129" s="13">
        <f>IFERROR(XLOOKUP(A129,PENYEBAB!$E:$E,PENYEBAB!$K:$K),"")</f>
      </c>
      <c r="E129" s="13">
        <f>IFERROR(XLOOKUP(A129,PENYEBAB!$E:$E,PENYEBAB!$L:$L),"")</f>
      </c>
      <c r="F129" s="9"/>
      <c r="G129" s="9"/>
      <c r="H129" s="9"/>
      <c r="I129" s="9"/>
      <c r="J129" s="9"/>
      <c r="K129" s="9"/>
      <c r="L129" s="13">
        <f>IF(AND(J129&lt;&gt;"",K129&lt;&gt;""),J129*K129,"")</f>
      </c>
      <c r="M129" s="13">
        <f>IF(L129="","",IFS(L129&gt;=20,5,L129&gt;=16,4,L129&gt;=11,3,L129&gt;=6,2,L129&gt;0,1,TRUE,""))</f>
      </c>
      <c r="N129" s="13">
        <f>IFERROR(INDEX({"","Sangat Rendah","Rendah","Sedang","Tinggi","Sangat Tinggi"},M129+1),"")</f>
      </c>
      <c r="O129" s="9"/>
    </row>
    <row r="130" ht="24" customHeight="1" spans="1:15" x14ac:dyDescent="0.25">
      <c r="A130" s="9"/>
      <c r="B130" s="13">
        <f>IFERROR(XLOOKUP(A130,PENYEBAB!$E:$E,PENYEBAB!$B:$B),"")</f>
      </c>
      <c r="C130" s="13">
        <f>IFERROR(XLOOKUP(A130,PENYEBAB!$E:$E,PENYEBAB!$C:$C),"")</f>
      </c>
      <c r="D130" s="13">
        <f>IFERROR(XLOOKUP(A130,PENYEBAB!$E:$E,PENYEBAB!$K:$K),"")</f>
      </c>
      <c r="E130" s="13">
        <f>IFERROR(XLOOKUP(A130,PENYEBAB!$E:$E,PENYEBAB!$L:$L),"")</f>
      </c>
      <c r="F130" s="9"/>
      <c r="G130" s="9"/>
      <c r="H130" s="9"/>
      <c r="I130" s="9"/>
      <c r="J130" s="9"/>
      <c r="K130" s="9"/>
      <c r="L130" s="13">
        <f>IF(AND(J130&lt;&gt;"",K130&lt;&gt;""),J130*K130,"")</f>
      </c>
      <c r="M130" s="13">
        <f>IF(L130="","",IFS(L130&gt;=20,5,L130&gt;=16,4,L130&gt;=11,3,L130&gt;=6,2,L130&gt;0,1,TRUE,""))</f>
      </c>
      <c r="N130" s="13">
        <f>IFERROR(INDEX({"","Sangat Rendah","Rendah","Sedang","Tinggi","Sangat Tinggi"},M130+1),"")</f>
      </c>
      <c r="O130" s="9"/>
    </row>
    <row r="131" ht="24" customHeight="1" spans="1:15" x14ac:dyDescent="0.25">
      <c r="A131" s="9"/>
      <c r="B131" s="13">
        <f>IFERROR(XLOOKUP(A131,PENYEBAB!$E:$E,PENYEBAB!$B:$B),"")</f>
      </c>
      <c r="C131" s="13">
        <f>IFERROR(XLOOKUP(A131,PENYEBAB!$E:$E,PENYEBAB!$C:$C),"")</f>
      </c>
      <c r="D131" s="13">
        <f>IFERROR(XLOOKUP(A131,PENYEBAB!$E:$E,PENYEBAB!$K:$K),"")</f>
      </c>
      <c r="E131" s="13">
        <f>IFERROR(XLOOKUP(A131,PENYEBAB!$E:$E,PENYEBAB!$L:$L),"")</f>
      </c>
      <c r="F131" s="9"/>
      <c r="G131" s="9"/>
      <c r="H131" s="9"/>
      <c r="I131" s="9"/>
      <c r="J131" s="9"/>
      <c r="K131" s="9"/>
      <c r="L131" s="13">
        <f>IF(AND(J131&lt;&gt;"",K131&lt;&gt;""),J131*K131,"")</f>
      </c>
      <c r="M131" s="13">
        <f>IF(L131="","",IFS(L131&gt;=20,5,L131&gt;=16,4,L131&gt;=11,3,L131&gt;=6,2,L131&gt;0,1,TRUE,""))</f>
      </c>
      <c r="N131" s="13">
        <f>IFERROR(INDEX({"","Sangat Rendah","Rendah","Sedang","Tinggi","Sangat Tinggi"},M131+1),"")</f>
      </c>
      <c r="O131" s="9"/>
    </row>
    <row r="132" ht="24" customHeight="1" spans="1:15" x14ac:dyDescent="0.25">
      <c r="A132" s="9"/>
      <c r="B132" s="13">
        <f>IFERROR(XLOOKUP(A132,PENYEBAB!$E:$E,PENYEBAB!$B:$B),"")</f>
      </c>
      <c r="C132" s="13">
        <f>IFERROR(XLOOKUP(A132,PENYEBAB!$E:$E,PENYEBAB!$C:$C),"")</f>
      </c>
      <c r="D132" s="13">
        <f>IFERROR(XLOOKUP(A132,PENYEBAB!$E:$E,PENYEBAB!$K:$K),"")</f>
      </c>
      <c r="E132" s="13">
        <f>IFERROR(XLOOKUP(A132,PENYEBAB!$E:$E,PENYEBAB!$L:$L),"")</f>
      </c>
      <c r="F132" s="9"/>
      <c r="G132" s="9"/>
      <c r="H132" s="9"/>
      <c r="I132" s="9"/>
      <c r="J132" s="9"/>
      <c r="K132" s="9"/>
      <c r="L132" s="13">
        <f>IF(AND(J132&lt;&gt;"",K132&lt;&gt;""),J132*K132,"")</f>
      </c>
      <c r="M132" s="13">
        <f>IF(L132="","",IFS(L132&gt;=20,5,L132&gt;=16,4,L132&gt;=11,3,L132&gt;=6,2,L132&gt;0,1,TRUE,""))</f>
      </c>
      <c r="N132" s="13">
        <f>IFERROR(INDEX({"","Sangat Rendah","Rendah","Sedang","Tinggi","Sangat Tinggi"},M132+1),"")</f>
      </c>
      <c r="O132" s="9"/>
    </row>
    <row r="133" ht="24" customHeight="1" spans="1:15" x14ac:dyDescent="0.25">
      <c r="A133" s="9"/>
      <c r="B133" s="13">
        <f>IFERROR(XLOOKUP(A133,PENYEBAB!$E:$E,PENYEBAB!$B:$B),"")</f>
      </c>
      <c r="C133" s="13">
        <f>IFERROR(XLOOKUP(A133,PENYEBAB!$E:$E,PENYEBAB!$C:$C),"")</f>
      </c>
      <c r="D133" s="13">
        <f>IFERROR(XLOOKUP(A133,PENYEBAB!$E:$E,PENYEBAB!$K:$K),"")</f>
      </c>
      <c r="E133" s="13">
        <f>IFERROR(XLOOKUP(A133,PENYEBAB!$E:$E,PENYEBAB!$L:$L),"")</f>
      </c>
      <c r="F133" s="9"/>
      <c r="G133" s="9"/>
      <c r="H133" s="9"/>
      <c r="I133" s="9"/>
      <c r="J133" s="9"/>
      <c r="K133" s="9"/>
      <c r="L133" s="13">
        <f>IF(AND(J133&lt;&gt;"",K133&lt;&gt;""),J133*K133,"")</f>
      </c>
      <c r="M133" s="13">
        <f>IF(L133="","",IFS(L133&gt;=20,5,L133&gt;=16,4,L133&gt;=11,3,L133&gt;=6,2,L133&gt;0,1,TRUE,""))</f>
      </c>
      <c r="N133" s="13">
        <f>IFERROR(INDEX({"","Sangat Rendah","Rendah","Sedang","Tinggi","Sangat Tinggi"},M133+1),"")</f>
      </c>
      <c r="O133" s="9"/>
    </row>
    <row r="134" ht="24" customHeight="1" spans="1:15" x14ac:dyDescent="0.25">
      <c r="A134" s="9"/>
      <c r="B134" s="13">
        <f>IFERROR(XLOOKUP(A134,PENYEBAB!$E:$E,PENYEBAB!$B:$B),"")</f>
      </c>
      <c r="C134" s="13">
        <f>IFERROR(XLOOKUP(A134,PENYEBAB!$E:$E,PENYEBAB!$C:$C),"")</f>
      </c>
      <c r="D134" s="13">
        <f>IFERROR(XLOOKUP(A134,PENYEBAB!$E:$E,PENYEBAB!$K:$K),"")</f>
      </c>
      <c r="E134" s="13">
        <f>IFERROR(XLOOKUP(A134,PENYEBAB!$E:$E,PENYEBAB!$L:$L),"")</f>
      </c>
      <c r="F134" s="9"/>
      <c r="G134" s="9"/>
      <c r="H134" s="9"/>
      <c r="I134" s="9"/>
      <c r="J134" s="9"/>
      <c r="K134" s="9"/>
      <c r="L134" s="13">
        <f>IF(AND(J134&lt;&gt;"",K134&lt;&gt;""),J134*K134,"")</f>
      </c>
      <c r="M134" s="13">
        <f>IF(L134="","",IFS(L134&gt;=20,5,L134&gt;=16,4,L134&gt;=11,3,L134&gt;=6,2,L134&gt;0,1,TRUE,""))</f>
      </c>
      <c r="N134" s="13">
        <f>IFERROR(INDEX({"","Sangat Rendah","Rendah","Sedang","Tinggi","Sangat Tinggi"},M134+1),"")</f>
      </c>
      <c r="O134" s="9"/>
    </row>
    <row r="135" ht="24" customHeight="1" spans="1:15" x14ac:dyDescent="0.25">
      <c r="A135" s="9"/>
      <c r="B135" s="13">
        <f>IFERROR(XLOOKUP(A135,PENYEBAB!$E:$E,PENYEBAB!$B:$B),"")</f>
      </c>
      <c r="C135" s="13">
        <f>IFERROR(XLOOKUP(A135,PENYEBAB!$E:$E,PENYEBAB!$C:$C),"")</f>
      </c>
      <c r="D135" s="13">
        <f>IFERROR(XLOOKUP(A135,PENYEBAB!$E:$E,PENYEBAB!$K:$K),"")</f>
      </c>
      <c r="E135" s="13">
        <f>IFERROR(XLOOKUP(A135,PENYEBAB!$E:$E,PENYEBAB!$L:$L),"")</f>
      </c>
      <c r="F135" s="9"/>
      <c r="G135" s="9"/>
      <c r="H135" s="9"/>
      <c r="I135" s="9"/>
      <c r="J135" s="9"/>
      <c r="K135" s="9"/>
      <c r="L135" s="13">
        <f>IF(AND(J135&lt;&gt;"",K135&lt;&gt;""),J135*K135,"")</f>
      </c>
      <c r="M135" s="13">
        <f>IF(L135="","",IFS(L135&gt;=20,5,L135&gt;=16,4,L135&gt;=11,3,L135&gt;=6,2,L135&gt;0,1,TRUE,""))</f>
      </c>
      <c r="N135" s="13">
        <f>IFERROR(INDEX({"","Sangat Rendah","Rendah","Sedang","Tinggi","Sangat Tinggi"},M135+1),"")</f>
      </c>
      <c r="O135" s="9"/>
    </row>
    <row r="136" ht="24" customHeight="1" spans="1:15" x14ac:dyDescent="0.25">
      <c r="A136" s="9"/>
      <c r="B136" s="13">
        <f>IFERROR(XLOOKUP(A136,PENYEBAB!$E:$E,PENYEBAB!$B:$B),"")</f>
      </c>
      <c r="C136" s="13">
        <f>IFERROR(XLOOKUP(A136,PENYEBAB!$E:$E,PENYEBAB!$C:$C),"")</f>
      </c>
      <c r="D136" s="13">
        <f>IFERROR(XLOOKUP(A136,PENYEBAB!$E:$E,PENYEBAB!$K:$K),"")</f>
      </c>
      <c r="E136" s="13">
        <f>IFERROR(XLOOKUP(A136,PENYEBAB!$E:$E,PENYEBAB!$L:$L),"")</f>
      </c>
      <c r="F136" s="9"/>
      <c r="G136" s="9"/>
      <c r="H136" s="9"/>
      <c r="I136" s="9"/>
      <c r="J136" s="9"/>
      <c r="K136" s="9"/>
      <c r="L136" s="13">
        <f>IF(AND(J136&lt;&gt;"",K136&lt;&gt;""),J136*K136,"")</f>
      </c>
      <c r="M136" s="13">
        <f>IF(L136="","",IFS(L136&gt;=20,5,L136&gt;=16,4,L136&gt;=11,3,L136&gt;=6,2,L136&gt;0,1,TRUE,""))</f>
      </c>
      <c r="N136" s="13">
        <f>IFERROR(INDEX({"","Sangat Rendah","Rendah","Sedang","Tinggi","Sangat Tinggi"},M136+1),"")</f>
      </c>
      <c r="O136" s="9"/>
    </row>
    <row r="137" ht="24" customHeight="1" spans="1:15" x14ac:dyDescent="0.25">
      <c r="A137" s="9"/>
      <c r="B137" s="13">
        <f>IFERROR(XLOOKUP(A137,PENYEBAB!$E:$E,PENYEBAB!$B:$B),"")</f>
      </c>
      <c r="C137" s="13">
        <f>IFERROR(XLOOKUP(A137,PENYEBAB!$E:$E,PENYEBAB!$C:$C),"")</f>
      </c>
      <c r="D137" s="13">
        <f>IFERROR(XLOOKUP(A137,PENYEBAB!$E:$E,PENYEBAB!$K:$K),"")</f>
      </c>
      <c r="E137" s="13">
        <f>IFERROR(XLOOKUP(A137,PENYEBAB!$E:$E,PENYEBAB!$L:$L),"")</f>
      </c>
      <c r="F137" s="9"/>
      <c r="G137" s="9"/>
      <c r="H137" s="9"/>
      <c r="I137" s="9"/>
      <c r="J137" s="9"/>
      <c r="K137" s="9"/>
      <c r="L137" s="13">
        <f>IF(AND(J137&lt;&gt;"",K137&lt;&gt;""),J137*K137,"")</f>
      </c>
      <c r="M137" s="13">
        <f>IF(L137="","",IFS(L137&gt;=20,5,L137&gt;=16,4,L137&gt;=11,3,L137&gt;=6,2,L137&gt;0,1,TRUE,""))</f>
      </c>
      <c r="N137" s="13">
        <f>IFERROR(INDEX({"","Sangat Rendah","Rendah","Sedang","Tinggi","Sangat Tinggi"},M137+1),"")</f>
      </c>
      <c r="O137" s="9"/>
    </row>
    <row r="138" ht="24" customHeight="1" spans="1:15" x14ac:dyDescent="0.25">
      <c r="A138" s="9"/>
      <c r="B138" s="13">
        <f>IFERROR(XLOOKUP(A138,PENYEBAB!$E:$E,PENYEBAB!$B:$B),"")</f>
      </c>
      <c r="C138" s="13">
        <f>IFERROR(XLOOKUP(A138,PENYEBAB!$E:$E,PENYEBAB!$C:$C),"")</f>
      </c>
      <c r="D138" s="13">
        <f>IFERROR(XLOOKUP(A138,PENYEBAB!$E:$E,PENYEBAB!$K:$K),"")</f>
      </c>
      <c r="E138" s="13">
        <f>IFERROR(XLOOKUP(A138,PENYEBAB!$E:$E,PENYEBAB!$L:$L),"")</f>
      </c>
      <c r="F138" s="9"/>
      <c r="G138" s="9"/>
      <c r="H138" s="9"/>
      <c r="I138" s="9"/>
      <c r="J138" s="9"/>
      <c r="K138" s="9"/>
      <c r="L138" s="13">
        <f>IF(AND(J138&lt;&gt;"",K138&lt;&gt;""),J138*K138,"")</f>
      </c>
      <c r="M138" s="13">
        <f>IF(L138="","",IFS(L138&gt;=20,5,L138&gt;=16,4,L138&gt;=11,3,L138&gt;=6,2,L138&gt;0,1,TRUE,""))</f>
      </c>
      <c r="N138" s="13">
        <f>IFERROR(INDEX({"","Sangat Rendah","Rendah","Sedang","Tinggi","Sangat Tinggi"},M138+1),"")</f>
      </c>
      <c r="O138" s="9"/>
    </row>
    <row r="139" ht="24" customHeight="1" spans="1:15" x14ac:dyDescent="0.25">
      <c r="A139" s="9"/>
      <c r="B139" s="13">
        <f>IFERROR(XLOOKUP(A139,PENYEBAB!$E:$E,PENYEBAB!$B:$B),"")</f>
      </c>
      <c r="C139" s="13">
        <f>IFERROR(XLOOKUP(A139,PENYEBAB!$E:$E,PENYEBAB!$C:$C),"")</f>
      </c>
      <c r="D139" s="13">
        <f>IFERROR(XLOOKUP(A139,PENYEBAB!$E:$E,PENYEBAB!$K:$K),"")</f>
      </c>
      <c r="E139" s="13">
        <f>IFERROR(XLOOKUP(A139,PENYEBAB!$E:$E,PENYEBAB!$L:$L),"")</f>
      </c>
      <c r="F139" s="9"/>
      <c r="G139" s="9"/>
      <c r="H139" s="9"/>
      <c r="I139" s="9"/>
      <c r="J139" s="9"/>
      <c r="K139" s="9"/>
      <c r="L139" s="13">
        <f>IF(AND(J139&lt;&gt;"",K139&lt;&gt;""),J139*K139,"")</f>
      </c>
      <c r="M139" s="13">
        <f>IF(L139="","",IFS(L139&gt;=20,5,L139&gt;=16,4,L139&gt;=11,3,L139&gt;=6,2,L139&gt;0,1,TRUE,""))</f>
      </c>
      <c r="N139" s="13">
        <f>IFERROR(INDEX({"","Sangat Rendah","Rendah","Sedang","Tinggi","Sangat Tinggi"},M139+1),"")</f>
      </c>
      <c r="O139" s="9"/>
    </row>
    <row r="140" ht="24" customHeight="1" spans="1:15" x14ac:dyDescent="0.25">
      <c r="A140" s="9"/>
      <c r="B140" s="13">
        <f>IFERROR(XLOOKUP(A140,PENYEBAB!$E:$E,PENYEBAB!$B:$B),"")</f>
      </c>
      <c r="C140" s="13">
        <f>IFERROR(XLOOKUP(A140,PENYEBAB!$E:$E,PENYEBAB!$C:$C),"")</f>
      </c>
      <c r="D140" s="13">
        <f>IFERROR(XLOOKUP(A140,PENYEBAB!$E:$E,PENYEBAB!$K:$K),"")</f>
      </c>
      <c r="E140" s="13">
        <f>IFERROR(XLOOKUP(A140,PENYEBAB!$E:$E,PENYEBAB!$L:$L),"")</f>
      </c>
      <c r="F140" s="9"/>
      <c r="G140" s="9"/>
      <c r="H140" s="9"/>
      <c r="I140" s="9"/>
      <c r="J140" s="9"/>
      <c r="K140" s="9"/>
      <c r="L140" s="13">
        <f>IF(AND(J140&lt;&gt;"",K140&lt;&gt;""),J140*K140,"")</f>
      </c>
      <c r="M140" s="13">
        <f>IF(L140="","",IFS(L140&gt;=20,5,L140&gt;=16,4,L140&gt;=11,3,L140&gt;=6,2,L140&gt;0,1,TRUE,""))</f>
      </c>
      <c r="N140" s="13">
        <f>IFERROR(INDEX({"","Sangat Rendah","Rendah","Sedang","Tinggi","Sangat Tinggi"},M140+1),"")</f>
      </c>
      <c r="O140" s="9"/>
    </row>
    <row r="141" ht="24" customHeight="1" spans="1:15" x14ac:dyDescent="0.25">
      <c r="A141" s="9"/>
      <c r="B141" s="13">
        <f>IFERROR(XLOOKUP(A141,PENYEBAB!$E:$E,PENYEBAB!$B:$B),"")</f>
      </c>
      <c r="C141" s="13">
        <f>IFERROR(XLOOKUP(A141,PENYEBAB!$E:$E,PENYEBAB!$C:$C),"")</f>
      </c>
      <c r="D141" s="13">
        <f>IFERROR(XLOOKUP(A141,PENYEBAB!$E:$E,PENYEBAB!$K:$K),"")</f>
      </c>
      <c r="E141" s="13">
        <f>IFERROR(XLOOKUP(A141,PENYEBAB!$E:$E,PENYEBAB!$L:$L),"")</f>
      </c>
      <c r="F141" s="9"/>
      <c r="G141" s="9"/>
      <c r="H141" s="9"/>
      <c r="I141" s="9"/>
      <c r="J141" s="9"/>
      <c r="K141" s="9"/>
      <c r="L141" s="13">
        <f>IF(AND(J141&lt;&gt;"",K141&lt;&gt;""),J141*K141,"")</f>
      </c>
      <c r="M141" s="13">
        <f>IF(L141="","",IFS(L141&gt;=20,5,L141&gt;=16,4,L141&gt;=11,3,L141&gt;=6,2,L141&gt;0,1,TRUE,""))</f>
      </c>
      <c r="N141" s="13">
        <f>IFERROR(INDEX({"","Sangat Rendah","Rendah","Sedang","Tinggi","Sangat Tinggi"},M141+1),"")</f>
      </c>
      <c r="O141" s="9"/>
    </row>
    <row r="142" ht="24" customHeight="1" spans="1:15" x14ac:dyDescent="0.25">
      <c r="A142" s="9"/>
      <c r="B142" s="13">
        <f>IFERROR(XLOOKUP(A142,PENYEBAB!$E:$E,PENYEBAB!$B:$B),"")</f>
      </c>
      <c r="C142" s="13">
        <f>IFERROR(XLOOKUP(A142,PENYEBAB!$E:$E,PENYEBAB!$C:$C),"")</f>
      </c>
      <c r="D142" s="13">
        <f>IFERROR(XLOOKUP(A142,PENYEBAB!$E:$E,PENYEBAB!$K:$K),"")</f>
      </c>
      <c r="E142" s="13">
        <f>IFERROR(XLOOKUP(A142,PENYEBAB!$E:$E,PENYEBAB!$L:$L),"")</f>
      </c>
      <c r="F142" s="9"/>
      <c r="G142" s="9"/>
      <c r="H142" s="9"/>
      <c r="I142" s="9"/>
      <c r="J142" s="9"/>
      <c r="K142" s="9"/>
      <c r="L142" s="13">
        <f>IF(AND(J142&lt;&gt;"",K142&lt;&gt;""),J142*K142,"")</f>
      </c>
      <c r="M142" s="13">
        <f>IF(L142="","",IFS(L142&gt;=20,5,L142&gt;=16,4,L142&gt;=11,3,L142&gt;=6,2,L142&gt;0,1,TRUE,""))</f>
      </c>
      <c r="N142" s="13">
        <f>IFERROR(INDEX({"","Sangat Rendah","Rendah","Sedang","Tinggi","Sangat Tinggi"},M142+1),"")</f>
      </c>
      <c r="O142" s="9"/>
    </row>
    <row r="143" ht="24" customHeight="1" spans="1:15" x14ac:dyDescent="0.25">
      <c r="A143" s="9"/>
      <c r="B143" s="13">
        <f>IFERROR(XLOOKUP(A143,PENYEBAB!$E:$E,PENYEBAB!$B:$B),"")</f>
      </c>
      <c r="C143" s="13">
        <f>IFERROR(XLOOKUP(A143,PENYEBAB!$E:$E,PENYEBAB!$C:$C),"")</f>
      </c>
      <c r="D143" s="13">
        <f>IFERROR(XLOOKUP(A143,PENYEBAB!$E:$E,PENYEBAB!$K:$K),"")</f>
      </c>
      <c r="E143" s="13">
        <f>IFERROR(XLOOKUP(A143,PENYEBAB!$E:$E,PENYEBAB!$L:$L),"")</f>
      </c>
      <c r="F143" s="9"/>
      <c r="G143" s="9"/>
      <c r="H143" s="9"/>
      <c r="I143" s="9"/>
      <c r="J143" s="9"/>
      <c r="K143" s="9"/>
      <c r="L143" s="13">
        <f>IF(AND(J143&lt;&gt;"",K143&lt;&gt;""),J143*K143,"")</f>
      </c>
      <c r="M143" s="13">
        <f>IF(L143="","",IFS(L143&gt;=20,5,L143&gt;=16,4,L143&gt;=11,3,L143&gt;=6,2,L143&gt;0,1,TRUE,""))</f>
      </c>
      <c r="N143" s="13">
        <f>IFERROR(INDEX({"","Sangat Rendah","Rendah","Sedang","Tinggi","Sangat Tinggi"},M143+1),"")</f>
      </c>
      <c r="O143" s="9"/>
    </row>
    <row r="144" ht="24" customHeight="1" spans="1:15" x14ac:dyDescent="0.25">
      <c r="A144" s="9"/>
      <c r="B144" s="13">
        <f>IFERROR(XLOOKUP(A144,PENYEBAB!$E:$E,PENYEBAB!$B:$B),"")</f>
      </c>
      <c r="C144" s="13">
        <f>IFERROR(XLOOKUP(A144,PENYEBAB!$E:$E,PENYEBAB!$C:$C),"")</f>
      </c>
      <c r="D144" s="13">
        <f>IFERROR(XLOOKUP(A144,PENYEBAB!$E:$E,PENYEBAB!$K:$K),"")</f>
      </c>
      <c r="E144" s="13">
        <f>IFERROR(XLOOKUP(A144,PENYEBAB!$E:$E,PENYEBAB!$L:$L),"")</f>
      </c>
      <c r="F144" s="9"/>
      <c r="G144" s="9"/>
      <c r="H144" s="9"/>
      <c r="I144" s="9"/>
      <c r="J144" s="9"/>
      <c r="K144" s="9"/>
      <c r="L144" s="13">
        <f>IF(AND(J144&lt;&gt;"",K144&lt;&gt;""),J144*K144,"")</f>
      </c>
      <c r="M144" s="13">
        <f>IF(L144="","",IFS(L144&gt;=20,5,L144&gt;=16,4,L144&gt;=11,3,L144&gt;=6,2,L144&gt;0,1,TRUE,""))</f>
      </c>
      <c r="N144" s="13">
        <f>IFERROR(INDEX({"","Sangat Rendah","Rendah","Sedang","Tinggi","Sangat Tinggi"},M144+1),"")</f>
      </c>
      <c r="O144" s="9"/>
    </row>
    <row r="145" ht="24" customHeight="1" spans="1:15" x14ac:dyDescent="0.25">
      <c r="A145" s="9"/>
      <c r="B145" s="13">
        <f>IFERROR(XLOOKUP(A145,PENYEBAB!$E:$E,PENYEBAB!$B:$B),"")</f>
      </c>
      <c r="C145" s="13">
        <f>IFERROR(XLOOKUP(A145,PENYEBAB!$E:$E,PENYEBAB!$C:$C),"")</f>
      </c>
      <c r="D145" s="13">
        <f>IFERROR(XLOOKUP(A145,PENYEBAB!$E:$E,PENYEBAB!$K:$K),"")</f>
      </c>
      <c r="E145" s="13">
        <f>IFERROR(XLOOKUP(A145,PENYEBAB!$E:$E,PENYEBAB!$L:$L),"")</f>
      </c>
      <c r="F145" s="9"/>
      <c r="G145" s="9"/>
      <c r="H145" s="9"/>
      <c r="I145" s="9"/>
      <c r="J145" s="9"/>
      <c r="K145" s="9"/>
      <c r="L145" s="13">
        <f>IF(AND(J145&lt;&gt;"",K145&lt;&gt;""),J145*K145,"")</f>
      </c>
      <c r="M145" s="13">
        <f>IF(L145="","",IFS(L145&gt;=20,5,L145&gt;=16,4,L145&gt;=11,3,L145&gt;=6,2,L145&gt;0,1,TRUE,""))</f>
      </c>
      <c r="N145" s="13">
        <f>IFERROR(INDEX({"","Sangat Rendah","Rendah","Sedang","Tinggi","Sangat Tinggi"},M145+1),"")</f>
      </c>
      <c r="O145" s="9"/>
    </row>
    <row r="146" ht="24" customHeight="1" spans="1:15" x14ac:dyDescent="0.25">
      <c r="A146" s="9"/>
      <c r="B146" s="13">
        <f>IFERROR(XLOOKUP(A146,PENYEBAB!$E:$E,PENYEBAB!$B:$B),"")</f>
      </c>
      <c r="C146" s="13">
        <f>IFERROR(XLOOKUP(A146,PENYEBAB!$E:$E,PENYEBAB!$C:$C),"")</f>
      </c>
      <c r="D146" s="13">
        <f>IFERROR(XLOOKUP(A146,PENYEBAB!$E:$E,PENYEBAB!$K:$K),"")</f>
      </c>
      <c r="E146" s="13">
        <f>IFERROR(XLOOKUP(A146,PENYEBAB!$E:$E,PENYEBAB!$L:$L),"")</f>
      </c>
      <c r="F146" s="9"/>
      <c r="G146" s="9"/>
      <c r="H146" s="9"/>
      <c r="I146" s="9"/>
      <c r="J146" s="9"/>
      <c r="K146" s="9"/>
      <c r="L146" s="13">
        <f>IF(AND(J146&lt;&gt;"",K146&lt;&gt;""),J146*K146,"")</f>
      </c>
      <c r="M146" s="13">
        <f>IF(L146="","",IFS(L146&gt;=20,5,L146&gt;=16,4,L146&gt;=11,3,L146&gt;=6,2,L146&gt;0,1,TRUE,""))</f>
      </c>
      <c r="N146" s="13">
        <f>IFERROR(INDEX({"","Sangat Rendah","Rendah","Sedang","Tinggi","Sangat Tinggi"},M146+1),"")</f>
      </c>
      <c r="O146" s="9"/>
    </row>
    <row r="147" ht="24" customHeight="1" spans="1:15" x14ac:dyDescent="0.25">
      <c r="A147" s="9"/>
      <c r="B147" s="13">
        <f>IFERROR(XLOOKUP(A147,PENYEBAB!$E:$E,PENYEBAB!$B:$B),"")</f>
      </c>
      <c r="C147" s="13">
        <f>IFERROR(XLOOKUP(A147,PENYEBAB!$E:$E,PENYEBAB!$C:$C),"")</f>
      </c>
      <c r="D147" s="13">
        <f>IFERROR(XLOOKUP(A147,PENYEBAB!$E:$E,PENYEBAB!$K:$K),"")</f>
      </c>
      <c r="E147" s="13">
        <f>IFERROR(XLOOKUP(A147,PENYEBAB!$E:$E,PENYEBAB!$L:$L),"")</f>
      </c>
      <c r="F147" s="9"/>
      <c r="G147" s="9"/>
      <c r="H147" s="9"/>
      <c r="I147" s="9"/>
      <c r="J147" s="9"/>
      <c r="K147" s="9"/>
      <c r="L147" s="13">
        <f>IF(AND(J147&lt;&gt;"",K147&lt;&gt;""),J147*K147,"")</f>
      </c>
      <c r="M147" s="13">
        <f>IF(L147="","",IFS(L147&gt;=20,5,L147&gt;=16,4,L147&gt;=11,3,L147&gt;=6,2,L147&gt;0,1,TRUE,""))</f>
      </c>
      <c r="N147" s="13">
        <f>IFERROR(INDEX({"","Sangat Rendah","Rendah","Sedang","Tinggi","Sangat Tinggi"},M147+1),"")</f>
      </c>
      <c r="O147" s="9"/>
    </row>
    <row r="148" ht="24" customHeight="1" spans="1:15" x14ac:dyDescent="0.25">
      <c r="A148" s="9"/>
      <c r="B148" s="13">
        <f>IFERROR(XLOOKUP(A148,PENYEBAB!$E:$E,PENYEBAB!$B:$B),"")</f>
      </c>
      <c r="C148" s="13">
        <f>IFERROR(XLOOKUP(A148,PENYEBAB!$E:$E,PENYEBAB!$C:$C),"")</f>
      </c>
      <c r="D148" s="13">
        <f>IFERROR(XLOOKUP(A148,PENYEBAB!$E:$E,PENYEBAB!$K:$K),"")</f>
      </c>
      <c r="E148" s="13">
        <f>IFERROR(XLOOKUP(A148,PENYEBAB!$E:$E,PENYEBAB!$L:$L),"")</f>
      </c>
      <c r="F148" s="9"/>
      <c r="G148" s="9"/>
      <c r="H148" s="9"/>
      <c r="I148" s="9"/>
      <c r="J148" s="9"/>
      <c r="K148" s="9"/>
      <c r="L148" s="13">
        <f>IF(AND(J148&lt;&gt;"",K148&lt;&gt;""),J148*K148,"")</f>
      </c>
      <c r="M148" s="13">
        <f>IF(L148="","",IFS(L148&gt;=20,5,L148&gt;=16,4,L148&gt;=11,3,L148&gt;=6,2,L148&gt;0,1,TRUE,""))</f>
      </c>
      <c r="N148" s="13">
        <f>IFERROR(INDEX({"","Sangat Rendah","Rendah","Sedang","Tinggi","Sangat Tinggi"},M148+1),"")</f>
      </c>
      <c r="O148" s="9"/>
    </row>
    <row r="149" ht="24" customHeight="1" spans="1:15" x14ac:dyDescent="0.25">
      <c r="A149" s="9"/>
      <c r="B149" s="13">
        <f>IFERROR(XLOOKUP(A149,PENYEBAB!$E:$E,PENYEBAB!$B:$B),"")</f>
      </c>
      <c r="C149" s="13">
        <f>IFERROR(XLOOKUP(A149,PENYEBAB!$E:$E,PENYEBAB!$C:$C),"")</f>
      </c>
      <c r="D149" s="13">
        <f>IFERROR(XLOOKUP(A149,PENYEBAB!$E:$E,PENYEBAB!$K:$K),"")</f>
      </c>
      <c r="E149" s="13">
        <f>IFERROR(XLOOKUP(A149,PENYEBAB!$E:$E,PENYEBAB!$L:$L),"")</f>
      </c>
      <c r="F149" s="9"/>
      <c r="G149" s="9"/>
      <c r="H149" s="9"/>
      <c r="I149" s="9"/>
      <c r="J149" s="9"/>
      <c r="K149" s="9"/>
      <c r="L149" s="13">
        <f>IF(AND(J149&lt;&gt;"",K149&lt;&gt;""),J149*K149,"")</f>
      </c>
      <c r="M149" s="13">
        <f>IF(L149="","",IFS(L149&gt;=20,5,L149&gt;=16,4,L149&gt;=11,3,L149&gt;=6,2,L149&gt;0,1,TRUE,""))</f>
      </c>
      <c r="N149" s="13">
        <f>IFERROR(INDEX({"","Sangat Rendah","Rendah","Sedang","Tinggi","Sangat Tinggi"},M149+1),"")</f>
      </c>
      <c r="O149" s="9"/>
    </row>
    <row r="150" ht="24" customHeight="1" spans="1:15" x14ac:dyDescent="0.25">
      <c r="A150" s="9"/>
      <c r="B150" s="13">
        <f>IFERROR(XLOOKUP(A150,PENYEBAB!$E:$E,PENYEBAB!$B:$B),"")</f>
      </c>
      <c r="C150" s="13">
        <f>IFERROR(XLOOKUP(A150,PENYEBAB!$E:$E,PENYEBAB!$C:$C),"")</f>
      </c>
      <c r="D150" s="13">
        <f>IFERROR(XLOOKUP(A150,PENYEBAB!$E:$E,PENYEBAB!$K:$K),"")</f>
      </c>
      <c r="E150" s="13">
        <f>IFERROR(XLOOKUP(A150,PENYEBAB!$E:$E,PENYEBAB!$L:$L),"")</f>
      </c>
      <c r="F150" s="9"/>
      <c r="G150" s="9"/>
      <c r="H150" s="9"/>
      <c r="I150" s="9"/>
      <c r="J150" s="9"/>
      <c r="K150" s="9"/>
      <c r="L150" s="13">
        <f>IF(AND(J150&lt;&gt;"",K150&lt;&gt;""),J150*K150,"")</f>
      </c>
      <c r="M150" s="13">
        <f>IF(L150="","",IFS(L150&gt;=20,5,L150&gt;=16,4,L150&gt;=11,3,L150&gt;=6,2,L150&gt;0,1,TRUE,""))</f>
      </c>
      <c r="N150" s="13">
        <f>IFERROR(INDEX({"","Sangat Rendah","Rendah","Sedang","Tinggi","Sangat Tinggi"},M150+1),"")</f>
      </c>
      <c r="O150" s="9"/>
    </row>
    <row r="151" ht="24" customHeight="1" spans="1:15" x14ac:dyDescent="0.25">
      <c r="A151" s="9"/>
      <c r="B151" s="13">
        <f>IFERROR(XLOOKUP(A151,PENYEBAB!$E:$E,PENYEBAB!$B:$B),"")</f>
      </c>
      <c r="C151" s="13">
        <f>IFERROR(XLOOKUP(A151,PENYEBAB!$E:$E,PENYEBAB!$C:$C),"")</f>
      </c>
      <c r="D151" s="13">
        <f>IFERROR(XLOOKUP(A151,PENYEBAB!$E:$E,PENYEBAB!$K:$K),"")</f>
      </c>
      <c r="E151" s="13">
        <f>IFERROR(XLOOKUP(A151,PENYEBAB!$E:$E,PENYEBAB!$L:$L),"")</f>
      </c>
      <c r="F151" s="9"/>
      <c r="G151" s="9"/>
      <c r="H151" s="9"/>
      <c r="I151" s="9"/>
      <c r="J151" s="9"/>
      <c r="K151" s="9"/>
      <c r="L151" s="13">
        <f>IF(AND(J151&lt;&gt;"",K151&lt;&gt;""),J151*K151,"")</f>
      </c>
      <c r="M151" s="13">
        <f>IF(L151="","",IFS(L151&gt;=20,5,L151&gt;=16,4,L151&gt;=11,3,L151&gt;=6,2,L151&gt;0,1,TRUE,""))</f>
      </c>
      <c r="N151" s="13">
        <f>IFERROR(INDEX({"","Sangat Rendah","Rendah","Sedang","Tinggi","Sangat Tinggi"},M151+1),"")</f>
      </c>
      <c r="O151" s="9"/>
    </row>
    <row r="152" ht="24" customHeight="1" spans="1:15" x14ac:dyDescent="0.25">
      <c r="A152" s="9"/>
      <c r="B152" s="13">
        <f>IFERROR(XLOOKUP(A152,PENYEBAB!$E:$E,PENYEBAB!$B:$B),"")</f>
      </c>
      <c r="C152" s="13">
        <f>IFERROR(XLOOKUP(A152,PENYEBAB!$E:$E,PENYEBAB!$C:$C),"")</f>
      </c>
      <c r="D152" s="13">
        <f>IFERROR(XLOOKUP(A152,PENYEBAB!$E:$E,PENYEBAB!$K:$K),"")</f>
      </c>
      <c r="E152" s="13">
        <f>IFERROR(XLOOKUP(A152,PENYEBAB!$E:$E,PENYEBAB!$L:$L),"")</f>
      </c>
      <c r="F152" s="9"/>
      <c r="G152" s="9"/>
      <c r="H152" s="9"/>
      <c r="I152" s="9"/>
      <c r="J152" s="9"/>
      <c r="K152" s="9"/>
      <c r="L152" s="13">
        <f>IF(AND(J152&lt;&gt;"",K152&lt;&gt;""),J152*K152,"")</f>
      </c>
      <c r="M152" s="13">
        <f>IF(L152="","",IFS(L152&gt;=20,5,L152&gt;=16,4,L152&gt;=11,3,L152&gt;=6,2,L152&gt;0,1,TRUE,""))</f>
      </c>
      <c r="N152" s="13">
        <f>IFERROR(INDEX({"","Sangat Rendah","Rendah","Sedang","Tinggi","Sangat Tinggi"},M152+1),"")</f>
      </c>
      <c r="O152" s="9"/>
    </row>
    <row r="153" ht="24" customHeight="1" spans="1:15" x14ac:dyDescent="0.25">
      <c r="A153" s="9"/>
      <c r="B153" s="13">
        <f>IFERROR(XLOOKUP(A153,PENYEBAB!$E:$E,PENYEBAB!$B:$B),"")</f>
      </c>
      <c r="C153" s="13">
        <f>IFERROR(XLOOKUP(A153,PENYEBAB!$E:$E,PENYEBAB!$C:$C),"")</f>
      </c>
      <c r="D153" s="13">
        <f>IFERROR(XLOOKUP(A153,PENYEBAB!$E:$E,PENYEBAB!$K:$K),"")</f>
      </c>
      <c r="E153" s="13">
        <f>IFERROR(XLOOKUP(A153,PENYEBAB!$E:$E,PENYEBAB!$L:$L),"")</f>
      </c>
      <c r="F153" s="9"/>
      <c r="G153" s="9"/>
      <c r="H153" s="9"/>
      <c r="I153" s="9"/>
      <c r="J153" s="9"/>
      <c r="K153" s="9"/>
      <c r="L153" s="13">
        <f>IF(AND(J153&lt;&gt;"",K153&lt;&gt;""),J153*K153,"")</f>
      </c>
      <c r="M153" s="13">
        <f>IF(L153="","",IFS(L153&gt;=20,5,L153&gt;=16,4,L153&gt;=11,3,L153&gt;=6,2,L153&gt;0,1,TRUE,""))</f>
      </c>
      <c r="N153" s="13">
        <f>IFERROR(INDEX({"","Sangat Rendah","Rendah","Sedang","Tinggi","Sangat Tinggi"},M153+1),"")</f>
      </c>
      <c r="O153" s="9"/>
    </row>
  </sheetData>
  <mergeCells count="2">
    <mergeCell ref="A1:O1"/>
    <mergeCell ref="A2:O2"/>
  </mergeCells>
  <conditionalFormatting sqref="M4:M153">
    <cfRule type="cellIs" dxfId="11" priority="1" operator="equal">
      <formula>5</formula>
    </cfRule>
    <cfRule type="cellIs" dxfId="12" priority="2" operator="equal">
      <formula>4</formula>
    </cfRule>
    <cfRule type="cellIs" dxfId="13" priority="3" operator="equal">
      <formula>3</formula>
    </cfRule>
    <cfRule type="cellIs" dxfId="14" priority="4" operator="equal">
      <formula>2</formula>
    </cfRule>
    <cfRule type="cellIs" dxfId="15" priority="5" operator="equal">
      <formula>1</formula>
    </cfRule>
  </conditionalFormatting>
  <dataValidations count="450">
    <dataValidation type="list" allowBlank="1" showErrorMessage="1" errorTitle="Nilai tidak valid" error="Pilih dari daftar yang tersedia." sqref="F100:F100">
      <formula1>MASTER!$Q$2:$Q$23</formula1>
    </dataValidation>
    <dataValidation type="list" allowBlank="1" showErrorMessage="1" errorTitle="Nilai tidak valid" error="Pilih dari daftar yang tersedia." sqref="F101:F101">
      <formula1>MASTER!$Q$2:$Q$23</formula1>
    </dataValidation>
    <dataValidation type="list" allowBlank="1" showErrorMessage="1" errorTitle="Nilai tidak valid" error="Pilih dari daftar yang tersedia." sqref="F102:F102">
      <formula1>MASTER!$Q$2:$Q$23</formula1>
    </dataValidation>
    <dataValidation type="list" allowBlank="1" showErrorMessage="1" errorTitle="Nilai tidak valid" error="Pilih dari daftar yang tersedia." sqref="F103:F103">
      <formula1>MASTER!$Q$2:$Q$23</formula1>
    </dataValidation>
    <dataValidation type="list" allowBlank="1" showErrorMessage="1" errorTitle="Nilai tidak valid" error="Pilih dari daftar yang tersedia." sqref="F104:F104">
      <formula1>MASTER!$Q$2:$Q$23</formula1>
    </dataValidation>
    <dataValidation type="list" allowBlank="1" showErrorMessage="1" errorTitle="Nilai tidak valid" error="Pilih dari daftar yang tersedia." sqref="F105:F105">
      <formula1>MASTER!$Q$2:$Q$23</formula1>
    </dataValidation>
    <dataValidation type="list" allowBlank="1" showErrorMessage="1" errorTitle="Nilai tidak valid" error="Pilih dari daftar yang tersedia." sqref="F106:F106">
      <formula1>MASTER!$Q$2:$Q$23</formula1>
    </dataValidation>
    <dataValidation type="list" allowBlank="1" showErrorMessage="1" errorTitle="Nilai tidak valid" error="Pilih dari daftar yang tersedia." sqref="F107:F107">
      <formula1>MASTER!$Q$2:$Q$23</formula1>
    </dataValidation>
    <dataValidation type="list" allowBlank="1" showErrorMessage="1" errorTitle="Nilai tidak valid" error="Pilih dari daftar yang tersedia." sqref="F108:F108">
      <formula1>MASTER!$Q$2:$Q$23</formula1>
    </dataValidation>
    <dataValidation type="list" allowBlank="1" showErrorMessage="1" errorTitle="Nilai tidak valid" error="Pilih dari daftar yang tersedia." sqref="F109:F109">
      <formula1>MASTER!$Q$2:$Q$23</formula1>
    </dataValidation>
    <dataValidation type="list" allowBlank="1" showErrorMessage="1" errorTitle="Nilai tidak valid" error="Pilih dari daftar yang tersedia." sqref="F10:F10">
      <formula1>MASTER!$Q$2:$Q$23</formula1>
    </dataValidation>
    <dataValidation type="list" allowBlank="1" showErrorMessage="1" errorTitle="Nilai tidak valid" error="Pilih dari daftar yang tersedia." sqref="F110:F110">
      <formula1>MASTER!$Q$2:$Q$23</formula1>
    </dataValidation>
    <dataValidation type="list" allowBlank="1" showErrorMessage="1" errorTitle="Nilai tidak valid" error="Pilih dari daftar yang tersedia." sqref="F111:F111">
      <formula1>MASTER!$Q$2:$Q$23</formula1>
    </dataValidation>
    <dataValidation type="list" allowBlank="1" showErrorMessage="1" errorTitle="Nilai tidak valid" error="Pilih dari daftar yang tersedia." sqref="F112:F112">
      <formula1>MASTER!$Q$2:$Q$23</formula1>
    </dataValidation>
    <dataValidation type="list" allowBlank="1" showErrorMessage="1" errorTitle="Nilai tidak valid" error="Pilih dari daftar yang tersedia." sqref="F113:F113">
      <formula1>MASTER!$Q$2:$Q$23</formula1>
    </dataValidation>
    <dataValidation type="list" allowBlank="1" showErrorMessage="1" errorTitle="Nilai tidak valid" error="Pilih dari daftar yang tersedia." sqref="F114:F114">
      <formula1>MASTER!$Q$2:$Q$23</formula1>
    </dataValidation>
    <dataValidation type="list" allowBlank="1" showErrorMessage="1" errorTitle="Nilai tidak valid" error="Pilih dari daftar yang tersedia." sqref="F115:F115">
      <formula1>MASTER!$Q$2:$Q$23</formula1>
    </dataValidation>
    <dataValidation type="list" allowBlank="1" showErrorMessage="1" errorTitle="Nilai tidak valid" error="Pilih dari daftar yang tersedia." sqref="F116:F116">
      <formula1>MASTER!$Q$2:$Q$23</formula1>
    </dataValidation>
    <dataValidation type="list" allowBlank="1" showErrorMessage="1" errorTitle="Nilai tidak valid" error="Pilih dari daftar yang tersedia." sqref="F117:F117">
      <formula1>MASTER!$Q$2:$Q$23</formula1>
    </dataValidation>
    <dataValidation type="list" allowBlank="1" showErrorMessage="1" errorTitle="Nilai tidak valid" error="Pilih dari daftar yang tersedia." sqref="F118:F118">
      <formula1>MASTER!$Q$2:$Q$23</formula1>
    </dataValidation>
    <dataValidation type="list" allowBlank="1" showErrorMessage="1" errorTitle="Nilai tidak valid" error="Pilih dari daftar yang tersedia." sqref="F119:F119">
      <formula1>MASTER!$Q$2:$Q$23</formula1>
    </dataValidation>
    <dataValidation type="list" allowBlank="1" showErrorMessage="1" errorTitle="Nilai tidak valid" error="Pilih dari daftar yang tersedia." sqref="F11:F11">
      <formula1>MASTER!$Q$2:$Q$23</formula1>
    </dataValidation>
    <dataValidation type="list" allowBlank="1" showErrorMessage="1" errorTitle="Nilai tidak valid" error="Pilih dari daftar yang tersedia." sqref="F120:F120">
      <formula1>MASTER!$Q$2:$Q$23</formula1>
    </dataValidation>
    <dataValidation type="list" allowBlank="1" showErrorMessage="1" errorTitle="Nilai tidak valid" error="Pilih dari daftar yang tersedia." sqref="F121:F121">
      <formula1>MASTER!$Q$2:$Q$23</formula1>
    </dataValidation>
    <dataValidation type="list" allowBlank="1" showErrorMessage="1" errorTitle="Nilai tidak valid" error="Pilih dari daftar yang tersedia." sqref="F122:F122">
      <formula1>MASTER!$Q$2:$Q$23</formula1>
    </dataValidation>
    <dataValidation type="list" allowBlank="1" showErrorMessage="1" errorTitle="Nilai tidak valid" error="Pilih dari daftar yang tersedia." sqref="F123:F123">
      <formula1>MASTER!$Q$2:$Q$23</formula1>
    </dataValidation>
    <dataValidation type="list" allowBlank="1" showErrorMessage="1" errorTitle="Nilai tidak valid" error="Pilih dari daftar yang tersedia." sqref="F124:F124">
      <formula1>MASTER!$Q$2:$Q$23</formula1>
    </dataValidation>
    <dataValidation type="list" allowBlank="1" showErrorMessage="1" errorTitle="Nilai tidak valid" error="Pilih dari daftar yang tersedia." sqref="F125:F125">
      <formula1>MASTER!$Q$2:$Q$23</formula1>
    </dataValidation>
    <dataValidation type="list" allowBlank="1" showErrorMessage="1" errorTitle="Nilai tidak valid" error="Pilih dari daftar yang tersedia." sqref="F126:F126">
      <formula1>MASTER!$Q$2:$Q$23</formula1>
    </dataValidation>
    <dataValidation type="list" allowBlank="1" showErrorMessage="1" errorTitle="Nilai tidak valid" error="Pilih dari daftar yang tersedia." sqref="F127:F127">
      <formula1>MASTER!$Q$2:$Q$23</formula1>
    </dataValidation>
    <dataValidation type="list" allowBlank="1" showErrorMessage="1" errorTitle="Nilai tidak valid" error="Pilih dari daftar yang tersedia." sqref="F128:F128">
      <formula1>MASTER!$Q$2:$Q$23</formula1>
    </dataValidation>
    <dataValidation type="list" allowBlank="1" showErrorMessage="1" errorTitle="Nilai tidak valid" error="Pilih dari daftar yang tersedia." sqref="F129:F129">
      <formula1>MASTER!$Q$2:$Q$23</formula1>
    </dataValidation>
    <dataValidation type="list" allowBlank="1" showErrorMessage="1" errorTitle="Nilai tidak valid" error="Pilih dari daftar yang tersedia." sqref="F12:F12">
      <formula1>MASTER!$Q$2:$Q$23</formula1>
    </dataValidation>
    <dataValidation type="list" allowBlank="1" showErrorMessage="1" errorTitle="Nilai tidak valid" error="Pilih dari daftar yang tersedia." sqref="F130:F130">
      <formula1>MASTER!$Q$2:$Q$23</formula1>
    </dataValidation>
    <dataValidation type="list" allowBlank="1" showErrorMessage="1" errorTitle="Nilai tidak valid" error="Pilih dari daftar yang tersedia." sqref="F131:F131">
      <formula1>MASTER!$Q$2:$Q$23</formula1>
    </dataValidation>
    <dataValidation type="list" allowBlank="1" showErrorMessage="1" errorTitle="Nilai tidak valid" error="Pilih dari daftar yang tersedia." sqref="F132:F132">
      <formula1>MASTER!$Q$2:$Q$23</formula1>
    </dataValidation>
    <dataValidation type="list" allowBlank="1" showErrorMessage="1" errorTitle="Nilai tidak valid" error="Pilih dari daftar yang tersedia." sqref="F133:F133">
      <formula1>MASTER!$Q$2:$Q$23</formula1>
    </dataValidation>
    <dataValidation type="list" allowBlank="1" showErrorMessage="1" errorTitle="Nilai tidak valid" error="Pilih dari daftar yang tersedia." sqref="F134:F134">
      <formula1>MASTER!$Q$2:$Q$23</formula1>
    </dataValidation>
    <dataValidation type="list" allowBlank="1" showErrorMessage="1" errorTitle="Nilai tidak valid" error="Pilih dari daftar yang tersedia." sqref="F135:F135">
      <formula1>MASTER!$Q$2:$Q$23</formula1>
    </dataValidation>
    <dataValidation type="list" allowBlank="1" showErrorMessage="1" errorTitle="Nilai tidak valid" error="Pilih dari daftar yang tersedia." sqref="F136:F136">
      <formula1>MASTER!$Q$2:$Q$23</formula1>
    </dataValidation>
    <dataValidation type="list" allowBlank="1" showErrorMessage="1" errorTitle="Nilai tidak valid" error="Pilih dari daftar yang tersedia." sqref="F137:F137">
      <formula1>MASTER!$Q$2:$Q$23</formula1>
    </dataValidation>
    <dataValidation type="list" allowBlank="1" showErrorMessage="1" errorTitle="Nilai tidak valid" error="Pilih dari daftar yang tersedia." sqref="F138:F138">
      <formula1>MASTER!$Q$2:$Q$23</formula1>
    </dataValidation>
    <dataValidation type="list" allowBlank="1" showErrorMessage="1" errorTitle="Nilai tidak valid" error="Pilih dari daftar yang tersedia." sqref="F139:F139">
      <formula1>MASTER!$Q$2:$Q$23</formula1>
    </dataValidation>
    <dataValidation type="list" allowBlank="1" showErrorMessage="1" errorTitle="Nilai tidak valid" error="Pilih dari daftar yang tersedia." sqref="F13:F13">
      <formula1>MASTER!$Q$2:$Q$23</formula1>
    </dataValidation>
    <dataValidation type="list" allowBlank="1" showErrorMessage="1" errorTitle="Nilai tidak valid" error="Pilih dari daftar yang tersedia." sqref="F140:F140">
      <formula1>MASTER!$Q$2:$Q$23</formula1>
    </dataValidation>
    <dataValidation type="list" allowBlank="1" showErrorMessage="1" errorTitle="Nilai tidak valid" error="Pilih dari daftar yang tersedia." sqref="F141:F141">
      <formula1>MASTER!$Q$2:$Q$23</formula1>
    </dataValidation>
    <dataValidation type="list" allowBlank="1" showErrorMessage="1" errorTitle="Nilai tidak valid" error="Pilih dari daftar yang tersedia." sqref="F142:F142">
      <formula1>MASTER!$Q$2:$Q$23</formula1>
    </dataValidation>
    <dataValidation type="list" allowBlank="1" showErrorMessage="1" errorTitle="Nilai tidak valid" error="Pilih dari daftar yang tersedia." sqref="F143:F143">
      <formula1>MASTER!$Q$2:$Q$23</formula1>
    </dataValidation>
    <dataValidation type="list" allowBlank="1" showErrorMessage="1" errorTitle="Nilai tidak valid" error="Pilih dari daftar yang tersedia." sqref="F144:F144">
      <formula1>MASTER!$Q$2:$Q$23</formula1>
    </dataValidation>
    <dataValidation type="list" allowBlank="1" showErrorMessage="1" errorTitle="Nilai tidak valid" error="Pilih dari daftar yang tersedia." sqref="F145:F145">
      <formula1>MASTER!$Q$2:$Q$23</formula1>
    </dataValidation>
    <dataValidation type="list" allowBlank="1" showErrorMessage="1" errorTitle="Nilai tidak valid" error="Pilih dari daftar yang tersedia." sqref="F146:F146">
      <formula1>MASTER!$Q$2:$Q$23</formula1>
    </dataValidation>
    <dataValidation type="list" allowBlank="1" showErrorMessage="1" errorTitle="Nilai tidak valid" error="Pilih dari daftar yang tersedia." sqref="F147:F147">
      <formula1>MASTER!$Q$2:$Q$23</formula1>
    </dataValidation>
    <dataValidation type="list" allowBlank="1" showErrorMessage="1" errorTitle="Nilai tidak valid" error="Pilih dari daftar yang tersedia." sqref="F148:F148">
      <formula1>MASTER!$Q$2:$Q$23</formula1>
    </dataValidation>
    <dataValidation type="list" allowBlank="1" showErrorMessage="1" errorTitle="Nilai tidak valid" error="Pilih dari daftar yang tersedia." sqref="F149:F149">
      <formula1>MASTER!$Q$2:$Q$23</formula1>
    </dataValidation>
    <dataValidation type="list" allowBlank="1" showErrorMessage="1" errorTitle="Nilai tidak valid" error="Pilih dari daftar yang tersedia." sqref="F14:F14">
      <formula1>MASTER!$Q$2:$Q$23</formula1>
    </dataValidation>
    <dataValidation type="list" allowBlank="1" showErrorMessage="1" errorTitle="Nilai tidak valid" error="Pilih dari daftar yang tersedia." sqref="F150:F150">
      <formula1>MASTER!$Q$2:$Q$23</formula1>
    </dataValidation>
    <dataValidation type="list" allowBlank="1" showErrorMessage="1" errorTitle="Nilai tidak valid" error="Pilih dari daftar yang tersedia." sqref="F151:F151">
      <formula1>MASTER!$Q$2:$Q$23</formula1>
    </dataValidation>
    <dataValidation type="list" allowBlank="1" showErrorMessage="1" errorTitle="Nilai tidak valid" error="Pilih dari daftar yang tersedia." sqref="F152:F152">
      <formula1>MASTER!$Q$2:$Q$23</formula1>
    </dataValidation>
    <dataValidation type="list" allowBlank="1" showErrorMessage="1" errorTitle="Nilai tidak valid" error="Pilih dari daftar yang tersedia." sqref="F153:F153">
      <formula1>MASTER!$Q$2:$Q$23</formula1>
    </dataValidation>
    <dataValidation type="list" allowBlank="1" showErrorMessage="1" errorTitle="Nilai tidak valid" error="Pilih dari daftar yang tersedia." sqref="F15:F15">
      <formula1>MASTER!$Q$2:$Q$23</formula1>
    </dataValidation>
    <dataValidation type="list" allowBlank="1" showErrorMessage="1" errorTitle="Nilai tidak valid" error="Pilih dari daftar yang tersedia." sqref="F16:F16">
      <formula1>MASTER!$Q$2:$Q$23</formula1>
    </dataValidation>
    <dataValidation type="list" allowBlank="1" showErrorMessage="1" errorTitle="Nilai tidak valid" error="Pilih dari daftar yang tersedia." sqref="F17:F17">
      <formula1>MASTER!$Q$2:$Q$23</formula1>
    </dataValidation>
    <dataValidation type="list" allowBlank="1" showErrorMessage="1" errorTitle="Nilai tidak valid" error="Pilih dari daftar yang tersedia." sqref="F18:F18">
      <formula1>MASTER!$Q$2:$Q$23</formula1>
    </dataValidation>
    <dataValidation type="list" allowBlank="1" showErrorMessage="1" errorTitle="Nilai tidak valid" error="Pilih dari daftar yang tersedia." sqref="F19:F19">
      <formula1>MASTER!$Q$2:$Q$23</formula1>
    </dataValidation>
    <dataValidation type="list" allowBlank="1" showErrorMessage="1" errorTitle="Nilai tidak valid" error="Pilih dari daftar yang tersedia." sqref="F20:F20">
      <formula1>MASTER!$Q$2:$Q$23</formula1>
    </dataValidation>
    <dataValidation type="list" allowBlank="1" showErrorMessage="1" errorTitle="Nilai tidak valid" error="Pilih dari daftar yang tersedia." sqref="F21:F21">
      <formula1>MASTER!$Q$2:$Q$23</formula1>
    </dataValidation>
    <dataValidation type="list" allowBlank="1" showErrorMessage="1" errorTitle="Nilai tidak valid" error="Pilih dari daftar yang tersedia." sqref="F22:F22">
      <formula1>MASTER!$Q$2:$Q$23</formula1>
    </dataValidation>
    <dataValidation type="list" allowBlank="1" showErrorMessage="1" errorTitle="Nilai tidak valid" error="Pilih dari daftar yang tersedia." sqref="F23:F23">
      <formula1>MASTER!$Q$2:$Q$23</formula1>
    </dataValidation>
    <dataValidation type="list" allowBlank="1" showErrorMessage="1" errorTitle="Nilai tidak valid" error="Pilih dari daftar yang tersedia." sqref="F24:F24">
      <formula1>MASTER!$Q$2:$Q$23</formula1>
    </dataValidation>
    <dataValidation type="list" allowBlank="1" showErrorMessage="1" errorTitle="Nilai tidak valid" error="Pilih dari daftar yang tersedia." sqref="F25:F25">
      <formula1>MASTER!$Q$2:$Q$23</formula1>
    </dataValidation>
    <dataValidation type="list" allowBlank="1" showErrorMessage="1" errorTitle="Nilai tidak valid" error="Pilih dari daftar yang tersedia." sqref="F26:F26">
      <formula1>MASTER!$Q$2:$Q$23</formula1>
    </dataValidation>
    <dataValidation type="list" allowBlank="1" showErrorMessage="1" errorTitle="Nilai tidak valid" error="Pilih dari daftar yang tersedia." sqref="F27:F27">
      <formula1>MASTER!$Q$2:$Q$23</formula1>
    </dataValidation>
    <dataValidation type="list" allowBlank="1" showErrorMessage="1" errorTitle="Nilai tidak valid" error="Pilih dari daftar yang tersedia." sqref="F28:F28">
      <formula1>MASTER!$Q$2:$Q$23</formula1>
    </dataValidation>
    <dataValidation type="list" allowBlank="1" showErrorMessage="1" errorTitle="Nilai tidak valid" error="Pilih dari daftar yang tersedia." sqref="F29:F29">
      <formula1>MASTER!$Q$2:$Q$23</formula1>
    </dataValidation>
    <dataValidation type="list" allowBlank="1" showErrorMessage="1" errorTitle="Nilai tidak valid" error="Pilih dari daftar yang tersedia." sqref="F30:F30">
      <formula1>MASTER!$Q$2:$Q$23</formula1>
    </dataValidation>
    <dataValidation type="list" allowBlank="1" showErrorMessage="1" errorTitle="Nilai tidak valid" error="Pilih dari daftar yang tersedia." sqref="F31:F31">
      <formula1>MASTER!$Q$2:$Q$23</formula1>
    </dataValidation>
    <dataValidation type="list" allowBlank="1" showErrorMessage="1" errorTitle="Nilai tidak valid" error="Pilih dari daftar yang tersedia." sqref="F32:F32">
      <formula1>MASTER!$Q$2:$Q$23</formula1>
    </dataValidation>
    <dataValidation type="list" allowBlank="1" showErrorMessage="1" errorTitle="Nilai tidak valid" error="Pilih dari daftar yang tersedia." sqref="F33:F33">
      <formula1>MASTER!$Q$2:$Q$23</formula1>
    </dataValidation>
    <dataValidation type="list" allowBlank="1" showErrorMessage="1" errorTitle="Nilai tidak valid" error="Pilih dari daftar yang tersedia." sqref="F34:F34">
      <formula1>MASTER!$Q$2:$Q$23</formula1>
    </dataValidation>
    <dataValidation type="list" allowBlank="1" showErrorMessage="1" errorTitle="Nilai tidak valid" error="Pilih dari daftar yang tersedia." sqref="F35:F35">
      <formula1>MASTER!$Q$2:$Q$23</formula1>
    </dataValidation>
    <dataValidation type="list" allowBlank="1" showErrorMessage="1" errorTitle="Nilai tidak valid" error="Pilih dari daftar yang tersedia." sqref="F36:F36">
      <formula1>MASTER!$Q$2:$Q$23</formula1>
    </dataValidation>
    <dataValidation type="list" allowBlank="1" showErrorMessage="1" errorTitle="Nilai tidak valid" error="Pilih dari daftar yang tersedia." sqref="F37:F37">
      <formula1>MASTER!$Q$2:$Q$23</formula1>
    </dataValidation>
    <dataValidation type="list" allowBlank="1" showErrorMessage="1" errorTitle="Nilai tidak valid" error="Pilih dari daftar yang tersedia." sqref="F38:F38">
      <formula1>MASTER!$Q$2:$Q$23</formula1>
    </dataValidation>
    <dataValidation type="list" allowBlank="1" showErrorMessage="1" errorTitle="Nilai tidak valid" error="Pilih dari daftar yang tersedia." sqref="F39:F39">
      <formula1>MASTER!$Q$2:$Q$23</formula1>
    </dataValidation>
    <dataValidation type="list" allowBlank="1" showErrorMessage="1" errorTitle="Nilai tidak valid" error="Pilih dari daftar yang tersedia." sqref="F40:F40">
      <formula1>MASTER!$Q$2:$Q$23</formula1>
    </dataValidation>
    <dataValidation type="list" allowBlank="1" showErrorMessage="1" errorTitle="Nilai tidak valid" error="Pilih dari daftar yang tersedia." sqref="F41:F41">
      <formula1>MASTER!$Q$2:$Q$23</formula1>
    </dataValidation>
    <dataValidation type="list" allowBlank="1" showErrorMessage="1" errorTitle="Nilai tidak valid" error="Pilih dari daftar yang tersedia." sqref="F42:F42">
      <formula1>MASTER!$Q$2:$Q$23</formula1>
    </dataValidation>
    <dataValidation type="list" allowBlank="1" showErrorMessage="1" errorTitle="Nilai tidak valid" error="Pilih dari daftar yang tersedia." sqref="F43:F43">
      <formula1>MASTER!$Q$2:$Q$23</formula1>
    </dataValidation>
    <dataValidation type="list" allowBlank="1" showErrorMessage="1" errorTitle="Nilai tidak valid" error="Pilih dari daftar yang tersedia." sqref="F44:F44">
      <formula1>MASTER!$Q$2:$Q$23</formula1>
    </dataValidation>
    <dataValidation type="list" allowBlank="1" showErrorMessage="1" errorTitle="Nilai tidak valid" error="Pilih dari daftar yang tersedia." sqref="F45:F45">
      <formula1>MASTER!$Q$2:$Q$23</formula1>
    </dataValidation>
    <dataValidation type="list" allowBlank="1" showErrorMessage="1" errorTitle="Nilai tidak valid" error="Pilih dari daftar yang tersedia." sqref="F46:F46">
      <formula1>MASTER!$Q$2:$Q$23</formula1>
    </dataValidation>
    <dataValidation type="list" allowBlank="1" showErrorMessage="1" errorTitle="Nilai tidak valid" error="Pilih dari daftar yang tersedia." sqref="F47:F47">
      <formula1>MASTER!$Q$2:$Q$23</formula1>
    </dataValidation>
    <dataValidation type="list" allowBlank="1" showErrorMessage="1" errorTitle="Nilai tidak valid" error="Pilih dari daftar yang tersedia." sqref="F48:F48">
      <formula1>MASTER!$Q$2:$Q$23</formula1>
    </dataValidation>
    <dataValidation type="list" allowBlank="1" showErrorMessage="1" errorTitle="Nilai tidak valid" error="Pilih dari daftar yang tersedia." sqref="F49:F49">
      <formula1>MASTER!$Q$2:$Q$23</formula1>
    </dataValidation>
    <dataValidation type="list" allowBlank="1" showErrorMessage="1" errorTitle="Nilai tidak valid" error="Pilih dari daftar yang tersedia." sqref="F4:F4">
      <formula1>MASTER!$Q$2:$Q$23</formula1>
    </dataValidation>
    <dataValidation type="list" allowBlank="1" showErrorMessage="1" errorTitle="Nilai tidak valid" error="Pilih dari daftar yang tersedia." sqref="F50:F50">
      <formula1>MASTER!$Q$2:$Q$23</formula1>
    </dataValidation>
    <dataValidation type="list" allowBlank="1" showErrorMessage="1" errorTitle="Nilai tidak valid" error="Pilih dari daftar yang tersedia." sqref="F51:F51">
      <formula1>MASTER!$Q$2:$Q$23</formula1>
    </dataValidation>
    <dataValidation type="list" allowBlank="1" showErrorMessage="1" errorTitle="Nilai tidak valid" error="Pilih dari daftar yang tersedia." sqref="F52:F52">
      <formula1>MASTER!$Q$2:$Q$23</formula1>
    </dataValidation>
    <dataValidation type="list" allowBlank="1" showErrorMessage="1" errorTitle="Nilai tidak valid" error="Pilih dari daftar yang tersedia." sqref="F53:F53">
      <formula1>MASTER!$Q$2:$Q$23</formula1>
    </dataValidation>
    <dataValidation type="list" allowBlank="1" showErrorMessage="1" errorTitle="Nilai tidak valid" error="Pilih dari daftar yang tersedia." sqref="F54:F54">
      <formula1>MASTER!$Q$2:$Q$23</formula1>
    </dataValidation>
    <dataValidation type="list" allowBlank="1" showErrorMessage="1" errorTitle="Nilai tidak valid" error="Pilih dari daftar yang tersedia." sqref="F55:F55">
      <formula1>MASTER!$Q$2:$Q$23</formula1>
    </dataValidation>
    <dataValidation type="list" allowBlank="1" showErrorMessage="1" errorTitle="Nilai tidak valid" error="Pilih dari daftar yang tersedia." sqref="F56:F56">
      <formula1>MASTER!$Q$2:$Q$23</formula1>
    </dataValidation>
    <dataValidation type="list" allowBlank="1" showErrorMessage="1" errorTitle="Nilai tidak valid" error="Pilih dari daftar yang tersedia." sqref="F57:F57">
      <formula1>MASTER!$Q$2:$Q$23</formula1>
    </dataValidation>
    <dataValidation type="list" allowBlank="1" showErrorMessage="1" errorTitle="Nilai tidak valid" error="Pilih dari daftar yang tersedia." sqref="F58:F58">
      <formula1>MASTER!$Q$2:$Q$23</formula1>
    </dataValidation>
    <dataValidation type="list" allowBlank="1" showErrorMessage="1" errorTitle="Nilai tidak valid" error="Pilih dari daftar yang tersedia." sqref="F59:F59">
      <formula1>MASTER!$Q$2:$Q$23</formula1>
    </dataValidation>
    <dataValidation type="list" allowBlank="1" showErrorMessage="1" errorTitle="Nilai tidak valid" error="Pilih dari daftar yang tersedia." sqref="F5:F5">
      <formula1>MASTER!$Q$2:$Q$23</formula1>
    </dataValidation>
    <dataValidation type="list" allowBlank="1" showErrorMessage="1" errorTitle="Nilai tidak valid" error="Pilih dari daftar yang tersedia." sqref="F60:F60">
      <formula1>MASTER!$Q$2:$Q$23</formula1>
    </dataValidation>
    <dataValidation type="list" allowBlank="1" showErrorMessage="1" errorTitle="Nilai tidak valid" error="Pilih dari daftar yang tersedia." sqref="F61:F61">
      <formula1>MASTER!$Q$2:$Q$23</formula1>
    </dataValidation>
    <dataValidation type="list" allowBlank="1" showErrorMessage="1" errorTitle="Nilai tidak valid" error="Pilih dari daftar yang tersedia." sqref="F62:F62">
      <formula1>MASTER!$Q$2:$Q$23</formula1>
    </dataValidation>
    <dataValidation type="list" allowBlank="1" showErrorMessage="1" errorTitle="Nilai tidak valid" error="Pilih dari daftar yang tersedia." sqref="F63:F63">
      <formula1>MASTER!$Q$2:$Q$23</formula1>
    </dataValidation>
    <dataValidation type="list" allowBlank="1" showErrorMessage="1" errorTitle="Nilai tidak valid" error="Pilih dari daftar yang tersedia." sqref="F64:F64">
      <formula1>MASTER!$Q$2:$Q$23</formula1>
    </dataValidation>
    <dataValidation type="list" allowBlank="1" showErrorMessage="1" errorTitle="Nilai tidak valid" error="Pilih dari daftar yang tersedia." sqref="F65:F65">
      <formula1>MASTER!$Q$2:$Q$23</formula1>
    </dataValidation>
    <dataValidation type="list" allowBlank="1" showErrorMessage="1" errorTitle="Nilai tidak valid" error="Pilih dari daftar yang tersedia." sqref="F66:F66">
      <formula1>MASTER!$Q$2:$Q$23</formula1>
    </dataValidation>
    <dataValidation type="list" allowBlank="1" showErrorMessage="1" errorTitle="Nilai tidak valid" error="Pilih dari daftar yang tersedia." sqref="F67:F67">
      <formula1>MASTER!$Q$2:$Q$23</formula1>
    </dataValidation>
    <dataValidation type="list" allowBlank="1" showErrorMessage="1" errorTitle="Nilai tidak valid" error="Pilih dari daftar yang tersedia." sqref="F68:F68">
      <formula1>MASTER!$Q$2:$Q$23</formula1>
    </dataValidation>
    <dataValidation type="list" allowBlank="1" showErrorMessage="1" errorTitle="Nilai tidak valid" error="Pilih dari daftar yang tersedia." sqref="F69:F69">
      <formula1>MASTER!$Q$2:$Q$23</formula1>
    </dataValidation>
    <dataValidation type="list" allowBlank="1" showErrorMessage="1" errorTitle="Nilai tidak valid" error="Pilih dari daftar yang tersedia." sqref="F6:F6">
      <formula1>MASTER!$Q$2:$Q$23</formula1>
    </dataValidation>
    <dataValidation type="list" allowBlank="1" showErrorMessage="1" errorTitle="Nilai tidak valid" error="Pilih dari daftar yang tersedia." sqref="F70:F70">
      <formula1>MASTER!$Q$2:$Q$23</formula1>
    </dataValidation>
    <dataValidation type="list" allowBlank="1" showErrorMessage="1" errorTitle="Nilai tidak valid" error="Pilih dari daftar yang tersedia." sqref="F71:F71">
      <formula1>MASTER!$Q$2:$Q$23</formula1>
    </dataValidation>
    <dataValidation type="list" allowBlank="1" showErrorMessage="1" errorTitle="Nilai tidak valid" error="Pilih dari daftar yang tersedia." sqref="F72:F72">
      <formula1>MASTER!$Q$2:$Q$23</formula1>
    </dataValidation>
    <dataValidation type="list" allowBlank="1" showErrorMessage="1" errorTitle="Nilai tidak valid" error="Pilih dari daftar yang tersedia." sqref="F73:F73">
      <formula1>MASTER!$Q$2:$Q$23</formula1>
    </dataValidation>
    <dataValidation type="list" allowBlank="1" showErrorMessage="1" errorTitle="Nilai tidak valid" error="Pilih dari daftar yang tersedia." sqref="F74:F74">
      <formula1>MASTER!$Q$2:$Q$23</formula1>
    </dataValidation>
    <dataValidation type="list" allowBlank="1" showErrorMessage="1" errorTitle="Nilai tidak valid" error="Pilih dari daftar yang tersedia." sqref="F75:F75">
      <formula1>MASTER!$Q$2:$Q$23</formula1>
    </dataValidation>
    <dataValidation type="list" allowBlank="1" showErrorMessage="1" errorTitle="Nilai tidak valid" error="Pilih dari daftar yang tersedia." sqref="F76:F76">
      <formula1>MASTER!$Q$2:$Q$23</formula1>
    </dataValidation>
    <dataValidation type="list" allowBlank="1" showErrorMessage="1" errorTitle="Nilai tidak valid" error="Pilih dari daftar yang tersedia." sqref="F77:F77">
      <formula1>MASTER!$Q$2:$Q$23</formula1>
    </dataValidation>
    <dataValidation type="list" allowBlank="1" showErrorMessage="1" errorTitle="Nilai tidak valid" error="Pilih dari daftar yang tersedia." sqref="F78:F78">
      <formula1>MASTER!$Q$2:$Q$23</formula1>
    </dataValidation>
    <dataValidation type="list" allowBlank="1" showErrorMessage="1" errorTitle="Nilai tidak valid" error="Pilih dari daftar yang tersedia." sqref="F79:F79">
      <formula1>MASTER!$Q$2:$Q$23</formula1>
    </dataValidation>
    <dataValidation type="list" allowBlank="1" showErrorMessage="1" errorTitle="Nilai tidak valid" error="Pilih dari daftar yang tersedia." sqref="F7:F7">
      <formula1>MASTER!$Q$2:$Q$23</formula1>
    </dataValidation>
    <dataValidation type="list" allowBlank="1" showErrorMessage="1" errorTitle="Nilai tidak valid" error="Pilih dari daftar yang tersedia." sqref="F80:F80">
      <formula1>MASTER!$Q$2:$Q$23</formula1>
    </dataValidation>
    <dataValidation type="list" allowBlank="1" showErrorMessage="1" errorTitle="Nilai tidak valid" error="Pilih dari daftar yang tersedia." sqref="F81:F81">
      <formula1>MASTER!$Q$2:$Q$23</formula1>
    </dataValidation>
    <dataValidation type="list" allowBlank="1" showErrorMessage="1" errorTitle="Nilai tidak valid" error="Pilih dari daftar yang tersedia." sqref="F82:F82">
      <formula1>MASTER!$Q$2:$Q$23</formula1>
    </dataValidation>
    <dataValidation type="list" allowBlank="1" showErrorMessage="1" errorTitle="Nilai tidak valid" error="Pilih dari daftar yang tersedia." sqref="F83:F83">
      <formula1>MASTER!$Q$2:$Q$23</formula1>
    </dataValidation>
    <dataValidation type="list" allowBlank="1" showErrorMessage="1" errorTitle="Nilai tidak valid" error="Pilih dari daftar yang tersedia." sqref="F84:F84">
      <formula1>MASTER!$Q$2:$Q$23</formula1>
    </dataValidation>
    <dataValidation type="list" allowBlank="1" showErrorMessage="1" errorTitle="Nilai tidak valid" error="Pilih dari daftar yang tersedia." sqref="F85:F85">
      <formula1>MASTER!$Q$2:$Q$23</formula1>
    </dataValidation>
    <dataValidation type="list" allowBlank="1" showErrorMessage="1" errorTitle="Nilai tidak valid" error="Pilih dari daftar yang tersedia." sqref="F86:F86">
      <formula1>MASTER!$Q$2:$Q$23</formula1>
    </dataValidation>
    <dataValidation type="list" allowBlank="1" showErrorMessage="1" errorTitle="Nilai tidak valid" error="Pilih dari daftar yang tersedia." sqref="F87:F87">
      <formula1>MASTER!$Q$2:$Q$23</formula1>
    </dataValidation>
    <dataValidation type="list" allowBlank="1" showErrorMessage="1" errorTitle="Nilai tidak valid" error="Pilih dari daftar yang tersedia." sqref="F88:F88">
      <formula1>MASTER!$Q$2:$Q$23</formula1>
    </dataValidation>
    <dataValidation type="list" allowBlank="1" showErrorMessage="1" errorTitle="Nilai tidak valid" error="Pilih dari daftar yang tersedia." sqref="F89:F89">
      <formula1>MASTER!$Q$2:$Q$23</formula1>
    </dataValidation>
    <dataValidation type="list" allowBlank="1" showErrorMessage="1" errorTitle="Nilai tidak valid" error="Pilih dari daftar yang tersedia." sqref="F8:F8">
      <formula1>MASTER!$Q$2:$Q$23</formula1>
    </dataValidation>
    <dataValidation type="list" allowBlank="1" showErrorMessage="1" errorTitle="Nilai tidak valid" error="Pilih dari daftar yang tersedia." sqref="F90:F90">
      <formula1>MASTER!$Q$2:$Q$23</formula1>
    </dataValidation>
    <dataValidation type="list" allowBlank="1" showErrorMessage="1" errorTitle="Nilai tidak valid" error="Pilih dari daftar yang tersedia." sqref="F91:F91">
      <formula1>MASTER!$Q$2:$Q$23</formula1>
    </dataValidation>
    <dataValidation type="list" allowBlank="1" showErrorMessage="1" errorTitle="Nilai tidak valid" error="Pilih dari daftar yang tersedia." sqref="F92:F92">
      <formula1>MASTER!$Q$2:$Q$23</formula1>
    </dataValidation>
    <dataValidation type="list" allowBlank="1" showErrorMessage="1" errorTitle="Nilai tidak valid" error="Pilih dari daftar yang tersedia." sqref="F93:F93">
      <formula1>MASTER!$Q$2:$Q$23</formula1>
    </dataValidation>
    <dataValidation type="list" allowBlank="1" showErrorMessage="1" errorTitle="Nilai tidak valid" error="Pilih dari daftar yang tersedia." sqref="F94:F94">
      <formula1>MASTER!$Q$2:$Q$23</formula1>
    </dataValidation>
    <dataValidation type="list" allowBlank="1" showErrorMessage="1" errorTitle="Nilai tidak valid" error="Pilih dari daftar yang tersedia." sqref="F95:F95">
      <formula1>MASTER!$Q$2:$Q$23</formula1>
    </dataValidation>
    <dataValidation type="list" allowBlank="1" showErrorMessage="1" errorTitle="Nilai tidak valid" error="Pilih dari daftar yang tersedia." sqref="F96:F96">
      <formula1>MASTER!$Q$2:$Q$23</formula1>
    </dataValidation>
    <dataValidation type="list" allowBlank="1" showErrorMessage="1" errorTitle="Nilai tidak valid" error="Pilih dari daftar yang tersedia." sqref="F97:F97">
      <formula1>MASTER!$Q$2:$Q$23</formula1>
    </dataValidation>
    <dataValidation type="list" allowBlank="1" showErrorMessage="1" errorTitle="Nilai tidak valid" error="Pilih dari daftar yang tersedia." sqref="F98:F98">
      <formula1>MASTER!$Q$2:$Q$23</formula1>
    </dataValidation>
    <dataValidation type="list" allowBlank="1" showErrorMessage="1" errorTitle="Nilai tidak valid" error="Pilih dari daftar yang tersedia." sqref="F99:F99">
      <formula1>MASTER!$Q$2:$Q$23</formula1>
    </dataValidation>
    <dataValidation type="list" allowBlank="1" showErrorMessage="1" errorTitle="Nilai tidak valid" error="Pilih dari daftar yang tersedia." sqref="F9:F9">
      <formula1>MASTER!$Q$2:$Q$23</formula1>
    </dataValidation>
    <dataValidation type="list" allowBlank="1" showErrorMessage="1" errorTitle="Nilai tidak valid" error="Pilih dari daftar yang tersedia." sqref="J100:J100">
      <formula1>"1,2,3,4,5"</formula1>
    </dataValidation>
    <dataValidation type="list" allowBlank="1" showErrorMessage="1" errorTitle="Nilai tidak valid" error="Pilih dari daftar yang tersedia." sqref="J101:J101">
      <formula1>"1,2,3,4,5"</formula1>
    </dataValidation>
    <dataValidation type="list" allowBlank="1" showErrorMessage="1" errorTitle="Nilai tidak valid" error="Pilih dari daftar yang tersedia." sqref="J102:J102">
      <formula1>"1,2,3,4,5"</formula1>
    </dataValidation>
    <dataValidation type="list" allowBlank="1" showErrorMessage="1" errorTitle="Nilai tidak valid" error="Pilih dari daftar yang tersedia." sqref="J103:J103">
      <formula1>"1,2,3,4,5"</formula1>
    </dataValidation>
    <dataValidation type="list" allowBlank="1" showErrorMessage="1" errorTitle="Nilai tidak valid" error="Pilih dari daftar yang tersedia." sqref="J104:J104">
      <formula1>"1,2,3,4,5"</formula1>
    </dataValidation>
    <dataValidation type="list" allowBlank="1" showErrorMessage="1" errorTitle="Nilai tidak valid" error="Pilih dari daftar yang tersedia." sqref="J105:J105">
      <formula1>"1,2,3,4,5"</formula1>
    </dataValidation>
    <dataValidation type="list" allowBlank="1" showErrorMessage="1" errorTitle="Nilai tidak valid" error="Pilih dari daftar yang tersedia." sqref="J106:J106">
      <formula1>"1,2,3,4,5"</formula1>
    </dataValidation>
    <dataValidation type="list" allowBlank="1" showErrorMessage="1" errorTitle="Nilai tidak valid" error="Pilih dari daftar yang tersedia." sqref="J107:J107">
      <formula1>"1,2,3,4,5"</formula1>
    </dataValidation>
    <dataValidation type="list" allowBlank="1" showErrorMessage="1" errorTitle="Nilai tidak valid" error="Pilih dari daftar yang tersedia." sqref="J108:J108">
      <formula1>"1,2,3,4,5"</formula1>
    </dataValidation>
    <dataValidation type="list" allowBlank="1" showErrorMessage="1" errorTitle="Nilai tidak valid" error="Pilih dari daftar yang tersedia." sqref="J109:J109">
      <formula1>"1,2,3,4,5"</formula1>
    </dataValidation>
    <dataValidation type="list" allowBlank="1" showErrorMessage="1" errorTitle="Nilai tidak valid" error="Pilih dari daftar yang tersedia." sqref="J10:J10">
      <formula1>"1,2,3,4,5"</formula1>
    </dataValidation>
    <dataValidation type="list" allowBlank="1" showErrorMessage="1" errorTitle="Nilai tidak valid" error="Pilih dari daftar yang tersedia." sqref="J110:J110">
      <formula1>"1,2,3,4,5"</formula1>
    </dataValidation>
    <dataValidation type="list" allowBlank="1" showErrorMessage="1" errorTitle="Nilai tidak valid" error="Pilih dari daftar yang tersedia." sqref="J111:J111">
      <formula1>"1,2,3,4,5"</formula1>
    </dataValidation>
    <dataValidation type="list" allowBlank="1" showErrorMessage="1" errorTitle="Nilai tidak valid" error="Pilih dari daftar yang tersedia." sqref="J112:J112">
      <formula1>"1,2,3,4,5"</formula1>
    </dataValidation>
    <dataValidation type="list" allowBlank="1" showErrorMessage="1" errorTitle="Nilai tidak valid" error="Pilih dari daftar yang tersedia." sqref="J113:J113">
      <formula1>"1,2,3,4,5"</formula1>
    </dataValidation>
    <dataValidation type="list" allowBlank="1" showErrorMessage="1" errorTitle="Nilai tidak valid" error="Pilih dari daftar yang tersedia." sqref="J114:J114">
      <formula1>"1,2,3,4,5"</formula1>
    </dataValidation>
    <dataValidation type="list" allowBlank="1" showErrorMessage="1" errorTitle="Nilai tidak valid" error="Pilih dari daftar yang tersedia." sqref="J115:J115">
      <formula1>"1,2,3,4,5"</formula1>
    </dataValidation>
    <dataValidation type="list" allowBlank="1" showErrorMessage="1" errorTitle="Nilai tidak valid" error="Pilih dari daftar yang tersedia." sqref="J116:J116">
      <formula1>"1,2,3,4,5"</formula1>
    </dataValidation>
    <dataValidation type="list" allowBlank="1" showErrorMessage="1" errorTitle="Nilai tidak valid" error="Pilih dari daftar yang tersedia." sqref="J117:J117">
      <formula1>"1,2,3,4,5"</formula1>
    </dataValidation>
    <dataValidation type="list" allowBlank="1" showErrorMessage="1" errorTitle="Nilai tidak valid" error="Pilih dari daftar yang tersedia." sqref="J118:J118">
      <formula1>"1,2,3,4,5"</formula1>
    </dataValidation>
    <dataValidation type="list" allowBlank="1" showErrorMessage="1" errorTitle="Nilai tidak valid" error="Pilih dari daftar yang tersedia." sqref="J119:J119">
      <formula1>"1,2,3,4,5"</formula1>
    </dataValidation>
    <dataValidation type="list" allowBlank="1" showErrorMessage="1" errorTitle="Nilai tidak valid" error="Pilih dari daftar yang tersedia." sqref="J11:J11">
      <formula1>"1,2,3,4,5"</formula1>
    </dataValidation>
    <dataValidation type="list" allowBlank="1" showErrorMessage="1" errorTitle="Nilai tidak valid" error="Pilih dari daftar yang tersedia." sqref="J120:J120">
      <formula1>"1,2,3,4,5"</formula1>
    </dataValidation>
    <dataValidation type="list" allowBlank="1" showErrorMessage="1" errorTitle="Nilai tidak valid" error="Pilih dari daftar yang tersedia." sqref="J121:J121">
      <formula1>"1,2,3,4,5"</formula1>
    </dataValidation>
    <dataValidation type="list" allowBlank="1" showErrorMessage="1" errorTitle="Nilai tidak valid" error="Pilih dari daftar yang tersedia." sqref="J122:J122">
      <formula1>"1,2,3,4,5"</formula1>
    </dataValidation>
    <dataValidation type="list" allowBlank="1" showErrorMessage="1" errorTitle="Nilai tidak valid" error="Pilih dari daftar yang tersedia." sqref="J123:J123">
      <formula1>"1,2,3,4,5"</formula1>
    </dataValidation>
    <dataValidation type="list" allowBlank="1" showErrorMessage="1" errorTitle="Nilai tidak valid" error="Pilih dari daftar yang tersedia." sqref="J124:J124">
      <formula1>"1,2,3,4,5"</formula1>
    </dataValidation>
    <dataValidation type="list" allowBlank="1" showErrorMessage="1" errorTitle="Nilai tidak valid" error="Pilih dari daftar yang tersedia." sqref="J125:J125">
      <formula1>"1,2,3,4,5"</formula1>
    </dataValidation>
    <dataValidation type="list" allowBlank="1" showErrorMessage="1" errorTitle="Nilai tidak valid" error="Pilih dari daftar yang tersedia." sqref="J126:J126">
      <formula1>"1,2,3,4,5"</formula1>
    </dataValidation>
    <dataValidation type="list" allowBlank="1" showErrorMessage="1" errorTitle="Nilai tidak valid" error="Pilih dari daftar yang tersedia." sqref="J127:J127">
      <formula1>"1,2,3,4,5"</formula1>
    </dataValidation>
    <dataValidation type="list" allowBlank="1" showErrorMessage="1" errorTitle="Nilai tidak valid" error="Pilih dari daftar yang tersedia." sqref="J128:J128">
      <formula1>"1,2,3,4,5"</formula1>
    </dataValidation>
    <dataValidation type="list" allowBlank="1" showErrorMessage="1" errorTitle="Nilai tidak valid" error="Pilih dari daftar yang tersedia." sqref="J129:J129">
      <formula1>"1,2,3,4,5"</formula1>
    </dataValidation>
    <dataValidation type="list" allowBlank="1" showErrorMessage="1" errorTitle="Nilai tidak valid" error="Pilih dari daftar yang tersedia." sqref="J12:J12">
      <formula1>"1,2,3,4,5"</formula1>
    </dataValidation>
    <dataValidation type="list" allowBlank="1" showErrorMessage="1" errorTitle="Nilai tidak valid" error="Pilih dari daftar yang tersedia." sqref="J130:J130">
      <formula1>"1,2,3,4,5"</formula1>
    </dataValidation>
    <dataValidation type="list" allowBlank="1" showErrorMessage="1" errorTitle="Nilai tidak valid" error="Pilih dari daftar yang tersedia." sqref="J131:J131">
      <formula1>"1,2,3,4,5"</formula1>
    </dataValidation>
    <dataValidation type="list" allowBlank="1" showErrorMessage="1" errorTitle="Nilai tidak valid" error="Pilih dari daftar yang tersedia." sqref="J132:J132">
      <formula1>"1,2,3,4,5"</formula1>
    </dataValidation>
    <dataValidation type="list" allowBlank="1" showErrorMessage="1" errorTitle="Nilai tidak valid" error="Pilih dari daftar yang tersedia." sqref="J133:J133">
      <formula1>"1,2,3,4,5"</formula1>
    </dataValidation>
    <dataValidation type="list" allowBlank="1" showErrorMessage="1" errorTitle="Nilai tidak valid" error="Pilih dari daftar yang tersedia." sqref="J134:J134">
      <formula1>"1,2,3,4,5"</formula1>
    </dataValidation>
    <dataValidation type="list" allowBlank="1" showErrorMessage="1" errorTitle="Nilai tidak valid" error="Pilih dari daftar yang tersedia." sqref="J135:J135">
      <formula1>"1,2,3,4,5"</formula1>
    </dataValidation>
    <dataValidation type="list" allowBlank="1" showErrorMessage="1" errorTitle="Nilai tidak valid" error="Pilih dari daftar yang tersedia." sqref="J136:J136">
      <formula1>"1,2,3,4,5"</formula1>
    </dataValidation>
    <dataValidation type="list" allowBlank="1" showErrorMessage="1" errorTitle="Nilai tidak valid" error="Pilih dari daftar yang tersedia." sqref="J137:J137">
      <formula1>"1,2,3,4,5"</formula1>
    </dataValidation>
    <dataValidation type="list" allowBlank="1" showErrorMessage="1" errorTitle="Nilai tidak valid" error="Pilih dari daftar yang tersedia." sqref="J138:J138">
      <formula1>"1,2,3,4,5"</formula1>
    </dataValidation>
    <dataValidation type="list" allowBlank="1" showErrorMessage="1" errorTitle="Nilai tidak valid" error="Pilih dari daftar yang tersedia." sqref="J139:J139">
      <formula1>"1,2,3,4,5"</formula1>
    </dataValidation>
    <dataValidation type="list" allowBlank="1" showErrorMessage="1" errorTitle="Nilai tidak valid" error="Pilih dari daftar yang tersedia." sqref="J13:J13">
      <formula1>"1,2,3,4,5"</formula1>
    </dataValidation>
    <dataValidation type="list" allowBlank="1" showErrorMessage="1" errorTitle="Nilai tidak valid" error="Pilih dari daftar yang tersedia." sqref="J140:J140">
      <formula1>"1,2,3,4,5"</formula1>
    </dataValidation>
    <dataValidation type="list" allowBlank="1" showErrorMessage="1" errorTitle="Nilai tidak valid" error="Pilih dari daftar yang tersedia." sqref="J141:J141">
      <formula1>"1,2,3,4,5"</formula1>
    </dataValidation>
    <dataValidation type="list" allowBlank="1" showErrorMessage="1" errorTitle="Nilai tidak valid" error="Pilih dari daftar yang tersedia." sqref="J142:J142">
      <formula1>"1,2,3,4,5"</formula1>
    </dataValidation>
    <dataValidation type="list" allowBlank="1" showErrorMessage="1" errorTitle="Nilai tidak valid" error="Pilih dari daftar yang tersedia." sqref="J143:J143">
      <formula1>"1,2,3,4,5"</formula1>
    </dataValidation>
    <dataValidation type="list" allowBlank="1" showErrorMessage="1" errorTitle="Nilai tidak valid" error="Pilih dari daftar yang tersedia." sqref="J144:J144">
      <formula1>"1,2,3,4,5"</formula1>
    </dataValidation>
    <dataValidation type="list" allowBlank="1" showErrorMessage="1" errorTitle="Nilai tidak valid" error="Pilih dari daftar yang tersedia." sqref="J145:J145">
      <formula1>"1,2,3,4,5"</formula1>
    </dataValidation>
    <dataValidation type="list" allowBlank="1" showErrorMessage="1" errorTitle="Nilai tidak valid" error="Pilih dari daftar yang tersedia." sqref="J146:J146">
      <formula1>"1,2,3,4,5"</formula1>
    </dataValidation>
    <dataValidation type="list" allowBlank="1" showErrorMessage="1" errorTitle="Nilai tidak valid" error="Pilih dari daftar yang tersedia." sqref="J147:J147">
      <formula1>"1,2,3,4,5"</formula1>
    </dataValidation>
    <dataValidation type="list" allowBlank="1" showErrorMessage="1" errorTitle="Nilai tidak valid" error="Pilih dari daftar yang tersedia." sqref="J148:J148">
      <formula1>"1,2,3,4,5"</formula1>
    </dataValidation>
    <dataValidation type="list" allowBlank="1" showErrorMessage="1" errorTitle="Nilai tidak valid" error="Pilih dari daftar yang tersedia." sqref="J149:J149">
      <formula1>"1,2,3,4,5"</formula1>
    </dataValidation>
    <dataValidation type="list" allowBlank="1" showErrorMessage="1" errorTitle="Nilai tidak valid" error="Pilih dari daftar yang tersedia." sqref="J14:J14">
      <formula1>"1,2,3,4,5"</formula1>
    </dataValidation>
    <dataValidation type="list" allowBlank="1" showErrorMessage="1" errorTitle="Nilai tidak valid" error="Pilih dari daftar yang tersedia." sqref="J150:J150">
      <formula1>"1,2,3,4,5"</formula1>
    </dataValidation>
    <dataValidation type="list" allowBlank="1" showErrorMessage="1" errorTitle="Nilai tidak valid" error="Pilih dari daftar yang tersedia." sqref="J151:J151">
      <formula1>"1,2,3,4,5"</formula1>
    </dataValidation>
    <dataValidation type="list" allowBlank="1" showErrorMessage="1" errorTitle="Nilai tidak valid" error="Pilih dari daftar yang tersedia." sqref="J152:J152">
      <formula1>"1,2,3,4,5"</formula1>
    </dataValidation>
    <dataValidation type="list" allowBlank="1" showErrorMessage="1" errorTitle="Nilai tidak valid" error="Pilih dari daftar yang tersedia." sqref="J153:J153">
      <formula1>"1,2,3,4,5"</formula1>
    </dataValidation>
    <dataValidation type="list" allowBlank="1" showErrorMessage="1" errorTitle="Nilai tidak valid" error="Pilih dari daftar yang tersedia." sqref="J15:J15">
      <formula1>"1,2,3,4,5"</formula1>
    </dataValidation>
    <dataValidation type="list" allowBlank="1" showErrorMessage="1" errorTitle="Nilai tidak valid" error="Pilih dari daftar yang tersedia." sqref="J16:J16">
      <formula1>"1,2,3,4,5"</formula1>
    </dataValidation>
    <dataValidation type="list" allowBlank="1" showErrorMessage="1" errorTitle="Nilai tidak valid" error="Pilih dari daftar yang tersedia." sqref="J17:J17">
      <formula1>"1,2,3,4,5"</formula1>
    </dataValidation>
    <dataValidation type="list" allowBlank="1" showErrorMessage="1" errorTitle="Nilai tidak valid" error="Pilih dari daftar yang tersedia." sqref="J18:J18">
      <formula1>"1,2,3,4,5"</formula1>
    </dataValidation>
    <dataValidation type="list" allowBlank="1" showErrorMessage="1" errorTitle="Nilai tidak valid" error="Pilih dari daftar yang tersedia." sqref="J19:J19">
      <formula1>"1,2,3,4,5"</formula1>
    </dataValidation>
    <dataValidation type="list" allowBlank="1" showErrorMessage="1" errorTitle="Nilai tidak valid" error="Pilih dari daftar yang tersedia." sqref="J20:J20">
      <formula1>"1,2,3,4,5"</formula1>
    </dataValidation>
    <dataValidation type="list" allowBlank="1" showErrorMessage="1" errorTitle="Nilai tidak valid" error="Pilih dari daftar yang tersedia." sqref="J21:J21">
      <formula1>"1,2,3,4,5"</formula1>
    </dataValidation>
    <dataValidation type="list" allowBlank="1" showErrorMessage="1" errorTitle="Nilai tidak valid" error="Pilih dari daftar yang tersedia." sqref="J22:J22">
      <formula1>"1,2,3,4,5"</formula1>
    </dataValidation>
    <dataValidation type="list" allowBlank="1" showErrorMessage="1" errorTitle="Nilai tidak valid" error="Pilih dari daftar yang tersedia." sqref="J23:J23">
      <formula1>"1,2,3,4,5"</formula1>
    </dataValidation>
    <dataValidation type="list" allowBlank="1" showErrorMessage="1" errorTitle="Nilai tidak valid" error="Pilih dari daftar yang tersedia." sqref="J24:J24">
      <formula1>"1,2,3,4,5"</formula1>
    </dataValidation>
    <dataValidation type="list" allowBlank="1" showErrorMessage="1" errorTitle="Nilai tidak valid" error="Pilih dari daftar yang tersedia." sqref="J25:J25">
      <formula1>"1,2,3,4,5"</formula1>
    </dataValidation>
    <dataValidation type="list" allowBlank="1" showErrorMessage="1" errorTitle="Nilai tidak valid" error="Pilih dari daftar yang tersedia." sqref="J26:J26">
      <formula1>"1,2,3,4,5"</formula1>
    </dataValidation>
    <dataValidation type="list" allowBlank="1" showErrorMessage="1" errorTitle="Nilai tidak valid" error="Pilih dari daftar yang tersedia." sqref="J27:J27">
      <formula1>"1,2,3,4,5"</formula1>
    </dataValidation>
    <dataValidation type="list" allowBlank="1" showErrorMessage="1" errorTitle="Nilai tidak valid" error="Pilih dari daftar yang tersedia." sqref="J28:J28">
      <formula1>"1,2,3,4,5"</formula1>
    </dataValidation>
    <dataValidation type="list" allowBlank="1" showErrorMessage="1" errorTitle="Nilai tidak valid" error="Pilih dari daftar yang tersedia." sqref="J29:J29">
      <formula1>"1,2,3,4,5"</formula1>
    </dataValidation>
    <dataValidation type="list" allowBlank="1" showErrorMessage="1" errorTitle="Nilai tidak valid" error="Pilih dari daftar yang tersedia." sqref="J30:J30">
      <formula1>"1,2,3,4,5"</formula1>
    </dataValidation>
    <dataValidation type="list" allowBlank="1" showErrorMessage="1" errorTitle="Nilai tidak valid" error="Pilih dari daftar yang tersedia." sqref="J31:J31">
      <formula1>"1,2,3,4,5"</formula1>
    </dataValidation>
    <dataValidation type="list" allowBlank="1" showErrorMessage="1" errorTitle="Nilai tidak valid" error="Pilih dari daftar yang tersedia." sqref="J32:J32">
      <formula1>"1,2,3,4,5"</formula1>
    </dataValidation>
    <dataValidation type="list" allowBlank="1" showErrorMessage="1" errorTitle="Nilai tidak valid" error="Pilih dari daftar yang tersedia." sqref="J33:J33">
      <formula1>"1,2,3,4,5"</formula1>
    </dataValidation>
    <dataValidation type="list" allowBlank="1" showErrorMessage="1" errorTitle="Nilai tidak valid" error="Pilih dari daftar yang tersedia." sqref="J34:J34">
      <formula1>"1,2,3,4,5"</formula1>
    </dataValidation>
    <dataValidation type="list" allowBlank="1" showErrorMessage="1" errorTitle="Nilai tidak valid" error="Pilih dari daftar yang tersedia." sqref="J35:J35">
      <formula1>"1,2,3,4,5"</formula1>
    </dataValidation>
    <dataValidation type="list" allowBlank="1" showErrorMessage="1" errorTitle="Nilai tidak valid" error="Pilih dari daftar yang tersedia." sqref="J36:J36">
      <formula1>"1,2,3,4,5"</formula1>
    </dataValidation>
    <dataValidation type="list" allowBlank="1" showErrorMessage="1" errorTitle="Nilai tidak valid" error="Pilih dari daftar yang tersedia." sqref="J37:J37">
      <formula1>"1,2,3,4,5"</formula1>
    </dataValidation>
    <dataValidation type="list" allowBlank="1" showErrorMessage="1" errorTitle="Nilai tidak valid" error="Pilih dari daftar yang tersedia." sqref="J38:J38">
      <formula1>"1,2,3,4,5"</formula1>
    </dataValidation>
    <dataValidation type="list" allowBlank="1" showErrorMessage="1" errorTitle="Nilai tidak valid" error="Pilih dari daftar yang tersedia." sqref="J39:J39">
      <formula1>"1,2,3,4,5"</formula1>
    </dataValidation>
    <dataValidation type="list" allowBlank="1" showErrorMessage="1" errorTitle="Nilai tidak valid" error="Pilih dari daftar yang tersedia." sqref="J40:J40">
      <formula1>"1,2,3,4,5"</formula1>
    </dataValidation>
    <dataValidation type="list" allowBlank="1" showErrorMessage="1" errorTitle="Nilai tidak valid" error="Pilih dari daftar yang tersedia." sqref="J41:J41">
      <formula1>"1,2,3,4,5"</formula1>
    </dataValidation>
    <dataValidation type="list" allowBlank="1" showErrorMessage="1" errorTitle="Nilai tidak valid" error="Pilih dari daftar yang tersedia." sqref="J42:J42">
      <formula1>"1,2,3,4,5"</formula1>
    </dataValidation>
    <dataValidation type="list" allowBlank="1" showErrorMessage="1" errorTitle="Nilai tidak valid" error="Pilih dari daftar yang tersedia." sqref="J43:J43">
      <formula1>"1,2,3,4,5"</formula1>
    </dataValidation>
    <dataValidation type="list" allowBlank="1" showErrorMessage="1" errorTitle="Nilai tidak valid" error="Pilih dari daftar yang tersedia." sqref="J44:J44">
      <formula1>"1,2,3,4,5"</formula1>
    </dataValidation>
    <dataValidation type="list" allowBlank="1" showErrorMessage="1" errorTitle="Nilai tidak valid" error="Pilih dari daftar yang tersedia." sqref="J45:J45">
      <formula1>"1,2,3,4,5"</formula1>
    </dataValidation>
    <dataValidation type="list" allowBlank="1" showErrorMessage="1" errorTitle="Nilai tidak valid" error="Pilih dari daftar yang tersedia." sqref="J46:J46">
      <formula1>"1,2,3,4,5"</formula1>
    </dataValidation>
    <dataValidation type="list" allowBlank="1" showErrorMessage="1" errorTitle="Nilai tidak valid" error="Pilih dari daftar yang tersedia." sqref="J47:J47">
      <formula1>"1,2,3,4,5"</formula1>
    </dataValidation>
    <dataValidation type="list" allowBlank="1" showErrorMessage="1" errorTitle="Nilai tidak valid" error="Pilih dari daftar yang tersedia." sqref="J48:J48">
      <formula1>"1,2,3,4,5"</formula1>
    </dataValidation>
    <dataValidation type="list" allowBlank="1" showErrorMessage="1" errorTitle="Nilai tidak valid" error="Pilih dari daftar yang tersedia." sqref="J49:J49">
      <formula1>"1,2,3,4,5"</formula1>
    </dataValidation>
    <dataValidation type="list" allowBlank="1" showErrorMessage="1" errorTitle="Nilai tidak valid" error="Pilih dari daftar yang tersedia." sqref="J4:J4">
      <formula1>"1,2,3,4,5"</formula1>
    </dataValidation>
    <dataValidation type="list" allowBlank="1" showErrorMessage="1" errorTitle="Nilai tidak valid" error="Pilih dari daftar yang tersedia." sqref="J50:J50">
      <formula1>"1,2,3,4,5"</formula1>
    </dataValidation>
    <dataValidation type="list" allowBlank="1" showErrorMessage="1" errorTitle="Nilai tidak valid" error="Pilih dari daftar yang tersedia." sqref="J51:J51">
      <formula1>"1,2,3,4,5"</formula1>
    </dataValidation>
    <dataValidation type="list" allowBlank="1" showErrorMessage="1" errorTitle="Nilai tidak valid" error="Pilih dari daftar yang tersedia." sqref="J52:J52">
      <formula1>"1,2,3,4,5"</formula1>
    </dataValidation>
    <dataValidation type="list" allowBlank="1" showErrorMessage="1" errorTitle="Nilai tidak valid" error="Pilih dari daftar yang tersedia." sqref="J53:J53">
      <formula1>"1,2,3,4,5"</formula1>
    </dataValidation>
    <dataValidation type="list" allowBlank="1" showErrorMessage="1" errorTitle="Nilai tidak valid" error="Pilih dari daftar yang tersedia." sqref="J54:J54">
      <formula1>"1,2,3,4,5"</formula1>
    </dataValidation>
    <dataValidation type="list" allowBlank="1" showErrorMessage="1" errorTitle="Nilai tidak valid" error="Pilih dari daftar yang tersedia." sqref="J55:J55">
      <formula1>"1,2,3,4,5"</formula1>
    </dataValidation>
    <dataValidation type="list" allowBlank="1" showErrorMessage="1" errorTitle="Nilai tidak valid" error="Pilih dari daftar yang tersedia." sqref="J56:J56">
      <formula1>"1,2,3,4,5"</formula1>
    </dataValidation>
    <dataValidation type="list" allowBlank="1" showErrorMessage="1" errorTitle="Nilai tidak valid" error="Pilih dari daftar yang tersedia." sqref="J57:J57">
      <formula1>"1,2,3,4,5"</formula1>
    </dataValidation>
    <dataValidation type="list" allowBlank="1" showErrorMessage="1" errorTitle="Nilai tidak valid" error="Pilih dari daftar yang tersedia." sqref="J58:J58">
      <formula1>"1,2,3,4,5"</formula1>
    </dataValidation>
    <dataValidation type="list" allowBlank="1" showErrorMessage="1" errorTitle="Nilai tidak valid" error="Pilih dari daftar yang tersedia." sqref="J59:J59">
      <formula1>"1,2,3,4,5"</formula1>
    </dataValidation>
    <dataValidation type="list" allowBlank="1" showErrorMessage="1" errorTitle="Nilai tidak valid" error="Pilih dari daftar yang tersedia." sqref="J5:J5">
      <formula1>"1,2,3,4,5"</formula1>
    </dataValidation>
    <dataValidation type="list" allowBlank="1" showErrorMessage="1" errorTitle="Nilai tidak valid" error="Pilih dari daftar yang tersedia." sqref="J60:J60">
      <formula1>"1,2,3,4,5"</formula1>
    </dataValidation>
    <dataValidation type="list" allowBlank="1" showErrorMessage="1" errorTitle="Nilai tidak valid" error="Pilih dari daftar yang tersedia." sqref="J61:J61">
      <formula1>"1,2,3,4,5"</formula1>
    </dataValidation>
    <dataValidation type="list" allowBlank="1" showErrorMessage="1" errorTitle="Nilai tidak valid" error="Pilih dari daftar yang tersedia." sqref="J62:J62">
      <formula1>"1,2,3,4,5"</formula1>
    </dataValidation>
    <dataValidation type="list" allowBlank="1" showErrorMessage="1" errorTitle="Nilai tidak valid" error="Pilih dari daftar yang tersedia." sqref="J63:J63">
      <formula1>"1,2,3,4,5"</formula1>
    </dataValidation>
    <dataValidation type="list" allowBlank="1" showErrorMessage="1" errorTitle="Nilai tidak valid" error="Pilih dari daftar yang tersedia." sqref="J64:J64">
      <formula1>"1,2,3,4,5"</formula1>
    </dataValidation>
    <dataValidation type="list" allowBlank="1" showErrorMessage="1" errorTitle="Nilai tidak valid" error="Pilih dari daftar yang tersedia." sqref="J65:J65">
      <formula1>"1,2,3,4,5"</formula1>
    </dataValidation>
    <dataValidation type="list" allowBlank="1" showErrorMessage="1" errorTitle="Nilai tidak valid" error="Pilih dari daftar yang tersedia." sqref="J66:J66">
      <formula1>"1,2,3,4,5"</formula1>
    </dataValidation>
    <dataValidation type="list" allowBlank="1" showErrorMessage="1" errorTitle="Nilai tidak valid" error="Pilih dari daftar yang tersedia." sqref="J67:J67">
      <formula1>"1,2,3,4,5"</formula1>
    </dataValidation>
    <dataValidation type="list" allowBlank="1" showErrorMessage="1" errorTitle="Nilai tidak valid" error="Pilih dari daftar yang tersedia." sqref="J68:J68">
      <formula1>"1,2,3,4,5"</formula1>
    </dataValidation>
    <dataValidation type="list" allowBlank="1" showErrorMessage="1" errorTitle="Nilai tidak valid" error="Pilih dari daftar yang tersedia." sqref="J69:J69">
      <formula1>"1,2,3,4,5"</formula1>
    </dataValidation>
    <dataValidation type="list" allowBlank="1" showErrorMessage="1" errorTitle="Nilai tidak valid" error="Pilih dari daftar yang tersedia." sqref="J6:J6">
      <formula1>"1,2,3,4,5"</formula1>
    </dataValidation>
    <dataValidation type="list" allowBlank="1" showErrorMessage="1" errorTitle="Nilai tidak valid" error="Pilih dari daftar yang tersedia." sqref="J70:J70">
      <formula1>"1,2,3,4,5"</formula1>
    </dataValidation>
    <dataValidation type="list" allowBlank="1" showErrorMessage="1" errorTitle="Nilai tidak valid" error="Pilih dari daftar yang tersedia." sqref="J71:J71">
      <formula1>"1,2,3,4,5"</formula1>
    </dataValidation>
    <dataValidation type="list" allowBlank="1" showErrorMessage="1" errorTitle="Nilai tidak valid" error="Pilih dari daftar yang tersedia." sqref="J72:J72">
      <formula1>"1,2,3,4,5"</formula1>
    </dataValidation>
    <dataValidation type="list" allowBlank="1" showErrorMessage="1" errorTitle="Nilai tidak valid" error="Pilih dari daftar yang tersedia." sqref="J73:J73">
      <formula1>"1,2,3,4,5"</formula1>
    </dataValidation>
    <dataValidation type="list" allowBlank="1" showErrorMessage="1" errorTitle="Nilai tidak valid" error="Pilih dari daftar yang tersedia." sqref="J74:J74">
      <formula1>"1,2,3,4,5"</formula1>
    </dataValidation>
    <dataValidation type="list" allowBlank="1" showErrorMessage="1" errorTitle="Nilai tidak valid" error="Pilih dari daftar yang tersedia." sqref="J75:J75">
      <formula1>"1,2,3,4,5"</formula1>
    </dataValidation>
    <dataValidation type="list" allowBlank="1" showErrorMessage="1" errorTitle="Nilai tidak valid" error="Pilih dari daftar yang tersedia." sqref="J76:J76">
      <formula1>"1,2,3,4,5"</formula1>
    </dataValidation>
    <dataValidation type="list" allowBlank="1" showErrorMessage="1" errorTitle="Nilai tidak valid" error="Pilih dari daftar yang tersedia." sqref="J77:J77">
      <formula1>"1,2,3,4,5"</formula1>
    </dataValidation>
    <dataValidation type="list" allowBlank="1" showErrorMessage="1" errorTitle="Nilai tidak valid" error="Pilih dari daftar yang tersedia." sqref="J78:J78">
      <formula1>"1,2,3,4,5"</formula1>
    </dataValidation>
    <dataValidation type="list" allowBlank="1" showErrorMessage="1" errorTitle="Nilai tidak valid" error="Pilih dari daftar yang tersedia." sqref="J79:J79">
      <formula1>"1,2,3,4,5"</formula1>
    </dataValidation>
    <dataValidation type="list" allowBlank="1" showErrorMessage="1" errorTitle="Nilai tidak valid" error="Pilih dari daftar yang tersedia." sqref="J7:J7">
      <formula1>"1,2,3,4,5"</formula1>
    </dataValidation>
    <dataValidation type="list" allowBlank="1" showErrorMessage="1" errorTitle="Nilai tidak valid" error="Pilih dari daftar yang tersedia." sqref="J80:J80">
      <formula1>"1,2,3,4,5"</formula1>
    </dataValidation>
    <dataValidation type="list" allowBlank="1" showErrorMessage="1" errorTitle="Nilai tidak valid" error="Pilih dari daftar yang tersedia." sqref="J81:J81">
      <formula1>"1,2,3,4,5"</formula1>
    </dataValidation>
    <dataValidation type="list" allowBlank="1" showErrorMessage="1" errorTitle="Nilai tidak valid" error="Pilih dari daftar yang tersedia." sqref="J82:J82">
      <formula1>"1,2,3,4,5"</formula1>
    </dataValidation>
    <dataValidation type="list" allowBlank="1" showErrorMessage="1" errorTitle="Nilai tidak valid" error="Pilih dari daftar yang tersedia." sqref="J83:J83">
      <formula1>"1,2,3,4,5"</formula1>
    </dataValidation>
    <dataValidation type="list" allowBlank="1" showErrorMessage="1" errorTitle="Nilai tidak valid" error="Pilih dari daftar yang tersedia." sqref="J84:J84">
      <formula1>"1,2,3,4,5"</formula1>
    </dataValidation>
    <dataValidation type="list" allowBlank="1" showErrorMessage="1" errorTitle="Nilai tidak valid" error="Pilih dari daftar yang tersedia." sqref="J85:J85">
      <formula1>"1,2,3,4,5"</formula1>
    </dataValidation>
    <dataValidation type="list" allowBlank="1" showErrorMessage="1" errorTitle="Nilai tidak valid" error="Pilih dari daftar yang tersedia." sqref="J86:J86">
      <formula1>"1,2,3,4,5"</formula1>
    </dataValidation>
    <dataValidation type="list" allowBlank="1" showErrorMessage="1" errorTitle="Nilai tidak valid" error="Pilih dari daftar yang tersedia." sqref="J87:J87">
      <formula1>"1,2,3,4,5"</formula1>
    </dataValidation>
    <dataValidation type="list" allowBlank="1" showErrorMessage="1" errorTitle="Nilai tidak valid" error="Pilih dari daftar yang tersedia." sqref="J88:J88">
      <formula1>"1,2,3,4,5"</formula1>
    </dataValidation>
    <dataValidation type="list" allowBlank="1" showErrorMessage="1" errorTitle="Nilai tidak valid" error="Pilih dari daftar yang tersedia." sqref="J89:J89">
      <formula1>"1,2,3,4,5"</formula1>
    </dataValidation>
    <dataValidation type="list" allowBlank="1" showErrorMessage="1" errorTitle="Nilai tidak valid" error="Pilih dari daftar yang tersedia." sqref="J8:J8">
      <formula1>"1,2,3,4,5"</formula1>
    </dataValidation>
    <dataValidation type="list" allowBlank="1" showErrorMessage="1" errorTitle="Nilai tidak valid" error="Pilih dari daftar yang tersedia." sqref="J90:J90">
      <formula1>"1,2,3,4,5"</formula1>
    </dataValidation>
    <dataValidation type="list" allowBlank="1" showErrorMessage="1" errorTitle="Nilai tidak valid" error="Pilih dari daftar yang tersedia." sqref="J91:J91">
      <formula1>"1,2,3,4,5"</formula1>
    </dataValidation>
    <dataValidation type="list" allowBlank="1" showErrorMessage="1" errorTitle="Nilai tidak valid" error="Pilih dari daftar yang tersedia." sqref="J92:J92">
      <formula1>"1,2,3,4,5"</formula1>
    </dataValidation>
    <dataValidation type="list" allowBlank="1" showErrorMessage="1" errorTitle="Nilai tidak valid" error="Pilih dari daftar yang tersedia." sqref="J93:J93">
      <formula1>"1,2,3,4,5"</formula1>
    </dataValidation>
    <dataValidation type="list" allowBlank="1" showErrorMessage="1" errorTitle="Nilai tidak valid" error="Pilih dari daftar yang tersedia." sqref="J94:J94">
      <formula1>"1,2,3,4,5"</formula1>
    </dataValidation>
    <dataValidation type="list" allowBlank="1" showErrorMessage="1" errorTitle="Nilai tidak valid" error="Pilih dari daftar yang tersedia." sqref="J95:J95">
      <formula1>"1,2,3,4,5"</formula1>
    </dataValidation>
    <dataValidation type="list" allowBlank="1" showErrorMessage="1" errorTitle="Nilai tidak valid" error="Pilih dari daftar yang tersedia." sqref="J96:J96">
      <formula1>"1,2,3,4,5"</formula1>
    </dataValidation>
    <dataValidation type="list" allowBlank="1" showErrorMessage="1" errorTitle="Nilai tidak valid" error="Pilih dari daftar yang tersedia." sqref="J97:J97">
      <formula1>"1,2,3,4,5"</formula1>
    </dataValidation>
    <dataValidation type="list" allowBlank="1" showErrorMessage="1" errorTitle="Nilai tidak valid" error="Pilih dari daftar yang tersedia." sqref="J98:J98">
      <formula1>"1,2,3,4,5"</formula1>
    </dataValidation>
    <dataValidation type="list" allowBlank="1" showErrorMessage="1" errorTitle="Nilai tidak valid" error="Pilih dari daftar yang tersedia." sqref="J99:J99">
      <formula1>"1,2,3,4,5"</formula1>
    </dataValidation>
    <dataValidation type="list" allowBlank="1" showErrorMessage="1" errorTitle="Nilai tidak valid" error="Pilih dari daftar yang tersedia." sqref="J9:J9">
      <formula1>"1,2,3,4,5"</formula1>
    </dataValidation>
    <dataValidation type="list" allowBlank="1" showErrorMessage="1" errorTitle="Nilai tidak valid" error="Pilih dari daftar yang tersedia." sqref="K100:K100">
      <formula1>"1,2,3,4,5"</formula1>
    </dataValidation>
    <dataValidation type="list" allowBlank="1" showErrorMessage="1" errorTitle="Nilai tidak valid" error="Pilih dari daftar yang tersedia." sqref="K101:K101">
      <formula1>"1,2,3,4,5"</formula1>
    </dataValidation>
    <dataValidation type="list" allowBlank="1" showErrorMessage="1" errorTitle="Nilai tidak valid" error="Pilih dari daftar yang tersedia." sqref="K102:K102">
      <formula1>"1,2,3,4,5"</formula1>
    </dataValidation>
    <dataValidation type="list" allowBlank="1" showErrorMessage="1" errorTitle="Nilai tidak valid" error="Pilih dari daftar yang tersedia." sqref="K103:K103">
      <formula1>"1,2,3,4,5"</formula1>
    </dataValidation>
    <dataValidation type="list" allowBlank="1" showErrorMessage="1" errorTitle="Nilai tidak valid" error="Pilih dari daftar yang tersedia." sqref="K104:K104">
      <formula1>"1,2,3,4,5"</formula1>
    </dataValidation>
    <dataValidation type="list" allowBlank="1" showErrorMessage="1" errorTitle="Nilai tidak valid" error="Pilih dari daftar yang tersedia." sqref="K105:K105">
      <formula1>"1,2,3,4,5"</formula1>
    </dataValidation>
    <dataValidation type="list" allowBlank="1" showErrorMessage="1" errorTitle="Nilai tidak valid" error="Pilih dari daftar yang tersedia." sqref="K106:K106">
      <formula1>"1,2,3,4,5"</formula1>
    </dataValidation>
    <dataValidation type="list" allowBlank="1" showErrorMessage="1" errorTitle="Nilai tidak valid" error="Pilih dari daftar yang tersedia." sqref="K107:K107">
      <formula1>"1,2,3,4,5"</formula1>
    </dataValidation>
    <dataValidation type="list" allowBlank="1" showErrorMessage="1" errorTitle="Nilai tidak valid" error="Pilih dari daftar yang tersedia." sqref="K108:K108">
      <formula1>"1,2,3,4,5"</formula1>
    </dataValidation>
    <dataValidation type="list" allowBlank="1" showErrorMessage="1" errorTitle="Nilai tidak valid" error="Pilih dari daftar yang tersedia." sqref="K109:K109">
      <formula1>"1,2,3,4,5"</formula1>
    </dataValidation>
    <dataValidation type="list" allowBlank="1" showErrorMessage="1" errorTitle="Nilai tidak valid" error="Pilih dari daftar yang tersedia." sqref="K10:K10">
      <formula1>"1,2,3,4,5"</formula1>
    </dataValidation>
    <dataValidation type="list" allowBlank="1" showErrorMessage="1" errorTitle="Nilai tidak valid" error="Pilih dari daftar yang tersedia." sqref="K110:K110">
      <formula1>"1,2,3,4,5"</formula1>
    </dataValidation>
    <dataValidation type="list" allowBlank="1" showErrorMessage="1" errorTitle="Nilai tidak valid" error="Pilih dari daftar yang tersedia." sqref="K111:K111">
      <formula1>"1,2,3,4,5"</formula1>
    </dataValidation>
    <dataValidation type="list" allowBlank="1" showErrorMessage="1" errorTitle="Nilai tidak valid" error="Pilih dari daftar yang tersedia." sqref="K112:K112">
      <formula1>"1,2,3,4,5"</formula1>
    </dataValidation>
    <dataValidation type="list" allowBlank="1" showErrorMessage="1" errorTitle="Nilai tidak valid" error="Pilih dari daftar yang tersedia." sqref="K113:K113">
      <formula1>"1,2,3,4,5"</formula1>
    </dataValidation>
    <dataValidation type="list" allowBlank="1" showErrorMessage="1" errorTitle="Nilai tidak valid" error="Pilih dari daftar yang tersedia." sqref="K114:K114">
      <formula1>"1,2,3,4,5"</formula1>
    </dataValidation>
    <dataValidation type="list" allowBlank="1" showErrorMessage="1" errorTitle="Nilai tidak valid" error="Pilih dari daftar yang tersedia." sqref="K115:K115">
      <formula1>"1,2,3,4,5"</formula1>
    </dataValidation>
    <dataValidation type="list" allowBlank="1" showErrorMessage="1" errorTitle="Nilai tidak valid" error="Pilih dari daftar yang tersedia." sqref="K116:K116">
      <formula1>"1,2,3,4,5"</formula1>
    </dataValidation>
    <dataValidation type="list" allowBlank="1" showErrorMessage="1" errorTitle="Nilai tidak valid" error="Pilih dari daftar yang tersedia." sqref="K117:K117">
      <formula1>"1,2,3,4,5"</formula1>
    </dataValidation>
    <dataValidation type="list" allowBlank="1" showErrorMessage="1" errorTitle="Nilai tidak valid" error="Pilih dari daftar yang tersedia." sqref="K118:K118">
      <formula1>"1,2,3,4,5"</formula1>
    </dataValidation>
    <dataValidation type="list" allowBlank="1" showErrorMessage="1" errorTitle="Nilai tidak valid" error="Pilih dari daftar yang tersedia." sqref="K119:K119">
      <formula1>"1,2,3,4,5"</formula1>
    </dataValidation>
    <dataValidation type="list" allowBlank="1" showErrorMessage="1" errorTitle="Nilai tidak valid" error="Pilih dari daftar yang tersedia." sqref="K11:K11">
      <formula1>"1,2,3,4,5"</formula1>
    </dataValidation>
    <dataValidation type="list" allowBlank="1" showErrorMessage="1" errorTitle="Nilai tidak valid" error="Pilih dari daftar yang tersedia." sqref="K120:K120">
      <formula1>"1,2,3,4,5"</formula1>
    </dataValidation>
    <dataValidation type="list" allowBlank="1" showErrorMessage="1" errorTitle="Nilai tidak valid" error="Pilih dari daftar yang tersedia." sqref="K121:K121">
      <formula1>"1,2,3,4,5"</formula1>
    </dataValidation>
    <dataValidation type="list" allowBlank="1" showErrorMessage="1" errorTitle="Nilai tidak valid" error="Pilih dari daftar yang tersedia." sqref="K122:K122">
      <formula1>"1,2,3,4,5"</formula1>
    </dataValidation>
    <dataValidation type="list" allowBlank="1" showErrorMessage="1" errorTitle="Nilai tidak valid" error="Pilih dari daftar yang tersedia." sqref="K123:K123">
      <formula1>"1,2,3,4,5"</formula1>
    </dataValidation>
    <dataValidation type="list" allowBlank="1" showErrorMessage="1" errorTitle="Nilai tidak valid" error="Pilih dari daftar yang tersedia." sqref="K124:K124">
      <formula1>"1,2,3,4,5"</formula1>
    </dataValidation>
    <dataValidation type="list" allowBlank="1" showErrorMessage="1" errorTitle="Nilai tidak valid" error="Pilih dari daftar yang tersedia." sqref="K125:K125">
      <formula1>"1,2,3,4,5"</formula1>
    </dataValidation>
    <dataValidation type="list" allowBlank="1" showErrorMessage="1" errorTitle="Nilai tidak valid" error="Pilih dari daftar yang tersedia." sqref="K126:K126">
      <formula1>"1,2,3,4,5"</formula1>
    </dataValidation>
    <dataValidation type="list" allowBlank="1" showErrorMessage="1" errorTitle="Nilai tidak valid" error="Pilih dari daftar yang tersedia." sqref="K127:K127">
      <formula1>"1,2,3,4,5"</formula1>
    </dataValidation>
    <dataValidation type="list" allowBlank="1" showErrorMessage="1" errorTitle="Nilai tidak valid" error="Pilih dari daftar yang tersedia." sqref="K128:K128">
      <formula1>"1,2,3,4,5"</formula1>
    </dataValidation>
    <dataValidation type="list" allowBlank="1" showErrorMessage="1" errorTitle="Nilai tidak valid" error="Pilih dari daftar yang tersedia." sqref="K129:K129">
      <formula1>"1,2,3,4,5"</formula1>
    </dataValidation>
    <dataValidation type="list" allowBlank="1" showErrorMessage="1" errorTitle="Nilai tidak valid" error="Pilih dari daftar yang tersedia." sqref="K12:K12">
      <formula1>"1,2,3,4,5"</formula1>
    </dataValidation>
    <dataValidation type="list" allowBlank="1" showErrorMessage="1" errorTitle="Nilai tidak valid" error="Pilih dari daftar yang tersedia." sqref="K130:K130">
      <formula1>"1,2,3,4,5"</formula1>
    </dataValidation>
    <dataValidation type="list" allowBlank="1" showErrorMessage="1" errorTitle="Nilai tidak valid" error="Pilih dari daftar yang tersedia." sqref="K131:K131">
      <formula1>"1,2,3,4,5"</formula1>
    </dataValidation>
    <dataValidation type="list" allowBlank="1" showErrorMessage="1" errorTitle="Nilai tidak valid" error="Pilih dari daftar yang tersedia." sqref="K132:K132">
      <formula1>"1,2,3,4,5"</formula1>
    </dataValidation>
    <dataValidation type="list" allowBlank="1" showErrorMessage="1" errorTitle="Nilai tidak valid" error="Pilih dari daftar yang tersedia." sqref="K133:K133">
      <formula1>"1,2,3,4,5"</formula1>
    </dataValidation>
    <dataValidation type="list" allowBlank="1" showErrorMessage="1" errorTitle="Nilai tidak valid" error="Pilih dari daftar yang tersedia." sqref="K134:K134">
      <formula1>"1,2,3,4,5"</formula1>
    </dataValidation>
    <dataValidation type="list" allowBlank="1" showErrorMessage="1" errorTitle="Nilai tidak valid" error="Pilih dari daftar yang tersedia." sqref="K135:K135">
      <formula1>"1,2,3,4,5"</formula1>
    </dataValidation>
    <dataValidation type="list" allowBlank="1" showErrorMessage="1" errorTitle="Nilai tidak valid" error="Pilih dari daftar yang tersedia." sqref="K136:K136">
      <formula1>"1,2,3,4,5"</formula1>
    </dataValidation>
    <dataValidation type="list" allowBlank="1" showErrorMessage="1" errorTitle="Nilai tidak valid" error="Pilih dari daftar yang tersedia." sqref="K137:K137">
      <formula1>"1,2,3,4,5"</formula1>
    </dataValidation>
    <dataValidation type="list" allowBlank="1" showErrorMessage="1" errorTitle="Nilai tidak valid" error="Pilih dari daftar yang tersedia." sqref="K138:K138">
      <formula1>"1,2,3,4,5"</formula1>
    </dataValidation>
    <dataValidation type="list" allowBlank="1" showErrorMessage="1" errorTitle="Nilai tidak valid" error="Pilih dari daftar yang tersedia." sqref="K139:K139">
      <formula1>"1,2,3,4,5"</formula1>
    </dataValidation>
    <dataValidation type="list" allowBlank="1" showErrorMessage="1" errorTitle="Nilai tidak valid" error="Pilih dari daftar yang tersedia." sqref="K13:K13">
      <formula1>"1,2,3,4,5"</formula1>
    </dataValidation>
    <dataValidation type="list" allowBlank="1" showErrorMessage="1" errorTitle="Nilai tidak valid" error="Pilih dari daftar yang tersedia." sqref="K140:K140">
      <formula1>"1,2,3,4,5"</formula1>
    </dataValidation>
    <dataValidation type="list" allowBlank="1" showErrorMessage="1" errorTitle="Nilai tidak valid" error="Pilih dari daftar yang tersedia." sqref="K141:K141">
      <formula1>"1,2,3,4,5"</formula1>
    </dataValidation>
    <dataValidation type="list" allowBlank="1" showErrorMessage="1" errorTitle="Nilai tidak valid" error="Pilih dari daftar yang tersedia." sqref="K142:K142">
      <formula1>"1,2,3,4,5"</formula1>
    </dataValidation>
    <dataValidation type="list" allowBlank="1" showErrorMessage="1" errorTitle="Nilai tidak valid" error="Pilih dari daftar yang tersedia." sqref="K143:K143">
      <formula1>"1,2,3,4,5"</formula1>
    </dataValidation>
    <dataValidation type="list" allowBlank="1" showErrorMessage="1" errorTitle="Nilai tidak valid" error="Pilih dari daftar yang tersedia." sqref="K144:K144">
      <formula1>"1,2,3,4,5"</formula1>
    </dataValidation>
    <dataValidation type="list" allowBlank="1" showErrorMessage="1" errorTitle="Nilai tidak valid" error="Pilih dari daftar yang tersedia." sqref="K145:K145">
      <formula1>"1,2,3,4,5"</formula1>
    </dataValidation>
    <dataValidation type="list" allowBlank="1" showErrorMessage="1" errorTitle="Nilai tidak valid" error="Pilih dari daftar yang tersedia." sqref="K146:K146">
      <formula1>"1,2,3,4,5"</formula1>
    </dataValidation>
    <dataValidation type="list" allowBlank="1" showErrorMessage="1" errorTitle="Nilai tidak valid" error="Pilih dari daftar yang tersedia." sqref="K147:K147">
      <formula1>"1,2,3,4,5"</formula1>
    </dataValidation>
    <dataValidation type="list" allowBlank="1" showErrorMessage="1" errorTitle="Nilai tidak valid" error="Pilih dari daftar yang tersedia." sqref="K148:K148">
      <formula1>"1,2,3,4,5"</formula1>
    </dataValidation>
    <dataValidation type="list" allowBlank="1" showErrorMessage="1" errorTitle="Nilai tidak valid" error="Pilih dari daftar yang tersedia." sqref="K149:K149">
      <formula1>"1,2,3,4,5"</formula1>
    </dataValidation>
    <dataValidation type="list" allowBlank="1" showErrorMessage="1" errorTitle="Nilai tidak valid" error="Pilih dari daftar yang tersedia." sqref="K14:K14">
      <formula1>"1,2,3,4,5"</formula1>
    </dataValidation>
    <dataValidation type="list" allowBlank="1" showErrorMessage="1" errorTitle="Nilai tidak valid" error="Pilih dari daftar yang tersedia." sqref="K150:K150">
      <formula1>"1,2,3,4,5"</formula1>
    </dataValidation>
    <dataValidation type="list" allowBlank="1" showErrorMessage="1" errorTitle="Nilai tidak valid" error="Pilih dari daftar yang tersedia." sqref="K151:K151">
      <formula1>"1,2,3,4,5"</formula1>
    </dataValidation>
    <dataValidation type="list" allowBlank="1" showErrorMessage="1" errorTitle="Nilai tidak valid" error="Pilih dari daftar yang tersedia." sqref="K152:K152">
      <formula1>"1,2,3,4,5"</formula1>
    </dataValidation>
    <dataValidation type="list" allowBlank="1" showErrorMessage="1" errorTitle="Nilai tidak valid" error="Pilih dari daftar yang tersedia." sqref="K153:K153">
      <formula1>"1,2,3,4,5"</formula1>
    </dataValidation>
    <dataValidation type="list" allowBlank="1" showErrorMessage="1" errorTitle="Nilai tidak valid" error="Pilih dari daftar yang tersedia." sqref="K15:K15">
      <formula1>"1,2,3,4,5"</formula1>
    </dataValidation>
    <dataValidation type="list" allowBlank="1" showErrorMessage="1" errorTitle="Nilai tidak valid" error="Pilih dari daftar yang tersedia." sqref="K16:K16">
      <formula1>"1,2,3,4,5"</formula1>
    </dataValidation>
    <dataValidation type="list" allowBlank="1" showErrorMessage="1" errorTitle="Nilai tidak valid" error="Pilih dari daftar yang tersedia." sqref="K17:K17">
      <formula1>"1,2,3,4,5"</formula1>
    </dataValidation>
    <dataValidation type="list" allowBlank="1" showErrorMessage="1" errorTitle="Nilai tidak valid" error="Pilih dari daftar yang tersedia." sqref="K18:K18">
      <formula1>"1,2,3,4,5"</formula1>
    </dataValidation>
    <dataValidation type="list" allowBlank="1" showErrorMessage="1" errorTitle="Nilai tidak valid" error="Pilih dari daftar yang tersedia." sqref="K19:K19">
      <formula1>"1,2,3,4,5"</formula1>
    </dataValidation>
    <dataValidation type="list" allowBlank="1" showErrorMessage="1" errorTitle="Nilai tidak valid" error="Pilih dari daftar yang tersedia." sqref="K20:K20">
      <formula1>"1,2,3,4,5"</formula1>
    </dataValidation>
    <dataValidation type="list" allowBlank="1" showErrorMessage="1" errorTitle="Nilai tidak valid" error="Pilih dari daftar yang tersedia." sqref="K21:K21">
      <formula1>"1,2,3,4,5"</formula1>
    </dataValidation>
    <dataValidation type="list" allowBlank="1" showErrorMessage="1" errorTitle="Nilai tidak valid" error="Pilih dari daftar yang tersedia." sqref="K22:K22">
      <formula1>"1,2,3,4,5"</formula1>
    </dataValidation>
    <dataValidation type="list" allowBlank="1" showErrorMessage="1" errorTitle="Nilai tidak valid" error="Pilih dari daftar yang tersedia." sqref="K23:K23">
      <formula1>"1,2,3,4,5"</formula1>
    </dataValidation>
    <dataValidation type="list" allowBlank="1" showErrorMessage="1" errorTitle="Nilai tidak valid" error="Pilih dari daftar yang tersedia." sqref="K24:K24">
      <formula1>"1,2,3,4,5"</formula1>
    </dataValidation>
    <dataValidation type="list" allowBlank="1" showErrorMessage="1" errorTitle="Nilai tidak valid" error="Pilih dari daftar yang tersedia." sqref="K25:K25">
      <formula1>"1,2,3,4,5"</formula1>
    </dataValidation>
    <dataValidation type="list" allowBlank="1" showErrorMessage="1" errorTitle="Nilai tidak valid" error="Pilih dari daftar yang tersedia." sqref="K26:K26">
      <formula1>"1,2,3,4,5"</formula1>
    </dataValidation>
    <dataValidation type="list" allowBlank="1" showErrorMessage="1" errorTitle="Nilai tidak valid" error="Pilih dari daftar yang tersedia." sqref="K27:K27">
      <formula1>"1,2,3,4,5"</formula1>
    </dataValidation>
    <dataValidation type="list" allowBlank="1" showErrorMessage="1" errorTitle="Nilai tidak valid" error="Pilih dari daftar yang tersedia." sqref="K28:K28">
      <formula1>"1,2,3,4,5"</formula1>
    </dataValidation>
    <dataValidation type="list" allowBlank="1" showErrorMessage="1" errorTitle="Nilai tidak valid" error="Pilih dari daftar yang tersedia." sqref="K29:K29">
      <formula1>"1,2,3,4,5"</formula1>
    </dataValidation>
    <dataValidation type="list" allowBlank="1" showErrorMessage="1" errorTitle="Nilai tidak valid" error="Pilih dari daftar yang tersedia." sqref="K30:K30">
      <formula1>"1,2,3,4,5"</formula1>
    </dataValidation>
    <dataValidation type="list" allowBlank="1" showErrorMessage="1" errorTitle="Nilai tidak valid" error="Pilih dari daftar yang tersedia." sqref="K31:K31">
      <formula1>"1,2,3,4,5"</formula1>
    </dataValidation>
    <dataValidation type="list" allowBlank="1" showErrorMessage="1" errorTitle="Nilai tidak valid" error="Pilih dari daftar yang tersedia." sqref="K32:K32">
      <formula1>"1,2,3,4,5"</formula1>
    </dataValidation>
    <dataValidation type="list" allowBlank="1" showErrorMessage="1" errorTitle="Nilai tidak valid" error="Pilih dari daftar yang tersedia." sqref="K33:K33">
      <formula1>"1,2,3,4,5"</formula1>
    </dataValidation>
    <dataValidation type="list" allowBlank="1" showErrorMessage="1" errorTitle="Nilai tidak valid" error="Pilih dari daftar yang tersedia." sqref="K34:K34">
      <formula1>"1,2,3,4,5"</formula1>
    </dataValidation>
    <dataValidation type="list" allowBlank="1" showErrorMessage="1" errorTitle="Nilai tidak valid" error="Pilih dari daftar yang tersedia." sqref="K35:K35">
      <formula1>"1,2,3,4,5"</formula1>
    </dataValidation>
    <dataValidation type="list" allowBlank="1" showErrorMessage="1" errorTitle="Nilai tidak valid" error="Pilih dari daftar yang tersedia." sqref="K36:K36">
      <formula1>"1,2,3,4,5"</formula1>
    </dataValidation>
    <dataValidation type="list" allowBlank="1" showErrorMessage="1" errorTitle="Nilai tidak valid" error="Pilih dari daftar yang tersedia." sqref="K37:K37">
      <formula1>"1,2,3,4,5"</formula1>
    </dataValidation>
    <dataValidation type="list" allowBlank="1" showErrorMessage="1" errorTitle="Nilai tidak valid" error="Pilih dari daftar yang tersedia." sqref="K38:K38">
      <formula1>"1,2,3,4,5"</formula1>
    </dataValidation>
    <dataValidation type="list" allowBlank="1" showErrorMessage="1" errorTitle="Nilai tidak valid" error="Pilih dari daftar yang tersedia." sqref="K39:K39">
      <formula1>"1,2,3,4,5"</formula1>
    </dataValidation>
    <dataValidation type="list" allowBlank="1" showErrorMessage="1" errorTitle="Nilai tidak valid" error="Pilih dari daftar yang tersedia." sqref="K40:K40">
      <formula1>"1,2,3,4,5"</formula1>
    </dataValidation>
    <dataValidation type="list" allowBlank="1" showErrorMessage="1" errorTitle="Nilai tidak valid" error="Pilih dari daftar yang tersedia." sqref="K41:K41">
      <formula1>"1,2,3,4,5"</formula1>
    </dataValidation>
    <dataValidation type="list" allowBlank="1" showErrorMessage="1" errorTitle="Nilai tidak valid" error="Pilih dari daftar yang tersedia." sqref="K42:K42">
      <formula1>"1,2,3,4,5"</formula1>
    </dataValidation>
    <dataValidation type="list" allowBlank="1" showErrorMessage="1" errorTitle="Nilai tidak valid" error="Pilih dari daftar yang tersedia." sqref="K43:K43">
      <formula1>"1,2,3,4,5"</formula1>
    </dataValidation>
    <dataValidation type="list" allowBlank="1" showErrorMessage="1" errorTitle="Nilai tidak valid" error="Pilih dari daftar yang tersedia." sqref="K44:K44">
      <formula1>"1,2,3,4,5"</formula1>
    </dataValidation>
    <dataValidation type="list" allowBlank="1" showErrorMessage="1" errorTitle="Nilai tidak valid" error="Pilih dari daftar yang tersedia." sqref="K45:K45">
      <formula1>"1,2,3,4,5"</formula1>
    </dataValidation>
    <dataValidation type="list" allowBlank="1" showErrorMessage="1" errorTitle="Nilai tidak valid" error="Pilih dari daftar yang tersedia." sqref="K46:K46">
      <formula1>"1,2,3,4,5"</formula1>
    </dataValidation>
    <dataValidation type="list" allowBlank="1" showErrorMessage="1" errorTitle="Nilai tidak valid" error="Pilih dari daftar yang tersedia." sqref="K47:K47">
      <formula1>"1,2,3,4,5"</formula1>
    </dataValidation>
    <dataValidation type="list" allowBlank="1" showErrorMessage="1" errorTitle="Nilai tidak valid" error="Pilih dari daftar yang tersedia." sqref="K48:K48">
      <formula1>"1,2,3,4,5"</formula1>
    </dataValidation>
    <dataValidation type="list" allowBlank="1" showErrorMessage="1" errorTitle="Nilai tidak valid" error="Pilih dari daftar yang tersedia." sqref="K49:K49">
      <formula1>"1,2,3,4,5"</formula1>
    </dataValidation>
    <dataValidation type="list" allowBlank="1" showErrorMessage="1" errorTitle="Nilai tidak valid" error="Pilih dari daftar yang tersedia." sqref="K4:K4">
      <formula1>"1,2,3,4,5"</formula1>
    </dataValidation>
    <dataValidation type="list" allowBlank="1" showErrorMessage="1" errorTitle="Nilai tidak valid" error="Pilih dari daftar yang tersedia." sqref="K50:K50">
      <formula1>"1,2,3,4,5"</formula1>
    </dataValidation>
    <dataValidation type="list" allowBlank="1" showErrorMessage="1" errorTitle="Nilai tidak valid" error="Pilih dari daftar yang tersedia." sqref="K51:K51">
      <formula1>"1,2,3,4,5"</formula1>
    </dataValidation>
    <dataValidation type="list" allowBlank="1" showErrorMessage="1" errorTitle="Nilai tidak valid" error="Pilih dari daftar yang tersedia." sqref="K52:K52">
      <formula1>"1,2,3,4,5"</formula1>
    </dataValidation>
    <dataValidation type="list" allowBlank="1" showErrorMessage="1" errorTitle="Nilai tidak valid" error="Pilih dari daftar yang tersedia." sqref="K53:K53">
      <formula1>"1,2,3,4,5"</formula1>
    </dataValidation>
    <dataValidation type="list" allowBlank="1" showErrorMessage="1" errorTitle="Nilai tidak valid" error="Pilih dari daftar yang tersedia." sqref="K54:K54">
      <formula1>"1,2,3,4,5"</formula1>
    </dataValidation>
    <dataValidation type="list" allowBlank="1" showErrorMessage="1" errorTitle="Nilai tidak valid" error="Pilih dari daftar yang tersedia." sqref="K55:K55">
      <formula1>"1,2,3,4,5"</formula1>
    </dataValidation>
    <dataValidation type="list" allowBlank="1" showErrorMessage="1" errorTitle="Nilai tidak valid" error="Pilih dari daftar yang tersedia." sqref="K56:K56">
      <formula1>"1,2,3,4,5"</formula1>
    </dataValidation>
    <dataValidation type="list" allowBlank="1" showErrorMessage="1" errorTitle="Nilai tidak valid" error="Pilih dari daftar yang tersedia." sqref="K57:K57">
      <formula1>"1,2,3,4,5"</formula1>
    </dataValidation>
    <dataValidation type="list" allowBlank="1" showErrorMessage="1" errorTitle="Nilai tidak valid" error="Pilih dari daftar yang tersedia." sqref="K58:K58">
      <formula1>"1,2,3,4,5"</formula1>
    </dataValidation>
    <dataValidation type="list" allowBlank="1" showErrorMessage="1" errorTitle="Nilai tidak valid" error="Pilih dari daftar yang tersedia." sqref="K59:K59">
      <formula1>"1,2,3,4,5"</formula1>
    </dataValidation>
    <dataValidation type="list" allowBlank="1" showErrorMessage="1" errorTitle="Nilai tidak valid" error="Pilih dari daftar yang tersedia." sqref="K5:K5">
      <formula1>"1,2,3,4,5"</formula1>
    </dataValidation>
    <dataValidation type="list" allowBlank="1" showErrorMessage="1" errorTitle="Nilai tidak valid" error="Pilih dari daftar yang tersedia." sqref="K60:K60">
      <formula1>"1,2,3,4,5"</formula1>
    </dataValidation>
    <dataValidation type="list" allowBlank="1" showErrorMessage="1" errorTitle="Nilai tidak valid" error="Pilih dari daftar yang tersedia." sqref="K61:K61">
      <formula1>"1,2,3,4,5"</formula1>
    </dataValidation>
    <dataValidation type="list" allowBlank="1" showErrorMessage="1" errorTitle="Nilai tidak valid" error="Pilih dari daftar yang tersedia." sqref="K62:K62">
      <formula1>"1,2,3,4,5"</formula1>
    </dataValidation>
    <dataValidation type="list" allowBlank="1" showErrorMessage="1" errorTitle="Nilai tidak valid" error="Pilih dari daftar yang tersedia." sqref="K63:K63">
      <formula1>"1,2,3,4,5"</formula1>
    </dataValidation>
    <dataValidation type="list" allowBlank="1" showErrorMessage="1" errorTitle="Nilai tidak valid" error="Pilih dari daftar yang tersedia." sqref="K64:K64">
      <formula1>"1,2,3,4,5"</formula1>
    </dataValidation>
    <dataValidation type="list" allowBlank="1" showErrorMessage="1" errorTitle="Nilai tidak valid" error="Pilih dari daftar yang tersedia." sqref="K65:K65">
      <formula1>"1,2,3,4,5"</formula1>
    </dataValidation>
    <dataValidation type="list" allowBlank="1" showErrorMessage="1" errorTitle="Nilai tidak valid" error="Pilih dari daftar yang tersedia." sqref="K66:K66">
      <formula1>"1,2,3,4,5"</formula1>
    </dataValidation>
    <dataValidation type="list" allowBlank="1" showErrorMessage="1" errorTitle="Nilai tidak valid" error="Pilih dari daftar yang tersedia." sqref="K67:K67">
      <formula1>"1,2,3,4,5"</formula1>
    </dataValidation>
    <dataValidation type="list" allowBlank="1" showErrorMessage="1" errorTitle="Nilai tidak valid" error="Pilih dari daftar yang tersedia." sqref="K68:K68">
      <formula1>"1,2,3,4,5"</formula1>
    </dataValidation>
    <dataValidation type="list" allowBlank="1" showErrorMessage="1" errorTitle="Nilai tidak valid" error="Pilih dari daftar yang tersedia." sqref="K69:K69">
      <formula1>"1,2,3,4,5"</formula1>
    </dataValidation>
    <dataValidation type="list" allowBlank="1" showErrorMessage="1" errorTitle="Nilai tidak valid" error="Pilih dari daftar yang tersedia." sqref="K6:K6">
      <formula1>"1,2,3,4,5"</formula1>
    </dataValidation>
    <dataValidation type="list" allowBlank="1" showErrorMessage="1" errorTitle="Nilai tidak valid" error="Pilih dari daftar yang tersedia." sqref="K70:K70">
      <formula1>"1,2,3,4,5"</formula1>
    </dataValidation>
    <dataValidation type="list" allowBlank="1" showErrorMessage="1" errorTitle="Nilai tidak valid" error="Pilih dari daftar yang tersedia." sqref="K71:K71">
      <formula1>"1,2,3,4,5"</formula1>
    </dataValidation>
    <dataValidation type="list" allowBlank="1" showErrorMessage="1" errorTitle="Nilai tidak valid" error="Pilih dari daftar yang tersedia." sqref="K72:K72">
      <formula1>"1,2,3,4,5"</formula1>
    </dataValidation>
    <dataValidation type="list" allowBlank="1" showErrorMessage="1" errorTitle="Nilai tidak valid" error="Pilih dari daftar yang tersedia." sqref="K73:K73">
      <formula1>"1,2,3,4,5"</formula1>
    </dataValidation>
    <dataValidation type="list" allowBlank="1" showErrorMessage="1" errorTitle="Nilai tidak valid" error="Pilih dari daftar yang tersedia." sqref="K74:K74">
      <formula1>"1,2,3,4,5"</formula1>
    </dataValidation>
    <dataValidation type="list" allowBlank="1" showErrorMessage="1" errorTitle="Nilai tidak valid" error="Pilih dari daftar yang tersedia." sqref="K75:K75">
      <formula1>"1,2,3,4,5"</formula1>
    </dataValidation>
    <dataValidation type="list" allowBlank="1" showErrorMessage="1" errorTitle="Nilai tidak valid" error="Pilih dari daftar yang tersedia." sqref="K76:K76">
      <formula1>"1,2,3,4,5"</formula1>
    </dataValidation>
    <dataValidation type="list" allowBlank="1" showErrorMessage="1" errorTitle="Nilai tidak valid" error="Pilih dari daftar yang tersedia." sqref="K77:K77">
      <formula1>"1,2,3,4,5"</formula1>
    </dataValidation>
    <dataValidation type="list" allowBlank="1" showErrorMessage="1" errorTitle="Nilai tidak valid" error="Pilih dari daftar yang tersedia." sqref="K78:K78">
      <formula1>"1,2,3,4,5"</formula1>
    </dataValidation>
    <dataValidation type="list" allowBlank="1" showErrorMessage="1" errorTitle="Nilai tidak valid" error="Pilih dari daftar yang tersedia." sqref="K79:K79">
      <formula1>"1,2,3,4,5"</formula1>
    </dataValidation>
    <dataValidation type="list" allowBlank="1" showErrorMessage="1" errorTitle="Nilai tidak valid" error="Pilih dari daftar yang tersedia." sqref="K7:K7">
      <formula1>"1,2,3,4,5"</formula1>
    </dataValidation>
    <dataValidation type="list" allowBlank="1" showErrorMessage="1" errorTitle="Nilai tidak valid" error="Pilih dari daftar yang tersedia." sqref="K80:K80">
      <formula1>"1,2,3,4,5"</formula1>
    </dataValidation>
    <dataValidation type="list" allowBlank="1" showErrorMessage="1" errorTitle="Nilai tidak valid" error="Pilih dari daftar yang tersedia." sqref="K81:K81">
      <formula1>"1,2,3,4,5"</formula1>
    </dataValidation>
    <dataValidation type="list" allowBlank="1" showErrorMessage="1" errorTitle="Nilai tidak valid" error="Pilih dari daftar yang tersedia." sqref="K82:K82">
      <formula1>"1,2,3,4,5"</formula1>
    </dataValidation>
    <dataValidation type="list" allowBlank="1" showErrorMessage="1" errorTitle="Nilai tidak valid" error="Pilih dari daftar yang tersedia." sqref="K83:K83">
      <formula1>"1,2,3,4,5"</formula1>
    </dataValidation>
    <dataValidation type="list" allowBlank="1" showErrorMessage="1" errorTitle="Nilai tidak valid" error="Pilih dari daftar yang tersedia." sqref="K84:K84">
      <formula1>"1,2,3,4,5"</formula1>
    </dataValidation>
    <dataValidation type="list" allowBlank="1" showErrorMessage="1" errorTitle="Nilai tidak valid" error="Pilih dari daftar yang tersedia." sqref="K85:K85">
      <formula1>"1,2,3,4,5"</formula1>
    </dataValidation>
    <dataValidation type="list" allowBlank="1" showErrorMessage="1" errorTitle="Nilai tidak valid" error="Pilih dari daftar yang tersedia." sqref="K86:K86">
      <formula1>"1,2,3,4,5"</formula1>
    </dataValidation>
    <dataValidation type="list" allowBlank="1" showErrorMessage="1" errorTitle="Nilai tidak valid" error="Pilih dari daftar yang tersedia." sqref="K87:K87">
      <formula1>"1,2,3,4,5"</formula1>
    </dataValidation>
    <dataValidation type="list" allowBlank="1" showErrorMessage="1" errorTitle="Nilai tidak valid" error="Pilih dari daftar yang tersedia." sqref="K88:K88">
      <formula1>"1,2,3,4,5"</formula1>
    </dataValidation>
    <dataValidation type="list" allowBlank="1" showErrorMessage="1" errorTitle="Nilai tidak valid" error="Pilih dari daftar yang tersedia." sqref="K89:K89">
      <formula1>"1,2,3,4,5"</formula1>
    </dataValidation>
    <dataValidation type="list" allowBlank="1" showErrorMessage="1" errorTitle="Nilai tidak valid" error="Pilih dari daftar yang tersedia." sqref="K8:K8">
      <formula1>"1,2,3,4,5"</formula1>
    </dataValidation>
    <dataValidation type="list" allowBlank="1" showErrorMessage="1" errorTitle="Nilai tidak valid" error="Pilih dari daftar yang tersedia." sqref="K90:K90">
      <formula1>"1,2,3,4,5"</formula1>
    </dataValidation>
    <dataValidation type="list" allowBlank="1" showErrorMessage="1" errorTitle="Nilai tidak valid" error="Pilih dari daftar yang tersedia." sqref="K91:K91">
      <formula1>"1,2,3,4,5"</formula1>
    </dataValidation>
    <dataValidation type="list" allowBlank="1" showErrorMessage="1" errorTitle="Nilai tidak valid" error="Pilih dari daftar yang tersedia." sqref="K92:K92">
      <formula1>"1,2,3,4,5"</formula1>
    </dataValidation>
    <dataValidation type="list" allowBlank="1" showErrorMessage="1" errorTitle="Nilai tidak valid" error="Pilih dari daftar yang tersedia." sqref="K93:K93">
      <formula1>"1,2,3,4,5"</formula1>
    </dataValidation>
    <dataValidation type="list" allowBlank="1" showErrorMessage="1" errorTitle="Nilai tidak valid" error="Pilih dari daftar yang tersedia." sqref="K94:K94">
      <formula1>"1,2,3,4,5"</formula1>
    </dataValidation>
    <dataValidation type="list" allowBlank="1" showErrorMessage="1" errorTitle="Nilai tidak valid" error="Pilih dari daftar yang tersedia." sqref="K95:K95">
      <formula1>"1,2,3,4,5"</formula1>
    </dataValidation>
    <dataValidation type="list" allowBlank="1" showErrorMessage="1" errorTitle="Nilai tidak valid" error="Pilih dari daftar yang tersedia." sqref="K96:K96">
      <formula1>"1,2,3,4,5"</formula1>
    </dataValidation>
    <dataValidation type="list" allowBlank="1" showErrorMessage="1" errorTitle="Nilai tidak valid" error="Pilih dari daftar yang tersedia." sqref="K97:K97">
      <formula1>"1,2,3,4,5"</formula1>
    </dataValidation>
    <dataValidation type="list" allowBlank="1" showErrorMessage="1" errorTitle="Nilai tidak valid" error="Pilih dari daftar yang tersedia." sqref="K98:K98">
      <formula1>"1,2,3,4,5"</formula1>
    </dataValidation>
    <dataValidation type="list" allowBlank="1" showErrorMessage="1" errorTitle="Nilai tidak valid" error="Pilih dari daftar yang tersedia." sqref="K99:K99">
      <formula1>"1,2,3,4,5"</formula1>
    </dataValidation>
    <dataValidation type="list" allowBlank="1" showErrorMessage="1" errorTitle="Nilai tidak valid" error="Pilih dari daftar yang tersedia." sqref="K9:K9">
      <formula1>"1,2,3,4,5"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4" customWidth="1"/>
    <col min="3" max="7" width="32" customWidth="1"/>
    <col min="8" max="8" width="16" customWidth="1"/>
  </cols>
  <sheetData>
    <row r="1" ht="28" customHeight="1" spans="1:8" x14ac:dyDescent="0.25">
      <c r="A1" s="21" t="s">
        <v>373</v>
      </c>
      <c r="B1" s="21"/>
      <c r="C1" s="21"/>
      <c r="D1" s="21"/>
      <c r="E1" s="21"/>
      <c r="F1" s="21"/>
      <c r="G1" s="21"/>
      <c r="H1" s="21"/>
    </row>
    <row r="3" ht="24" customHeight="1" spans="2:8" x14ac:dyDescent="0.25">
      <c r="B3" s="22" t="s">
        <v>374</v>
      </c>
      <c r="C3" s="22" t="s">
        <v>375</v>
      </c>
      <c r="D3" s="22" t="s">
        <v>376</v>
      </c>
      <c r="E3" s="22" t="s">
        <v>377</v>
      </c>
      <c r="F3" s="22" t="s">
        <v>378</v>
      </c>
      <c r="G3" s="22" t="s">
        <v>379</v>
      </c>
      <c r="H3" s="22" t="s">
        <v>380</v>
      </c>
    </row>
    <row r="4" ht="48" customHeight="1" spans="2:8" x14ac:dyDescent="0.25">
      <c r="B4" s="12" t="s">
        <v>381</v>
      </c>
      <c r="C4" s="50" t="s">
        <v>382</v>
      </c>
      <c r="D4" s="50" t="s">
        <v>383</v>
      </c>
      <c r="E4" s="50" t="s">
        <v>384</v>
      </c>
      <c r="F4" s="50" t="s">
        <v>385</v>
      </c>
      <c r="G4" s="50" t="s">
        <v>386</v>
      </c>
      <c r="H4" s="51">
        <v>1</v>
      </c>
    </row>
    <row r="5" ht="48" customHeight="1" spans="2:8" x14ac:dyDescent="0.25">
      <c r="B5" s="12" t="s">
        <v>387</v>
      </c>
      <c r="C5" s="52" t="s">
        <v>388</v>
      </c>
      <c r="D5" s="52" t="s">
        <v>389</v>
      </c>
      <c r="E5" s="52" t="s">
        <v>390</v>
      </c>
      <c r="F5" s="52" t="s">
        <v>391</v>
      </c>
      <c r="G5" s="52" t="s">
        <v>392</v>
      </c>
      <c r="H5" s="51">
        <v>1</v>
      </c>
    </row>
    <row r="6" ht="48" customHeight="1" spans="2:8" x14ac:dyDescent="0.25">
      <c r="B6" s="12" t="s">
        <v>393</v>
      </c>
      <c r="C6" s="50" t="s">
        <v>394</v>
      </c>
      <c r="D6" s="50" t="s">
        <v>395</v>
      </c>
      <c r="E6" s="50" t="s">
        <v>396</v>
      </c>
      <c r="F6" s="50" t="s">
        <v>397</v>
      </c>
      <c r="G6" s="50" t="s">
        <v>398</v>
      </c>
      <c r="H6" s="51">
        <v>1</v>
      </c>
    </row>
    <row r="7" ht="48" customHeight="1" spans="2:8" x14ac:dyDescent="0.25">
      <c r="B7" s="12" t="s">
        <v>399</v>
      </c>
      <c r="C7" s="52" t="s">
        <v>400</v>
      </c>
      <c r="D7" s="52" t="s">
        <v>401</v>
      </c>
      <c r="E7" s="52" t="s">
        <v>402</v>
      </c>
      <c r="F7" s="52" t="s">
        <v>403</v>
      </c>
      <c r="G7" s="52" t="s">
        <v>404</v>
      </c>
      <c r="H7" s="51">
        <v>1</v>
      </c>
    </row>
    <row r="8" ht="48" customHeight="1" spans="2:8" x14ac:dyDescent="0.25">
      <c r="B8" s="12" t="s">
        <v>405</v>
      </c>
      <c r="C8" s="50" t="s">
        <v>406</v>
      </c>
      <c r="D8" s="50" t="s">
        <v>407</v>
      </c>
      <c r="E8" s="50" t="s">
        <v>408</v>
      </c>
      <c r="F8" s="50" t="s">
        <v>409</v>
      </c>
      <c r="G8" s="50" t="s">
        <v>410</v>
      </c>
      <c r="H8" s="51">
        <v>1</v>
      </c>
    </row>
    <row r="10" ht="10" customHeight="1" x14ac:dyDescent="0.25"/>
    <row r="11" ht="22" customHeight="1" spans="2:8" x14ac:dyDescent="0.25">
      <c r="B11" s="11" t="s">
        <v>411</v>
      </c>
      <c r="C11" s="11"/>
      <c r="D11" s="11"/>
      <c r="E11" s="11"/>
      <c r="F11" s="11"/>
      <c r="G11" s="11"/>
      <c r="H11" s="11"/>
    </row>
    <row r="12" ht="28" customHeight="1" spans="2:7" x14ac:dyDescent="0.25">
      <c r="B12" s="12" t="s">
        <v>412</v>
      </c>
      <c r="C12" s="53">
        <f>AVERAGE(H4:H8)</f>
      </c>
      <c r="D12" s="53"/>
      <c r="E12" s="53"/>
      <c r="F12" s="53"/>
      <c r="G12" s="53"/>
    </row>
    <row r="13" ht="28" customHeight="1" spans="2:7" x14ac:dyDescent="0.25">
      <c r="B13" s="12" t="s">
        <v>413</v>
      </c>
      <c r="C13" s="54">
        <f>IFS(C12&gt;=4.5,"Level 5 — OPTIMUM",C12&gt;=3.5,"Level 4 — TERKELOLA",C12&gt;=2.5,"Level 3 — TERDEFINISI",C12&gt;=1.5,"Level 2 — BERKEMBANG",C12&gt;=1,"Level 1 — RINTISAN",TRUE,"Belum dinilai")</f>
      </c>
      <c r="D13" s="54"/>
      <c r="E13" s="54"/>
      <c r="F13" s="54"/>
      <c r="G13" s="54"/>
    </row>
  </sheetData>
  <mergeCells count="4">
    <mergeCell ref="A1:H1"/>
    <mergeCell ref="B11:H11"/>
    <mergeCell ref="C12:G12"/>
    <mergeCell ref="C13:G13"/>
  </mergeCells>
  <dataValidations count="5">
    <dataValidation type="list" allowBlank="1" showErrorMessage="1" errorTitle="Nilai tidak valid" error="Pilih dari daftar yang tersedia." sqref="H4:H4">
      <formula1>"1,2,3,4,5"</formula1>
    </dataValidation>
    <dataValidation type="list" allowBlank="1" showErrorMessage="1" errorTitle="Nilai tidak valid" error="Pilih dari daftar yang tersedia." sqref="H5:H5">
      <formula1>"1,2,3,4,5"</formula1>
    </dataValidation>
    <dataValidation type="list" allowBlank="1" showErrorMessage="1" errorTitle="Nilai tidak valid" error="Pilih dari daftar yang tersedia." sqref="H6:H6">
      <formula1>"1,2,3,4,5"</formula1>
    </dataValidation>
    <dataValidation type="list" allowBlank="1" showErrorMessage="1" errorTitle="Nilai tidak valid" error="Pilih dari daftar yang tersedia." sqref="H7:H7">
      <formula1>"1,2,3,4,5"</formula1>
    </dataValidation>
    <dataValidation type="list" allowBlank="1" showErrorMessage="1" errorTitle="Nilai tidak valid" error="Pilih dari daftar yang tersedia." sqref="H8:H8">
      <formula1>"1,2,3,4,5"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7"/>
  <sheetViews>
    <sheetView workbookViewId="0" showGridLines="0"/>
  </sheetViews>
  <sheetFormatPr defaultRowHeight="15" outlineLevelRow="0" outlineLevelCol="0" x14ac:dyDescent="55"/>
  <cols>
    <col min="1" max="1" width="4" customWidth="1"/>
    <col min="2" max="6" width="22" customWidth="1"/>
  </cols>
  <sheetData>
    <row r="1" ht="36" customHeight="1" spans="2:6" x14ac:dyDescent="0.25">
      <c r="B1" s="55" t="s">
        <v>414</v>
      </c>
      <c r="C1" s="55"/>
      <c r="D1" s="55"/>
      <c r="E1" s="55"/>
      <c r="F1" s="55"/>
    </row>
    <row r="2" ht="24" customHeight="1" spans="2:6" x14ac:dyDescent="0.25">
      <c r="B2" s="56">
        <f>"Unit Kerja: "&amp;KONTEKS!C4&amp;"  |  Tahun: "&amp;KONTEKS!C6</f>
      </c>
      <c r="C2" s="56"/>
      <c r="D2" s="56"/>
      <c r="E2" s="56"/>
      <c r="F2" s="56"/>
    </row>
    <row r="4" ht="22" customHeight="1" spans="2:6" x14ac:dyDescent="0.25">
      <c r="B4" s="11" t="s">
        <v>415</v>
      </c>
      <c r="C4" s="11"/>
      <c r="D4" s="11"/>
      <c r="E4" s="11"/>
      <c r="F4" s="11"/>
    </row>
    <row r="5" ht="36" customHeight="1" spans="2:6" x14ac:dyDescent="0.25">
      <c r="B5" s="57" t="s">
        <v>416</v>
      </c>
      <c r="C5" s="58" t="s">
        <v>417</v>
      </c>
      <c r="D5" s="59" t="s">
        <v>418</v>
      </c>
      <c r="E5" s="60" t="s">
        <v>419</v>
      </c>
      <c r="F5" s="61" t="s">
        <v>420</v>
      </c>
    </row>
    <row r="6" ht="44" customHeight="1" spans="2:6" x14ac:dyDescent="0.25">
      <c r="B6" s="62">
        <f>COUNTA(IDENTIFIKASI!G3:G52)</f>
      </c>
      <c r="C6" s="63">
        <f>COUNTIF(ANALISIS!S3:S52,"YA ⚠")</f>
      </c>
      <c r="D6" s="64">
        <f>COUNTA(RTP!A4:A153)</f>
      </c>
      <c r="E6" s="65">
        <f>IFERROR(AVERAGE(ANALISIS!O3:O52),"—")</f>
      </c>
      <c r="F6" s="66">
        <f>IFERROR(MATURITAS!C13,"Belum dinilai")</f>
      </c>
    </row>
    <row r="8" ht="22" customHeight="1" spans="2:6" x14ac:dyDescent="0.25">
      <c r="B8" s="11" t="s">
        <v>421</v>
      </c>
      <c r="C8" s="11"/>
      <c r="D8" s="11"/>
      <c r="E8" s="11"/>
      <c r="F8" s="11"/>
    </row>
    <row r="9" ht="22" customHeight="1" spans="2:6" x14ac:dyDescent="0.25">
      <c r="B9" s="24" t="s">
        <v>53</v>
      </c>
      <c r="C9" s="24" t="s">
        <v>422</v>
      </c>
      <c r="D9" s="24" t="s">
        <v>423</v>
      </c>
      <c r="E9" s="24" t="s">
        <v>424</v>
      </c>
      <c r="F9" s="24" t="s">
        <v>419</v>
      </c>
    </row>
    <row r="10" ht="20" customHeight="1" spans="2:6" x14ac:dyDescent="0.25">
      <c r="B10" s="12" t="s">
        <v>68</v>
      </c>
      <c r="C10" s="13">
        <f>COUNTIF(IDENTIFIKASI!H3:H52,"Strategis")</f>
      </c>
      <c r="D10" s="13">
        <f>COUNTIFS(ANALISIS!C3:C52,"Strategis",ANALISIS!S3:S52,"YA ⚠")</f>
      </c>
      <c r="E10" s="13">
        <f>IFERROR(COUNTIFS(RTP!A4:A153,"&lt;&gt;"),0)</f>
      </c>
      <c r="F10" s="13">
        <f>IFERROR(AVERAGEIF(ANALISIS!C3:C52,"Strategis",ANALISIS!O3:O52),"—")</f>
      </c>
    </row>
    <row r="11" ht="20" customHeight="1" spans="2:6" x14ac:dyDescent="0.25">
      <c r="B11" s="12" t="s">
        <v>82</v>
      </c>
      <c r="C11" s="13">
        <f>COUNTIF(IDENTIFIKASI!H3:H52,"Kebijakan")</f>
      </c>
      <c r="D11" s="13">
        <f>COUNTIFS(ANALISIS!C3:C52,"Kebijakan",ANALISIS!S3:S52,"YA ⚠")</f>
      </c>
      <c r="E11" s="13">
        <f>IFERROR(COUNTIFS(RTP!A4:A153,"&lt;&gt;"),0)</f>
      </c>
      <c r="F11" s="13">
        <f>IFERROR(AVERAGEIF(ANALISIS!C3:C52,"Kebijakan",ANALISIS!O3:O52),"—")</f>
      </c>
    </row>
    <row r="12" ht="20" customHeight="1" spans="2:6" x14ac:dyDescent="0.25">
      <c r="B12" s="12" t="s">
        <v>95</v>
      </c>
      <c r="C12" s="13">
        <f>COUNTIF(IDENTIFIKASI!H3:H52,"Kecurangan")</f>
      </c>
      <c r="D12" s="13">
        <f>COUNTIFS(ANALISIS!C3:C52,"Kecurangan",ANALISIS!S3:S52,"YA ⚠")</f>
      </c>
      <c r="E12" s="13">
        <f>IFERROR(COUNTIFS(RTP!A4:A153,"&lt;&gt;"),0)</f>
      </c>
      <c r="F12" s="13">
        <f>IFERROR(AVERAGEIF(ANALISIS!C3:C52,"Kecurangan",ANALISIS!O3:O52),"—")</f>
      </c>
    </row>
    <row r="13" ht="20" customHeight="1" spans="2:6" x14ac:dyDescent="0.25">
      <c r="B13" s="12" t="s">
        <v>108</v>
      </c>
      <c r="C13" s="13">
        <f>COUNTIF(IDENTIFIKASI!H3:H52,"Bencana")</f>
      </c>
      <c r="D13" s="13">
        <f>COUNTIFS(ANALISIS!C3:C52,"Bencana",ANALISIS!S3:S52,"YA ⚠")</f>
      </c>
      <c r="E13" s="13">
        <f>IFERROR(COUNTIFS(RTP!A4:A153,"&lt;&gt;"),0)</f>
      </c>
      <c r="F13" s="13">
        <f>IFERROR(AVERAGEIF(ANALISIS!C3:C52,"Bencana",ANALISIS!O3:O52),"—")</f>
      </c>
    </row>
    <row r="14" ht="20" customHeight="1" spans="2:6" x14ac:dyDescent="0.25">
      <c r="B14" s="12" t="s">
        <v>121</v>
      </c>
      <c r="C14" s="13">
        <f>COUNTIF(IDENTIFIKASI!H3:H52,"Kepatuhan")</f>
      </c>
      <c r="D14" s="13">
        <f>COUNTIFS(ANALISIS!C3:C52,"Kepatuhan",ANALISIS!S3:S52,"YA ⚠")</f>
      </c>
      <c r="E14" s="13">
        <f>IFERROR(COUNTIFS(RTP!A4:A153,"&lt;&gt;"),0)</f>
      </c>
      <c r="F14" s="13">
        <f>IFERROR(AVERAGEIF(ANALISIS!C3:C52,"Kepatuhan",ANALISIS!O3:O52),"—")</f>
      </c>
    </row>
    <row r="15" ht="20" customHeight="1" spans="2:6" x14ac:dyDescent="0.25">
      <c r="B15" s="12" t="s">
        <v>135</v>
      </c>
      <c r="C15" s="13">
        <f>COUNTIF(IDENTIFIKASI!H3:H52,"Operasional")</f>
      </c>
      <c r="D15" s="13">
        <f>COUNTIFS(ANALISIS!C3:C52,"Operasional",ANALISIS!S3:S52,"YA ⚠")</f>
      </c>
      <c r="E15" s="13">
        <f>IFERROR(COUNTIFS(RTP!A4:A153,"&lt;&gt;"),0)</f>
      </c>
      <c r="F15" s="13">
        <f>IFERROR(AVERAGEIF(ANALISIS!C3:C52,"Operasional",ANALISIS!O3:O52),"—")</f>
      </c>
    </row>
    <row r="16" ht="20" customHeight="1" spans="2:6" x14ac:dyDescent="0.25">
      <c r="B16" s="12" t="s">
        <v>146</v>
      </c>
      <c r="C16" s="13">
        <f>COUNTIF(IDENTIFIKASI!H3:H52,"Kemitraan")</f>
      </c>
      <c r="D16" s="13">
        <f>COUNTIFS(ANALISIS!C3:C52,"Kemitraan",ANALISIS!S3:S52,"YA ⚠")</f>
      </c>
      <c r="E16" s="13">
        <f>IFERROR(COUNTIFS(RTP!A4:A153,"&lt;&gt;"),0)</f>
      </c>
      <c r="F16" s="13">
        <f>IFERROR(AVERAGEIF(ANALISIS!C3:C52,"Kemitraan",ANALISIS!O3:O52),"—")</f>
      </c>
    </row>
    <row r="19" ht="22" customHeight="1" spans="2:6" x14ac:dyDescent="0.25">
      <c r="B19" s="11" t="s">
        <v>425</v>
      </c>
      <c r="C19" s="11"/>
      <c r="D19" s="11"/>
      <c r="E19" s="11"/>
      <c r="F19" s="11"/>
    </row>
    <row r="20" ht="22" customHeight="1" spans="2:6" x14ac:dyDescent="0.25">
      <c r="B20" s="27" t="s">
        <v>283</v>
      </c>
      <c r="C20" s="27" t="s">
        <v>287</v>
      </c>
      <c r="D20" s="27" t="s">
        <v>307</v>
      </c>
      <c r="E20" s="27" t="s">
        <v>329</v>
      </c>
      <c r="F20" s="27" t="s">
        <v>63</v>
      </c>
    </row>
    <row r="21" ht="22" customHeight="1" spans="2:6" x14ac:dyDescent="0.25">
      <c r="B21" s="13">
        <f>IFERROR(INDEX(ANALISIS!A:A,MATCH(LARGE(ANALISIS!O$3:O$52,1),ANALISIS!O$3:O$52,0)+2),"—")</f>
      </c>
      <c r="C21" s="13">
        <f>IFERROR(INDEX(ANALISIS!B:B,MATCH(LARGE(ANALISIS!O$3:O$52,1),ANALISIS!O$3:O$52,0)+2),"—")</f>
      </c>
      <c r="D21" s="13">
        <f>IFERROR(INDEX(ANALISIS!C:C,MATCH(LARGE(ANALISIS!O$3:O$52,1),ANALISIS!O$3:O$52,0)+2),"—")</f>
      </c>
      <c r="E21" s="13">
        <f>IFERROR(LARGE(ANALISIS!O$3:O$52,1),"—")</f>
      </c>
      <c r="F21" s="13">
        <f>IFERROR(INDEX(ANALISIS!Q:Q,MATCH(LARGE(ANALISIS!O$3:O$52,1),ANALISIS!O$3:O$52,0)+2),"—")</f>
      </c>
    </row>
    <row r="22" ht="22" customHeight="1" spans="2:6" x14ac:dyDescent="0.25">
      <c r="B22" s="13">
        <f>IFERROR(INDEX(ANALISIS!A:A,MATCH(LARGE(ANALISIS!O$3:O$52,2),ANALISIS!O$3:O$52,0)+2),"—")</f>
      </c>
      <c r="C22" s="13">
        <f>IFERROR(INDEX(ANALISIS!B:B,MATCH(LARGE(ANALISIS!O$3:O$52,2),ANALISIS!O$3:O$52,0)+2),"—")</f>
      </c>
      <c r="D22" s="13">
        <f>IFERROR(INDEX(ANALISIS!C:C,MATCH(LARGE(ANALISIS!O$3:O$52,2),ANALISIS!O$3:O$52,0)+2),"—")</f>
      </c>
      <c r="E22" s="13">
        <f>IFERROR(LARGE(ANALISIS!O$3:O$52,2),"—")</f>
      </c>
      <c r="F22" s="13">
        <f>IFERROR(INDEX(ANALISIS!Q:Q,MATCH(LARGE(ANALISIS!O$3:O$52,2),ANALISIS!O$3:O$52,0)+2),"—")</f>
      </c>
    </row>
    <row r="23" ht="22" customHeight="1" spans="2:6" x14ac:dyDescent="0.25">
      <c r="B23" s="13">
        <f>IFERROR(INDEX(ANALISIS!A:A,MATCH(LARGE(ANALISIS!O$3:O$52,3),ANALISIS!O$3:O$52,0)+2),"—")</f>
      </c>
      <c r="C23" s="13">
        <f>IFERROR(INDEX(ANALISIS!B:B,MATCH(LARGE(ANALISIS!O$3:O$52,3),ANALISIS!O$3:O$52,0)+2),"—")</f>
      </c>
      <c r="D23" s="13">
        <f>IFERROR(INDEX(ANALISIS!C:C,MATCH(LARGE(ANALISIS!O$3:O$52,3),ANALISIS!O$3:O$52,0)+2),"—")</f>
      </c>
      <c r="E23" s="13">
        <f>IFERROR(LARGE(ANALISIS!O$3:O$52,3),"—")</f>
      </c>
      <c r="F23" s="13">
        <f>IFERROR(INDEX(ANALISIS!Q:Q,MATCH(LARGE(ANALISIS!O$3:O$52,3),ANALISIS!O$3:O$52,0)+2),"—")</f>
      </c>
    </row>
    <row r="24" ht="22" customHeight="1" spans="2:6" x14ac:dyDescent="0.25">
      <c r="B24" s="13">
        <f>IFERROR(INDEX(ANALISIS!A:A,MATCH(LARGE(ANALISIS!O$3:O$52,4),ANALISIS!O$3:O$52,0)+2),"—")</f>
      </c>
      <c r="C24" s="13">
        <f>IFERROR(INDEX(ANALISIS!B:B,MATCH(LARGE(ANALISIS!O$3:O$52,4),ANALISIS!O$3:O$52,0)+2),"—")</f>
      </c>
      <c r="D24" s="13">
        <f>IFERROR(INDEX(ANALISIS!C:C,MATCH(LARGE(ANALISIS!O$3:O$52,4),ANALISIS!O$3:O$52,0)+2),"—")</f>
      </c>
      <c r="E24" s="13">
        <f>IFERROR(LARGE(ANALISIS!O$3:O$52,4),"—")</f>
      </c>
      <c r="F24" s="13">
        <f>IFERROR(INDEX(ANALISIS!Q:Q,MATCH(LARGE(ANALISIS!O$3:O$52,4),ANALISIS!O$3:O$52,0)+2),"—")</f>
      </c>
    </row>
    <row r="25" ht="22" customHeight="1" spans="2:6" x14ac:dyDescent="0.25">
      <c r="B25" s="13">
        <f>IFERROR(INDEX(ANALISIS!A:A,MATCH(LARGE(ANALISIS!O$3:O$52,5),ANALISIS!O$3:O$52,0)+2),"—")</f>
      </c>
      <c r="C25" s="13">
        <f>IFERROR(INDEX(ANALISIS!B:B,MATCH(LARGE(ANALISIS!O$3:O$52,5),ANALISIS!O$3:O$52,0)+2),"—")</f>
      </c>
      <c r="D25" s="13">
        <f>IFERROR(INDEX(ANALISIS!C:C,MATCH(LARGE(ANALISIS!O$3:O$52,5),ANALISIS!O$3:O$52,0)+2),"—")</f>
      </c>
      <c r="E25" s="13">
        <f>IFERROR(LARGE(ANALISIS!O$3:O$52,5),"—")</f>
      </c>
      <c r="F25" s="13">
        <f>IFERROR(INDEX(ANALISIS!Q:Q,MATCH(LARGE(ANALISIS!O$3:O$52,5),ANALISIS!O$3:O$52,0)+2),"—")</f>
      </c>
    </row>
    <row r="27" spans="2:6" x14ac:dyDescent="0.25">
      <c r="B27" s="67">
        <f>"Laporan di-generate: "&amp;TEXT(NOW(),"DD MMMM YYYY HH:MM")</f>
      </c>
      <c r="C27" s="67"/>
      <c r="D27" s="67"/>
      <c r="E27" s="67"/>
      <c r="F27" s="67"/>
    </row>
  </sheetData>
  <mergeCells count="6">
    <mergeCell ref="B1:F1"/>
    <mergeCell ref="B2:F2"/>
    <mergeCell ref="B4:F4"/>
    <mergeCell ref="B8:F8"/>
    <mergeCell ref="B19:F19"/>
    <mergeCell ref="B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MASTER</vt:lpstr>
      <vt:lpstr>KONTEKS</vt:lpstr>
      <vt:lpstr>SELERA_RISIKO</vt:lpstr>
      <vt:lpstr>IDENTIFIKASI</vt:lpstr>
      <vt:lpstr>PENYEBAB</vt:lpstr>
      <vt:lpstr>ANALISIS</vt:lpstr>
      <vt:lpstr>EVALUASI</vt:lpstr>
      <vt:lpstr>EVAL_PENG</vt:lpstr>
      <vt:lpstr>PROGRAM_AUDIT</vt:lpstr>
      <vt:lpstr>RTP</vt:lpstr>
      <vt:lpstr>MATURITAS</vt:lpstr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Risk-Sim MA</dc:creator>
  <dc:title/>
  <dc:subject/>
  <dc:description/>
  <cp:keywords/>
  <cp:category/>
  <cp:lastModifiedBy>Unknown</cp:lastModifiedBy>
  <dcterms:created xsi:type="dcterms:W3CDTF">2026-04-21T10:09:04Z</dcterms:created>
  <dcterms:modified xsi:type="dcterms:W3CDTF">2026-04-21T10:09:04Z</dcterms:modified>
</cp:coreProperties>
</file>